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VN\TqRsDg_SF\TqRsDg_SF31_006_0_NoUTP\Task_9290_EA3_UTP_TqRsDg_SF31_006_0_NoUTP\"/>
    </mc:Choice>
  </mc:AlternateContent>
  <bookViews>
    <workbookView xWindow="480" yWindow="555" windowWidth="14355" windowHeight="6990" tabRatio="904"/>
  </bookViews>
  <sheets>
    <sheet name="Unit Test Information" sheetId="20" r:id="rId1"/>
    <sheet name="Embedded Files" sheetId="23" r:id="rId2"/>
    <sheet name="Module Definitions" sheetId="5" r:id="rId3"/>
    <sheet name="Variable Range" sheetId="6" state="hidden" r:id="rId4"/>
    <sheet name="TqRsDg_Init1" sheetId="7" r:id="rId5"/>
    <sheet name="TqRsDg_Init1() R" sheetId="9" r:id="rId6"/>
    <sheet name="TqRsDg_Per1" sheetId="10" r:id="rId7"/>
    <sheet name="TqRsDg_Per1() P" sheetId="32" r:id="rId8"/>
    <sheet name="TqRsDg_Per1() M" sheetId="31" r:id="rId9"/>
    <sheet name="TqRsDg_Per1() R" sheetId="12" r:id="rId10"/>
    <sheet name="Coverage Analysis" sheetId="26" r:id="rId11"/>
    <sheet name="Clarifications" sheetId="28" r:id="rId12"/>
    <sheet name="Metrics" sheetId="27" r:id="rId13"/>
    <sheet name="Test Vector Description" sheetId="33" state="hidden" r:id="rId14"/>
  </sheets>
  <functionGroups builtInGroupCount="18"/>
  <externalReferences>
    <externalReference r:id="rId15"/>
  </externalReferences>
  <definedNames>
    <definedName name="StubFunctionNameList" localSheetId="11">'[1]Module Definitions'!$K$12:$K$12</definedName>
    <definedName name="StubFunctionNameList" localSheetId="10">'[1]Module Definitions'!$K$12:$K$12</definedName>
    <definedName name="StubFunctionNameList" localSheetId="12">'[1]Module Definitions'!$K$12:$K$12</definedName>
    <definedName name="StubFunctionNameList">'Module Definitions'!$K$12:$K$13</definedName>
    <definedName name="TestFunctionNameList" localSheetId="11">'[1]Module Definitions'!$B$12:$B$28</definedName>
    <definedName name="TestFunctionNameList" localSheetId="10">'[1]Module Definitions'!$B$12:$B$28</definedName>
    <definedName name="TestFunctionNameList" localSheetId="12">'[1]Module Definitions'!$B$12:$B$28</definedName>
    <definedName name="TestFunctionNameList">'Module Definitions'!$B$12:$B$14</definedName>
    <definedName name="VariableNameList" localSheetId="11">'[1]Module Definitions'!$G$13:$G$48</definedName>
    <definedName name="VariableNameList" localSheetId="10">'[1]Module Definitions'!$G$13:$G$48</definedName>
    <definedName name="VariableNameList" localSheetId="12">'[1]Module Definitions'!$G$13:$G$48</definedName>
    <definedName name="VariableNameList">'Module Definitions'!$G$13:$G$61</definedName>
  </definedNames>
  <calcPr calcId="152511"/>
</workbook>
</file>

<file path=xl/calcChain.xml><?xml version="1.0" encoding="utf-8"?>
<calcChain xmlns="http://schemas.openxmlformats.org/spreadsheetml/2006/main">
  <c r="B1" i="26" l="1"/>
</calcChain>
</file>

<file path=xl/comments1.xml><?xml version="1.0" encoding="utf-8"?>
<comments xmlns="http://schemas.openxmlformats.org/spreadsheetml/2006/main">
  <authors>
    <author>MazeedA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D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F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</commentList>
</comments>
</file>

<file path=xl/sharedStrings.xml><?xml version="1.0" encoding="utf-8"?>
<sst xmlns="http://schemas.openxmlformats.org/spreadsheetml/2006/main" count="2615" uniqueCount="368">
  <si>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</si>
  <si>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</si>
  <si>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</si>
  <si>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</si>
  <si>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</si>
  <si>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</si>
  <si>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</si>
  <si>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</si>
  <si>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</si>
  <si>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</si>
  <si>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</si>
  <si>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</si>
  <si>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</si>
  <si>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</si>
  <si>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</si>
  <si>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</si>
  <si>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</si>
  <si>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</si>
  <si>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</si>
  <si>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</si>
  <si>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</si>
  <si>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</si>
  <si>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</si>
  <si>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</si>
  <si>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</si>
  <si>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</si>
  <si>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</si>
  <si>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</si>
  <si>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</si>
  <si>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</si>
  <si>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</si>
  <si>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</si>
  <si>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</si>
  <si>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</si>
  <si>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</si>
  <si>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</si>
  <si>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</si>
  <si>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</si>
  <si>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</si>
  <si>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</si>
  <si>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</si>
  <si>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</si>
  <si>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</si>
  <si>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</si>
  <si>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</si>
  <si>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</si>
  <si>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</si>
  <si>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</si>
  <si>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Ap_TqRsDg.c</t>
  </si>
  <si>
    <t>Level 2</t>
  </si>
  <si>
    <t>Excel Macro</t>
  </si>
  <si>
    <t>TqRsDg_Init1</t>
  </si>
  <si>
    <t>void</t>
  </si>
  <si>
    <t>TqRsDg_Per1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</si>
  <si>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</si>
  <si>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</si>
  <si>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</si>
  <si>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</si>
  <si>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</si>
  <si>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</si>
  <si>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</si>
  <si>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</si>
  <si>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P</t>
  </si>
  <si>
    <t>TqRsDg_Per1() P</t>
  </si>
  <si>
    <t>TMS470_4.9.5</t>
  </si>
  <si>
    <t>(void)</t>
  </si>
  <si>
    <t>TrqReasKSV_M_str.SV</t>
  </si>
  <si>
    <t>TrqReasKSV_M_str.K</t>
  </si>
  <si>
    <t>LPF32KSV_Str.float</t>
  </si>
  <si>
    <t>M</t>
  </si>
  <si>
    <t>TrqReasFltActive_Uls_M_u8</t>
  </si>
  <si>
    <t>MtrVoltFinalVChkAcc_Cnt_M_u16</t>
  </si>
  <si>
    <t>MtrVoltIntgAcc_Cnt_M_u16</t>
  </si>
  <si>
    <t>G</t>
  </si>
  <si>
    <t>TrqResFltAccum_Uls_M_f32</t>
  </si>
  <si>
    <t>MtrCurrQaxFinalRef_Amp_M_f32</t>
  </si>
  <si>
    <t>ModulationIndex_Uls_M_f32</t>
  </si>
  <si>
    <t>uint8</t>
  </si>
  <si>
    <t>uint16</t>
  </si>
  <si>
    <t>float</t>
  </si>
  <si>
    <t>FltAccum_Uls_D_f32</t>
  </si>
  <si>
    <t>MtrTrqRef_MtrNm_D_f32</t>
  </si>
  <si>
    <t>MtrTrqMeas_MtrNm_D_f32</t>
  </si>
  <si>
    <t>AbsMtrVoltFinalVChk_Volt_D_f32</t>
  </si>
  <si>
    <t>k_TrqReasLPFKn_Hz_f32</t>
  </si>
  <si>
    <t>k_KvalHiPstep_pMtrNm_f32</t>
  </si>
  <si>
    <t>k_MaxErr_MtrNm_f32</t>
  </si>
  <si>
    <t>k_NoofPoles_Uls_f32</t>
  </si>
  <si>
    <t>k_ErrAllow_MtrNm_f32</t>
  </si>
  <si>
    <t>k_MaxMtrEnvMi_Uls_f32</t>
  </si>
  <si>
    <t>k_KvalLoPstep_pMtrNm_f32</t>
  </si>
  <si>
    <t>k_FltDecrement_Uls_f32</t>
  </si>
  <si>
    <t>k_MaxfltAccum_Uls_f32</t>
  </si>
  <si>
    <t>k_TrqReasMtrVoltIntgThr_Volt_f32</t>
  </si>
  <si>
    <t>k_TrqReasIntg_Cnt_Str.Pstep</t>
  </si>
  <si>
    <t>k_TrqReasIntg_Cnt_Str.Nstep</t>
  </si>
  <si>
    <t>k_TrqReasIntg_Cnt_Str.Threshold</t>
  </si>
  <si>
    <t>DiagSettings_Str.uint16</t>
  </si>
  <si>
    <t>k_TrqReasMtrVoltCmdThr_Volt_f32</t>
  </si>
  <si>
    <t>k_TrqReasCmd_Cnt_Str.Pstep</t>
  </si>
  <si>
    <t>k_TrqReasCmd_Cnt_Str.Nstep</t>
  </si>
  <si>
    <t>k_TrqReasCmd_Cnt_Str.Threshold</t>
  </si>
  <si>
    <t>LdEstimate_Henry_f32</t>
  </si>
  <si>
    <t>LqEstimate_Henry_f32</t>
  </si>
  <si>
    <t>ModulationIndex_Uls_f32</t>
  </si>
  <si>
    <t>MtrCurrDaxRef_Amp_f32</t>
  </si>
  <si>
    <t>MtrCurrDax_Amp_f32</t>
  </si>
  <si>
    <t>MtrCurrQaxFinalRef_Amp_f32</t>
  </si>
  <si>
    <t>MtrCurrQax_Amp_f32</t>
  </si>
  <si>
    <t>keEstimate_VpRadpS_f32</t>
  </si>
  <si>
    <t>MtrVoltFinalVChk_Volt_f32</t>
  </si>
  <si>
    <t>MtrVoltInt_Volt_f32</t>
  </si>
  <si>
    <t>Rte_Call_NxtrDiagMgr_SetNTCStatus</t>
  </si>
  <si>
    <t>Ip_NTC</t>
  </si>
  <si>
    <t>Ip_Param</t>
  </si>
  <si>
    <t>Ip_Status</t>
  </si>
  <si>
    <t>I/P</t>
  </si>
  <si>
    <t>O/P</t>
  </si>
  <si>
    <t>Expected
O/P</t>
  </si>
  <si>
    <t>All Min</t>
  </si>
  <si>
    <t>All Max</t>
  </si>
  <si>
    <t>TqRsDg_BetaCurrDiagPrimLPF_M_Str.SV</t>
  </si>
  <si>
    <t>TqRsDg_BetaCurrDiagPrimLPF_M_Str.K</t>
  </si>
  <si>
    <t>TqRsDg_AlpaCurrDiagPrimLPF_M_Str.SV</t>
  </si>
  <si>
    <t>TqRsDg_AlpaCurrDiagPrimLPF_M_Str.K</t>
  </si>
  <si>
    <t>TqRsDg_AlpaCurrDiagSecLPF_M_Str.SV</t>
  </si>
  <si>
    <t>TqRsDg_AlpaCurrDiagSecLPF_M_Str.K</t>
  </si>
  <si>
    <t>TqRsDg_BetaCurrDiagSecLPF_M_Str.SV</t>
  </si>
  <si>
    <t>TqRsDg_BetaCurrDiagSecLPF_M_Str.K</t>
  </si>
  <si>
    <t>Rev:2.7d</t>
  </si>
  <si>
    <t>k_CurrDiagPrimLPFKn_Hz_f32</t>
  </si>
  <si>
    <t>k_CurrDiagSecLPFKn_Hz_f32</t>
  </si>
  <si>
    <t>DervLambdaAlphaDiag_Volt_f32</t>
  </si>
  <si>
    <t>DervLambdaBetaDiag_Volt_f32</t>
  </si>
  <si>
    <t>OutputRampMult_Uls_f32</t>
  </si>
  <si>
    <t>TrqLimitMin_MtrNm_f32</t>
  </si>
  <si>
    <t>DervLambdaAlphaDiagPrimFilt_Volt_D_f32</t>
  </si>
  <si>
    <t>DervLambdaBetaDiagPrimFilt_Volt_D_f32</t>
  </si>
  <si>
    <t>DervLambdaAlphaDiagSecFilt_Volt_D_f32</t>
  </si>
  <si>
    <t>DervLambdaBetaDiagSecFilt_Volt_D_f32</t>
  </si>
  <si>
    <t>k_CurrDiagMtrEnvTblMax_MtrNm_f32</t>
  </si>
  <si>
    <t>k_CurrDiagSecTrqLmtThresh_Uls_f32</t>
  </si>
  <si>
    <t>k_CurrDiagPrimErrorThresh_Volt_f32</t>
  </si>
  <si>
    <t>k_CurrDiagPrim_Cnt_Str.Pstep</t>
  </si>
  <si>
    <t>k_CurrDiagPrim_Cnt_Str.Nstep</t>
  </si>
  <si>
    <t>k_CurrDiagPrim_Cnt_Str.Threshold</t>
  </si>
  <si>
    <t>k_CurrDiagSec_Cnt_Str.Pstep</t>
  </si>
  <si>
    <t>k_CurrDiagSec_Cnt_Str.Nstep</t>
  </si>
  <si>
    <t>k_CurrDiagSec_Cnt_Str.Threshold</t>
  </si>
  <si>
    <t>CurrDiagPrimPNAccum_Cnt_M_u16</t>
  </si>
  <si>
    <t>k_CurrDiagSecErrorThresh_Volt_f32</t>
  </si>
  <si>
    <t>CurrDiagSecPNAccum_Cnt_M_u16</t>
  </si>
  <si>
    <t>k_CurrDiagPrimLPFKn_Hz_f32 = min</t>
  </si>
  <si>
    <t>k_CurrDiagPrimLPFKn_Hz_f32 = max</t>
  </si>
  <si>
    <t>k_CurrDiagPrimLPFKn_Hz_f32 = mid</t>
  </si>
  <si>
    <t>k_CurrDiagSecLPFKn_Hz_f32 = min</t>
  </si>
  <si>
    <t>k_CurrDiagSecLPFKn_Hz_f32 = max</t>
  </si>
  <si>
    <t>k_CurrDiagSecLPFKn_Hz_f32 = mid</t>
  </si>
  <si>
    <t>TqRsDg_Per1() M</t>
  </si>
  <si>
    <t>Data Dictionary Version:</t>
  </si>
  <si>
    <t>Total FLASH Used (Bytes):</t>
  </si>
  <si>
    <t>Total RAM Used (Bytes):</t>
  </si>
  <si>
    <t>Total CALS Used (Bytes):</t>
  </si>
  <si>
    <t>Func Stub
Counter</t>
  </si>
  <si>
    <t>Expected
Stub Cnt</t>
  </si>
  <si>
    <t>TqRsDg_DervLambdaAlphaDiagLmtd_Volt_D_f32</t>
  </si>
  <si>
    <t>TqRsDg_DervLambdaBetaDiagLmtd_Volt_D_f32</t>
  </si>
  <si>
    <t>k_CurrDiagLambdaMinMax_Volt_f32</t>
  </si>
  <si>
    <t>TqRsDg_CurrDiagPrimPNAccum_Cnt_M_u16</t>
  </si>
  <si>
    <t>TqRsDg_CurrDiagSecPNAccum_Cnt_M_u16</t>
  </si>
  <si>
    <t>MtrCurrIdptSig_Cnt_u08</t>
  </si>
  <si>
    <t>k_CurrDiagPrimLPFKn_Hz_f32=Default</t>
  </si>
  <si>
    <t>k_CurrDiagSecLPFKn_Hz_f32=Default</t>
  </si>
  <si>
    <t>Date</t>
  </si>
  <si>
    <t>Component name</t>
  </si>
  <si>
    <t>Component Version</t>
  </si>
  <si>
    <t>NA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</si>
  <si>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</si>
  <si>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</si>
  <si>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</si>
  <si>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</si>
  <si>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</si>
  <si>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</si>
  <si>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</si>
  <si>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DC</t>
  </si>
  <si>
    <t>Total test case</t>
  </si>
  <si>
    <t>Passed</t>
  </si>
  <si>
    <t>Failed</t>
  </si>
  <si>
    <t>Coverage Issue</t>
  </si>
  <si>
    <t>Coverage Issue Analysis</t>
  </si>
  <si>
    <t>Coverage issue Record</t>
  </si>
  <si>
    <t>Deviation details</t>
  </si>
  <si>
    <t>Support Documents</t>
  </si>
  <si>
    <t xml:space="preserve">
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</si>
  <si>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</si>
  <si>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</si>
  <si>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</si>
  <si>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</si>
  <si>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</si>
  <si>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</si>
  <si>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</si>
  <si>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</si>
  <si>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Over all Metrics</t>
  </si>
  <si>
    <t>Flash</t>
  </si>
  <si>
    <t>Cals</t>
  </si>
  <si>
    <t>RAM</t>
  </si>
  <si>
    <t>Sl Num</t>
  </si>
  <si>
    <t>CR Num</t>
  </si>
  <si>
    <t>Developer</t>
  </si>
  <si>
    <t>Issue 1</t>
  </si>
  <si>
    <t>Response 1</t>
  </si>
  <si>
    <t>TqRsDg</t>
  </si>
  <si>
    <t>Selva Sengottaiyan</t>
  </si>
  <si>
    <t>Nexteer EPS Unit Test Tool 2.7d/EPS Library 1.32</t>
  </si>
  <si>
    <t>2ms</t>
  </si>
  <si>
    <t>CorrMtrPosElec_Rev_f32</t>
  </si>
  <si>
    <t>EstKe_VpRadpS_f32</t>
  </si>
  <si>
    <t>EstR_Ohm_f32</t>
  </si>
  <si>
    <t>MRFMtrVel_MtrRadpS_f32</t>
  </si>
  <si>
    <t>MtrVoltDax_Volt_f32</t>
  </si>
  <si>
    <t>MtrVoltQax_Volt_f32</t>
  </si>
  <si>
    <t>DervLambdaQax_Volt_D_f32</t>
  </si>
  <si>
    <t>DervLambdaDax_Volt_D_f32</t>
  </si>
  <si>
    <t>DervLambdaBetaDiag_Volt_D_f32</t>
  </si>
  <si>
    <t>DervLambdaAlphaDiag_Volt_D_f32</t>
  </si>
  <si>
    <t>k_CurrDiagMtrEnvTblMax_MtrNm_f32==&gt;Min</t>
  </si>
  <si>
    <t>k_CurrDiagMtrEnvTblMax_MtrNm_f32==&gt;Max</t>
  </si>
  <si>
    <t>k_CurrDiagMtrEnvTblMax_MtrNm_f32==&gt;Pos/Default</t>
  </si>
  <si>
    <t>k_CurrDiagPrim_Cnt_Str.Pstep==&gt;Min</t>
  </si>
  <si>
    <t>k_CurrDiagPrim_Cnt_Str.Pstep==&gt;Max</t>
  </si>
  <si>
    <t>k_CurrDiagPrim_Cnt_Str.Pstep==&gt;Pos/Default</t>
  </si>
  <si>
    <t>k_CurrDiagPrim_Cnt_Str.Nstep==&gt;Min</t>
  </si>
  <si>
    <t>k_CurrDiagPrim_Cnt_Str.Nstep==&gt;Max</t>
  </si>
  <si>
    <t>k_CurrDiagPrim_Cnt_Str.Nstep==&gt;Pos/Default</t>
  </si>
  <si>
    <t>k_CurrDiagPrim_Cnt_Str.Threshold==&gt;Min</t>
  </si>
  <si>
    <t>k_CurrDiagPrim_Cnt_Str.Threshold==&gt;Max</t>
  </si>
  <si>
    <t>k_CurrDiagPrim_Cnt_Str.Threshold==&gt;Pos/Default</t>
  </si>
  <si>
    <t>k_CurrDiagPrimErrorThresh_Volt_f32==&gt;Min</t>
  </si>
  <si>
    <t>k_CurrDiagPrimErrorThresh_Volt_f32==&gt;Max</t>
  </si>
  <si>
    <t>k_CurrDiagPrimErrorThresh_Volt_f32==&gt;Pos/Default</t>
  </si>
  <si>
    <t>k_CurrDiagSec_Cnt_Str.Pstep==&gt;Min</t>
  </si>
  <si>
    <t>k_CurrDiagSec_Cnt_Str.Pstep==&gt;Max</t>
  </si>
  <si>
    <t>k_CurrDiagSec_Cnt_Str.Pstep==&gt;Pos/Default</t>
  </si>
  <si>
    <t>k_CurrDiagSec_Cnt_Str.Nstep==&gt;Min</t>
  </si>
  <si>
    <t>k_CurrDiagSec_Cnt_Str.Nstep==&gt;Max</t>
  </si>
  <si>
    <t>k_CurrDiagSec_Cnt_Str.Nstep==&gt;Pos/Default</t>
  </si>
  <si>
    <t>k_CurrDiagSec_Cnt_Str.Threshold==&gt;Min</t>
  </si>
  <si>
    <t>k_CurrDiagSec_Cnt_Str.Threshold==&gt;Max</t>
  </si>
  <si>
    <t>k_CurrDiagSec_Cnt_Str.Threshold==&gt;Pos/Default</t>
  </si>
  <si>
    <t>k_CurrDiagSecErrorThresh_Volt_f32==&gt;Min</t>
  </si>
  <si>
    <t>k_CurrDiagSecErrorThresh_Volt_f32==&gt;Max</t>
  </si>
  <si>
    <t>k_CurrDiagSecErrorThresh_Volt_f32==&gt;Pos/Default</t>
  </si>
  <si>
    <t>k_CurrDiagSecTrqLmtThresh_Uls_f32==&gt;Max</t>
  </si>
  <si>
    <t>MtrVoltQax_Volt_f32==&gt;Min</t>
  </si>
  <si>
    <t>MtrVoltQax_Volt_f32==&gt;Max</t>
  </si>
  <si>
    <t>MtrVoltQax_Volt_f32==&gt;Pos</t>
  </si>
  <si>
    <t>MtrVoltDax_Volt_f32==&gt;Min</t>
  </si>
  <si>
    <t>MtrVoltDax_Volt_f32==&gt;Max</t>
  </si>
  <si>
    <t>MtrVoltDax_Volt_f32==&gt;Pos</t>
  </si>
  <si>
    <t>OutputRampMult_Uls_f32==&gt;Min</t>
  </si>
  <si>
    <t>OutputRampMult_Uls_f32==&gt;Max</t>
  </si>
  <si>
    <t>TrqLimitMin_MtrNm_f32==&gt;Min</t>
  </si>
  <si>
    <t>TrqLimitMin_MtrNm_f32==&gt;Max</t>
  </si>
  <si>
    <t>TrqLimitMin_MtrNm_f32==&gt;Pos</t>
  </si>
  <si>
    <t>TqRsDg_AlpaCurrDiagPrimLPF_M_Str.SV==&gt;Min</t>
  </si>
  <si>
    <t>TqRsDg_AlpaCurrDiagPrimLPF_M_Str.SV==&gt;Max</t>
  </si>
  <si>
    <t>TqRsDg_AlpaCurrDiagPrimLPF_M_Str.SV==&gt;Pos</t>
  </si>
  <si>
    <t>TqRsDg_AlpaCurrDiagPrimLPF_M_Str.SV==&gt;zero</t>
  </si>
  <si>
    <t>TqRsDg_AlpaCurrDiagPrimLPF_M_Str.SV==&gt;neg</t>
  </si>
  <si>
    <t>TqRsDg_AlpaCurrDiagPrimLPF_M_Str.K==&gt;Min</t>
  </si>
  <si>
    <t>TqRsDg_AlpaCurrDiagPrimLPF_M_Str.K==&gt;Max</t>
  </si>
  <si>
    <t>TqRsDg_AlpaCurrDiagPrimLPF_M_Str.K==&gt;Pos</t>
  </si>
  <si>
    <t>TqRsDg_AlpaCurrDiagSecLPF_M_Str.SV==&gt;Min</t>
  </si>
  <si>
    <t>TqRsDg_AlpaCurrDiagSecLPF_M_Str.SV==&gt;Max</t>
  </si>
  <si>
    <t>TqRsDg_AlpaCurrDiagSecLPF_M_Str.SV==&gt;Pos</t>
  </si>
  <si>
    <t>TqRsDg_AlpaCurrDiagSecLPF_M_Str.SV==&gt;zero</t>
  </si>
  <si>
    <t>TqRsDg_AlpaCurrDiagSecLPF_M_Str.SV==&gt;neg</t>
  </si>
  <si>
    <t>TqRsDg_AlpaCurrDiagSecLPF_M_Str.K==&gt;Min</t>
  </si>
  <si>
    <t>TqRsDg_AlpaCurrDiagSecLPF_M_Str.K==&gt;Max</t>
  </si>
  <si>
    <t>TqRsDg_AlpaCurrDiagSecLPF_M_Str.K==&gt;Pos</t>
  </si>
  <si>
    <t>TqRsDg_BetaCurrDiagPrimLPF_M_Str.SV==&gt;Min</t>
  </si>
  <si>
    <t>TqRsDg_BetaCurrDiagPrimLPF_M_Str.SV==&gt;Max</t>
  </si>
  <si>
    <t>TqRsDg_BetaCurrDiagPrimLPF_M_Str.SV==&gt;Pos</t>
  </si>
  <si>
    <t>TqRsDg_BetaCurrDiagPrimLPF_M_Str.SV==&gt;zero</t>
  </si>
  <si>
    <t>TqRsDg_BetaCurrDiagPrimLPF_M_Str.SV==&gt;neg</t>
  </si>
  <si>
    <t>TqRsDg_BetaCurrDiagPrimLPF_M_Str.K==&gt;Min</t>
  </si>
  <si>
    <t>TqRsDg_BetaCurrDiagPrimLPF_M_Str.K==&gt;Max</t>
  </si>
  <si>
    <t>TqRsDg_BetaCurrDiagPrimLPF_M_Str.K==&gt;Pos</t>
  </si>
  <si>
    <t>TqRsDg_BetaCurrDiagSecLPF_M_Str.SV==&gt;Min</t>
  </si>
  <si>
    <t>TqRsDg_BetaCurrDiagSecLPF_M_Str.SV==&gt;Max</t>
  </si>
  <si>
    <t>TqRsDg_BetaCurrDiagSecLPF_M_Str.SV==&gt;pos</t>
  </si>
  <si>
    <t>TqRsDg_BetaCurrDiagSecLPF_M_Str.SV==&gt;zero</t>
  </si>
  <si>
    <t>TqRsDg_BetaCurrDiagSecLPF_M_Str.SV==&gt;neg</t>
  </si>
  <si>
    <t>TqRsDg_BetaCurrDiagSecLPF_M_Str.SV==&gt;min</t>
  </si>
  <si>
    <t>TqRsDg_BetaCurrDiagSecLPF_M_Str.K==&gt;max</t>
  </si>
  <si>
    <t>TqRsDg_BetaCurrDiagSecLPF_M_Str.K==&gt;pos</t>
  </si>
  <si>
    <t>TqRsDg_CurrDiagPrimPNAccum_Cnt_M_u16==&gt;Min</t>
  </si>
  <si>
    <t>TqRsDg_CurrDiagPrimPNAccum_Cnt_M_u16==&gt;Max</t>
  </si>
  <si>
    <t>TqRsDg_CurrDiagPrimPNAccum_Cnt_M_u16==&gt;Pos</t>
  </si>
  <si>
    <t>TqRsDg_CurrDiagSecPNAccum_Cnt_M_u16==&gt;Min</t>
  </si>
  <si>
    <t>TqRsDg_CurrDiagSecPNAccum_Cnt_M_u16==&gt;Max</t>
  </si>
  <si>
    <t>TqRsDg_CurrDiagSecPNAccum_Cnt_M_u16==&gt;Pos</t>
  </si>
  <si>
    <t>k_CurrDiagLambdaMinMax_Volt_f32==&gt;Min</t>
  </si>
  <si>
    <t>k_CurrDiagLambdaMinMax_Volt_f32==&gt;Max</t>
  </si>
  <si>
    <t>k_CurrDiagLambdaMinMax_Volt_f32==&gt;Pos/Default</t>
  </si>
  <si>
    <t>CorrMtrPosElec_Rev_f32==&gt;Min</t>
  </si>
  <si>
    <t>CorrMtrPosElec_Rev_f32==&gt;Max</t>
  </si>
  <si>
    <t>CorrMtrPosElec_Rev_f32==&gt;Pos</t>
  </si>
  <si>
    <t>EstKe_VpRadpS_f32==&gt;Min</t>
  </si>
  <si>
    <t>EstKe_VpRadpS_f32==&gt;Max</t>
  </si>
  <si>
    <t>EstKe_VpRadpS_f32==&gt;Pos</t>
  </si>
  <si>
    <t>EstR_Ohm_f32==&gt;Min</t>
  </si>
  <si>
    <t>EstR_Ohm_f32==&gt;Max</t>
  </si>
  <si>
    <t>EstR_Ohm_f32==&gt;Pos</t>
  </si>
  <si>
    <t>MRFMtrVel_MtrRadpS_f32==&gt;Min</t>
  </si>
  <si>
    <t>MRFMtrVel_MtrRadpS_f32==&gt;Max</t>
  </si>
  <si>
    <t>MRFMtrVel_MtrRadpS_f32==&gt;Pos</t>
  </si>
  <si>
    <t>MRFMtrVel_MtrRadpS_f32==&gt;Zero</t>
  </si>
  <si>
    <t>MRFMtrVel_MtrRadpS_f32==&gt;Neg</t>
  </si>
  <si>
    <t>MtrCurrDaxRef_Amp_f32==&gt;Min</t>
  </si>
  <si>
    <t>MtrCurrDaxRef_Amp_f32==&gt;Max</t>
  </si>
  <si>
    <t>MtrCurrDaxRef_Amp_f32==&gt;Pos</t>
  </si>
  <si>
    <t>MtrCurrDaxRef_Amp_f32==&gt;Zero</t>
  </si>
  <si>
    <t>MtrCurrDaxRef_Amp_f32==&gt;Neg</t>
  </si>
  <si>
    <t>MtrCurrQaxFinalRef_Amp_f32==&gt;Min</t>
  </si>
  <si>
    <t>MtrCurrQaxFinalRef_Amp_f32==&gt;Max</t>
  </si>
  <si>
    <t>MtrCurrQaxFinalRef_Amp_f32==&gt;Pos</t>
  </si>
  <si>
    <t>MtrCurrQaxFinalRef_Amp_f32==&gt;Zero</t>
  </si>
  <si>
    <t>MtrCurrQaxFinalRef_Amp_f32==&gt;Neg</t>
  </si>
  <si>
    <t>MtrVoltQax_Volt_f32==&gt;ZERO</t>
  </si>
  <si>
    <t>MtrVoltQax_Volt_f32==&gt;NEG</t>
  </si>
  <si>
    <t>MtrVoltDax_Volt_f32==&gt;zero</t>
  </si>
  <si>
    <t>MtrVoltDax_Volt_f32==&gt;neg</t>
  </si>
  <si>
    <t>SF31_006_0_NoUTP</t>
  </si>
  <si>
    <t>Deepa Agrawal</t>
  </si>
  <si>
    <t>TorqueReasonableDiagnostics.MDD</t>
  </si>
  <si>
    <t>Spandana</t>
  </si>
  <si>
    <t>Function names:TqRsDg_Per1 
Tolerance is not present in DD/MDD for below variables:
1.TqRsDg_AlpaCurrDiagPrimLPF_M_Str
2.TqRsDg_BetaCurrDiagPrimLPF_M_Str
3.TqRsDg_AlpaCurrDiagSecLPF_M_Str
4.TqRsDg_BetaCurrDiagSecLPF_M_Str
Observed Range in VBA for below variables
1.TqRsDg_AlpaCurrDiagPrimLPF_M_Str.SV_Uls_f32=-6.96612
2.TqRsDg_AlpaCurrDiagSecLPF_M_Str.SV_Uls_f32=-7.21952
3.TqRsDg_BetaCurrDiagPrimLPF_M_Str.SV_Uls_f32=-15.1403
4.TqRsDg_BetaCurrDiagSecLPF_M_Str.SV_Uls_f32=8.67666
Observed Range in Tessy for below variables
1.TqRsDg_AlpaCurrDiagPrimLPF_M_Str.SV_Uls_f32=-6.96604
2.TqRsDg_AlpaCurrDiagSecLPF_M_Str.SV_Uls_f32=-7.21945
3.TqRsDg_BetaCurrDiagPrimLPF_M_Str.SV_Uls_f32=-15.1404
4.TqRsDg_BetaCurrDiagSecLPF_M_Str.SV_Uls_f32=8.67665
We consider standard tolerance(0.0625) for these structure variables 
Kindly Confirm the same</t>
  </si>
  <si>
    <t>Test Setup Sheet</t>
  </si>
  <si>
    <t>Test Function</t>
  </si>
  <si>
    <t>Test Type</t>
  </si>
  <si>
    <t>DervLambdaAlphaDiagLmtd_Volt_T_f32 = Limit_m(DervLambdaAlphaDiag_Volt_T_f32, -k_CurrDiagLambdaMinMax_Volt_f32, k_CurrDiagLambdaMinMax_Volt_f32)==&gt;True,
DervLambdaBetaDiagLmtd_Volt_T_f32 = Limit_m(DervLambdaBetaDiag_Volt_T_f32, -k_CurrDiagLambdaMinMax_Volt_f32, k_CurrDiagLambdaMinMax_Volt_f32)==&gt;True,
((Min_m(TrqLimitMinRatio_Uls_T_f32,OutputRampMult_Uls_T_f32)) &lt; k_CurrDiagSecTrqLmtThresh_Uls_f32)==&gt;True,
(((Abs_f32_m(DervLambdaAlphaDiagPrimFilt_Volt_T_f32)) &gt; k_CurrDiagPrimErrorThresh_Volt_f32)==&gt;F || ((AbsDervLambdaBetaDiagPrimFilt_Volt_T_f32)&gt; k_CurrDiagPrimErrorThresh_Volt_f32)==&gt;F),
 TqRsDg_CurrDiagPrimPNAccum_Cnt_M_u16 = DiagNStep_m(TqRsDg_CurrDiagPrimPNAccum_Cnt_M_u16, k_CurrDiagPrim_Cnt_Str)==&gt;False,
 ((((Abs_f32_m(DervLambdaAlphaDiagSecFilt_Volt_T_f32)) &gt; k_CurrDiagSecErrorThresh_Volt_f32)==&gt;F ||
(AbsDervLambdaBetaDiagSecFilt_Volt_T_f32 &gt; k_CurrDiagSecErrorThresh_Volt_f32))==&gt;T  &amp;&amp;
(TrqLmtFlag_Cnt_T_lgc ==TRUE)==&gt;T ),
 TqRsDg_CurrDiagSecPNAccum_Cnt_M_u16 = DiagPStep_m(TqRsDg_CurrDiagSecPNAccum_Cnt_M_u16,k_CurrDiagSec_Cnt_Str)==&gt;False,
 (DiagFailed_m(TqRsDg_CurrDiagSecPNAccum_Cnt_M_u16,k_CurrDiagSec_Cnt_Str) ==TRUE)==&gt;True,
 (CurrReasFltActive_Cnt_T_u8 &gt; D_ZERO_CNT_U8)  ==&gt;True,
  MtrCurrIdptSig_Cnt_T_u08 = Limit_m(MtrCurrIdptSig_Cnt_T_u08, D_ZERO_CNT_U8, D_TWO_CNT_U08);==&gt;False</t>
  </si>
  <si>
    <t>((Min_m(TrqLimitMinRatio_Uls_T_f32,OutputRampMult_Uls_T_f32)) &lt; k_CurrDiagSecTrqLmtThresh_Uls_f32)==&gt;Flase
((((Abs_f32_m(DervLambdaAlphaDiagSecFilt_Volt_T_f32)) &gt; k_CurrDiagSecErrorThresh_Volt_f32)==&gt;False ||(AbsDervLambdaBetaDiagSecFilt_Volt_T_f32 &gt; k_CurrDiagSecErrorThresh_Volt_f32))==&gt;True &amp;&amp;(TrqLmtFlag_Cnt_T_lgc ==TRUE))==&gt;False
TqRsDg_CurrDiagSecPNAccum_Cnt_M_u16 = DiagNStep_m(TqRsDg_CurrDiagSecPNAccum_Cnt_M_u16,k_CurrDiagSec_Cnt_Str);==&gt;Flase
(CurrReasFltActive_Cnt_T_u8 &gt; D_ZERO_CNT_U8)==&gt;False
((TqRsDg_CurrDiagPrimPNAccum_Cnt_M_u16 == D_ZERO_CNT_U16)==&gt;True &amp;&amp; (TqRsDg_CurrDiagSecPNAccum_Cnt_M_u16 == D_ZERO_CNT_U16))==&gt;True</t>
  </si>
  <si>
    <t>DervLambdaAlphaDiagLmtd_Volt_T_f32 = Limit_m(DervLambdaAlphaDiag_Volt_T_f32, -k_CurrDiagLambdaMinMax_Volt_f32, k_CurrDiagLambdaMinMax_Volt_f32);==&gt;False
(((Abs_f32_m(DervLambdaAlphaDiagPrimFilt_Volt_T_f32)) &gt; k_CurrDiagPrimErrorThresh_Volt_f32)==&gt;True ||((AbsDervLambdaBetaDiagPrimFilt_Volt_T_f32)&gt; k_CurrDiagPrimErrorThresh_Volt_f32))==&gt;True
TqRsDg_CurrDiagPrimPNAccum_Cnt_M_u16 = DiagPStep_m(TqRsDg_CurrDiagPrimPNAccum_Cnt_M_u16, k_CurrDiagPrim_Cnt_Str);==&gt;False
(DiagFailed_m(TqRsDg_CurrDiagPrimPNAccum_Cnt_M_u16,k_CurrDiagPrim_Cnt_Str) ==TRUE)==&gt;True</t>
  </si>
  <si>
    <t>DervLambdaBetaDiagLmtd_Volt_T_f32 = Limit_m(DervLambdaBetaDiag_Volt_T_f32, -k_CurrDiagLambdaMinMax_Volt_f32, k_CurrDiagLambdaMinMax_Volt_f32);==&gt;False
((((Abs_f32_m(DervLambdaAlphaDiagSecFilt_Volt_T_f32)) &gt; k_CurrDiagSecErrorThresh_Volt_f32)==&gt;False ||(AbsDervLambdaBetaDiagSecFilt_Volt_T_f32 &gt; k_CurrDiagSecErrorThresh_Volt_f32)) ==&gt;False&amp;&amp;(TrqLmtFlag_Cnt_T_lgc ==TRUE))==&gt;True</t>
  </si>
  <si>
    <t>((Min_m(TrqLimitMinRatio_Uls_T_f32,OutputRampMult_Uls_T_f32)) &lt; k_CurrDiagSecTrqLmtThresh_Uls_f32)==&gt;False</t>
  </si>
  <si>
    <t>TqRsDg_CurrDiagPrimPNAccum_Cnt_M_u16 = DiagNStep_m(TqRsDg_CurrDiagPrimPNAccum_Cnt_M_u16, k_CurrDiagPrim_Cnt_Str);==&gt;True
 ((TqRsDg_CurrDiagPrimPNAccum_Cnt_M_u16 == D_ZERO_CNT_U16)==&gt;False &amp;&amp; (TqRsDg_CurrDiagSecPNAccum_Cnt_M_u16 == D_ZERO_CNT_U16))==&gt;True</t>
  </si>
  <si>
    <t>TqRsDg_CurrDiagPrimPNAccum_Cnt_M_u16 = DiagPStep_m(TqRsDg_CurrDiagPrimPNAccum_Cnt_M_u16, k_CurrDiagPrim_Cnt_Str);==&gt;True
(DiagFailed_m(TqRsDg_CurrDiagPrimPNAccum_Cnt_M_u16,k_CurrDiagPrim_Cnt_Str) ==TRUE)==&gt;False</t>
  </si>
  <si>
    <t>TqRsDg_CurrDiagSecPNAccum_Cnt_M_u16 = DiagNStep_m(TqRsDg_CurrDiagSecPNAccum_Cnt_M_u16,k_CurrDiagSec_Cnt_Str);==&gt;True
((TqRsDg_CurrDiagPrimPNAccum_Cnt_M_u16 == D_ZERO_CNT_U16)==&gt;True &amp;&amp; (TqRsDg_CurrDiagSecPNAccum_Cnt_M_u16 == D_ZERO_CNT_U16))==&gt;False</t>
  </si>
  <si>
    <t>((((Abs_f32_m(DervLambdaAlphaDiagSecFilt_Volt_T_f32)) &gt; k_CurrDiagSecErrorThresh_Volt_f32)==&gt;True ||(AbsDervLambdaBetaDiagSecFilt_Volt_T_f32 &gt; k_CurrDiagSecErrorThresh_Volt_f32)) ==&gt;True&amp;&amp;(TrqLmtFlag_Cnt_T_lgc ==TRUE))==&gt;True</t>
  </si>
  <si>
    <t>TqRsDg_CurrDiagSecPNAccum_Cnt_M_u16 = DiagPStep_m(TqRsDg_CurrDiagSecPNAccum_Cnt_M_u16,k_CurrDiagSec_Cnt_Str)==&gt;True
TqRsDg_CurrDiagSecPNAccum_Cnt_M_u16 = DiagPStep_m(TqRsDg_CurrDiagSecPNAccum_Cnt_M_u16,k_CurrDiagSec_Cnt_Str)==&gt;False</t>
  </si>
  <si>
    <t>(((Abs_f32_m(DervLambdaAlphaDiagPrimFilt_Volt_T_f32)) &gt; k_CurrDiagPrimErrorThresh_Volt_f32)==&gt;False ||((AbsDervLambdaBetaDiagPrimFilt_Volt_T_f32)&gt; (((Abs_f32_m(DervLambdaAlphaDiagPrimFilt_Volt_T_f32)) &gt; k_CurrDiagPrimErrorThresh_Volt_f32)==&gt;False ||((AbsDervLambdaBetaDiagPrimFilt_Volt_T_f32)&gt; k_CurrDiagPrimErrorThresh_Volt_f32))==&gt;True</t>
  </si>
  <si>
    <t>OutputRampMult_Uls_f32==&gt;POS</t>
  </si>
  <si>
    <t>k_CurrDiagSecTrqLmtThresh_Uls_f32==&gt;Min/Default</t>
  </si>
  <si>
    <t>k_CurrDiagSecTrqLmtThresh_Uls_f32==&gt;Pos</t>
  </si>
  <si>
    <t>Shortest path:
 DervLambdaAlphaDiagLmtd_Volt_T_f32 = Limit_m(DervLambdaAlphaDiag_Volt_T_f32, -k_CurrDiagLambdaMinMax_Volt_f32, k_CurrDiagLambdaMinMax_Volt_f32)==&gt;True
 DervLambdaBetaDiagLmtd_Volt_T_f32 = Limit_m(DervLambdaBetaDiag_Volt_T_f32, -k_CurrDiagLambdaMinMax_Volt_f32, k_CurrDiagLambdaMinMax_Volt_f32)==&gt;True
 ((Min_m(TrqLimitMinRatio_Uls_T_f32,OutputRampMult_Uls_T_f32)) &lt; k_CurrDiagSecTrqLmtThresh_Uls_f32)==&gt;False
 (((Abs_f32_m(DervLambdaAlphaDiagPrimFilt_Volt_T_f32)) &gt; k_CurrDiagPrimErrorThresh_Volt_f32) ||((AbsDervLambdaBetaDiagPrimFilt_Volt_T_f32)&gt; k_CurrDiagPrimErrorThresh_Volt_f32))==&gt;False
 TqRsDg_CurrDiagPrimPNAccum_Cnt_M_u16 = DiagNStep_m(TqRsDg_CurrDiagPrimPNAccum_Cnt_M_u16, k_CurrDiagPrim_Cnt_Str)==&gt;False
 ((((Abs_f32_m(DervLambdaAlphaDiagSecFilt_Volt_T_f32)) &gt; k_CurrDiagSecErrorThresh_Volt_f32) ||(AbsDervLambdaBetaDiagSecFilt_Volt_T_f32 &gt; k_CurrDiagSecErrorThresh_Volt_f32)) &amp;&amp;(TrqLmtFlag_Cnt_T_lgc ==TRUE))==&gt;False
 TqRsDg_CurrDiagSecPNAccum_Cnt_M_u16 = DiagNStep_m(TqRsDg_CurrDiagSecPNAccum_Cnt_M_u16,k_CurrDiagSec_Cnt_Str)==&gt;True
 (CurrReasFltActive_Cnt_T_u8 &gt; D_ZERO_CNT_U8)==&gt;False</t>
  </si>
  <si>
    <t>Longest Path:
DervLambdaAlphaDiagLmtd_Volt_T_f32 = Limit_m(DervLambdaAlphaDiag_Volt_T_f32, -k_CurrDiagLambdaMinMax_Volt_f32, k_CurrDiagLambdaMinMax_Volt_f32)==&gt;False
DervLambdaBetaDiagLmtd_Volt_T_f32 = Limit_m(DervLambdaBetaDiag_Volt_T_f32, -k_CurrDiagLambdaMinMax_Volt_f32, k_CurrDiagLambdaMinMax_Volt_f32)==&gt;False
((Min_m(TrqLimitMinRatio_Uls_T_f32,OutputRampMult_Uls_T_f32)) &lt; k_CurrDiagSecTrqLmtThresh_Uls_f32)==&gt;True
(((Abs_f32_m(DervLambdaAlphaDiagPrimFilt_Volt_T_f32)) &gt; k_CurrDiagPrimErrorThresh_Volt_f32) ||((AbsDervLambdaBetaDiagPrimFilt_Volt_T_f32)&gt; k_CurrDiagPrimErrorThresh_Volt_f32))==&gt;Flase
TqRsDg_CurrDiagPrimPNAccum_Cnt_M_u16 = DiagNStep_m(TqRsDg_CurrDiagPrimPNAccum_Cnt_M_u16, k_CurrDiagPrim_Cnt_Str)==&gt;True
((((Abs_f32_m(DervLambdaAlphaDiagSecFilt_Volt_T_f32)) &gt; k_CurrDiagSecErrorThresh_Volt_f32) ||(AbsDervLambdaBetaDiagSecFilt_Volt_T_f32 &gt; k_CurrDiagSecErrorThresh_Volt_f32)) &amp;&amp;(TrqLmtFlag_Cnt_T_lgc ==TRUE))==&gt;True
TqRsDg_CurrDiagSecPNAccum_Cnt_M_u16 = DiagPStep_m(TqRsDg_CurrDiagSecPNAccum_Cnt_M_u16,k_CurrDiagSec_Cnt_Str)==&gt;True
(CurrReasFltActive_Cnt_T_u8 &gt; D_ZERO_CNT_U8)==&gt;False</t>
  </si>
  <si>
    <t xml:space="preserve">09/29/2016:
Clarification which you are provided is correct but then also this path is not covered because this 'MtrCurrIdptSig_Cnt_u08' variable is output variable and this   IWrite variable is updated from temporary variable 'MtrCurrIdptSig_Cnt_T_u08' at source line no. 826.
The condition which we want to cover is  before that line at source line no.823.
Variable 'MtrCurrIdptSig_Cnt_T_u08' is limited at source line no.823 and this temporary variable is not updated as '2' anywhere in the function,hence the path is still not covered.
09/28/2016:
Function:TqRsDg_Per1
100% path coverage cannot be achieved at source code line no.823 as below,
MtrCurrIdptSig_Cnt_T_u08 = Limit_m(MtrCurrIdptSig_Cnt_T_u08, D_ZERO_CNT_U8, D_TWO_CNT_U08);
Analysis:
Temporary Variable "MtrCurrIdptSig_Cnt_T_u08" is updating at line no.811 and 816 as below,
    if(CurrReasFltActive_Cnt_T_u8 &gt; D_ZERO_CNT_U8)  
    {
        MtrCurrIdptSig_Cnt_T_u08 = D_ZERO_CNT_U8;
        (void)Rte_Call_NxtrDiagMgr_SetNTCStatus(NTC_Num_CurrentReas, CurrReasFltActive_Cnt_T_u8, NTC_STATUS_FAILED);
    }
    else
    {
        MtrCurrIdptSig_Cnt_T_u08 = D_ONE_CNT_U8;   
        if((TqRsDg_CurrDiagPrimPNAccum_Cnt_M_u16 == D_ZERO_CNT_U16) &amp;&amp; (TqRsDg_CurrDiagSecPNAccum_Cnt_M_u16 == D_ZERO_CNT_U16))
        {
            (void)Rte_Call_NxtrDiagMgr_SetNTCStatus(NTC_Num_CurrentReas, 0u, NTC_STATUS_PASSED); 
        }
    }
Values
D_ZERO_CNT_U8 = 0
D_ONE_CNT_U8 = 1
But to cover if condition in Limit_m function as " (MtrCurrIdptSig_Cnt_T_u08&gt;=D_TWO_CNT_U08)=True ". Value of Temporary Variable "MtrCurrIdptSig_Cnt_T_u08" Must be 2.
so we can not  cover True path in Limit_m Function.
Kindly confirm for the same.
</t>
  </si>
  <si>
    <t>09/26/2016
0.0625 should be ok.
Please make a proper note while sending for review</t>
  </si>
  <si>
    <t>09/28/2016
The MtrCurrIdptSig_Cnt_T_u08 is initialized to 2 in the Rte_Ap_TqRsDg.h file in contract folder -
# define Rte_InitValue_MtrCurrIdptSig_Cnt_u08 ((UInt8)2u)
And, in the source code it is either set to 0 or 1.</t>
  </si>
  <si>
    <t>R</t>
  </si>
  <si>
    <t>TqRsDg_Init1() R</t>
  </si>
  <si>
    <t>TqRsDg_Per1() R</t>
  </si>
  <si>
    <t>Note1:Inline function defined in globalmacro.h is not unit tested.
Note2: "CBD_Sandbox_dbg.map" is embedded in UTP for reference.
Note 3:In Function "TqRsDg_Per1", 100% Path coverage can not be achieved due to Limit_m function at src line 823
To make condition "(MtrCurrIdptSig_Cnt_T_u08 &gt;= D_TWO_CNT_U08)==&gt; True"  
value of variable "MtrCurrIdptSig_Cnt_T_u08" should be &gt;=2.</t>
  </si>
  <si>
    <t>-</t>
  </si>
  <si>
    <t xml:space="preserve">Function name:TqRsDg_Per1
100% Path Coverage is unable to cover at line no 823
MtrCurrIdptSig_Cnt_T_u08 = Limit_m(MtrCurrIdptSig_Cnt_T_u08, D_ZERO_CNT_U8, D_TWO_CNT_U08); </t>
  </si>
  <si>
    <t>TqRsDg_Per1_UnCoveredPath</t>
  </si>
  <si>
    <t>Temporary Variable "MtrCurrIdptSig_Cnt_T_u08" is updating at line no.811 and 816 as below,
    if(CurrReasFltActive_Cnt_T_u8 &gt; D_ZERO_CNT_U8)  
    {
        MtrCurrIdptSig_Cnt_T_u08 = D_ZERO_CNT_U8;
        (void)Rte_Call_NxtrDiagMgr_SetNTCStatus(NTC_Num_CurrentReas, CurrReasFltActive_Cnt_T_u8, NTC_STATUS_FAILED);
    }
    else
    {
        MtrCurrIdptSig_Cnt_T_u08 = D_ONE_CNT_U8;   
        if((TqRsDg_CurrDiagPrimPNAccum_Cnt_M_u16 == D_ZERO_CNT_U16) &amp;&amp; (TqRsDg_CurrDiagSecPNAccum_Cnt_M_u16 == D_ZERO_CNT_U16))
        {
            (void)Rte_Call_NxtrDiagMgr_SetNTCStatus(NTC_Num_CurrentReas, 0u, NTC_STATUS_PASSED); 
        }
    }
Values
D_ZERO_CNT_U8 = 0
D_ONE_CNT_U8 = 1
But to cover if condition in Limit_m function as " (MtrCurrIdptSig_Cnt_T_u08&gt;=D_TWO_CNT_U08)=True ". Value of Temporary Variable "MtrCurrIdptSig_Cnt_T_u08" Must be 2.
so we can not  cover True path in Limit_m Function.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</si>
</sst>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sz val="10"/>
      <name val="Segoe UI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Trebuchet MS"/>
      <family val="2"/>
    </font>
    <font>
      <u/>
      <sz val="10"/>
      <color indexed="12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">
    <xf numFmtId="0" fontId="0" fillId="0" borderId="0"/>
    <xf numFmtId="0" fontId="9" fillId="0" borderId="0" applyNumberFormat="0" applyFill="0" applyBorder="0" applyAlignment="0" applyProtection="0"/>
    <xf numFmtId="0" fontId="16" fillId="0" borderId="0"/>
    <xf numFmtId="0" fontId="25" fillId="0" borderId="0" applyNumberFormat="0" applyFill="0" applyBorder="0" applyAlignment="0" applyProtection="0">
      <alignment vertical="top"/>
      <protection locked="0"/>
    </xf>
  </cellStyleXfs>
  <cellXfs count="198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7" xfId="0" applyFont="1" applyFill="1" applyBorder="1" applyAlignment="1" applyProtection="1">
      <alignment horizontal="center" vertical="center"/>
      <protection locked="0"/>
    </xf>
    <xf numFmtId="0" fontId="6" fillId="0" borderId="19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4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1" fillId="0" borderId="0" xfId="0" applyFont="1"/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10" fillId="2" borderId="20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>
      <alignment horizontal="center" wrapText="1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24" xfId="0" applyNumberFormat="1" applyFill="1" applyBorder="1" applyAlignment="1">
      <alignment horizontal="center"/>
    </xf>
    <xf numFmtId="0" fontId="14" fillId="8" borderId="12" xfId="0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5" fillId="0" borderId="0" xfId="0" applyFont="1"/>
    <xf numFmtId="0" fontId="15" fillId="0" borderId="0" xfId="0" applyFont="1" applyFill="1"/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0" fillId="9" borderId="11" xfId="0" applyNumberFormat="1" applyFont="1" applyFill="1" applyBorder="1" applyAlignment="1">
      <alignment horizontal="center" textRotation="180"/>
    </xf>
    <xf numFmtId="0" fontId="10" fillId="13" borderId="11" xfId="0" applyNumberFormat="1" applyFont="1" applyFill="1" applyBorder="1" applyAlignment="1">
      <alignment horizontal="center" textRotation="180"/>
    </xf>
    <xf numFmtId="0" fontId="10" fillId="14" borderId="11" xfId="0" applyNumberFormat="1" applyFont="1" applyFill="1" applyBorder="1" applyAlignment="1">
      <alignment horizontal="center" textRotation="180"/>
    </xf>
    <xf numFmtId="0" fontId="0" fillId="0" borderId="11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13" fillId="13" borderId="11" xfId="0" applyNumberFormat="1" applyFont="1" applyFill="1" applyBorder="1" applyAlignment="1">
      <alignment horizontal="center" textRotation="180"/>
    </xf>
    <xf numFmtId="0" fontId="13" fillId="14" borderId="11" xfId="0" applyNumberFormat="1" applyFont="1" applyFill="1" applyBorder="1" applyAlignment="1">
      <alignment horizontal="center" textRotation="180" wrapText="1"/>
    </xf>
    <xf numFmtId="0" fontId="0" fillId="0" borderId="20" xfId="0" applyNumberFormat="1" applyFill="1" applyBorder="1" applyAlignment="1">
      <alignment horizontal="center"/>
    </xf>
    <xf numFmtId="0" fontId="0" fillId="8" borderId="12" xfId="0" applyNumberFormat="1" applyFill="1" applyBorder="1" applyAlignment="1">
      <alignment horizontal="center"/>
    </xf>
    <xf numFmtId="0" fontId="13" fillId="9" borderId="11" xfId="0" applyNumberFormat="1" applyFont="1" applyFill="1" applyBorder="1" applyAlignment="1" applyProtection="1">
      <alignment horizontal="center" textRotation="180"/>
      <protection locked="0"/>
    </xf>
    <xf numFmtId="0" fontId="13" fillId="13" borderId="11" xfId="0" applyNumberFormat="1" applyFont="1" applyFill="1" applyBorder="1" applyAlignment="1" applyProtection="1">
      <alignment horizontal="center" textRotation="180"/>
      <protection locked="0"/>
    </xf>
    <xf numFmtId="0" fontId="0" fillId="12" borderId="23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12" borderId="11" xfId="0" applyNumberFormat="1" applyFill="1" applyBorder="1" applyAlignment="1">
      <alignment horizontal="center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14" fillId="8" borderId="12" xfId="0" quotePrefix="1" applyNumberFormat="1" applyFont="1" applyFill="1" applyBorder="1" applyAlignment="1">
      <alignment horizontal="center" wrapText="1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15" borderId="19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18" fillId="0" borderId="11" xfId="1" applyFont="1" applyFill="1" applyBorder="1" applyAlignment="1" applyProtection="1">
      <alignment horizontal="center" vertical="center"/>
      <protection locked="0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1" borderId="17" xfId="0" applyFont="1" applyFill="1" applyBorder="1" applyAlignment="1" applyProtection="1">
      <alignment horizontal="center" vertical="center"/>
      <protection locked="0"/>
    </xf>
    <xf numFmtId="0" fontId="13" fillId="13" borderId="11" xfId="0" applyNumberFormat="1" applyFont="1" applyFill="1" applyBorder="1" applyAlignment="1">
      <alignment horizontal="center" textRotation="180" wrapText="1"/>
    </xf>
    <xf numFmtId="14" fontId="0" fillId="0" borderId="0" xfId="0" applyNumberFormat="1" applyFill="1" applyAlignment="1">
      <alignment horizontal="left" wrapText="1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7" xfId="0" applyFont="1" applyBorder="1" applyAlignment="1" applyProtection="1">
      <alignment horizontal="center" vertical="center"/>
      <protection locked="0"/>
    </xf>
    <xf numFmtId="0" fontId="6" fillId="1" borderId="19" xfId="0" applyFont="1" applyFill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0" borderId="19" xfId="0" applyFont="1" applyBorder="1" applyAlignment="1" applyProtection="1">
      <alignment horizontal="center" vertical="center"/>
      <protection locked="0"/>
    </xf>
    <xf numFmtId="0" fontId="6" fillId="1" borderId="14" xfId="0" applyFont="1" applyFill="1" applyBorder="1" applyAlignment="1" applyProtection="1">
      <alignment horizontal="center" vertical="center"/>
      <protection locked="0"/>
    </xf>
    <xf numFmtId="0" fontId="6" fillId="0" borderId="14" xfId="0" applyFont="1" applyBorder="1" applyAlignment="1" applyProtection="1">
      <alignment horizontal="center" vertical="center"/>
      <protection locked="0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19" fillId="0" borderId="23" xfId="0" applyNumberFormat="1" applyFont="1" applyFill="1" applyBorder="1" applyAlignment="1" applyProtection="1">
      <alignment horizontal="center"/>
      <protection locked="0"/>
    </xf>
    <xf numFmtId="0" fontId="19" fillId="1" borderId="0" xfId="0" applyFont="1" applyFill="1"/>
    <xf numFmtId="0" fontId="0" fillId="0" borderId="0" xfId="0" applyAlignment="1">
      <alignment wrapText="1"/>
    </xf>
    <xf numFmtId="0" fontId="20" fillId="16" borderId="11" xfId="0" applyFont="1" applyFill="1" applyBorder="1" applyAlignment="1">
      <alignment horizontal="right"/>
    </xf>
    <xf numFmtId="14" fontId="20" fillId="16" borderId="11" xfId="0" applyNumberFormat="1" applyFont="1" applyFill="1" applyBorder="1"/>
    <xf numFmtId="0" fontId="0" fillId="16" borderId="11" xfId="0" applyFill="1" applyBorder="1"/>
    <xf numFmtId="0" fontId="0" fillId="17" borderId="11" xfId="0" applyFill="1" applyBorder="1"/>
    <xf numFmtId="0" fontId="0" fillId="18" borderId="11" xfId="0" applyFill="1" applyBorder="1"/>
    <xf numFmtId="0" fontId="0" fillId="18" borderId="11" xfId="0" applyFill="1" applyBorder="1" applyAlignment="1">
      <alignment wrapText="1"/>
    </xf>
    <xf numFmtId="0" fontId="0" fillId="20" borderId="11" xfId="0" applyFill="1" applyBorder="1"/>
    <xf numFmtId="0" fontId="0" fillId="20" borderId="11" xfId="0" applyFill="1" applyBorder="1" applyAlignment="1">
      <alignment horizontal="left"/>
    </xf>
    <xf numFmtId="0" fontId="1" fillId="21" borderId="11" xfId="0" applyFont="1" applyFill="1" applyBorder="1"/>
    <xf numFmtId="0" fontId="0" fillId="22" borderId="5" xfId="0" applyFill="1" applyBorder="1" applyAlignment="1">
      <alignment horizontal="center" vertical="center"/>
    </xf>
    <xf numFmtId="0" fontId="0" fillId="0" borderId="10" xfId="0" applyBorder="1"/>
    <xf numFmtId="0" fontId="0" fillId="23" borderId="12" xfId="0" applyFill="1" applyBorder="1"/>
    <xf numFmtId="0" fontId="0" fillId="23" borderId="23" xfId="0" applyFill="1" applyBorder="1"/>
    <xf numFmtId="0" fontId="0" fillId="0" borderId="2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2" borderId="21" xfId="0" applyFill="1" applyBorder="1"/>
    <xf numFmtId="0" fontId="0" fillId="0" borderId="24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22" borderId="20" xfId="0" applyFill="1" applyBorder="1"/>
    <xf numFmtId="0" fontId="0" fillId="0" borderId="25" xfId="0" applyBorder="1" applyAlignment="1">
      <alignment horizontal="center" vertical="center"/>
    </xf>
    <xf numFmtId="0" fontId="0" fillId="22" borderId="22" xfId="0" applyFill="1" applyBorder="1"/>
    <xf numFmtId="0" fontId="0" fillId="0" borderId="0" xfId="0" applyFont="1"/>
    <xf numFmtId="0" fontId="0" fillId="15" borderId="0" xfId="0" applyFill="1" applyBorder="1" applyAlignment="1">
      <alignment horizontal="center" vertical="center"/>
    </xf>
    <xf numFmtId="0" fontId="0" fillId="15" borderId="0" xfId="0" applyFill="1" applyBorder="1"/>
    <xf numFmtId="0" fontId="16" fillId="15" borderId="0" xfId="0" applyFont="1" applyFill="1" applyBorder="1" applyAlignment="1">
      <alignment horizontal="center" vertical="center"/>
    </xf>
    <xf numFmtId="0" fontId="21" fillId="2" borderId="21" xfId="0" applyFont="1" applyFill="1" applyBorder="1" applyAlignment="1">
      <alignment horizontal="center" vertical="top"/>
    </xf>
    <xf numFmtId="0" fontId="21" fillId="2" borderId="12" xfId="0" applyFont="1" applyFill="1" applyBorder="1" applyAlignment="1">
      <alignment horizontal="center" vertical="top"/>
    </xf>
    <xf numFmtId="0" fontId="21" fillId="2" borderId="30" xfId="0" applyFont="1" applyFill="1" applyBorder="1" applyAlignment="1">
      <alignment horizontal="center" vertical="top" wrapText="1"/>
    </xf>
    <xf numFmtId="0" fontId="16" fillId="0" borderId="24" xfId="0" applyFont="1" applyFill="1" applyBorder="1" applyAlignment="1">
      <alignment horizontal="center" vertical="center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24" fillId="0" borderId="0" xfId="0" applyFont="1" applyAlignment="1">
      <alignment horizontal="center" vertical="center"/>
    </xf>
    <xf numFmtId="0" fontId="10" fillId="0" borderId="11" xfId="0" applyFont="1" applyBorder="1" applyAlignment="1">
      <alignment horizontal="center"/>
    </xf>
    <xf numFmtId="0" fontId="0" fillId="1" borderId="0" xfId="0" applyFont="1" applyFill="1"/>
    <xf numFmtId="0" fontId="16" fillId="0" borderId="0" xfId="0" applyFont="1" applyAlignment="1">
      <alignment horizontal="left"/>
    </xf>
    <xf numFmtId="0" fontId="0" fillId="0" borderId="11" xfId="0" applyFont="1" applyBorder="1" applyAlignment="1">
      <alignment horizontal="center" vertical="center" wrapText="1"/>
    </xf>
    <xf numFmtId="0" fontId="1" fillId="0" borderId="11" xfId="0" applyFont="1" applyBorder="1" applyAlignment="1">
      <alignment wrapText="1"/>
    </xf>
    <xf numFmtId="10" fontId="0" fillId="20" borderId="11" xfId="0" applyNumberFormat="1" applyFill="1" applyBorder="1" applyAlignment="1">
      <alignment horizontal="left" vertical="top"/>
    </xf>
    <xf numFmtId="10" fontId="0" fillId="20" borderId="11" xfId="0" applyNumberFormat="1" applyFill="1" applyBorder="1" applyAlignment="1">
      <alignment horizontal="left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0" fillId="0" borderId="31" xfId="0" applyFont="1" applyBorder="1" applyAlignment="1">
      <alignment horizontal="left" vertical="top" wrapText="1"/>
    </xf>
    <xf numFmtId="14" fontId="0" fillId="0" borderId="11" xfId="0" applyNumberFormat="1" applyBorder="1" applyAlignment="1">
      <alignment horizontal="center" vertical="center" wrapText="1"/>
    </xf>
    <xf numFmtId="0" fontId="7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0" fillId="0" borderId="33" xfId="0" applyBorder="1" applyAlignment="1">
      <alignment horizontal="center" vertical="center"/>
    </xf>
    <xf numFmtId="0" fontId="10" fillId="0" borderId="25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10" fillId="0" borderId="26" xfId="0" applyFont="1" applyBorder="1" applyAlignment="1">
      <alignment horizontal="center"/>
    </xf>
    <xf numFmtId="0" fontId="16" fillId="0" borderId="34" xfId="0" applyFont="1" applyFill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23" borderId="24" xfId="0" applyFill="1" applyBorder="1"/>
    <xf numFmtId="0" fontId="0" fillId="23" borderId="26" xfId="0" applyFill="1" applyBorder="1"/>
    <xf numFmtId="0" fontId="0" fillId="22" borderId="36" xfId="0" applyFill="1" applyBorder="1"/>
    <xf numFmtId="0" fontId="10" fillId="0" borderId="31" xfId="0" applyFont="1" applyBorder="1" applyAlignment="1">
      <alignment horizontal="center"/>
    </xf>
    <xf numFmtId="0" fontId="10" fillId="0" borderId="37" xfId="0" applyFont="1" applyBorder="1" applyAlignment="1">
      <alignment horizontal="center"/>
    </xf>
    <xf numFmtId="0" fontId="0" fillId="24" borderId="5" xfId="0" applyFill="1" applyBorder="1"/>
    <xf numFmtId="0" fontId="24" fillId="0" borderId="11" xfId="0" applyFont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0" fillId="0" borderId="20" xfId="0" applyNumberFormat="1" applyFont="1" applyFill="1" applyBorder="1" applyAlignment="1">
      <alignment horizontal="center"/>
    </xf>
    <xf numFmtId="0" fontId="0" fillId="0" borderId="11" xfId="0" applyNumberFormat="1" applyFont="1" applyFill="1" applyBorder="1" applyAlignment="1" applyProtection="1">
      <alignment horizontal="center" wrapText="1"/>
      <protection locked="0"/>
    </xf>
    <xf numFmtId="0" fontId="0" fillId="12" borderId="11" xfId="0" applyNumberFormat="1" applyFont="1" applyFill="1" applyBorder="1" applyAlignment="1">
      <alignment horizontal="center"/>
    </xf>
    <xf numFmtId="0" fontId="0" fillId="0" borderId="11" xfId="0" applyNumberFormat="1" applyFont="1" applyFill="1" applyBorder="1" applyAlignment="1">
      <alignment horizontal="center"/>
    </xf>
    <xf numFmtId="0" fontId="0" fillId="0" borderId="25" xfId="0" applyNumberFormat="1" applyFont="1" applyFill="1" applyBorder="1" applyAlignment="1">
      <alignment horizontal="center"/>
    </xf>
    <xf numFmtId="0" fontId="0" fillId="25" borderId="0" xfId="0" applyFont="1" applyFill="1"/>
    <xf numFmtId="0" fontId="0" fillId="0" borderId="22" xfId="0" applyNumberFormat="1" applyFont="1" applyFill="1" applyBorder="1" applyAlignment="1">
      <alignment horizontal="center"/>
    </xf>
    <xf numFmtId="0" fontId="0" fillId="12" borderId="23" xfId="0" applyNumberFormat="1" applyFont="1" applyFill="1" applyBorder="1" applyAlignment="1">
      <alignment horizontal="center"/>
    </xf>
    <xf numFmtId="0" fontId="0" fillId="0" borderId="23" xfId="0" applyNumberFormat="1" applyFont="1" applyFill="1" applyBorder="1" applyAlignment="1">
      <alignment horizontal="center"/>
    </xf>
    <xf numFmtId="0" fontId="0" fillId="0" borderId="26" xfId="0" applyNumberFormat="1" applyFont="1" applyFill="1" applyBorder="1" applyAlignment="1">
      <alignment horizontal="center"/>
    </xf>
    <xf numFmtId="0" fontId="0" fillId="0" borderId="23" xfId="0" applyNumberFormat="1" applyFont="1" applyFill="1" applyBorder="1" applyAlignment="1" applyProtection="1">
      <alignment horizontal="center" wrapText="1"/>
      <protection locked="0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1" fillId="8" borderId="21" xfId="1" quotePrefix="1" applyNumberFormat="1" applyFont="1" applyFill="1" applyBorder="1" applyAlignment="1">
      <alignment horizontal="center"/>
    </xf>
    <xf numFmtId="0" fontId="12" fillId="8" borderId="12" xfId="0" applyNumberFormat="1" applyFont="1" applyFill="1" applyBorder="1" applyAlignment="1">
      <alignment horizontal="center"/>
    </xf>
    <xf numFmtId="0" fontId="13" fillId="9" borderId="20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  <xf numFmtId="0" fontId="11" fillId="8" borderId="21" xfId="1" quotePrefix="1" applyNumberFormat="1" applyFont="1" applyFill="1" applyBorder="1" applyAlignment="1" applyProtection="1">
      <alignment horizontal="center"/>
    </xf>
    <xf numFmtId="0" fontId="0" fillId="0" borderId="17" xfId="0" applyBorder="1" applyAlignment="1">
      <alignment horizontal="left" vertical="top" wrapText="1"/>
    </xf>
    <xf numFmtId="0" fontId="0" fillId="0" borderId="28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18" borderId="17" xfId="0" applyFill="1" applyBorder="1" applyAlignment="1">
      <alignment horizontal="left"/>
    </xf>
    <xf numFmtId="0" fontId="0" fillId="18" borderId="28" xfId="0" applyFill="1" applyBorder="1" applyAlignment="1">
      <alignment horizontal="left"/>
    </xf>
    <xf numFmtId="0" fontId="0" fillId="18" borderId="14" xfId="0" applyFill="1" applyBorder="1" applyAlignment="1">
      <alignment horizontal="left"/>
    </xf>
    <xf numFmtId="0" fontId="0" fillId="19" borderId="29" xfId="0" applyFill="1" applyBorder="1" applyAlignment="1">
      <alignment horizontal="center" vertical="center"/>
    </xf>
    <xf numFmtId="0" fontId="0" fillId="19" borderId="27" xfId="0" applyFill="1" applyBorder="1" applyAlignment="1">
      <alignment horizontal="center" vertical="center"/>
    </xf>
    <xf numFmtId="0" fontId="0" fillId="22" borderId="21" xfId="0" applyFill="1" applyBorder="1" applyAlignment="1">
      <alignment horizontal="center" vertical="center"/>
    </xf>
    <xf numFmtId="0" fontId="0" fillId="22" borderId="22" xfId="0" applyFill="1" applyBorder="1" applyAlignment="1">
      <alignment horizontal="center" vertical="center"/>
    </xf>
    <xf numFmtId="0" fontId="1" fillId="24" borderId="32" xfId="0" applyFont="1" applyFill="1" applyBorder="1" applyAlignment="1">
      <alignment horizontal="center"/>
    </xf>
    <xf numFmtId="0" fontId="1" fillId="24" borderId="10" xfId="0" applyFont="1" applyFill="1" applyBorder="1" applyAlignment="1">
      <alignment horizontal="center"/>
    </xf>
    <xf numFmtId="0" fontId="0" fillId="0" borderId="26" xfId="0" quotePrefix="1" applyBorder="1" applyAlignment="1">
      <alignment horizontal="center" vertical="center"/>
    </xf>
    <xf numFmtId="0" fontId="0" fillId="0" borderId="17" xfId="0" applyBorder="1" applyAlignment="1">
      <alignment wrapText="1"/>
    </xf>
    <xf numFmtId="0" fontId="0" fillId="0" borderId="28" xfId="0" applyBorder="1" applyAlignment="1">
      <alignment wrapText="1"/>
    </xf>
    <xf numFmtId="0" fontId="0" fillId="0" borderId="14" xfId="0" applyBorder="1" applyAlignment="1">
      <alignment wrapText="1"/>
    </xf>
  </cellXfs>
  <cellStyles count="4">
    <cellStyle name="Hyperlink" xfId="1" builtinId="8"/>
    <cellStyle name="Hyperlink 2" xf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8</xdr:row>
          <xdr:rowOff>180975</xdr:rowOff>
        </xdr:from>
        <xdr:to>
          <xdr:col>7</xdr:col>
          <xdr:colOff>533400</xdr:colOff>
          <xdr:row>13</xdr:row>
          <xdr:rowOff>171450</xdr:rowOff>
        </xdr:to>
        <xdr:sp macro="" textlink="">
          <xdr:nvSpPr>
            <xdr:cNvPr id="15363" name="Object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9</xdr:row>
          <xdr:rowOff>28575</xdr:rowOff>
        </xdr:from>
        <xdr:to>
          <xdr:col>3</xdr:col>
          <xdr:colOff>514350</xdr:colOff>
          <xdr:row>13</xdr:row>
          <xdr:rowOff>142875</xdr:rowOff>
        </xdr:to>
        <xdr:sp macro="" textlink="">
          <xdr:nvSpPr>
            <xdr:cNvPr id="15364" name="Object 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866775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-7236\Share\Synergy_Work_Area\CBD_Interpolation\Interpolation_UnitTestResults_new_float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Embedded Files"/>
      <sheetName val="Module Definitions"/>
      <sheetName val="Variable Range"/>
      <sheetName val="BilinearXYM_u16_u16Xu16YM_Cnt"/>
      <sheetName val="BilinearXYM_u16_u16Xu1 TestType"/>
      <sheetName val="BilinearXYM_u16_u16Xu16YM_Cnt M"/>
      <sheetName val="BilinearXYM_u16_u16Xu16YM_Cnt P"/>
      <sheetName val="BilinearXYM_u16_u16Xu16YM_Cnt B"/>
      <sheetName val="BilinearXYM_s16_u16Xs16YM_Cnt"/>
      <sheetName val="BilinearXYM_s16_u16Xs16YM_Cnt M"/>
      <sheetName val="BilinearXYM_s16_u16Xs16YM_Cnt P"/>
      <sheetName val="BilinearXYM_s16_u16Xs16YM_Cnt B"/>
      <sheetName val="BilinearXYM_s16_s16Xs16YM_Cnt"/>
      <sheetName val="BilinearXYM_s16_s16Xs1 TestType"/>
      <sheetName val="BilinearXYM_s16_s16Xs16YM_Cnt M"/>
      <sheetName val="BilinearXYM_s16_s16Xs16YM_Cnt P"/>
      <sheetName val="BilinearXYM_s16_s16Xs16YM_Cnt B"/>
      <sheetName val="BilinearXYM_u16_s16Xu16YM_Cnt"/>
      <sheetName val="BilinearXYM_u16_s16Xu16YM_Cnt M"/>
      <sheetName val="BilinearXYM_u16_s16Xu16YM_Cnt P"/>
      <sheetName val="BilinearXYM_u16_s16Xu16YM_Cnt B"/>
      <sheetName val="BilinearXMYM_u16_u16XMu16YM_Cnt"/>
      <sheetName val="BilinearXMYM_u16_u16XMu16YM_C M"/>
      <sheetName val="BilinearXMYM_u16_u16XMu16YM_C P"/>
      <sheetName val="BilinearXMYM_u16_u16XMu16YM_C B"/>
      <sheetName val="BilinearXMYM_s16_u16XMs16YM_Cnt"/>
      <sheetName val="BilinearXMYM_s16_u16XMs16YM_C M"/>
      <sheetName val="BilinearXMYM_s16_u16XMs16YM_C P"/>
      <sheetName val="BilinearXMYM_s16_u16XMs16YM_C B"/>
      <sheetName val="BilinearXMYM_s16_s16XMs16YM_Cnt"/>
      <sheetName val="BilinearXMYM_s16_s16XMs16YM_C M"/>
      <sheetName val="BilinearXMYM_s16_s16XMs16YM_C P"/>
      <sheetName val="BilinearXMYM_s16_s16XMs16YM_C B"/>
      <sheetName val="BilinearXMYM_u16_s16XMu16YM_Cnt"/>
      <sheetName val="BilinearXMYM_u16_s16XMu16YM_C M"/>
      <sheetName val="BilinearXMYM_u16_s16XMu16YM_C P"/>
      <sheetName val="BilinearXMYM_u16_s16XMu16YM_C B"/>
      <sheetName val="IntplVarXY_u16_u16Xu16Y_Cnt"/>
      <sheetName val="IntplVarXY_u16_u16Xu16Y_Cnt() M"/>
      <sheetName val="IntplVarXY_u16_u16Xu16Y_Cnt() P"/>
      <sheetName val="IntplVarXY_u16_u16Xu16Y_Cnt() B"/>
      <sheetName val="IntplVarXY_u16_s16Xu16Y_Cnt"/>
      <sheetName val="IntplVarXY_u16_s16Xu16Y_Cnt() M"/>
      <sheetName val="IntplVarXY_u16_s16Xu16Y_Cnt() P"/>
      <sheetName val="IntplVarXY_u16_s16Xu16Y_Cnt() B"/>
      <sheetName val="IntplVarXY_s16_s16Xs16Y_Cnt"/>
      <sheetName val="IntplVarXY_s16_s16Xs16Y_Cnt() M"/>
      <sheetName val="IntplVarXY_s16_s16Xs16Y_Cnt() P"/>
      <sheetName val="IntplVarXY_s16_s16Xs16Y_Cnt() B"/>
      <sheetName val="IntplVarXY_s16_u16Xs16Y_Cnt"/>
      <sheetName val="IntplVarXY_s16_u16Xs16Y_Cnt() M"/>
      <sheetName val="IntplVarXY_s16_u16Xs16Y_Cnt() P"/>
      <sheetName val="IntplVarXY_s16_u16Xs16Y_Cnt() B"/>
      <sheetName val="IntplFxdX_u16_u16Xu16Y_Cnt"/>
      <sheetName val="IntplFxdX_u16_u16Xu16Y_Cnt() M"/>
      <sheetName val="IntplFxdX_u16_u16Xu16Y_Cnt() P"/>
      <sheetName val="IntplFxdX_u16_u16Xu16Y_Cnt() B"/>
      <sheetName val="IntplFxdX_u16_s16Xu16Y_Cnt"/>
      <sheetName val="IntplFxdX_u16_s16Xu16Y_Cnt() M"/>
      <sheetName val="IntplFxdX_u16_s16Xu16Y_Cnt() P"/>
      <sheetName val="IntplFxdX_u16_s16Xu16Y_Cnt() B"/>
      <sheetName val="IntplFxdX_s16_s16Xs16Y_Cnt"/>
      <sheetName val="IntplFxdX_s16_s16Xs16Y_Cnt() M"/>
      <sheetName val="IntplFxdX_s16_s16Xs16Y_Cnt() P"/>
      <sheetName val="IntplFxdX_s16_s16Xs16Y_Cnt() B"/>
      <sheetName val="IntplFxdX_s16_u16Xs16Y_Cnt"/>
      <sheetName val="IntplFxdX_s16_u16Xs16Y_Cnt() M"/>
      <sheetName val="IntplFxdX_s16_u16Xs16Y_Cnt() P"/>
      <sheetName val="IntplFxdX_s16_u16Xs16Y_Cnt() B"/>
      <sheetName val="Clarifications"/>
      <sheetName val="Coverage Analysis"/>
      <sheetName val="Metrics"/>
      <sheetName val="Test Vector Description"/>
    </sheetNames>
    <sheetDataSet>
      <sheetData sheetId="0" refreshError="1"/>
      <sheetData sheetId="1" refreshError="1"/>
      <sheetData sheetId="2">
        <row r="13">
          <cell r="B13" t="str">
            <v>BilinearXYM_u16_u16Xu16YM_Cnt</v>
          </cell>
          <cell r="G13" t="str">
            <v>BilinearXYM_u16_u16Xu16YM_Cnt_BSTbl_Cnt_T_u16[10]</v>
          </cell>
        </row>
        <row r="14">
          <cell r="B14" t="str">
            <v>BilinearXYM_s16_u16Xs16YM_Cnt</v>
          </cell>
          <cell r="G14" t="str">
            <v>BilinearXYM_u16_u16Xu16YM_Cnt_XTbl_Cnt_T_u16[10]</v>
          </cell>
        </row>
        <row r="15">
          <cell r="B15" t="str">
            <v>BilinearXYM_s16_s16Xs16YM_Cnt</v>
          </cell>
          <cell r="G15" t="str">
            <v>BilinearXYM_u16_u16Xu16YM_Cnt_YMTbl_Cnt_T_u16[10]</v>
          </cell>
        </row>
        <row r="16">
          <cell r="B16" t="str">
            <v>BilinearXYM_u16_s16Xu16YM_Cnt</v>
          </cell>
          <cell r="G16" t="str">
            <v>BilinearXYM_s16_u16Xs16YM_Cnt_BSTbl_Cnt_T_u16[10]</v>
          </cell>
        </row>
        <row r="17">
          <cell r="B17" t="str">
            <v>BilinearXMYM_u16_u16XMu16YM_Cnt</v>
          </cell>
          <cell r="G17" t="str">
            <v>BilinearXYM_s16_u16Xs16YM_Cnt_XTbl_Cnt_T_u16[10]</v>
          </cell>
        </row>
        <row r="18">
          <cell r="B18" t="str">
            <v>BilinearXMYM_s16_u16XMs16YM_Cnt</v>
          </cell>
          <cell r="G18" t="str">
            <v>BilinearXYM_s16_u16Xs16YM_Cnt_YMTbl_Cnt_T_s16[10]</v>
          </cell>
        </row>
        <row r="19">
          <cell r="B19" t="str">
            <v>BilinearXMYM_s16_s16XMs16YM_Cnt</v>
          </cell>
          <cell r="G19" t="str">
            <v>BilinearXYM_s16_s16Xs16YM_Cnt_BSTbl_Cnt_T_u16[10]</v>
          </cell>
        </row>
        <row r="20">
          <cell r="B20" t="str">
            <v>BilinearXMYM_u16_s16XMu16YM_Cnt</v>
          </cell>
          <cell r="G20" t="str">
            <v>BilinearXYM_s16_s16Xs16YM_Cnt_XTbl_Cnt_T_s16[10]</v>
          </cell>
        </row>
        <row r="21">
          <cell r="B21" t="str">
            <v>IntplVarXY_u16_u16Xu16Y_Cnt</v>
          </cell>
          <cell r="G21" t="str">
            <v>BilinearXYM_s16_s16Xs16YM_Cnt_YMTbl_Cnt_T_s16[10]</v>
          </cell>
        </row>
        <row r="22">
          <cell r="B22" t="str">
            <v>IntplVarXY_u16_s16Xu16Y_Cnt</v>
          </cell>
          <cell r="G22" t="str">
            <v>BilinearXYM_u16_s16Xu16YM_Cnt_BSTbl_Cnt_T_u16[10]</v>
          </cell>
        </row>
        <row r="23">
          <cell r="B23" t="str">
            <v>IntplVarXY_s16_s16Xs16Y_Cnt</v>
          </cell>
          <cell r="G23" t="str">
            <v>BilinearXYM_u16_s16Xu16YM_Cnt_XTbl_Cnt_T_s16[10]</v>
          </cell>
        </row>
        <row r="24">
          <cell r="B24" t="str">
            <v>IntplVarXY_s16_u16Xs16Y_Cnt</v>
          </cell>
          <cell r="G24" t="str">
            <v>BilinearXYM_u16_s16Xu16YM_Cnt_YMTbl_Cnt_T_u16[10]</v>
          </cell>
        </row>
        <row r="25">
          <cell r="B25" t="str">
            <v>IntplFxdX_u16_u16Xu16Y_Cnt</v>
          </cell>
          <cell r="G25" t="str">
            <v>BilinearXMYM_u16_u16XMu16YM_Cnt_BSTbl_Cnt_T_u16[10]</v>
          </cell>
        </row>
        <row r="26">
          <cell r="B26" t="str">
            <v>IntplFxdX_u16_s16Xu16Y_Cnt</v>
          </cell>
          <cell r="G26" t="str">
            <v>BilinearXMYM_u16_u16XMu16YM_Cnt_XMTbl_Cnt_T_u16[10]</v>
          </cell>
        </row>
        <row r="27">
          <cell r="B27" t="str">
            <v>IntplFxdX_s16_s16Xs16Y_Cnt</v>
          </cell>
          <cell r="G27" t="str">
            <v>BilinearXMYM_u16_u16XMu16YM_Cnt_YMTbl_Cnt_T_u16[10]</v>
          </cell>
        </row>
        <row r="28">
          <cell r="B28" t="str">
            <v>IntplFxdX_s16_u16Xs16Y_Cnt</v>
          </cell>
          <cell r="G28" t="str">
            <v>BilinearXMYM_s16_u16XMs16YM_Cnt_BSTbl_Cnt_T_u16[10]</v>
          </cell>
        </row>
        <row r="29">
          <cell r="G29" t="str">
            <v>BilinearXMYM_s16_u16XMs16YM_Cnt_XMTbl_Cnt_T_u16[10]</v>
          </cell>
        </row>
        <row r="30">
          <cell r="G30" t="str">
            <v>BilinearXMYM_s16_u16XMs16YM_Cnt_YMTbl_Cnt_T_s16[10]</v>
          </cell>
        </row>
        <row r="31">
          <cell r="G31" t="str">
            <v>BilinearXMYM_s16_s16XMs16YM_Cnt_BSTbl_Cnt_T_u16[10]</v>
          </cell>
        </row>
        <row r="32">
          <cell r="G32" t="str">
            <v>BilinearXMYM_s16_s16XMs16YM_Cnt_XMTbl_Cnt_T_s16[10]</v>
          </cell>
        </row>
        <row r="33">
          <cell r="G33" t="str">
            <v>BilinearXMYM_s16_s16XMs16YM_Cnt_YMTbl_Cnt_T_s16[10]</v>
          </cell>
        </row>
        <row r="34">
          <cell r="G34" t="str">
            <v>BilinearXMYM_u16_s16XMu16YM_Cnt_BSTbl_Cnt_T_u16[10]</v>
          </cell>
        </row>
        <row r="35">
          <cell r="G35" t="str">
            <v>BilinearXMYM_u16_s16XMu16YM_Cnt_XMTbl_Cnt_T_s16[10]</v>
          </cell>
        </row>
        <row r="36">
          <cell r="G36" t="str">
            <v>BilinearXMYM_u16_s16XMu16YM_Cnt_YMTbl_Cnt_T_u16[10]</v>
          </cell>
        </row>
        <row r="37">
          <cell r="G37" t="str">
            <v>IntplVarXY_u16_u16Xu16Y_Cnt_XTbl_Cnt_T_u16[11]</v>
          </cell>
        </row>
        <row r="38">
          <cell r="G38" t="str">
            <v>IntplVarXY_u16_u16Xu16Y_Cnt_YTbl_Cnt_T_u16[11]</v>
          </cell>
        </row>
        <row r="39">
          <cell r="G39" t="str">
            <v>IntplVarXY_u16_s16Xu16Y_Cnt_XTbl_Cnt_T_s16[11]</v>
          </cell>
        </row>
        <row r="40">
          <cell r="G40" t="str">
            <v>IntplVarXY_u16_s16Xu16Y_Cnt_YTbl_Cnt_T_u16[11]</v>
          </cell>
        </row>
        <row r="41">
          <cell r="G41" t="str">
            <v>IntplVarXY_s16_s16Xs16Y_Cnt_XTbl_Cnt_T_s16[10]</v>
          </cell>
        </row>
        <row r="42">
          <cell r="G42" t="str">
            <v>IntplVarXY_s16_s16Xs16Y_Cnt_YTbl_Cnt_T_s16[10]</v>
          </cell>
        </row>
        <row r="43">
          <cell r="G43" t="str">
            <v>IntplVarXY_s16_u16Xs16Y_Cnt_XTbl_Cnt_T_u16[10]</v>
          </cell>
        </row>
        <row r="44">
          <cell r="G44" t="str">
            <v>IntplVarXY_s16_u16Xs16Y_Cnt_YTbl_Cnt_T_s16[10]</v>
          </cell>
        </row>
        <row r="45">
          <cell r="G45" t="str">
            <v>IntplFxdX_u16_u16Xu16Y_Cnt_YTbl_Cnt_T_u16[10]</v>
          </cell>
        </row>
        <row r="46">
          <cell r="G46" t="str">
            <v>IntplFxdX_u16_s16Xu16Y_Cnt_YTbl_Cnt_T_u16[10]</v>
          </cell>
        </row>
        <row r="47">
          <cell r="G47" t="str">
            <v>IntplFxdX_s16_s16Xs16Y_Cnt_YTbl_Cnt_T_s16[10]</v>
          </cell>
        </row>
        <row r="48">
          <cell r="G48" t="str">
            <v>IntplFxdX_s16_u16Xs16Y_Cnt_YTbl_Cnt_T_s16[10]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63.42578125" bestFit="1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51" t="s">
        <v>0</v>
      </c>
      <c r="B5" s="151"/>
      <c r="C5" s="151"/>
      <c r="D5" s="151"/>
      <c r="E5" s="151"/>
    </row>
    <row r="6" spans="1:5" x14ac:dyDescent="0.25">
      <c r="A6" s="1"/>
      <c r="B6" s="1"/>
      <c r="C6" s="1"/>
      <c r="D6" s="1"/>
      <c r="E6" s="1"/>
    </row>
    <row r="7" spans="1:5" x14ac:dyDescent="0.25">
      <c r="A7" s="152" t="s">
        <v>129</v>
      </c>
      <c r="B7" s="152"/>
      <c r="C7" s="152"/>
      <c r="D7" s="152"/>
      <c r="E7" s="152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334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48</v>
      </c>
      <c r="C11" s="1"/>
      <c r="D11" s="5"/>
      <c r="E11" s="1"/>
    </row>
    <row r="12" spans="1:5" x14ac:dyDescent="0.25">
      <c r="A12" s="4" t="s">
        <v>4</v>
      </c>
      <c r="B12" s="3">
        <v>8</v>
      </c>
      <c r="C12" s="1"/>
      <c r="D12" s="5"/>
      <c r="E12" s="1"/>
    </row>
    <row r="13" spans="1:5" x14ac:dyDescent="0.25">
      <c r="A13" s="4" t="s">
        <v>5</v>
      </c>
      <c r="B13" s="3" t="s">
        <v>335</v>
      </c>
      <c r="C13" s="1"/>
      <c r="D13" s="5"/>
      <c r="E13" s="1"/>
    </row>
    <row r="14" spans="1:5" x14ac:dyDescent="0.25">
      <c r="A14" s="4" t="s">
        <v>6</v>
      </c>
      <c r="B14" s="3">
        <v>9</v>
      </c>
      <c r="C14" s="1"/>
      <c r="D14" s="5"/>
      <c r="E14" s="1"/>
    </row>
    <row r="15" spans="1:5" x14ac:dyDescent="0.25">
      <c r="A15" s="4" t="s">
        <v>159</v>
      </c>
      <c r="B15" s="3">
        <v>9</v>
      </c>
      <c r="C15" s="1"/>
      <c r="D15" s="5"/>
      <c r="E15" s="1"/>
    </row>
    <row r="16" spans="1:5" x14ac:dyDescent="0.25">
      <c r="A16" s="4" t="s">
        <v>7</v>
      </c>
      <c r="B16" s="3">
        <v>5</v>
      </c>
      <c r="C16" s="109"/>
      <c r="D16" s="5"/>
      <c r="E16" s="1"/>
    </row>
    <row r="17" spans="1:6" x14ac:dyDescent="0.25">
      <c r="A17" s="4" t="s">
        <v>8</v>
      </c>
      <c r="B17" s="3" t="s">
        <v>49</v>
      </c>
      <c r="C17" s="1"/>
      <c r="D17" s="5"/>
      <c r="E17" s="1"/>
    </row>
    <row r="18" spans="1:6" x14ac:dyDescent="0.25">
      <c r="A18" s="4" t="s">
        <v>9</v>
      </c>
      <c r="B18" s="3" t="s">
        <v>64</v>
      </c>
      <c r="C18" s="1"/>
      <c r="D18" s="5"/>
      <c r="E18" s="1"/>
    </row>
    <row r="19" spans="1:6" x14ac:dyDescent="0.25">
      <c r="A19" s="4" t="s">
        <v>10</v>
      </c>
      <c r="B19" s="3" t="s">
        <v>50</v>
      </c>
      <c r="C19" s="1"/>
      <c r="D19" s="5"/>
      <c r="E19" s="1"/>
    </row>
    <row r="20" spans="1:6" x14ac:dyDescent="0.25">
      <c r="A20" s="4" t="s">
        <v>11</v>
      </c>
      <c r="B20" s="3" t="s">
        <v>213</v>
      </c>
      <c r="C20" s="1"/>
      <c r="D20" s="5"/>
      <c r="E20" s="1"/>
    </row>
    <row r="21" spans="1:6" x14ac:dyDescent="0.25">
      <c r="A21" s="4" t="s">
        <v>160</v>
      </c>
      <c r="B21" s="110">
        <v>1066</v>
      </c>
      <c r="C21" s="1"/>
      <c r="D21" s="5"/>
      <c r="E21" s="1"/>
    </row>
    <row r="22" spans="1:6" x14ac:dyDescent="0.25">
      <c r="A22" s="4" t="s">
        <v>161</v>
      </c>
      <c r="B22" s="110">
        <v>40</v>
      </c>
      <c r="C22" s="1"/>
      <c r="D22" s="5"/>
      <c r="E22" s="1"/>
    </row>
    <row r="23" spans="1:6" x14ac:dyDescent="0.25">
      <c r="A23" s="4" t="s">
        <v>162</v>
      </c>
      <c r="B23" s="110">
        <v>76</v>
      </c>
      <c r="C23" s="1"/>
      <c r="D23" s="5"/>
      <c r="E23" s="1"/>
    </row>
    <row r="24" spans="1:6" x14ac:dyDescent="0.25">
      <c r="A24" s="4" t="s">
        <v>12</v>
      </c>
      <c r="B24" s="3" t="s">
        <v>176</v>
      </c>
      <c r="C24" s="1"/>
      <c r="D24" s="5"/>
      <c r="E24" s="1"/>
    </row>
    <row r="25" spans="1:6" x14ac:dyDescent="0.25">
      <c r="A25" s="4" t="s">
        <v>13</v>
      </c>
      <c r="B25" s="65">
        <v>42643</v>
      </c>
      <c r="C25" s="1"/>
      <c r="D25" s="5"/>
      <c r="E25" s="1"/>
    </row>
    <row r="26" spans="1:6" ht="105" x14ac:dyDescent="0.25">
      <c r="A26" s="4" t="s">
        <v>14</v>
      </c>
      <c r="B26" s="3" t="s">
        <v>363</v>
      </c>
      <c r="C26" s="1"/>
      <c r="D26" s="5"/>
      <c r="E26" s="1"/>
    </row>
    <row r="27" spans="1:6" x14ac:dyDescent="0.25">
      <c r="A27" s="4" t="s">
        <v>16</v>
      </c>
      <c r="B27" s="1"/>
      <c r="C27" s="1"/>
      <c r="D27" s="1"/>
      <c r="E27" s="1"/>
    </row>
    <row r="28" spans="1:6" x14ac:dyDescent="0.25">
      <c r="A28" s="6" t="s">
        <v>18</v>
      </c>
      <c r="B28" s="6" t="s">
        <v>19</v>
      </c>
      <c r="C28" s="6" t="s">
        <v>20</v>
      </c>
      <c r="D28" s="6" t="s">
        <v>21</v>
      </c>
      <c r="E28" s="1"/>
    </row>
    <row r="29" spans="1:6" x14ac:dyDescent="0.25">
      <c r="A29" s="20" t="s">
        <v>51</v>
      </c>
      <c r="B29" s="20" t="s">
        <v>361</v>
      </c>
      <c r="C29" s="2" t="s">
        <v>60</v>
      </c>
      <c r="D29" s="34" t="s">
        <v>60</v>
      </c>
      <c r="E29" s="1"/>
      <c r="F29" s="35">
        <v>10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20" t="s">
        <v>53</v>
      </c>
      <c r="B31" s="20" t="s">
        <v>158</v>
      </c>
      <c r="C31" s="2" t="s">
        <v>60</v>
      </c>
      <c r="D31" s="34" t="s">
        <v>60</v>
      </c>
      <c r="E31" s="1"/>
      <c r="F31" s="35">
        <v>2</v>
      </c>
    </row>
    <row r="32" spans="1:6" x14ac:dyDescent="0.25">
      <c r="A32" s="36">
        <v>113</v>
      </c>
      <c r="B32" s="20" t="s">
        <v>362</v>
      </c>
      <c r="C32" s="2" t="s">
        <v>60</v>
      </c>
      <c r="D32" s="34" t="s">
        <v>60</v>
      </c>
      <c r="E32" s="1"/>
      <c r="F32" s="35">
        <v>113</v>
      </c>
    </row>
    <row r="33" spans="1:6" x14ac:dyDescent="0.25">
      <c r="A33" s="36">
        <v>11</v>
      </c>
      <c r="B33" s="20" t="s">
        <v>63</v>
      </c>
      <c r="C33" s="2" t="s">
        <v>60</v>
      </c>
      <c r="D33" s="34" t="s">
        <v>60</v>
      </c>
      <c r="E33" s="1"/>
      <c r="F33" s="35">
        <v>11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1"/>
      <c r="B35" s="1"/>
      <c r="C35" s="1"/>
      <c r="D35" s="1"/>
      <c r="E35" s="1"/>
    </row>
    <row r="36" spans="1:6" x14ac:dyDescent="0.25">
      <c r="A36" s="1"/>
      <c r="B36" s="1"/>
      <c r="C36" s="1"/>
      <c r="D36" s="1"/>
      <c r="E36" s="1"/>
    </row>
    <row r="37" spans="1:6" x14ac:dyDescent="0.25">
      <c r="A37" s="1"/>
      <c r="B37" s="1"/>
      <c r="C37" s="1"/>
      <c r="D37" s="1"/>
      <c r="E37" s="1"/>
    </row>
    <row r="38" spans="1:6" x14ac:dyDescent="0.25">
      <c r="A38" s="1"/>
      <c r="B38" s="1"/>
      <c r="C38" s="1"/>
      <c r="D38" s="1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TqRsDg_Init1'!A1" display="'TqRsDg_Init1'!A1"/>
    <hyperlink ref="B29" location="'TqRsDg_Init1() R'!A1" display="'TqRsDg_Init1() R'!A1"/>
    <hyperlink ref="A31" location="'TqRsDg_Per1'!A1" display="'TqRsDg_Per1'!A1"/>
    <hyperlink ref="B31" location="'TqRsDg_Per1() M'!A1" display="'TqRsDg_Per1() M'!A1"/>
    <hyperlink ref="B32" location="'TqRsDg_Per1() R'!A1" display="'TqRsDg_Per1() R'!A1"/>
    <hyperlink ref="B33" location="'TqRsDg_Per1() P'!A1" display="'TqRsDg_Per1() P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51" t="s">
        <v>0</v>
      </c>
      <c r="B5" s="151"/>
      <c r="C5" s="151"/>
      <c r="D5" s="151"/>
      <c r="E5" s="151"/>
      <c r="F5" s="151"/>
      <c r="G5" s="151"/>
      <c r="H5" s="151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52" t="s">
        <v>129</v>
      </c>
      <c r="B7" s="152"/>
      <c r="C7" s="152"/>
      <c r="D7" s="152"/>
      <c r="E7" s="152"/>
      <c r="F7" s="152"/>
      <c r="G7" s="152"/>
      <c r="H7" s="152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5363" r:id="rId4">
          <objectPr defaultSize="0" autoPict="0" r:id="rId5">
            <anchor moveWithCells="1">
              <from>
                <xdr:col>4</xdr:col>
                <xdr:colOff>152400</xdr:colOff>
                <xdr:row>8</xdr:row>
                <xdr:rowOff>180975</xdr:rowOff>
              </from>
              <to>
                <xdr:col>7</xdr:col>
                <xdr:colOff>533400</xdr:colOff>
                <xdr:row>13</xdr:row>
                <xdr:rowOff>171450</xdr:rowOff>
              </to>
            </anchor>
          </objectPr>
        </oleObject>
      </mc:Choice>
      <mc:Fallback>
        <oleObject progId="Packager Shell Object" dvAspect="DVASPECT_ICON" shapeId="15363" r:id="rId4"/>
      </mc:Fallback>
    </mc:AlternateContent>
    <mc:AlternateContent xmlns:mc="http://schemas.openxmlformats.org/markup-compatibility/2006">
      <mc:Choice Requires="x14">
        <oleObject progId="Packager Shell Object" dvAspect="DVASPECT_ICON" shapeId="15364" r:id="rId6">
          <objectPr defaultSize="0" autoPict="0" r:id="rId7">
            <anchor moveWithCells="1">
              <from>
                <xdr:col>0</xdr:col>
                <xdr:colOff>180975</xdr:colOff>
                <xdr:row>9</xdr:row>
                <xdr:rowOff>28575</xdr:rowOff>
              </from>
              <to>
                <xdr:col>3</xdr:col>
                <xdr:colOff>514350</xdr:colOff>
                <xdr:row>13</xdr:row>
                <xdr:rowOff>142875</xdr:rowOff>
              </to>
            </anchor>
          </objectPr>
        </oleObject>
      </mc:Choice>
      <mc:Fallback>
        <oleObject progId="Packager Shell Object" dvAspect="DVASPECT_ICON" shapeId="15364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8"/>
  <sheetViews>
    <sheetView workbookViewId="0"/>
  </sheetViews>
  <sheetFormatPr defaultRowHeight="15" x14ac:dyDescent="0.25"/>
  <cols>
    <col min="1" max="1" width="11.7109375" bestFit="1" customWidth="1"/>
    <col min="2" max="2" width="12.42578125" bestFit="1" customWidth="1"/>
    <col min="3" max="3" width="19.85546875" bestFit="1" customWidth="1"/>
    <col min="4" max="4" width="1.7109375" customWidth="1"/>
    <col min="5" max="5" width="6.28515625" bestFit="1" customWidth="1"/>
    <col min="6" max="6" width="22" bestFit="1" customWidth="1"/>
    <col min="7" max="7" width="44.71093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34.28515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51" t="s">
        <v>0</v>
      </c>
      <c r="B5" s="151"/>
      <c r="C5" s="151"/>
      <c r="D5" s="151"/>
      <c r="E5" s="151"/>
      <c r="F5" s="151"/>
      <c r="G5" s="151"/>
      <c r="H5" s="151"/>
      <c r="I5" s="151"/>
      <c r="J5" s="151"/>
      <c r="K5" s="151"/>
      <c r="L5" s="151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52" t="s">
        <v>129</v>
      </c>
      <c r="B7" s="152"/>
      <c r="C7" s="152"/>
      <c r="D7" s="152"/>
      <c r="E7" s="152"/>
      <c r="F7" s="152"/>
      <c r="G7" s="152"/>
      <c r="H7" s="152"/>
      <c r="I7" s="152"/>
      <c r="J7" s="152"/>
      <c r="K7" s="152"/>
      <c r="L7" s="152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53" t="s">
        <v>22</v>
      </c>
      <c r="B9" s="154"/>
      <c r="C9" s="154"/>
      <c r="D9" s="155"/>
      <c r="E9" s="154"/>
      <c r="F9" s="154"/>
      <c r="G9" s="154"/>
      <c r="H9" s="154"/>
      <c r="I9" s="155"/>
      <c r="J9" s="154"/>
      <c r="K9" s="154"/>
      <c r="L9" s="156"/>
    </row>
    <row r="10" spans="1:12" ht="15.75" thickBot="1" x14ac:dyDescent="0.3">
      <c r="A10" s="157" t="s">
        <v>23</v>
      </c>
      <c r="B10" s="158"/>
      <c r="C10" s="159"/>
      <c r="D10" s="7"/>
      <c r="E10" s="160" t="s">
        <v>27</v>
      </c>
      <c r="F10" s="161"/>
      <c r="G10" s="161"/>
      <c r="H10" s="162"/>
      <c r="I10" s="7"/>
      <c r="J10" s="163" t="s">
        <v>31</v>
      </c>
      <c r="K10" s="164"/>
      <c r="L10" s="165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37" t="s">
        <v>52</v>
      </c>
      <c r="B13" s="38" t="s">
        <v>51</v>
      </c>
      <c r="C13" s="39" t="s">
        <v>65</v>
      </c>
      <c r="D13" s="7"/>
      <c r="E13" s="9" t="s">
        <v>69</v>
      </c>
      <c r="F13" s="9" t="s">
        <v>68</v>
      </c>
      <c r="G13" s="21" t="s">
        <v>123</v>
      </c>
      <c r="H13" s="9"/>
      <c r="I13" s="7"/>
      <c r="J13" s="9" t="s">
        <v>52</v>
      </c>
      <c r="K13" s="21" t="s">
        <v>112</v>
      </c>
      <c r="L13" t="s">
        <v>65</v>
      </c>
    </row>
    <row r="14" spans="1:12" x14ac:dyDescent="0.25">
      <c r="A14" s="37" t="s">
        <v>52</v>
      </c>
      <c r="B14" s="38" t="s">
        <v>53</v>
      </c>
      <c r="C14" s="39" t="s">
        <v>65</v>
      </c>
      <c r="D14" s="7"/>
      <c r="E14" s="9" t="s">
        <v>69</v>
      </c>
      <c r="F14" s="9" t="s">
        <v>68</v>
      </c>
      <c r="G14" s="21" t="s">
        <v>124</v>
      </c>
      <c r="H14" s="9"/>
      <c r="I14" s="7"/>
      <c r="J14" s="9"/>
      <c r="K14" s="21"/>
    </row>
    <row r="15" spans="1:12" x14ac:dyDescent="0.25">
      <c r="A15" s="37"/>
      <c r="B15" s="38"/>
      <c r="C15" s="39"/>
      <c r="D15" s="7"/>
      <c r="E15" s="9" t="s">
        <v>69</v>
      </c>
      <c r="F15" s="9" t="s">
        <v>78</v>
      </c>
      <c r="G15" s="21" t="s">
        <v>168</v>
      </c>
      <c r="H15" s="9"/>
      <c r="I15" s="7"/>
      <c r="J15" s="9"/>
      <c r="K15" s="21"/>
    </row>
    <row r="16" spans="1:12" x14ac:dyDescent="0.25">
      <c r="A16" s="37"/>
      <c r="B16" s="38"/>
      <c r="C16" s="39"/>
      <c r="D16" s="7"/>
      <c r="E16" s="9" t="s">
        <v>73</v>
      </c>
      <c r="F16" s="9" t="s">
        <v>79</v>
      </c>
      <c r="G16" s="21" t="s">
        <v>132</v>
      </c>
      <c r="H16" s="9"/>
      <c r="I16" s="7"/>
      <c r="J16" s="9"/>
      <c r="K16" s="21"/>
    </row>
    <row r="17" spans="1:11" x14ac:dyDescent="0.25">
      <c r="A17" s="37"/>
      <c r="B17" s="38"/>
      <c r="C17" s="39"/>
      <c r="D17" s="7"/>
      <c r="E17" s="9" t="s">
        <v>73</v>
      </c>
      <c r="F17" s="9" t="s">
        <v>79</v>
      </c>
      <c r="G17" s="21" t="s">
        <v>133</v>
      </c>
      <c r="H17" s="9"/>
      <c r="I17" s="7"/>
      <c r="J17" s="9"/>
      <c r="K17" s="21"/>
    </row>
    <row r="18" spans="1:11" x14ac:dyDescent="0.25">
      <c r="A18" s="37"/>
      <c r="B18" s="38"/>
      <c r="C18" s="39"/>
      <c r="D18" s="7"/>
      <c r="E18" s="9" t="s">
        <v>73</v>
      </c>
      <c r="F18" s="9" t="s">
        <v>79</v>
      </c>
      <c r="G18" s="21" t="s">
        <v>136</v>
      </c>
      <c r="H18" s="9"/>
      <c r="I18" s="7"/>
      <c r="J18" s="9"/>
      <c r="K18" s="21"/>
    </row>
    <row r="19" spans="1:11" x14ac:dyDescent="0.25">
      <c r="A19" s="37"/>
      <c r="B19" s="38"/>
      <c r="C19" s="39"/>
      <c r="D19" s="7"/>
      <c r="E19" s="9" t="s">
        <v>73</v>
      </c>
      <c r="F19" s="9" t="s">
        <v>79</v>
      </c>
      <c r="G19" s="21" t="s">
        <v>138</v>
      </c>
      <c r="H19" s="9"/>
      <c r="I19" s="7"/>
      <c r="J19" s="9"/>
      <c r="K19" s="21"/>
    </row>
    <row r="20" spans="1:11" x14ac:dyDescent="0.25">
      <c r="A20" s="37"/>
      <c r="B20" s="38"/>
      <c r="C20" s="39"/>
      <c r="D20" s="7"/>
      <c r="E20" s="9" t="s">
        <v>73</v>
      </c>
      <c r="F20" s="9" t="s">
        <v>79</v>
      </c>
      <c r="G20" s="21" t="s">
        <v>139</v>
      </c>
      <c r="H20" s="9"/>
      <c r="I20" s="7"/>
      <c r="J20" s="9"/>
      <c r="K20" s="21"/>
    </row>
    <row r="21" spans="1:11" x14ac:dyDescent="0.25">
      <c r="A21" s="37"/>
      <c r="B21" s="38"/>
      <c r="C21" s="39"/>
      <c r="D21" s="7"/>
      <c r="E21" s="9" t="s">
        <v>73</v>
      </c>
      <c r="F21" s="9" t="s">
        <v>79</v>
      </c>
      <c r="G21" s="21" t="s">
        <v>137</v>
      </c>
      <c r="H21" s="9"/>
      <c r="I21" s="7"/>
      <c r="J21" s="9"/>
      <c r="K21" s="21"/>
    </row>
    <row r="22" spans="1:11" x14ac:dyDescent="0.25">
      <c r="A22" s="37"/>
      <c r="B22" s="38"/>
      <c r="C22" s="39"/>
      <c r="D22" s="7"/>
      <c r="E22" s="9" t="s">
        <v>73</v>
      </c>
      <c r="F22" s="9" t="s">
        <v>79</v>
      </c>
      <c r="G22" s="21" t="s">
        <v>134</v>
      </c>
      <c r="H22" s="9"/>
      <c r="I22" s="7"/>
      <c r="J22" s="9"/>
      <c r="K22" s="21"/>
    </row>
    <row r="23" spans="1:11" x14ac:dyDescent="0.25">
      <c r="A23" s="37"/>
      <c r="B23" s="38"/>
      <c r="C23" s="39"/>
      <c r="D23" s="7"/>
      <c r="E23" s="9" t="s">
        <v>73</v>
      </c>
      <c r="F23" s="9" t="s">
        <v>79</v>
      </c>
      <c r="G23" s="21" t="s">
        <v>135</v>
      </c>
      <c r="H23" s="9"/>
      <c r="I23" s="7"/>
      <c r="J23" s="9"/>
      <c r="K23" s="21"/>
    </row>
    <row r="24" spans="1:11" x14ac:dyDescent="0.25">
      <c r="A24" s="37"/>
      <c r="B24" s="38"/>
      <c r="C24" s="39"/>
      <c r="D24" s="7"/>
      <c r="E24" s="9" t="s">
        <v>73</v>
      </c>
      <c r="F24" s="9" t="s">
        <v>79</v>
      </c>
      <c r="G24" s="21" t="s">
        <v>130</v>
      </c>
      <c r="H24" s="9"/>
      <c r="I24" s="7"/>
      <c r="J24" s="9"/>
      <c r="K24" s="21"/>
    </row>
    <row r="25" spans="1:11" x14ac:dyDescent="0.25">
      <c r="A25" s="37"/>
      <c r="B25" s="38"/>
      <c r="C25" s="39"/>
      <c r="D25" s="7"/>
      <c r="E25" s="9" t="s">
        <v>73</v>
      </c>
      <c r="F25" s="9" t="s">
        <v>79</v>
      </c>
      <c r="G25" s="21" t="s">
        <v>131</v>
      </c>
      <c r="H25" s="9"/>
      <c r="I25" s="7"/>
      <c r="J25" s="9"/>
      <c r="K25" s="21"/>
    </row>
    <row r="26" spans="1:11" x14ac:dyDescent="0.25">
      <c r="A26" s="37"/>
      <c r="B26" s="38"/>
      <c r="C26" s="39"/>
      <c r="D26" s="7"/>
      <c r="E26" s="9" t="s">
        <v>73</v>
      </c>
      <c r="F26" s="9" t="s">
        <v>79</v>
      </c>
      <c r="G26" s="21" t="s">
        <v>140</v>
      </c>
      <c r="H26" s="9"/>
      <c r="I26" s="7"/>
      <c r="J26" s="9"/>
      <c r="K26" s="21"/>
    </row>
    <row r="27" spans="1:11" x14ac:dyDescent="0.25">
      <c r="A27" s="37"/>
      <c r="B27" s="38"/>
      <c r="C27" s="39"/>
      <c r="D27" s="7"/>
      <c r="E27" s="9" t="s">
        <v>73</v>
      </c>
      <c r="F27" s="9" t="s">
        <v>79</v>
      </c>
      <c r="G27" s="21" t="s">
        <v>141</v>
      </c>
      <c r="H27" s="9"/>
      <c r="I27" s="7"/>
      <c r="J27" s="9"/>
      <c r="K27" s="21"/>
    </row>
    <row r="28" spans="1:11" x14ac:dyDescent="0.25">
      <c r="A28" s="37"/>
      <c r="B28" s="38"/>
      <c r="C28" s="39"/>
      <c r="D28" s="7"/>
      <c r="E28" s="9" t="s">
        <v>73</v>
      </c>
      <c r="F28" s="9" t="s">
        <v>79</v>
      </c>
      <c r="G28" s="21" t="s">
        <v>142</v>
      </c>
      <c r="H28" s="9"/>
      <c r="I28" s="7"/>
      <c r="J28" s="9"/>
      <c r="K28" s="21"/>
    </row>
    <row r="29" spans="1:11" x14ac:dyDescent="0.25">
      <c r="A29" s="37"/>
      <c r="B29" s="38"/>
      <c r="C29" s="39"/>
      <c r="D29" s="7"/>
      <c r="E29" s="9" t="s">
        <v>73</v>
      </c>
      <c r="F29" s="9" t="s">
        <v>79</v>
      </c>
      <c r="G29" s="21" t="s">
        <v>150</v>
      </c>
      <c r="H29" s="9"/>
      <c r="I29" s="7"/>
      <c r="J29" s="9"/>
      <c r="K29" s="21"/>
    </row>
    <row r="30" spans="1:11" x14ac:dyDescent="0.25">
      <c r="A30" s="37"/>
      <c r="B30" s="38"/>
      <c r="C30" s="39"/>
      <c r="D30" s="7"/>
      <c r="E30" s="9" t="s">
        <v>73</v>
      </c>
      <c r="F30" s="9" t="s">
        <v>97</v>
      </c>
      <c r="G30" s="21" t="s">
        <v>143</v>
      </c>
      <c r="H30" s="9"/>
      <c r="I30" s="7"/>
      <c r="J30" s="9"/>
      <c r="K30" s="21"/>
    </row>
    <row r="31" spans="1:11" x14ac:dyDescent="0.25">
      <c r="A31" s="37"/>
      <c r="B31" s="38"/>
      <c r="C31" s="39"/>
      <c r="D31" s="7"/>
      <c r="E31" s="9" t="s">
        <v>73</v>
      </c>
      <c r="F31" s="9" t="s">
        <v>97</v>
      </c>
      <c r="G31" s="21" t="s">
        <v>144</v>
      </c>
      <c r="H31" s="9"/>
      <c r="I31" s="7"/>
      <c r="J31" s="9"/>
      <c r="K31" s="21"/>
    </row>
    <row r="32" spans="1:11" x14ac:dyDescent="0.25">
      <c r="A32" s="37"/>
      <c r="B32" s="38"/>
      <c r="C32" s="39"/>
      <c r="D32" s="7"/>
      <c r="E32" s="9" t="s">
        <v>73</v>
      </c>
      <c r="F32" s="9" t="s">
        <v>97</v>
      </c>
      <c r="G32" s="21" t="s">
        <v>145</v>
      </c>
      <c r="H32" s="9"/>
      <c r="I32" s="7"/>
      <c r="J32" s="9"/>
      <c r="K32" s="21"/>
    </row>
    <row r="33" spans="1:11" x14ac:dyDescent="0.25">
      <c r="A33" s="37"/>
      <c r="B33" s="38"/>
      <c r="C33" s="39"/>
      <c r="D33" s="7"/>
      <c r="E33" s="9" t="s">
        <v>73</v>
      </c>
      <c r="F33" s="9" t="s">
        <v>97</v>
      </c>
      <c r="G33" s="21" t="s">
        <v>146</v>
      </c>
      <c r="H33" s="9"/>
      <c r="I33" s="7"/>
      <c r="J33" s="9"/>
      <c r="K33" s="21"/>
    </row>
    <row r="34" spans="1:11" x14ac:dyDescent="0.25">
      <c r="A34" s="37"/>
      <c r="B34" s="38"/>
      <c r="C34" s="39"/>
      <c r="D34" s="7"/>
      <c r="E34" s="9" t="s">
        <v>73</v>
      </c>
      <c r="F34" s="9" t="s">
        <v>97</v>
      </c>
      <c r="G34" s="21" t="s">
        <v>147</v>
      </c>
      <c r="H34" s="9"/>
      <c r="I34" s="7"/>
      <c r="J34" s="9"/>
      <c r="K34" s="21"/>
    </row>
    <row r="35" spans="1:11" x14ac:dyDescent="0.25">
      <c r="A35" s="37"/>
      <c r="B35" s="38"/>
      <c r="C35" s="39"/>
      <c r="D35" s="7"/>
      <c r="E35" s="9" t="s">
        <v>73</v>
      </c>
      <c r="F35" s="9" t="s">
        <v>97</v>
      </c>
      <c r="G35" s="21" t="s">
        <v>148</v>
      </c>
      <c r="H35" s="9"/>
      <c r="I35" s="7"/>
      <c r="J35" s="9"/>
      <c r="K35" s="21"/>
    </row>
    <row r="36" spans="1:11" x14ac:dyDescent="0.25">
      <c r="A36" s="37"/>
      <c r="B36" s="38"/>
      <c r="C36" s="39"/>
      <c r="D36" s="7"/>
      <c r="E36" s="9" t="s">
        <v>73</v>
      </c>
      <c r="F36" s="9" t="s">
        <v>77</v>
      </c>
      <c r="G36" s="21" t="s">
        <v>113</v>
      </c>
      <c r="H36" s="9">
        <v>0</v>
      </c>
      <c r="I36" s="7"/>
      <c r="J36" s="9"/>
      <c r="K36" s="21"/>
    </row>
    <row r="37" spans="1:11" x14ac:dyDescent="0.25">
      <c r="A37" s="37"/>
      <c r="B37" s="38"/>
      <c r="C37" s="39"/>
      <c r="D37" s="7"/>
      <c r="E37" s="9" t="s">
        <v>73</v>
      </c>
      <c r="F37" s="9" t="s">
        <v>77</v>
      </c>
      <c r="G37" s="21" t="s">
        <v>114</v>
      </c>
      <c r="H37" s="9">
        <v>0</v>
      </c>
      <c r="I37" s="7"/>
      <c r="J37" s="9"/>
      <c r="K37" s="21"/>
    </row>
    <row r="38" spans="1:11" x14ac:dyDescent="0.25">
      <c r="A38" s="37"/>
      <c r="B38" s="38"/>
      <c r="C38" s="39"/>
      <c r="D38" s="7"/>
      <c r="E38" s="9" t="s">
        <v>73</v>
      </c>
      <c r="F38" s="9" t="s">
        <v>77</v>
      </c>
      <c r="G38" s="21" t="s">
        <v>115</v>
      </c>
      <c r="H38" s="9">
        <v>0</v>
      </c>
      <c r="I38" s="7"/>
      <c r="J38" s="9"/>
      <c r="K38" s="21"/>
    </row>
    <row r="39" spans="1:11" x14ac:dyDescent="0.25">
      <c r="A39" s="37"/>
      <c r="B39" s="38"/>
      <c r="C39" s="39"/>
      <c r="D39" s="7"/>
      <c r="E39" s="9" t="s">
        <v>69</v>
      </c>
      <c r="F39" s="9" t="s">
        <v>68</v>
      </c>
      <c r="G39" s="21" t="s">
        <v>121</v>
      </c>
      <c r="H39" s="9"/>
      <c r="I39" s="7"/>
      <c r="J39" s="9"/>
      <c r="K39" s="21"/>
    </row>
    <row r="40" spans="1:11" x14ac:dyDescent="0.25">
      <c r="A40" s="37"/>
      <c r="B40" s="38"/>
      <c r="C40" s="39"/>
      <c r="D40" s="7"/>
      <c r="E40" s="9" t="s">
        <v>69</v>
      </c>
      <c r="F40" s="9" t="s">
        <v>68</v>
      </c>
      <c r="G40" s="21" t="s">
        <v>122</v>
      </c>
      <c r="H40" s="9"/>
      <c r="I40" s="7"/>
      <c r="J40" s="9"/>
      <c r="K40" s="21"/>
    </row>
    <row r="41" spans="1:11" x14ac:dyDescent="0.25">
      <c r="A41" s="37"/>
      <c r="B41" s="38"/>
      <c r="C41" s="39"/>
      <c r="D41" s="7"/>
      <c r="E41" s="9" t="s">
        <v>69</v>
      </c>
      <c r="F41" s="9" t="s">
        <v>68</v>
      </c>
      <c r="G41" s="21" t="s">
        <v>125</v>
      </c>
      <c r="H41" s="9"/>
      <c r="I41" s="7"/>
      <c r="J41" s="9"/>
      <c r="K41" s="21"/>
    </row>
    <row r="42" spans="1:11" x14ac:dyDescent="0.25">
      <c r="A42" s="37"/>
      <c r="B42" s="38"/>
      <c r="C42" s="39"/>
      <c r="D42" s="7"/>
      <c r="E42" s="9" t="s">
        <v>69</v>
      </c>
      <c r="F42" s="9" t="s">
        <v>68</v>
      </c>
      <c r="G42" s="21" t="s">
        <v>126</v>
      </c>
      <c r="H42" s="9"/>
      <c r="I42" s="7"/>
      <c r="J42" s="9"/>
      <c r="K42" s="21"/>
    </row>
    <row r="43" spans="1:11" x14ac:dyDescent="0.25">
      <c r="A43" s="37"/>
      <c r="B43" s="38"/>
      <c r="C43" s="39"/>
      <c r="D43" s="7"/>
      <c r="E43" s="9" t="s">
        <v>69</v>
      </c>
      <c r="F43" s="9" t="s">
        <v>68</v>
      </c>
      <c r="G43" s="21" t="s">
        <v>127</v>
      </c>
      <c r="H43" s="9"/>
      <c r="I43" s="7"/>
      <c r="J43" s="9"/>
      <c r="K43" s="21"/>
    </row>
    <row r="44" spans="1:11" x14ac:dyDescent="0.25">
      <c r="A44" s="37"/>
      <c r="B44" s="38"/>
      <c r="C44" s="39"/>
      <c r="D44" s="7"/>
      <c r="E44" s="9" t="s">
        <v>69</v>
      </c>
      <c r="F44" s="9" t="s">
        <v>68</v>
      </c>
      <c r="G44" s="21" t="s">
        <v>128</v>
      </c>
      <c r="H44" s="9"/>
      <c r="I44" s="7"/>
      <c r="J44" s="9"/>
      <c r="K44" s="21"/>
    </row>
    <row r="45" spans="1:11" x14ac:dyDescent="0.25">
      <c r="A45" s="37"/>
      <c r="B45" s="38"/>
      <c r="C45" s="39"/>
      <c r="D45" s="7"/>
      <c r="E45" s="9" t="s">
        <v>69</v>
      </c>
      <c r="F45" s="9" t="s">
        <v>78</v>
      </c>
      <c r="G45" s="21" t="s">
        <v>169</v>
      </c>
      <c r="H45" s="9"/>
      <c r="I45" s="7"/>
      <c r="J45" s="9"/>
      <c r="K45" s="21"/>
    </row>
    <row r="46" spans="1:11" x14ac:dyDescent="0.25">
      <c r="A46" s="37"/>
      <c r="B46" s="38"/>
      <c r="C46" s="39"/>
      <c r="D46" s="7"/>
      <c r="E46" s="9" t="s">
        <v>73</v>
      </c>
      <c r="F46" s="9" t="s">
        <v>79</v>
      </c>
      <c r="G46" s="21" t="s">
        <v>165</v>
      </c>
      <c r="H46" s="9"/>
      <c r="I46" s="7"/>
      <c r="J46" s="9"/>
      <c r="K46" s="21"/>
    </row>
    <row r="47" spans="1:11" x14ac:dyDescent="0.25">
      <c r="A47" s="37"/>
      <c r="B47" s="38"/>
      <c r="C47" s="39"/>
      <c r="D47" s="7"/>
      <c r="E47" s="9" t="s">
        <v>73</v>
      </c>
      <c r="F47" s="9" t="s">
        <v>79</v>
      </c>
      <c r="G47" s="21" t="s">
        <v>166</v>
      </c>
      <c r="H47" s="9"/>
      <c r="I47" s="7"/>
      <c r="J47" s="9"/>
      <c r="K47" s="21"/>
    </row>
    <row r="48" spans="1:11" x14ac:dyDescent="0.25">
      <c r="A48" s="37"/>
      <c r="B48" s="38"/>
      <c r="C48" s="39"/>
      <c r="D48" s="7"/>
      <c r="E48" s="9" t="s">
        <v>73</v>
      </c>
      <c r="F48" s="9" t="s">
        <v>79</v>
      </c>
      <c r="G48" s="21" t="s">
        <v>167</v>
      </c>
      <c r="H48" s="9"/>
      <c r="I48" s="7"/>
      <c r="J48" s="9"/>
      <c r="K48" s="21"/>
    </row>
    <row r="49" spans="1:11" x14ac:dyDescent="0.25">
      <c r="A49" s="37"/>
      <c r="B49" s="38"/>
      <c r="C49" s="39"/>
      <c r="D49" s="7"/>
      <c r="E49" s="9" t="s">
        <v>73</v>
      </c>
      <c r="F49" s="9" t="s">
        <v>77</v>
      </c>
      <c r="G49" s="21" t="s">
        <v>170</v>
      </c>
      <c r="H49" s="9"/>
      <c r="I49" s="7"/>
      <c r="J49" s="9"/>
      <c r="K49" s="21"/>
    </row>
    <row r="50" spans="1:11" x14ac:dyDescent="0.25">
      <c r="A50" s="37"/>
      <c r="B50" s="38"/>
      <c r="C50" s="39"/>
      <c r="D50" s="7"/>
      <c r="E50" s="9" t="s">
        <v>73</v>
      </c>
      <c r="F50" s="9" t="s">
        <v>79</v>
      </c>
      <c r="G50" s="21" t="s">
        <v>215</v>
      </c>
      <c r="H50" s="9"/>
      <c r="I50" s="7"/>
      <c r="J50" s="9"/>
      <c r="K50" s="21"/>
    </row>
    <row r="51" spans="1:11" x14ac:dyDescent="0.25">
      <c r="A51" s="37"/>
      <c r="B51" s="38"/>
      <c r="C51" s="39"/>
      <c r="D51" s="7"/>
      <c r="E51" s="9" t="s">
        <v>73</v>
      </c>
      <c r="F51" s="9" t="s">
        <v>79</v>
      </c>
      <c r="G51" s="21" t="s">
        <v>216</v>
      </c>
      <c r="H51" s="9"/>
      <c r="I51" s="7"/>
      <c r="J51" s="9"/>
      <c r="K51" s="21"/>
    </row>
    <row r="52" spans="1:11" x14ac:dyDescent="0.25">
      <c r="A52" s="37"/>
      <c r="B52" s="38"/>
      <c r="C52" s="39"/>
      <c r="D52" s="7"/>
      <c r="E52" s="9" t="s">
        <v>73</v>
      </c>
      <c r="F52" s="9" t="s">
        <v>79</v>
      </c>
      <c r="G52" s="21" t="s">
        <v>217</v>
      </c>
      <c r="H52" s="9"/>
      <c r="I52" s="7"/>
      <c r="J52" s="9"/>
      <c r="K52" s="21"/>
    </row>
    <row r="53" spans="1:11" x14ac:dyDescent="0.25">
      <c r="A53" s="37"/>
      <c r="B53" s="38"/>
      <c r="C53" s="39"/>
      <c r="D53" s="7"/>
      <c r="E53" s="9" t="s">
        <v>73</v>
      </c>
      <c r="F53" s="9" t="s">
        <v>79</v>
      </c>
      <c r="G53" s="21" t="s">
        <v>218</v>
      </c>
      <c r="H53" s="9"/>
      <c r="I53" s="7"/>
      <c r="J53" s="9"/>
      <c r="K53" s="21"/>
    </row>
    <row r="54" spans="1:11" x14ac:dyDescent="0.25">
      <c r="A54" s="37"/>
      <c r="B54" s="38"/>
      <c r="C54" s="39"/>
      <c r="D54" s="7"/>
      <c r="E54" s="9" t="s">
        <v>73</v>
      </c>
      <c r="F54" s="9" t="s">
        <v>79</v>
      </c>
      <c r="G54" s="21" t="s">
        <v>105</v>
      </c>
      <c r="H54" s="9"/>
      <c r="I54" s="7"/>
      <c r="J54" s="9"/>
      <c r="K54" s="21"/>
    </row>
    <row r="55" spans="1:11" x14ac:dyDescent="0.25">
      <c r="A55" s="37"/>
      <c r="B55" s="38"/>
      <c r="C55" s="39"/>
      <c r="D55" s="7"/>
      <c r="E55" s="9" t="s">
        <v>73</v>
      </c>
      <c r="F55" s="9" t="s">
        <v>79</v>
      </c>
      <c r="G55" s="21" t="s">
        <v>107</v>
      </c>
      <c r="H55" s="9"/>
      <c r="I55" s="7"/>
      <c r="J55" s="9"/>
      <c r="K55" s="21"/>
    </row>
    <row r="56" spans="1:11" x14ac:dyDescent="0.25">
      <c r="A56" s="37"/>
      <c r="B56" s="38"/>
      <c r="C56" s="39"/>
      <c r="D56" s="7"/>
      <c r="E56" s="9" t="s">
        <v>73</v>
      </c>
      <c r="F56" s="9" t="s">
        <v>79</v>
      </c>
      <c r="G56" s="21" t="s">
        <v>219</v>
      </c>
      <c r="H56" s="9"/>
      <c r="I56" s="7"/>
      <c r="J56" s="9"/>
      <c r="K56" s="21"/>
    </row>
    <row r="57" spans="1:11" x14ac:dyDescent="0.25">
      <c r="A57" s="37"/>
      <c r="B57" s="38"/>
      <c r="C57" s="39"/>
      <c r="D57" s="7"/>
      <c r="E57" s="9" t="s">
        <v>73</v>
      </c>
      <c r="F57" s="9" t="s">
        <v>79</v>
      </c>
      <c r="G57" s="21" t="s">
        <v>220</v>
      </c>
      <c r="H57" s="9"/>
      <c r="I57" s="7"/>
      <c r="J57" s="9"/>
      <c r="K57" s="21"/>
    </row>
    <row r="58" spans="1:11" x14ac:dyDescent="0.25">
      <c r="A58" s="37"/>
      <c r="B58" s="38"/>
      <c r="C58" s="39"/>
      <c r="D58" s="7"/>
      <c r="E58" s="9" t="s">
        <v>73</v>
      </c>
      <c r="F58" s="9" t="s">
        <v>79</v>
      </c>
      <c r="G58" s="21" t="s">
        <v>221</v>
      </c>
      <c r="H58" s="9"/>
      <c r="I58" s="7"/>
      <c r="J58" s="9"/>
      <c r="K58" s="21"/>
    </row>
    <row r="59" spans="1:11" x14ac:dyDescent="0.25">
      <c r="A59" s="37"/>
      <c r="B59" s="38"/>
      <c r="C59" s="39"/>
      <c r="D59" s="7"/>
      <c r="E59" s="9" t="s">
        <v>73</v>
      </c>
      <c r="F59" s="9" t="s">
        <v>79</v>
      </c>
      <c r="G59" s="21" t="s">
        <v>222</v>
      </c>
      <c r="H59" s="9"/>
      <c r="I59" s="7"/>
      <c r="J59" s="9"/>
      <c r="K59" s="21"/>
    </row>
    <row r="60" spans="1:11" x14ac:dyDescent="0.25">
      <c r="A60" s="37"/>
      <c r="B60" s="38"/>
      <c r="C60" s="39"/>
      <c r="D60" s="7"/>
      <c r="E60" s="9" t="s">
        <v>73</v>
      </c>
      <c r="F60" s="9" t="s">
        <v>79</v>
      </c>
      <c r="G60" s="21" t="s">
        <v>223</v>
      </c>
      <c r="H60" s="9"/>
      <c r="I60" s="7"/>
      <c r="J60" s="9"/>
      <c r="K60" s="21"/>
    </row>
    <row r="61" spans="1:11" x14ac:dyDescent="0.25">
      <c r="A61" s="37"/>
      <c r="B61" s="38"/>
      <c r="C61" s="39"/>
      <c r="D61" s="7"/>
      <c r="E61" s="9" t="s">
        <v>73</v>
      </c>
      <c r="F61" s="9" t="s">
        <v>79</v>
      </c>
      <c r="G61" s="21" t="s">
        <v>224</v>
      </c>
      <c r="H61" s="9"/>
      <c r="I61" s="7"/>
      <c r="J61" s="9"/>
      <c r="K61" s="21"/>
    </row>
    <row r="62" spans="1:11" x14ac:dyDescent="0.25">
      <c r="A62" s="37"/>
      <c r="B62" s="38"/>
      <c r="C62" s="39"/>
      <c r="D62" s="7"/>
      <c r="E62" s="9"/>
      <c r="F62" s="9"/>
      <c r="G62" s="21"/>
      <c r="H62" s="9"/>
      <c r="I62" s="7"/>
      <c r="J62" s="9"/>
      <c r="K62" s="21"/>
    </row>
    <row r="63" spans="1:11" x14ac:dyDescent="0.25">
      <c r="A63" s="37"/>
      <c r="B63" s="38"/>
      <c r="C63" s="39"/>
      <c r="D63" s="7"/>
      <c r="E63" s="9"/>
      <c r="F63" s="9"/>
      <c r="G63" s="21"/>
      <c r="H63" s="9"/>
      <c r="I63" s="7"/>
      <c r="J63" s="9"/>
      <c r="K63" s="21"/>
    </row>
    <row r="64" spans="1:11" x14ac:dyDescent="0.25">
      <c r="A64" s="37"/>
      <c r="B64" s="38"/>
      <c r="C64" s="39"/>
      <c r="D64" s="7"/>
      <c r="E64" s="9"/>
      <c r="F64" s="9"/>
      <c r="G64" s="21"/>
      <c r="H64" s="9"/>
      <c r="I64" s="7"/>
      <c r="J64" s="9"/>
      <c r="K64" s="21"/>
    </row>
    <row r="65" spans="1:11" x14ac:dyDescent="0.25">
      <c r="A65" s="37"/>
      <c r="B65" s="38"/>
      <c r="C65" s="39"/>
      <c r="D65" s="7"/>
      <c r="E65" s="9"/>
      <c r="F65" s="9"/>
      <c r="G65" s="21"/>
      <c r="H65" s="9"/>
      <c r="I65" s="7"/>
      <c r="J65" s="9"/>
      <c r="K65" s="21"/>
    </row>
    <row r="66" spans="1:11" x14ac:dyDescent="0.25">
      <c r="A66" s="37"/>
      <c r="B66" s="38"/>
      <c r="C66" s="39"/>
      <c r="D66" s="7"/>
      <c r="E66" s="9"/>
      <c r="F66" s="9"/>
      <c r="G66" s="21"/>
      <c r="H66" s="9"/>
      <c r="I66" s="7"/>
      <c r="J66" s="9"/>
      <c r="K66" s="21"/>
    </row>
    <row r="67" spans="1:11" x14ac:dyDescent="0.25">
      <c r="A67" s="37"/>
      <c r="B67" s="38"/>
      <c r="C67" s="39"/>
      <c r="D67" s="7"/>
      <c r="E67" s="9"/>
      <c r="F67" s="9"/>
      <c r="G67" s="21"/>
      <c r="H67" s="9"/>
      <c r="I67" s="7"/>
      <c r="J67" s="9"/>
      <c r="K67" s="21"/>
    </row>
    <row r="68" spans="1:11" x14ac:dyDescent="0.25">
      <c r="A68" s="37"/>
      <c r="B68" s="38"/>
      <c r="C68" s="39"/>
      <c r="D68" s="7"/>
      <c r="E68" s="9"/>
      <c r="F68" s="9"/>
      <c r="G68" s="21"/>
      <c r="H68" s="9"/>
      <c r="I68" s="7"/>
      <c r="J68" s="9"/>
      <c r="K68" s="21"/>
    </row>
    <row r="69" spans="1:11" x14ac:dyDescent="0.25">
      <c r="A69" s="37"/>
      <c r="B69" s="38"/>
      <c r="C69" s="39"/>
      <c r="D69" s="7"/>
      <c r="E69" s="9"/>
      <c r="F69" s="9"/>
      <c r="G69" s="21"/>
      <c r="H69" s="9"/>
      <c r="I69" s="7"/>
      <c r="J69" s="9"/>
      <c r="K69" s="21"/>
    </row>
    <row r="70" spans="1:11" x14ac:dyDescent="0.25">
      <c r="A70" s="37"/>
      <c r="B70" s="38"/>
      <c r="C70" s="39"/>
      <c r="D70" s="7"/>
      <c r="E70" s="9"/>
      <c r="F70" s="9"/>
      <c r="G70" s="21"/>
      <c r="H70" s="9"/>
      <c r="I70" s="7"/>
      <c r="J70" s="9"/>
      <c r="K70" s="21"/>
    </row>
    <row r="71" spans="1:11" x14ac:dyDescent="0.25">
      <c r="A71" s="37"/>
      <c r="B71" s="38"/>
      <c r="C71" s="39"/>
      <c r="D71" s="7"/>
      <c r="E71" s="9"/>
      <c r="F71" s="9"/>
      <c r="G71" s="21"/>
      <c r="H71" s="9"/>
      <c r="I71" s="7"/>
      <c r="J71" s="9"/>
      <c r="K71" s="21"/>
    </row>
    <row r="72" spans="1:11" x14ac:dyDescent="0.25">
      <c r="A72" s="37"/>
      <c r="B72" s="38"/>
      <c r="C72" s="39"/>
      <c r="D72" s="7"/>
      <c r="E72" s="9"/>
      <c r="F72" s="9"/>
      <c r="G72" s="21"/>
      <c r="H72" s="9"/>
      <c r="I72" s="7"/>
      <c r="J72" s="9"/>
      <c r="K72" s="21"/>
    </row>
    <row r="73" spans="1:11" x14ac:dyDescent="0.25">
      <c r="A73" s="37"/>
      <c r="B73" s="38"/>
      <c r="C73" s="39"/>
      <c r="D73" s="7"/>
      <c r="E73" s="9"/>
      <c r="F73" s="9"/>
      <c r="G73" s="21"/>
      <c r="H73" s="9"/>
      <c r="I73" s="7"/>
      <c r="J73" s="9"/>
      <c r="K73" s="21"/>
    </row>
    <row r="74" spans="1:11" x14ac:dyDescent="0.25">
      <c r="A74" s="37"/>
      <c r="B74" s="38"/>
      <c r="C74" s="39"/>
      <c r="D74" s="7"/>
      <c r="E74" s="9"/>
      <c r="F74" s="9"/>
      <c r="G74" s="21"/>
      <c r="H74" s="9"/>
      <c r="I74" s="7"/>
      <c r="J74" s="9"/>
      <c r="K74" s="21"/>
    </row>
    <row r="75" spans="1:11" x14ac:dyDescent="0.25">
      <c r="A75" s="37"/>
      <c r="B75" s="38"/>
      <c r="C75" s="39"/>
      <c r="D75" s="7"/>
      <c r="E75" s="9"/>
      <c r="F75" s="9"/>
      <c r="G75" s="21"/>
      <c r="H75" s="9"/>
      <c r="I75" s="7"/>
      <c r="J75" s="9"/>
      <c r="K75" s="21"/>
    </row>
    <row r="76" spans="1:11" x14ac:dyDescent="0.25">
      <c r="A76" s="37"/>
      <c r="B76" s="38"/>
      <c r="C76" s="39"/>
      <c r="D76" s="7"/>
      <c r="E76" s="9"/>
      <c r="F76" s="9"/>
      <c r="G76" s="21"/>
      <c r="H76" s="9"/>
      <c r="I76" s="7"/>
      <c r="J76" s="9"/>
      <c r="K76" s="21"/>
    </row>
    <row r="77" spans="1:11" x14ac:dyDescent="0.25">
      <c r="A77" s="37"/>
      <c r="B77" s="38"/>
      <c r="C77" s="39"/>
      <c r="D77" s="7"/>
      <c r="E77" s="9"/>
      <c r="F77" s="9"/>
      <c r="G77" s="21"/>
      <c r="H77" s="9"/>
      <c r="I77" s="7"/>
      <c r="J77" s="9"/>
      <c r="K77" s="21"/>
    </row>
    <row r="78" spans="1:11" x14ac:dyDescent="0.25">
      <c r="A78" s="37"/>
      <c r="B78" s="38"/>
      <c r="C78" s="39"/>
      <c r="D78" s="7"/>
      <c r="E78" s="9"/>
      <c r="F78" s="9"/>
      <c r="G78" s="21"/>
      <c r="H78" s="9"/>
      <c r="I78" s="7"/>
      <c r="J78" s="9"/>
      <c r="K78" s="21"/>
    </row>
    <row r="79" spans="1:11" x14ac:dyDescent="0.25">
      <c r="A79" s="37"/>
      <c r="B79" s="38"/>
      <c r="C79" s="39"/>
      <c r="D79" s="7"/>
      <c r="E79" s="9"/>
      <c r="F79" s="9"/>
      <c r="G79" s="21"/>
      <c r="H79" s="9"/>
      <c r="I79" s="7"/>
      <c r="J79" s="9"/>
      <c r="K79" s="21"/>
    </row>
    <row r="80" spans="1:11" x14ac:dyDescent="0.25">
      <c r="A80" s="37"/>
      <c r="B80" s="38"/>
      <c r="C80" s="39"/>
      <c r="D80" s="7"/>
      <c r="E80" s="9"/>
      <c r="F80" s="9"/>
      <c r="G80" s="21"/>
      <c r="H80" s="9"/>
      <c r="I80" s="7"/>
      <c r="J80" s="9"/>
      <c r="K80" s="21"/>
    </row>
    <row r="81" spans="1:11" x14ac:dyDescent="0.25">
      <c r="A81" s="37"/>
      <c r="B81" s="38"/>
      <c r="C81" s="39"/>
      <c r="D81" s="7"/>
      <c r="E81" s="9"/>
      <c r="F81" s="9"/>
      <c r="G81" s="21"/>
      <c r="H81" s="9"/>
      <c r="I81" s="7"/>
      <c r="J81" s="9"/>
      <c r="K81" s="21"/>
    </row>
    <row r="82" spans="1:11" x14ac:dyDescent="0.25">
      <c r="A82" s="37"/>
      <c r="B82" s="38"/>
      <c r="C82" s="39"/>
      <c r="D82" s="7"/>
      <c r="E82" s="9"/>
      <c r="F82" s="9"/>
      <c r="G82" s="21"/>
      <c r="H82" s="9"/>
      <c r="I82" s="7"/>
      <c r="J82" s="9"/>
      <c r="K82" s="21"/>
    </row>
    <row r="83" spans="1:11" x14ac:dyDescent="0.25">
      <c r="A83" s="37"/>
      <c r="B83" s="38"/>
      <c r="C83" s="39"/>
      <c r="D83" s="7"/>
      <c r="E83" s="9"/>
      <c r="F83" s="9"/>
      <c r="G83" s="21"/>
      <c r="H83" s="9"/>
      <c r="I83" s="7"/>
      <c r="J83" s="9"/>
      <c r="K83" s="21"/>
    </row>
    <row r="84" spans="1:11" x14ac:dyDescent="0.25">
      <c r="A84" s="37"/>
      <c r="B84" s="38"/>
      <c r="C84" s="39"/>
      <c r="D84" s="7"/>
      <c r="E84" s="9"/>
      <c r="F84" s="9"/>
      <c r="G84" s="21"/>
      <c r="H84" s="9"/>
      <c r="I84" s="7"/>
      <c r="J84" s="9"/>
      <c r="K84" s="21"/>
    </row>
    <row r="85" spans="1:11" x14ac:dyDescent="0.25">
      <c r="A85" s="37"/>
      <c r="B85" s="38"/>
      <c r="C85" s="39"/>
      <c r="D85" s="7"/>
      <c r="E85" s="9"/>
      <c r="F85" s="9"/>
      <c r="G85" s="21"/>
      <c r="H85" s="9"/>
      <c r="I85" s="7"/>
      <c r="J85" s="9"/>
      <c r="K85" s="21"/>
    </row>
    <row r="86" spans="1:11" x14ac:dyDescent="0.25">
      <c r="A86" s="37"/>
      <c r="B86" s="38"/>
      <c r="C86" s="39"/>
      <c r="D86" s="7"/>
      <c r="E86" s="9"/>
      <c r="F86" s="9"/>
      <c r="G86" s="21"/>
      <c r="H86" s="9"/>
      <c r="I86" s="7"/>
      <c r="J86" s="9"/>
      <c r="K86" s="21"/>
    </row>
    <row r="87" spans="1:11" x14ac:dyDescent="0.25">
      <c r="A87" s="37"/>
      <c r="B87" s="38"/>
      <c r="C87" s="39"/>
      <c r="D87" s="7"/>
      <c r="E87" s="9"/>
      <c r="F87" s="9"/>
      <c r="G87" s="21"/>
      <c r="H87" s="9"/>
      <c r="I87" s="7"/>
      <c r="J87" s="9"/>
      <c r="K87" s="21"/>
    </row>
    <row r="88" spans="1:11" x14ac:dyDescent="0.25">
      <c r="A88" s="37"/>
      <c r="B88" s="38"/>
      <c r="C88" s="39"/>
      <c r="D88" s="7"/>
      <c r="E88" s="9"/>
      <c r="F88" s="9"/>
      <c r="G88" s="21"/>
      <c r="H88" s="9"/>
      <c r="I88" s="7"/>
      <c r="J88" s="9"/>
      <c r="K88" s="21"/>
    </row>
    <row r="89" spans="1:11" x14ac:dyDescent="0.25">
      <c r="A89" s="37"/>
      <c r="B89" s="38"/>
      <c r="C89" s="39"/>
      <c r="D89" s="7"/>
      <c r="E89" s="9"/>
      <c r="F89" s="9"/>
      <c r="G89" s="21"/>
      <c r="H89" s="9"/>
      <c r="I89" s="7"/>
      <c r="J89" s="9"/>
      <c r="K89" s="21"/>
    </row>
    <row r="90" spans="1:11" x14ac:dyDescent="0.25">
      <c r="A90" s="37"/>
      <c r="B90" s="38"/>
      <c r="C90" s="39"/>
      <c r="D90" s="7"/>
      <c r="E90" s="9"/>
      <c r="F90" s="9"/>
      <c r="G90" s="21"/>
      <c r="H90" s="9"/>
      <c r="I90" s="7"/>
      <c r="J90" s="9"/>
      <c r="K90" s="21"/>
    </row>
    <row r="91" spans="1:11" x14ac:dyDescent="0.25">
      <c r="A91" s="37"/>
      <c r="B91" s="38"/>
      <c r="C91" s="39"/>
      <c r="D91" s="7"/>
      <c r="E91" s="9"/>
      <c r="F91" s="9"/>
      <c r="G91" s="21"/>
      <c r="H91" s="9"/>
      <c r="I91" s="7"/>
      <c r="J91" s="9"/>
      <c r="K91" s="21"/>
    </row>
    <row r="92" spans="1:11" x14ac:dyDescent="0.25">
      <c r="A92" s="37"/>
      <c r="B92" s="38"/>
      <c r="C92" s="39"/>
      <c r="D92" s="7"/>
      <c r="E92" s="9"/>
      <c r="F92" s="9"/>
      <c r="G92" s="21"/>
      <c r="H92" s="9"/>
      <c r="I92" s="7"/>
      <c r="J92" s="9"/>
      <c r="K92" s="21"/>
    </row>
    <row r="93" spans="1:11" x14ac:dyDescent="0.25">
      <c r="A93" s="37"/>
      <c r="B93" s="38"/>
      <c r="C93" s="39"/>
      <c r="D93" s="7"/>
      <c r="E93" s="9"/>
      <c r="F93" s="9"/>
      <c r="G93" s="21"/>
      <c r="H93" s="9"/>
      <c r="I93" s="7"/>
      <c r="J93" s="9"/>
      <c r="K93" s="21"/>
    </row>
    <row r="94" spans="1:11" x14ac:dyDescent="0.25">
      <c r="A94" s="37"/>
      <c r="B94" s="38"/>
      <c r="C94" s="39"/>
      <c r="D94" s="7"/>
      <c r="E94" s="9"/>
      <c r="F94" s="9"/>
      <c r="G94" s="21"/>
      <c r="H94" s="9"/>
      <c r="I94" s="7"/>
      <c r="J94" s="9"/>
      <c r="K94" s="21"/>
    </row>
    <row r="95" spans="1:11" x14ac:dyDescent="0.25">
      <c r="A95" s="37"/>
      <c r="B95" s="38"/>
      <c r="C95" s="39"/>
      <c r="D95" s="7"/>
      <c r="E95" s="9"/>
      <c r="F95" s="9"/>
      <c r="G95" s="21"/>
      <c r="H95" s="9"/>
      <c r="I95" s="7"/>
      <c r="J95" s="9"/>
      <c r="K95" s="21"/>
    </row>
    <row r="96" spans="1:11" x14ac:dyDescent="0.25">
      <c r="A96" s="37"/>
      <c r="B96" s="38"/>
      <c r="C96" s="39"/>
      <c r="D96" s="7"/>
      <c r="E96" s="9"/>
      <c r="F96" s="9"/>
      <c r="G96" s="21"/>
      <c r="H96" s="9"/>
      <c r="I96" s="7"/>
      <c r="J96" s="9"/>
      <c r="K96" s="21"/>
    </row>
    <row r="97" spans="1:11" x14ac:dyDescent="0.25">
      <c r="A97" s="37"/>
      <c r="B97" s="38"/>
      <c r="C97" s="39"/>
      <c r="D97" s="7"/>
      <c r="E97" s="9"/>
      <c r="F97" s="9"/>
      <c r="G97" s="21"/>
      <c r="H97" s="9"/>
      <c r="I97" s="7"/>
      <c r="J97" s="9"/>
      <c r="K97" s="21"/>
    </row>
    <row r="98" spans="1:11" x14ac:dyDescent="0.25">
      <c r="A98" s="37"/>
      <c r="B98" s="38"/>
      <c r="C98" s="39"/>
      <c r="D98" s="7"/>
      <c r="E98" s="9"/>
      <c r="F98" s="9"/>
      <c r="G98" s="21"/>
      <c r="H98" s="9"/>
      <c r="I98" s="7"/>
      <c r="J98" s="9"/>
      <c r="K98" s="21"/>
    </row>
    <row r="99" spans="1:11" x14ac:dyDescent="0.25">
      <c r="A99" s="37"/>
      <c r="B99" s="38"/>
      <c r="C99" s="39"/>
      <c r="D99" s="7"/>
      <c r="E99" s="9"/>
      <c r="F99" s="9"/>
      <c r="G99" s="21"/>
      <c r="H99" s="9"/>
      <c r="I99" s="7"/>
      <c r="J99" s="9"/>
      <c r="K99" s="21"/>
    </row>
    <row r="100" spans="1:11" x14ac:dyDescent="0.25">
      <c r="A100" s="37"/>
      <c r="B100" s="38"/>
      <c r="C100" s="39"/>
      <c r="D100" s="7"/>
      <c r="E100" s="9"/>
      <c r="F100" s="9"/>
      <c r="G100" s="21"/>
      <c r="H100" s="9"/>
      <c r="I100" s="7"/>
      <c r="J100" s="9"/>
      <c r="K100" s="21"/>
    </row>
    <row r="101" spans="1:11" x14ac:dyDescent="0.25">
      <c r="A101" s="37"/>
      <c r="B101" s="38"/>
      <c r="C101" s="39"/>
      <c r="D101" s="7"/>
      <c r="E101" s="9"/>
      <c r="F101" s="9"/>
      <c r="G101" s="21"/>
      <c r="H101" s="9"/>
      <c r="I101" s="7"/>
      <c r="J101" s="9"/>
      <c r="K101" s="21"/>
    </row>
    <row r="102" spans="1:11" x14ac:dyDescent="0.25">
      <c r="A102" s="37"/>
      <c r="B102" s="38"/>
      <c r="C102" s="39"/>
      <c r="D102" s="7"/>
      <c r="E102" s="9"/>
      <c r="F102" s="9"/>
      <c r="G102" s="21"/>
      <c r="H102" s="9"/>
      <c r="I102" s="7"/>
      <c r="J102" s="9"/>
      <c r="K102" s="21"/>
    </row>
    <row r="103" spans="1:11" x14ac:dyDescent="0.25">
      <c r="A103" s="37"/>
      <c r="B103" s="38"/>
      <c r="C103" s="39"/>
      <c r="D103" s="7"/>
      <c r="E103" s="9"/>
      <c r="F103" s="9"/>
      <c r="G103" s="21"/>
      <c r="H103" s="9"/>
      <c r="I103" s="7"/>
      <c r="J103" s="9"/>
      <c r="K103" s="21"/>
    </row>
    <row r="104" spans="1:11" x14ac:dyDescent="0.25">
      <c r="A104" s="37"/>
      <c r="B104" s="38"/>
      <c r="C104" s="39"/>
      <c r="D104" s="7"/>
      <c r="E104" s="9"/>
      <c r="F104" s="9"/>
      <c r="G104" s="21"/>
      <c r="H104" s="9"/>
      <c r="I104" s="7"/>
      <c r="J104" s="9"/>
      <c r="K104" s="21"/>
    </row>
    <row r="105" spans="1:11" x14ac:dyDescent="0.25">
      <c r="A105" s="37"/>
      <c r="B105" s="38"/>
      <c r="C105" s="39"/>
      <c r="D105" s="7"/>
      <c r="E105" s="9"/>
      <c r="F105" s="9"/>
      <c r="G105" s="21"/>
      <c r="H105" s="9"/>
      <c r="I105" s="7"/>
      <c r="J105" s="9"/>
      <c r="K105" s="21"/>
    </row>
    <row r="106" spans="1:11" x14ac:dyDescent="0.25">
      <c r="A106" s="37"/>
      <c r="B106" s="38"/>
      <c r="C106" s="39"/>
      <c r="D106" s="7"/>
      <c r="E106" s="9"/>
      <c r="F106" s="9"/>
      <c r="G106" s="21"/>
      <c r="H106" s="9"/>
      <c r="I106" s="7"/>
      <c r="J106" s="9"/>
      <c r="K106" s="21"/>
    </row>
    <row r="107" spans="1:11" x14ac:dyDescent="0.25">
      <c r="A107" s="37"/>
      <c r="B107" s="38"/>
      <c r="C107" s="39"/>
      <c r="D107" s="7"/>
      <c r="E107" s="9"/>
      <c r="F107" s="9"/>
      <c r="G107" s="21"/>
      <c r="H107" s="9"/>
      <c r="I107" s="7"/>
      <c r="J107" s="9"/>
      <c r="K107" s="21"/>
    </row>
    <row r="108" spans="1:11" x14ac:dyDescent="0.25">
      <c r="A108" s="37"/>
      <c r="B108" s="38"/>
      <c r="C108" s="39"/>
      <c r="D108" s="7"/>
      <c r="E108" s="9"/>
      <c r="F108" s="9"/>
      <c r="G108" s="21"/>
      <c r="H108" s="9"/>
      <c r="I108" s="7"/>
      <c r="J108" s="9"/>
      <c r="K108" s="21"/>
    </row>
    <row r="109" spans="1:11" x14ac:dyDescent="0.25">
      <c r="A109" s="37"/>
      <c r="B109" s="38"/>
      <c r="C109" s="39"/>
      <c r="D109" s="7"/>
      <c r="E109" s="9"/>
      <c r="F109" s="9"/>
      <c r="G109" s="21"/>
      <c r="H109" s="9"/>
      <c r="I109" s="7"/>
      <c r="J109" s="9"/>
      <c r="K109" s="21"/>
    </row>
    <row r="110" spans="1:11" x14ac:dyDescent="0.25">
      <c r="A110" s="37"/>
      <c r="B110" s="38"/>
      <c r="C110" s="39"/>
      <c r="D110" s="7"/>
      <c r="E110" s="9"/>
      <c r="F110" s="9"/>
      <c r="G110" s="21"/>
      <c r="H110" s="9"/>
      <c r="I110" s="7"/>
      <c r="J110" s="9"/>
      <c r="K110" s="21"/>
    </row>
    <row r="111" spans="1:11" x14ac:dyDescent="0.25">
      <c r="A111" s="37"/>
      <c r="B111" s="38"/>
      <c r="C111" s="39"/>
      <c r="D111" s="7"/>
      <c r="E111" s="9"/>
      <c r="F111" s="9"/>
      <c r="G111" s="21"/>
      <c r="H111" s="9"/>
      <c r="I111" s="7"/>
      <c r="J111" s="9"/>
      <c r="K111" s="21"/>
    </row>
    <row r="112" spans="1:11" x14ac:dyDescent="0.25">
      <c r="A112" s="37"/>
      <c r="B112" s="38"/>
      <c r="C112" s="39"/>
      <c r="D112" s="7"/>
      <c r="E112" s="9"/>
      <c r="F112" s="9"/>
      <c r="G112" s="21"/>
      <c r="H112" s="9"/>
      <c r="I112" s="7"/>
      <c r="J112" s="9"/>
      <c r="K112" s="21"/>
    </row>
    <row r="113" spans="1:11" x14ac:dyDescent="0.25">
      <c r="A113" s="37"/>
      <c r="B113" s="38"/>
      <c r="C113" s="39"/>
      <c r="D113" s="7"/>
      <c r="E113" s="9"/>
      <c r="F113" s="9"/>
      <c r="G113" s="21"/>
      <c r="H113" s="9"/>
      <c r="I113" s="7"/>
      <c r="J113" s="9"/>
      <c r="K113" s="21"/>
    </row>
    <row r="114" spans="1:11" x14ac:dyDescent="0.25">
      <c r="A114" s="37"/>
      <c r="B114" s="38"/>
      <c r="C114" s="39"/>
      <c r="D114" s="7"/>
      <c r="E114" s="9"/>
      <c r="F114" s="9"/>
      <c r="G114" s="21"/>
      <c r="H114" s="9"/>
      <c r="I114" s="7"/>
      <c r="J114" s="9"/>
      <c r="K114" s="21"/>
    </row>
    <row r="115" spans="1:11" x14ac:dyDescent="0.25">
      <c r="A115" s="37"/>
      <c r="B115" s="38"/>
      <c r="C115" s="39"/>
      <c r="D115" s="7"/>
      <c r="E115" s="9"/>
      <c r="F115" s="9"/>
      <c r="G115" s="21"/>
      <c r="H115" s="9"/>
      <c r="I115" s="7"/>
      <c r="J115" s="9"/>
      <c r="K115" s="21"/>
    </row>
    <row r="116" spans="1:11" x14ac:dyDescent="0.25">
      <c r="A116" s="37"/>
      <c r="B116" s="38"/>
      <c r="C116" s="39"/>
      <c r="D116" s="7"/>
      <c r="E116" s="9"/>
      <c r="F116" s="9"/>
      <c r="G116" s="21"/>
      <c r="H116" s="9"/>
      <c r="I116" s="7"/>
      <c r="J116" s="9"/>
      <c r="K116" s="21"/>
    </row>
    <row r="117" spans="1:11" x14ac:dyDescent="0.25">
      <c r="A117" s="37"/>
      <c r="B117" s="38"/>
      <c r="C117" s="39"/>
      <c r="D117" s="7"/>
      <c r="E117" s="9"/>
      <c r="F117" s="9"/>
      <c r="G117" s="21"/>
      <c r="H117" s="9"/>
      <c r="I117" s="7"/>
      <c r="J117" s="9"/>
      <c r="K117" s="21"/>
    </row>
    <row r="118" spans="1:11" x14ac:dyDescent="0.25">
      <c r="A118" s="37"/>
      <c r="B118" s="38"/>
      <c r="C118" s="39"/>
      <c r="D118" s="7"/>
      <c r="E118" s="9"/>
      <c r="F118" s="9"/>
      <c r="G118" s="21"/>
      <c r="H118" s="9"/>
      <c r="I118" s="7"/>
      <c r="J118" s="9"/>
      <c r="K118" s="21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44 E48 E62:E118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9"/>
  <sheetViews>
    <sheetView topLeftCell="A69" workbookViewId="0">
      <selection activeCell="A80" sqref="A80"/>
    </sheetView>
  </sheetViews>
  <sheetFormatPr defaultRowHeight="15" x14ac:dyDescent="0.25"/>
  <cols>
    <col min="1" max="1" width="44.71093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51" t="s">
        <v>0</v>
      </c>
      <c r="B5" s="151"/>
      <c r="C5" s="151"/>
      <c r="D5" s="151"/>
      <c r="E5" s="151"/>
      <c r="F5" s="151"/>
      <c r="G5" s="151"/>
      <c r="H5" s="151"/>
      <c r="I5" s="151"/>
      <c r="J5" s="151"/>
      <c r="K5" s="151"/>
      <c r="L5" s="151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52" t="s">
        <v>1</v>
      </c>
      <c r="B7" s="152"/>
      <c r="C7" s="152"/>
      <c r="D7" s="152"/>
      <c r="E7" s="152"/>
      <c r="F7" s="152"/>
      <c r="G7" s="152"/>
      <c r="H7" s="152"/>
      <c r="I7" s="152"/>
      <c r="J7" s="152"/>
      <c r="K7" s="152"/>
      <c r="L7" s="152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66" t="s">
        <v>32</v>
      </c>
      <c r="B10" s="155"/>
      <c r="C10" s="167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66</v>
      </c>
      <c r="B12" s="40"/>
      <c r="C12" s="40"/>
    </row>
    <row r="13" spans="1:12" x14ac:dyDescent="0.25">
      <c r="A13" t="s">
        <v>67</v>
      </c>
      <c r="B13" s="40"/>
      <c r="C13" s="40"/>
    </row>
    <row r="14" spans="1:12" x14ac:dyDescent="0.25">
      <c r="A14" t="s">
        <v>70</v>
      </c>
      <c r="B14" s="40"/>
      <c r="C14" s="40"/>
    </row>
    <row r="15" spans="1:12" x14ac:dyDescent="0.25">
      <c r="A15" t="s">
        <v>71</v>
      </c>
      <c r="B15" s="40"/>
      <c r="C15" s="40"/>
    </row>
    <row r="16" spans="1:12" x14ac:dyDescent="0.25">
      <c r="A16" t="s">
        <v>72</v>
      </c>
      <c r="B16" s="40"/>
      <c r="C16" s="40"/>
    </row>
    <row r="17" spans="1:3" x14ac:dyDescent="0.25">
      <c r="A17" t="s">
        <v>74</v>
      </c>
      <c r="B17" s="40"/>
      <c r="C17" s="40"/>
    </row>
    <row r="18" spans="1:3" x14ac:dyDescent="0.25">
      <c r="A18" t="s">
        <v>75</v>
      </c>
      <c r="B18" s="40"/>
      <c r="C18" s="40"/>
    </row>
    <row r="19" spans="1:3" x14ac:dyDescent="0.25">
      <c r="A19" t="s">
        <v>76</v>
      </c>
      <c r="B19" s="40"/>
      <c r="C19" s="40"/>
    </row>
    <row r="20" spans="1:3" x14ac:dyDescent="0.25">
      <c r="A20" t="s">
        <v>80</v>
      </c>
      <c r="B20" s="40"/>
      <c r="C20" s="40"/>
    </row>
    <row r="21" spans="1:3" x14ac:dyDescent="0.25">
      <c r="A21" t="s">
        <v>81</v>
      </c>
      <c r="B21" s="40"/>
      <c r="C21" s="40"/>
    </row>
    <row r="22" spans="1:3" x14ac:dyDescent="0.25">
      <c r="A22" t="s">
        <v>82</v>
      </c>
      <c r="B22" s="40"/>
      <c r="C22" s="40"/>
    </row>
    <row r="23" spans="1:3" x14ac:dyDescent="0.25">
      <c r="A23" t="s">
        <v>83</v>
      </c>
      <c r="B23" s="40"/>
      <c r="C23" s="40"/>
    </row>
    <row r="24" spans="1:3" x14ac:dyDescent="0.25">
      <c r="A24" t="s">
        <v>102</v>
      </c>
      <c r="B24" s="40"/>
      <c r="C24" s="40"/>
    </row>
    <row r="25" spans="1:3" x14ac:dyDescent="0.25">
      <c r="A25" t="s">
        <v>103</v>
      </c>
      <c r="B25" s="40"/>
      <c r="C25" s="40"/>
    </row>
    <row r="26" spans="1:3" x14ac:dyDescent="0.25">
      <c r="A26" t="s">
        <v>104</v>
      </c>
      <c r="B26" s="40"/>
      <c r="C26" s="40"/>
    </row>
    <row r="27" spans="1:3" x14ac:dyDescent="0.25">
      <c r="A27" t="s">
        <v>105</v>
      </c>
      <c r="B27" s="40"/>
      <c r="C27" s="40"/>
    </row>
    <row r="28" spans="1:3" x14ac:dyDescent="0.25">
      <c r="A28" t="s">
        <v>106</v>
      </c>
      <c r="B28" s="40"/>
      <c r="C28" s="40"/>
    </row>
    <row r="29" spans="1:3" x14ac:dyDescent="0.25">
      <c r="A29" t="s">
        <v>107</v>
      </c>
      <c r="B29" s="40"/>
      <c r="C29" s="40"/>
    </row>
    <row r="30" spans="1:3" x14ac:dyDescent="0.25">
      <c r="A30" t="s">
        <v>108</v>
      </c>
      <c r="B30" s="40"/>
      <c r="C30" s="40"/>
    </row>
    <row r="31" spans="1:3" x14ac:dyDescent="0.25">
      <c r="A31" t="s">
        <v>109</v>
      </c>
      <c r="B31" s="40"/>
      <c r="C31" s="40"/>
    </row>
    <row r="32" spans="1:3" x14ac:dyDescent="0.25">
      <c r="A32" t="s">
        <v>110</v>
      </c>
      <c r="B32" s="40"/>
      <c r="C32" s="40"/>
    </row>
    <row r="33" spans="1:3" x14ac:dyDescent="0.25">
      <c r="A33" t="s">
        <v>111</v>
      </c>
      <c r="B33" s="40"/>
      <c r="C33" s="40"/>
    </row>
    <row r="34" spans="1:3" x14ac:dyDescent="0.25">
      <c r="A34" t="s">
        <v>84</v>
      </c>
      <c r="B34" s="40"/>
      <c r="C34" s="40"/>
    </row>
    <row r="35" spans="1:3" x14ac:dyDescent="0.25">
      <c r="A35" t="s">
        <v>85</v>
      </c>
      <c r="B35" s="40"/>
      <c r="C35" s="40"/>
    </row>
    <row r="36" spans="1:3" x14ac:dyDescent="0.25">
      <c r="A36" t="s">
        <v>86</v>
      </c>
      <c r="B36" s="40"/>
      <c r="C36" s="40"/>
    </row>
    <row r="37" spans="1:3" x14ac:dyDescent="0.25">
      <c r="A37" t="s">
        <v>87</v>
      </c>
      <c r="B37" s="40"/>
      <c r="C37" s="40"/>
    </row>
    <row r="38" spans="1:3" x14ac:dyDescent="0.25">
      <c r="A38" t="s">
        <v>88</v>
      </c>
      <c r="B38" s="40"/>
      <c r="C38" s="40"/>
    </row>
    <row r="39" spans="1:3" x14ac:dyDescent="0.25">
      <c r="A39" t="s">
        <v>89</v>
      </c>
      <c r="B39" s="40"/>
      <c r="C39" s="40"/>
    </row>
    <row r="40" spans="1:3" x14ac:dyDescent="0.25">
      <c r="A40" t="s">
        <v>90</v>
      </c>
      <c r="B40" s="40"/>
      <c r="C40" s="40"/>
    </row>
    <row r="41" spans="1:3" x14ac:dyDescent="0.25">
      <c r="A41" t="s">
        <v>91</v>
      </c>
      <c r="B41" s="40"/>
      <c r="C41" s="40"/>
    </row>
    <row r="42" spans="1:3" x14ac:dyDescent="0.25">
      <c r="A42" t="s">
        <v>92</v>
      </c>
      <c r="B42" s="40"/>
      <c r="C42" s="40"/>
    </row>
    <row r="43" spans="1:3" x14ac:dyDescent="0.25">
      <c r="A43" t="s">
        <v>93</v>
      </c>
      <c r="B43" s="40"/>
      <c r="C43" s="40"/>
    </row>
    <row r="44" spans="1:3" x14ac:dyDescent="0.25">
      <c r="A44" t="s">
        <v>94</v>
      </c>
      <c r="B44" s="40"/>
      <c r="C44" s="40"/>
    </row>
    <row r="45" spans="1:3" x14ac:dyDescent="0.25">
      <c r="A45" t="s">
        <v>95</v>
      </c>
      <c r="B45" s="40"/>
      <c r="C45" s="40"/>
    </row>
    <row r="46" spans="1:3" x14ac:dyDescent="0.25">
      <c r="A46" t="s">
        <v>96</v>
      </c>
      <c r="B46" s="40"/>
      <c r="C46" s="40"/>
    </row>
    <row r="47" spans="1:3" x14ac:dyDescent="0.25">
      <c r="A47" t="s">
        <v>98</v>
      </c>
      <c r="B47" s="40"/>
      <c r="C47" s="40"/>
    </row>
    <row r="48" spans="1:3" x14ac:dyDescent="0.25">
      <c r="A48" t="s">
        <v>99</v>
      </c>
      <c r="B48" s="40"/>
      <c r="C48" s="40"/>
    </row>
    <row r="49" spans="1:3" x14ac:dyDescent="0.25">
      <c r="A49" t="s">
        <v>100</v>
      </c>
      <c r="B49" s="40"/>
      <c r="C49" s="40"/>
    </row>
    <row r="50" spans="1:3" x14ac:dyDescent="0.25">
      <c r="A50" t="s">
        <v>101</v>
      </c>
      <c r="B50" s="40"/>
      <c r="C50" s="40"/>
    </row>
    <row r="51" spans="1:3" x14ac:dyDescent="0.25">
      <c r="A51" t="s">
        <v>113</v>
      </c>
      <c r="B51" s="40"/>
      <c r="C51" s="40"/>
    </row>
    <row r="52" spans="1:3" x14ac:dyDescent="0.25">
      <c r="A52" t="s">
        <v>114</v>
      </c>
      <c r="B52" s="40"/>
      <c r="C52" s="40"/>
    </row>
    <row r="53" spans="1:3" x14ac:dyDescent="0.25">
      <c r="A53" t="s">
        <v>115</v>
      </c>
      <c r="B53" s="40"/>
      <c r="C53" s="40"/>
    </row>
    <row r="54" spans="1:3" x14ac:dyDescent="0.25">
      <c r="A54" t="s">
        <v>123</v>
      </c>
      <c r="B54" s="40"/>
      <c r="C54" s="40"/>
    </row>
    <row r="55" spans="1:3" x14ac:dyDescent="0.25">
      <c r="A55" t="s">
        <v>124</v>
      </c>
      <c r="B55" s="40"/>
      <c r="C55" s="40"/>
    </row>
    <row r="56" spans="1:3" x14ac:dyDescent="0.25">
      <c r="A56" t="s">
        <v>121</v>
      </c>
      <c r="B56" s="40"/>
      <c r="C56" s="40"/>
    </row>
    <row r="57" spans="1:3" x14ac:dyDescent="0.25">
      <c r="A57" t="s">
        <v>122</v>
      </c>
      <c r="B57" s="40"/>
      <c r="C57" s="40"/>
    </row>
    <row r="58" spans="1:3" x14ac:dyDescent="0.25">
      <c r="A58" t="s">
        <v>125</v>
      </c>
      <c r="B58" s="40"/>
      <c r="C58" s="40"/>
    </row>
    <row r="59" spans="1:3" x14ac:dyDescent="0.25">
      <c r="A59" t="s">
        <v>126</v>
      </c>
      <c r="B59" s="40"/>
      <c r="C59" s="40"/>
    </row>
    <row r="60" spans="1:3" x14ac:dyDescent="0.25">
      <c r="A60" t="s">
        <v>127</v>
      </c>
      <c r="B60" s="40"/>
      <c r="C60" s="40"/>
    </row>
    <row r="61" spans="1:3" x14ac:dyDescent="0.25">
      <c r="A61" t="s">
        <v>128</v>
      </c>
      <c r="B61" s="40"/>
      <c r="C61" s="40"/>
    </row>
    <row r="62" spans="1:3" x14ac:dyDescent="0.25">
      <c r="A62" t="s">
        <v>149</v>
      </c>
      <c r="B62" s="40"/>
      <c r="C62" s="40"/>
    </row>
    <row r="63" spans="1:3" x14ac:dyDescent="0.25">
      <c r="A63" t="s">
        <v>132</v>
      </c>
      <c r="B63" s="40"/>
      <c r="C63" s="40"/>
    </row>
    <row r="64" spans="1:3" x14ac:dyDescent="0.25">
      <c r="A64" t="s">
        <v>133</v>
      </c>
      <c r="B64" s="40"/>
      <c r="C64" s="40"/>
    </row>
    <row r="65" spans="1:3" x14ac:dyDescent="0.25">
      <c r="A65" t="s">
        <v>136</v>
      </c>
      <c r="B65" s="40"/>
      <c r="C65" s="40"/>
    </row>
    <row r="66" spans="1:3" x14ac:dyDescent="0.25">
      <c r="A66" t="s">
        <v>138</v>
      </c>
      <c r="B66" s="40"/>
      <c r="C66" s="40"/>
    </row>
    <row r="67" spans="1:3" x14ac:dyDescent="0.25">
      <c r="A67" t="s">
        <v>139</v>
      </c>
      <c r="B67" s="40"/>
      <c r="C67" s="40"/>
    </row>
    <row r="68" spans="1:3" x14ac:dyDescent="0.25">
      <c r="A68" t="s">
        <v>137</v>
      </c>
      <c r="B68" s="40"/>
      <c r="C68" s="40"/>
    </row>
    <row r="69" spans="1:3" x14ac:dyDescent="0.25">
      <c r="A69" t="s">
        <v>134</v>
      </c>
      <c r="B69" s="40"/>
      <c r="C69" s="40"/>
    </row>
    <row r="70" spans="1:3" x14ac:dyDescent="0.25">
      <c r="A70" t="s">
        <v>135</v>
      </c>
      <c r="B70" s="40"/>
      <c r="C70" s="40"/>
    </row>
    <row r="71" spans="1:3" x14ac:dyDescent="0.25">
      <c r="A71" t="s">
        <v>130</v>
      </c>
      <c r="B71" s="40"/>
      <c r="C71" s="40"/>
    </row>
    <row r="72" spans="1:3" x14ac:dyDescent="0.25">
      <c r="A72" t="s">
        <v>131</v>
      </c>
      <c r="B72" s="40"/>
      <c r="C72" s="40"/>
    </row>
    <row r="73" spans="1:3" x14ac:dyDescent="0.25">
      <c r="A73" t="s">
        <v>140</v>
      </c>
      <c r="B73" s="40"/>
      <c r="C73" s="40"/>
    </row>
    <row r="74" spans="1:3" x14ac:dyDescent="0.25">
      <c r="A74" t="s">
        <v>141</v>
      </c>
      <c r="B74" s="40"/>
      <c r="C74" s="40"/>
    </row>
    <row r="75" spans="1:3" x14ac:dyDescent="0.25">
      <c r="A75" t="s">
        <v>142</v>
      </c>
      <c r="B75" s="40"/>
      <c r="C75" s="40"/>
    </row>
    <row r="76" spans="1:3" x14ac:dyDescent="0.25">
      <c r="A76" t="s">
        <v>150</v>
      </c>
      <c r="B76" s="40"/>
      <c r="C76" s="40"/>
    </row>
    <row r="77" spans="1:3" x14ac:dyDescent="0.25">
      <c r="A77" t="s">
        <v>143</v>
      </c>
      <c r="B77" s="40"/>
      <c r="C77" s="40"/>
    </row>
    <row r="78" spans="1:3" x14ac:dyDescent="0.25">
      <c r="A78" t="s">
        <v>144</v>
      </c>
      <c r="B78" s="40"/>
      <c r="C78" s="40"/>
    </row>
    <row r="79" spans="1:3" x14ac:dyDescent="0.25">
      <c r="A79" t="s">
        <v>145</v>
      </c>
      <c r="B79" s="40"/>
      <c r="C79" s="40"/>
    </row>
    <row r="80" spans="1:3" x14ac:dyDescent="0.25">
      <c r="A80" t="s">
        <v>146</v>
      </c>
      <c r="B80" s="40"/>
      <c r="C80" s="40"/>
    </row>
    <row r="81" spans="1:3" x14ac:dyDescent="0.25">
      <c r="A81" t="s">
        <v>147</v>
      </c>
      <c r="B81" s="40"/>
      <c r="C81" s="40"/>
    </row>
    <row r="82" spans="1:3" x14ac:dyDescent="0.25">
      <c r="A82" t="s">
        <v>148</v>
      </c>
      <c r="B82" s="40"/>
      <c r="C82" s="40"/>
    </row>
    <row r="83" spans="1:3" x14ac:dyDescent="0.25">
      <c r="A83" t="s">
        <v>151</v>
      </c>
      <c r="B83" s="40"/>
      <c r="C83" s="40"/>
    </row>
    <row r="84" spans="1:3" x14ac:dyDescent="0.25">
      <c r="A84" t="s">
        <v>165</v>
      </c>
      <c r="B84" s="40"/>
      <c r="C84" s="40"/>
    </row>
    <row r="85" spans="1:3" x14ac:dyDescent="0.25">
      <c r="A85" t="s">
        <v>166</v>
      </c>
      <c r="B85" s="40"/>
      <c r="C85" s="40"/>
    </row>
    <row r="86" spans="1:3" x14ac:dyDescent="0.25">
      <c r="A86" t="s">
        <v>167</v>
      </c>
      <c r="B86" s="40"/>
      <c r="C86" s="40"/>
    </row>
    <row r="87" spans="1:3" x14ac:dyDescent="0.25">
      <c r="A87" t="s">
        <v>168</v>
      </c>
      <c r="B87" s="40"/>
      <c r="C87" s="40"/>
    </row>
    <row r="88" spans="1:3" x14ac:dyDescent="0.25">
      <c r="A88" t="s">
        <v>169</v>
      </c>
      <c r="B88" s="40"/>
      <c r="C88" s="40"/>
    </row>
    <row r="89" spans="1:3" x14ac:dyDescent="0.25">
      <c r="A89" t="s">
        <v>170</v>
      </c>
      <c r="B89" s="40"/>
      <c r="C89" s="40"/>
    </row>
    <row r="90" spans="1:3" x14ac:dyDescent="0.25">
      <c r="A90" t="s">
        <v>215</v>
      </c>
      <c r="B90" s="40"/>
      <c r="C90" s="40"/>
    </row>
    <row r="91" spans="1:3" x14ac:dyDescent="0.25">
      <c r="A91" t="s">
        <v>216</v>
      </c>
      <c r="B91" s="40"/>
      <c r="C91" s="40"/>
    </row>
    <row r="92" spans="1:3" x14ac:dyDescent="0.25">
      <c r="A92" t="s">
        <v>217</v>
      </c>
      <c r="B92" s="40"/>
      <c r="C92" s="40"/>
    </row>
    <row r="93" spans="1:3" x14ac:dyDescent="0.25">
      <c r="A93" t="s">
        <v>218</v>
      </c>
      <c r="B93" s="40"/>
      <c r="C93" s="40"/>
    </row>
    <row r="94" spans="1:3" x14ac:dyDescent="0.25">
      <c r="A94" t="s">
        <v>219</v>
      </c>
      <c r="B94" s="40"/>
      <c r="C94" s="40"/>
    </row>
    <row r="95" spans="1:3" x14ac:dyDescent="0.25">
      <c r="A95" t="s">
        <v>220</v>
      </c>
      <c r="B95" s="40"/>
      <c r="C95" s="40"/>
    </row>
    <row r="96" spans="1:3" x14ac:dyDescent="0.25">
      <c r="A96" t="s">
        <v>221</v>
      </c>
      <c r="B96" s="40"/>
      <c r="C96" s="40"/>
    </row>
    <row r="97" spans="1:3" x14ac:dyDescent="0.25">
      <c r="A97" t="s">
        <v>222</v>
      </c>
      <c r="B97" s="40"/>
      <c r="C97" s="40"/>
    </row>
    <row r="98" spans="1:3" x14ac:dyDescent="0.25">
      <c r="A98" t="s">
        <v>223</v>
      </c>
      <c r="B98" s="40"/>
      <c r="C98" s="40"/>
    </row>
    <row r="99" spans="1:3" x14ac:dyDescent="0.25">
      <c r="A99" t="s">
        <v>224</v>
      </c>
      <c r="B99" s="40"/>
      <c r="C99" s="40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75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51" t="s">
        <v>0</v>
      </c>
      <c r="B5" s="151"/>
      <c r="C5" s="151"/>
      <c r="D5" s="151"/>
      <c r="E5" s="151"/>
      <c r="F5" s="15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52" t="s">
        <v>129</v>
      </c>
      <c r="B7" s="152"/>
      <c r="C7" s="152"/>
      <c r="D7" s="152"/>
      <c r="E7" s="152"/>
      <c r="F7" s="15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72" t="s">
        <v>39</v>
      </c>
      <c r="B9" s="173"/>
      <c r="C9" s="174"/>
      <c r="D9" s="1"/>
      <c r="E9" s="1"/>
      <c r="F9" s="1"/>
    </row>
    <row r="10" spans="1:6" ht="15.75" thickBot="1" x14ac:dyDescent="0.3">
      <c r="A10" s="13" t="s">
        <v>36</v>
      </c>
      <c r="B10" s="175">
        <v>0</v>
      </c>
      <c r="C10" s="176"/>
      <c r="D10" s="1"/>
      <c r="E10" s="1"/>
      <c r="F10" s="1"/>
    </row>
    <row r="11" spans="1:6" ht="15.75" thickBot="1" x14ac:dyDescent="0.3">
      <c r="A11" s="13" t="s">
        <v>37</v>
      </c>
      <c r="B11" s="175">
        <v>0</v>
      </c>
      <c r="C11" s="176"/>
      <c r="D11" s="1"/>
      <c r="E11" s="1"/>
      <c r="F11" s="1"/>
    </row>
    <row r="12" spans="1:6" ht="15.75" thickBot="1" x14ac:dyDescent="0.3">
      <c r="A12" s="13" t="s">
        <v>38</v>
      </c>
      <c r="B12" s="175"/>
      <c r="C12" s="17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8" t="s">
        <v>40</v>
      </c>
      <c r="B15" s="168"/>
      <c r="C15" s="169"/>
      <c r="D15" s="170" t="s">
        <v>41</v>
      </c>
      <c r="E15" s="171"/>
      <c r="F15" s="118" t="s">
        <v>42</v>
      </c>
    </row>
    <row r="16" spans="1:6" x14ac:dyDescent="0.25">
      <c r="A16" s="135" t="s">
        <v>43</v>
      </c>
      <c r="B16" s="136" t="s">
        <v>44</v>
      </c>
      <c r="C16" s="137" t="s">
        <v>45</v>
      </c>
      <c r="D16" s="139" t="s">
        <v>46</v>
      </c>
      <c r="E16" s="138" t="s">
        <v>47</v>
      </c>
      <c r="F16" s="14" t="s">
        <v>43</v>
      </c>
    </row>
    <row r="17" spans="1:6" x14ac:dyDescent="0.25">
      <c r="A17" s="33" t="s">
        <v>51</v>
      </c>
      <c r="B17" s="15" t="s">
        <v>360</v>
      </c>
      <c r="C17" s="16">
        <v>10</v>
      </c>
      <c r="D17" s="17" t="s">
        <v>130</v>
      </c>
      <c r="E17" s="18" t="s">
        <v>123</v>
      </c>
      <c r="F17" s="19"/>
    </row>
    <row r="18" spans="1:6" x14ac:dyDescent="0.25">
      <c r="A18" s="15"/>
      <c r="B18" s="15"/>
      <c r="C18" s="16"/>
      <c r="D18" s="17" t="s">
        <v>131</v>
      </c>
      <c r="E18" s="18" t="s">
        <v>124</v>
      </c>
      <c r="F18" s="19"/>
    </row>
    <row r="19" spans="1:6" x14ac:dyDescent="0.25">
      <c r="A19" s="15"/>
      <c r="B19" s="15"/>
      <c r="C19" s="16"/>
      <c r="D19" s="17"/>
      <c r="E19" s="18" t="s">
        <v>125</v>
      </c>
      <c r="F19" s="19"/>
    </row>
    <row r="20" spans="1:6" x14ac:dyDescent="0.25">
      <c r="A20" s="15"/>
      <c r="B20" s="15"/>
      <c r="C20" s="16"/>
      <c r="D20" s="17"/>
      <c r="E20" s="18" t="s">
        <v>126</v>
      </c>
      <c r="F20" s="19"/>
    </row>
    <row r="21" spans="1:6" x14ac:dyDescent="0.25">
      <c r="A21" s="15"/>
      <c r="B21" s="15"/>
      <c r="C21" s="16"/>
      <c r="D21" s="17"/>
      <c r="E21" s="18" t="s">
        <v>121</v>
      </c>
      <c r="F21" s="19"/>
    </row>
    <row r="22" spans="1:6" x14ac:dyDescent="0.25">
      <c r="A22" s="15"/>
      <c r="B22" s="15"/>
      <c r="C22" s="16"/>
      <c r="D22" s="17"/>
      <c r="E22" s="18" t="s">
        <v>122</v>
      </c>
      <c r="F22" s="19"/>
    </row>
    <row r="23" spans="1:6" x14ac:dyDescent="0.25">
      <c r="A23" s="15"/>
      <c r="B23" s="15"/>
      <c r="C23" s="16"/>
      <c r="D23" s="17"/>
      <c r="E23" s="18" t="s">
        <v>127</v>
      </c>
      <c r="F23" s="19"/>
    </row>
    <row r="24" spans="1:6" x14ac:dyDescent="0.25">
      <c r="A24" s="15"/>
      <c r="B24" s="15"/>
      <c r="C24" s="16"/>
      <c r="D24" s="17"/>
      <c r="E24" s="18" t="s">
        <v>128</v>
      </c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62"/>
      <c r="B168" s="62"/>
      <c r="C168" s="63"/>
      <c r="D168" s="68"/>
      <c r="E168" s="69"/>
      <c r="F168" s="71"/>
    </row>
    <row r="169" spans="1:6" x14ac:dyDescent="0.25">
      <c r="A169" s="62"/>
      <c r="B169" s="62"/>
      <c r="C169" s="63"/>
      <c r="D169" s="68"/>
      <c r="E169" s="69"/>
      <c r="F169" s="71"/>
    </row>
    <row r="170" spans="1:6" x14ac:dyDescent="0.25">
      <c r="A170" s="62"/>
      <c r="B170" s="62"/>
      <c r="C170" s="63"/>
      <c r="D170" s="68"/>
      <c r="E170" s="69"/>
      <c r="F170" s="71"/>
    </row>
    <row r="171" spans="1:6" x14ac:dyDescent="0.25">
      <c r="A171" s="62"/>
      <c r="B171" s="62"/>
      <c r="C171" s="63"/>
      <c r="D171" s="68"/>
      <c r="E171" s="69"/>
      <c r="F171" s="71"/>
    </row>
    <row r="172" spans="1:6" x14ac:dyDescent="0.25">
      <c r="A172" s="62"/>
      <c r="B172" s="62"/>
      <c r="C172" s="63"/>
      <c r="D172" s="68"/>
      <c r="E172" s="69"/>
      <c r="F172" s="71"/>
    </row>
    <row r="173" spans="1:6" x14ac:dyDescent="0.25">
      <c r="A173" s="62"/>
      <c r="B173" s="62"/>
      <c r="C173" s="63"/>
      <c r="D173" s="68"/>
      <c r="E173" s="69"/>
      <c r="F173" s="71"/>
    </row>
    <row r="174" spans="1:6" x14ac:dyDescent="0.25">
      <c r="A174" s="62"/>
      <c r="B174" s="62"/>
      <c r="C174" s="63"/>
      <c r="D174" s="68"/>
      <c r="E174" s="69"/>
      <c r="F174" s="71"/>
    </row>
    <row r="175" spans="1:6" x14ac:dyDescent="0.25">
      <c r="A175" s="62"/>
      <c r="B175" s="62"/>
      <c r="C175" s="63"/>
      <c r="D175" s="68"/>
      <c r="E175" s="69"/>
      <c r="F175" s="71"/>
    </row>
    <row r="176" spans="1:6" x14ac:dyDescent="0.25">
      <c r="A176" s="62"/>
      <c r="B176" s="62"/>
      <c r="C176" s="63"/>
      <c r="D176" s="68"/>
      <c r="E176" s="69"/>
      <c r="F176" s="71"/>
    </row>
    <row r="177" spans="1:6" x14ac:dyDescent="0.25">
      <c r="A177" s="62"/>
      <c r="B177" s="62"/>
      <c r="C177" s="63"/>
      <c r="D177" s="68"/>
      <c r="E177" s="69"/>
      <c r="F177" s="71"/>
    </row>
    <row r="178" spans="1:6" x14ac:dyDescent="0.25">
      <c r="A178" s="66"/>
      <c r="B178" s="66"/>
      <c r="C178" s="67"/>
      <c r="D178" s="70"/>
      <c r="E178" s="58"/>
      <c r="F178" s="72"/>
    </row>
    <row r="179" spans="1:6" x14ac:dyDescent="0.25">
      <c r="A179" s="66"/>
      <c r="B179" s="66"/>
      <c r="C179" s="67"/>
      <c r="D179" s="70"/>
      <c r="E179" s="58"/>
      <c r="F179" s="72"/>
    </row>
    <row r="180" spans="1:6" x14ac:dyDescent="0.25">
      <c r="A180" s="66"/>
      <c r="B180" s="66"/>
      <c r="C180" s="67"/>
      <c r="D180" s="70"/>
      <c r="E180" s="58"/>
      <c r="F180" s="72"/>
    </row>
    <row r="181" spans="1:6" x14ac:dyDescent="0.25">
      <c r="A181" s="66"/>
      <c r="B181" s="66"/>
      <c r="C181" s="67"/>
      <c r="D181" s="70"/>
      <c r="E181" s="58"/>
      <c r="F181" s="72"/>
    </row>
    <row r="182" spans="1:6" x14ac:dyDescent="0.25">
      <c r="A182" s="66"/>
      <c r="B182" s="66"/>
      <c r="C182" s="67"/>
      <c r="D182" s="70"/>
      <c r="E182" s="58"/>
      <c r="F182" s="72"/>
    </row>
    <row r="183" spans="1:6" x14ac:dyDescent="0.25">
      <c r="A183" s="66"/>
      <c r="B183" s="66"/>
      <c r="C183" s="67"/>
      <c r="D183" s="70"/>
      <c r="E183" s="58"/>
      <c r="F183" s="72"/>
    </row>
    <row r="184" spans="1:6" x14ac:dyDescent="0.25">
      <c r="A184" s="66"/>
      <c r="B184" s="66"/>
      <c r="C184" s="67"/>
      <c r="D184" s="70"/>
      <c r="E184" s="58"/>
      <c r="F184" s="72"/>
    </row>
    <row r="185" spans="1:6" x14ac:dyDescent="0.25">
      <c r="A185" s="66"/>
      <c r="B185" s="66"/>
      <c r="C185" s="67"/>
      <c r="D185" s="70"/>
      <c r="E185" s="58"/>
      <c r="F185" s="72"/>
    </row>
    <row r="186" spans="1:6" x14ac:dyDescent="0.25">
      <c r="A186" s="66"/>
      <c r="B186" s="66"/>
      <c r="C186" s="67"/>
      <c r="D186" s="70"/>
      <c r="E186" s="58"/>
      <c r="F186" s="72"/>
    </row>
    <row r="187" spans="1:6" x14ac:dyDescent="0.25">
      <c r="A187" s="66"/>
      <c r="B187" s="66"/>
      <c r="C187" s="67"/>
      <c r="D187" s="70"/>
      <c r="E187" s="58"/>
      <c r="F187" s="72"/>
    </row>
    <row r="188" spans="1:6" x14ac:dyDescent="0.25">
      <c r="A188" s="66"/>
      <c r="B188" s="66"/>
      <c r="C188" s="67"/>
      <c r="D188" s="70"/>
      <c r="E188" s="58"/>
      <c r="F188" s="72"/>
    </row>
    <row r="189" spans="1:6" x14ac:dyDescent="0.25">
      <c r="A189" s="66"/>
      <c r="B189" s="66"/>
      <c r="C189" s="67"/>
      <c r="D189" s="70"/>
      <c r="E189" s="58"/>
      <c r="F189" s="72"/>
    </row>
    <row r="190" spans="1:6" x14ac:dyDescent="0.25">
      <c r="A190" s="66"/>
      <c r="B190" s="66"/>
      <c r="C190" s="67"/>
      <c r="D190" s="70"/>
      <c r="E190" s="58"/>
      <c r="F190" s="72"/>
    </row>
    <row r="191" spans="1:6" x14ac:dyDescent="0.25">
      <c r="A191" s="66"/>
      <c r="B191" s="66"/>
      <c r="C191" s="67"/>
      <c r="D191" s="70"/>
      <c r="E191" s="58"/>
      <c r="F191" s="72"/>
    </row>
    <row r="192" spans="1:6" x14ac:dyDescent="0.25">
      <c r="A192" s="66"/>
      <c r="B192" s="66"/>
      <c r="C192" s="67"/>
      <c r="D192" s="70"/>
      <c r="E192" s="58"/>
      <c r="F192" s="72"/>
    </row>
    <row r="193" spans="1:6" x14ac:dyDescent="0.25">
      <c r="A193" s="66"/>
      <c r="B193" s="66"/>
      <c r="C193" s="67"/>
      <c r="D193" s="70"/>
      <c r="E193" s="58"/>
      <c r="F193" s="72"/>
    </row>
    <row r="194" spans="1:6" x14ac:dyDescent="0.25">
      <c r="A194" s="66"/>
      <c r="B194" s="66"/>
      <c r="C194" s="67"/>
      <c r="D194" s="70"/>
      <c r="E194" s="58"/>
      <c r="F194" s="72"/>
    </row>
    <row r="195" spans="1:6" x14ac:dyDescent="0.25">
      <c r="A195" s="66"/>
      <c r="B195" s="66"/>
      <c r="C195" s="67"/>
      <c r="D195" s="70"/>
      <c r="E195" s="58"/>
      <c r="F195" s="72"/>
    </row>
    <row r="196" spans="1:6" x14ac:dyDescent="0.25">
      <c r="A196" s="66"/>
      <c r="B196" s="66"/>
      <c r="C196" s="67"/>
      <c r="D196" s="70"/>
      <c r="E196" s="58"/>
      <c r="F196" s="72"/>
    </row>
    <row r="197" spans="1:6" x14ac:dyDescent="0.25">
      <c r="A197" s="66"/>
      <c r="B197" s="66"/>
      <c r="C197" s="67"/>
      <c r="D197" s="70"/>
      <c r="E197" s="58"/>
      <c r="F197" s="72"/>
    </row>
    <row r="198" spans="1:6" x14ac:dyDescent="0.25">
      <c r="A198" s="66"/>
      <c r="B198" s="66"/>
      <c r="C198" s="67"/>
      <c r="D198" s="70"/>
      <c r="E198" s="58"/>
      <c r="F198" s="72"/>
    </row>
    <row r="199" spans="1:6" x14ac:dyDescent="0.25">
      <c r="A199" s="66"/>
      <c r="B199" s="66"/>
      <c r="C199" s="67"/>
      <c r="D199" s="70"/>
      <c r="E199" s="58"/>
      <c r="F199" s="72"/>
    </row>
    <row r="200" spans="1:6" x14ac:dyDescent="0.25">
      <c r="A200" s="66"/>
      <c r="B200" s="66"/>
      <c r="C200" s="67"/>
      <c r="D200" s="70"/>
      <c r="E200" s="58"/>
      <c r="F200" s="72"/>
    </row>
    <row r="201" spans="1:6" x14ac:dyDescent="0.25">
      <c r="A201" s="66"/>
      <c r="B201" s="66"/>
      <c r="C201" s="67"/>
      <c r="D201" s="70"/>
      <c r="E201" s="58"/>
      <c r="F201" s="72"/>
    </row>
    <row r="202" spans="1:6" x14ac:dyDescent="0.25">
      <c r="A202" s="66"/>
      <c r="B202" s="66"/>
      <c r="C202" s="67"/>
      <c r="D202" s="70"/>
      <c r="E202" s="58"/>
      <c r="F202" s="72"/>
    </row>
    <row r="203" spans="1:6" x14ac:dyDescent="0.25">
      <c r="A203" s="66"/>
      <c r="B203" s="66"/>
      <c r="C203" s="67"/>
      <c r="D203" s="70"/>
      <c r="E203" s="58"/>
      <c r="F203" s="72"/>
    </row>
    <row r="204" spans="1:6" x14ac:dyDescent="0.25">
      <c r="A204" s="66"/>
      <c r="B204" s="66"/>
      <c r="C204" s="67"/>
      <c r="D204" s="70"/>
      <c r="E204" s="58"/>
      <c r="F204" s="72"/>
    </row>
    <row r="205" spans="1:6" x14ac:dyDescent="0.25">
      <c r="A205" s="66"/>
      <c r="B205" s="66"/>
      <c r="C205" s="67"/>
      <c r="D205" s="70"/>
      <c r="E205" s="58"/>
      <c r="F205" s="72"/>
    </row>
    <row r="206" spans="1:6" x14ac:dyDescent="0.25">
      <c r="A206" s="66"/>
      <c r="B206" s="66"/>
      <c r="C206" s="67"/>
      <c r="D206" s="70"/>
      <c r="E206" s="58"/>
      <c r="F206" s="72"/>
    </row>
    <row r="207" spans="1:6" x14ac:dyDescent="0.25">
      <c r="A207" s="66"/>
      <c r="B207" s="66"/>
      <c r="C207" s="67"/>
      <c r="D207" s="70"/>
      <c r="E207" s="58"/>
      <c r="F207" s="72"/>
    </row>
    <row r="208" spans="1:6" x14ac:dyDescent="0.25">
      <c r="A208" s="66"/>
      <c r="B208" s="66"/>
      <c r="C208" s="67"/>
      <c r="D208" s="70"/>
      <c r="E208" s="58"/>
      <c r="F208" s="72"/>
    </row>
    <row r="209" spans="1:6" x14ac:dyDescent="0.25">
      <c r="A209" s="66"/>
      <c r="B209" s="66"/>
      <c r="C209" s="67"/>
      <c r="D209" s="70"/>
      <c r="E209" s="58"/>
      <c r="F209" s="72"/>
    </row>
    <row r="210" spans="1:6" x14ac:dyDescent="0.25">
      <c r="A210" s="66"/>
      <c r="B210" s="66"/>
      <c r="C210" s="67"/>
      <c r="D210" s="70"/>
      <c r="E210" s="58"/>
      <c r="F210" s="72"/>
    </row>
    <row r="211" spans="1:6" x14ac:dyDescent="0.25">
      <c r="A211" s="66"/>
      <c r="B211" s="66"/>
      <c r="C211" s="67"/>
      <c r="D211" s="70"/>
      <c r="E211" s="58"/>
      <c r="F211" s="72"/>
    </row>
    <row r="212" spans="1:6" x14ac:dyDescent="0.25">
      <c r="A212" s="66"/>
      <c r="B212" s="66"/>
      <c r="C212" s="67"/>
      <c r="D212" s="70"/>
      <c r="E212" s="58"/>
      <c r="F212" s="72"/>
    </row>
    <row r="213" spans="1:6" x14ac:dyDescent="0.25">
      <c r="A213" s="66"/>
      <c r="B213" s="66"/>
      <c r="C213" s="67"/>
      <c r="D213" s="70"/>
      <c r="E213" s="58"/>
      <c r="F213" s="72"/>
    </row>
    <row r="214" spans="1:6" x14ac:dyDescent="0.25">
      <c r="A214" s="66"/>
      <c r="B214" s="66"/>
      <c r="C214" s="67"/>
      <c r="D214" s="70"/>
      <c r="E214" s="58"/>
      <c r="F214" s="72"/>
    </row>
    <row r="215" spans="1:6" x14ac:dyDescent="0.25">
      <c r="A215" s="66"/>
      <c r="B215" s="66"/>
      <c r="C215" s="67"/>
      <c r="D215" s="70"/>
      <c r="E215" s="58"/>
      <c r="F215" s="72"/>
    </row>
    <row r="216" spans="1:6" x14ac:dyDescent="0.25">
      <c r="A216" s="66"/>
      <c r="B216" s="66"/>
      <c r="C216" s="67"/>
      <c r="D216" s="70"/>
      <c r="E216" s="58"/>
      <c r="F216" s="72"/>
    </row>
    <row r="217" spans="1:6" x14ac:dyDescent="0.25">
      <c r="A217" s="66"/>
      <c r="B217" s="66"/>
      <c r="C217" s="67"/>
      <c r="D217" s="70"/>
      <c r="E217" s="58"/>
      <c r="F217" s="72"/>
    </row>
    <row r="218" spans="1:6" x14ac:dyDescent="0.25">
      <c r="A218" s="66"/>
      <c r="B218" s="66"/>
      <c r="C218" s="67"/>
      <c r="D218" s="70"/>
      <c r="E218" s="58"/>
      <c r="F218" s="72"/>
    </row>
    <row r="219" spans="1:6" x14ac:dyDescent="0.25">
      <c r="A219" s="66"/>
      <c r="B219" s="66"/>
      <c r="C219" s="67"/>
      <c r="D219" s="70"/>
      <c r="E219" s="58"/>
      <c r="F219" s="72"/>
    </row>
    <row r="220" spans="1:6" x14ac:dyDescent="0.25">
      <c r="A220" s="66"/>
      <c r="B220" s="66"/>
      <c r="C220" s="67"/>
      <c r="D220" s="70"/>
      <c r="E220" s="58"/>
      <c r="F220" s="72"/>
    </row>
    <row r="221" spans="1:6" x14ac:dyDescent="0.25">
      <c r="A221" s="66"/>
      <c r="B221" s="66"/>
      <c r="C221" s="67"/>
      <c r="D221" s="70"/>
      <c r="E221" s="58"/>
      <c r="F221" s="72"/>
    </row>
    <row r="222" spans="1:6" x14ac:dyDescent="0.25">
      <c r="A222" s="66"/>
      <c r="B222" s="66"/>
      <c r="C222" s="67"/>
      <c r="D222" s="70"/>
      <c r="E222" s="58"/>
      <c r="F222" s="72"/>
    </row>
    <row r="223" spans="1:6" x14ac:dyDescent="0.25">
      <c r="A223" s="66"/>
      <c r="B223" s="66"/>
      <c r="C223" s="67"/>
      <c r="D223" s="70"/>
      <c r="E223" s="58"/>
      <c r="F223" s="72"/>
    </row>
    <row r="224" spans="1:6" x14ac:dyDescent="0.25">
      <c r="A224" s="66"/>
      <c r="B224" s="66"/>
      <c r="C224" s="67"/>
      <c r="D224" s="70"/>
      <c r="E224" s="58"/>
      <c r="F224" s="72"/>
    </row>
    <row r="225" spans="1:6" x14ac:dyDescent="0.25">
      <c r="A225" s="66"/>
      <c r="B225" s="66"/>
      <c r="C225" s="67"/>
      <c r="D225" s="70"/>
      <c r="E225" s="58"/>
      <c r="F225" s="72"/>
    </row>
    <row r="226" spans="1:6" x14ac:dyDescent="0.25">
      <c r="A226" s="66"/>
      <c r="B226" s="66"/>
      <c r="C226" s="67"/>
      <c r="D226" s="70"/>
      <c r="E226" s="58"/>
      <c r="F226" s="72"/>
    </row>
    <row r="227" spans="1:6" x14ac:dyDescent="0.25">
      <c r="A227" s="66"/>
      <c r="B227" s="66"/>
      <c r="C227" s="67"/>
      <c r="D227" s="70"/>
      <c r="E227" s="58"/>
      <c r="F227" s="72"/>
    </row>
    <row r="228" spans="1:6" x14ac:dyDescent="0.25">
      <c r="A228" s="66"/>
      <c r="B228" s="66"/>
      <c r="C228" s="67"/>
      <c r="D228" s="70"/>
      <c r="E228" s="58"/>
      <c r="F228" s="72"/>
    </row>
    <row r="229" spans="1:6" x14ac:dyDescent="0.25">
      <c r="A229" s="66"/>
      <c r="B229" s="66"/>
      <c r="C229" s="67"/>
      <c r="D229" s="70"/>
      <c r="E229" s="58"/>
      <c r="F229" s="72"/>
    </row>
    <row r="230" spans="1:6" x14ac:dyDescent="0.25">
      <c r="A230" s="66"/>
      <c r="B230" s="66"/>
      <c r="C230" s="67"/>
      <c r="D230" s="70"/>
      <c r="E230" s="58"/>
      <c r="F230" s="72"/>
    </row>
    <row r="231" spans="1:6" x14ac:dyDescent="0.25">
      <c r="A231" s="66"/>
      <c r="B231" s="66"/>
      <c r="C231" s="67"/>
      <c r="D231" s="70"/>
      <c r="E231" s="58"/>
      <c r="F231" s="72"/>
    </row>
    <row r="232" spans="1:6" x14ac:dyDescent="0.25">
      <c r="A232" s="66"/>
      <c r="B232" s="66"/>
      <c r="C232" s="67"/>
      <c r="D232" s="70"/>
      <c r="E232" s="58"/>
      <c r="F232" s="72"/>
    </row>
    <row r="233" spans="1:6" x14ac:dyDescent="0.25">
      <c r="A233" s="66"/>
      <c r="B233" s="66"/>
      <c r="C233" s="67"/>
      <c r="D233" s="70"/>
      <c r="E233" s="58"/>
      <c r="F233" s="72"/>
    </row>
    <row r="234" spans="1:6" x14ac:dyDescent="0.25">
      <c r="A234" s="66"/>
      <c r="B234" s="66"/>
      <c r="C234" s="67"/>
      <c r="D234" s="70"/>
      <c r="E234" s="58"/>
      <c r="F234" s="72"/>
    </row>
    <row r="235" spans="1:6" x14ac:dyDescent="0.25">
      <c r="A235" s="66"/>
      <c r="B235" s="66"/>
      <c r="C235" s="67"/>
      <c r="D235" s="70"/>
      <c r="E235" s="58"/>
      <c r="F235" s="72"/>
    </row>
    <row r="236" spans="1:6" x14ac:dyDescent="0.25">
      <c r="A236" s="66"/>
      <c r="B236" s="66"/>
      <c r="C236" s="67"/>
      <c r="D236" s="70"/>
      <c r="E236" s="58"/>
      <c r="F236" s="72"/>
    </row>
    <row r="237" spans="1:6" x14ac:dyDescent="0.25">
      <c r="A237" s="66"/>
      <c r="B237" s="66"/>
      <c r="C237" s="67"/>
      <c r="D237" s="70"/>
      <c r="E237" s="58"/>
      <c r="F237" s="72"/>
    </row>
    <row r="238" spans="1:6" x14ac:dyDescent="0.25">
      <c r="A238" s="66"/>
      <c r="B238" s="66"/>
      <c r="C238" s="67"/>
      <c r="D238" s="70"/>
      <c r="E238" s="58"/>
      <c r="F238" s="72"/>
    </row>
    <row r="239" spans="1:6" x14ac:dyDescent="0.25">
      <c r="A239" s="66"/>
      <c r="B239" s="66"/>
      <c r="C239" s="67"/>
      <c r="D239" s="70"/>
      <c r="E239" s="58"/>
      <c r="F239" s="72"/>
    </row>
    <row r="240" spans="1:6" x14ac:dyDescent="0.25">
      <c r="A240" s="66"/>
      <c r="B240" s="66"/>
      <c r="C240" s="67"/>
      <c r="D240" s="70"/>
      <c r="E240" s="58"/>
      <c r="F240" s="72"/>
    </row>
    <row r="241" spans="1:6" x14ac:dyDescent="0.25">
      <c r="A241" s="66"/>
      <c r="B241" s="66"/>
      <c r="C241" s="67"/>
      <c r="D241" s="70"/>
      <c r="E241" s="58"/>
      <c r="F241" s="72"/>
    </row>
    <row r="242" spans="1:6" x14ac:dyDescent="0.25">
      <c r="A242" s="66"/>
      <c r="B242" s="66"/>
      <c r="C242" s="67"/>
      <c r="D242" s="70"/>
      <c r="E242" s="58"/>
      <c r="F242" s="72"/>
    </row>
    <row r="243" spans="1:6" x14ac:dyDescent="0.25">
      <c r="A243" s="66"/>
      <c r="B243" s="66"/>
      <c r="C243" s="67"/>
      <c r="D243" s="70"/>
      <c r="E243" s="58"/>
      <c r="F243" s="72"/>
    </row>
    <row r="244" spans="1:6" x14ac:dyDescent="0.25">
      <c r="A244" s="66"/>
      <c r="B244" s="66"/>
      <c r="C244" s="67"/>
      <c r="D244" s="70"/>
      <c r="E244" s="58"/>
      <c r="F244" s="72"/>
    </row>
    <row r="245" spans="1:6" x14ac:dyDescent="0.25">
      <c r="A245" s="66"/>
      <c r="B245" s="66"/>
      <c r="C245" s="67"/>
      <c r="D245" s="70"/>
      <c r="E245" s="58"/>
      <c r="F245" s="72"/>
    </row>
    <row r="246" spans="1:6" x14ac:dyDescent="0.25">
      <c r="A246" s="66"/>
      <c r="B246" s="66"/>
      <c r="C246" s="67"/>
      <c r="D246" s="70"/>
      <c r="E246" s="58"/>
      <c r="F246" s="72"/>
    </row>
    <row r="247" spans="1:6" x14ac:dyDescent="0.25">
      <c r="A247" s="66"/>
      <c r="B247" s="66"/>
      <c r="C247" s="67"/>
      <c r="D247" s="70"/>
      <c r="E247" s="58"/>
      <c r="F247" s="72"/>
    </row>
    <row r="248" spans="1:6" x14ac:dyDescent="0.25">
      <c r="A248" s="66"/>
      <c r="B248" s="66"/>
      <c r="C248" s="67"/>
      <c r="D248" s="70"/>
      <c r="E248" s="58"/>
      <c r="F248" s="72"/>
    </row>
    <row r="249" spans="1:6" x14ac:dyDescent="0.25">
      <c r="A249" s="66"/>
      <c r="B249" s="66"/>
      <c r="C249" s="67"/>
      <c r="D249" s="70"/>
      <c r="E249" s="58"/>
      <c r="F249" s="72"/>
    </row>
    <row r="250" spans="1:6" x14ac:dyDescent="0.25">
      <c r="A250" s="66"/>
      <c r="B250" s="66"/>
      <c r="C250" s="67"/>
      <c r="D250" s="70"/>
      <c r="E250" s="58"/>
      <c r="F250" s="72"/>
    </row>
    <row r="251" spans="1:6" x14ac:dyDescent="0.25">
      <c r="A251" s="66"/>
      <c r="B251" s="66"/>
      <c r="C251" s="67"/>
      <c r="D251" s="70"/>
      <c r="E251" s="58"/>
      <c r="F251" s="72"/>
    </row>
    <row r="252" spans="1:6" x14ac:dyDescent="0.25">
      <c r="A252" s="66"/>
      <c r="B252" s="66"/>
      <c r="C252" s="67"/>
      <c r="D252" s="70"/>
      <c r="E252" s="58"/>
      <c r="F252" s="72"/>
    </row>
    <row r="253" spans="1:6" x14ac:dyDescent="0.25">
      <c r="A253" s="66"/>
      <c r="B253" s="66"/>
      <c r="C253" s="67"/>
      <c r="D253" s="70"/>
      <c r="E253" s="58"/>
      <c r="F253" s="72"/>
    </row>
    <row r="254" spans="1:6" x14ac:dyDescent="0.25">
      <c r="A254" s="66"/>
      <c r="B254" s="66"/>
      <c r="C254" s="67"/>
      <c r="D254" s="70"/>
      <c r="E254" s="58"/>
      <c r="F254" s="72"/>
    </row>
    <row r="255" spans="1:6" x14ac:dyDescent="0.25">
      <c r="A255" s="66"/>
      <c r="B255" s="66"/>
      <c r="C255" s="67"/>
      <c r="D255" s="70"/>
      <c r="E255" s="58"/>
      <c r="F255" s="72"/>
    </row>
    <row r="256" spans="1:6" x14ac:dyDescent="0.25">
      <c r="A256" s="66"/>
      <c r="B256" s="66"/>
      <c r="C256" s="67"/>
      <c r="D256" s="70"/>
      <c r="E256" s="58"/>
      <c r="F256" s="72"/>
    </row>
    <row r="257" spans="1:6" x14ac:dyDescent="0.25">
      <c r="A257" s="66"/>
      <c r="B257" s="66"/>
      <c r="C257" s="67"/>
      <c r="D257" s="70"/>
      <c r="E257" s="58"/>
      <c r="F257" s="72"/>
    </row>
    <row r="258" spans="1:6" x14ac:dyDescent="0.25">
      <c r="A258" s="66"/>
      <c r="B258" s="66"/>
      <c r="C258" s="67"/>
      <c r="D258" s="70"/>
      <c r="E258" s="58"/>
      <c r="F258" s="72"/>
    </row>
    <row r="259" spans="1:6" x14ac:dyDescent="0.25">
      <c r="A259" s="66"/>
      <c r="B259" s="66"/>
      <c r="C259" s="67"/>
      <c r="D259" s="70"/>
      <c r="E259" s="58"/>
      <c r="F259" s="72"/>
    </row>
    <row r="260" spans="1:6" x14ac:dyDescent="0.25">
      <c r="A260" s="66"/>
      <c r="B260" s="66"/>
      <c r="C260" s="67"/>
      <c r="D260" s="70"/>
      <c r="E260" s="58"/>
      <c r="F260" s="72"/>
    </row>
    <row r="261" spans="1:6" x14ac:dyDescent="0.25">
      <c r="A261" s="66"/>
      <c r="B261" s="66"/>
      <c r="C261" s="67"/>
      <c r="D261" s="70"/>
      <c r="E261" s="58"/>
      <c r="F261" s="72"/>
    </row>
    <row r="262" spans="1:6" x14ac:dyDescent="0.25">
      <c r="A262" s="66"/>
      <c r="B262" s="66"/>
      <c r="C262" s="67"/>
      <c r="D262" s="70"/>
      <c r="E262" s="58"/>
      <c r="F262" s="72"/>
    </row>
    <row r="263" spans="1:6" x14ac:dyDescent="0.25">
      <c r="A263" s="66"/>
      <c r="B263" s="66"/>
      <c r="C263" s="67"/>
      <c r="D263" s="70"/>
      <c r="E263" s="58"/>
      <c r="F263" s="72"/>
    </row>
    <row r="264" spans="1:6" x14ac:dyDescent="0.25">
      <c r="A264" s="66"/>
      <c r="B264" s="66"/>
      <c r="C264" s="67"/>
      <c r="D264" s="70"/>
      <c r="E264" s="58"/>
      <c r="F264" s="72"/>
    </row>
    <row r="265" spans="1:6" x14ac:dyDescent="0.25">
      <c r="A265" s="66"/>
      <c r="B265" s="66"/>
      <c r="C265" s="67"/>
      <c r="D265" s="70"/>
      <c r="E265" s="58"/>
      <c r="F265" s="72"/>
    </row>
    <row r="266" spans="1:6" x14ac:dyDescent="0.25">
      <c r="A266" s="66"/>
      <c r="B266" s="66"/>
      <c r="C266" s="67"/>
      <c r="D266" s="70"/>
      <c r="E266" s="58"/>
      <c r="F266" s="72"/>
    </row>
    <row r="267" spans="1:6" x14ac:dyDescent="0.25">
      <c r="A267" s="66"/>
      <c r="B267" s="66"/>
      <c r="C267" s="67"/>
      <c r="D267" s="70"/>
      <c r="E267" s="58"/>
      <c r="F267" s="72"/>
    </row>
    <row r="268" spans="1:6" x14ac:dyDescent="0.25">
      <c r="A268" s="66"/>
      <c r="B268" s="66"/>
      <c r="C268" s="67"/>
      <c r="D268" s="70"/>
      <c r="E268" s="58"/>
      <c r="F268" s="72"/>
    </row>
    <row r="269" spans="1:6" x14ac:dyDescent="0.25">
      <c r="A269" s="66"/>
      <c r="B269" s="66"/>
      <c r="C269" s="67"/>
      <c r="D269" s="70"/>
      <c r="E269" s="58"/>
      <c r="F269" s="72"/>
    </row>
    <row r="270" spans="1:6" x14ac:dyDescent="0.25">
      <c r="A270" s="66"/>
      <c r="B270" s="66"/>
      <c r="C270" s="67"/>
      <c r="D270" s="70"/>
      <c r="E270" s="58"/>
      <c r="F270" s="72"/>
    </row>
    <row r="271" spans="1:6" x14ac:dyDescent="0.25">
      <c r="A271" s="66"/>
      <c r="B271" s="66"/>
      <c r="C271" s="67"/>
      <c r="D271" s="70"/>
      <c r="E271" s="58"/>
      <c r="F271" s="72"/>
    </row>
    <row r="272" spans="1:6" x14ac:dyDescent="0.25">
      <c r="A272" s="66"/>
      <c r="B272" s="66"/>
      <c r="C272" s="67"/>
      <c r="D272" s="70"/>
      <c r="E272" s="58"/>
      <c r="F272" s="72"/>
    </row>
    <row r="273" spans="1:6" x14ac:dyDescent="0.25">
      <c r="A273" s="66"/>
      <c r="B273" s="66"/>
      <c r="C273" s="67"/>
      <c r="D273" s="70"/>
      <c r="E273" s="58"/>
      <c r="F273" s="72"/>
    </row>
    <row r="274" spans="1:6" x14ac:dyDescent="0.25">
      <c r="A274" s="66"/>
      <c r="B274" s="66"/>
      <c r="C274" s="67"/>
      <c r="D274" s="70"/>
      <c r="E274" s="58"/>
      <c r="F274" s="72"/>
    </row>
    <row r="275" spans="1:6" x14ac:dyDescent="0.25">
      <c r="A275" s="66"/>
      <c r="B275" s="66"/>
      <c r="C275" s="67"/>
      <c r="D275" s="70"/>
      <c r="E275" s="58"/>
      <c r="F275" s="72"/>
    </row>
    <row r="276" spans="1:6" x14ac:dyDescent="0.25">
      <c r="A276" s="66"/>
      <c r="B276" s="66"/>
      <c r="C276" s="67"/>
      <c r="D276" s="70"/>
      <c r="E276" s="58"/>
      <c r="F276" s="72"/>
    </row>
    <row r="277" spans="1:6" x14ac:dyDescent="0.25">
      <c r="A277" s="66"/>
      <c r="B277" s="66"/>
      <c r="C277" s="67"/>
      <c r="D277" s="70"/>
      <c r="E277" s="58"/>
      <c r="F277" s="72"/>
    </row>
    <row r="278" spans="1:6" x14ac:dyDescent="0.25">
      <c r="A278" s="66"/>
      <c r="B278" s="66"/>
      <c r="C278" s="67"/>
      <c r="D278" s="70"/>
      <c r="E278" s="58"/>
      <c r="F278" s="72"/>
    </row>
    <row r="279" spans="1:6" x14ac:dyDescent="0.25">
      <c r="A279" s="66"/>
      <c r="B279" s="66"/>
      <c r="C279" s="67"/>
      <c r="D279" s="70"/>
      <c r="E279" s="58"/>
      <c r="F279" s="72"/>
    </row>
    <row r="280" spans="1:6" x14ac:dyDescent="0.25">
      <c r="A280" s="66"/>
      <c r="B280" s="66"/>
      <c r="C280" s="67"/>
      <c r="D280" s="70"/>
      <c r="E280" s="58"/>
      <c r="F280" s="72"/>
    </row>
    <row r="281" spans="1:6" x14ac:dyDescent="0.25">
      <c r="A281" s="66"/>
      <c r="B281" s="66"/>
      <c r="C281" s="67"/>
      <c r="D281" s="70"/>
      <c r="E281" s="58"/>
      <c r="F281" s="72"/>
    </row>
    <row r="282" spans="1:6" x14ac:dyDescent="0.25">
      <c r="A282" s="66"/>
      <c r="B282" s="66"/>
      <c r="C282" s="67"/>
      <c r="D282" s="70"/>
      <c r="E282" s="58"/>
      <c r="F282" s="72"/>
    </row>
    <row r="283" spans="1:6" x14ac:dyDescent="0.25">
      <c r="A283" s="66"/>
      <c r="B283" s="66"/>
      <c r="C283" s="67"/>
      <c r="D283" s="70"/>
      <c r="E283" s="58"/>
      <c r="F283" s="72"/>
    </row>
    <row r="284" spans="1:6" x14ac:dyDescent="0.25">
      <c r="A284" s="66"/>
      <c r="B284" s="66"/>
      <c r="C284" s="67"/>
      <c r="D284" s="70"/>
      <c r="E284" s="58"/>
      <c r="F284" s="72"/>
    </row>
    <row r="285" spans="1:6" x14ac:dyDescent="0.25">
      <c r="A285" s="66"/>
      <c r="B285" s="66"/>
      <c r="C285" s="67"/>
      <c r="D285" s="70"/>
      <c r="E285" s="58"/>
      <c r="F285" s="72"/>
    </row>
    <row r="286" spans="1:6" x14ac:dyDescent="0.25">
      <c r="A286" s="66"/>
      <c r="B286" s="66"/>
      <c r="C286" s="67"/>
      <c r="D286" s="70"/>
      <c r="E286" s="58"/>
      <c r="F286" s="72"/>
    </row>
    <row r="287" spans="1:6" x14ac:dyDescent="0.25">
      <c r="A287" s="66"/>
      <c r="B287" s="66"/>
      <c r="C287" s="67"/>
      <c r="D287" s="70"/>
      <c r="E287" s="58"/>
      <c r="F287" s="72"/>
    </row>
    <row r="288" spans="1:6" x14ac:dyDescent="0.25">
      <c r="A288" s="66"/>
      <c r="B288" s="66"/>
      <c r="C288" s="67"/>
      <c r="D288" s="70"/>
      <c r="E288" s="58"/>
      <c r="F288" s="72"/>
    </row>
    <row r="289" spans="1:6" x14ac:dyDescent="0.25">
      <c r="A289" s="66"/>
      <c r="B289" s="66"/>
      <c r="C289" s="67"/>
      <c r="D289" s="70"/>
      <c r="E289" s="58"/>
      <c r="F289" s="72"/>
    </row>
    <row r="290" spans="1:6" x14ac:dyDescent="0.25">
      <c r="A290" s="66"/>
      <c r="B290" s="66"/>
      <c r="C290" s="67"/>
      <c r="D290" s="70"/>
      <c r="E290" s="58"/>
      <c r="F290" s="72"/>
    </row>
    <row r="291" spans="1:6" x14ac:dyDescent="0.25">
      <c r="A291" s="66"/>
      <c r="B291" s="66"/>
      <c r="C291" s="67"/>
      <c r="D291" s="70"/>
      <c r="E291" s="58"/>
      <c r="F291" s="72"/>
    </row>
    <row r="292" spans="1:6" x14ac:dyDescent="0.25">
      <c r="A292" s="66"/>
      <c r="B292" s="66"/>
      <c r="C292" s="67"/>
      <c r="D292" s="70"/>
      <c r="E292" s="58"/>
      <c r="F292" s="72"/>
    </row>
    <row r="293" spans="1:6" x14ac:dyDescent="0.25">
      <c r="A293" s="66"/>
      <c r="B293" s="66"/>
      <c r="C293" s="67"/>
      <c r="D293" s="70"/>
      <c r="E293" s="58"/>
      <c r="F293" s="72"/>
    </row>
    <row r="294" spans="1:6" x14ac:dyDescent="0.25">
      <c r="A294" s="66"/>
      <c r="B294" s="66"/>
      <c r="C294" s="67"/>
      <c r="D294" s="70"/>
      <c r="E294" s="58"/>
      <c r="F294" s="72"/>
    </row>
    <row r="295" spans="1:6" x14ac:dyDescent="0.25">
      <c r="A295" s="66"/>
      <c r="B295" s="66"/>
      <c r="C295" s="67"/>
      <c r="D295" s="70"/>
      <c r="E295" s="58"/>
      <c r="F295" s="72"/>
    </row>
    <row r="296" spans="1:6" x14ac:dyDescent="0.25">
      <c r="A296" s="66"/>
      <c r="B296" s="66"/>
      <c r="C296" s="67"/>
      <c r="D296" s="70"/>
      <c r="E296" s="58"/>
      <c r="F296" s="72"/>
    </row>
    <row r="297" spans="1:6" x14ac:dyDescent="0.25">
      <c r="A297" s="66"/>
      <c r="B297" s="66"/>
      <c r="C297" s="67"/>
      <c r="D297" s="70"/>
      <c r="E297" s="58"/>
      <c r="F297" s="72"/>
    </row>
    <row r="298" spans="1:6" x14ac:dyDescent="0.25">
      <c r="A298" s="66"/>
      <c r="B298" s="66"/>
      <c r="C298" s="67"/>
      <c r="D298" s="70"/>
      <c r="E298" s="58"/>
      <c r="F298" s="72"/>
    </row>
    <row r="299" spans="1:6" x14ac:dyDescent="0.25">
      <c r="A299" s="66"/>
      <c r="B299" s="66"/>
      <c r="C299" s="67"/>
      <c r="D299" s="70"/>
      <c r="E299" s="58"/>
      <c r="F299" s="72"/>
    </row>
    <row r="300" spans="1:6" x14ac:dyDescent="0.25">
      <c r="A300" s="66"/>
      <c r="B300" s="66"/>
      <c r="C300" s="67"/>
      <c r="D300" s="70"/>
      <c r="E300" s="58"/>
      <c r="F300" s="72"/>
    </row>
    <row r="301" spans="1:6" x14ac:dyDescent="0.25">
      <c r="A301" s="66"/>
      <c r="B301" s="66"/>
      <c r="C301" s="67"/>
      <c r="D301" s="70"/>
      <c r="E301" s="58"/>
      <c r="F301" s="72"/>
    </row>
    <row r="302" spans="1:6" x14ac:dyDescent="0.25">
      <c r="A302" s="66"/>
      <c r="B302" s="66"/>
      <c r="C302" s="67"/>
      <c r="D302" s="70"/>
      <c r="E302" s="58"/>
      <c r="F302" s="72"/>
    </row>
    <row r="303" spans="1:6" x14ac:dyDescent="0.25">
      <c r="A303" s="66"/>
      <c r="B303" s="66"/>
      <c r="C303" s="67"/>
      <c r="D303" s="70"/>
      <c r="E303" s="58"/>
      <c r="F303" s="72"/>
    </row>
    <row r="304" spans="1:6" x14ac:dyDescent="0.25">
      <c r="A304" s="66"/>
      <c r="B304" s="66"/>
      <c r="C304" s="67"/>
      <c r="D304" s="70"/>
      <c r="E304" s="58"/>
      <c r="F304" s="72"/>
    </row>
    <row r="305" spans="1:6" x14ac:dyDescent="0.25">
      <c r="A305" s="66"/>
      <c r="B305" s="66"/>
      <c r="C305" s="67"/>
      <c r="D305" s="70"/>
      <c r="E305" s="58"/>
      <c r="F305" s="72"/>
    </row>
    <row r="306" spans="1:6" x14ac:dyDescent="0.25">
      <c r="A306" s="66"/>
      <c r="B306" s="66"/>
      <c r="C306" s="67"/>
      <c r="D306" s="70"/>
      <c r="E306" s="58"/>
      <c r="F306" s="72"/>
    </row>
    <row r="307" spans="1:6" x14ac:dyDescent="0.25">
      <c r="A307" s="66"/>
      <c r="B307" s="66"/>
      <c r="C307" s="67"/>
      <c r="D307" s="70"/>
      <c r="E307" s="58"/>
      <c r="F307" s="72"/>
    </row>
    <row r="308" spans="1:6" x14ac:dyDescent="0.25">
      <c r="A308" s="66"/>
      <c r="B308" s="66"/>
      <c r="C308" s="67"/>
      <c r="D308" s="70"/>
      <c r="E308" s="58"/>
      <c r="F308" s="72"/>
    </row>
    <row r="309" spans="1:6" x14ac:dyDescent="0.25">
      <c r="A309" s="66"/>
      <c r="B309" s="66"/>
      <c r="C309" s="67"/>
      <c r="D309" s="70"/>
      <c r="E309" s="58"/>
      <c r="F309" s="72"/>
    </row>
    <row r="310" spans="1:6" x14ac:dyDescent="0.25">
      <c r="A310" s="66"/>
      <c r="B310" s="66"/>
      <c r="C310" s="67"/>
      <c r="D310" s="70"/>
      <c r="E310" s="58"/>
      <c r="F310" s="72"/>
    </row>
    <row r="311" spans="1:6" x14ac:dyDescent="0.25">
      <c r="A311" s="66"/>
      <c r="B311" s="66"/>
      <c r="C311" s="67"/>
      <c r="D311" s="70"/>
      <c r="E311" s="58"/>
      <c r="F311" s="72"/>
    </row>
    <row r="312" spans="1:6" x14ac:dyDescent="0.25">
      <c r="A312" s="66"/>
      <c r="B312" s="66"/>
      <c r="C312" s="67"/>
      <c r="D312" s="70"/>
      <c r="E312" s="58"/>
      <c r="F312" s="72"/>
    </row>
    <row r="313" spans="1:6" x14ac:dyDescent="0.25">
      <c r="A313" s="66"/>
      <c r="B313" s="66"/>
      <c r="C313" s="67"/>
      <c r="D313" s="70"/>
      <c r="E313" s="58"/>
      <c r="F313" s="72"/>
    </row>
    <row r="314" spans="1:6" x14ac:dyDescent="0.25">
      <c r="A314" s="66"/>
      <c r="B314" s="66"/>
      <c r="C314" s="67"/>
      <c r="D314" s="70"/>
      <c r="E314" s="58"/>
      <c r="F314" s="72"/>
    </row>
    <row r="315" spans="1:6" x14ac:dyDescent="0.25">
      <c r="A315" s="66"/>
      <c r="B315" s="66"/>
      <c r="C315" s="67"/>
      <c r="D315" s="70"/>
      <c r="E315" s="58"/>
      <c r="F315" s="72"/>
    </row>
    <row r="316" spans="1:6" x14ac:dyDescent="0.25">
      <c r="A316" s="66"/>
      <c r="B316" s="66"/>
      <c r="C316" s="67"/>
      <c r="D316" s="70"/>
      <c r="E316" s="58"/>
      <c r="F316" s="72"/>
    </row>
    <row r="317" spans="1:6" x14ac:dyDescent="0.25">
      <c r="A317" s="66"/>
      <c r="B317" s="66"/>
      <c r="C317" s="67"/>
      <c r="D317" s="70"/>
      <c r="E317" s="58"/>
      <c r="F317" s="72"/>
    </row>
    <row r="318" spans="1:6" x14ac:dyDescent="0.25">
      <c r="A318" s="62"/>
      <c r="B318" s="62"/>
      <c r="C318" s="63"/>
      <c r="D318" s="68"/>
      <c r="E318" s="69"/>
      <c r="F318" s="71"/>
    </row>
    <row r="319" spans="1:6" x14ac:dyDescent="0.25">
      <c r="A319" s="62"/>
      <c r="B319" s="62"/>
      <c r="C319" s="63"/>
      <c r="D319" s="68"/>
      <c r="E319" s="69"/>
      <c r="F319" s="71"/>
    </row>
    <row r="320" spans="1:6" x14ac:dyDescent="0.25">
      <c r="A320" s="62"/>
      <c r="B320" s="62"/>
      <c r="C320" s="63"/>
      <c r="D320" s="68"/>
      <c r="E320" s="69"/>
      <c r="F320" s="71"/>
    </row>
    <row r="321" spans="1:6" x14ac:dyDescent="0.25">
      <c r="A321" s="62"/>
      <c r="B321" s="62"/>
      <c r="C321" s="63"/>
      <c r="D321" s="68"/>
      <c r="E321" s="69"/>
      <c r="F321" s="71"/>
    </row>
    <row r="322" spans="1:6" x14ac:dyDescent="0.25">
      <c r="A322" s="62"/>
      <c r="B322" s="62"/>
      <c r="C322" s="63"/>
      <c r="D322" s="68"/>
      <c r="E322" s="69"/>
      <c r="F322" s="71"/>
    </row>
    <row r="323" spans="1:6" x14ac:dyDescent="0.25">
      <c r="A323" s="62"/>
      <c r="B323" s="62"/>
      <c r="C323" s="63"/>
      <c r="D323" s="68"/>
      <c r="E323" s="69"/>
      <c r="F323" s="71"/>
    </row>
    <row r="324" spans="1:6" x14ac:dyDescent="0.25">
      <c r="A324" s="62"/>
      <c r="B324" s="62"/>
      <c r="C324" s="63"/>
      <c r="D324" s="68"/>
      <c r="E324" s="69"/>
      <c r="F324" s="71"/>
    </row>
    <row r="325" spans="1:6" x14ac:dyDescent="0.25">
      <c r="A325" s="62"/>
      <c r="B325" s="62"/>
      <c r="C325" s="63"/>
      <c r="D325" s="68"/>
      <c r="E325" s="69"/>
      <c r="F325" s="71"/>
    </row>
    <row r="326" spans="1:6" x14ac:dyDescent="0.25">
      <c r="A326" s="62"/>
      <c r="B326" s="62"/>
      <c r="C326" s="63"/>
      <c r="D326" s="68"/>
      <c r="E326" s="69"/>
      <c r="F326" s="71"/>
    </row>
    <row r="327" spans="1:6" x14ac:dyDescent="0.25">
      <c r="A327" s="62"/>
      <c r="B327" s="62"/>
      <c r="C327" s="63"/>
      <c r="D327" s="68"/>
      <c r="E327" s="69"/>
      <c r="F327" s="71"/>
    </row>
    <row r="328" spans="1:6" x14ac:dyDescent="0.25">
      <c r="A328" s="66"/>
      <c r="B328" s="66"/>
      <c r="C328" s="67"/>
      <c r="D328" s="70"/>
      <c r="E328" s="58"/>
      <c r="F328" s="72"/>
    </row>
    <row r="329" spans="1:6" x14ac:dyDescent="0.25">
      <c r="A329" s="66"/>
      <c r="B329" s="66"/>
      <c r="C329" s="67"/>
      <c r="D329" s="70"/>
      <c r="E329" s="58"/>
      <c r="F329" s="72"/>
    </row>
    <row r="330" spans="1:6" x14ac:dyDescent="0.25">
      <c r="A330" s="66"/>
      <c r="B330" s="66"/>
      <c r="C330" s="67"/>
      <c r="D330" s="70"/>
      <c r="E330" s="58"/>
      <c r="F330" s="72"/>
    </row>
    <row r="331" spans="1:6" x14ac:dyDescent="0.25">
      <c r="A331" s="66"/>
      <c r="B331" s="66"/>
      <c r="C331" s="67"/>
      <c r="D331" s="70"/>
      <c r="E331" s="58"/>
      <c r="F331" s="72"/>
    </row>
    <row r="332" spans="1:6" x14ac:dyDescent="0.25">
      <c r="A332" s="66"/>
      <c r="B332" s="66"/>
      <c r="C332" s="67"/>
      <c r="D332" s="70"/>
      <c r="E332" s="58"/>
      <c r="F332" s="72"/>
    </row>
    <row r="333" spans="1:6" x14ac:dyDescent="0.25">
      <c r="A333" s="66"/>
      <c r="B333" s="66"/>
      <c r="C333" s="67"/>
      <c r="D333" s="70"/>
      <c r="E333" s="58"/>
      <c r="F333" s="72"/>
    </row>
    <row r="334" spans="1:6" x14ac:dyDescent="0.25">
      <c r="A334" s="66"/>
      <c r="B334" s="66"/>
      <c r="C334" s="67"/>
      <c r="D334" s="70"/>
      <c r="E334" s="58"/>
      <c r="F334" s="72"/>
    </row>
    <row r="335" spans="1:6" x14ac:dyDescent="0.25">
      <c r="A335" s="66"/>
      <c r="B335" s="66"/>
      <c r="C335" s="67"/>
      <c r="D335" s="70"/>
      <c r="E335" s="58"/>
      <c r="F335" s="72"/>
    </row>
    <row r="336" spans="1:6" x14ac:dyDescent="0.25">
      <c r="A336" s="66"/>
      <c r="B336" s="66"/>
      <c r="C336" s="67"/>
      <c r="D336" s="70"/>
      <c r="E336" s="58"/>
      <c r="F336" s="72"/>
    </row>
    <row r="337" spans="1:6" x14ac:dyDescent="0.25">
      <c r="A337" s="66"/>
      <c r="B337" s="66"/>
      <c r="C337" s="67"/>
      <c r="D337" s="70"/>
      <c r="E337" s="58"/>
      <c r="F337" s="72"/>
    </row>
    <row r="338" spans="1:6" x14ac:dyDescent="0.25">
      <c r="A338" s="66"/>
      <c r="B338" s="66"/>
      <c r="C338" s="67"/>
      <c r="D338" s="70"/>
      <c r="E338" s="58"/>
      <c r="F338" s="72"/>
    </row>
    <row r="339" spans="1:6" x14ac:dyDescent="0.25">
      <c r="A339" s="66"/>
      <c r="B339" s="66"/>
      <c r="C339" s="67"/>
      <c r="D339" s="70"/>
      <c r="E339" s="58"/>
      <c r="F339" s="72"/>
    </row>
    <row r="340" spans="1:6" x14ac:dyDescent="0.25">
      <c r="A340" s="66"/>
      <c r="B340" s="66"/>
      <c r="C340" s="67"/>
      <c r="D340" s="70"/>
      <c r="E340" s="58"/>
      <c r="F340" s="72"/>
    </row>
    <row r="341" spans="1:6" x14ac:dyDescent="0.25">
      <c r="A341" s="66"/>
      <c r="B341" s="66"/>
      <c r="C341" s="67"/>
      <c r="D341" s="70"/>
      <c r="E341" s="58"/>
      <c r="F341" s="72"/>
    </row>
    <row r="342" spans="1:6" x14ac:dyDescent="0.25">
      <c r="A342" s="66"/>
      <c r="B342" s="66"/>
      <c r="C342" s="67"/>
      <c r="D342" s="70"/>
      <c r="E342" s="58"/>
      <c r="F342" s="72"/>
    </row>
    <row r="343" spans="1:6" x14ac:dyDescent="0.25">
      <c r="A343" s="66"/>
      <c r="B343" s="66"/>
      <c r="C343" s="67"/>
      <c r="D343" s="70"/>
      <c r="E343" s="58"/>
      <c r="F343" s="72"/>
    </row>
    <row r="344" spans="1:6" x14ac:dyDescent="0.25">
      <c r="A344" s="66"/>
      <c r="B344" s="66"/>
      <c r="C344" s="67"/>
      <c r="D344" s="70"/>
      <c r="E344" s="58"/>
      <c r="F344" s="72"/>
    </row>
    <row r="345" spans="1:6" x14ac:dyDescent="0.25">
      <c r="A345" s="66"/>
      <c r="B345" s="66"/>
      <c r="C345" s="67"/>
      <c r="D345" s="70"/>
      <c r="E345" s="58"/>
      <c r="F345" s="72"/>
    </row>
    <row r="346" spans="1:6" x14ac:dyDescent="0.25">
      <c r="A346" s="66"/>
      <c r="B346" s="66"/>
      <c r="C346" s="67"/>
      <c r="D346" s="70"/>
      <c r="E346" s="58"/>
      <c r="F346" s="72"/>
    </row>
    <row r="347" spans="1:6" x14ac:dyDescent="0.25">
      <c r="A347" s="66"/>
      <c r="B347" s="66"/>
      <c r="C347" s="67"/>
      <c r="D347" s="70"/>
      <c r="E347" s="58"/>
      <c r="F347" s="72"/>
    </row>
    <row r="348" spans="1:6" x14ac:dyDescent="0.25">
      <c r="A348" s="66"/>
      <c r="B348" s="66"/>
      <c r="C348" s="67"/>
      <c r="D348" s="70"/>
      <c r="E348" s="58"/>
      <c r="F348" s="72"/>
    </row>
    <row r="349" spans="1:6" x14ac:dyDescent="0.25">
      <c r="A349" s="66"/>
      <c r="B349" s="66"/>
      <c r="C349" s="67"/>
      <c r="D349" s="70"/>
      <c r="E349" s="58"/>
      <c r="F349" s="72"/>
    </row>
    <row r="350" spans="1:6" x14ac:dyDescent="0.25">
      <c r="A350" s="66"/>
      <c r="B350" s="66"/>
      <c r="C350" s="67"/>
      <c r="D350" s="70"/>
      <c r="E350" s="58"/>
      <c r="F350" s="72"/>
    </row>
    <row r="351" spans="1:6" x14ac:dyDescent="0.25">
      <c r="A351" s="66"/>
      <c r="B351" s="66"/>
      <c r="C351" s="67"/>
      <c r="D351" s="70"/>
      <c r="E351" s="58"/>
      <c r="F351" s="72"/>
    </row>
    <row r="352" spans="1:6" x14ac:dyDescent="0.25">
      <c r="A352" s="66"/>
      <c r="B352" s="66"/>
      <c r="C352" s="67"/>
      <c r="D352" s="70"/>
      <c r="E352" s="58"/>
      <c r="F352" s="72"/>
    </row>
    <row r="353" spans="1:6" x14ac:dyDescent="0.25">
      <c r="A353" s="66"/>
      <c r="B353" s="66"/>
      <c r="C353" s="67"/>
      <c r="D353" s="70"/>
      <c r="E353" s="58"/>
      <c r="F353" s="72"/>
    </row>
    <row r="354" spans="1:6" x14ac:dyDescent="0.25">
      <c r="A354" s="66"/>
      <c r="B354" s="66"/>
      <c r="C354" s="67"/>
      <c r="D354" s="70"/>
      <c r="E354" s="58"/>
      <c r="F354" s="72"/>
    </row>
    <row r="355" spans="1:6" x14ac:dyDescent="0.25">
      <c r="A355" s="66"/>
      <c r="B355" s="66"/>
      <c r="C355" s="67"/>
      <c r="D355" s="70"/>
      <c r="E355" s="58"/>
      <c r="F355" s="72"/>
    </row>
    <row r="356" spans="1:6" x14ac:dyDescent="0.25">
      <c r="A356" s="66"/>
      <c r="B356" s="66"/>
      <c r="C356" s="67"/>
      <c r="D356" s="70"/>
      <c r="E356" s="58"/>
      <c r="F356" s="72"/>
    </row>
    <row r="357" spans="1:6" x14ac:dyDescent="0.25">
      <c r="A357" s="66"/>
      <c r="B357" s="66"/>
      <c r="C357" s="67"/>
      <c r="D357" s="70"/>
      <c r="E357" s="58"/>
      <c r="F357" s="72"/>
    </row>
    <row r="358" spans="1:6" x14ac:dyDescent="0.25">
      <c r="A358" s="66"/>
      <c r="B358" s="66"/>
      <c r="C358" s="67"/>
      <c r="D358" s="70"/>
      <c r="E358" s="58"/>
      <c r="F358" s="72"/>
    </row>
    <row r="359" spans="1:6" x14ac:dyDescent="0.25">
      <c r="A359" s="66"/>
      <c r="B359" s="66"/>
      <c r="C359" s="67"/>
      <c r="D359" s="70"/>
      <c r="E359" s="58"/>
      <c r="F359" s="72"/>
    </row>
    <row r="360" spans="1:6" x14ac:dyDescent="0.25">
      <c r="A360" s="66"/>
      <c r="B360" s="66"/>
      <c r="C360" s="67"/>
      <c r="D360" s="70"/>
      <c r="E360" s="58"/>
      <c r="F360" s="72"/>
    </row>
    <row r="361" spans="1:6" x14ac:dyDescent="0.25">
      <c r="A361" s="66"/>
      <c r="B361" s="66"/>
      <c r="C361" s="67"/>
      <c r="D361" s="70"/>
      <c r="E361" s="58"/>
      <c r="F361" s="72"/>
    </row>
    <row r="362" spans="1:6" x14ac:dyDescent="0.25">
      <c r="A362" s="66"/>
      <c r="B362" s="66"/>
      <c r="C362" s="67"/>
      <c r="D362" s="70"/>
      <c r="E362" s="58"/>
      <c r="F362" s="72"/>
    </row>
    <row r="363" spans="1:6" x14ac:dyDescent="0.25">
      <c r="A363" s="66"/>
      <c r="B363" s="66"/>
      <c r="C363" s="67"/>
      <c r="D363" s="70"/>
      <c r="E363" s="58"/>
      <c r="F363" s="72"/>
    </row>
    <row r="364" spans="1:6" x14ac:dyDescent="0.25">
      <c r="A364" s="66"/>
      <c r="B364" s="66"/>
      <c r="C364" s="67"/>
      <c r="D364" s="70"/>
      <c r="E364" s="58"/>
      <c r="F364" s="72"/>
    </row>
    <row r="365" spans="1:6" x14ac:dyDescent="0.25">
      <c r="A365" s="66"/>
      <c r="B365" s="66"/>
      <c r="C365" s="67"/>
      <c r="D365" s="70"/>
      <c r="E365" s="58"/>
      <c r="F365" s="72"/>
    </row>
    <row r="366" spans="1:6" x14ac:dyDescent="0.25">
      <c r="A366" s="66"/>
      <c r="B366" s="66"/>
      <c r="C366" s="67"/>
      <c r="D366" s="70"/>
      <c r="E366" s="58"/>
      <c r="F366" s="72"/>
    </row>
    <row r="367" spans="1:6" x14ac:dyDescent="0.25">
      <c r="A367" s="66"/>
      <c r="B367" s="66"/>
      <c r="C367" s="67"/>
      <c r="D367" s="70"/>
      <c r="E367" s="58"/>
      <c r="F367" s="72"/>
    </row>
    <row r="368" spans="1:6" x14ac:dyDescent="0.25">
      <c r="A368" s="66"/>
      <c r="B368" s="66"/>
      <c r="C368" s="67"/>
      <c r="D368" s="70"/>
      <c r="E368" s="58"/>
      <c r="F368" s="72"/>
    </row>
    <row r="369" spans="1:6" x14ac:dyDescent="0.25">
      <c r="A369" s="66"/>
      <c r="B369" s="66"/>
      <c r="C369" s="67"/>
      <c r="D369" s="70"/>
      <c r="E369" s="58"/>
      <c r="F369" s="72"/>
    </row>
    <row r="370" spans="1:6" x14ac:dyDescent="0.25">
      <c r="A370" s="66"/>
      <c r="B370" s="66"/>
      <c r="C370" s="67"/>
      <c r="D370" s="70"/>
      <c r="E370" s="58"/>
      <c r="F370" s="72"/>
    </row>
    <row r="371" spans="1:6" x14ac:dyDescent="0.25">
      <c r="A371" s="66"/>
      <c r="B371" s="66"/>
      <c r="C371" s="67"/>
      <c r="D371" s="70"/>
      <c r="E371" s="58"/>
      <c r="F371" s="72"/>
    </row>
    <row r="372" spans="1:6" x14ac:dyDescent="0.25">
      <c r="A372" s="66"/>
      <c r="B372" s="66"/>
      <c r="C372" s="67"/>
      <c r="D372" s="70"/>
      <c r="E372" s="58"/>
      <c r="F372" s="72"/>
    </row>
    <row r="373" spans="1:6" x14ac:dyDescent="0.25">
      <c r="A373" s="66"/>
      <c r="B373" s="66"/>
      <c r="C373" s="67"/>
      <c r="D373" s="70"/>
      <c r="E373" s="58"/>
      <c r="F373" s="72"/>
    </row>
    <row r="374" spans="1:6" x14ac:dyDescent="0.25">
      <c r="A374" s="66"/>
      <c r="B374" s="66"/>
      <c r="C374" s="67"/>
      <c r="D374" s="70"/>
      <c r="E374" s="58"/>
      <c r="F374" s="72"/>
    </row>
    <row r="375" spans="1:6" x14ac:dyDescent="0.25">
      <c r="A375" s="66"/>
      <c r="B375" s="66"/>
      <c r="C375" s="67"/>
      <c r="D375" s="70"/>
      <c r="E375" s="58"/>
      <c r="F375" s="72"/>
    </row>
    <row r="376" spans="1:6" x14ac:dyDescent="0.25">
      <c r="A376" s="66"/>
      <c r="B376" s="66"/>
      <c r="C376" s="67"/>
      <c r="D376" s="70"/>
      <c r="E376" s="58"/>
      <c r="F376" s="72"/>
    </row>
    <row r="377" spans="1:6" x14ac:dyDescent="0.25">
      <c r="A377" s="66"/>
      <c r="B377" s="66"/>
      <c r="C377" s="67"/>
      <c r="D377" s="70"/>
      <c r="E377" s="58"/>
      <c r="F377" s="72"/>
    </row>
    <row r="378" spans="1:6" x14ac:dyDescent="0.25">
      <c r="A378" s="66"/>
      <c r="B378" s="66"/>
      <c r="C378" s="67"/>
      <c r="D378" s="70"/>
      <c r="E378" s="58"/>
      <c r="F378" s="72"/>
    </row>
    <row r="379" spans="1:6" x14ac:dyDescent="0.25">
      <c r="A379" s="66"/>
      <c r="B379" s="66"/>
      <c r="C379" s="67"/>
      <c r="D379" s="70"/>
      <c r="E379" s="58"/>
      <c r="F379" s="72"/>
    </row>
    <row r="380" spans="1:6" x14ac:dyDescent="0.25">
      <c r="A380" s="66"/>
      <c r="B380" s="66"/>
      <c r="C380" s="67"/>
      <c r="D380" s="70"/>
      <c r="E380" s="58"/>
      <c r="F380" s="72"/>
    </row>
    <row r="381" spans="1:6" x14ac:dyDescent="0.25">
      <c r="A381" s="66"/>
      <c r="B381" s="66"/>
      <c r="C381" s="67"/>
      <c r="D381" s="70"/>
      <c r="E381" s="58"/>
      <c r="F381" s="72"/>
    </row>
    <row r="382" spans="1:6" x14ac:dyDescent="0.25">
      <c r="A382" s="66"/>
      <c r="B382" s="66"/>
      <c r="C382" s="67"/>
      <c r="D382" s="70"/>
      <c r="E382" s="58"/>
      <c r="F382" s="72"/>
    </row>
    <row r="383" spans="1:6" x14ac:dyDescent="0.25">
      <c r="A383" s="66"/>
      <c r="B383" s="66"/>
      <c r="C383" s="67"/>
      <c r="D383" s="70"/>
      <c r="E383" s="58"/>
      <c r="F383" s="72"/>
    </row>
    <row r="384" spans="1:6" x14ac:dyDescent="0.25">
      <c r="A384" s="66"/>
      <c r="B384" s="66"/>
      <c r="C384" s="67"/>
      <c r="D384" s="70"/>
      <c r="E384" s="58"/>
      <c r="F384" s="72"/>
    </row>
    <row r="385" spans="1:6" x14ac:dyDescent="0.25">
      <c r="A385" s="66"/>
      <c r="B385" s="66"/>
      <c r="C385" s="67"/>
      <c r="D385" s="70"/>
      <c r="E385" s="58"/>
      <c r="F385" s="72"/>
    </row>
    <row r="386" spans="1:6" x14ac:dyDescent="0.25">
      <c r="A386" s="66"/>
      <c r="B386" s="66"/>
      <c r="C386" s="67"/>
      <c r="D386" s="70"/>
      <c r="E386" s="58"/>
      <c r="F386" s="72"/>
    </row>
    <row r="387" spans="1:6" x14ac:dyDescent="0.25">
      <c r="A387" s="66"/>
      <c r="B387" s="66"/>
      <c r="C387" s="67"/>
      <c r="D387" s="70"/>
      <c r="E387" s="58"/>
      <c r="F387" s="72"/>
    </row>
    <row r="388" spans="1:6" x14ac:dyDescent="0.25">
      <c r="A388" s="66"/>
      <c r="B388" s="66"/>
      <c r="C388" s="67"/>
      <c r="D388" s="70"/>
      <c r="E388" s="58"/>
      <c r="F388" s="72"/>
    </row>
    <row r="389" spans="1:6" x14ac:dyDescent="0.25">
      <c r="A389" s="66"/>
      <c r="B389" s="66"/>
      <c r="C389" s="67"/>
      <c r="D389" s="70"/>
      <c r="E389" s="58"/>
      <c r="F389" s="72"/>
    </row>
    <row r="390" spans="1:6" x14ac:dyDescent="0.25">
      <c r="A390" s="66"/>
      <c r="B390" s="66"/>
      <c r="C390" s="67"/>
      <c r="D390" s="70"/>
      <c r="E390" s="58"/>
      <c r="F390" s="72"/>
    </row>
    <row r="391" spans="1:6" x14ac:dyDescent="0.25">
      <c r="A391" s="66"/>
      <c r="B391" s="66"/>
      <c r="C391" s="67"/>
      <c r="D391" s="70"/>
      <c r="E391" s="58"/>
      <c r="F391" s="72"/>
    </row>
    <row r="392" spans="1:6" x14ac:dyDescent="0.25">
      <c r="A392" s="66"/>
      <c r="B392" s="66"/>
      <c r="C392" s="67"/>
      <c r="D392" s="70"/>
      <c r="E392" s="58"/>
      <c r="F392" s="72"/>
    </row>
    <row r="393" spans="1:6" x14ac:dyDescent="0.25">
      <c r="A393" s="66"/>
      <c r="B393" s="66"/>
      <c r="C393" s="67"/>
      <c r="D393" s="70"/>
      <c r="E393" s="58"/>
      <c r="F393" s="72"/>
    </row>
    <row r="394" spans="1:6" x14ac:dyDescent="0.25">
      <c r="A394" s="66"/>
      <c r="B394" s="66"/>
      <c r="C394" s="67"/>
      <c r="D394" s="70"/>
      <c r="E394" s="58"/>
      <c r="F394" s="72"/>
    </row>
    <row r="395" spans="1:6" x14ac:dyDescent="0.25">
      <c r="A395" s="66"/>
      <c r="B395" s="66"/>
      <c r="C395" s="67"/>
      <c r="D395" s="70"/>
      <c r="E395" s="58"/>
      <c r="F395" s="72"/>
    </row>
    <row r="396" spans="1:6" x14ac:dyDescent="0.25">
      <c r="A396" s="66"/>
      <c r="B396" s="66"/>
      <c r="C396" s="67"/>
      <c r="D396" s="70"/>
      <c r="E396" s="58"/>
      <c r="F396" s="72"/>
    </row>
    <row r="397" spans="1:6" x14ac:dyDescent="0.25">
      <c r="A397" s="66"/>
      <c r="B397" s="66"/>
      <c r="C397" s="67"/>
      <c r="D397" s="70"/>
      <c r="E397" s="58"/>
      <c r="F397" s="72"/>
    </row>
    <row r="398" spans="1:6" x14ac:dyDescent="0.25">
      <c r="A398" s="66"/>
      <c r="B398" s="66"/>
      <c r="C398" s="67"/>
      <c r="D398" s="70"/>
      <c r="E398" s="58"/>
      <c r="F398" s="72"/>
    </row>
    <row r="399" spans="1:6" x14ac:dyDescent="0.25">
      <c r="A399" s="66"/>
      <c r="B399" s="66"/>
      <c r="C399" s="67"/>
      <c r="D399" s="70"/>
      <c r="E399" s="58"/>
      <c r="F399" s="72"/>
    </row>
    <row r="400" spans="1:6" x14ac:dyDescent="0.25">
      <c r="A400" s="66"/>
      <c r="B400" s="66"/>
      <c r="C400" s="67"/>
      <c r="D400" s="70"/>
      <c r="E400" s="58"/>
      <c r="F400" s="72"/>
    </row>
    <row r="401" spans="1:6" x14ac:dyDescent="0.25">
      <c r="A401" s="66"/>
      <c r="B401" s="66"/>
      <c r="C401" s="67"/>
      <c r="D401" s="70"/>
      <c r="E401" s="58"/>
      <c r="F401" s="72"/>
    </row>
    <row r="402" spans="1:6" x14ac:dyDescent="0.25">
      <c r="A402" s="66"/>
      <c r="B402" s="66"/>
      <c r="C402" s="67"/>
      <c r="D402" s="70"/>
      <c r="E402" s="58"/>
      <c r="F402" s="72"/>
    </row>
    <row r="403" spans="1:6" x14ac:dyDescent="0.25">
      <c r="A403" s="66"/>
      <c r="B403" s="66"/>
      <c r="C403" s="67"/>
      <c r="D403" s="70"/>
      <c r="E403" s="58"/>
      <c r="F403" s="72"/>
    </row>
    <row r="404" spans="1:6" x14ac:dyDescent="0.25">
      <c r="A404" s="66"/>
      <c r="B404" s="66"/>
      <c r="C404" s="67"/>
      <c r="D404" s="70"/>
      <c r="E404" s="58"/>
      <c r="F404" s="72"/>
    </row>
    <row r="405" spans="1:6" x14ac:dyDescent="0.25">
      <c r="A405" s="66"/>
      <c r="B405" s="66"/>
      <c r="C405" s="67"/>
      <c r="D405" s="70"/>
      <c r="E405" s="58"/>
      <c r="F405" s="72"/>
    </row>
    <row r="406" spans="1:6" x14ac:dyDescent="0.25">
      <c r="A406" s="66"/>
      <c r="B406" s="66"/>
      <c r="C406" s="67"/>
      <c r="D406" s="70"/>
      <c r="E406" s="58"/>
      <c r="F406" s="72"/>
    </row>
    <row r="407" spans="1:6" x14ac:dyDescent="0.25">
      <c r="A407" s="66"/>
      <c r="B407" s="66"/>
      <c r="C407" s="67"/>
      <c r="D407" s="70"/>
      <c r="E407" s="58"/>
      <c r="F407" s="72"/>
    </row>
    <row r="408" spans="1:6" x14ac:dyDescent="0.25">
      <c r="A408" s="66"/>
      <c r="B408" s="66"/>
      <c r="C408" s="67"/>
      <c r="D408" s="70"/>
      <c r="E408" s="58"/>
      <c r="F408" s="72"/>
    </row>
    <row r="409" spans="1:6" x14ac:dyDescent="0.25">
      <c r="A409" s="66"/>
      <c r="B409" s="66"/>
      <c r="C409" s="67"/>
      <c r="D409" s="70"/>
      <c r="E409" s="58"/>
      <c r="F409" s="72"/>
    </row>
    <row r="410" spans="1:6" x14ac:dyDescent="0.25">
      <c r="A410" s="66"/>
      <c r="B410" s="66"/>
      <c r="C410" s="67"/>
      <c r="D410" s="70"/>
      <c r="E410" s="58"/>
      <c r="F410" s="72"/>
    </row>
    <row r="411" spans="1:6" x14ac:dyDescent="0.25">
      <c r="A411" s="66"/>
      <c r="B411" s="66"/>
      <c r="C411" s="67"/>
      <c r="D411" s="70"/>
      <c r="E411" s="58"/>
      <c r="F411" s="72"/>
    </row>
    <row r="412" spans="1:6" x14ac:dyDescent="0.25">
      <c r="A412" s="66"/>
      <c r="B412" s="66"/>
      <c r="C412" s="67"/>
      <c r="D412" s="70"/>
      <c r="E412" s="58"/>
      <c r="F412" s="72"/>
    </row>
    <row r="413" spans="1:6" x14ac:dyDescent="0.25">
      <c r="A413" s="66"/>
      <c r="B413" s="66"/>
      <c r="C413" s="67"/>
      <c r="D413" s="70"/>
      <c r="E413" s="58"/>
      <c r="F413" s="72"/>
    </row>
    <row r="414" spans="1:6" x14ac:dyDescent="0.25">
      <c r="A414" s="66"/>
      <c r="B414" s="66"/>
      <c r="C414" s="67"/>
      <c r="D414" s="70"/>
      <c r="E414" s="58"/>
      <c r="F414" s="72"/>
    </row>
    <row r="415" spans="1:6" x14ac:dyDescent="0.25">
      <c r="A415" s="66"/>
      <c r="B415" s="66"/>
      <c r="C415" s="67"/>
      <c r="D415" s="70"/>
      <c r="E415" s="58"/>
      <c r="F415" s="72"/>
    </row>
    <row r="416" spans="1:6" x14ac:dyDescent="0.25">
      <c r="A416" s="66"/>
      <c r="B416" s="66"/>
      <c r="C416" s="67"/>
      <c r="D416" s="70"/>
      <c r="E416" s="58"/>
      <c r="F416" s="72"/>
    </row>
    <row r="417" spans="1:6" x14ac:dyDescent="0.25">
      <c r="A417" s="66"/>
      <c r="B417" s="66"/>
      <c r="C417" s="67"/>
      <c r="D417" s="70"/>
      <c r="E417" s="58"/>
      <c r="F417" s="72"/>
    </row>
    <row r="418" spans="1:6" x14ac:dyDescent="0.25">
      <c r="A418" s="66"/>
      <c r="B418" s="66"/>
      <c r="C418" s="67"/>
      <c r="D418" s="70"/>
      <c r="E418" s="58"/>
      <c r="F418" s="72"/>
    </row>
    <row r="419" spans="1:6" x14ac:dyDescent="0.25">
      <c r="A419" s="66"/>
      <c r="B419" s="66"/>
      <c r="C419" s="67"/>
      <c r="D419" s="70"/>
      <c r="E419" s="58"/>
      <c r="F419" s="72"/>
    </row>
    <row r="420" spans="1:6" x14ac:dyDescent="0.25">
      <c r="A420" s="66"/>
      <c r="B420" s="66"/>
      <c r="C420" s="67"/>
      <c r="D420" s="70"/>
      <c r="E420" s="58"/>
      <c r="F420" s="72"/>
    </row>
    <row r="421" spans="1:6" x14ac:dyDescent="0.25">
      <c r="A421" s="66"/>
      <c r="B421" s="66"/>
      <c r="C421" s="67"/>
      <c r="D421" s="70"/>
      <c r="E421" s="58"/>
      <c r="F421" s="72"/>
    </row>
    <row r="422" spans="1:6" x14ac:dyDescent="0.25">
      <c r="A422" s="66"/>
      <c r="B422" s="66"/>
      <c r="C422" s="67"/>
      <c r="D422" s="70"/>
      <c r="E422" s="58"/>
      <c r="F422" s="72"/>
    </row>
    <row r="423" spans="1:6" x14ac:dyDescent="0.25">
      <c r="A423" s="66"/>
      <c r="B423" s="66"/>
      <c r="C423" s="67"/>
      <c r="D423" s="70"/>
      <c r="E423" s="58"/>
      <c r="F423" s="72"/>
    </row>
    <row r="424" spans="1:6" x14ac:dyDescent="0.25">
      <c r="A424" s="66"/>
      <c r="B424" s="66"/>
      <c r="C424" s="67"/>
      <c r="D424" s="70"/>
      <c r="E424" s="58"/>
      <c r="F424" s="72"/>
    </row>
    <row r="425" spans="1:6" x14ac:dyDescent="0.25">
      <c r="A425" s="66"/>
      <c r="B425" s="66"/>
      <c r="C425" s="67"/>
      <c r="D425" s="70"/>
      <c r="E425" s="58"/>
      <c r="F425" s="72"/>
    </row>
    <row r="426" spans="1:6" x14ac:dyDescent="0.25">
      <c r="A426" s="66"/>
      <c r="B426" s="66"/>
      <c r="C426" s="67"/>
      <c r="D426" s="70"/>
      <c r="E426" s="58"/>
      <c r="F426" s="72"/>
    </row>
    <row r="427" spans="1:6" x14ac:dyDescent="0.25">
      <c r="A427" s="66"/>
      <c r="B427" s="66"/>
      <c r="C427" s="67"/>
      <c r="D427" s="70"/>
      <c r="E427" s="58"/>
      <c r="F427" s="72"/>
    </row>
    <row r="428" spans="1:6" x14ac:dyDescent="0.25">
      <c r="A428" s="66"/>
      <c r="B428" s="66"/>
      <c r="C428" s="67"/>
      <c r="D428" s="70"/>
      <c r="E428" s="58"/>
      <c r="F428" s="72"/>
    </row>
    <row r="429" spans="1:6" x14ac:dyDescent="0.25">
      <c r="A429" s="66"/>
      <c r="B429" s="66"/>
      <c r="C429" s="67"/>
      <c r="D429" s="70"/>
      <c r="E429" s="58"/>
      <c r="F429" s="72"/>
    </row>
    <row r="430" spans="1:6" x14ac:dyDescent="0.25">
      <c r="A430" s="66"/>
      <c r="B430" s="66"/>
      <c r="C430" s="67"/>
      <c r="D430" s="70"/>
      <c r="E430" s="58"/>
      <c r="F430" s="72"/>
    </row>
    <row r="431" spans="1:6" x14ac:dyDescent="0.25">
      <c r="A431" s="66"/>
      <c r="B431" s="66"/>
      <c r="C431" s="67"/>
      <c r="D431" s="70"/>
      <c r="E431" s="58"/>
      <c r="F431" s="72"/>
    </row>
    <row r="432" spans="1:6" x14ac:dyDescent="0.25">
      <c r="A432" s="66"/>
      <c r="B432" s="66"/>
      <c r="C432" s="67"/>
      <c r="D432" s="70"/>
      <c r="E432" s="58"/>
      <c r="F432" s="72"/>
    </row>
    <row r="433" spans="1:6" x14ac:dyDescent="0.25">
      <c r="A433" s="66"/>
      <c r="B433" s="66"/>
      <c r="C433" s="67"/>
      <c r="D433" s="70"/>
      <c r="E433" s="58"/>
      <c r="F433" s="72"/>
    </row>
    <row r="434" spans="1:6" x14ac:dyDescent="0.25">
      <c r="A434" s="66"/>
      <c r="B434" s="66"/>
      <c r="C434" s="67"/>
      <c r="D434" s="70"/>
      <c r="E434" s="58"/>
      <c r="F434" s="72"/>
    </row>
    <row r="435" spans="1:6" x14ac:dyDescent="0.25">
      <c r="A435" s="66"/>
      <c r="B435" s="66"/>
      <c r="C435" s="67"/>
      <c r="D435" s="70"/>
      <c r="E435" s="58"/>
      <c r="F435" s="72"/>
    </row>
    <row r="436" spans="1:6" x14ac:dyDescent="0.25">
      <c r="A436" s="66"/>
      <c r="B436" s="66"/>
      <c r="C436" s="67"/>
      <c r="D436" s="70"/>
      <c r="E436" s="58"/>
      <c r="F436" s="72"/>
    </row>
    <row r="437" spans="1:6" x14ac:dyDescent="0.25">
      <c r="A437" s="66"/>
      <c r="B437" s="66"/>
      <c r="C437" s="67"/>
      <c r="D437" s="70"/>
      <c r="E437" s="58"/>
      <c r="F437" s="72"/>
    </row>
    <row r="438" spans="1:6" x14ac:dyDescent="0.25">
      <c r="A438" s="66"/>
      <c r="B438" s="66"/>
      <c r="C438" s="67"/>
      <c r="D438" s="70"/>
      <c r="E438" s="58"/>
      <c r="F438" s="72"/>
    </row>
    <row r="439" spans="1:6" x14ac:dyDescent="0.25">
      <c r="A439" s="66"/>
      <c r="B439" s="66"/>
      <c r="C439" s="67"/>
      <c r="D439" s="70"/>
      <c r="E439" s="58"/>
      <c r="F439" s="72"/>
    </row>
    <row r="440" spans="1:6" x14ac:dyDescent="0.25">
      <c r="A440" s="66"/>
      <c r="B440" s="66"/>
      <c r="C440" s="67"/>
      <c r="D440" s="70"/>
      <c r="E440" s="58"/>
      <c r="F440" s="72"/>
    </row>
    <row r="441" spans="1:6" x14ac:dyDescent="0.25">
      <c r="A441" s="66"/>
      <c r="B441" s="66"/>
      <c r="C441" s="67"/>
      <c r="D441" s="70"/>
      <c r="E441" s="58"/>
      <c r="F441" s="72"/>
    </row>
    <row r="442" spans="1:6" x14ac:dyDescent="0.25">
      <c r="A442" s="66"/>
      <c r="B442" s="66"/>
      <c r="C442" s="67"/>
      <c r="D442" s="70"/>
      <c r="E442" s="58"/>
      <c r="F442" s="72"/>
    </row>
    <row r="443" spans="1:6" x14ac:dyDescent="0.25">
      <c r="A443" s="66"/>
      <c r="B443" s="66"/>
      <c r="C443" s="67"/>
      <c r="D443" s="70"/>
      <c r="E443" s="58"/>
      <c r="F443" s="72"/>
    </row>
    <row r="444" spans="1:6" x14ac:dyDescent="0.25">
      <c r="A444" s="66"/>
      <c r="B444" s="66"/>
      <c r="C444" s="67"/>
      <c r="D444" s="70"/>
      <c r="E444" s="58"/>
      <c r="F444" s="72"/>
    </row>
    <row r="445" spans="1:6" x14ac:dyDescent="0.25">
      <c r="A445" s="66"/>
      <c r="B445" s="66"/>
      <c r="C445" s="67"/>
      <c r="D445" s="70"/>
      <c r="E445" s="58"/>
      <c r="F445" s="72"/>
    </row>
    <row r="446" spans="1:6" x14ac:dyDescent="0.25">
      <c r="A446" s="66"/>
      <c r="B446" s="66"/>
      <c r="C446" s="67"/>
      <c r="D446" s="70"/>
      <c r="E446" s="58"/>
      <c r="F446" s="72"/>
    </row>
    <row r="447" spans="1:6" x14ac:dyDescent="0.25">
      <c r="A447" s="66"/>
      <c r="B447" s="66"/>
      <c r="C447" s="67"/>
      <c r="D447" s="70"/>
      <c r="E447" s="58"/>
      <c r="F447" s="72"/>
    </row>
    <row r="448" spans="1:6" x14ac:dyDescent="0.25">
      <c r="A448" s="66"/>
      <c r="B448" s="66"/>
      <c r="C448" s="67"/>
      <c r="D448" s="70"/>
      <c r="E448" s="58"/>
      <c r="F448" s="72"/>
    </row>
    <row r="449" spans="1:6" x14ac:dyDescent="0.25">
      <c r="A449" s="66"/>
      <c r="B449" s="66"/>
      <c r="C449" s="67"/>
      <c r="D449" s="70"/>
      <c r="E449" s="58"/>
      <c r="F449" s="72"/>
    </row>
    <row r="450" spans="1:6" x14ac:dyDescent="0.25">
      <c r="A450" s="66"/>
      <c r="B450" s="66"/>
      <c r="C450" s="67"/>
      <c r="D450" s="70"/>
      <c r="E450" s="58"/>
      <c r="F450" s="72"/>
    </row>
    <row r="451" spans="1:6" x14ac:dyDescent="0.25">
      <c r="A451" s="66"/>
      <c r="B451" s="66"/>
      <c r="C451" s="67"/>
      <c r="D451" s="70"/>
      <c r="E451" s="58"/>
      <c r="F451" s="72"/>
    </row>
    <row r="452" spans="1:6" x14ac:dyDescent="0.25">
      <c r="A452" s="66"/>
      <c r="B452" s="66"/>
      <c r="C452" s="67"/>
      <c r="D452" s="70"/>
      <c r="E452" s="58"/>
      <c r="F452" s="72"/>
    </row>
    <row r="453" spans="1:6" x14ac:dyDescent="0.25">
      <c r="A453" s="66"/>
      <c r="B453" s="66"/>
      <c r="C453" s="67"/>
      <c r="D453" s="70"/>
      <c r="E453" s="58"/>
      <c r="F453" s="72"/>
    </row>
    <row r="454" spans="1:6" x14ac:dyDescent="0.25">
      <c r="A454" s="66"/>
      <c r="B454" s="66"/>
      <c r="C454" s="67"/>
      <c r="D454" s="70"/>
      <c r="E454" s="58"/>
      <c r="F454" s="72"/>
    </row>
    <row r="455" spans="1:6" x14ac:dyDescent="0.25">
      <c r="A455" s="66"/>
      <c r="B455" s="66"/>
      <c r="C455" s="67"/>
      <c r="D455" s="70"/>
      <c r="E455" s="58"/>
      <c r="F455" s="72"/>
    </row>
    <row r="456" spans="1:6" x14ac:dyDescent="0.25">
      <c r="A456" s="66"/>
      <c r="B456" s="66"/>
      <c r="C456" s="67"/>
      <c r="D456" s="70"/>
      <c r="E456" s="58"/>
      <c r="F456" s="72"/>
    </row>
    <row r="457" spans="1:6" x14ac:dyDescent="0.25">
      <c r="A457" s="66"/>
      <c r="B457" s="66"/>
      <c r="C457" s="67"/>
      <c r="D457" s="70"/>
      <c r="E457" s="58"/>
      <c r="F457" s="72"/>
    </row>
    <row r="458" spans="1:6" x14ac:dyDescent="0.25">
      <c r="A458" s="66"/>
      <c r="B458" s="66"/>
      <c r="C458" s="67"/>
      <c r="D458" s="70"/>
      <c r="E458" s="58"/>
      <c r="F458" s="72"/>
    </row>
    <row r="459" spans="1:6" x14ac:dyDescent="0.25">
      <c r="A459" s="66"/>
      <c r="B459" s="66"/>
      <c r="C459" s="67"/>
      <c r="D459" s="70"/>
      <c r="E459" s="58"/>
      <c r="F459" s="72"/>
    </row>
    <row r="460" spans="1:6" x14ac:dyDescent="0.25">
      <c r="A460" s="66"/>
      <c r="B460" s="66"/>
      <c r="C460" s="67"/>
      <c r="D460" s="70"/>
      <c r="E460" s="58"/>
      <c r="F460" s="72"/>
    </row>
    <row r="461" spans="1:6" x14ac:dyDescent="0.25">
      <c r="A461" s="66"/>
      <c r="B461" s="66"/>
      <c r="C461" s="67"/>
      <c r="D461" s="70"/>
      <c r="E461" s="58"/>
      <c r="F461" s="72"/>
    </row>
    <row r="462" spans="1:6" x14ac:dyDescent="0.25">
      <c r="A462" s="66"/>
      <c r="B462" s="66"/>
      <c r="C462" s="67"/>
      <c r="D462" s="70"/>
      <c r="E462" s="58"/>
      <c r="F462" s="72"/>
    </row>
    <row r="463" spans="1:6" x14ac:dyDescent="0.25">
      <c r="A463" s="66"/>
      <c r="B463" s="66"/>
      <c r="C463" s="67"/>
      <c r="D463" s="70"/>
      <c r="E463" s="58"/>
      <c r="F463" s="72"/>
    </row>
    <row r="464" spans="1:6" x14ac:dyDescent="0.25">
      <c r="A464" s="66"/>
      <c r="B464" s="66"/>
      <c r="C464" s="67"/>
      <c r="D464" s="70"/>
      <c r="E464" s="58"/>
      <c r="F464" s="72"/>
    </row>
    <row r="465" spans="1:6" x14ac:dyDescent="0.25">
      <c r="A465" s="66"/>
      <c r="B465" s="66"/>
      <c r="C465" s="67"/>
      <c r="D465" s="70"/>
      <c r="E465" s="58"/>
      <c r="F465" s="72"/>
    </row>
    <row r="466" spans="1:6" x14ac:dyDescent="0.25">
      <c r="A466" s="66"/>
      <c r="B466" s="66"/>
      <c r="C466" s="67"/>
      <c r="D466" s="70"/>
      <c r="E466" s="58"/>
      <c r="F466" s="72"/>
    </row>
    <row r="467" spans="1:6" x14ac:dyDescent="0.25">
      <c r="A467" s="66"/>
      <c r="B467" s="66"/>
      <c r="C467" s="67"/>
      <c r="D467" s="70"/>
      <c r="E467" s="58"/>
      <c r="F467" s="72"/>
    </row>
    <row r="468" spans="1:6" x14ac:dyDescent="0.25">
      <c r="A468" s="66"/>
      <c r="B468" s="66"/>
      <c r="C468" s="67"/>
      <c r="D468" s="70"/>
      <c r="E468" s="58"/>
      <c r="F468" s="72"/>
    </row>
    <row r="469" spans="1:6" x14ac:dyDescent="0.25">
      <c r="A469" s="66"/>
      <c r="B469" s="66"/>
      <c r="C469" s="67"/>
      <c r="D469" s="70"/>
      <c r="E469" s="58"/>
      <c r="F469" s="72"/>
    </row>
    <row r="470" spans="1:6" x14ac:dyDescent="0.25">
      <c r="A470" s="66"/>
      <c r="B470" s="66"/>
      <c r="C470" s="67"/>
      <c r="D470" s="70"/>
      <c r="E470" s="58"/>
      <c r="F470" s="72"/>
    </row>
    <row r="471" spans="1:6" x14ac:dyDescent="0.25">
      <c r="A471" s="66"/>
      <c r="B471" s="66"/>
      <c r="C471" s="67"/>
      <c r="D471" s="70"/>
      <c r="E471" s="58"/>
      <c r="F471" s="72"/>
    </row>
    <row r="472" spans="1:6" x14ac:dyDescent="0.25">
      <c r="A472" s="66"/>
      <c r="B472" s="66"/>
      <c r="C472" s="67"/>
      <c r="D472" s="70"/>
      <c r="E472" s="58"/>
      <c r="F472" s="72"/>
    </row>
    <row r="473" spans="1:6" x14ac:dyDescent="0.25">
      <c r="A473" s="66"/>
      <c r="B473" s="66"/>
      <c r="C473" s="67"/>
      <c r="D473" s="70"/>
      <c r="E473" s="58"/>
      <c r="F473" s="72"/>
    </row>
    <row r="474" spans="1:6" x14ac:dyDescent="0.25">
      <c r="A474" s="66"/>
      <c r="B474" s="66"/>
      <c r="C474" s="67"/>
      <c r="D474" s="70"/>
      <c r="E474" s="58"/>
      <c r="F474" s="72"/>
    </row>
    <row r="475" spans="1:6" x14ac:dyDescent="0.25">
      <c r="A475" s="66"/>
      <c r="B475" s="66"/>
      <c r="C475" s="67"/>
      <c r="D475" s="70"/>
      <c r="E475" s="58"/>
      <c r="F475" s="72"/>
    </row>
    <row r="476" spans="1:6" x14ac:dyDescent="0.25">
      <c r="A476" s="66"/>
      <c r="B476" s="66"/>
      <c r="C476" s="67"/>
      <c r="D476" s="70"/>
      <c r="E476" s="58"/>
      <c r="F476" s="72"/>
    </row>
    <row r="477" spans="1:6" x14ac:dyDescent="0.25">
      <c r="A477" s="66"/>
      <c r="B477" s="66"/>
      <c r="C477" s="67"/>
      <c r="D477" s="70"/>
      <c r="E477" s="58"/>
      <c r="F477" s="72"/>
    </row>
    <row r="478" spans="1:6" x14ac:dyDescent="0.25">
      <c r="A478" s="66"/>
      <c r="B478" s="66"/>
      <c r="C478" s="67"/>
      <c r="D478" s="70"/>
      <c r="E478" s="58"/>
      <c r="F478" s="72"/>
    </row>
    <row r="479" spans="1:6" x14ac:dyDescent="0.25">
      <c r="A479" s="66"/>
      <c r="B479" s="66"/>
      <c r="C479" s="67"/>
      <c r="D479" s="70"/>
      <c r="E479" s="58"/>
      <c r="F479" s="72"/>
    </row>
    <row r="480" spans="1:6" x14ac:dyDescent="0.25">
      <c r="A480" s="66"/>
      <c r="B480" s="66"/>
      <c r="C480" s="67"/>
      <c r="D480" s="70"/>
      <c r="E480" s="58"/>
      <c r="F480" s="72"/>
    </row>
    <row r="481" spans="1:6" x14ac:dyDescent="0.25">
      <c r="A481" s="66"/>
      <c r="B481" s="66"/>
      <c r="C481" s="67"/>
      <c r="D481" s="70"/>
      <c r="E481" s="58"/>
      <c r="F481" s="72"/>
    </row>
    <row r="482" spans="1:6" x14ac:dyDescent="0.25">
      <c r="A482" s="66"/>
      <c r="B482" s="66"/>
      <c r="C482" s="67"/>
      <c r="D482" s="70"/>
      <c r="E482" s="58"/>
      <c r="F482" s="72"/>
    </row>
    <row r="483" spans="1:6" x14ac:dyDescent="0.25">
      <c r="A483" s="66"/>
      <c r="B483" s="66"/>
      <c r="C483" s="67"/>
      <c r="D483" s="70"/>
      <c r="E483" s="58"/>
      <c r="F483" s="72"/>
    </row>
    <row r="484" spans="1:6" x14ac:dyDescent="0.25">
      <c r="A484" s="66"/>
      <c r="B484" s="66"/>
      <c r="C484" s="67"/>
      <c r="D484" s="70"/>
      <c r="E484" s="58"/>
      <c r="F484" s="72"/>
    </row>
    <row r="485" spans="1:6" x14ac:dyDescent="0.25">
      <c r="A485" s="66"/>
      <c r="B485" s="66"/>
      <c r="C485" s="67"/>
      <c r="D485" s="70"/>
      <c r="E485" s="58"/>
      <c r="F485" s="72"/>
    </row>
    <row r="486" spans="1:6" x14ac:dyDescent="0.25">
      <c r="A486" s="66"/>
      <c r="B486" s="66"/>
      <c r="C486" s="67"/>
      <c r="D486" s="70"/>
      <c r="E486" s="58"/>
      <c r="F486" s="72"/>
    </row>
    <row r="487" spans="1:6" x14ac:dyDescent="0.25">
      <c r="A487" s="66"/>
      <c r="B487" s="66"/>
      <c r="C487" s="67"/>
      <c r="D487" s="70"/>
      <c r="E487" s="58"/>
      <c r="F487" s="72"/>
    </row>
    <row r="488" spans="1:6" x14ac:dyDescent="0.25">
      <c r="A488" s="66"/>
      <c r="B488" s="66"/>
      <c r="C488" s="67"/>
      <c r="D488" s="70"/>
      <c r="E488" s="58"/>
      <c r="F488" s="72"/>
    </row>
    <row r="489" spans="1:6" x14ac:dyDescent="0.25">
      <c r="A489" s="66"/>
      <c r="B489" s="66"/>
      <c r="C489" s="67"/>
      <c r="D489" s="70"/>
      <c r="E489" s="58"/>
      <c r="F489" s="72"/>
    </row>
    <row r="490" spans="1:6" x14ac:dyDescent="0.25">
      <c r="A490" s="66"/>
      <c r="B490" s="66"/>
      <c r="C490" s="67"/>
      <c r="D490" s="70"/>
      <c r="E490" s="58"/>
      <c r="F490" s="72"/>
    </row>
    <row r="491" spans="1:6" x14ac:dyDescent="0.25">
      <c r="A491" s="66"/>
      <c r="B491" s="66"/>
      <c r="C491" s="67"/>
      <c r="D491" s="70"/>
      <c r="E491" s="58"/>
      <c r="F491" s="72"/>
    </row>
    <row r="492" spans="1:6" x14ac:dyDescent="0.25">
      <c r="A492" s="66"/>
      <c r="B492" s="66"/>
      <c r="C492" s="67"/>
      <c r="D492" s="70"/>
      <c r="E492" s="58"/>
      <c r="F492" s="72"/>
    </row>
    <row r="493" spans="1:6" x14ac:dyDescent="0.25">
      <c r="A493" s="66"/>
      <c r="B493" s="66"/>
      <c r="C493" s="67"/>
      <c r="D493" s="70"/>
      <c r="E493" s="58"/>
      <c r="F493" s="72"/>
    </row>
    <row r="494" spans="1:6" x14ac:dyDescent="0.25">
      <c r="A494" s="66"/>
      <c r="B494" s="66"/>
      <c r="C494" s="67"/>
      <c r="D494" s="70"/>
      <c r="E494" s="58"/>
      <c r="F494" s="72"/>
    </row>
    <row r="495" spans="1:6" x14ac:dyDescent="0.25">
      <c r="A495" s="66"/>
      <c r="B495" s="66"/>
      <c r="C495" s="67"/>
      <c r="D495" s="70"/>
      <c r="E495" s="58"/>
      <c r="F495" s="72"/>
    </row>
    <row r="496" spans="1:6" x14ac:dyDescent="0.25">
      <c r="A496" s="66"/>
      <c r="B496" s="66"/>
      <c r="C496" s="67"/>
      <c r="D496" s="70"/>
      <c r="E496" s="58"/>
      <c r="F496" s="72"/>
    </row>
    <row r="497" spans="1:6" x14ac:dyDescent="0.25">
      <c r="A497" s="66"/>
      <c r="B497" s="66"/>
      <c r="C497" s="67"/>
      <c r="D497" s="70"/>
      <c r="E497" s="58"/>
      <c r="F497" s="72"/>
    </row>
    <row r="498" spans="1:6" x14ac:dyDescent="0.25">
      <c r="A498" s="66"/>
      <c r="B498" s="66"/>
      <c r="C498" s="67"/>
      <c r="D498" s="70"/>
      <c r="E498" s="58"/>
      <c r="F498" s="72"/>
    </row>
    <row r="499" spans="1:6" x14ac:dyDescent="0.25">
      <c r="A499" s="66"/>
      <c r="B499" s="66"/>
      <c r="C499" s="67"/>
      <c r="D499" s="70"/>
      <c r="E499" s="58"/>
      <c r="F499" s="72"/>
    </row>
    <row r="500" spans="1:6" x14ac:dyDescent="0.25">
      <c r="A500" s="66"/>
      <c r="B500" s="66"/>
      <c r="C500" s="67"/>
      <c r="D500" s="70"/>
      <c r="E500" s="58"/>
      <c r="F500" s="72"/>
    </row>
    <row r="501" spans="1:6" x14ac:dyDescent="0.25">
      <c r="A501" s="66"/>
      <c r="B501" s="66"/>
      <c r="C501" s="67"/>
      <c r="D501" s="70"/>
      <c r="E501" s="58"/>
      <c r="F501" s="72"/>
    </row>
    <row r="502" spans="1:6" x14ac:dyDescent="0.25">
      <c r="A502" s="66"/>
      <c r="B502" s="66"/>
      <c r="C502" s="67"/>
      <c r="D502" s="70"/>
      <c r="E502" s="58"/>
      <c r="F502" s="72"/>
    </row>
    <row r="503" spans="1:6" x14ac:dyDescent="0.25">
      <c r="A503" s="66"/>
      <c r="B503" s="66"/>
      <c r="C503" s="67"/>
      <c r="D503" s="70"/>
      <c r="E503" s="58"/>
      <c r="F503" s="72"/>
    </row>
    <row r="504" spans="1:6" x14ac:dyDescent="0.25">
      <c r="A504" s="66"/>
      <c r="B504" s="66"/>
      <c r="C504" s="67"/>
      <c r="D504" s="70"/>
      <c r="E504" s="58"/>
      <c r="F504" s="72"/>
    </row>
    <row r="505" spans="1:6" x14ac:dyDescent="0.25">
      <c r="A505" s="66"/>
      <c r="B505" s="66"/>
      <c r="C505" s="67"/>
      <c r="D505" s="70"/>
      <c r="E505" s="58"/>
      <c r="F505" s="72"/>
    </row>
    <row r="506" spans="1:6" x14ac:dyDescent="0.25">
      <c r="A506" s="66"/>
      <c r="B506" s="66"/>
      <c r="C506" s="67"/>
      <c r="D506" s="70"/>
      <c r="E506" s="58"/>
      <c r="F506" s="72"/>
    </row>
    <row r="507" spans="1:6" x14ac:dyDescent="0.25">
      <c r="A507" s="66"/>
      <c r="B507" s="66"/>
      <c r="C507" s="67"/>
      <c r="D507" s="70"/>
      <c r="E507" s="58"/>
      <c r="F507" s="72"/>
    </row>
    <row r="508" spans="1:6" x14ac:dyDescent="0.25">
      <c r="A508" s="66"/>
      <c r="B508" s="66"/>
      <c r="C508" s="67"/>
      <c r="D508" s="70"/>
      <c r="E508" s="58"/>
      <c r="F508" s="72"/>
    </row>
    <row r="509" spans="1:6" x14ac:dyDescent="0.25">
      <c r="A509" s="66"/>
      <c r="B509" s="66"/>
      <c r="C509" s="67"/>
      <c r="D509" s="70"/>
      <c r="E509" s="58"/>
      <c r="F509" s="72"/>
    </row>
    <row r="510" spans="1:6" x14ac:dyDescent="0.25">
      <c r="A510" s="66"/>
      <c r="B510" s="66"/>
      <c r="C510" s="67"/>
      <c r="D510" s="70"/>
      <c r="E510" s="58"/>
      <c r="F510" s="72"/>
    </row>
    <row r="511" spans="1:6" x14ac:dyDescent="0.25">
      <c r="A511" s="66"/>
      <c r="B511" s="66"/>
      <c r="C511" s="67"/>
      <c r="D511" s="70"/>
      <c r="E511" s="58"/>
      <c r="F511" s="72"/>
    </row>
    <row r="512" spans="1:6" x14ac:dyDescent="0.25">
      <c r="A512" s="66"/>
      <c r="B512" s="66"/>
      <c r="C512" s="67"/>
      <c r="D512" s="70"/>
      <c r="E512" s="58"/>
      <c r="F512" s="72"/>
    </row>
    <row r="513" spans="1:6" x14ac:dyDescent="0.25">
      <c r="A513" s="66"/>
      <c r="B513" s="66"/>
      <c r="C513" s="67"/>
      <c r="D513" s="70"/>
      <c r="E513" s="58"/>
      <c r="F513" s="72"/>
    </row>
    <row r="514" spans="1:6" x14ac:dyDescent="0.25">
      <c r="A514" s="66"/>
      <c r="B514" s="66"/>
      <c r="C514" s="67"/>
      <c r="D514" s="70"/>
      <c r="E514" s="58"/>
      <c r="F514" s="72"/>
    </row>
    <row r="515" spans="1:6" x14ac:dyDescent="0.25">
      <c r="A515" s="66"/>
      <c r="B515" s="66"/>
      <c r="C515" s="67"/>
      <c r="D515" s="70"/>
      <c r="E515" s="58"/>
      <c r="F515" s="72"/>
    </row>
    <row r="516" spans="1:6" x14ac:dyDescent="0.25">
      <c r="A516" s="66"/>
      <c r="B516" s="66"/>
      <c r="C516" s="67"/>
      <c r="D516" s="70"/>
      <c r="E516" s="58"/>
      <c r="F516" s="72"/>
    </row>
    <row r="517" spans="1:6" x14ac:dyDescent="0.25">
      <c r="A517" s="66"/>
      <c r="B517" s="66"/>
      <c r="C517" s="67"/>
      <c r="D517" s="70"/>
      <c r="E517" s="58"/>
      <c r="F517" s="72"/>
    </row>
    <row r="518" spans="1:6" x14ac:dyDescent="0.25">
      <c r="A518" s="66"/>
      <c r="B518" s="66"/>
      <c r="C518" s="67"/>
      <c r="D518" s="70"/>
      <c r="E518" s="58"/>
      <c r="F518" s="72"/>
    </row>
    <row r="519" spans="1:6" x14ac:dyDescent="0.25">
      <c r="A519" s="66"/>
      <c r="B519" s="66"/>
      <c r="C519" s="67"/>
      <c r="D519" s="70"/>
      <c r="E519" s="58"/>
      <c r="F519" s="72"/>
    </row>
    <row r="520" spans="1:6" x14ac:dyDescent="0.25">
      <c r="A520" s="66"/>
      <c r="B520" s="66"/>
      <c r="C520" s="67"/>
      <c r="D520" s="70"/>
      <c r="E520" s="58"/>
      <c r="F520" s="72"/>
    </row>
    <row r="521" spans="1:6" x14ac:dyDescent="0.25">
      <c r="A521" s="66"/>
      <c r="B521" s="66"/>
      <c r="C521" s="67"/>
      <c r="D521" s="70"/>
      <c r="E521" s="58"/>
      <c r="F521" s="72"/>
    </row>
    <row r="522" spans="1:6" x14ac:dyDescent="0.25">
      <c r="A522" s="66"/>
      <c r="B522" s="66"/>
      <c r="C522" s="67"/>
      <c r="D522" s="70"/>
      <c r="E522" s="58"/>
      <c r="F522" s="72"/>
    </row>
    <row r="523" spans="1:6" x14ac:dyDescent="0.25">
      <c r="A523" s="66"/>
      <c r="B523" s="66"/>
      <c r="C523" s="67"/>
      <c r="D523" s="70"/>
      <c r="E523" s="58"/>
      <c r="F523" s="72"/>
    </row>
    <row r="524" spans="1:6" x14ac:dyDescent="0.25">
      <c r="A524" s="66"/>
      <c r="B524" s="66"/>
      <c r="C524" s="67"/>
      <c r="D524" s="70"/>
      <c r="E524" s="58"/>
      <c r="F524" s="72"/>
    </row>
    <row r="525" spans="1:6" x14ac:dyDescent="0.25">
      <c r="A525" s="66"/>
      <c r="B525" s="66"/>
      <c r="C525" s="67"/>
      <c r="D525" s="70"/>
      <c r="E525" s="58"/>
      <c r="F525" s="72"/>
    </row>
    <row r="526" spans="1:6" x14ac:dyDescent="0.25">
      <c r="A526" s="66"/>
      <c r="B526" s="66"/>
      <c r="C526" s="67"/>
      <c r="D526" s="70"/>
      <c r="E526" s="58"/>
      <c r="F526" s="72"/>
    </row>
    <row r="527" spans="1:6" x14ac:dyDescent="0.25">
      <c r="A527" s="66"/>
      <c r="B527" s="66"/>
      <c r="C527" s="67"/>
      <c r="D527" s="70"/>
      <c r="E527" s="58"/>
      <c r="F527" s="72"/>
    </row>
    <row r="528" spans="1:6" x14ac:dyDescent="0.25">
      <c r="A528" s="66"/>
      <c r="B528" s="66"/>
      <c r="C528" s="67"/>
      <c r="D528" s="70"/>
      <c r="E528" s="58"/>
      <c r="F528" s="72"/>
    </row>
    <row r="529" spans="1:6" x14ac:dyDescent="0.25">
      <c r="A529" s="66"/>
      <c r="B529" s="66"/>
      <c r="C529" s="67"/>
      <c r="D529" s="70"/>
      <c r="E529" s="58"/>
      <c r="F529" s="72"/>
    </row>
    <row r="530" spans="1:6" x14ac:dyDescent="0.25">
      <c r="A530" s="66"/>
      <c r="B530" s="66"/>
      <c r="C530" s="67"/>
      <c r="D530" s="70"/>
      <c r="E530" s="58"/>
      <c r="F530" s="72"/>
    </row>
    <row r="531" spans="1:6" x14ac:dyDescent="0.25">
      <c r="A531" s="66"/>
      <c r="B531" s="66"/>
      <c r="C531" s="67"/>
      <c r="D531" s="70"/>
      <c r="E531" s="58"/>
      <c r="F531" s="72"/>
    </row>
    <row r="532" spans="1:6" x14ac:dyDescent="0.25">
      <c r="A532" s="66"/>
      <c r="B532" s="66"/>
      <c r="C532" s="67"/>
      <c r="D532" s="70"/>
      <c r="E532" s="58"/>
      <c r="F532" s="72"/>
    </row>
    <row r="533" spans="1:6" x14ac:dyDescent="0.25">
      <c r="A533" s="66"/>
      <c r="B533" s="66"/>
      <c r="C533" s="67"/>
      <c r="D533" s="70"/>
      <c r="E533" s="58"/>
      <c r="F533" s="72"/>
    </row>
    <row r="534" spans="1:6" x14ac:dyDescent="0.25">
      <c r="A534" s="66"/>
      <c r="B534" s="66"/>
      <c r="C534" s="67"/>
      <c r="D534" s="70"/>
      <c r="E534" s="58"/>
      <c r="F534" s="72"/>
    </row>
    <row r="535" spans="1:6" x14ac:dyDescent="0.25">
      <c r="A535" s="66"/>
      <c r="B535" s="66"/>
      <c r="C535" s="67"/>
      <c r="D535" s="70"/>
      <c r="E535" s="58"/>
      <c r="F535" s="72"/>
    </row>
    <row r="536" spans="1:6" x14ac:dyDescent="0.25">
      <c r="A536" s="66"/>
      <c r="B536" s="66"/>
      <c r="C536" s="67"/>
      <c r="D536" s="70"/>
      <c r="E536" s="58"/>
      <c r="F536" s="72"/>
    </row>
    <row r="537" spans="1:6" x14ac:dyDescent="0.25">
      <c r="A537" s="66"/>
      <c r="B537" s="66"/>
      <c r="C537" s="67"/>
      <c r="D537" s="70"/>
      <c r="E537" s="58"/>
      <c r="F537" s="72"/>
    </row>
    <row r="538" spans="1:6" x14ac:dyDescent="0.25">
      <c r="A538" s="66"/>
      <c r="B538" s="66"/>
      <c r="C538" s="67"/>
      <c r="D538" s="70"/>
      <c r="E538" s="58"/>
      <c r="F538" s="72"/>
    </row>
    <row r="539" spans="1:6" x14ac:dyDescent="0.25">
      <c r="A539" s="66"/>
      <c r="B539" s="66"/>
      <c r="C539" s="67"/>
      <c r="D539" s="70"/>
      <c r="E539" s="58"/>
      <c r="F539" s="72"/>
    </row>
    <row r="540" spans="1:6" x14ac:dyDescent="0.25">
      <c r="A540" s="66"/>
      <c r="B540" s="66"/>
      <c r="C540" s="67"/>
      <c r="D540" s="70"/>
      <c r="E540" s="58"/>
      <c r="F540" s="72"/>
    </row>
    <row r="541" spans="1:6" x14ac:dyDescent="0.25">
      <c r="A541" s="66"/>
      <c r="B541" s="66"/>
      <c r="C541" s="67"/>
      <c r="D541" s="70"/>
      <c r="E541" s="58"/>
      <c r="F541" s="72"/>
    </row>
    <row r="542" spans="1:6" x14ac:dyDescent="0.25">
      <c r="A542" s="66"/>
      <c r="B542" s="66"/>
      <c r="C542" s="67"/>
      <c r="D542" s="70"/>
      <c r="E542" s="58"/>
      <c r="F542" s="72"/>
    </row>
    <row r="543" spans="1:6" x14ac:dyDescent="0.25">
      <c r="A543" s="66"/>
      <c r="B543" s="66"/>
      <c r="C543" s="67"/>
      <c r="D543" s="70"/>
      <c r="E543" s="58"/>
      <c r="F543" s="72"/>
    </row>
    <row r="544" spans="1:6" x14ac:dyDescent="0.25">
      <c r="A544" s="66"/>
      <c r="B544" s="66"/>
      <c r="C544" s="67"/>
      <c r="D544" s="70"/>
      <c r="E544" s="58"/>
      <c r="F544" s="72"/>
    </row>
    <row r="545" spans="1:6" x14ac:dyDescent="0.25">
      <c r="A545" s="66"/>
      <c r="B545" s="66"/>
      <c r="C545" s="67"/>
      <c r="D545" s="70"/>
      <c r="E545" s="58"/>
      <c r="F545" s="72"/>
    </row>
    <row r="546" spans="1:6" x14ac:dyDescent="0.25">
      <c r="A546" s="66"/>
      <c r="B546" s="66"/>
      <c r="C546" s="67"/>
      <c r="D546" s="70"/>
      <c r="E546" s="58"/>
      <c r="F546" s="72"/>
    </row>
    <row r="547" spans="1:6" x14ac:dyDescent="0.25">
      <c r="A547" s="66"/>
      <c r="B547" s="66"/>
      <c r="C547" s="67"/>
      <c r="D547" s="70"/>
      <c r="E547" s="58"/>
      <c r="F547" s="72"/>
    </row>
    <row r="548" spans="1:6" x14ac:dyDescent="0.25">
      <c r="A548" s="66"/>
      <c r="B548" s="66"/>
      <c r="C548" s="67"/>
      <c r="D548" s="70"/>
      <c r="E548" s="58"/>
      <c r="F548" s="72"/>
    </row>
    <row r="549" spans="1:6" x14ac:dyDescent="0.25">
      <c r="A549" s="66"/>
      <c r="B549" s="66"/>
      <c r="C549" s="67"/>
      <c r="D549" s="70"/>
      <c r="E549" s="58"/>
      <c r="F549" s="72"/>
    </row>
    <row r="550" spans="1:6" x14ac:dyDescent="0.25">
      <c r="A550" s="66"/>
      <c r="B550" s="66"/>
      <c r="C550" s="67"/>
      <c r="D550" s="70"/>
      <c r="E550" s="58"/>
      <c r="F550" s="72"/>
    </row>
    <row r="551" spans="1:6" x14ac:dyDescent="0.25">
      <c r="A551" s="66"/>
      <c r="B551" s="66"/>
      <c r="C551" s="67"/>
      <c r="D551" s="70"/>
      <c r="E551" s="58"/>
      <c r="F551" s="72"/>
    </row>
    <row r="552" spans="1:6" x14ac:dyDescent="0.25">
      <c r="A552" s="66"/>
      <c r="B552" s="66"/>
      <c r="C552" s="67"/>
      <c r="D552" s="70"/>
      <c r="E552" s="58"/>
      <c r="F552" s="72"/>
    </row>
    <row r="553" spans="1:6" x14ac:dyDescent="0.25">
      <c r="A553" s="66"/>
      <c r="B553" s="66"/>
      <c r="C553" s="67"/>
      <c r="D553" s="70"/>
      <c r="E553" s="58"/>
      <c r="F553" s="72"/>
    </row>
    <row r="554" spans="1:6" x14ac:dyDescent="0.25">
      <c r="A554" s="66"/>
      <c r="B554" s="66"/>
      <c r="C554" s="67"/>
      <c r="D554" s="70"/>
      <c r="E554" s="58"/>
      <c r="F554" s="72"/>
    </row>
    <row r="555" spans="1:6" x14ac:dyDescent="0.25">
      <c r="A555" s="66"/>
      <c r="B555" s="66"/>
      <c r="C555" s="67"/>
      <c r="D555" s="70"/>
      <c r="E555" s="58"/>
      <c r="F555" s="72"/>
    </row>
    <row r="556" spans="1:6" x14ac:dyDescent="0.25">
      <c r="A556" s="66"/>
      <c r="B556" s="66"/>
      <c r="C556" s="67"/>
      <c r="D556" s="70"/>
      <c r="E556" s="58"/>
      <c r="F556" s="72"/>
    </row>
    <row r="557" spans="1:6" x14ac:dyDescent="0.25">
      <c r="A557" s="66"/>
      <c r="B557" s="66"/>
      <c r="C557" s="67"/>
      <c r="D557" s="70"/>
      <c r="E557" s="58"/>
      <c r="F557" s="72"/>
    </row>
    <row r="558" spans="1:6" x14ac:dyDescent="0.25">
      <c r="A558" s="66"/>
      <c r="B558" s="66"/>
      <c r="C558" s="67"/>
      <c r="D558" s="70"/>
      <c r="E558" s="58"/>
      <c r="F558" s="72"/>
    </row>
    <row r="559" spans="1:6" x14ac:dyDescent="0.25">
      <c r="A559" s="66"/>
      <c r="B559" s="66"/>
      <c r="C559" s="67"/>
      <c r="D559" s="70"/>
      <c r="E559" s="58"/>
      <c r="F559" s="72"/>
    </row>
    <row r="560" spans="1:6" x14ac:dyDescent="0.25">
      <c r="A560" s="66"/>
      <c r="B560" s="66"/>
      <c r="C560" s="67"/>
      <c r="D560" s="70"/>
      <c r="E560" s="58"/>
      <c r="F560" s="72"/>
    </row>
    <row r="561" spans="1:6" x14ac:dyDescent="0.25">
      <c r="A561" s="66"/>
      <c r="B561" s="66"/>
      <c r="C561" s="67"/>
      <c r="D561" s="70"/>
      <c r="E561" s="58"/>
      <c r="F561" s="72"/>
    </row>
    <row r="562" spans="1:6" x14ac:dyDescent="0.25">
      <c r="A562" s="66"/>
      <c r="B562" s="66"/>
      <c r="C562" s="67"/>
      <c r="D562" s="70"/>
      <c r="E562" s="58"/>
      <c r="F562" s="72"/>
    </row>
    <row r="563" spans="1:6" x14ac:dyDescent="0.25">
      <c r="A563" s="66"/>
      <c r="B563" s="66"/>
      <c r="C563" s="67"/>
      <c r="D563" s="70"/>
      <c r="E563" s="58"/>
      <c r="F563" s="72"/>
    </row>
    <row r="564" spans="1:6" x14ac:dyDescent="0.25">
      <c r="A564" s="66"/>
      <c r="B564" s="66"/>
      <c r="C564" s="67"/>
      <c r="D564" s="70"/>
      <c r="E564" s="58"/>
      <c r="F564" s="72"/>
    </row>
    <row r="565" spans="1:6" x14ac:dyDescent="0.25">
      <c r="A565" s="66"/>
      <c r="B565" s="66"/>
      <c r="C565" s="67"/>
      <c r="D565" s="70"/>
      <c r="E565" s="58"/>
      <c r="F565" s="72"/>
    </row>
    <row r="566" spans="1:6" x14ac:dyDescent="0.25">
      <c r="A566" s="66"/>
      <c r="B566" s="66"/>
      <c r="C566" s="67"/>
      <c r="D566" s="70"/>
      <c r="E566" s="58"/>
      <c r="F566" s="72"/>
    </row>
    <row r="567" spans="1:6" x14ac:dyDescent="0.25">
      <c r="A567" s="66"/>
      <c r="B567" s="66"/>
      <c r="C567" s="67"/>
      <c r="D567" s="70"/>
      <c r="E567" s="58"/>
      <c r="F567" s="72"/>
    </row>
    <row r="568" spans="1:6" x14ac:dyDescent="0.25">
      <c r="A568" s="66"/>
      <c r="B568" s="66"/>
      <c r="C568" s="67"/>
      <c r="D568" s="70"/>
      <c r="E568" s="58"/>
      <c r="F568" s="72"/>
    </row>
    <row r="569" spans="1:6" x14ac:dyDescent="0.25">
      <c r="A569" s="66"/>
      <c r="B569" s="66"/>
      <c r="C569" s="67"/>
      <c r="D569" s="70"/>
      <c r="E569" s="58"/>
      <c r="F569" s="72"/>
    </row>
    <row r="570" spans="1:6" x14ac:dyDescent="0.25">
      <c r="A570" s="66"/>
      <c r="B570" s="66"/>
      <c r="C570" s="67"/>
      <c r="D570" s="70"/>
      <c r="E570" s="58"/>
      <c r="F570" s="72"/>
    </row>
    <row r="571" spans="1:6" x14ac:dyDescent="0.25">
      <c r="A571" s="66"/>
      <c r="B571" s="66"/>
      <c r="C571" s="67"/>
      <c r="D571" s="70"/>
      <c r="E571" s="58"/>
      <c r="F571" s="72"/>
    </row>
    <row r="572" spans="1:6" x14ac:dyDescent="0.25">
      <c r="A572" s="66"/>
      <c r="B572" s="66"/>
      <c r="C572" s="67"/>
      <c r="D572" s="70"/>
      <c r="E572" s="58"/>
      <c r="F572" s="72"/>
    </row>
    <row r="573" spans="1:6" x14ac:dyDescent="0.25">
      <c r="A573" s="66"/>
      <c r="B573" s="66"/>
      <c r="C573" s="67"/>
      <c r="D573" s="70"/>
      <c r="E573" s="58"/>
      <c r="F573" s="72"/>
    </row>
    <row r="574" spans="1:6" x14ac:dyDescent="0.25">
      <c r="A574" s="66"/>
      <c r="B574" s="66"/>
      <c r="C574" s="67"/>
      <c r="D574" s="70"/>
      <c r="E574" s="58"/>
      <c r="F574" s="72"/>
    </row>
    <row r="575" spans="1:6" x14ac:dyDescent="0.25">
      <c r="A575" s="66"/>
      <c r="B575" s="66"/>
      <c r="C575" s="67"/>
      <c r="D575" s="70"/>
      <c r="E575" s="58"/>
      <c r="F575" s="72"/>
    </row>
    <row r="576" spans="1:6" x14ac:dyDescent="0.25">
      <c r="A576" s="66"/>
      <c r="B576" s="66"/>
      <c r="C576" s="67"/>
      <c r="D576" s="70"/>
      <c r="E576" s="58"/>
      <c r="F576" s="72"/>
    </row>
    <row r="577" spans="1:6" x14ac:dyDescent="0.25">
      <c r="A577" s="66"/>
      <c r="B577" s="66"/>
      <c r="C577" s="67"/>
      <c r="D577" s="70"/>
      <c r="E577" s="58"/>
      <c r="F577" s="72"/>
    </row>
    <row r="578" spans="1:6" x14ac:dyDescent="0.25">
      <c r="A578" s="66"/>
      <c r="B578" s="66"/>
      <c r="C578" s="67"/>
      <c r="D578" s="70"/>
      <c r="E578" s="58"/>
      <c r="F578" s="72"/>
    </row>
    <row r="579" spans="1:6" x14ac:dyDescent="0.25">
      <c r="A579" s="66"/>
      <c r="B579" s="66"/>
      <c r="C579" s="67"/>
      <c r="D579" s="70"/>
      <c r="E579" s="58"/>
      <c r="F579" s="72"/>
    </row>
    <row r="580" spans="1:6" x14ac:dyDescent="0.25">
      <c r="A580" s="66"/>
      <c r="B580" s="66"/>
      <c r="C580" s="67"/>
      <c r="D580" s="70"/>
      <c r="E580" s="58"/>
      <c r="F580" s="72"/>
    </row>
    <row r="581" spans="1:6" x14ac:dyDescent="0.25">
      <c r="A581" s="66"/>
      <c r="B581" s="66"/>
      <c r="C581" s="67"/>
      <c r="D581" s="70"/>
      <c r="E581" s="58"/>
      <c r="F581" s="72"/>
    </row>
    <row r="582" spans="1:6" x14ac:dyDescent="0.25">
      <c r="A582" s="66"/>
      <c r="B582" s="66"/>
      <c r="C582" s="67"/>
      <c r="D582" s="70"/>
      <c r="E582" s="58"/>
      <c r="F582" s="72"/>
    </row>
    <row r="583" spans="1:6" x14ac:dyDescent="0.25">
      <c r="A583" s="66"/>
      <c r="B583" s="66"/>
      <c r="C583" s="67"/>
      <c r="D583" s="70"/>
      <c r="E583" s="58"/>
      <c r="F583" s="72"/>
    </row>
    <row r="584" spans="1:6" x14ac:dyDescent="0.25">
      <c r="A584" s="66"/>
      <c r="B584" s="66"/>
      <c r="C584" s="67"/>
      <c r="D584" s="70"/>
      <c r="E584" s="58"/>
      <c r="F584" s="72"/>
    </row>
    <row r="585" spans="1:6" x14ac:dyDescent="0.25">
      <c r="A585" s="66"/>
      <c r="B585" s="66"/>
      <c r="C585" s="67"/>
      <c r="D585" s="70"/>
      <c r="E585" s="58"/>
      <c r="F585" s="72"/>
    </row>
    <row r="586" spans="1:6" x14ac:dyDescent="0.25">
      <c r="A586" s="66"/>
      <c r="B586" s="66"/>
      <c r="C586" s="67"/>
      <c r="D586" s="70"/>
      <c r="E586" s="58"/>
      <c r="F586" s="72"/>
    </row>
    <row r="587" spans="1:6" x14ac:dyDescent="0.25">
      <c r="A587" s="66"/>
      <c r="B587" s="66"/>
      <c r="C587" s="67"/>
      <c r="D587" s="70"/>
      <c r="E587" s="58"/>
      <c r="F587" s="72"/>
    </row>
    <row r="588" spans="1:6" x14ac:dyDescent="0.25">
      <c r="A588" s="66"/>
      <c r="B588" s="66"/>
      <c r="C588" s="67"/>
      <c r="D588" s="70"/>
      <c r="E588" s="58"/>
      <c r="F588" s="72"/>
    </row>
    <row r="589" spans="1:6" x14ac:dyDescent="0.25">
      <c r="A589" s="66"/>
      <c r="B589" s="66"/>
      <c r="C589" s="67"/>
      <c r="D589" s="70"/>
      <c r="E589" s="58"/>
      <c r="F589" s="72"/>
    </row>
    <row r="590" spans="1:6" x14ac:dyDescent="0.25">
      <c r="A590" s="66"/>
      <c r="B590" s="66"/>
      <c r="C590" s="67"/>
      <c r="D590" s="70"/>
      <c r="E590" s="58"/>
      <c r="F590" s="72"/>
    </row>
    <row r="591" spans="1:6" x14ac:dyDescent="0.25">
      <c r="A591" s="66"/>
      <c r="B591" s="66"/>
      <c r="C591" s="67"/>
      <c r="D591" s="70"/>
      <c r="E591" s="58"/>
      <c r="F591" s="72"/>
    </row>
    <row r="592" spans="1:6" x14ac:dyDescent="0.25">
      <c r="A592" s="66"/>
      <c r="B592" s="66"/>
      <c r="C592" s="67"/>
      <c r="D592" s="70"/>
      <c r="E592" s="58"/>
      <c r="F592" s="72"/>
    </row>
    <row r="593" spans="1:6" x14ac:dyDescent="0.25">
      <c r="A593" s="66"/>
      <c r="B593" s="66"/>
      <c r="C593" s="67"/>
      <c r="D593" s="70"/>
      <c r="E593" s="58"/>
      <c r="F593" s="72"/>
    </row>
    <row r="594" spans="1:6" x14ac:dyDescent="0.25">
      <c r="A594" s="66"/>
      <c r="B594" s="66"/>
      <c r="C594" s="67"/>
      <c r="D594" s="70"/>
      <c r="E594" s="58"/>
      <c r="F594" s="72"/>
    </row>
    <row r="595" spans="1:6" x14ac:dyDescent="0.25">
      <c r="A595" s="66"/>
      <c r="B595" s="66"/>
      <c r="C595" s="67"/>
      <c r="D595" s="70"/>
      <c r="E595" s="58"/>
      <c r="F595" s="72"/>
    </row>
    <row r="596" spans="1:6" x14ac:dyDescent="0.25">
      <c r="A596" s="66"/>
      <c r="B596" s="66"/>
      <c r="C596" s="67"/>
      <c r="D596" s="70"/>
      <c r="E596" s="58"/>
      <c r="F596" s="72"/>
    </row>
    <row r="597" spans="1:6" x14ac:dyDescent="0.25">
      <c r="A597" s="66"/>
      <c r="B597" s="66"/>
      <c r="C597" s="67"/>
      <c r="D597" s="70"/>
      <c r="E597" s="58"/>
      <c r="F597" s="72"/>
    </row>
    <row r="598" spans="1:6" x14ac:dyDescent="0.25">
      <c r="A598" s="66"/>
      <c r="B598" s="66"/>
      <c r="C598" s="67"/>
      <c r="D598" s="70"/>
      <c r="E598" s="58"/>
      <c r="F598" s="72"/>
    </row>
    <row r="599" spans="1:6" x14ac:dyDescent="0.25">
      <c r="A599" s="66"/>
      <c r="B599" s="66"/>
      <c r="C599" s="67"/>
      <c r="D599" s="70"/>
      <c r="E599" s="58"/>
      <c r="F599" s="72"/>
    </row>
    <row r="600" spans="1:6" x14ac:dyDescent="0.25">
      <c r="A600" s="66"/>
      <c r="B600" s="66"/>
      <c r="C600" s="67"/>
      <c r="D600" s="70"/>
      <c r="E600" s="58"/>
      <c r="F600" s="72"/>
    </row>
    <row r="601" spans="1:6" x14ac:dyDescent="0.25">
      <c r="A601" s="66"/>
      <c r="B601" s="66"/>
      <c r="C601" s="67"/>
      <c r="D601" s="70"/>
      <c r="E601" s="58"/>
      <c r="F601" s="72"/>
    </row>
    <row r="602" spans="1:6" x14ac:dyDescent="0.25">
      <c r="A602" s="66"/>
      <c r="B602" s="66"/>
      <c r="C602" s="67"/>
      <c r="D602" s="70"/>
      <c r="E602" s="58"/>
      <c r="F602" s="72"/>
    </row>
    <row r="603" spans="1:6" x14ac:dyDescent="0.25">
      <c r="A603" s="66"/>
      <c r="B603" s="66"/>
      <c r="C603" s="67"/>
      <c r="D603" s="70"/>
      <c r="E603" s="58"/>
      <c r="F603" s="72"/>
    </row>
    <row r="604" spans="1:6" x14ac:dyDescent="0.25">
      <c r="A604" s="66"/>
      <c r="B604" s="66"/>
      <c r="C604" s="67"/>
      <c r="D604" s="70"/>
      <c r="E604" s="58"/>
      <c r="F604" s="72"/>
    </row>
    <row r="605" spans="1:6" x14ac:dyDescent="0.25">
      <c r="A605" s="66"/>
      <c r="B605" s="66"/>
      <c r="C605" s="67"/>
      <c r="D605" s="70"/>
      <c r="E605" s="58"/>
      <c r="F605" s="72"/>
    </row>
    <row r="606" spans="1:6" x14ac:dyDescent="0.25">
      <c r="A606" s="66"/>
      <c r="B606" s="66"/>
      <c r="C606" s="67"/>
      <c r="D606" s="70"/>
      <c r="E606" s="58"/>
      <c r="F606" s="72"/>
    </row>
    <row r="607" spans="1:6" x14ac:dyDescent="0.25">
      <c r="A607" s="66"/>
      <c r="B607" s="66"/>
      <c r="C607" s="67"/>
      <c r="D607" s="70"/>
      <c r="E607" s="58"/>
      <c r="F607" s="72"/>
    </row>
    <row r="608" spans="1:6" x14ac:dyDescent="0.25">
      <c r="A608" s="66"/>
      <c r="B608" s="66"/>
      <c r="C608" s="67"/>
      <c r="D608" s="70"/>
      <c r="E608" s="58"/>
      <c r="F608" s="72"/>
    </row>
    <row r="609" spans="1:6" x14ac:dyDescent="0.25">
      <c r="A609" s="66"/>
      <c r="B609" s="66"/>
      <c r="C609" s="67"/>
      <c r="D609" s="70"/>
      <c r="E609" s="58"/>
      <c r="F609" s="72"/>
    </row>
    <row r="610" spans="1:6" x14ac:dyDescent="0.25">
      <c r="A610" s="66"/>
      <c r="B610" s="66"/>
      <c r="C610" s="67"/>
      <c r="D610" s="70"/>
      <c r="E610" s="58"/>
      <c r="F610" s="72"/>
    </row>
    <row r="611" spans="1:6" x14ac:dyDescent="0.25">
      <c r="A611" s="66"/>
      <c r="B611" s="66"/>
      <c r="C611" s="67"/>
      <c r="D611" s="70"/>
      <c r="E611" s="58"/>
      <c r="F611" s="72"/>
    </row>
    <row r="612" spans="1:6" x14ac:dyDescent="0.25">
      <c r="A612" s="66"/>
      <c r="B612" s="66"/>
      <c r="C612" s="67"/>
      <c r="D612" s="70"/>
      <c r="E612" s="58"/>
      <c r="F612" s="72"/>
    </row>
    <row r="613" spans="1:6" x14ac:dyDescent="0.25">
      <c r="A613" s="66"/>
      <c r="B613" s="66"/>
      <c r="C613" s="67"/>
      <c r="D613" s="70"/>
      <c r="E613" s="58"/>
      <c r="F613" s="72"/>
    </row>
    <row r="614" spans="1:6" x14ac:dyDescent="0.25">
      <c r="A614" s="66"/>
      <c r="B614" s="66"/>
      <c r="C614" s="67"/>
      <c r="D614" s="70"/>
      <c r="E614" s="58"/>
      <c r="F614" s="72"/>
    </row>
    <row r="615" spans="1:6" x14ac:dyDescent="0.25">
      <c r="A615" s="66"/>
      <c r="B615" s="66"/>
      <c r="C615" s="67"/>
      <c r="D615" s="70"/>
      <c r="E615" s="58"/>
      <c r="F615" s="72"/>
    </row>
    <row r="616" spans="1:6" x14ac:dyDescent="0.25">
      <c r="A616" s="66"/>
      <c r="B616" s="66"/>
      <c r="C616" s="67"/>
      <c r="D616" s="70"/>
      <c r="E616" s="58"/>
      <c r="F616" s="72"/>
    </row>
    <row r="617" spans="1:6" x14ac:dyDescent="0.25">
      <c r="A617" s="66"/>
      <c r="B617" s="66"/>
      <c r="C617" s="67"/>
      <c r="D617" s="70"/>
      <c r="E617" s="58"/>
      <c r="F617" s="72"/>
    </row>
    <row r="618" spans="1:6" x14ac:dyDescent="0.25">
      <c r="A618" s="66"/>
      <c r="B618" s="66"/>
      <c r="C618" s="67"/>
      <c r="D618" s="70"/>
      <c r="E618" s="58"/>
      <c r="F618" s="72"/>
    </row>
    <row r="619" spans="1:6" x14ac:dyDescent="0.25">
      <c r="A619" s="66"/>
      <c r="B619" s="66"/>
      <c r="C619" s="67"/>
      <c r="D619" s="70"/>
      <c r="E619" s="58"/>
      <c r="F619" s="72"/>
    </row>
    <row r="620" spans="1:6" x14ac:dyDescent="0.25">
      <c r="A620" s="66"/>
      <c r="B620" s="66"/>
      <c r="C620" s="67"/>
      <c r="D620" s="70"/>
      <c r="E620" s="58"/>
      <c r="F620" s="72"/>
    </row>
    <row r="621" spans="1:6" x14ac:dyDescent="0.25">
      <c r="A621" s="66"/>
      <c r="B621" s="66"/>
      <c r="C621" s="67"/>
      <c r="D621" s="70"/>
      <c r="E621" s="58"/>
      <c r="F621" s="72"/>
    </row>
    <row r="622" spans="1:6" x14ac:dyDescent="0.25">
      <c r="A622" s="66"/>
      <c r="B622" s="66"/>
      <c r="C622" s="67"/>
      <c r="D622" s="70"/>
      <c r="E622" s="58"/>
      <c r="F622" s="72"/>
    </row>
    <row r="623" spans="1:6" x14ac:dyDescent="0.25">
      <c r="A623" s="66"/>
      <c r="B623" s="66"/>
      <c r="C623" s="67"/>
      <c r="D623" s="70"/>
      <c r="E623" s="58"/>
      <c r="F623" s="72"/>
    </row>
    <row r="624" spans="1:6" x14ac:dyDescent="0.25">
      <c r="A624" s="66"/>
      <c r="B624" s="66"/>
      <c r="C624" s="67"/>
      <c r="D624" s="70"/>
      <c r="E624" s="58"/>
      <c r="F624" s="72"/>
    </row>
    <row r="625" spans="1:6" x14ac:dyDescent="0.25">
      <c r="A625" s="66"/>
      <c r="B625" s="66"/>
      <c r="C625" s="67"/>
      <c r="D625" s="70"/>
      <c r="E625" s="58"/>
      <c r="F625" s="72"/>
    </row>
    <row r="626" spans="1:6" x14ac:dyDescent="0.25">
      <c r="A626" s="66"/>
      <c r="B626" s="66"/>
      <c r="C626" s="67"/>
      <c r="D626" s="70"/>
      <c r="E626" s="58"/>
      <c r="F626" s="72"/>
    </row>
    <row r="627" spans="1:6" x14ac:dyDescent="0.25">
      <c r="A627" s="66"/>
      <c r="B627" s="66"/>
      <c r="C627" s="67"/>
      <c r="D627" s="70"/>
      <c r="E627" s="58"/>
      <c r="F627" s="72"/>
    </row>
    <row r="628" spans="1:6" x14ac:dyDescent="0.25">
      <c r="A628" s="66"/>
      <c r="B628" s="66"/>
      <c r="C628" s="67"/>
      <c r="D628" s="70"/>
      <c r="E628" s="58"/>
      <c r="F628" s="72"/>
    </row>
    <row r="629" spans="1:6" x14ac:dyDescent="0.25">
      <c r="A629" s="66"/>
      <c r="B629" s="66"/>
      <c r="C629" s="67"/>
      <c r="D629" s="70"/>
      <c r="E629" s="58"/>
      <c r="F629" s="72"/>
    </row>
    <row r="630" spans="1:6" x14ac:dyDescent="0.25">
      <c r="A630" s="66"/>
      <c r="B630" s="66"/>
      <c r="C630" s="67"/>
      <c r="D630" s="70"/>
      <c r="E630" s="58"/>
      <c r="F630" s="72"/>
    </row>
    <row r="631" spans="1:6" x14ac:dyDescent="0.25">
      <c r="A631" s="66"/>
      <c r="B631" s="66"/>
      <c r="C631" s="67"/>
      <c r="D631" s="70"/>
      <c r="E631" s="58"/>
      <c r="F631" s="72"/>
    </row>
    <row r="632" spans="1:6" x14ac:dyDescent="0.25">
      <c r="A632" s="66"/>
      <c r="B632" s="66"/>
      <c r="C632" s="67"/>
      <c r="D632" s="70"/>
      <c r="E632" s="58"/>
      <c r="F632" s="72"/>
    </row>
    <row r="633" spans="1:6" x14ac:dyDescent="0.25">
      <c r="A633" s="66"/>
      <c r="B633" s="66"/>
      <c r="C633" s="67"/>
      <c r="D633" s="70"/>
      <c r="E633" s="58"/>
      <c r="F633" s="72"/>
    </row>
    <row r="634" spans="1:6" x14ac:dyDescent="0.25">
      <c r="A634" s="66"/>
      <c r="B634" s="66"/>
      <c r="C634" s="67"/>
      <c r="D634" s="70"/>
      <c r="E634" s="58"/>
      <c r="F634" s="72"/>
    </row>
    <row r="635" spans="1:6" x14ac:dyDescent="0.25">
      <c r="A635" s="66"/>
      <c r="B635" s="66"/>
      <c r="C635" s="67"/>
      <c r="D635" s="70"/>
      <c r="E635" s="58"/>
      <c r="F635" s="72"/>
    </row>
    <row r="636" spans="1:6" x14ac:dyDescent="0.25">
      <c r="A636" s="66"/>
      <c r="B636" s="66"/>
      <c r="C636" s="67"/>
      <c r="D636" s="70"/>
      <c r="E636" s="58"/>
      <c r="F636" s="72"/>
    </row>
    <row r="637" spans="1:6" x14ac:dyDescent="0.25">
      <c r="A637" s="66"/>
      <c r="B637" s="66"/>
      <c r="C637" s="67"/>
      <c r="D637" s="70"/>
      <c r="E637" s="58"/>
      <c r="F637" s="72"/>
    </row>
    <row r="638" spans="1:6" x14ac:dyDescent="0.25">
      <c r="A638" s="66"/>
      <c r="B638" s="66"/>
      <c r="C638" s="67"/>
      <c r="D638" s="70"/>
      <c r="E638" s="58"/>
      <c r="F638" s="72"/>
    </row>
    <row r="639" spans="1:6" x14ac:dyDescent="0.25">
      <c r="A639" s="66"/>
      <c r="B639" s="66"/>
      <c r="C639" s="67"/>
      <c r="D639" s="70"/>
      <c r="E639" s="58"/>
      <c r="F639" s="72"/>
    </row>
    <row r="640" spans="1:6" x14ac:dyDescent="0.25">
      <c r="A640" s="66"/>
      <c r="B640" s="66"/>
      <c r="C640" s="67"/>
      <c r="D640" s="70"/>
      <c r="E640" s="58"/>
      <c r="F640" s="72"/>
    </row>
    <row r="641" spans="1:6" x14ac:dyDescent="0.25">
      <c r="A641" s="66"/>
      <c r="B641" s="66"/>
      <c r="C641" s="67"/>
      <c r="D641" s="70"/>
      <c r="E641" s="58"/>
      <c r="F641" s="72"/>
    </row>
    <row r="642" spans="1:6" x14ac:dyDescent="0.25">
      <c r="A642" s="66"/>
      <c r="B642" s="66"/>
      <c r="C642" s="67"/>
      <c r="D642" s="70"/>
      <c r="E642" s="58"/>
      <c r="F642" s="72"/>
    </row>
    <row r="643" spans="1:6" x14ac:dyDescent="0.25">
      <c r="A643" s="66"/>
      <c r="B643" s="66"/>
      <c r="C643" s="67"/>
      <c r="D643" s="70"/>
      <c r="E643" s="58"/>
      <c r="F643" s="72"/>
    </row>
    <row r="644" spans="1:6" x14ac:dyDescent="0.25">
      <c r="A644" s="66"/>
      <c r="B644" s="66"/>
      <c r="C644" s="67"/>
      <c r="D644" s="70"/>
      <c r="E644" s="58"/>
      <c r="F644" s="72"/>
    </row>
    <row r="645" spans="1:6" x14ac:dyDescent="0.25">
      <c r="A645" s="66"/>
      <c r="B645" s="66"/>
      <c r="C645" s="67"/>
      <c r="D645" s="70"/>
      <c r="E645" s="58"/>
      <c r="F645" s="72"/>
    </row>
    <row r="646" spans="1:6" x14ac:dyDescent="0.25">
      <c r="A646" s="66"/>
      <c r="B646" s="66"/>
      <c r="C646" s="67"/>
      <c r="D646" s="70"/>
      <c r="E646" s="58"/>
      <c r="F646" s="72"/>
    </row>
    <row r="647" spans="1:6" x14ac:dyDescent="0.25">
      <c r="A647" s="66"/>
      <c r="B647" s="66"/>
      <c r="C647" s="67"/>
      <c r="D647" s="70"/>
      <c r="E647" s="58"/>
      <c r="F647" s="72"/>
    </row>
    <row r="648" spans="1:6" x14ac:dyDescent="0.25">
      <c r="A648" s="66"/>
      <c r="B648" s="66"/>
      <c r="C648" s="67"/>
      <c r="D648" s="70"/>
      <c r="E648" s="58"/>
      <c r="F648" s="72"/>
    </row>
    <row r="649" spans="1:6" x14ac:dyDescent="0.25">
      <c r="A649" s="66"/>
      <c r="B649" s="66"/>
      <c r="C649" s="67"/>
      <c r="D649" s="70"/>
      <c r="E649" s="58"/>
      <c r="F649" s="72"/>
    </row>
    <row r="650" spans="1:6" x14ac:dyDescent="0.25">
      <c r="A650" s="66"/>
      <c r="B650" s="66"/>
      <c r="C650" s="67"/>
      <c r="D650" s="70"/>
      <c r="E650" s="58"/>
      <c r="F650" s="72"/>
    </row>
    <row r="651" spans="1:6" x14ac:dyDescent="0.25">
      <c r="A651" s="66"/>
      <c r="B651" s="66"/>
      <c r="C651" s="67"/>
      <c r="D651" s="70"/>
      <c r="E651" s="58"/>
      <c r="F651" s="72"/>
    </row>
    <row r="652" spans="1:6" x14ac:dyDescent="0.25">
      <c r="A652" s="66"/>
      <c r="B652" s="66"/>
      <c r="C652" s="67"/>
      <c r="D652" s="70"/>
      <c r="E652" s="58"/>
      <c r="F652" s="72"/>
    </row>
    <row r="653" spans="1:6" x14ac:dyDescent="0.25">
      <c r="A653" s="66"/>
      <c r="B653" s="66"/>
      <c r="C653" s="67"/>
      <c r="D653" s="70"/>
      <c r="E653" s="58"/>
      <c r="F653" s="72"/>
    </row>
    <row r="654" spans="1:6" x14ac:dyDescent="0.25">
      <c r="A654" s="66"/>
      <c r="B654" s="66"/>
      <c r="C654" s="67"/>
      <c r="D654" s="70"/>
      <c r="E654" s="58"/>
      <c r="F654" s="72"/>
    </row>
    <row r="655" spans="1:6" x14ac:dyDescent="0.25">
      <c r="A655" s="66"/>
      <c r="B655" s="66"/>
      <c r="C655" s="67"/>
      <c r="D655" s="70"/>
      <c r="E655" s="58"/>
      <c r="F655" s="72"/>
    </row>
    <row r="656" spans="1:6" x14ac:dyDescent="0.25">
      <c r="A656" s="66"/>
      <c r="B656" s="66"/>
      <c r="C656" s="67"/>
      <c r="D656" s="70"/>
      <c r="E656" s="58"/>
      <c r="F656" s="72"/>
    </row>
    <row r="657" spans="1:6" x14ac:dyDescent="0.25">
      <c r="A657" s="66"/>
      <c r="B657" s="66"/>
      <c r="C657" s="67"/>
      <c r="D657" s="70"/>
      <c r="E657" s="58"/>
      <c r="F657" s="72"/>
    </row>
    <row r="658" spans="1:6" x14ac:dyDescent="0.25">
      <c r="A658" s="66"/>
      <c r="B658" s="66"/>
      <c r="C658" s="67"/>
      <c r="D658" s="70"/>
      <c r="E658" s="58"/>
      <c r="F658" s="72"/>
    </row>
    <row r="659" spans="1:6" x14ac:dyDescent="0.25">
      <c r="A659" s="66"/>
      <c r="B659" s="66"/>
      <c r="C659" s="67"/>
      <c r="D659" s="70"/>
      <c r="E659" s="58"/>
      <c r="F659" s="72"/>
    </row>
    <row r="660" spans="1:6" x14ac:dyDescent="0.25">
      <c r="A660" s="66"/>
      <c r="B660" s="66"/>
      <c r="C660" s="67"/>
      <c r="D660" s="70"/>
      <c r="E660" s="58"/>
      <c r="F660" s="72"/>
    </row>
    <row r="661" spans="1:6" x14ac:dyDescent="0.25">
      <c r="A661" s="66"/>
      <c r="B661" s="66"/>
      <c r="C661" s="67"/>
      <c r="D661" s="70"/>
      <c r="E661" s="58"/>
      <c r="F661" s="72"/>
    </row>
    <row r="662" spans="1:6" x14ac:dyDescent="0.25">
      <c r="A662" s="66"/>
      <c r="B662" s="66"/>
      <c r="C662" s="67"/>
      <c r="D662" s="70"/>
      <c r="E662" s="58"/>
      <c r="F662" s="72"/>
    </row>
    <row r="663" spans="1:6" x14ac:dyDescent="0.25">
      <c r="A663" s="66"/>
      <c r="B663" s="66"/>
      <c r="C663" s="67"/>
      <c r="D663" s="70"/>
      <c r="E663" s="58"/>
      <c r="F663" s="72"/>
    </row>
    <row r="664" spans="1:6" x14ac:dyDescent="0.25">
      <c r="A664" s="66"/>
      <c r="B664" s="66"/>
      <c r="C664" s="67"/>
      <c r="D664" s="70"/>
      <c r="E664" s="58"/>
      <c r="F664" s="72"/>
    </row>
    <row r="665" spans="1:6" x14ac:dyDescent="0.25">
      <c r="A665" s="66"/>
      <c r="B665" s="66"/>
      <c r="C665" s="67"/>
      <c r="D665" s="70"/>
      <c r="E665" s="58"/>
      <c r="F665" s="72"/>
    </row>
    <row r="666" spans="1:6" x14ac:dyDescent="0.25">
      <c r="A666" s="66"/>
      <c r="B666" s="66"/>
      <c r="C666" s="67"/>
      <c r="D666" s="70"/>
      <c r="E666" s="58"/>
      <c r="F666" s="72"/>
    </row>
    <row r="667" spans="1:6" x14ac:dyDescent="0.25">
      <c r="A667" s="66"/>
      <c r="B667" s="66"/>
      <c r="C667" s="67"/>
      <c r="D667" s="70"/>
      <c r="E667" s="58"/>
      <c r="F667" s="72"/>
    </row>
    <row r="668" spans="1:6" x14ac:dyDescent="0.25">
      <c r="A668" s="66"/>
      <c r="B668" s="66"/>
      <c r="C668" s="67"/>
      <c r="D668" s="70"/>
      <c r="E668" s="58"/>
      <c r="F668" s="72"/>
    </row>
    <row r="669" spans="1:6" x14ac:dyDescent="0.25">
      <c r="A669" s="66"/>
      <c r="B669" s="66"/>
      <c r="C669" s="67"/>
      <c r="D669" s="70"/>
      <c r="E669" s="58"/>
      <c r="F669" s="72"/>
    </row>
    <row r="670" spans="1:6" x14ac:dyDescent="0.25">
      <c r="A670" s="66"/>
      <c r="B670" s="66"/>
      <c r="C670" s="67"/>
      <c r="D670" s="70"/>
      <c r="E670" s="58"/>
      <c r="F670" s="72"/>
    </row>
    <row r="671" spans="1:6" x14ac:dyDescent="0.25">
      <c r="A671" s="66"/>
      <c r="B671" s="66"/>
      <c r="C671" s="67"/>
      <c r="D671" s="70"/>
      <c r="E671" s="58"/>
      <c r="F671" s="72"/>
    </row>
    <row r="672" spans="1:6" x14ac:dyDescent="0.25">
      <c r="A672" s="66"/>
      <c r="B672" s="66"/>
      <c r="C672" s="67"/>
      <c r="D672" s="70"/>
      <c r="E672" s="58"/>
      <c r="F672" s="72"/>
    </row>
    <row r="673" spans="1:6" x14ac:dyDescent="0.25">
      <c r="A673" s="66"/>
      <c r="B673" s="66"/>
      <c r="C673" s="67"/>
      <c r="D673" s="70"/>
      <c r="E673" s="58"/>
      <c r="F673" s="72"/>
    </row>
    <row r="674" spans="1:6" x14ac:dyDescent="0.25">
      <c r="A674" s="66"/>
      <c r="B674" s="66"/>
      <c r="C674" s="67"/>
      <c r="D674" s="70"/>
      <c r="E674" s="58"/>
      <c r="F674" s="72"/>
    </row>
    <row r="675" spans="1:6" x14ac:dyDescent="0.25">
      <c r="A675" s="66"/>
      <c r="B675" s="66"/>
      <c r="C675" s="67"/>
      <c r="D675" s="70"/>
      <c r="E675" s="58"/>
      <c r="F675" s="72"/>
    </row>
    <row r="676" spans="1:6" x14ac:dyDescent="0.25">
      <c r="A676" s="66"/>
      <c r="B676" s="66"/>
      <c r="C676" s="67"/>
      <c r="D676" s="70"/>
      <c r="E676" s="58"/>
      <c r="F676" s="72"/>
    </row>
    <row r="677" spans="1:6" x14ac:dyDescent="0.25">
      <c r="A677" s="66"/>
      <c r="B677" s="66"/>
      <c r="C677" s="67"/>
      <c r="D677" s="70"/>
      <c r="E677" s="58"/>
      <c r="F677" s="72"/>
    </row>
    <row r="678" spans="1:6" x14ac:dyDescent="0.25">
      <c r="A678" s="66"/>
      <c r="B678" s="66"/>
      <c r="C678" s="67"/>
      <c r="D678" s="70"/>
      <c r="E678" s="58"/>
      <c r="F678" s="72"/>
    </row>
    <row r="679" spans="1:6" x14ac:dyDescent="0.25">
      <c r="A679" s="66"/>
      <c r="B679" s="66"/>
      <c r="C679" s="67"/>
      <c r="D679" s="70"/>
      <c r="E679" s="58"/>
      <c r="F679" s="72"/>
    </row>
    <row r="680" spans="1:6" x14ac:dyDescent="0.25">
      <c r="A680" s="66"/>
      <c r="B680" s="66"/>
      <c r="C680" s="67"/>
      <c r="D680" s="70"/>
      <c r="E680" s="58"/>
      <c r="F680" s="72"/>
    </row>
    <row r="681" spans="1:6" x14ac:dyDescent="0.25">
      <c r="A681" s="66"/>
      <c r="B681" s="66"/>
      <c r="C681" s="67"/>
      <c r="D681" s="70"/>
      <c r="E681" s="58"/>
      <c r="F681" s="72"/>
    </row>
    <row r="682" spans="1:6" x14ac:dyDescent="0.25">
      <c r="A682" s="66"/>
      <c r="B682" s="66"/>
      <c r="C682" s="67"/>
      <c r="D682" s="70"/>
      <c r="E682" s="58"/>
      <c r="F682" s="72"/>
    </row>
    <row r="683" spans="1:6" x14ac:dyDescent="0.25">
      <c r="A683" s="66"/>
      <c r="B683" s="66"/>
      <c r="C683" s="67"/>
      <c r="D683" s="70"/>
      <c r="E683" s="58"/>
      <c r="F683" s="72"/>
    </row>
    <row r="684" spans="1:6" x14ac:dyDescent="0.25">
      <c r="A684" s="66"/>
      <c r="B684" s="66"/>
      <c r="C684" s="67"/>
      <c r="D684" s="70"/>
      <c r="E684" s="58"/>
      <c r="F684" s="72"/>
    </row>
    <row r="685" spans="1:6" x14ac:dyDescent="0.25">
      <c r="A685" s="66"/>
      <c r="B685" s="66"/>
      <c r="C685" s="67"/>
      <c r="D685" s="70"/>
      <c r="E685" s="58"/>
      <c r="F685" s="72"/>
    </row>
    <row r="686" spans="1:6" x14ac:dyDescent="0.25">
      <c r="A686" s="66"/>
      <c r="B686" s="66"/>
      <c r="C686" s="67"/>
      <c r="D686" s="70"/>
      <c r="E686" s="58"/>
      <c r="F686" s="72"/>
    </row>
    <row r="687" spans="1:6" x14ac:dyDescent="0.25">
      <c r="A687" s="66"/>
      <c r="B687" s="66"/>
      <c r="C687" s="67"/>
      <c r="D687" s="70"/>
      <c r="E687" s="58"/>
      <c r="F687" s="72"/>
    </row>
    <row r="688" spans="1:6" x14ac:dyDescent="0.25">
      <c r="A688" s="66"/>
      <c r="B688" s="66"/>
      <c r="C688" s="67"/>
      <c r="D688" s="70"/>
      <c r="E688" s="58"/>
      <c r="F688" s="72"/>
    </row>
    <row r="689" spans="1:6" x14ac:dyDescent="0.25">
      <c r="A689" s="66"/>
      <c r="B689" s="66"/>
      <c r="C689" s="67"/>
      <c r="D689" s="70"/>
      <c r="E689" s="58"/>
      <c r="F689" s="72"/>
    </row>
    <row r="690" spans="1:6" x14ac:dyDescent="0.25">
      <c r="A690" s="66"/>
      <c r="B690" s="66"/>
      <c r="C690" s="67"/>
      <c r="D690" s="70"/>
      <c r="E690" s="58"/>
      <c r="F690" s="72"/>
    </row>
    <row r="691" spans="1:6" x14ac:dyDescent="0.25">
      <c r="A691" s="66"/>
      <c r="B691" s="66"/>
      <c r="C691" s="67"/>
      <c r="D691" s="70"/>
      <c r="E691" s="58"/>
      <c r="F691" s="72"/>
    </row>
    <row r="692" spans="1:6" x14ac:dyDescent="0.25">
      <c r="A692" s="66"/>
      <c r="B692" s="66"/>
      <c r="C692" s="67"/>
      <c r="D692" s="70"/>
      <c r="E692" s="58"/>
      <c r="F692" s="72"/>
    </row>
    <row r="693" spans="1:6" x14ac:dyDescent="0.25">
      <c r="A693" s="66"/>
      <c r="B693" s="66"/>
      <c r="C693" s="67"/>
      <c r="D693" s="70"/>
      <c r="E693" s="58"/>
      <c r="F693" s="72"/>
    </row>
    <row r="694" spans="1:6" x14ac:dyDescent="0.25">
      <c r="A694" s="66"/>
      <c r="B694" s="66"/>
      <c r="C694" s="67"/>
      <c r="D694" s="70"/>
      <c r="E694" s="58"/>
      <c r="F694" s="72"/>
    </row>
    <row r="695" spans="1:6" x14ac:dyDescent="0.25">
      <c r="A695" s="66"/>
      <c r="B695" s="66"/>
      <c r="C695" s="67"/>
      <c r="D695" s="70"/>
      <c r="E695" s="58"/>
      <c r="F695" s="72"/>
    </row>
    <row r="696" spans="1:6" x14ac:dyDescent="0.25">
      <c r="A696" s="66"/>
      <c r="B696" s="66"/>
      <c r="C696" s="67"/>
      <c r="D696" s="70"/>
      <c r="E696" s="58"/>
      <c r="F696" s="72"/>
    </row>
    <row r="697" spans="1:6" x14ac:dyDescent="0.25">
      <c r="A697" s="66"/>
      <c r="B697" s="66"/>
      <c r="C697" s="67"/>
      <c r="D697" s="70"/>
      <c r="E697" s="58"/>
      <c r="F697" s="72"/>
    </row>
    <row r="698" spans="1:6" x14ac:dyDescent="0.25">
      <c r="A698" s="66"/>
      <c r="B698" s="66"/>
      <c r="C698" s="67"/>
      <c r="D698" s="70"/>
      <c r="E698" s="58"/>
      <c r="F698" s="72"/>
    </row>
    <row r="699" spans="1:6" x14ac:dyDescent="0.25">
      <c r="A699" s="66"/>
      <c r="B699" s="66"/>
      <c r="C699" s="67"/>
      <c r="D699" s="70"/>
      <c r="E699" s="58"/>
      <c r="F699" s="72"/>
    </row>
    <row r="700" spans="1:6" x14ac:dyDescent="0.25">
      <c r="A700" s="66"/>
      <c r="B700" s="66"/>
      <c r="C700" s="67"/>
      <c r="D700" s="70"/>
      <c r="E700" s="58"/>
      <c r="F700" s="72"/>
    </row>
    <row r="701" spans="1:6" x14ac:dyDescent="0.25">
      <c r="A701" s="66"/>
      <c r="B701" s="66"/>
      <c r="C701" s="67"/>
      <c r="D701" s="70"/>
      <c r="E701" s="58"/>
      <c r="F701" s="72"/>
    </row>
    <row r="702" spans="1:6" x14ac:dyDescent="0.25">
      <c r="A702" s="66"/>
      <c r="B702" s="66"/>
      <c r="C702" s="67"/>
      <c r="D702" s="70"/>
      <c r="E702" s="58"/>
      <c r="F702" s="72"/>
    </row>
    <row r="703" spans="1:6" x14ac:dyDescent="0.25">
      <c r="A703" s="66"/>
      <c r="B703" s="66"/>
      <c r="C703" s="67"/>
      <c r="D703" s="70"/>
      <c r="E703" s="58"/>
      <c r="F703" s="72"/>
    </row>
    <row r="704" spans="1:6" x14ac:dyDescent="0.25">
      <c r="A704" s="66"/>
      <c r="B704" s="66"/>
      <c r="C704" s="67"/>
      <c r="D704" s="70"/>
      <c r="E704" s="58"/>
      <c r="F704" s="72"/>
    </row>
    <row r="705" spans="1:6" x14ac:dyDescent="0.25">
      <c r="A705" s="66"/>
      <c r="B705" s="66"/>
      <c r="C705" s="67"/>
      <c r="D705" s="70"/>
      <c r="E705" s="58"/>
      <c r="F705" s="72"/>
    </row>
    <row r="706" spans="1:6" x14ac:dyDescent="0.25">
      <c r="A706" s="66"/>
      <c r="B706" s="66"/>
      <c r="C706" s="67"/>
      <c r="D706" s="70"/>
      <c r="E706" s="58"/>
      <c r="F706" s="72"/>
    </row>
    <row r="707" spans="1:6" x14ac:dyDescent="0.25">
      <c r="A707" s="66"/>
      <c r="B707" s="66"/>
      <c r="C707" s="67"/>
      <c r="D707" s="70"/>
      <c r="E707" s="58"/>
      <c r="F707" s="72"/>
    </row>
    <row r="708" spans="1:6" x14ac:dyDescent="0.25">
      <c r="A708" s="66"/>
      <c r="B708" s="66"/>
      <c r="C708" s="67"/>
      <c r="D708" s="70"/>
      <c r="E708" s="58"/>
      <c r="F708" s="72"/>
    </row>
    <row r="709" spans="1:6" x14ac:dyDescent="0.25">
      <c r="A709" s="66"/>
      <c r="B709" s="66"/>
      <c r="C709" s="67"/>
      <c r="D709" s="70"/>
      <c r="E709" s="58"/>
      <c r="F709" s="72"/>
    </row>
    <row r="710" spans="1:6" x14ac:dyDescent="0.25">
      <c r="A710" s="66"/>
      <c r="B710" s="66"/>
      <c r="C710" s="67"/>
      <c r="D710" s="70"/>
      <c r="E710" s="58"/>
      <c r="F710" s="72"/>
    </row>
    <row r="711" spans="1:6" x14ac:dyDescent="0.25">
      <c r="A711" s="66"/>
      <c r="B711" s="66"/>
      <c r="C711" s="67"/>
      <c r="D711" s="70"/>
      <c r="E711" s="58"/>
      <c r="F711" s="72"/>
    </row>
    <row r="712" spans="1:6" x14ac:dyDescent="0.25">
      <c r="A712" s="66"/>
      <c r="B712" s="66"/>
      <c r="C712" s="67"/>
      <c r="D712" s="70"/>
      <c r="E712" s="58"/>
      <c r="F712" s="72"/>
    </row>
    <row r="713" spans="1:6" x14ac:dyDescent="0.25">
      <c r="A713" s="66"/>
      <c r="B713" s="66"/>
      <c r="C713" s="67"/>
      <c r="D713" s="70"/>
      <c r="E713" s="58"/>
      <c r="F713" s="72"/>
    </row>
    <row r="714" spans="1:6" x14ac:dyDescent="0.25">
      <c r="A714" s="66"/>
      <c r="B714" s="66"/>
      <c r="C714" s="67"/>
      <c r="D714" s="70"/>
      <c r="E714" s="58"/>
      <c r="F714" s="72"/>
    </row>
    <row r="715" spans="1:6" x14ac:dyDescent="0.25">
      <c r="A715" s="66"/>
      <c r="B715" s="66"/>
      <c r="C715" s="67"/>
      <c r="D715" s="70"/>
      <c r="E715" s="58"/>
      <c r="F715" s="72"/>
    </row>
    <row r="716" spans="1:6" x14ac:dyDescent="0.25">
      <c r="A716" s="66"/>
      <c r="B716" s="66"/>
      <c r="C716" s="67"/>
      <c r="D716" s="70"/>
      <c r="E716" s="58"/>
      <c r="F716" s="72"/>
    </row>
    <row r="717" spans="1:6" x14ac:dyDescent="0.25">
      <c r="A717" s="66"/>
      <c r="B717" s="66"/>
      <c r="C717" s="67"/>
      <c r="D717" s="70"/>
      <c r="E717" s="58"/>
      <c r="F717" s="72"/>
    </row>
    <row r="718" spans="1:6" x14ac:dyDescent="0.25">
      <c r="A718" s="66"/>
      <c r="B718" s="66"/>
      <c r="C718" s="67"/>
      <c r="D718" s="70"/>
      <c r="E718" s="58"/>
      <c r="F718" s="72"/>
    </row>
    <row r="719" spans="1:6" x14ac:dyDescent="0.25">
      <c r="A719" s="66"/>
      <c r="B719" s="66"/>
      <c r="C719" s="67"/>
      <c r="D719" s="70"/>
      <c r="E719" s="58"/>
      <c r="F719" s="72"/>
    </row>
    <row r="720" spans="1:6" x14ac:dyDescent="0.25">
      <c r="A720" s="66"/>
      <c r="B720" s="66"/>
      <c r="C720" s="67"/>
      <c r="D720" s="70"/>
      <c r="E720" s="58"/>
      <c r="F720" s="72"/>
    </row>
    <row r="721" spans="1:6" x14ac:dyDescent="0.25">
      <c r="A721" s="66"/>
      <c r="B721" s="66"/>
      <c r="C721" s="67"/>
      <c r="D721" s="70"/>
      <c r="E721" s="58"/>
      <c r="F721" s="72"/>
    </row>
    <row r="722" spans="1:6" x14ac:dyDescent="0.25">
      <c r="A722" s="66"/>
      <c r="B722" s="66"/>
      <c r="C722" s="67"/>
      <c r="D722" s="70"/>
      <c r="E722" s="58"/>
      <c r="F722" s="72"/>
    </row>
    <row r="723" spans="1:6" x14ac:dyDescent="0.25">
      <c r="A723" s="66"/>
      <c r="B723" s="66"/>
      <c r="C723" s="67"/>
      <c r="D723" s="70"/>
      <c r="E723" s="58"/>
      <c r="F723" s="72"/>
    </row>
    <row r="724" spans="1:6" x14ac:dyDescent="0.25">
      <c r="A724" s="66"/>
      <c r="B724" s="66"/>
      <c r="C724" s="67"/>
      <c r="D724" s="70"/>
      <c r="E724" s="58"/>
      <c r="F724" s="72"/>
    </row>
    <row r="725" spans="1:6" x14ac:dyDescent="0.25">
      <c r="A725" s="66"/>
      <c r="B725" s="66"/>
      <c r="C725" s="67"/>
      <c r="D725" s="70"/>
      <c r="E725" s="58"/>
      <c r="F725" s="72"/>
    </row>
    <row r="726" spans="1:6" x14ac:dyDescent="0.25">
      <c r="A726" s="66"/>
      <c r="B726" s="66"/>
      <c r="C726" s="67"/>
      <c r="D726" s="70"/>
      <c r="E726" s="58"/>
      <c r="F726" s="72"/>
    </row>
    <row r="727" spans="1:6" x14ac:dyDescent="0.25">
      <c r="A727" s="66"/>
      <c r="B727" s="66"/>
      <c r="C727" s="67"/>
      <c r="D727" s="70"/>
      <c r="E727" s="58"/>
      <c r="F727" s="72"/>
    </row>
    <row r="728" spans="1:6" x14ac:dyDescent="0.25">
      <c r="A728" s="66"/>
      <c r="B728" s="66"/>
      <c r="C728" s="67"/>
      <c r="D728" s="70"/>
      <c r="E728" s="58"/>
      <c r="F728" s="72"/>
    </row>
    <row r="729" spans="1:6" x14ac:dyDescent="0.25">
      <c r="A729" s="66"/>
      <c r="B729" s="66"/>
      <c r="C729" s="67"/>
      <c r="D729" s="70"/>
      <c r="E729" s="58"/>
      <c r="F729" s="72"/>
    </row>
    <row r="730" spans="1:6" x14ac:dyDescent="0.25">
      <c r="A730" s="66"/>
      <c r="B730" s="66"/>
      <c r="C730" s="67"/>
      <c r="D730" s="70"/>
      <c r="E730" s="58"/>
      <c r="F730" s="72"/>
    </row>
    <row r="731" spans="1:6" x14ac:dyDescent="0.25">
      <c r="A731" s="66"/>
      <c r="B731" s="66"/>
      <c r="C731" s="67"/>
      <c r="D731" s="70"/>
      <c r="E731" s="58"/>
      <c r="F731" s="72"/>
    </row>
    <row r="732" spans="1:6" x14ac:dyDescent="0.25">
      <c r="A732" s="66"/>
      <c r="B732" s="66"/>
      <c r="C732" s="67"/>
      <c r="D732" s="70"/>
      <c r="E732" s="58"/>
      <c r="F732" s="72"/>
    </row>
    <row r="733" spans="1:6" x14ac:dyDescent="0.25">
      <c r="A733" s="66"/>
      <c r="B733" s="66"/>
      <c r="C733" s="67"/>
      <c r="D733" s="70"/>
      <c r="E733" s="58"/>
      <c r="F733" s="72"/>
    </row>
    <row r="734" spans="1:6" x14ac:dyDescent="0.25">
      <c r="A734" s="66"/>
      <c r="B734" s="66"/>
      <c r="C734" s="67"/>
      <c r="D734" s="70"/>
      <c r="E734" s="58"/>
      <c r="F734" s="72"/>
    </row>
    <row r="735" spans="1:6" x14ac:dyDescent="0.25">
      <c r="A735" s="66"/>
      <c r="B735" s="66"/>
      <c r="C735" s="67"/>
      <c r="D735" s="70"/>
      <c r="E735" s="58"/>
      <c r="F735" s="72"/>
    </row>
    <row r="736" spans="1:6" x14ac:dyDescent="0.25">
      <c r="A736" s="66"/>
      <c r="B736" s="66"/>
      <c r="C736" s="67"/>
      <c r="D736" s="70"/>
      <c r="E736" s="58"/>
      <c r="F736" s="72"/>
    </row>
    <row r="737" spans="1:6" x14ac:dyDescent="0.25">
      <c r="A737" s="66"/>
      <c r="B737" s="66"/>
      <c r="C737" s="67"/>
      <c r="D737" s="70"/>
      <c r="E737" s="58"/>
      <c r="F737" s="72"/>
    </row>
    <row r="738" spans="1:6" x14ac:dyDescent="0.25">
      <c r="A738" s="66"/>
      <c r="B738" s="66"/>
      <c r="C738" s="67"/>
      <c r="D738" s="70"/>
      <c r="E738" s="58"/>
      <c r="F738" s="72"/>
    </row>
    <row r="739" spans="1:6" x14ac:dyDescent="0.25">
      <c r="A739" s="66"/>
      <c r="B739" s="66"/>
      <c r="C739" s="67"/>
      <c r="D739" s="70"/>
      <c r="E739" s="58"/>
      <c r="F739" s="72"/>
    </row>
    <row r="740" spans="1:6" x14ac:dyDescent="0.25">
      <c r="A740" s="66"/>
      <c r="B740" s="66"/>
      <c r="C740" s="67"/>
      <c r="D740" s="70"/>
      <c r="E740" s="58"/>
      <c r="F740" s="72"/>
    </row>
    <row r="741" spans="1:6" x14ac:dyDescent="0.25">
      <c r="A741" s="66"/>
      <c r="B741" s="66"/>
      <c r="C741" s="67"/>
      <c r="D741" s="70"/>
      <c r="E741" s="58"/>
      <c r="F741" s="72"/>
    </row>
    <row r="742" spans="1:6" x14ac:dyDescent="0.25">
      <c r="A742" s="66"/>
      <c r="B742" s="66"/>
      <c r="C742" s="67"/>
      <c r="D742" s="70"/>
      <c r="E742" s="58"/>
      <c r="F742" s="72"/>
    </row>
    <row r="743" spans="1:6" x14ac:dyDescent="0.25">
      <c r="A743" s="66"/>
      <c r="B743" s="66"/>
      <c r="C743" s="67"/>
      <c r="D743" s="70"/>
      <c r="E743" s="58"/>
      <c r="F743" s="72"/>
    </row>
    <row r="744" spans="1:6" x14ac:dyDescent="0.25">
      <c r="A744" s="66"/>
      <c r="B744" s="66"/>
      <c r="C744" s="67"/>
      <c r="D744" s="70"/>
      <c r="E744" s="58"/>
      <c r="F744" s="72"/>
    </row>
    <row r="745" spans="1:6" x14ac:dyDescent="0.25">
      <c r="A745" s="66"/>
      <c r="B745" s="66"/>
      <c r="C745" s="67"/>
      <c r="D745" s="70"/>
      <c r="E745" s="58"/>
      <c r="F745" s="72"/>
    </row>
    <row r="746" spans="1:6" x14ac:dyDescent="0.25">
      <c r="A746" s="66"/>
      <c r="B746" s="66"/>
      <c r="C746" s="67"/>
      <c r="D746" s="70"/>
      <c r="E746" s="58"/>
      <c r="F746" s="72"/>
    </row>
    <row r="747" spans="1:6" x14ac:dyDescent="0.25">
      <c r="A747" s="66"/>
      <c r="B747" s="66"/>
      <c r="C747" s="67"/>
      <c r="D747" s="70"/>
      <c r="E747" s="58"/>
      <c r="F747" s="72"/>
    </row>
    <row r="748" spans="1:6" x14ac:dyDescent="0.25">
      <c r="A748" s="66"/>
      <c r="B748" s="66"/>
      <c r="C748" s="67"/>
      <c r="D748" s="70"/>
      <c r="E748" s="58"/>
      <c r="F748" s="72"/>
    </row>
    <row r="749" spans="1:6" x14ac:dyDescent="0.25">
      <c r="A749" s="66"/>
      <c r="B749" s="66"/>
      <c r="C749" s="67"/>
      <c r="D749" s="70"/>
      <c r="E749" s="58"/>
      <c r="F749" s="72"/>
    </row>
    <row r="750" spans="1:6" x14ac:dyDescent="0.25">
      <c r="A750" s="66"/>
      <c r="B750" s="66"/>
      <c r="C750" s="67"/>
      <c r="D750" s="70"/>
      <c r="E750" s="58"/>
      <c r="F750" s="72"/>
    </row>
    <row r="751" spans="1:6" x14ac:dyDescent="0.25">
      <c r="A751" s="66"/>
      <c r="B751" s="66"/>
      <c r="C751" s="67"/>
      <c r="D751" s="70"/>
      <c r="E751" s="58"/>
      <c r="F751" s="72"/>
    </row>
    <row r="752" spans="1:6" x14ac:dyDescent="0.25">
      <c r="A752" s="66"/>
      <c r="B752" s="66"/>
      <c r="C752" s="67"/>
      <c r="D752" s="70"/>
      <c r="E752" s="58"/>
      <c r="F752" s="72"/>
    </row>
    <row r="753" spans="1:6" x14ac:dyDescent="0.25">
      <c r="A753" s="66"/>
      <c r="B753" s="66"/>
      <c r="C753" s="67"/>
      <c r="D753" s="70"/>
      <c r="E753" s="58"/>
      <c r="F753" s="72"/>
    </row>
    <row r="754" spans="1:6" x14ac:dyDescent="0.25">
      <c r="A754" s="66"/>
      <c r="B754" s="66"/>
      <c r="C754" s="67"/>
      <c r="D754" s="70"/>
      <c r="E754" s="58"/>
      <c r="F754" s="72"/>
    </row>
    <row r="755" spans="1:6" x14ac:dyDescent="0.25">
      <c r="A755" s="66"/>
      <c r="B755" s="66"/>
      <c r="C755" s="67"/>
      <c r="D755" s="70"/>
      <c r="E755" s="58"/>
      <c r="F755" s="72"/>
    </row>
    <row r="756" spans="1:6" x14ac:dyDescent="0.25">
      <c r="A756" s="66"/>
      <c r="B756" s="66"/>
      <c r="C756" s="67"/>
      <c r="D756" s="70"/>
      <c r="E756" s="58"/>
      <c r="F756" s="72"/>
    </row>
    <row r="757" spans="1:6" x14ac:dyDescent="0.25">
      <c r="A757" s="66"/>
      <c r="B757" s="66"/>
      <c r="C757" s="67"/>
      <c r="D757" s="70"/>
      <c r="E757" s="58"/>
      <c r="F757" s="72"/>
    </row>
    <row r="758" spans="1:6" x14ac:dyDescent="0.25">
      <c r="A758" s="66"/>
      <c r="B758" s="66"/>
      <c r="C758" s="67"/>
      <c r="D758" s="70"/>
      <c r="E758" s="58"/>
      <c r="F758" s="72"/>
    </row>
    <row r="759" spans="1:6" x14ac:dyDescent="0.25">
      <c r="A759" s="66"/>
      <c r="B759" s="66"/>
      <c r="C759" s="67"/>
      <c r="D759" s="70"/>
      <c r="E759" s="58"/>
      <c r="F759" s="72"/>
    </row>
    <row r="760" spans="1:6" x14ac:dyDescent="0.25">
      <c r="A760" s="66"/>
      <c r="B760" s="66"/>
      <c r="C760" s="67"/>
      <c r="D760" s="70"/>
      <c r="E760" s="58"/>
      <c r="F760" s="72"/>
    </row>
    <row r="761" spans="1:6" x14ac:dyDescent="0.25">
      <c r="A761" s="66"/>
      <c r="B761" s="66"/>
      <c r="C761" s="67"/>
      <c r="D761" s="70"/>
      <c r="E761" s="58"/>
      <c r="F761" s="72"/>
    </row>
    <row r="762" spans="1:6" x14ac:dyDescent="0.25">
      <c r="A762" s="66"/>
      <c r="B762" s="66"/>
      <c r="C762" s="67"/>
      <c r="D762" s="70"/>
      <c r="E762" s="58"/>
      <c r="F762" s="72"/>
    </row>
    <row r="763" spans="1:6" x14ac:dyDescent="0.25">
      <c r="A763" s="66"/>
      <c r="B763" s="66"/>
      <c r="C763" s="67"/>
      <c r="D763" s="70"/>
      <c r="E763" s="58"/>
      <c r="F763" s="72"/>
    </row>
    <row r="764" spans="1:6" x14ac:dyDescent="0.25">
      <c r="A764" s="66"/>
      <c r="B764" s="66"/>
      <c r="C764" s="67"/>
      <c r="D764" s="70"/>
      <c r="E764" s="58"/>
      <c r="F764" s="72"/>
    </row>
    <row r="765" spans="1:6" x14ac:dyDescent="0.25">
      <c r="A765" s="66"/>
      <c r="B765" s="66"/>
      <c r="C765" s="67"/>
      <c r="D765" s="70"/>
      <c r="E765" s="58"/>
      <c r="F765" s="72"/>
    </row>
    <row r="766" spans="1:6" x14ac:dyDescent="0.25">
      <c r="A766" s="66"/>
      <c r="B766" s="66"/>
      <c r="C766" s="67"/>
      <c r="D766" s="70"/>
      <c r="E766" s="58"/>
      <c r="F766" s="72"/>
    </row>
    <row r="767" spans="1:6" x14ac:dyDescent="0.25">
      <c r="A767" s="66"/>
      <c r="B767" s="66"/>
      <c r="C767" s="67"/>
      <c r="D767" s="70"/>
      <c r="E767" s="58"/>
      <c r="F767" s="72"/>
    </row>
    <row r="768" spans="1:6" x14ac:dyDescent="0.25">
      <c r="A768" s="66"/>
      <c r="B768" s="66"/>
      <c r="C768" s="67"/>
      <c r="D768" s="70"/>
      <c r="E768" s="58"/>
      <c r="F768" s="72"/>
    </row>
    <row r="769" spans="1:6" x14ac:dyDescent="0.25">
      <c r="A769" s="66"/>
      <c r="B769" s="66"/>
      <c r="C769" s="67"/>
      <c r="D769" s="70"/>
      <c r="E769" s="58"/>
      <c r="F769" s="72"/>
    </row>
    <row r="770" spans="1:6" x14ac:dyDescent="0.25">
      <c r="A770" s="66"/>
      <c r="B770" s="66"/>
      <c r="C770" s="67"/>
      <c r="D770" s="70"/>
      <c r="E770" s="58"/>
      <c r="F770" s="72"/>
    </row>
    <row r="771" spans="1:6" x14ac:dyDescent="0.25">
      <c r="A771" s="66"/>
      <c r="B771" s="66"/>
      <c r="C771" s="67"/>
      <c r="D771" s="70"/>
      <c r="E771" s="58"/>
      <c r="F771" s="72"/>
    </row>
    <row r="772" spans="1:6" x14ac:dyDescent="0.25">
      <c r="A772" s="66"/>
      <c r="B772" s="66"/>
      <c r="C772" s="67"/>
      <c r="D772" s="70"/>
      <c r="E772" s="58"/>
      <c r="F772" s="72"/>
    </row>
    <row r="773" spans="1:6" x14ac:dyDescent="0.25">
      <c r="A773" s="66"/>
      <c r="B773" s="66"/>
      <c r="C773" s="67"/>
      <c r="D773" s="70"/>
      <c r="E773" s="58"/>
      <c r="F773" s="72"/>
    </row>
    <row r="774" spans="1:6" x14ac:dyDescent="0.25">
      <c r="A774" s="66"/>
      <c r="B774" s="66"/>
      <c r="C774" s="67"/>
      <c r="D774" s="70"/>
      <c r="E774" s="58"/>
      <c r="F774" s="72"/>
    </row>
    <row r="775" spans="1:6" x14ac:dyDescent="0.25">
      <c r="A775" s="66"/>
      <c r="B775" s="66"/>
      <c r="C775" s="67"/>
      <c r="D775" s="70"/>
      <c r="E775" s="58"/>
      <c r="F775" s="72"/>
    </row>
    <row r="776" spans="1:6" x14ac:dyDescent="0.25">
      <c r="A776" s="66"/>
      <c r="B776" s="66"/>
      <c r="C776" s="67"/>
      <c r="D776" s="70"/>
      <c r="E776" s="58"/>
      <c r="F776" s="72"/>
    </row>
    <row r="777" spans="1:6" x14ac:dyDescent="0.25">
      <c r="A777" s="66"/>
      <c r="B777" s="66"/>
      <c r="C777" s="67"/>
      <c r="D777" s="70"/>
      <c r="E777" s="58"/>
      <c r="F777" s="72"/>
    </row>
    <row r="778" spans="1:6" x14ac:dyDescent="0.25">
      <c r="A778" s="66"/>
      <c r="B778" s="66"/>
      <c r="C778" s="67"/>
      <c r="D778" s="70"/>
      <c r="E778" s="58"/>
      <c r="F778" s="72"/>
    </row>
    <row r="779" spans="1:6" x14ac:dyDescent="0.25">
      <c r="A779" s="66"/>
      <c r="B779" s="66"/>
      <c r="C779" s="67"/>
      <c r="D779" s="70"/>
      <c r="E779" s="58"/>
      <c r="F779" s="72"/>
    </row>
    <row r="780" spans="1:6" x14ac:dyDescent="0.25">
      <c r="A780" s="66"/>
      <c r="B780" s="66"/>
      <c r="C780" s="67"/>
      <c r="D780" s="70"/>
      <c r="E780" s="58"/>
      <c r="F780" s="72"/>
    </row>
    <row r="781" spans="1:6" x14ac:dyDescent="0.25">
      <c r="A781" s="66"/>
      <c r="B781" s="66"/>
      <c r="C781" s="67"/>
      <c r="D781" s="70"/>
      <c r="E781" s="58"/>
      <c r="F781" s="72"/>
    </row>
    <row r="782" spans="1:6" x14ac:dyDescent="0.25">
      <c r="A782" s="66"/>
      <c r="B782" s="66"/>
      <c r="C782" s="67"/>
      <c r="D782" s="70"/>
      <c r="E782" s="58"/>
      <c r="F782" s="72"/>
    </row>
    <row r="783" spans="1:6" x14ac:dyDescent="0.25">
      <c r="A783" s="66"/>
      <c r="B783" s="66"/>
      <c r="C783" s="67"/>
      <c r="D783" s="70"/>
      <c r="E783" s="58"/>
      <c r="F783" s="72"/>
    </row>
    <row r="784" spans="1:6" x14ac:dyDescent="0.25">
      <c r="A784" s="66"/>
      <c r="B784" s="66"/>
      <c r="C784" s="67"/>
      <c r="D784" s="70"/>
      <c r="E784" s="58"/>
      <c r="F784" s="72"/>
    </row>
    <row r="785" spans="1:6" x14ac:dyDescent="0.25">
      <c r="A785" s="66"/>
      <c r="B785" s="66"/>
      <c r="C785" s="67"/>
      <c r="D785" s="70"/>
      <c r="E785" s="58"/>
      <c r="F785" s="72"/>
    </row>
    <row r="786" spans="1:6" x14ac:dyDescent="0.25">
      <c r="A786" s="66"/>
      <c r="B786" s="66"/>
      <c r="C786" s="67"/>
      <c r="D786" s="70"/>
      <c r="E786" s="58"/>
      <c r="F786" s="72"/>
    </row>
    <row r="787" spans="1:6" x14ac:dyDescent="0.25">
      <c r="A787" s="66"/>
      <c r="B787" s="66"/>
      <c r="C787" s="67"/>
      <c r="D787" s="70"/>
      <c r="E787" s="58"/>
      <c r="F787" s="72"/>
    </row>
    <row r="788" spans="1:6" x14ac:dyDescent="0.25">
      <c r="A788" s="66"/>
      <c r="B788" s="66"/>
      <c r="C788" s="67"/>
      <c r="D788" s="70"/>
      <c r="E788" s="58"/>
      <c r="F788" s="72"/>
    </row>
    <row r="789" spans="1:6" x14ac:dyDescent="0.25">
      <c r="A789" s="66"/>
      <c r="B789" s="66"/>
      <c r="C789" s="67"/>
      <c r="D789" s="70"/>
      <c r="E789" s="58"/>
      <c r="F789" s="72"/>
    </row>
    <row r="790" spans="1:6" x14ac:dyDescent="0.25">
      <c r="A790" s="66"/>
      <c r="B790" s="66"/>
      <c r="C790" s="67"/>
      <c r="D790" s="70"/>
      <c r="E790" s="58"/>
      <c r="F790" s="72"/>
    </row>
    <row r="791" spans="1:6" x14ac:dyDescent="0.25">
      <c r="A791" s="66"/>
      <c r="B791" s="66"/>
      <c r="C791" s="67"/>
      <c r="D791" s="70"/>
      <c r="E791" s="58"/>
      <c r="F791" s="72"/>
    </row>
    <row r="792" spans="1:6" x14ac:dyDescent="0.25">
      <c r="A792" s="66"/>
      <c r="B792" s="66"/>
      <c r="C792" s="67"/>
      <c r="D792" s="70"/>
      <c r="E792" s="58"/>
      <c r="F792" s="72"/>
    </row>
    <row r="793" spans="1:6" x14ac:dyDescent="0.25">
      <c r="A793" s="66"/>
      <c r="B793" s="66"/>
      <c r="C793" s="67"/>
      <c r="D793" s="70"/>
      <c r="E793" s="58"/>
      <c r="F793" s="72"/>
    </row>
    <row r="794" spans="1:6" x14ac:dyDescent="0.25">
      <c r="A794" s="66"/>
      <c r="B794" s="66"/>
      <c r="C794" s="67"/>
      <c r="D794" s="70"/>
      <c r="E794" s="58"/>
      <c r="F794" s="72"/>
    </row>
    <row r="795" spans="1:6" x14ac:dyDescent="0.25">
      <c r="A795" s="66"/>
      <c r="B795" s="66"/>
      <c r="C795" s="67"/>
      <c r="D795" s="70"/>
      <c r="E795" s="58"/>
      <c r="F795" s="72"/>
    </row>
    <row r="796" spans="1:6" x14ac:dyDescent="0.25">
      <c r="A796" s="66"/>
      <c r="B796" s="66"/>
      <c r="C796" s="67"/>
      <c r="D796" s="70"/>
      <c r="E796" s="58"/>
      <c r="F796" s="72"/>
    </row>
    <row r="797" spans="1:6" x14ac:dyDescent="0.25">
      <c r="A797" s="66"/>
      <c r="B797" s="66"/>
      <c r="C797" s="67"/>
      <c r="D797" s="70"/>
      <c r="E797" s="58"/>
      <c r="F797" s="72"/>
    </row>
    <row r="798" spans="1:6" x14ac:dyDescent="0.25">
      <c r="A798" s="66"/>
      <c r="B798" s="66"/>
      <c r="C798" s="67"/>
      <c r="D798" s="70"/>
      <c r="E798" s="58"/>
      <c r="F798" s="72"/>
    </row>
    <row r="799" spans="1:6" x14ac:dyDescent="0.25">
      <c r="A799" s="66"/>
      <c r="B799" s="66"/>
      <c r="C799" s="67"/>
      <c r="D799" s="70"/>
      <c r="E799" s="58"/>
      <c r="F799" s="72"/>
    </row>
    <row r="800" spans="1:6" x14ac:dyDescent="0.25">
      <c r="A800" s="66"/>
      <c r="B800" s="66"/>
      <c r="C800" s="67"/>
      <c r="D800" s="70"/>
      <c r="E800" s="58"/>
      <c r="F800" s="72"/>
    </row>
    <row r="801" spans="1:6" x14ac:dyDescent="0.25">
      <c r="A801" s="66"/>
      <c r="B801" s="66"/>
      <c r="C801" s="67"/>
      <c r="D801" s="70"/>
      <c r="E801" s="58"/>
      <c r="F801" s="72"/>
    </row>
    <row r="802" spans="1:6" x14ac:dyDescent="0.25">
      <c r="A802" s="66"/>
      <c r="B802" s="66"/>
      <c r="C802" s="67"/>
      <c r="D802" s="70"/>
      <c r="E802" s="58"/>
      <c r="F802" s="72"/>
    </row>
    <row r="803" spans="1:6" x14ac:dyDescent="0.25">
      <c r="A803" s="66"/>
      <c r="B803" s="66"/>
      <c r="C803" s="67"/>
      <c r="D803" s="70"/>
      <c r="E803" s="58"/>
      <c r="F803" s="72"/>
    </row>
    <row r="804" spans="1:6" x14ac:dyDescent="0.25">
      <c r="A804" s="66"/>
      <c r="B804" s="66"/>
      <c r="C804" s="67"/>
      <c r="D804" s="70"/>
      <c r="E804" s="58"/>
      <c r="F804" s="72"/>
    </row>
    <row r="805" spans="1:6" x14ac:dyDescent="0.25">
      <c r="A805" s="66"/>
      <c r="B805" s="66"/>
      <c r="C805" s="67"/>
      <c r="D805" s="70"/>
      <c r="E805" s="58"/>
      <c r="F805" s="72"/>
    </row>
    <row r="806" spans="1:6" x14ac:dyDescent="0.25">
      <c r="A806" s="66"/>
      <c r="B806" s="66"/>
      <c r="C806" s="67"/>
      <c r="D806" s="70"/>
      <c r="E806" s="58"/>
      <c r="F806" s="72"/>
    </row>
    <row r="807" spans="1:6" x14ac:dyDescent="0.25">
      <c r="A807" s="66"/>
      <c r="B807" s="66"/>
      <c r="C807" s="67"/>
      <c r="D807" s="70"/>
      <c r="E807" s="58"/>
      <c r="F807" s="72"/>
    </row>
    <row r="808" spans="1:6" x14ac:dyDescent="0.25">
      <c r="A808" s="66"/>
      <c r="B808" s="66"/>
      <c r="C808" s="67"/>
      <c r="D808" s="70"/>
      <c r="E808" s="58"/>
      <c r="F808" s="72"/>
    </row>
    <row r="809" spans="1:6" x14ac:dyDescent="0.25">
      <c r="A809" s="66"/>
      <c r="B809" s="66"/>
      <c r="C809" s="67"/>
      <c r="D809" s="70"/>
      <c r="E809" s="58"/>
      <c r="F809" s="72"/>
    </row>
    <row r="810" spans="1:6" x14ac:dyDescent="0.25">
      <c r="A810" s="66"/>
      <c r="B810" s="66"/>
      <c r="C810" s="67"/>
      <c r="D810" s="70"/>
      <c r="E810" s="58"/>
      <c r="F810" s="72"/>
    </row>
    <row r="811" spans="1:6" x14ac:dyDescent="0.25">
      <c r="A811" s="66"/>
      <c r="B811" s="66"/>
      <c r="C811" s="67"/>
      <c r="D811" s="70"/>
      <c r="E811" s="58"/>
      <c r="F811" s="72"/>
    </row>
    <row r="812" spans="1:6" x14ac:dyDescent="0.25">
      <c r="A812" s="66"/>
      <c r="B812" s="66"/>
      <c r="C812" s="67"/>
      <c r="D812" s="70"/>
      <c r="E812" s="58"/>
      <c r="F812" s="72"/>
    </row>
    <row r="813" spans="1:6" x14ac:dyDescent="0.25">
      <c r="A813" s="66"/>
      <c r="B813" s="66"/>
      <c r="C813" s="67"/>
      <c r="D813" s="70"/>
      <c r="E813" s="58"/>
      <c r="F813" s="72"/>
    </row>
    <row r="814" spans="1:6" x14ac:dyDescent="0.25">
      <c r="A814" s="66"/>
      <c r="B814" s="66"/>
      <c r="C814" s="67"/>
      <c r="D814" s="70"/>
      <c r="E814" s="58"/>
      <c r="F814" s="72"/>
    </row>
    <row r="815" spans="1:6" x14ac:dyDescent="0.25">
      <c r="A815" s="66"/>
      <c r="B815" s="66"/>
      <c r="C815" s="67"/>
      <c r="D815" s="70"/>
      <c r="E815" s="58"/>
      <c r="F815" s="72"/>
    </row>
    <row r="816" spans="1:6" x14ac:dyDescent="0.25">
      <c r="A816" s="66"/>
      <c r="B816" s="66"/>
      <c r="C816" s="67"/>
      <c r="D816" s="70"/>
      <c r="E816" s="58"/>
      <c r="F816" s="72"/>
    </row>
    <row r="817" spans="1:6" x14ac:dyDescent="0.25">
      <c r="A817" s="66"/>
      <c r="B817" s="66"/>
      <c r="C817" s="67"/>
      <c r="D817" s="70"/>
      <c r="E817" s="58"/>
      <c r="F817" s="72"/>
    </row>
    <row r="818" spans="1:6" x14ac:dyDescent="0.25">
      <c r="A818" s="66"/>
      <c r="B818" s="66"/>
      <c r="C818" s="67"/>
      <c r="D818" s="70"/>
      <c r="E818" s="58"/>
      <c r="F818" s="72"/>
    </row>
    <row r="819" spans="1:6" x14ac:dyDescent="0.25">
      <c r="A819" s="66"/>
      <c r="B819" s="66"/>
      <c r="C819" s="67"/>
      <c r="D819" s="70"/>
      <c r="E819" s="58"/>
      <c r="F819" s="72"/>
    </row>
    <row r="820" spans="1:6" x14ac:dyDescent="0.25">
      <c r="A820" s="66"/>
      <c r="B820" s="66"/>
      <c r="C820" s="67"/>
      <c r="D820" s="70"/>
      <c r="E820" s="58"/>
      <c r="F820" s="72"/>
    </row>
    <row r="821" spans="1:6" x14ac:dyDescent="0.25">
      <c r="A821" s="66"/>
      <c r="B821" s="66"/>
      <c r="C821" s="67"/>
      <c r="D821" s="70"/>
      <c r="E821" s="58"/>
      <c r="F821" s="72"/>
    </row>
    <row r="822" spans="1:6" x14ac:dyDescent="0.25">
      <c r="A822" s="66"/>
      <c r="B822" s="66"/>
      <c r="C822" s="67"/>
      <c r="D822" s="70"/>
      <c r="E822" s="58"/>
      <c r="F822" s="72"/>
    </row>
    <row r="823" spans="1:6" x14ac:dyDescent="0.25">
      <c r="A823" s="66"/>
      <c r="B823" s="66"/>
      <c r="C823" s="67"/>
      <c r="D823" s="70"/>
      <c r="E823" s="58"/>
      <c r="F823" s="72"/>
    </row>
    <row r="824" spans="1:6" x14ac:dyDescent="0.25">
      <c r="A824" s="66"/>
      <c r="B824" s="66"/>
      <c r="C824" s="67"/>
      <c r="D824" s="70"/>
      <c r="E824" s="58"/>
      <c r="F824" s="72"/>
    </row>
    <row r="825" spans="1:6" x14ac:dyDescent="0.25">
      <c r="A825" s="66"/>
      <c r="B825" s="66"/>
      <c r="C825" s="67"/>
      <c r="D825" s="70"/>
      <c r="E825" s="58"/>
      <c r="F825" s="72"/>
    </row>
    <row r="826" spans="1:6" x14ac:dyDescent="0.25">
      <c r="A826" s="66"/>
      <c r="B826" s="66"/>
      <c r="C826" s="67"/>
      <c r="D826" s="70"/>
      <c r="E826" s="58"/>
      <c r="F826" s="72"/>
    </row>
    <row r="827" spans="1:6" x14ac:dyDescent="0.25">
      <c r="A827" s="66"/>
      <c r="B827" s="66"/>
      <c r="C827" s="67"/>
      <c r="D827" s="70"/>
      <c r="E827" s="58"/>
      <c r="F827" s="72"/>
    </row>
    <row r="828" spans="1:6" x14ac:dyDescent="0.25">
      <c r="A828" s="66"/>
      <c r="B828" s="66"/>
      <c r="C828" s="67"/>
      <c r="D828" s="70"/>
      <c r="E828" s="58"/>
      <c r="F828" s="72"/>
    </row>
    <row r="829" spans="1:6" x14ac:dyDescent="0.25">
      <c r="A829" s="66"/>
      <c r="B829" s="66"/>
      <c r="C829" s="67"/>
      <c r="D829" s="70"/>
      <c r="E829" s="58"/>
      <c r="F829" s="72"/>
    </row>
    <row r="830" spans="1:6" x14ac:dyDescent="0.25">
      <c r="A830" s="66"/>
      <c r="B830" s="66"/>
      <c r="C830" s="67"/>
      <c r="D830" s="70"/>
      <c r="E830" s="58"/>
      <c r="F830" s="72"/>
    </row>
    <row r="831" spans="1:6" x14ac:dyDescent="0.25">
      <c r="A831" s="66"/>
      <c r="B831" s="66"/>
      <c r="C831" s="67"/>
      <c r="D831" s="70"/>
      <c r="E831" s="58"/>
      <c r="F831" s="72"/>
    </row>
    <row r="832" spans="1:6" x14ac:dyDescent="0.25">
      <c r="A832" s="66"/>
      <c r="B832" s="66"/>
      <c r="C832" s="67"/>
      <c r="D832" s="70"/>
      <c r="E832" s="58"/>
      <c r="F832" s="72"/>
    </row>
    <row r="833" spans="1:6" x14ac:dyDescent="0.25">
      <c r="A833" s="66"/>
      <c r="B833" s="66"/>
      <c r="C833" s="67"/>
      <c r="D833" s="70"/>
      <c r="E833" s="58"/>
      <c r="F833" s="72"/>
    </row>
    <row r="834" spans="1:6" x14ac:dyDescent="0.25">
      <c r="A834" s="66"/>
      <c r="B834" s="66"/>
      <c r="C834" s="67"/>
      <c r="D834" s="70"/>
      <c r="E834" s="58"/>
      <c r="F834" s="72"/>
    </row>
    <row r="835" spans="1:6" x14ac:dyDescent="0.25">
      <c r="A835" s="66"/>
      <c r="B835" s="66"/>
      <c r="C835" s="67"/>
      <c r="D835" s="70"/>
      <c r="E835" s="58"/>
      <c r="F835" s="72"/>
    </row>
    <row r="836" spans="1:6" x14ac:dyDescent="0.25">
      <c r="A836" s="66"/>
      <c r="B836" s="66"/>
      <c r="C836" s="67"/>
      <c r="D836" s="70"/>
      <c r="E836" s="58"/>
      <c r="F836" s="72"/>
    </row>
    <row r="837" spans="1:6" x14ac:dyDescent="0.25">
      <c r="A837" s="66"/>
      <c r="B837" s="66"/>
      <c r="C837" s="67"/>
      <c r="D837" s="70"/>
      <c r="E837" s="58"/>
      <c r="F837" s="72"/>
    </row>
    <row r="838" spans="1:6" x14ac:dyDescent="0.25">
      <c r="A838" s="66"/>
      <c r="B838" s="66"/>
      <c r="C838" s="67"/>
      <c r="D838" s="70"/>
      <c r="E838" s="58"/>
      <c r="F838" s="72"/>
    </row>
    <row r="839" spans="1:6" x14ac:dyDescent="0.25">
      <c r="A839" s="66"/>
      <c r="B839" s="66"/>
      <c r="C839" s="67"/>
      <c r="D839" s="70"/>
      <c r="E839" s="58"/>
      <c r="F839" s="72"/>
    </row>
    <row r="840" spans="1:6" x14ac:dyDescent="0.25">
      <c r="A840" s="66"/>
      <c r="B840" s="66"/>
      <c r="C840" s="67"/>
      <c r="D840" s="70"/>
      <c r="E840" s="58"/>
      <c r="F840" s="72"/>
    </row>
    <row r="841" spans="1:6" x14ac:dyDescent="0.25">
      <c r="A841" s="66"/>
      <c r="B841" s="66"/>
      <c r="C841" s="67"/>
      <c r="D841" s="70"/>
      <c r="E841" s="58"/>
      <c r="F841" s="72"/>
    </row>
    <row r="842" spans="1:6" x14ac:dyDescent="0.25">
      <c r="A842" s="66"/>
      <c r="B842" s="66"/>
      <c r="C842" s="67"/>
      <c r="D842" s="70"/>
      <c r="E842" s="58"/>
      <c r="F842" s="72"/>
    </row>
    <row r="843" spans="1:6" x14ac:dyDescent="0.25">
      <c r="A843" s="66"/>
      <c r="B843" s="66"/>
      <c r="C843" s="67"/>
      <c r="D843" s="70"/>
      <c r="E843" s="58"/>
      <c r="F843" s="72"/>
    </row>
    <row r="844" spans="1:6" x14ac:dyDescent="0.25">
      <c r="A844" s="66"/>
      <c r="B844" s="66"/>
      <c r="C844" s="67"/>
      <c r="D844" s="70"/>
      <c r="E844" s="58"/>
      <c r="F844" s="72"/>
    </row>
    <row r="845" spans="1:6" x14ac:dyDescent="0.25">
      <c r="A845" s="66"/>
      <c r="B845" s="66"/>
      <c r="C845" s="67"/>
      <c r="D845" s="70"/>
      <c r="E845" s="58"/>
      <c r="F845" s="72"/>
    </row>
    <row r="846" spans="1:6" x14ac:dyDescent="0.25">
      <c r="A846" s="66"/>
      <c r="B846" s="66"/>
      <c r="C846" s="67"/>
      <c r="D846" s="70"/>
      <c r="E846" s="58"/>
      <c r="F846" s="72"/>
    </row>
    <row r="847" spans="1:6" x14ac:dyDescent="0.25">
      <c r="A847" s="66"/>
      <c r="B847" s="66"/>
      <c r="C847" s="67"/>
      <c r="D847" s="70"/>
      <c r="E847" s="58"/>
      <c r="F847" s="72"/>
    </row>
    <row r="848" spans="1:6" x14ac:dyDescent="0.25">
      <c r="A848" s="66"/>
      <c r="B848" s="66"/>
      <c r="C848" s="67"/>
      <c r="D848" s="70"/>
      <c r="E848" s="58"/>
      <c r="F848" s="72"/>
    </row>
    <row r="849" spans="1:6" x14ac:dyDescent="0.25">
      <c r="A849" s="66"/>
      <c r="B849" s="66"/>
      <c r="C849" s="67"/>
      <c r="D849" s="70"/>
      <c r="E849" s="58"/>
      <c r="F849" s="72"/>
    </row>
    <row r="850" spans="1:6" x14ac:dyDescent="0.25">
      <c r="A850" s="66"/>
      <c r="B850" s="66"/>
      <c r="C850" s="67"/>
      <c r="D850" s="70"/>
      <c r="E850" s="58"/>
      <c r="F850" s="72"/>
    </row>
    <row r="851" spans="1:6" x14ac:dyDescent="0.25">
      <c r="A851" s="66"/>
      <c r="B851" s="66"/>
      <c r="C851" s="67"/>
      <c r="D851" s="70"/>
      <c r="E851" s="58"/>
      <c r="F851" s="72"/>
    </row>
    <row r="852" spans="1:6" x14ac:dyDescent="0.25">
      <c r="A852" s="66"/>
      <c r="B852" s="66"/>
      <c r="C852" s="67"/>
      <c r="D852" s="70"/>
      <c r="E852" s="58"/>
      <c r="F852" s="72"/>
    </row>
    <row r="853" spans="1:6" x14ac:dyDescent="0.25">
      <c r="A853" s="66"/>
      <c r="B853" s="66"/>
      <c r="C853" s="67"/>
      <c r="D853" s="70"/>
      <c r="E853" s="58"/>
      <c r="F853" s="72"/>
    </row>
    <row r="854" spans="1:6" x14ac:dyDescent="0.25">
      <c r="A854" s="66"/>
      <c r="B854" s="66"/>
      <c r="C854" s="67"/>
      <c r="D854" s="70"/>
      <c r="E854" s="58"/>
      <c r="F854" s="72"/>
    </row>
    <row r="855" spans="1:6" x14ac:dyDescent="0.25">
      <c r="A855" s="66"/>
      <c r="B855" s="66"/>
      <c r="C855" s="67"/>
      <c r="D855" s="70"/>
      <c r="E855" s="58"/>
      <c r="F855" s="72"/>
    </row>
    <row r="856" spans="1:6" x14ac:dyDescent="0.25">
      <c r="A856" s="66"/>
      <c r="B856" s="66"/>
      <c r="C856" s="67"/>
      <c r="D856" s="70"/>
      <c r="E856" s="58"/>
      <c r="F856" s="72"/>
    </row>
    <row r="857" spans="1:6" x14ac:dyDescent="0.25">
      <c r="A857" s="66"/>
      <c r="B857" s="66"/>
      <c r="C857" s="67"/>
      <c r="D857" s="70"/>
      <c r="E857" s="58"/>
      <c r="F857" s="72"/>
    </row>
    <row r="858" spans="1:6" x14ac:dyDescent="0.25">
      <c r="A858" s="66"/>
      <c r="B858" s="66"/>
      <c r="C858" s="67"/>
      <c r="D858" s="70"/>
      <c r="E858" s="58"/>
      <c r="F858" s="72"/>
    </row>
    <row r="859" spans="1:6" x14ac:dyDescent="0.25">
      <c r="A859" s="66"/>
      <c r="B859" s="66"/>
      <c r="C859" s="67"/>
      <c r="D859" s="70"/>
      <c r="E859" s="58"/>
      <c r="F859" s="72"/>
    </row>
    <row r="860" spans="1:6" x14ac:dyDescent="0.25">
      <c r="A860" s="66"/>
      <c r="B860" s="66"/>
      <c r="C860" s="67"/>
      <c r="D860" s="70"/>
      <c r="E860" s="58"/>
      <c r="F860" s="72"/>
    </row>
    <row r="861" spans="1:6" x14ac:dyDescent="0.25">
      <c r="A861" s="66"/>
      <c r="B861" s="66"/>
      <c r="C861" s="67"/>
      <c r="D861" s="70"/>
      <c r="E861" s="58"/>
      <c r="F861" s="72"/>
    </row>
    <row r="862" spans="1:6" x14ac:dyDescent="0.25">
      <c r="A862" s="66"/>
      <c r="B862" s="66"/>
      <c r="C862" s="67"/>
      <c r="D862" s="70"/>
      <c r="E862" s="58"/>
      <c r="F862" s="72"/>
    </row>
    <row r="863" spans="1:6" x14ac:dyDescent="0.25">
      <c r="A863" s="66"/>
      <c r="B863" s="66"/>
      <c r="C863" s="67"/>
      <c r="D863" s="70"/>
      <c r="E863" s="58"/>
      <c r="F863" s="72"/>
    </row>
    <row r="864" spans="1:6" x14ac:dyDescent="0.25">
      <c r="A864" s="66"/>
      <c r="B864" s="66"/>
      <c r="C864" s="67"/>
      <c r="D864" s="70"/>
      <c r="E864" s="58"/>
      <c r="F864" s="72"/>
    </row>
    <row r="865" spans="1:6" x14ac:dyDescent="0.25">
      <c r="A865" s="66"/>
      <c r="B865" s="66"/>
      <c r="C865" s="67"/>
      <c r="D865" s="70"/>
      <c r="E865" s="58"/>
      <c r="F865" s="72"/>
    </row>
    <row r="866" spans="1:6" x14ac:dyDescent="0.25">
      <c r="A866" s="66"/>
      <c r="B866" s="66"/>
      <c r="C866" s="67"/>
      <c r="D866" s="70"/>
      <c r="E866" s="58"/>
      <c r="F866" s="72"/>
    </row>
    <row r="867" spans="1:6" x14ac:dyDescent="0.25">
      <c r="A867" s="66"/>
      <c r="B867" s="66"/>
      <c r="C867" s="67"/>
      <c r="D867" s="70"/>
      <c r="E867" s="58"/>
      <c r="F867" s="72"/>
    </row>
    <row r="868" spans="1:6" x14ac:dyDescent="0.25">
      <c r="A868" s="66"/>
      <c r="B868" s="66"/>
      <c r="C868" s="67"/>
      <c r="D868" s="70"/>
      <c r="E868" s="58"/>
      <c r="F868" s="72"/>
    </row>
    <row r="869" spans="1:6" x14ac:dyDescent="0.25">
      <c r="A869" s="66"/>
      <c r="B869" s="66"/>
      <c r="C869" s="67"/>
      <c r="D869" s="70"/>
      <c r="E869" s="58"/>
      <c r="F869" s="72"/>
    </row>
    <row r="870" spans="1:6" x14ac:dyDescent="0.25">
      <c r="A870" s="66"/>
      <c r="B870" s="66"/>
      <c r="C870" s="67"/>
      <c r="D870" s="70"/>
      <c r="E870" s="58"/>
      <c r="F870" s="72"/>
    </row>
    <row r="871" spans="1:6" x14ac:dyDescent="0.25">
      <c r="A871" s="66"/>
      <c r="B871" s="66"/>
      <c r="C871" s="67"/>
      <c r="D871" s="70"/>
      <c r="E871" s="58"/>
      <c r="F871" s="72"/>
    </row>
    <row r="872" spans="1:6" x14ac:dyDescent="0.25">
      <c r="A872" s="66"/>
      <c r="B872" s="66"/>
      <c r="C872" s="67"/>
      <c r="D872" s="70"/>
      <c r="E872" s="58"/>
      <c r="F872" s="72"/>
    </row>
    <row r="873" spans="1:6" x14ac:dyDescent="0.25">
      <c r="A873" s="66"/>
      <c r="B873" s="66"/>
      <c r="C873" s="67"/>
      <c r="D873" s="70"/>
      <c r="E873" s="58"/>
      <c r="F873" s="72"/>
    </row>
    <row r="874" spans="1:6" x14ac:dyDescent="0.25">
      <c r="A874" s="66"/>
      <c r="B874" s="66"/>
      <c r="C874" s="67"/>
      <c r="D874" s="70"/>
      <c r="E874" s="58"/>
      <c r="F874" s="72"/>
    </row>
    <row r="875" spans="1:6" x14ac:dyDescent="0.25">
      <c r="A875" s="66"/>
      <c r="B875" s="66"/>
      <c r="C875" s="67"/>
      <c r="D875" s="70"/>
      <c r="E875" s="58"/>
      <c r="F875" s="72"/>
    </row>
    <row r="876" spans="1:6" x14ac:dyDescent="0.25">
      <c r="A876" s="66"/>
      <c r="B876" s="66"/>
      <c r="C876" s="67"/>
      <c r="D876" s="70"/>
      <c r="E876" s="58"/>
      <c r="F876" s="72"/>
    </row>
    <row r="877" spans="1:6" x14ac:dyDescent="0.25">
      <c r="A877" s="66"/>
      <c r="B877" s="66"/>
      <c r="C877" s="67"/>
      <c r="D877" s="70"/>
      <c r="E877" s="58"/>
      <c r="F877" s="72"/>
    </row>
    <row r="878" spans="1:6" x14ac:dyDescent="0.25">
      <c r="A878" s="66"/>
      <c r="B878" s="66"/>
      <c r="C878" s="67"/>
      <c r="D878" s="70"/>
      <c r="E878" s="58"/>
      <c r="F878" s="72"/>
    </row>
    <row r="879" spans="1:6" x14ac:dyDescent="0.25">
      <c r="A879" s="66"/>
      <c r="B879" s="66"/>
      <c r="C879" s="67"/>
      <c r="D879" s="70"/>
      <c r="E879" s="58"/>
      <c r="F879" s="72"/>
    </row>
    <row r="880" spans="1:6" x14ac:dyDescent="0.25">
      <c r="A880" s="66"/>
      <c r="B880" s="66"/>
      <c r="C880" s="67"/>
      <c r="D880" s="70"/>
      <c r="E880" s="58"/>
      <c r="F880" s="72"/>
    </row>
    <row r="881" spans="1:6" x14ac:dyDescent="0.25">
      <c r="A881" s="66"/>
      <c r="B881" s="66"/>
      <c r="C881" s="67"/>
      <c r="D881" s="70"/>
      <c r="E881" s="58"/>
      <c r="F881" s="72"/>
    </row>
    <row r="882" spans="1:6" x14ac:dyDescent="0.25">
      <c r="A882" s="66"/>
      <c r="B882" s="66"/>
      <c r="C882" s="67"/>
      <c r="D882" s="70"/>
      <c r="E882" s="58"/>
      <c r="F882" s="72"/>
    </row>
    <row r="883" spans="1:6" x14ac:dyDescent="0.25">
      <c r="A883" s="66"/>
      <c r="B883" s="66"/>
      <c r="C883" s="67"/>
      <c r="D883" s="70"/>
      <c r="E883" s="58"/>
      <c r="F883" s="72"/>
    </row>
    <row r="884" spans="1:6" x14ac:dyDescent="0.25">
      <c r="A884" s="66"/>
      <c r="B884" s="66"/>
      <c r="C884" s="67"/>
      <c r="D884" s="70"/>
      <c r="E884" s="58"/>
      <c r="F884" s="72"/>
    </row>
    <row r="885" spans="1:6" x14ac:dyDescent="0.25">
      <c r="A885" s="66"/>
      <c r="B885" s="66"/>
      <c r="C885" s="67"/>
      <c r="D885" s="70"/>
      <c r="E885" s="58"/>
      <c r="F885" s="72"/>
    </row>
    <row r="886" spans="1:6" x14ac:dyDescent="0.25">
      <c r="A886" s="66"/>
      <c r="B886" s="66"/>
      <c r="C886" s="67"/>
      <c r="D886" s="70"/>
      <c r="E886" s="58"/>
      <c r="F886" s="72"/>
    </row>
    <row r="887" spans="1:6" x14ac:dyDescent="0.25">
      <c r="A887" s="66"/>
      <c r="B887" s="66"/>
      <c r="C887" s="67"/>
      <c r="D887" s="70"/>
      <c r="E887" s="58"/>
      <c r="F887" s="72"/>
    </row>
    <row r="888" spans="1:6" x14ac:dyDescent="0.25">
      <c r="A888" s="66"/>
      <c r="B888" s="66"/>
      <c r="C888" s="67"/>
      <c r="D888" s="70"/>
      <c r="E888" s="58"/>
      <c r="F888" s="72"/>
    </row>
    <row r="889" spans="1:6" x14ac:dyDescent="0.25">
      <c r="A889" s="66"/>
      <c r="B889" s="66"/>
      <c r="C889" s="67"/>
      <c r="D889" s="70"/>
      <c r="E889" s="58"/>
      <c r="F889" s="72"/>
    </row>
    <row r="890" spans="1:6" x14ac:dyDescent="0.25">
      <c r="A890" s="66"/>
      <c r="B890" s="66"/>
      <c r="C890" s="67"/>
      <c r="D890" s="70"/>
      <c r="E890" s="58"/>
      <c r="F890" s="72"/>
    </row>
    <row r="891" spans="1:6" x14ac:dyDescent="0.25">
      <c r="A891" s="66"/>
      <c r="B891" s="66"/>
      <c r="C891" s="67"/>
      <c r="D891" s="70"/>
      <c r="E891" s="58"/>
      <c r="F891" s="72"/>
    </row>
    <row r="892" spans="1:6" x14ac:dyDescent="0.25">
      <c r="A892" s="66"/>
      <c r="B892" s="66"/>
      <c r="C892" s="67"/>
      <c r="D892" s="70"/>
      <c r="E892" s="58"/>
      <c r="F892" s="72"/>
    </row>
    <row r="893" spans="1:6" x14ac:dyDescent="0.25">
      <c r="A893" s="66"/>
      <c r="B893" s="66"/>
      <c r="C893" s="67"/>
      <c r="D893" s="70"/>
      <c r="E893" s="58"/>
      <c r="F893" s="72"/>
    </row>
    <row r="894" spans="1:6" x14ac:dyDescent="0.25">
      <c r="A894" s="66"/>
      <c r="B894" s="66"/>
      <c r="C894" s="67"/>
      <c r="D894" s="70"/>
      <c r="E894" s="58"/>
      <c r="F894" s="72"/>
    </row>
    <row r="895" spans="1:6" x14ac:dyDescent="0.25">
      <c r="A895" s="66"/>
      <c r="B895" s="66"/>
      <c r="C895" s="67"/>
      <c r="D895" s="70"/>
      <c r="E895" s="58"/>
      <c r="F895" s="72"/>
    </row>
    <row r="896" spans="1:6" x14ac:dyDescent="0.25">
      <c r="A896" s="66"/>
      <c r="B896" s="66"/>
      <c r="C896" s="67"/>
      <c r="D896" s="70"/>
      <c r="E896" s="58"/>
      <c r="F896" s="72"/>
    </row>
    <row r="897" spans="1:6" x14ac:dyDescent="0.25">
      <c r="A897" s="66"/>
      <c r="B897" s="66"/>
      <c r="C897" s="67"/>
      <c r="D897" s="70"/>
      <c r="E897" s="58"/>
      <c r="F897" s="72"/>
    </row>
    <row r="898" spans="1:6" x14ac:dyDescent="0.25">
      <c r="A898" s="66"/>
      <c r="B898" s="66"/>
      <c r="C898" s="67"/>
      <c r="D898" s="70"/>
      <c r="E898" s="58"/>
      <c r="F898" s="72"/>
    </row>
    <row r="899" spans="1:6" x14ac:dyDescent="0.25">
      <c r="A899" s="66"/>
      <c r="B899" s="66"/>
      <c r="C899" s="67"/>
      <c r="D899" s="70"/>
      <c r="E899" s="58"/>
      <c r="F899" s="72"/>
    </row>
    <row r="900" spans="1:6" x14ac:dyDescent="0.25">
      <c r="A900" s="66"/>
      <c r="B900" s="66"/>
      <c r="C900" s="67"/>
      <c r="D900" s="70"/>
      <c r="E900" s="58"/>
      <c r="F900" s="72"/>
    </row>
    <row r="901" spans="1:6" x14ac:dyDescent="0.25">
      <c r="A901" s="66"/>
      <c r="B901" s="66"/>
      <c r="C901" s="67"/>
      <c r="D901" s="70"/>
      <c r="E901" s="58"/>
      <c r="F901" s="72"/>
    </row>
    <row r="902" spans="1:6" x14ac:dyDescent="0.25">
      <c r="A902" s="66"/>
      <c r="B902" s="66"/>
      <c r="C902" s="67"/>
      <c r="D902" s="70"/>
      <c r="E902" s="58"/>
      <c r="F902" s="72"/>
    </row>
    <row r="903" spans="1:6" x14ac:dyDescent="0.25">
      <c r="A903" s="66"/>
      <c r="B903" s="66"/>
      <c r="C903" s="67"/>
      <c r="D903" s="70"/>
      <c r="E903" s="58"/>
      <c r="F903" s="72"/>
    </row>
    <row r="904" spans="1:6" x14ac:dyDescent="0.25">
      <c r="A904" s="66"/>
      <c r="B904" s="66"/>
      <c r="C904" s="67"/>
      <c r="D904" s="70"/>
      <c r="E904" s="58"/>
      <c r="F904" s="72"/>
    </row>
    <row r="905" spans="1:6" x14ac:dyDescent="0.25">
      <c r="A905" s="66"/>
      <c r="B905" s="66"/>
      <c r="C905" s="67"/>
      <c r="D905" s="70"/>
      <c r="E905" s="58"/>
      <c r="F905" s="72"/>
    </row>
    <row r="906" spans="1:6" x14ac:dyDescent="0.25">
      <c r="A906" s="66"/>
      <c r="B906" s="66"/>
      <c r="C906" s="67"/>
      <c r="D906" s="70"/>
      <c r="E906" s="58"/>
      <c r="F906" s="72"/>
    </row>
    <row r="907" spans="1:6" x14ac:dyDescent="0.25">
      <c r="A907" s="66"/>
      <c r="B907" s="66"/>
      <c r="C907" s="67"/>
      <c r="D907" s="70"/>
      <c r="E907" s="58"/>
      <c r="F907" s="72"/>
    </row>
    <row r="908" spans="1:6" x14ac:dyDescent="0.25">
      <c r="A908" s="66"/>
      <c r="B908" s="66"/>
      <c r="C908" s="67"/>
      <c r="D908" s="70"/>
      <c r="E908" s="58"/>
      <c r="F908" s="72"/>
    </row>
    <row r="909" spans="1:6" x14ac:dyDescent="0.25">
      <c r="A909" s="66"/>
      <c r="B909" s="66"/>
      <c r="C909" s="67"/>
      <c r="D909" s="70"/>
      <c r="E909" s="58"/>
      <c r="F909" s="72"/>
    </row>
    <row r="910" spans="1:6" x14ac:dyDescent="0.25">
      <c r="A910" s="66"/>
      <c r="B910" s="66"/>
      <c r="C910" s="67"/>
      <c r="D910" s="70"/>
      <c r="E910" s="58"/>
      <c r="F910" s="72"/>
    </row>
    <row r="911" spans="1:6" x14ac:dyDescent="0.25">
      <c r="A911" s="66"/>
      <c r="B911" s="66"/>
      <c r="C911" s="67"/>
      <c r="D911" s="70"/>
      <c r="E911" s="58"/>
      <c r="F911" s="72"/>
    </row>
    <row r="912" spans="1:6" x14ac:dyDescent="0.25">
      <c r="A912" s="66"/>
      <c r="B912" s="66"/>
      <c r="C912" s="67"/>
      <c r="D912" s="70"/>
      <c r="E912" s="58"/>
      <c r="F912" s="72"/>
    </row>
    <row r="913" spans="1:6" x14ac:dyDescent="0.25">
      <c r="A913" s="66"/>
      <c r="B913" s="66"/>
      <c r="C913" s="67"/>
      <c r="D913" s="70"/>
      <c r="E913" s="58"/>
      <c r="F913" s="72"/>
    </row>
    <row r="914" spans="1:6" x14ac:dyDescent="0.25">
      <c r="A914" s="66"/>
      <c r="B914" s="66"/>
      <c r="C914" s="67"/>
      <c r="D914" s="70"/>
      <c r="E914" s="58"/>
      <c r="F914" s="72"/>
    </row>
    <row r="915" spans="1:6" x14ac:dyDescent="0.25">
      <c r="A915" s="66"/>
      <c r="B915" s="66"/>
      <c r="C915" s="67"/>
      <c r="D915" s="70"/>
      <c r="E915" s="58"/>
      <c r="F915" s="72"/>
    </row>
    <row r="916" spans="1:6" x14ac:dyDescent="0.25">
      <c r="A916" s="66"/>
      <c r="B916" s="66"/>
      <c r="C916" s="67"/>
      <c r="D916" s="70"/>
      <c r="E916" s="58"/>
      <c r="F916" s="72"/>
    </row>
    <row r="917" spans="1:6" x14ac:dyDescent="0.25">
      <c r="A917" s="66"/>
      <c r="B917" s="66"/>
      <c r="C917" s="67"/>
      <c r="D917" s="70"/>
      <c r="E917" s="58"/>
      <c r="F917" s="72"/>
    </row>
    <row r="918" spans="1:6" x14ac:dyDescent="0.25">
      <c r="A918" s="66"/>
      <c r="B918" s="66"/>
      <c r="C918" s="67"/>
      <c r="D918" s="70"/>
      <c r="E918" s="58"/>
      <c r="F918" s="72"/>
    </row>
    <row r="919" spans="1:6" x14ac:dyDescent="0.25">
      <c r="A919" s="66"/>
      <c r="B919" s="66"/>
      <c r="C919" s="67"/>
      <c r="D919" s="70"/>
      <c r="E919" s="58"/>
      <c r="F919" s="72"/>
    </row>
    <row r="920" spans="1:6" x14ac:dyDescent="0.25">
      <c r="A920" s="66"/>
      <c r="B920" s="66"/>
      <c r="C920" s="67"/>
      <c r="D920" s="70"/>
      <c r="E920" s="58"/>
      <c r="F920" s="72"/>
    </row>
    <row r="921" spans="1:6" x14ac:dyDescent="0.25">
      <c r="A921" s="66"/>
      <c r="B921" s="66"/>
      <c r="C921" s="67"/>
      <c r="D921" s="70"/>
      <c r="E921" s="58"/>
      <c r="F921" s="72"/>
    </row>
    <row r="922" spans="1:6" x14ac:dyDescent="0.25">
      <c r="A922" s="66"/>
      <c r="B922" s="66"/>
      <c r="C922" s="67"/>
      <c r="D922" s="70"/>
      <c r="E922" s="58"/>
      <c r="F922" s="72"/>
    </row>
    <row r="923" spans="1:6" x14ac:dyDescent="0.25">
      <c r="A923" s="66"/>
      <c r="B923" s="66"/>
      <c r="C923" s="67"/>
      <c r="D923" s="70"/>
      <c r="E923" s="58"/>
      <c r="F923" s="72"/>
    </row>
    <row r="924" spans="1:6" x14ac:dyDescent="0.25">
      <c r="A924" s="66"/>
      <c r="B924" s="66"/>
      <c r="C924" s="67"/>
      <c r="D924" s="70"/>
      <c r="E924" s="58"/>
      <c r="F924" s="72"/>
    </row>
    <row r="925" spans="1:6" x14ac:dyDescent="0.25">
      <c r="A925" s="66"/>
      <c r="B925" s="66"/>
      <c r="C925" s="67"/>
      <c r="D925" s="70"/>
      <c r="E925" s="58"/>
      <c r="F925" s="72"/>
    </row>
    <row r="926" spans="1:6" x14ac:dyDescent="0.25">
      <c r="A926" s="66"/>
      <c r="B926" s="66"/>
      <c r="C926" s="67"/>
      <c r="D926" s="70"/>
      <c r="E926" s="58"/>
      <c r="F926" s="72"/>
    </row>
    <row r="927" spans="1:6" x14ac:dyDescent="0.25">
      <c r="A927" s="66"/>
      <c r="B927" s="66"/>
      <c r="C927" s="67"/>
      <c r="D927" s="70"/>
      <c r="E927" s="58"/>
      <c r="F927" s="72"/>
    </row>
    <row r="928" spans="1:6" x14ac:dyDescent="0.25">
      <c r="A928" s="66"/>
      <c r="B928" s="66"/>
      <c r="C928" s="67"/>
      <c r="D928" s="70"/>
      <c r="E928" s="58"/>
      <c r="F928" s="72"/>
    </row>
    <row r="929" spans="1:6" x14ac:dyDescent="0.25">
      <c r="A929" s="66"/>
      <c r="B929" s="66"/>
      <c r="C929" s="67"/>
      <c r="D929" s="70"/>
      <c r="E929" s="58"/>
      <c r="F929" s="72"/>
    </row>
    <row r="930" spans="1:6" x14ac:dyDescent="0.25">
      <c r="A930" s="66"/>
      <c r="B930" s="66"/>
      <c r="C930" s="67"/>
      <c r="D930" s="70"/>
      <c r="E930" s="58"/>
      <c r="F930" s="72"/>
    </row>
    <row r="931" spans="1:6" x14ac:dyDescent="0.25">
      <c r="A931" s="66"/>
      <c r="B931" s="66"/>
      <c r="C931" s="67"/>
      <c r="D931" s="70"/>
      <c r="E931" s="58"/>
      <c r="F931" s="72"/>
    </row>
    <row r="932" spans="1:6" x14ac:dyDescent="0.25">
      <c r="A932" s="66"/>
      <c r="B932" s="66"/>
      <c r="C932" s="67"/>
      <c r="D932" s="70"/>
      <c r="E932" s="58"/>
      <c r="F932" s="72"/>
    </row>
    <row r="933" spans="1:6" x14ac:dyDescent="0.25">
      <c r="A933" s="66"/>
      <c r="B933" s="66"/>
      <c r="C933" s="67"/>
      <c r="D933" s="70"/>
      <c r="E933" s="58"/>
      <c r="F933" s="72"/>
    </row>
    <row r="934" spans="1:6" x14ac:dyDescent="0.25">
      <c r="A934" s="66"/>
      <c r="B934" s="66"/>
      <c r="C934" s="67"/>
      <c r="D934" s="70"/>
      <c r="E934" s="58"/>
      <c r="F934" s="72"/>
    </row>
    <row r="935" spans="1:6" x14ac:dyDescent="0.25">
      <c r="A935" s="66"/>
      <c r="B935" s="66"/>
      <c r="C935" s="67"/>
      <c r="D935" s="70"/>
      <c r="E935" s="58"/>
      <c r="F935" s="72"/>
    </row>
    <row r="936" spans="1:6" x14ac:dyDescent="0.25">
      <c r="A936" s="66"/>
      <c r="B936" s="66"/>
      <c r="C936" s="67"/>
      <c r="D936" s="70"/>
      <c r="E936" s="58"/>
      <c r="F936" s="72"/>
    </row>
    <row r="937" spans="1:6" x14ac:dyDescent="0.25">
      <c r="A937" s="66"/>
      <c r="B937" s="66"/>
      <c r="C937" s="67"/>
      <c r="D937" s="70"/>
      <c r="E937" s="58"/>
      <c r="F937" s="72"/>
    </row>
    <row r="938" spans="1:6" x14ac:dyDescent="0.25">
      <c r="A938" s="66"/>
      <c r="B938" s="66"/>
      <c r="C938" s="67"/>
      <c r="D938" s="70"/>
      <c r="E938" s="58"/>
      <c r="F938" s="72"/>
    </row>
    <row r="939" spans="1:6" x14ac:dyDescent="0.25">
      <c r="A939" s="66"/>
      <c r="B939" s="66"/>
      <c r="C939" s="67"/>
      <c r="D939" s="70"/>
      <c r="E939" s="58"/>
      <c r="F939" s="72"/>
    </row>
    <row r="940" spans="1:6" x14ac:dyDescent="0.25">
      <c r="A940" s="66"/>
      <c r="B940" s="66"/>
      <c r="C940" s="67"/>
      <c r="D940" s="70"/>
      <c r="E940" s="58"/>
      <c r="F940" s="72"/>
    </row>
    <row r="941" spans="1:6" x14ac:dyDescent="0.25">
      <c r="A941" s="66"/>
      <c r="B941" s="66"/>
      <c r="C941" s="67"/>
      <c r="D941" s="70"/>
      <c r="E941" s="58"/>
      <c r="F941" s="72"/>
    </row>
    <row r="942" spans="1:6" x14ac:dyDescent="0.25">
      <c r="A942" s="66"/>
      <c r="B942" s="66"/>
      <c r="C942" s="67"/>
      <c r="D942" s="70"/>
      <c r="E942" s="58"/>
      <c r="F942" s="72"/>
    </row>
    <row r="943" spans="1:6" x14ac:dyDescent="0.25">
      <c r="A943" s="66"/>
      <c r="B943" s="66"/>
      <c r="C943" s="67"/>
      <c r="D943" s="70"/>
      <c r="E943" s="58"/>
      <c r="F943" s="72"/>
    </row>
    <row r="944" spans="1:6" x14ac:dyDescent="0.25">
      <c r="A944" s="66"/>
      <c r="B944" s="66"/>
      <c r="C944" s="67"/>
      <c r="D944" s="70"/>
      <c r="E944" s="58"/>
      <c r="F944" s="72"/>
    </row>
    <row r="945" spans="1:6" x14ac:dyDescent="0.25">
      <c r="A945" s="66"/>
      <c r="B945" s="66"/>
      <c r="C945" s="67"/>
      <c r="D945" s="70"/>
      <c r="E945" s="58"/>
      <c r="F945" s="72"/>
    </row>
    <row r="946" spans="1:6" x14ac:dyDescent="0.25">
      <c r="A946" s="66"/>
      <c r="B946" s="66"/>
      <c r="C946" s="67"/>
      <c r="D946" s="70"/>
      <c r="E946" s="58"/>
      <c r="F946" s="72"/>
    </row>
    <row r="947" spans="1:6" x14ac:dyDescent="0.25">
      <c r="A947" s="66"/>
      <c r="B947" s="66"/>
      <c r="C947" s="67"/>
      <c r="D947" s="70"/>
      <c r="E947" s="58"/>
      <c r="F947" s="72"/>
    </row>
    <row r="948" spans="1:6" x14ac:dyDescent="0.25">
      <c r="A948" s="66"/>
      <c r="B948" s="66"/>
      <c r="C948" s="67"/>
      <c r="D948" s="70"/>
      <c r="E948" s="58"/>
      <c r="F948" s="72"/>
    </row>
    <row r="949" spans="1:6" x14ac:dyDescent="0.25">
      <c r="A949" s="66"/>
      <c r="B949" s="66"/>
      <c r="C949" s="67"/>
      <c r="D949" s="70"/>
      <c r="E949" s="58"/>
      <c r="F949" s="72"/>
    </row>
    <row r="950" spans="1:6" x14ac:dyDescent="0.25">
      <c r="A950" s="66"/>
      <c r="B950" s="66"/>
      <c r="C950" s="67"/>
      <c r="D950" s="70"/>
      <c r="E950" s="58"/>
      <c r="F950" s="72"/>
    </row>
    <row r="951" spans="1:6" x14ac:dyDescent="0.25">
      <c r="A951" s="66"/>
      <c r="B951" s="66"/>
      <c r="C951" s="67"/>
      <c r="D951" s="70"/>
      <c r="E951" s="58"/>
      <c r="F951" s="72"/>
    </row>
    <row r="952" spans="1:6" x14ac:dyDescent="0.25">
      <c r="A952" s="66"/>
      <c r="B952" s="66"/>
      <c r="C952" s="67"/>
      <c r="D952" s="70"/>
      <c r="E952" s="58"/>
      <c r="F952" s="72"/>
    </row>
    <row r="953" spans="1:6" x14ac:dyDescent="0.25">
      <c r="A953" s="66"/>
      <c r="B953" s="66"/>
      <c r="C953" s="67"/>
      <c r="D953" s="70"/>
      <c r="E953" s="58"/>
      <c r="F953" s="72"/>
    </row>
    <row r="954" spans="1:6" x14ac:dyDescent="0.25">
      <c r="A954" s="66"/>
      <c r="B954" s="66"/>
      <c r="C954" s="67"/>
      <c r="D954" s="70"/>
      <c r="E954" s="58"/>
      <c r="F954" s="72"/>
    </row>
    <row r="955" spans="1:6" x14ac:dyDescent="0.25">
      <c r="A955" s="66"/>
      <c r="B955" s="66"/>
      <c r="C955" s="67"/>
      <c r="D955" s="70"/>
      <c r="E955" s="58"/>
      <c r="F955" s="72"/>
    </row>
    <row r="956" spans="1:6" x14ac:dyDescent="0.25">
      <c r="A956" s="66"/>
      <c r="B956" s="66"/>
      <c r="C956" s="67"/>
      <c r="D956" s="70"/>
      <c r="E956" s="58"/>
      <c r="F956" s="72"/>
    </row>
    <row r="957" spans="1:6" x14ac:dyDescent="0.25">
      <c r="A957" s="66"/>
      <c r="B957" s="66"/>
      <c r="C957" s="67"/>
      <c r="D957" s="70"/>
      <c r="E957" s="58"/>
      <c r="F957" s="72"/>
    </row>
    <row r="958" spans="1:6" x14ac:dyDescent="0.25">
      <c r="A958" s="66"/>
      <c r="B958" s="66"/>
      <c r="C958" s="67"/>
      <c r="D958" s="70"/>
      <c r="E958" s="58"/>
      <c r="F958" s="72"/>
    </row>
    <row r="959" spans="1:6" x14ac:dyDescent="0.25">
      <c r="A959" s="66"/>
      <c r="B959" s="66"/>
      <c r="C959" s="67"/>
      <c r="D959" s="70"/>
      <c r="E959" s="58"/>
      <c r="F959" s="72"/>
    </row>
    <row r="960" spans="1:6" x14ac:dyDescent="0.25">
      <c r="A960" s="66"/>
      <c r="B960" s="66"/>
      <c r="C960" s="67"/>
      <c r="D960" s="70"/>
      <c r="E960" s="58"/>
      <c r="F960" s="72"/>
    </row>
    <row r="961" spans="1:6" x14ac:dyDescent="0.25">
      <c r="A961" s="66"/>
      <c r="B961" s="66"/>
      <c r="C961" s="67"/>
      <c r="D961" s="70"/>
      <c r="E961" s="58"/>
      <c r="F961" s="72"/>
    </row>
    <row r="962" spans="1:6" x14ac:dyDescent="0.25">
      <c r="A962" s="66"/>
      <c r="B962" s="66"/>
      <c r="C962" s="67"/>
      <c r="D962" s="70"/>
      <c r="E962" s="58"/>
      <c r="F962" s="72"/>
    </row>
    <row r="963" spans="1:6" x14ac:dyDescent="0.25">
      <c r="A963" s="66"/>
      <c r="B963" s="66"/>
      <c r="C963" s="67"/>
      <c r="D963" s="70"/>
      <c r="E963" s="58"/>
      <c r="F963" s="72"/>
    </row>
    <row r="964" spans="1:6" x14ac:dyDescent="0.25">
      <c r="A964" s="66"/>
      <c r="B964" s="66"/>
      <c r="C964" s="67"/>
      <c r="D964" s="70"/>
      <c r="E964" s="58"/>
      <c r="F964" s="72"/>
    </row>
    <row r="965" spans="1:6" x14ac:dyDescent="0.25">
      <c r="A965" s="66"/>
      <c r="B965" s="66"/>
      <c r="C965" s="67"/>
      <c r="D965" s="70"/>
      <c r="E965" s="58"/>
      <c r="F965" s="72"/>
    </row>
    <row r="966" spans="1:6" x14ac:dyDescent="0.25">
      <c r="A966" s="66"/>
      <c r="B966" s="66"/>
      <c r="C966" s="67"/>
      <c r="D966" s="70"/>
      <c r="E966" s="58"/>
      <c r="F966" s="72"/>
    </row>
    <row r="967" spans="1:6" x14ac:dyDescent="0.25">
      <c r="A967" s="66"/>
      <c r="B967" s="66"/>
      <c r="C967" s="67"/>
      <c r="D967" s="70"/>
      <c r="E967" s="58"/>
      <c r="F967" s="72"/>
    </row>
    <row r="968" spans="1:6" x14ac:dyDescent="0.25">
      <c r="A968" s="66"/>
      <c r="B968" s="66"/>
      <c r="C968" s="67"/>
      <c r="D968" s="70"/>
      <c r="E968" s="58"/>
      <c r="F968" s="72"/>
    </row>
    <row r="969" spans="1:6" x14ac:dyDescent="0.25">
      <c r="A969" s="66"/>
      <c r="B969" s="66"/>
      <c r="C969" s="67"/>
      <c r="D969" s="70"/>
      <c r="E969" s="58"/>
      <c r="F969" s="72"/>
    </row>
    <row r="970" spans="1:6" x14ac:dyDescent="0.25">
      <c r="A970" s="66"/>
      <c r="B970" s="66"/>
      <c r="C970" s="67"/>
      <c r="D970" s="70"/>
      <c r="E970" s="58"/>
      <c r="F970" s="72"/>
    </row>
    <row r="971" spans="1:6" x14ac:dyDescent="0.25">
      <c r="A971" s="66"/>
      <c r="B971" s="66"/>
      <c r="C971" s="67"/>
      <c r="D971" s="70"/>
      <c r="E971" s="58"/>
      <c r="F971" s="72"/>
    </row>
    <row r="972" spans="1:6" x14ac:dyDescent="0.25">
      <c r="A972" s="66"/>
      <c r="B972" s="66"/>
      <c r="C972" s="67"/>
      <c r="D972" s="70"/>
      <c r="E972" s="58"/>
      <c r="F972" s="72"/>
    </row>
    <row r="973" spans="1:6" x14ac:dyDescent="0.25">
      <c r="A973" s="66"/>
      <c r="B973" s="66"/>
      <c r="C973" s="67"/>
      <c r="D973" s="70"/>
      <c r="E973" s="58"/>
      <c r="F973" s="72"/>
    </row>
    <row r="974" spans="1:6" x14ac:dyDescent="0.25">
      <c r="A974" s="66"/>
      <c r="B974" s="66"/>
      <c r="C974" s="67"/>
      <c r="D974" s="70"/>
      <c r="E974" s="58"/>
      <c r="F974" s="72"/>
    </row>
    <row r="975" spans="1:6" x14ac:dyDescent="0.25">
      <c r="A975" s="66"/>
      <c r="B975" s="66"/>
      <c r="C975" s="67"/>
      <c r="D975" s="70"/>
      <c r="E975" s="58"/>
      <c r="F975" s="72"/>
    </row>
    <row r="976" spans="1:6" x14ac:dyDescent="0.25">
      <c r="A976" s="66"/>
      <c r="B976" s="66"/>
      <c r="C976" s="67"/>
      <c r="D976" s="70"/>
      <c r="E976" s="58"/>
      <c r="F976" s="72"/>
    </row>
    <row r="977" spans="1:6" x14ac:dyDescent="0.25">
      <c r="A977" s="66"/>
      <c r="B977" s="66"/>
      <c r="C977" s="67"/>
      <c r="D977" s="70"/>
      <c r="E977" s="58"/>
      <c r="F977" s="72"/>
    </row>
    <row r="978" spans="1:6" x14ac:dyDescent="0.25">
      <c r="A978" s="66"/>
      <c r="B978" s="66"/>
      <c r="C978" s="67"/>
      <c r="D978" s="70"/>
      <c r="E978" s="58"/>
      <c r="F978" s="72"/>
    </row>
    <row r="979" spans="1:6" x14ac:dyDescent="0.25">
      <c r="A979" s="66"/>
      <c r="B979" s="66"/>
      <c r="C979" s="67"/>
      <c r="D979" s="70"/>
      <c r="E979" s="58"/>
      <c r="F979" s="72"/>
    </row>
    <row r="980" spans="1:6" x14ac:dyDescent="0.25">
      <c r="A980" s="66"/>
      <c r="B980" s="66"/>
      <c r="C980" s="67"/>
      <c r="D980" s="70"/>
      <c r="E980" s="58"/>
      <c r="F980" s="72"/>
    </row>
    <row r="981" spans="1:6" x14ac:dyDescent="0.25">
      <c r="A981" s="66"/>
      <c r="B981" s="66"/>
      <c r="C981" s="67"/>
      <c r="D981" s="70"/>
      <c r="E981" s="58"/>
      <c r="F981" s="72"/>
    </row>
    <row r="982" spans="1:6" x14ac:dyDescent="0.25">
      <c r="A982" s="66"/>
      <c r="B982" s="66"/>
      <c r="C982" s="67"/>
      <c r="D982" s="70"/>
      <c r="E982" s="58"/>
      <c r="F982" s="72"/>
    </row>
    <row r="983" spans="1:6" x14ac:dyDescent="0.25">
      <c r="A983" s="66"/>
      <c r="B983" s="66"/>
      <c r="C983" s="67"/>
      <c r="D983" s="70"/>
      <c r="E983" s="58"/>
      <c r="F983" s="72"/>
    </row>
    <row r="984" spans="1:6" x14ac:dyDescent="0.25">
      <c r="A984" s="66"/>
      <c r="B984" s="66"/>
      <c r="C984" s="67"/>
      <c r="D984" s="70"/>
      <c r="E984" s="58"/>
      <c r="F984" s="72"/>
    </row>
    <row r="985" spans="1:6" x14ac:dyDescent="0.25">
      <c r="A985" s="66"/>
      <c r="B985" s="66"/>
      <c r="C985" s="67"/>
      <c r="D985" s="70"/>
      <c r="E985" s="58"/>
      <c r="F985" s="72"/>
    </row>
    <row r="986" spans="1:6" x14ac:dyDescent="0.25">
      <c r="A986" s="66"/>
      <c r="B986" s="66"/>
      <c r="C986" s="67"/>
      <c r="D986" s="70"/>
      <c r="E986" s="58"/>
      <c r="F986" s="72"/>
    </row>
    <row r="987" spans="1:6" x14ac:dyDescent="0.25">
      <c r="A987" s="66"/>
      <c r="B987" s="66"/>
      <c r="C987" s="67"/>
      <c r="D987" s="70"/>
      <c r="E987" s="58"/>
      <c r="F987" s="72"/>
    </row>
    <row r="988" spans="1:6" x14ac:dyDescent="0.25">
      <c r="A988" s="66"/>
      <c r="B988" s="66"/>
      <c r="C988" s="67"/>
      <c r="D988" s="70"/>
      <c r="E988" s="58"/>
      <c r="F988" s="72"/>
    </row>
    <row r="989" spans="1:6" x14ac:dyDescent="0.25">
      <c r="A989" s="66"/>
      <c r="B989" s="66"/>
      <c r="C989" s="67"/>
      <c r="D989" s="70"/>
      <c r="E989" s="58"/>
      <c r="F989" s="72"/>
    </row>
    <row r="990" spans="1:6" x14ac:dyDescent="0.25">
      <c r="A990" s="66"/>
      <c r="B990" s="66"/>
      <c r="C990" s="67"/>
      <c r="D990" s="70"/>
      <c r="E990" s="58"/>
      <c r="F990" s="72"/>
    </row>
    <row r="991" spans="1:6" x14ac:dyDescent="0.25">
      <c r="A991" s="66"/>
      <c r="B991" s="66"/>
      <c r="C991" s="67"/>
      <c r="D991" s="70"/>
      <c r="E991" s="58"/>
      <c r="F991" s="72"/>
    </row>
    <row r="992" spans="1:6" x14ac:dyDescent="0.25">
      <c r="A992" s="66"/>
      <c r="B992" s="66"/>
      <c r="C992" s="67"/>
      <c r="D992" s="70"/>
      <c r="E992" s="58"/>
      <c r="F992" s="72"/>
    </row>
    <row r="993" spans="1:6" x14ac:dyDescent="0.25">
      <c r="A993" s="66"/>
      <c r="B993" s="66"/>
      <c r="C993" s="67"/>
      <c r="D993" s="70"/>
      <c r="E993" s="58"/>
      <c r="F993" s="72"/>
    </row>
    <row r="994" spans="1:6" x14ac:dyDescent="0.25">
      <c r="A994" s="66"/>
      <c r="B994" s="66"/>
      <c r="C994" s="67"/>
      <c r="D994" s="70"/>
      <c r="E994" s="58"/>
      <c r="F994" s="72"/>
    </row>
    <row r="995" spans="1:6" x14ac:dyDescent="0.25">
      <c r="A995" s="66"/>
      <c r="B995" s="66"/>
      <c r="C995" s="67"/>
      <c r="D995" s="70"/>
      <c r="E995" s="58"/>
      <c r="F995" s="72"/>
    </row>
    <row r="996" spans="1:6" x14ac:dyDescent="0.25">
      <c r="A996" s="66"/>
      <c r="B996" s="66"/>
      <c r="C996" s="67"/>
      <c r="D996" s="70"/>
      <c r="E996" s="58"/>
      <c r="F996" s="72"/>
    </row>
    <row r="997" spans="1:6" x14ac:dyDescent="0.25">
      <c r="A997" s="66"/>
      <c r="B997" s="66"/>
      <c r="C997" s="67"/>
      <c r="D997" s="70"/>
      <c r="E997" s="58"/>
      <c r="F997" s="72"/>
    </row>
    <row r="998" spans="1:6" x14ac:dyDescent="0.25">
      <c r="A998" s="66"/>
      <c r="B998" s="66"/>
      <c r="C998" s="67"/>
      <c r="D998" s="70"/>
      <c r="E998" s="58"/>
      <c r="F998" s="72"/>
    </row>
    <row r="999" spans="1:6" x14ac:dyDescent="0.25">
      <c r="A999" s="66"/>
      <c r="B999" s="66"/>
      <c r="C999" s="67"/>
      <c r="D999" s="70"/>
      <c r="E999" s="58"/>
      <c r="F999" s="72"/>
    </row>
    <row r="1000" spans="1:6" x14ac:dyDescent="0.25">
      <c r="A1000" s="66"/>
      <c r="B1000" s="66"/>
      <c r="C1000" s="67"/>
      <c r="D1000" s="70"/>
      <c r="E1000" s="58"/>
      <c r="F1000" s="72"/>
    </row>
    <row r="1001" spans="1:6" x14ac:dyDescent="0.25">
      <c r="A1001" s="66"/>
      <c r="B1001" s="66"/>
      <c r="C1001" s="67"/>
      <c r="D1001" s="70"/>
      <c r="E1001" s="58"/>
      <c r="F1001" s="72"/>
    </row>
    <row r="1002" spans="1:6" x14ac:dyDescent="0.25">
      <c r="A1002" s="66"/>
      <c r="B1002" s="66"/>
      <c r="C1002" s="67"/>
      <c r="D1002" s="70"/>
      <c r="E1002" s="58"/>
      <c r="F1002" s="72"/>
    </row>
    <row r="1003" spans="1:6" x14ac:dyDescent="0.25">
      <c r="A1003" s="66"/>
      <c r="B1003" s="66"/>
      <c r="C1003" s="67"/>
      <c r="D1003" s="70"/>
      <c r="E1003" s="58"/>
      <c r="F1003" s="72"/>
    </row>
    <row r="1004" spans="1:6" x14ac:dyDescent="0.25">
      <c r="A1004" s="66"/>
      <c r="B1004" s="66"/>
      <c r="C1004" s="67"/>
      <c r="D1004" s="70"/>
      <c r="E1004" s="58"/>
      <c r="F1004" s="72"/>
    </row>
    <row r="1005" spans="1:6" x14ac:dyDescent="0.25">
      <c r="A1005" s="66"/>
      <c r="B1005" s="66"/>
      <c r="C1005" s="67"/>
      <c r="D1005" s="70"/>
      <c r="E1005" s="58"/>
      <c r="F1005" s="72"/>
    </row>
    <row r="1006" spans="1:6" x14ac:dyDescent="0.25">
      <c r="A1006" s="66"/>
      <c r="B1006" s="66"/>
      <c r="C1006" s="67"/>
      <c r="D1006" s="70"/>
      <c r="E1006" s="58"/>
      <c r="F1006" s="72"/>
    </row>
    <row r="1007" spans="1:6" x14ac:dyDescent="0.25">
      <c r="A1007" s="66"/>
      <c r="B1007" s="66"/>
      <c r="C1007" s="67"/>
      <c r="D1007" s="70"/>
      <c r="E1007" s="58"/>
      <c r="F1007" s="72"/>
    </row>
    <row r="1008" spans="1:6" x14ac:dyDescent="0.25">
      <c r="A1008" s="66"/>
      <c r="B1008" s="66"/>
      <c r="C1008" s="67"/>
      <c r="D1008" s="70"/>
      <c r="E1008" s="58"/>
      <c r="F1008" s="72"/>
    </row>
    <row r="1009" spans="1:6" x14ac:dyDescent="0.25">
      <c r="A1009" s="66"/>
      <c r="B1009" s="66"/>
      <c r="C1009" s="67"/>
      <c r="D1009" s="70"/>
      <c r="E1009" s="58"/>
      <c r="F1009" s="72"/>
    </row>
    <row r="1010" spans="1:6" x14ac:dyDescent="0.25">
      <c r="A1010" s="66"/>
      <c r="B1010" s="66"/>
      <c r="C1010" s="67"/>
      <c r="D1010" s="70"/>
      <c r="E1010" s="58"/>
      <c r="F1010" s="72"/>
    </row>
    <row r="1011" spans="1:6" x14ac:dyDescent="0.25">
      <c r="A1011" s="66"/>
      <c r="B1011" s="66"/>
      <c r="C1011" s="67"/>
      <c r="D1011" s="70"/>
      <c r="E1011" s="58"/>
      <c r="F1011" s="72"/>
    </row>
    <row r="1012" spans="1:6" x14ac:dyDescent="0.25">
      <c r="A1012" s="66"/>
      <c r="B1012" s="66"/>
      <c r="C1012" s="67"/>
      <c r="D1012" s="70"/>
      <c r="E1012" s="58"/>
      <c r="F1012" s="72"/>
    </row>
    <row r="1013" spans="1:6" x14ac:dyDescent="0.25">
      <c r="A1013" s="66"/>
      <c r="B1013" s="66"/>
      <c r="C1013" s="67"/>
      <c r="D1013" s="70"/>
      <c r="E1013" s="58"/>
      <c r="F1013" s="72"/>
    </row>
    <row r="1014" spans="1:6" x14ac:dyDescent="0.25">
      <c r="A1014" s="66"/>
      <c r="B1014" s="66"/>
      <c r="C1014" s="67"/>
      <c r="D1014" s="70"/>
      <c r="E1014" s="58"/>
      <c r="F1014" s="72"/>
    </row>
    <row r="1015" spans="1:6" x14ac:dyDescent="0.25">
      <c r="A1015" s="66"/>
      <c r="B1015" s="66"/>
      <c r="C1015" s="67"/>
      <c r="D1015" s="70"/>
      <c r="E1015" s="58"/>
      <c r="F1015" s="72"/>
    </row>
    <row r="1016" spans="1:6" x14ac:dyDescent="0.25">
      <c r="A1016" s="66"/>
      <c r="B1016" s="66"/>
      <c r="C1016" s="67"/>
      <c r="D1016" s="70"/>
      <c r="E1016" s="58"/>
      <c r="F1016" s="72"/>
    </row>
    <row r="1017" spans="1:6" x14ac:dyDescent="0.25">
      <c r="A1017" s="66"/>
      <c r="B1017" s="66"/>
      <c r="C1017" s="67"/>
      <c r="D1017" s="70"/>
      <c r="E1017" s="58"/>
      <c r="F1017" s="72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TqRsDg_Init1() R'!A1" display="'TqRsDg_Init1() R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23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5.28515625" bestFit="1" customWidth="1"/>
    <col min="3" max="4" width="6" bestFit="1" customWidth="1"/>
    <col min="5" max="12" width="3.28515625" bestFit="1" customWidth="1"/>
    <col min="13" max="13" width="7.28515625" bestFit="1" customWidth="1"/>
    <col min="14" max="14" width="12" bestFit="1" customWidth="1"/>
    <col min="15" max="15" width="7.28515625" bestFit="1" customWidth="1"/>
    <col min="16" max="16" width="12" bestFit="1" customWidth="1"/>
    <col min="17" max="17" width="7.28515625" bestFit="1" customWidth="1"/>
    <col min="18" max="18" width="12" bestFit="1" customWidth="1"/>
    <col min="19" max="19" width="7.28515625" bestFit="1" customWidth="1"/>
    <col min="20" max="20" width="12" bestFit="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 x14ac:dyDescent="0.25">
      <c r="A1" s="177" t="s">
        <v>51</v>
      </c>
      <c r="B1" s="178"/>
      <c r="C1" s="31" t="s">
        <v>61</v>
      </c>
      <c r="D1" s="57" t="s">
        <v>60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49"/>
      <c r="V1" s="49"/>
      <c r="W1" s="30"/>
    </row>
    <row r="2" spans="1:23" ht="60" customHeight="1" x14ac:dyDescent="0.25">
      <c r="A2" s="179" t="s">
        <v>360</v>
      </c>
      <c r="B2" s="180"/>
      <c r="C2" s="50" t="s">
        <v>116</v>
      </c>
      <c r="D2" s="50" t="s">
        <v>116</v>
      </c>
      <c r="E2" s="51" t="s">
        <v>117</v>
      </c>
      <c r="F2" s="46" t="s">
        <v>117</v>
      </c>
      <c r="G2" s="46" t="s">
        <v>117</v>
      </c>
      <c r="H2" s="46" t="s">
        <v>117</v>
      </c>
      <c r="I2" s="46" t="s">
        <v>117</v>
      </c>
      <c r="J2" s="46" t="s">
        <v>117</v>
      </c>
      <c r="K2" s="46" t="s">
        <v>117</v>
      </c>
      <c r="L2" s="46" t="s">
        <v>117</v>
      </c>
      <c r="M2" s="47" t="s">
        <v>118</v>
      </c>
      <c r="N2" s="47" t="s">
        <v>118</v>
      </c>
      <c r="O2" s="47" t="s">
        <v>118</v>
      </c>
      <c r="P2" s="47" t="s">
        <v>118</v>
      </c>
      <c r="Q2" s="47" t="s">
        <v>118</v>
      </c>
      <c r="R2" s="47" t="s">
        <v>118</v>
      </c>
      <c r="S2" s="47" t="s">
        <v>118</v>
      </c>
      <c r="T2" s="47" t="s">
        <v>118</v>
      </c>
      <c r="U2" s="22" t="s">
        <v>20</v>
      </c>
      <c r="V2" s="22" t="s">
        <v>57</v>
      </c>
      <c r="W2" s="23" t="s">
        <v>59</v>
      </c>
    </row>
    <row r="3" spans="1:23" ht="154.5" x14ac:dyDescent="0.25">
      <c r="A3" s="24" t="s">
        <v>54</v>
      </c>
      <c r="B3" s="25" t="s">
        <v>55</v>
      </c>
      <c r="C3" s="41" t="s">
        <v>130</v>
      </c>
      <c r="D3" s="41" t="s">
        <v>131</v>
      </c>
      <c r="E3" s="42" t="s">
        <v>123</v>
      </c>
      <c r="F3" s="42" t="s">
        <v>124</v>
      </c>
      <c r="G3" s="42" t="s">
        <v>125</v>
      </c>
      <c r="H3" s="42" t="s">
        <v>126</v>
      </c>
      <c r="I3" s="42" t="s">
        <v>121</v>
      </c>
      <c r="J3" s="42" t="s">
        <v>122</v>
      </c>
      <c r="K3" s="42" t="s">
        <v>127</v>
      </c>
      <c r="L3" s="42" t="s">
        <v>128</v>
      </c>
      <c r="M3" s="43" t="s">
        <v>123</v>
      </c>
      <c r="N3" s="43" t="s">
        <v>124</v>
      </c>
      <c r="O3" s="43" t="s">
        <v>125</v>
      </c>
      <c r="P3" s="43" t="s">
        <v>126</v>
      </c>
      <c r="Q3" s="43" t="s">
        <v>121</v>
      </c>
      <c r="R3" s="43" t="s">
        <v>122</v>
      </c>
      <c r="S3" s="43" t="s">
        <v>127</v>
      </c>
      <c r="T3" s="43" t="s">
        <v>128</v>
      </c>
      <c r="U3" s="22" t="s">
        <v>56</v>
      </c>
      <c r="V3" s="22" t="s">
        <v>58</v>
      </c>
      <c r="W3" s="23"/>
    </row>
    <row r="4" spans="1:23" x14ac:dyDescent="0.25">
      <c r="A4" s="48">
        <v>1</v>
      </c>
      <c r="B4" s="45" t="s">
        <v>119</v>
      </c>
      <c r="C4" s="55">
        <v>0</v>
      </c>
      <c r="D4" s="55">
        <v>0</v>
      </c>
      <c r="E4" s="45" t="s">
        <v>60</v>
      </c>
      <c r="F4" s="45" t="s">
        <v>60</v>
      </c>
      <c r="G4" s="45" t="s">
        <v>60</v>
      </c>
      <c r="H4" s="45" t="s">
        <v>60</v>
      </c>
      <c r="I4" s="45" t="s">
        <v>60</v>
      </c>
      <c r="J4" s="45" t="s">
        <v>60</v>
      </c>
      <c r="K4" s="45" t="s">
        <v>60</v>
      </c>
      <c r="L4" s="45" t="s">
        <v>60</v>
      </c>
      <c r="M4" s="45">
        <v>0</v>
      </c>
      <c r="N4" s="45">
        <v>0</v>
      </c>
      <c r="O4" s="45">
        <v>0</v>
      </c>
      <c r="P4" s="45">
        <v>0</v>
      </c>
      <c r="Q4" s="45">
        <v>0</v>
      </c>
      <c r="R4" s="45">
        <v>0</v>
      </c>
      <c r="S4" s="45">
        <v>0</v>
      </c>
      <c r="T4" s="45">
        <v>0</v>
      </c>
      <c r="U4" s="54" t="s">
        <v>60</v>
      </c>
      <c r="V4" s="44"/>
      <c r="W4" s="53"/>
    </row>
    <row r="5" spans="1:23" x14ac:dyDescent="0.25">
      <c r="A5" s="48">
        <v>2</v>
      </c>
      <c r="B5" s="45" t="s">
        <v>120</v>
      </c>
      <c r="C5" s="55">
        <v>250</v>
      </c>
      <c r="D5" s="55">
        <v>250</v>
      </c>
      <c r="E5" s="45" t="s">
        <v>60</v>
      </c>
      <c r="F5" s="45" t="s">
        <v>60</v>
      </c>
      <c r="G5" s="45" t="s">
        <v>60</v>
      </c>
      <c r="H5" s="45" t="s">
        <v>60</v>
      </c>
      <c r="I5" s="45" t="s">
        <v>60</v>
      </c>
      <c r="J5" s="45" t="s">
        <v>60</v>
      </c>
      <c r="K5" s="45" t="s">
        <v>60</v>
      </c>
      <c r="L5" s="45" t="s">
        <v>60</v>
      </c>
      <c r="M5" s="45">
        <v>0</v>
      </c>
      <c r="N5" s="45">
        <v>0.95678608173622803</v>
      </c>
      <c r="O5" s="45">
        <v>0</v>
      </c>
      <c r="P5" s="45">
        <v>0.95678608173622803</v>
      </c>
      <c r="Q5" s="45">
        <v>0</v>
      </c>
      <c r="R5" s="45">
        <v>0.95678608173622803</v>
      </c>
      <c r="S5" s="45">
        <v>0</v>
      </c>
      <c r="T5" s="45">
        <v>0.95678608173622803</v>
      </c>
      <c r="U5" s="54" t="s">
        <v>60</v>
      </c>
      <c r="V5" s="44"/>
      <c r="W5" s="53"/>
    </row>
    <row r="6" spans="1:23" x14ac:dyDescent="0.25">
      <c r="A6" s="48">
        <v>3</v>
      </c>
      <c r="B6" s="45" t="s">
        <v>152</v>
      </c>
      <c r="C6" s="55">
        <v>0</v>
      </c>
      <c r="D6" s="45">
        <v>124.5</v>
      </c>
      <c r="E6" s="45" t="s">
        <v>60</v>
      </c>
      <c r="F6" s="45" t="s">
        <v>60</v>
      </c>
      <c r="G6" s="45" t="s">
        <v>60</v>
      </c>
      <c r="H6" s="45" t="s">
        <v>60</v>
      </c>
      <c r="I6" s="45" t="s">
        <v>60</v>
      </c>
      <c r="J6" s="45" t="s">
        <v>60</v>
      </c>
      <c r="K6" s="45" t="s">
        <v>60</v>
      </c>
      <c r="L6" s="45" t="s">
        <v>60</v>
      </c>
      <c r="M6" s="45">
        <v>0</v>
      </c>
      <c r="N6" s="45">
        <v>0</v>
      </c>
      <c r="O6" s="45">
        <v>0</v>
      </c>
      <c r="P6" s="45">
        <v>0.79081016576347296</v>
      </c>
      <c r="Q6" s="45">
        <v>0</v>
      </c>
      <c r="R6" s="45">
        <v>0</v>
      </c>
      <c r="S6" s="45">
        <v>0</v>
      </c>
      <c r="T6" s="45">
        <v>0.79081016576347296</v>
      </c>
      <c r="U6" s="54" t="s">
        <v>60</v>
      </c>
      <c r="V6" s="44"/>
      <c r="W6" s="53"/>
    </row>
    <row r="7" spans="1:23" x14ac:dyDescent="0.25">
      <c r="A7" s="48">
        <v>4</v>
      </c>
      <c r="B7" s="45" t="s">
        <v>153</v>
      </c>
      <c r="C7" s="55">
        <v>250</v>
      </c>
      <c r="D7" s="45">
        <v>97.4</v>
      </c>
      <c r="E7" s="45" t="s">
        <v>60</v>
      </c>
      <c r="F7" s="45" t="s">
        <v>60</v>
      </c>
      <c r="G7" s="45" t="s">
        <v>60</v>
      </c>
      <c r="H7" s="45" t="s">
        <v>60</v>
      </c>
      <c r="I7" s="45" t="s">
        <v>60</v>
      </c>
      <c r="J7" s="45" t="s">
        <v>60</v>
      </c>
      <c r="K7" s="45" t="s">
        <v>60</v>
      </c>
      <c r="L7" s="45" t="s">
        <v>60</v>
      </c>
      <c r="M7" s="45">
        <v>0</v>
      </c>
      <c r="N7" s="45">
        <v>0.95678608173622803</v>
      </c>
      <c r="O7" s="45">
        <v>0</v>
      </c>
      <c r="P7" s="45">
        <v>0.705937955395464</v>
      </c>
      <c r="Q7" s="45">
        <v>0</v>
      </c>
      <c r="R7" s="45">
        <v>0.95678608173622803</v>
      </c>
      <c r="S7" s="45">
        <v>0</v>
      </c>
      <c r="T7" s="45">
        <v>0.705937955395464</v>
      </c>
      <c r="U7" s="54" t="s">
        <v>60</v>
      </c>
      <c r="V7" s="44"/>
      <c r="W7" s="53"/>
    </row>
    <row r="8" spans="1:23" s="60" customFormat="1" x14ac:dyDescent="0.25">
      <c r="A8" s="48">
        <v>5</v>
      </c>
      <c r="B8" s="45" t="s">
        <v>171</v>
      </c>
      <c r="C8" s="55">
        <v>1</v>
      </c>
      <c r="D8" s="45">
        <v>98.4</v>
      </c>
      <c r="E8" s="45" t="s">
        <v>60</v>
      </c>
      <c r="F8" s="45" t="s">
        <v>60</v>
      </c>
      <c r="G8" s="45" t="s">
        <v>60</v>
      </c>
      <c r="H8" s="45" t="s">
        <v>60</v>
      </c>
      <c r="I8" s="45" t="s">
        <v>60</v>
      </c>
      <c r="J8" s="45" t="s">
        <v>60</v>
      </c>
      <c r="K8" s="45" t="s">
        <v>60</v>
      </c>
      <c r="L8" s="45" t="s">
        <v>60</v>
      </c>
      <c r="M8" s="45">
        <v>0</v>
      </c>
      <c r="N8" s="45">
        <v>1.2487743476344E-2</v>
      </c>
      <c r="O8" s="45">
        <v>0</v>
      </c>
      <c r="P8" s="45">
        <v>0.70961012677461499</v>
      </c>
      <c r="Q8" s="45">
        <v>0</v>
      </c>
      <c r="R8" s="45">
        <v>1.2487743476344E-2</v>
      </c>
      <c r="S8" s="45">
        <v>0</v>
      </c>
      <c r="T8" s="45">
        <v>0.70961012677461499</v>
      </c>
      <c r="U8" s="54" t="s">
        <v>60</v>
      </c>
      <c r="V8" s="44"/>
      <c r="W8" s="53"/>
    </row>
    <row r="9" spans="1:23" x14ac:dyDescent="0.25">
      <c r="A9" s="48">
        <v>6</v>
      </c>
      <c r="B9" s="45" t="s">
        <v>154</v>
      </c>
      <c r="C9" s="55">
        <v>100.2</v>
      </c>
      <c r="D9" s="45">
        <v>75.099999999999994</v>
      </c>
      <c r="E9" s="45" t="s">
        <v>60</v>
      </c>
      <c r="F9" s="45" t="s">
        <v>60</v>
      </c>
      <c r="G9" s="45" t="s">
        <v>60</v>
      </c>
      <c r="H9" s="45" t="s">
        <v>60</v>
      </c>
      <c r="I9" s="45" t="s">
        <v>60</v>
      </c>
      <c r="J9" s="45" t="s">
        <v>60</v>
      </c>
      <c r="K9" s="45" t="s">
        <v>60</v>
      </c>
      <c r="L9" s="45" t="s">
        <v>60</v>
      </c>
      <c r="M9" s="45">
        <v>0</v>
      </c>
      <c r="N9" s="45">
        <v>0.71610486034217402</v>
      </c>
      <c r="O9" s="45">
        <v>0</v>
      </c>
      <c r="P9" s="45">
        <v>0.61082821771601203</v>
      </c>
      <c r="Q9" s="45">
        <v>0</v>
      </c>
      <c r="R9" s="45">
        <v>0.71610486034217402</v>
      </c>
      <c r="S9" s="45">
        <v>0</v>
      </c>
      <c r="T9" s="45">
        <v>0.61082821771601203</v>
      </c>
      <c r="U9" s="54" t="s">
        <v>60</v>
      </c>
      <c r="V9" s="44"/>
      <c r="W9" s="53"/>
    </row>
    <row r="10" spans="1:23" x14ac:dyDescent="0.25">
      <c r="A10" s="48">
        <v>7</v>
      </c>
      <c r="B10" s="45" t="s">
        <v>155</v>
      </c>
      <c r="C10" s="45">
        <v>123.6</v>
      </c>
      <c r="D10" s="55">
        <v>0</v>
      </c>
      <c r="E10" s="45" t="s">
        <v>60</v>
      </c>
      <c r="F10" s="45" t="s">
        <v>60</v>
      </c>
      <c r="G10" s="45" t="s">
        <v>60</v>
      </c>
      <c r="H10" s="45" t="s">
        <v>60</v>
      </c>
      <c r="I10" s="45" t="s">
        <v>60</v>
      </c>
      <c r="J10" s="45" t="s">
        <v>60</v>
      </c>
      <c r="K10" s="45" t="s">
        <v>60</v>
      </c>
      <c r="L10" s="45" t="s">
        <v>60</v>
      </c>
      <c r="M10" s="45">
        <v>0</v>
      </c>
      <c r="N10" s="45">
        <v>0.78843085515318501</v>
      </c>
      <c r="O10" s="45">
        <v>0</v>
      </c>
      <c r="P10" s="45">
        <v>0</v>
      </c>
      <c r="Q10" s="45">
        <v>0</v>
      </c>
      <c r="R10" s="45">
        <v>0.78843085515318501</v>
      </c>
      <c r="S10" s="45">
        <v>0</v>
      </c>
      <c r="T10" s="45">
        <v>0</v>
      </c>
      <c r="U10" s="54" t="s">
        <v>60</v>
      </c>
      <c r="V10" s="44"/>
      <c r="W10" s="53"/>
    </row>
    <row r="11" spans="1:23" x14ac:dyDescent="0.25">
      <c r="A11" s="48">
        <v>8</v>
      </c>
      <c r="B11" s="45" t="s">
        <v>156</v>
      </c>
      <c r="C11" s="45">
        <v>98.7</v>
      </c>
      <c r="D11" s="55">
        <v>250</v>
      </c>
      <c r="E11" s="45" t="s">
        <v>60</v>
      </c>
      <c r="F11" s="45" t="s">
        <v>60</v>
      </c>
      <c r="G11" s="45" t="s">
        <v>60</v>
      </c>
      <c r="H11" s="45" t="s">
        <v>60</v>
      </c>
      <c r="I11" s="45" t="s">
        <v>60</v>
      </c>
      <c r="J11" s="45" t="s">
        <v>60</v>
      </c>
      <c r="K11" s="45" t="s">
        <v>60</v>
      </c>
      <c r="L11" s="45" t="s">
        <v>60</v>
      </c>
      <c r="M11" s="45">
        <v>0</v>
      </c>
      <c r="N11" s="45">
        <v>0.71070280985229695</v>
      </c>
      <c r="O11" s="45">
        <v>0</v>
      </c>
      <c r="P11" s="45">
        <v>0.95678608173622803</v>
      </c>
      <c r="Q11" s="45">
        <v>0</v>
      </c>
      <c r="R11" s="45">
        <v>0.71070280985229695</v>
      </c>
      <c r="S11" s="45">
        <v>0</v>
      </c>
      <c r="T11" s="45">
        <v>0.95678608173622803</v>
      </c>
      <c r="U11" s="54" t="s">
        <v>60</v>
      </c>
      <c r="V11" s="44"/>
      <c r="W11" s="53"/>
    </row>
    <row r="12" spans="1:23" s="60" customFormat="1" x14ac:dyDescent="0.25">
      <c r="A12" s="48">
        <v>9</v>
      </c>
      <c r="B12" s="45" t="s">
        <v>172</v>
      </c>
      <c r="C12" s="45">
        <v>99.7</v>
      </c>
      <c r="D12" s="55">
        <v>1</v>
      </c>
      <c r="E12" s="45" t="s">
        <v>60</v>
      </c>
      <c r="F12" s="45" t="s">
        <v>60</v>
      </c>
      <c r="G12" s="45" t="s">
        <v>60</v>
      </c>
      <c r="H12" s="45" t="s">
        <v>60</v>
      </c>
      <c r="I12" s="45" t="s">
        <v>60</v>
      </c>
      <c r="J12" s="45" t="s">
        <v>60</v>
      </c>
      <c r="K12" s="45" t="s">
        <v>60</v>
      </c>
      <c r="L12" s="45" t="s">
        <v>60</v>
      </c>
      <c r="M12" s="45">
        <v>0</v>
      </c>
      <c r="N12" s="45">
        <v>0.714315478951289</v>
      </c>
      <c r="O12" s="45">
        <v>0</v>
      </c>
      <c r="P12" s="45">
        <v>1.2487743476344E-2</v>
      </c>
      <c r="Q12" s="45">
        <v>0</v>
      </c>
      <c r="R12" s="45">
        <v>0.714315478951289</v>
      </c>
      <c r="S12" s="45">
        <v>0</v>
      </c>
      <c r="T12" s="45">
        <v>1.2487743476344E-2</v>
      </c>
      <c r="U12" s="54" t="s">
        <v>60</v>
      </c>
      <c r="V12" s="44"/>
      <c r="W12" s="53"/>
    </row>
    <row r="13" spans="1:23" ht="15.75" thickBot="1" x14ac:dyDescent="0.3">
      <c r="A13" s="26">
        <v>10</v>
      </c>
      <c r="B13" s="32" t="s">
        <v>157</v>
      </c>
      <c r="C13" s="32">
        <v>75.099999999999994</v>
      </c>
      <c r="D13" s="56">
        <v>100.2</v>
      </c>
      <c r="E13" s="32" t="s">
        <v>60</v>
      </c>
      <c r="F13" s="32" t="s">
        <v>60</v>
      </c>
      <c r="G13" s="32" t="s">
        <v>60</v>
      </c>
      <c r="H13" s="32" t="s">
        <v>60</v>
      </c>
      <c r="I13" s="32" t="s">
        <v>60</v>
      </c>
      <c r="J13" s="32" t="s">
        <v>60</v>
      </c>
      <c r="K13" s="32" t="s">
        <v>60</v>
      </c>
      <c r="L13" s="32" t="s">
        <v>60</v>
      </c>
      <c r="M13" s="32">
        <v>0</v>
      </c>
      <c r="N13" s="32">
        <v>0.61082821771601203</v>
      </c>
      <c r="O13" s="32">
        <v>0</v>
      </c>
      <c r="P13" s="32">
        <v>0.71610486034217402</v>
      </c>
      <c r="Q13" s="32">
        <v>0</v>
      </c>
      <c r="R13" s="32">
        <v>0.61082821771601203</v>
      </c>
      <c r="S13" s="32">
        <v>0</v>
      </c>
      <c r="T13" s="32">
        <v>0.71610486034217402</v>
      </c>
      <c r="U13" s="52" t="s">
        <v>60</v>
      </c>
      <c r="V13" s="27"/>
      <c r="W13" s="28"/>
    </row>
    <row r="14" spans="1:23" x14ac:dyDescent="0.25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</row>
    <row r="15" spans="1:23" x14ac:dyDescent="0.25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</row>
    <row r="16" spans="1:23" x14ac:dyDescent="0.25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</row>
    <row r="17" spans="1:23" x14ac:dyDescent="0.25">
      <c r="A17" s="29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</row>
    <row r="18" spans="1:23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</row>
    <row r="19" spans="1:23" x14ac:dyDescent="0.25">
      <c r="A19" s="29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</row>
    <row r="20" spans="1:23" x14ac:dyDescent="0.25">
      <c r="A20" s="29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</row>
    <row r="21" spans="1:23" x14ac:dyDescent="0.25">
      <c r="A21" s="29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</row>
    <row r="22" spans="1:23" x14ac:dyDescent="0.25">
      <c r="A22" s="29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</row>
    <row r="23" spans="1:23" x14ac:dyDescent="0.25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</row>
  </sheetData>
  <sheetProtection sheet="1" objects="1" scenarios="1"/>
  <mergeCells count="2">
    <mergeCell ref="A1:B1"/>
    <mergeCell ref="A2:B2"/>
  </mergeCells>
  <hyperlinks>
    <hyperlink ref="A1" location="'TqRsDg_Init1'!A1" display="'TqRsDg_Init1'!A1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51" t="s">
        <v>0</v>
      </c>
      <c r="B5" s="151"/>
      <c r="C5" s="151"/>
      <c r="D5" s="151"/>
      <c r="E5" s="151"/>
      <c r="F5" s="15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52" t="s">
        <v>129</v>
      </c>
      <c r="B7" s="152"/>
      <c r="C7" s="152"/>
      <c r="D7" s="152"/>
      <c r="E7" s="152"/>
      <c r="F7" s="15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72" t="s">
        <v>39</v>
      </c>
      <c r="B9" s="173"/>
      <c r="C9" s="174"/>
      <c r="D9" s="1"/>
      <c r="E9" s="1"/>
      <c r="F9" s="1"/>
    </row>
    <row r="10" spans="1:6" ht="15.75" thickBot="1" x14ac:dyDescent="0.3">
      <c r="A10" s="13" t="s">
        <v>36</v>
      </c>
      <c r="B10" s="175">
        <v>0</v>
      </c>
      <c r="C10" s="176"/>
      <c r="D10" s="1"/>
      <c r="E10" s="1"/>
      <c r="F10" s="1"/>
    </row>
    <row r="11" spans="1:6" ht="15.75" thickBot="1" x14ac:dyDescent="0.3">
      <c r="A11" s="13" t="s">
        <v>37</v>
      </c>
      <c r="B11" s="175">
        <v>0</v>
      </c>
      <c r="C11" s="176"/>
      <c r="D11" s="1"/>
      <c r="E11" s="1"/>
      <c r="F11" s="1"/>
    </row>
    <row r="12" spans="1:6" ht="15.75" thickBot="1" x14ac:dyDescent="0.3">
      <c r="A12" s="13" t="s">
        <v>38</v>
      </c>
      <c r="B12" s="175"/>
      <c r="C12" s="17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8" t="s">
        <v>40</v>
      </c>
      <c r="B15" s="168"/>
      <c r="C15" s="169"/>
      <c r="D15" s="170" t="s">
        <v>41</v>
      </c>
      <c r="E15" s="171"/>
      <c r="F15" s="118" t="s">
        <v>42</v>
      </c>
    </row>
    <row r="16" spans="1:6" x14ac:dyDescent="0.25">
      <c r="A16" s="135" t="s">
        <v>43</v>
      </c>
      <c r="B16" s="136" t="s">
        <v>44</v>
      </c>
      <c r="C16" s="137" t="s">
        <v>45</v>
      </c>
      <c r="D16" s="139" t="s">
        <v>46</v>
      </c>
      <c r="E16" s="138" t="s">
        <v>47</v>
      </c>
      <c r="F16" s="14" t="s">
        <v>43</v>
      </c>
    </row>
    <row r="17" spans="1:6" x14ac:dyDescent="0.25">
      <c r="A17" s="33" t="s">
        <v>53</v>
      </c>
      <c r="B17" s="15" t="s">
        <v>69</v>
      </c>
      <c r="C17" s="16">
        <v>2</v>
      </c>
      <c r="D17" s="59" t="s">
        <v>140</v>
      </c>
      <c r="E17" s="58" t="s">
        <v>123</v>
      </c>
      <c r="F17" s="19" t="s">
        <v>112</v>
      </c>
    </row>
    <row r="18" spans="1:6" x14ac:dyDescent="0.25">
      <c r="A18" s="33" t="s">
        <v>53</v>
      </c>
      <c r="B18" s="15" t="s">
        <v>360</v>
      </c>
      <c r="C18" s="16">
        <v>113</v>
      </c>
      <c r="D18" s="59" t="s">
        <v>143</v>
      </c>
      <c r="E18" s="58" t="s">
        <v>125</v>
      </c>
      <c r="F18" s="19"/>
    </row>
    <row r="19" spans="1:6" x14ac:dyDescent="0.25">
      <c r="A19" s="33" t="s">
        <v>53</v>
      </c>
      <c r="B19" s="15" t="s">
        <v>62</v>
      </c>
      <c r="C19" s="16">
        <v>11</v>
      </c>
      <c r="D19" s="59" t="s">
        <v>144</v>
      </c>
      <c r="E19" s="58" t="s">
        <v>121</v>
      </c>
      <c r="F19" s="19"/>
    </row>
    <row r="20" spans="1:6" x14ac:dyDescent="0.25">
      <c r="A20" s="66"/>
      <c r="B20" s="66"/>
      <c r="C20" s="67"/>
      <c r="D20" s="59" t="s">
        <v>145</v>
      </c>
      <c r="E20" s="58" t="s">
        <v>127</v>
      </c>
      <c r="F20" s="19"/>
    </row>
    <row r="21" spans="1:6" x14ac:dyDescent="0.25">
      <c r="A21" s="61"/>
      <c r="B21" s="15"/>
      <c r="C21" s="16"/>
      <c r="D21" s="59" t="s">
        <v>142</v>
      </c>
      <c r="E21" s="58" t="s">
        <v>168</v>
      </c>
      <c r="F21" s="19"/>
    </row>
    <row r="22" spans="1:6" x14ac:dyDescent="0.25">
      <c r="A22" s="15"/>
      <c r="B22" s="15"/>
      <c r="C22" s="16"/>
      <c r="D22" s="59" t="s">
        <v>146</v>
      </c>
      <c r="E22" s="58" t="s">
        <v>169</v>
      </c>
      <c r="F22" s="19"/>
    </row>
    <row r="23" spans="1:6" x14ac:dyDescent="0.25">
      <c r="A23" s="15"/>
      <c r="B23" s="15"/>
      <c r="C23" s="16"/>
      <c r="D23" s="59" t="s">
        <v>147</v>
      </c>
      <c r="E23" s="58" t="s">
        <v>113</v>
      </c>
      <c r="F23" s="19"/>
    </row>
    <row r="24" spans="1:6" x14ac:dyDescent="0.25">
      <c r="A24" s="15"/>
      <c r="B24" s="15"/>
      <c r="C24" s="16"/>
      <c r="D24" s="59" t="s">
        <v>148</v>
      </c>
      <c r="E24" s="18" t="s">
        <v>114</v>
      </c>
      <c r="F24" s="19"/>
    </row>
    <row r="25" spans="1:6" x14ac:dyDescent="0.25">
      <c r="A25" s="15"/>
      <c r="B25" s="15"/>
      <c r="C25" s="16"/>
      <c r="D25" s="59" t="s">
        <v>150</v>
      </c>
      <c r="E25" s="18" t="s">
        <v>115</v>
      </c>
      <c r="F25" s="19"/>
    </row>
    <row r="26" spans="1:6" x14ac:dyDescent="0.25">
      <c r="A26" s="15"/>
      <c r="B26" s="15"/>
      <c r="C26" s="16"/>
      <c r="D26" s="59" t="s">
        <v>141</v>
      </c>
      <c r="E26" s="18" t="s">
        <v>170</v>
      </c>
      <c r="F26" s="19"/>
    </row>
    <row r="27" spans="1:6" x14ac:dyDescent="0.25">
      <c r="A27" s="15"/>
      <c r="B27" s="15"/>
      <c r="C27" s="16"/>
      <c r="D27" s="17" t="s">
        <v>220</v>
      </c>
      <c r="E27" s="18"/>
      <c r="F27" s="19"/>
    </row>
    <row r="28" spans="1:6" x14ac:dyDescent="0.25">
      <c r="A28" s="15"/>
      <c r="B28" s="15"/>
      <c r="C28" s="16"/>
      <c r="D28" s="17" t="s">
        <v>219</v>
      </c>
      <c r="E28" s="18"/>
      <c r="F28" s="19"/>
    </row>
    <row r="29" spans="1:6" x14ac:dyDescent="0.25">
      <c r="A29" s="15"/>
      <c r="B29" s="15"/>
      <c r="C29" s="16"/>
      <c r="D29" s="59" t="s">
        <v>134</v>
      </c>
      <c r="E29" s="18"/>
      <c r="F29" s="19"/>
    </row>
    <row r="30" spans="1:6" x14ac:dyDescent="0.25">
      <c r="A30" s="15"/>
      <c r="B30" s="15"/>
      <c r="C30" s="16"/>
      <c r="D30" s="59" t="s">
        <v>135</v>
      </c>
      <c r="E30" s="18"/>
      <c r="F30" s="19"/>
    </row>
    <row r="31" spans="1:6" x14ac:dyDescent="0.25">
      <c r="A31" s="15"/>
      <c r="B31" s="15"/>
      <c r="C31" s="16"/>
      <c r="D31" s="59" t="s">
        <v>123</v>
      </c>
      <c r="E31" s="18"/>
      <c r="F31" s="19"/>
    </row>
    <row r="32" spans="1:6" x14ac:dyDescent="0.25">
      <c r="A32" s="15"/>
      <c r="B32" s="15"/>
      <c r="C32" s="16"/>
      <c r="D32" s="59" t="s">
        <v>124</v>
      </c>
      <c r="E32" s="18"/>
      <c r="F32" s="19"/>
    </row>
    <row r="33" spans="1:6" x14ac:dyDescent="0.25">
      <c r="A33" s="15"/>
      <c r="B33" s="15"/>
      <c r="C33" s="16"/>
      <c r="D33" s="59" t="s">
        <v>125</v>
      </c>
      <c r="E33" s="18"/>
      <c r="F33" s="19"/>
    </row>
    <row r="34" spans="1:6" x14ac:dyDescent="0.25">
      <c r="A34" s="15"/>
      <c r="B34" s="15"/>
      <c r="C34" s="16"/>
      <c r="D34" s="59" t="s">
        <v>126</v>
      </c>
      <c r="E34" s="18"/>
      <c r="F34" s="19"/>
    </row>
    <row r="35" spans="1:6" x14ac:dyDescent="0.25">
      <c r="A35" s="15"/>
      <c r="B35" s="15"/>
      <c r="C35" s="16"/>
      <c r="D35" s="59" t="s">
        <v>121</v>
      </c>
      <c r="E35" s="18"/>
      <c r="F35" s="19"/>
    </row>
    <row r="36" spans="1:6" x14ac:dyDescent="0.25">
      <c r="A36" s="15"/>
      <c r="B36" s="15"/>
      <c r="C36" s="16"/>
      <c r="D36" s="59" t="s">
        <v>122</v>
      </c>
      <c r="E36" s="18"/>
      <c r="F36" s="19"/>
    </row>
    <row r="37" spans="1:6" x14ac:dyDescent="0.25">
      <c r="A37" s="15"/>
      <c r="B37" s="15"/>
      <c r="C37" s="16"/>
      <c r="D37" s="59" t="s">
        <v>127</v>
      </c>
      <c r="E37" s="18"/>
      <c r="F37" s="19"/>
    </row>
    <row r="38" spans="1:6" x14ac:dyDescent="0.25">
      <c r="A38" s="15"/>
      <c r="B38" s="15"/>
      <c r="C38" s="16"/>
      <c r="D38" s="59" t="s">
        <v>128</v>
      </c>
      <c r="E38" s="18"/>
      <c r="F38" s="19"/>
    </row>
    <row r="39" spans="1:6" x14ac:dyDescent="0.25">
      <c r="A39" s="15"/>
      <c r="B39" s="15"/>
      <c r="C39" s="16"/>
      <c r="D39" s="59" t="s">
        <v>168</v>
      </c>
      <c r="E39" s="18"/>
      <c r="F39" s="19"/>
    </row>
    <row r="40" spans="1:6" x14ac:dyDescent="0.25">
      <c r="A40" s="15"/>
      <c r="B40" s="15"/>
      <c r="C40" s="16"/>
      <c r="D40" s="59" t="s">
        <v>169</v>
      </c>
      <c r="E40" s="18"/>
      <c r="F40" s="19"/>
    </row>
    <row r="41" spans="1:6" x14ac:dyDescent="0.25">
      <c r="A41" s="15"/>
      <c r="B41" s="15"/>
      <c r="C41" s="16"/>
      <c r="D41" s="59" t="s">
        <v>167</v>
      </c>
      <c r="E41" s="18"/>
      <c r="F41" s="19"/>
    </row>
    <row r="42" spans="1:6" x14ac:dyDescent="0.25">
      <c r="A42" s="15"/>
      <c r="B42" s="15"/>
      <c r="C42" s="16"/>
      <c r="D42" s="17" t="s">
        <v>215</v>
      </c>
      <c r="E42" s="18"/>
      <c r="F42" s="19"/>
    </row>
    <row r="43" spans="1:6" x14ac:dyDescent="0.25">
      <c r="A43" s="15"/>
      <c r="B43" s="15"/>
      <c r="C43" s="16"/>
      <c r="D43" s="17" t="s">
        <v>216</v>
      </c>
      <c r="E43" s="18"/>
      <c r="F43" s="19"/>
    </row>
    <row r="44" spans="1:6" x14ac:dyDescent="0.25">
      <c r="A44" s="15"/>
      <c r="B44" s="15"/>
      <c r="C44" s="16"/>
      <c r="D44" s="17" t="s">
        <v>217</v>
      </c>
      <c r="E44" s="18"/>
      <c r="F44" s="19"/>
    </row>
    <row r="45" spans="1:6" x14ac:dyDescent="0.25">
      <c r="A45" s="15"/>
      <c r="B45" s="15"/>
      <c r="C45" s="16"/>
      <c r="D45" s="17" t="s">
        <v>218</v>
      </c>
      <c r="E45" s="18"/>
      <c r="F45" s="19"/>
    </row>
    <row r="46" spans="1:6" x14ac:dyDescent="0.25">
      <c r="A46" s="15"/>
      <c r="B46" s="15"/>
      <c r="C46" s="16"/>
      <c r="D46" s="17" t="s">
        <v>105</v>
      </c>
      <c r="E46" s="18"/>
      <c r="F46" s="19"/>
    </row>
    <row r="47" spans="1:6" x14ac:dyDescent="0.25">
      <c r="A47" s="15"/>
      <c r="B47" s="15"/>
      <c r="C47" s="16"/>
      <c r="D47" s="17" t="s">
        <v>107</v>
      </c>
      <c r="E47" s="18"/>
      <c r="F47" s="19"/>
    </row>
    <row r="48" spans="1:6" x14ac:dyDescent="0.25">
      <c r="A48" s="15"/>
      <c r="B48" s="15"/>
      <c r="C48" s="16"/>
      <c r="D48" s="70"/>
      <c r="E48" s="18"/>
      <c r="F48" s="19"/>
    </row>
    <row r="49" spans="1:6" x14ac:dyDescent="0.25">
      <c r="A49" s="15"/>
      <c r="B49" s="15"/>
      <c r="C49" s="16"/>
      <c r="D49" s="70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62"/>
      <c r="B168" s="62"/>
      <c r="C168" s="63"/>
      <c r="D168" s="68"/>
      <c r="E168" s="69"/>
      <c r="F168" s="71"/>
    </row>
    <row r="169" spans="1:6" x14ac:dyDescent="0.25">
      <c r="A169" s="62"/>
      <c r="B169" s="62"/>
      <c r="C169" s="63"/>
      <c r="D169" s="68"/>
      <c r="E169" s="69"/>
      <c r="F169" s="71"/>
    </row>
    <row r="170" spans="1:6" x14ac:dyDescent="0.25">
      <c r="A170" s="62"/>
      <c r="B170" s="62"/>
      <c r="C170" s="63"/>
      <c r="D170" s="68"/>
      <c r="E170" s="69"/>
      <c r="F170" s="71"/>
    </row>
    <row r="171" spans="1:6" x14ac:dyDescent="0.25">
      <c r="A171" s="62"/>
      <c r="B171" s="62"/>
      <c r="C171" s="63"/>
      <c r="D171" s="68"/>
      <c r="E171" s="69"/>
      <c r="F171" s="71"/>
    </row>
    <row r="172" spans="1:6" x14ac:dyDescent="0.25">
      <c r="A172" s="62"/>
      <c r="B172" s="62"/>
      <c r="C172" s="63"/>
      <c r="D172" s="68"/>
      <c r="E172" s="69"/>
      <c r="F172" s="71"/>
    </row>
    <row r="173" spans="1:6" x14ac:dyDescent="0.25">
      <c r="A173" s="62"/>
      <c r="B173" s="62"/>
      <c r="C173" s="63"/>
      <c r="D173" s="68"/>
      <c r="E173" s="69"/>
      <c r="F173" s="71"/>
    </row>
    <row r="174" spans="1:6" x14ac:dyDescent="0.25">
      <c r="A174" s="62"/>
      <c r="B174" s="62"/>
      <c r="C174" s="63"/>
      <c r="D174" s="68"/>
      <c r="E174" s="69"/>
      <c r="F174" s="71"/>
    </row>
    <row r="175" spans="1:6" x14ac:dyDescent="0.25">
      <c r="A175" s="62"/>
      <c r="B175" s="62"/>
      <c r="C175" s="63"/>
      <c r="D175" s="68"/>
      <c r="E175" s="69"/>
      <c r="F175" s="71"/>
    </row>
    <row r="176" spans="1:6" x14ac:dyDescent="0.25">
      <c r="A176" s="62"/>
      <c r="B176" s="62"/>
      <c r="C176" s="63"/>
      <c r="D176" s="68"/>
      <c r="E176" s="69"/>
      <c r="F176" s="71"/>
    </row>
    <row r="177" spans="1:6" x14ac:dyDescent="0.25">
      <c r="A177" s="62"/>
      <c r="B177" s="62"/>
      <c r="C177" s="63"/>
      <c r="D177" s="68"/>
      <c r="E177" s="69"/>
      <c r="F177" s="71"/>
    </row>
    <row r="178" spans="1:6" x14ac:dyDescent="0.25">
      <c r="A178" s="62"/>
      <c r="B178" s="62"/>
      <c r="C178" s="63"/>
      <c r="D178" s="70"/>
      <c r="E178" s="58"/>
      <c r="F178" s="72"/>
    </row>
    <row r="179" spans="1:6" x14ac:dyDescent="0.25">
      <c r="A179" s="66"/>
      <c r="B179" s="66"/>
      <c r="C179" s="67"/>
      <c r="D179" s="70"/>
      <c r="E179" s="58"/>
      <c r="F179" s="72"/>
    </row>
    <row r="180" spans="1:6" x14ac:dyDescent="0.25">
      <c r="A180" s="66"/>
      <c r="B180" s="66"/>
      <c r="C180" s="67"/>
      <c r="D180" s="70"/>
      <c r="E180" s="58"/>
      <c r="F180" s="72"/>
    </row>
    <row r="181" spans="1:6" x14ac:dyDescent="0.25">
      <c r="A181" s="66"/>
      <c r="B181" s="66"/>
      <c r="C181" s="67"/>
      <c r="D181" s="70"/>
      <c r="E181" s="58"/>
      <c r="F181" s="72"/>
    </row>
    <row r="182" spans="1:6" x14ac:dyDescent="0.25">
      <c r="A182" s="66"/>
      <c r="B182" s="66"/>
      <c r="C182" s="67"/>
      <c r="D182" s="70"/>
      <c r="E182" s="58"/>
      <c r="F182" s="72"/>
    </row>
    <row r="183" spans="1:6" x14ac:dyDescent="0.25">
      <c r="A183" s="66"/>
      <c r="B183" s="66"/>
      <c r="C183" s="67"/>
      <c r="D183" s="70"/>
      <c r="E183" s="58"/>
      <c r="F183" s="72"/>
    </row>
    <row r="184" spans="1:6" x14ac:dyDescent="0.25">
      <c r="A184" s="66"/>
      <c r="B184" s="66"/>
      <c r="C184" s="67"/>
      <c r="D184" s="70"/>
      <c r="E184" s="58"/>
      <c r="F184" s="72"/>
    </row>
    <row r="185" spans="1:6" x14ac:dyDescent="0.25">
      <c r="A185" s="66"/>
      <c r="B185" s="66"/>
      <c r="C185" s="67"/>
      <c r="D185" s="70"/>
      <c r="E185" s="58"/>
      <c r="F185" s="72"/>
    </row>
    <row r="186" spans="1:6" x14ac:dyDescent="0.25">
      <c r="A186" s="66"/>
      <c r="B186" s="66"/>
      <c r="C186" s="67"/>
      <c r="D186" s="70"/>
      <c r="E186" s="58"/>
      <c r="F186" s="72"/>
    </row>
    <row r="187" spans="1:6" x14ac:dyDescent="0.25">
      <c r="A187" s="66"/>
      <c r="B187" s="66"/>
      <c r="C187" s="67"/>
      <c r="D187" s="70"/>
      <c r="E187" s="58"/>
      <c r="F187" s="72"/>
    </row>
    <row r="188" spans="1:6" x14ac:dyDescent="0.25">
      <c r="A188" s="66"/>
      <c r="B188" s="66"/>
      <c r="C188" s="67"/>
      <c r="D188" s="70"/>
      <c r="E188" s="58"/>
      <c r="F188" s="72"/>
    </row>
    <row r="189" spans="1:6" x14ac:dyDescent="0.25">
      <c r="A189" s="66"/>
      <c r="B189" s="66"/>
      <c r="C189" s="67"/>
      <c r="D189" s="70"/>
      <c r="E189" s="58"/>
      <c r="F189" s="72"/>
    </row>
    <row r="190" spans="1:6" x14ac:dyDescent="0.25">
      <c r="A190" s="66"/>
      <c r="B190" s="66"/>
      <c r="C190" s="67"/>
      <c r="D190" s="70"/>
      <c r="E190" s="58"/>
      <c r="F190" s="72"/>
    </row>
    <row r="191" spans="1:6" x14ac:dyDescent="0.25">
      <c r="A191" s="66"/>
      <c r="B191" s="66"/>
      <c r="C191" s="67"/>
      <c r="D191" s="70"/>
      <c r="E191" s="58"/>
      <c r="F191" s="72"/>
    </row>
    <row r="192" spans="1:6" x14ac:dyDescent="0.25">
      <c r="A192" s="66"/>
      <c r="B192" s="66"/>
      <c r="C192" s="67"/>
      <c r="D192" s="70"/>
      <c r="E192" s="58"/>
      <c r="F192" s="72"/>
    </row>
    <row r="193" spans="1:6" x14ac:dyDescent="0.25">
      <c r="A193" s="66"/>
      <c r="B193" s="66"/>
      <c r="C193" s="67"/>
      <c r="D193" s="70"/>
      <c r="E193" s="58"/>
      <c r="F193" s="72"/>
    </row>
    <row r="194" spans="1:6" x14ac:dyDescent="0.25">
      <c r="A194" s="66"/>
      <c r="B194" s="66"/>
      <c r="C194" s="67"/>
      <c r="D194" s="70"/>
      <c r="E194" s="58"/>
      <c r="F194" s="72"/>
    </row>
    <row r="195" spans="1:6" x14ac:dyDescent="0.25">
      <c r="A195" s="66"/>
      <c r="B195" s="66"/>
      <c r="C195" s="67"/>
      <c r="D195" s="70"/>
      <c r="E195" s="58"/>
      <c r="F195" s="72"/>
    </row>
    <row r="196" spans="1:6" x14ac:dyDescent="0.25">
      <c r="A196" s="66"/>
      <c r="B196" s="66"/>
      <c r="C196" s="67"/>
      <c r="D196" s="70"/>
      <c r="E196" s="58"/>
      <c r="F196" s="72"/>
    </row>
    <row r="197" spans="1:6" x14ac:dyDescent="0.25">
      <c r="A197" s="66"/>
      <c r="B197" s="66"/>
      <c r="C197" s="67"/>
      <c r="D197" s="70"/>
      <c r="E197" s="58"/>
      <c r="F197" s="72"/>
    </row>
    <row r="198" spans="1:6" x14ac:dyDescent="0.25">
      <c r="A198" s="66"/>
      <c r="B198" s="66"/>
      <c r="C198" s="67"/>
      <c r="D198" s="70"/>
      <c r="E198" s="58"/>
      <c r="F198" s="72"/>
    </row>
    <row r="199" spans="1:6" x14ac:dyDescent="0.25">
      <c r="A199" s="66"/>
      <c r="B199" s="66"/>
      <c r="C199" s="67"/>
      <c r="D199" s="70"/>
      <c r="E199" s="58"/>
      <c r="F199" s="72"/>
    </row>
    <row r="200" spans="1:6" x14ac:dyDescent="0.25">
      <c r="A200" s="66"/>
      <c r="B200" s="66"/>
      <c r="C200" s="67"/>
      <c r="D200" s="70"/>
      <c r="E200" s="58"/>
      <c r="F200" s="72"/>
    </row>
    <row r="201" spans="1:6" x14ac:dyDescent="0.25">
      <c r="A201" s="66"/>
      <c r="B201" s="66"/>
      <c r="C201" s="67"/>
      <c r="D201" s="70"/>
      <c r="E201" s="58"/>
      <c r="F201" s="72"/>
    </row>
    <row r="202" spans="1:6" x14ac:dyDescent="0.25">
      <c r="A202" s="66"/>
      <c r="B202" s="66"/>
      <c r="C202" s="67"/>
      <c r="D202" s="70"/>
      <c r="E202" s="58"/>
      <c r="F202" s="72"/>
    </row>
    <row r="203" spans="1:6" x14ac:dyDescent="0.25">
      <c r="A203" s="66"/>
      <c r="B203" s="66"/>
      <c r="C203" s="67"/>
      <c r="D203" s="70"/>
      <c r="E203" s="58"/>
      <c r="F203" s="72"/>
    </row>
    <row r="204" spans="1:6" x14ac:dyDescent="0.25">
      <c r="A204" s="66"/>
      <c r="B204" s="66"/>
      <c r="C204" s="67"/>
      <c r="D204" s="70"/>
      <c r="E204" s="58"/>
      <c r="F204" s="72"/>
    </row>
    <row r="205" spans="1:6" x14ac:dyDescent="0.25">
      <c r="A205" s="66"/>
      <c r="B205" s="66"/>
      <c r="C205" s="67"/>
      <c r="D205" s="70"/>
      <c r="E205" s="58"/>
      <c r="F205" s="72"/>
    </row>
    <row r="206" spans="1:6" x14ac:dyDescent="0.25">
      <c r="A206" s="66"/>
      <c r="B206" s="66"/>
      <c r="C206" s="67"/>
      <c r="D206" s="70"/>
      <c r="E206" s="58"/>
      <c r="F206" s="72"/>
    </row>
    <row r="207" spans="1:6" x14ac:dyDescent="0.25">
      <c r="A207" s="66"/>
      <c r="B207" s="66"/>
      <c r="C207" s="67"/>
      <c r="D207" s="70"/>
      <c r="E207" s="58"/>
      <c r="F207" s="72"/>
    </row>
    <row r="208" spans="1:6" x14ac:dyDescent="0.25">
      <c r="A208" s="66"/>
      <c r="B208" s="66"/>
      <c r="C208" s="67"/>
      <c r="D208" s="70"/>
      <c r="E208" s="58"/>
      <c r="F208" s="72"/>
    </row>
    <row r="209" spans="1:6" x14ac:dyDescent="0.25">
      <c r="A209" s="66"/>
      <c r="B209" s="66"/>
      <c r="C209" s="67"/>
      <c r="D209" s="70"/>
      <c r="E209" s="58"/>
      <c r="F209" s="72"/>
    </row>
    <row r="210" spans="1:6" x14ac:dyDescent="0.25">
      <c r="A210" s="66"/>
      <c r="B210" s="66"/>
      <c r="C210" s="67"/>
      <c r="D210" s="70"/>
      <c r="E210" s="58"/>
      <c r="F210" s="72"/>
    </row>
    <row r="211" spans="1:6" x14ac:dyDescent="0.25">
      <c r="A211" s="66"/>
      <c r="B211" s="66"/>
      <c r="C211" s="67"/>
      <c r="D211" s="70"/>
      <c r="E211" s="58"/>
      <c r="F211" s="72"/>
    </row>
    <row r="212" spans="1:6" x14ac:dyDescent="0.25">
      <c r="A212" s="66"/>
      <c r="B212" s="66"/>
      <c r="C212" s="67"/>
      <c r="D212" s="70"/>
      <c r="E212" s="58"/>
      <c r="F212" s="72"/>
    </row>
    <row r="213" spans="1:6" x14ac:dyDescent="0.25">
      <c r="A213" s="66"/>
      <c r="B213" s="66"/>
      <c r="C213" s="67"/>
      <c r="D213" s="70"/>
      <c r="E213" s="58"/>
      <c r="F213" s="72"/>
    </row>
    <row r="214" spans="1:6" x14ac:dyDescent="0.25">
      <c r="A214" s="66"/>
      <c r="B214" s="66"/>
      <c r="C214" s="67"/>
      <c r="D214" s="70"/>
      <c r="E214" s="58"/>
      <c r="F214" s="72"/>
    </row>
    <row r="215" spans="1:6" x14ac:dyDescent="0.25">
      <c r="A215" s="66"/>
      <c r="B215" s="66"/>
      <c r="C215" s="67"/>
      <c r="D215" s="70"/>
      <c r="E215" s="58"/>
      <c r="F215" s="72"/>
    </row>
    <row r="216" spans="1:6" x14ac:dyDescent="0.25">
      <c r="A216" s="66"/>
      <c r="B216" s="66"/>
      <c r="C216" s="67"/>
      <c r="D216" s="70"/>
      <c r="E216" s="58"/>
      <c r="F216" s="72"/>
    </row>
    <row r="217" spans="1:6" x14ac:dyDescent="0.25">
      <c r="A217" s="66"/>
      <c r="B217" s="66"/>
      <c r="C217" s="67"/>
      <c r="D217" s="70"/>
      <c r="E217" s="58"/>
      <c r="F217" s="72"/>
    </row>
    <row r="218" spans="1:6" x14ac:dyDescent="0.25">
      <c r="A218" s="66"/>
      <c r="B218" s="66"/>
      <c r="C218" s="67"/>
      <c r="D218" s="70"/>
      <c r="E218" s="58"/>
      <c r="F218" s="72"/>
    </row>
    <row r="219" spans="1:6" x14ac:dyDescent="0.25">
      <c r="A219" s="66"/>
      <c r="B219" s="66"/>
      <c r="C219" s="67"/>
      <c r="D219" s="70"/>
      <c r="E219" s="58"/>
      <c r="F219" s="72"/>
    </row>
    <row r="220" spans="1:6" x14ac:dyDescent="0.25">
      <c r="A220" s="66"/>
      <c r="B220" s="66"/>
      <c r="C220" s="67"/>
      <c r="D220" s="70"/>
      <c r="E220" s="58"/>
      <c r="F220" s="72"/>
    </row>
    <row r="221" spans="1:6" x14ac:dyDescent="0.25">
      <c r="A221" s="66"/>
      <c r="B221" s="66"/>
      <c r="C221" s="67"/>
      <c r="D221" s="70"/>
      <c r="E221" s="58"/>
      <c r="F221" s="72"/>
    </row>
    <row r="222" spans="1:6" x14ac:dyDescent="0.25">
      <c r="A222" s="66"/>
      <c r="B222" s="66"/>
      <c r="C222" s="67"/>
      <c r="D222" s="70"/>
      <c r="E222" s="58"/>
      <c r="F222" s="72"/>
    </row>
    <row r="223" spans="1:6" x14ac:dyDescent="0.25">
      <c r="A223" s="66"/>
      <c r="B223" s="66"/>
      <c r="C223" s="67"/>
      <c r="D223" s="70"/>
      <c r="E223" s="58"/>
      <c r="F223" s="72"/>
    </row>
    <row r="224" spans="1:6" x14ac:dyDescent="0.25">
      <c r="A224" s="66"/>
      <c r="B224" s="66"/>
      <c r="C224" s="67"/>
      <c r="D224" s="70"/>
      <c r="E224" s="58"/>
      <c r="F224" s="72"/>
    </row>
    <row r="225" spans="1:6" x14ac:dyDescent="0.25">
      <c r="A225" s="66"/>
      <c r="B225" s="66"/>
      <c r="C225" s="67"/>
      <c r="D225" s="70"/>
      <c r="E225" s="58"/>
      <c r="F225" s="72"/>
    </row>
    <row r="226" spans="1:6" x14ac:dyDescent="0.25">
      <c r="A226" s="66"/>
      <c r="B226" s="66"/>
      <c r="C226" s="67"/>
      <c r="D226" s="70"/>
      <c r="E226" s="58"/>
      <c r="F226" s="72"/>
    </row>
    <row r="227" spans="1:6" x14ac:dyDescent="0.25">
      <c r="A227" s="66"/>
      <c r="B227" s="66"/>
      <c r="C227" s="67"/>
      <c r="D227" s="70"/>
      <c r="E227" s="58"/>
      <c r="F227" s="72"/>
    </row>
    <row r="228" spans="1:6" x14ac:dyDescent="0.25">
      <c r="A228" s="66"/>
      <c r="B228" s="66"/>
      <c r="C228" s="67"/>
      <c r="D228" s="70"/>
      <c r="E228" s="58"/>
      <c r="F228" s="72"/>
    </row>
    <row r="229" spans="1:6" x14ac:dyDescent="0.25">
      <c r="A229" s="66"/>
      <c r="B229" s="66"/>
      <c r="C229" s="67"/>
      <c r="D229" s="70"/>
      <c r="E229" s="58"/>
      <c r="F229" s="72"/>
    </row>
    <row r="230" spans="1:6" x14ac:dyDescent="0.25">
      <c r="A230" s="66"/>
      <c r="B230" s="66"/>
      <c r="C230" s="67"/>
      <c r="D230" s="70"/>
      <c r="E230" s="58"/>
      <c r="F230" s="72"/>
    </row>
    <row r="231" spans="1:6" x14ac:dyDescent="0.25">
      <c r="A231" s="66"/>
      <c r="B231" s="66"/>
      <c r="C231" s="67"/>
      <c r="D231" s="70"/>
      <c r="E231" s="58"/>
      <c r="F231" s="72"/>
    </row>
    <row r="232" spans="1:6" x14ac:dyDescent="0.25">
      <c r="A232" s="66"/>
      <c r="B232" s="66"/>
      <c r="C232" s="67"/>
      <c r="D232" s="70"/>
      <c r="E232" s="58"/>
      <c r="F232" s="72"/>
    </row>
    <row r="233" spans="1:6" x14ac:dyDescent="0.25">
      <c r="A233" s="66"/>
      <c r="B233" s="66"/>
      <c r="C233" s="67"/>
      <c r="D233" s="70"/>
      <c r="E233" s="58"/>
      <c r="F233" s="72"/>
    </row>
    <row r="234" spans="1:6" x14ac:dyDescent="0.25">
      <c r="A234" s="66"/>
      <c r="B234" s="66"/>
      <c r="C234" s="67"/>
      <c r="D234" s="70"/>
      <c r="E234" s="58"/>
      <c r="F234" s="72"/>
    </row>
    <row r="235" spans="1:6" x14ac:dyDescent="0.25">
      <c r="A235" s="66"/>
      <c r="B235" s="66"/>
      <c r="C235" s="67"/>
      <c r="D235" s="70"/>
      <c r="E235" s="58"/>
      <c r="F235" s="72"/>
    </row>
    <row r="236" spans="1:6" x14ac:dyDescent="0.25">
      <c r="A236" s="66"/>
      <c r="B236" s="66"/>
      <c r="C236" s="67"/>
      <c r="D236" s="70"/>
      <c r="E236" s="58"/>
      <c r="F236" s="72"/>
    </row>
    <row r="237" spans="1:6" x14ac:dyDescent="0.25">
      <c r="A237" s="66"/>
      <c r="B237" s="66"/>
      <c r="C237" s="67"/>
      <c r="D237" s="70"/>
      <c r="E237" s="58"/>
      <c r="F237" s="72"/>
    </row>
    <row r="238" spans="1:6" x14ac:dyDescent="0.25">
      <c r="A238" s="66"/>
      <c r="B238" s="66"/>
      <c r="C238" s="67"/>
      <c r="D238" s="70"/>
      <c r="E238" s="58"/>
      <c r="F238" s="72"/>
    </row>
    <row r="239" spans="1:6" x14ac:dyDescent="0.25">
      <c r="A239" s="66"/>
      <c r="B239" s="66"/>
      <c r="C239" s="67"/>
      <c r="D239" s="70"/>
      <c r="E239" s="58"/>
      <c r="F239" s="72"/>
    </row>
    <row r="240" spans="1:6" x14ac:dyDescent="0.25">
      <c r="A240" s="66"/>
      <c r="B240" s="66"/>
      <c r="C240" s="67"/>
      <c r="D240" s="70"/>
      <c r="E240" s="58"/>
      <c r="F240" s="72"/>
    </row>
    <row r="241" spans="1:6" x14ac:dyDescent="0.25">
      <c r="A241" s="66"/>
      <c r="B241" s="66"/>
      <c r="C241" s="67"/>
      <c r="D241" s="70"/>
      <c r="E241" s="58"/>
      <c r="F241" s="72"/>
    </row>
    <row r="242" spans="1:6" x14ac:dyDescent="0.25">
      <c r="A242" s="66"/>
      <c r="B242" s="66"/>
      <c r="C242" s="67"/>
      <c r="D242" s="70"/>
      <c r="E242" s="58"/>
      <c r="F242" s="72"/>
    </row>
    <row r="243" spans="1:6" x14ac:dyDescent="0.25">
      <c r="A243" s="66"/>
      <c r="B243" s="66"/>
      <c r="C243" s="67"/>
      <c r="D243" s="70"/>
      <c r="E243" s="58"/>
      <c r="F243" s="72"/>
    </row>
    <row r="244" spans="1:6" x14ac:dyDescent="0.25">
      <c r="A244" s="66"/>
      <c r="B244" s="66"/>
      <c r="C244" s="67"/>
      <c r="D244" s="70"/>
      <c r="E244" s="58"/>
      <c r="F244" s="72"/>
    </row>
    <row r="245" spans="1:6" x14ac:dyDescent="0.25">
      <c r="A245" s="66"/>
      <c r="B245" s="66"/>
      <c r="C245" s="67"/>
      <c r="D245" s="70"/>
      <c r="E245" s="58"/>
      <c r="F245" s="72"/>
    </row>
    <row r="246" spans="1:6" x14ac:dyDescent="0.25">
      <c r="A246" s="66"/>
      <c r="B246" s="66"/>
      <c r="C246" s="67"/>
      <c r="D246" s="70"/>
      <c r="E246" s="58"/>
      <c r="F246" s="72"/>
    </row>
    <row r="247" spans="1:6" x14ac:dyDescent="0.25">
      <c r="A247" s="66"/>
      <c r="B247" s="66"/>
      <c r="C247" s="67"/>
      <c r="D247" s="70"/>
      <c r="E247" s="58"/>
      <c r="F247" s="72"/>
    </row>
    <row r="248" spans="1:6" x14ac:dyDescent="0.25">
      <c r="A248" s="66"/>
      <c r="B248" s="66"/>
      <c r="C248" s="67"/>
      <c r="D248" s="70"/>
      <c r="E248" s="58"/>
      <c r="F248" s="72"/>
    </row>
    <row r="249" spans="1:6" x14ac:dyDescent="0.25">
      <c r="A249" s="66"/>
      <c r="B249" s="66"/>
      <c r="C249" s="67"/>
      <c r="D249" s="70"/>
      <c r="E249" s="58"/>
      <c r="F249" s="72"/>
    </row>
    <row r="250" spans="1:6" x14ac:dyDescent="0.25">
      <c r="A250" s="66"/>
      <c r="B250" s="66"/>
      <c r="C250" s="67"/>
      <c r="D250" s="70"/>
      <c r="E250" s="58"/>
      <c r="F250" s="72"/>
    </row>
    <row r="251" spans="1:6" x14ac:dyDescent="0.25">
      <c r="A251" s="66"/>
      <c r="B251" s="66"/>
      <c r="C251" s="67"/>
      <c r="D251" s="70"/>
      <c r="E251" s="58"/>
      <c r="F251" s="72"/>
    </row>
    <row r="252" spans="1:6" x14ac:dyDescent="0.25">
      <c r="A252" s="66"/>
      <c r="B252" s="66"/>
      <c r="C252" s="67"/>
      <c r="D252" s="70"/>
      <c r="E252" s="58"/>
      <c r="F252" s="72"/>
    </row>
    <row r="253" spans="1:6" x14ac:dyDescent="0.25">
      <c r="A253" s="66"/>
      <c r="B253" s="66"/>
      <c r="C253" s="67"/>
      <c r="D253" s="70"/>
      <c r="E253" s="58"/>
      <c r="F253" s="72"/>
    </row>
    <row r="254" spans="1:6" x14ac:dyDescent="0.25">
      <c r="A254" s="66"/>
      <c r="B254" s="66"/>
      <c r="C254" s="67"/>
      <c r="D254" s="70"/>
      <c r="E254" s="58"/>
      <c r="F254" s="72"/>
    </row>
    <row r="255" spans="1:6" x14ac:dyDescent="0.25">
      <c r="A255" s="66"/>
      <c r="B255" s="66"/>
      <c r="C255" s="67"/>
      <c r="D255" s="70"/>
      <c r="E255" s="58"/>
      <c r="F255" s="72"/>
    </row>
    <row r="256" spans="1:6" x14ac:dyDescent="0.25">
      <c r="A256" s="66"/>
      <c r="B256" s="66"/>
      <c r="C256" s="67"/>
      <c r="D256" s="70"/>
      <c r="E256" s="58"/>
      <c r="F256" s="72"/>
    </row>
    <row r="257" spans="1:6" x14ac:dyDescent="0.25">
      <c r="A257" s="66"/>
      <c r="B257" s="66"/>
      <c r="C257" s="67"/>
      <c r="D257" s="70"/>
      <c r="E257" s="58"/>
      <c r="F257" s="72"/>
    </row>
    <row r="258" spans="1:6" x14ac:dyDescent="0.25">
      <c r="A258" s="66"/>
      <c r="B258" s="66"/>
      <c r="C258" s="67"/>
      <c r="D258" s="70"/>
      <c r="E258" s="58"/>
      <c r="F258" s="72"/>
    </row>
    <row r="259" spans="1:6" x14ac:dyDescent="0.25">
      <c r="A259" s="66"/>
      <c r="B259" s="66"/>
      <c r="C259" s="67"/>
      <c r="D259" s="70"/>
      <c r="E259" s="58"/>
      <c r="F259" s="72"/>
    </row>
    <row r="260" spans="1:6" x14ac:dyDescent="0.25">
      <c r="A260" s="66"/>
      <c r="B260" s="66"/>
      <c r="C260" s="67"/>
      <c r="D260" s="70"/>
      <c r="E260" s="58"/>
      <c r="F260" s="72"/>
    </row>
    <row r="261" spans="1:6" x14ac:dyDescent="0.25">
      <c r="A261" s="66"/>
      <c r="B261" s="66"/>
      <c r="C261" s="67"/>
      <c r="D261" s="70"/>
      <c r="E261" s="58"/>
      <c r="F261" s="72"/>
    </row>
    <row r="262" spans="1:6" x14ac:dyDescent="0.25">
      <c r="A262" s="66"/>
      <c r="B262" s="66"/>
      <c r="C262" s="67"/>
      <c r="D262" s="70"/>
      <c r="E262" s="58"/>
      <c r="F262" s="72"/>
    </row>
    <row r="263" spans="1:6" x14ac:dyDescent="0.25">
      <c r="A263" s="66"/>
      <c r="B263" s="66"/>
      <c r="C263" s="67"/>
      <c r="D263" s="70"/>
      <c r="E263" s="58"/>
      <c r="F263" s="72"/>
    </row>
    <row r="264" spans="1:6" x14ac:dyDescent="0.25">
      <c r="A264" s="66"/>
      <c r="B264" s="66"/>
      <c r="C264" s="67"/>
      <c r="D264" s="70"/>
      <c r="E264" s="58"/>
      <c r="F264" s="72"/>
    </row>
    <row r="265" spans="1:6" x14ac:dyDescent="0.25">
      <c r="A265" s="66"/>
      <c r="B265" s="66"/>
      <c r="C265" s="67"/>
      <c r="D265" s="70"/>
      <c r="E265" s="58"/>
      <c r="F265" s="72"/>
    </row>
    <row r="266" spans="1:6" x14ac:dyDescent="0.25">
      <c r="A266" s="66"/>
      <c r="B266" s="66"/>
      <c r="C266" s="67"/>
      <c r="D266" s="70"/>
      <c r="E266" s="58"/>
      <c r="F266" s="72"/>
    </row>
    <row r="267" spans="1:6" x14ac:dyDescent="0.25">
      <c r="A267" s="66"/>
      <c r="B267" s="66"/>
      <c r="C267" s="67"/>
      <c r="D267" s="70"/>
      <c r="E267" s="58"/>
      <c r="F267" s="72"/>
    </row>
    <row r="268" spans="1:6" x14ac:dyDescent="0.25">
      <c r="A268" s="66"/>
      <c r="B268" s="66"/>
      <c r="C268" s="67"/>
      <c r="D268" s="70"/>
      <c r="E268" s="58"/>
      <c r="F268" s="72"/>
    </row>
    <row r="269" spans="1:6" x14ac:dyDescent="0.25">
      <c r="A269" s="66"/>
      <c r="B269" s="66"/>
      <c r="C269" s="67"/>
      <c r="D269" s="70"/>
      <c r="E269" s="58"/>
      <c r="F269" s="72"/>
    </row>
    <row r="270" spans="1:6" x14ac:dyDescent="0.25">
      <c r="A270" s="66"/>
      <c r="B270" s="66"/>
      <c r="C270" s="67"/>
      <c r="D270" s="70"/>
      <c r="E270" s="58"/>
      <c r="F270" s="72"/>
    </row>
    <row r="271" spans="1:6" x14ac:dyDescent="0.25">
      <c r="A271" s="66"/>
      <c r="B271" s="66"/>
      <c r="C271" s="67"/>
      <c r="D271" s="70"/>
      <c r="E271" s="58"/>
      <c r="F271" s="72"/>
    </row>
    <row r="272" spans="1:6" x14ac:dyDescent="0.25">
      <c r="A272" s="66"/>
      <c r="B272" s="66"/>
      <c r="C272" s="67"/>
      <c r="D272" s="70"/>
      <c r="E272" s="58"/>
      <c r="F272" s="72"/>
    </row>
    <row r="273" spans="1:6" x14ac:dyDescent="0.25">
      <c r="A273" s="66"/>
      <c r="B273" s="66"/>
      <c r="C273" s="67"/>
      <c r="D273" s="70"/>
      <c r="E273" s="58"/>
      <c r="F273" s="72"/>
    </row>
    <row r="274" spans="1:6" x14ac:dyDescent="0.25">
      <c r="A274" s="66"/>
      <c r="B274" s="66"/>
      <c r="C274" s="67"/>
      <c r="D274" s="70"/>
      <c r="E274" s="58"/>
      <c r="F274" s="72"/>
    </row>
    <row r="275" spans="1:6" x14ac:dyDescent="0.25">
      <c r="A275" s="66"/>
      <c r="B275" s="66"/>
      <c r="C275" s="67"/>
      <c r="D275" s="70"/>
      <c r="E275" s="58"/>
      <c r="F275" s="72"/>
    </row>
    <row r="276" spans="1:6" x14ac:dyDescent="0.25">
      <c r="A276" s="66"/>
      <c r="B276" s="66"/>
      <c r="C276" s="67"/>
      <c r="D276" s="70"/>
      <c r="E276" s="58"/>
      <c r="F276" s="72"/>
    </row>
    <row r="277" spans="1:6" x14ac:dyDescent="0.25">
      <c r="A277" s="66"/>
      <c r="B277" s="66"/>
      <c r="C277" s="67"/>
      <c r="D277" s="70"/>
      <c r="E277" s="58"/>
      <c r="F277" s="72"/>
    </row>
    <row r="278" spans="1:6" x14ac:dyDescent="0.25">
      <c r="A278" s="66"/>
      <c r="B278" s="66"/>
      <c r="C278" s="67"/>
      <c r="D278" s="70"/>
      <c r="E278" s="58"/>
      <c r="F278" s="72"/>
    </row>
    <row r="279" spans="1:6" x14ac:dyDescent="0.25">
      <c r="A279" s="66"/>
      <c r="B279" s="66"/>
      <c r="C279" s="67"/>
      <c r="D279" s="70"/>
      <c r="E279" s="58"/>
      <c r="F279" s="72"/>
    </row>
    <row r="280" spans="1:6" x14ac:dyDescent="0.25">
      <c r="A280" s="66"/>
      <c r="B280" s="66"/>
      <c r="C280" s="67"/>
      <c r="D280" s="70"/>
      <c r="E280" s="58"/>
      <c r="F280" s="72"/>
    </row>
    <row r="281" spans="1:6" x14ac:dyDescent="0.25">
      <c r="A281" s="66"/>
      <c r="B281" s="66"/>
      <c r="C281" s="67"/>
      <c r="D281" s="70"/>
      <c r="E281" s="58"/>
      <c r="F281" s="72"/>
    </row>
    <row r="282" spans="1:6" x14ac:dyDescent="0.25">
      <c r="A282" s="66"/>
      <c r="B282" s="66"/>
      <c r="C282" s="67"/>
      <c r="D282" s="70"/>
      <c r="E282" s="58"/>
      <c r="F282" s="72"/>
    </row>
    <row r="283" spans="1:6" x14ac:dyDescent="0.25">
      <c r="A283" s="66"/>
      <c r="B283" s="66"/>
      <c r="C283" s="67"/>
      <c r="D283" s="70"/>
      <c r="E283" s="58"/>
      <c r="F283" s="72"/>
    </row>
    <row r="284" spans="1:6" x14ac:dyDescent="0.25">
      <c r="A284" s="66"/>
      <c r="B284" s="66"/>
      <c r="C284" s="67"/>
      <c r="D284" s="70"/>
      <c r="E284" s="58"/>
      <c r="F284" s="72"/>
    </row>
    <row r="285" spans="1:6" x14ac:dyDescent="0.25">
      <c r="A285" s="66"/>
      <c r="B285" s="66"/>
      <c r="C285" s="67"/>
      <c r="D285" s="70"/>
      <c r="E285" s="58"/>
      <c r="F285" s="72"/>
    </row>
    <row r="286" spans="1:6" x14ac:dyDescent="0.25">
      <c r="A286" s="66"/>
      <c r="B286" s="66"/>
      <c r="C286" s="67"/>
      <c r="D286" s="70"/>
      <c r="E286" s="58"/>
      <c r="F286" s="72"/>
    </row>
    <row r="287" spans="1:6" x14ac:dyDescent="0.25">
      <c r="A287" s="66"/>
      <c r="B287" s="66"/>
      <c r="C287" s="67"/>
      <c r="D287" s="70"/>
      <c r="E287" s="58"/>
      <c r="F287" s="72"/>
    </row>
    <row r="288" spans="1:6" x14ac:dyDescent="0.25">
      <c r="A288" s="66"/>
      <c r="B288" s="66"/>
      <c r="C288" s="67"/>
      <c r="D288" s="70"/>
      <c r="E288" s="58"/>
      <c r="F288" s="72"/>
    </row>
    <row r="289" spans="1:6" x14ac:dyDescent="0.25">
      <c r="A289" s="66"/>
      <c r="B289" s="66"/>
      <c r="C289" s="67"/>
      <c r="D289" s="70"/>
      <c r="E289" s="58"/>
      <c r="F289" s="72"/>
    </row>
    <row r="290" spans="1:6" x14ac:dyDescent="0.25">
      <c r="A290" s="66"/>
      <c r="B290" s="66"/>
      <c r="C290" s="67"/>
      <c r="D290" s="70"/>
      <c r="E290" s="58"/>
      <c r="F290" s="72"/>
    </row>
    <row r="291" spans="1:6" x14ac:dyDescent="0.25">
      <c r="A291" s="66"/>
      <c r="B291" s="66"/>
      <c r="C291" s="67"/>
      <c r="D291" s="70"/>
      <c r="E291" s="58"/>
      <c r="F291" s="72"/>
    </row>
    <row r="292" spans="1:6" x14ac:dyDescent="0.25">
      <c r="A292" s="66"/>
      <c r="B292" s="66"/>
      <c r="C292" s="67"/>
      <c r="D292" s="70"/>
      <c r="E292" s="58"/>
      <c r="F292" s="72"/>
    </row>
    <row r="293" spans="1:6" x14ac:dyDescent="0.25">
      <c r="A293" s="66"/>
      <c r="B293" s="66"/>
      <c r="C293" s="67"/>
      <c r="D293" s="70"/>
      <c r="E293" s="58"/>
      <c r="F293" s="72"/>
    </row>
    <row r="294" spans="1:6" x14ac:dyDescent="0.25">
      <c r="A294" s="66"/>
      <c r="B294" s="66"/>
      <c r="C294" s="67"/>
      <c r="D294" s="70"/>
      <c r="E294" s="58"/>
      <c r="F294" s="72"/>
    </row>
    <row r="295" spans="1:6" x14ac:dyDescent="0.25">
      <c r="A295" s="66"/>
      <c r="B295" s="66"/>
      <c r="C295" s="67"/>
      <c r="D295" s="70"/>
      <c r="E295" s="58"/>
      <c r="F295" s="72"/>
    </row>
    <row r="296" spans="1:6" x14ac:dyDescent="0.25">
      <c r="A296" s="66"/>
      <c r="B296" s="66"/>
      <c r="C296" s="67"/>
      <c r="D296" s="70"/>
      <c r="E296" s="58"/>
      <c r="F296" s="72"/>
    </row>
    <row r="297" spans="1:6" x14ac:dyDescent="0.25">
      <c r="A297" s="66"/>
      <c r="B297" s="66"/>
      <c r="C297" s="67"/>
      <c r="D297" s="70"/>
      <c r="E297" s="58"/>
      <c r="F297" s="72"/>
    </row>
    <row r="298" spans="1:6" x14ac:dyDescent="0.25">
      <c r="A298" s="66"/>
      <c r="B298" s="66"/>
      <c r="C298" s="67"/>
      <c r="D298" s="70"/>
      <c r="E298" s="58"/>
      <c r="F298" s="72"/>
    </row>
    <row r="299" spans="1:6" x14ac:dyDescent="0.25">
      <c r="A299" s="66"/>
      <c r="B299" s="66"/>
      <c r="C299" s="67"/>
      <c r="D299" s="70"/>
      <c r="E299" s="58"/>
      <c r="F299" s="72"/>
    </row>
    <row r="300" spans="1:6" x14ac:dyDescent="0.25">
      <c r="A300" s="66"/>
      <c r="B300" s="66"/>
      <c r="C300" s="67"/>
      <c r="D300" s="70"/>
      <c r="E300" s="58"/>
      <c r="F300" s="72"/>
    </row>
    <row r="301" spans="1:6" x14ac:dyDescent="0.25">
      <c r="A301" s="66"/>
      <c r="B301" s="66"/>
      <c r="C301" s="67"/>
      <c r="D301" s="70"/>
      <c r="E301" s="58"/>
      <c r="F301" s="72"/>
    </row>
    <row r="302" spans="1:6" x14ac:dyDescent="0.25">
      <c r="A302" s="66"/>
      <c r="B302" s="66"/>
      <c r="C302" s="67"/>
      <c r="D302" s="70"/>
      <c r="E302" s="58"/>
      <c r="F302" s="72"/>
    </row>
    <row r="303" spans="1:6" x14ac:dyDescent="0.25">
      <c r="A303" s="66"/>
      <c r="B303" s="66"/>
      <c r="C303" s="67"/>
      <c r="D303" s="70"/>
      <c r="E303" s="58"/>
      <c r="F303" s="72"/>
    </row>
    <row r="304" spans="1:6" x14ac:dyDescent="0.25">
      <c r="A304" s="66"/>
      <c r="B304" s="66"/>
      <c r="C304" s="67"/>
      <c r="D304" s="70"/>
      <c r="E304" s="58"/>
      <c r="F304" s="72"/>
    </row>
    <row r="305" spans="1:6" x14ac:dyDescent="0.25">
      <c r="A305" s="66"/>
      <c r="B305" s="66"/>
      <c r="C305" s="67"/>
      <c r="D305" s="70"/>
      <c r="E305" s="58"/>
      <c r="F305" s="72"/>
    </row>
    <row r="306" spans="1:6" x14ac:dyDescent="0.25">
      <c r="A306" s="66"/>
      <c r="B306" s="66"/>
      <c r="C306" s="67"/>
      <c r="D306" s="70"/>
      <c r="E306" s="58"/>
      <c r="F306" s="72"/>
    </row>
    <row r="307" spans="1:6" x14ac:dyDescent="0.25">
      <c r="A307" s="66"/>
      <c r="B307" s="66"/>
      <c r="C307" s="67"/>
      <c r="D307" s="70"/>
      <c r="E307" s="58"/>
      <c r="F307" s="72"/>
    </row>
    <row r="308" spans="1:6" x14ac:dyDescent="0.25">
      <c r="A308" s="66"/>
      <c r="B308" s="66"/>
      <c r="C308" s="67"/>
      <c r="D308" s="70"/>
      <c r="E308" s="58"/>
      <c r="F308" s="72"/>
    </row>
    <row r="309" spans="1:6" x14ac:dyDescent="0.25">
      <c r="A309" s="66"/>
      <c r="B309" s="66"/>
      <c r="C309" s="67"/>
      <c r="D309" s="70"/>
      <c r="E309" s="58"/>
      <c r="F309" s="72"/>
    </row>
    <row r="310" spans="1:6" x14ac:dyDescent="0.25">
      <c r="A310" s="66"/>
      <c r="B310" s="66"/>
      <c r="C310" s="67"/>
      <c r="D310" s="70"/>
      <c r="E310" s="58"/>
      <c r="F310" s="72"/>
    </row>
    <row r="311" spans="1:6" x14ac:dyDescent="0.25">
      <c r="A311" s="66"/>
      <c r="B311" s="66"/>
      <c r="C311" s="67"/>
      <c r="D311" s="70"/>
      <c r="E311" s="58"/>
      <c r="F311" s="72"/>
    </row>
    <row r="312" spans="1:6" x14ac:dyDescent="0.25">
      <c r="A312" s="66"/>
      <c r="B312" s="66"/>
      <c r="C312" s="67"/>
      <c r="D312" s="70"/>
      <c r="E312" s="58"/>
      <c r="F312" s="72"/>
    </row>
    <row r="313" spans="1:6" x14ac:dyDescent="0.25">
      <c r="A313" s="66"/>
      <c r="B313" s="66"/>
      <c r="C313" s="67"/>
      <c r="D313" s="70"/>
      <c r="E313" s="58"/>
      <c r="F313" s="72"/>
    </row>
    <row r="314" spans="1:6" x14ac:dyDescent="0.25">
      <c r="A314" s="66"/>
      <c r="B314" s="66"/>
      <c r="C314" s="67"/>
      <c r="D314" s="70"/>
      <c r="E314" s="58"/>
      <c r="F314" s="72"/>
    </row>
    <row r="315" spans="1:6" x14ac:dyDescent="0.25">
      <c r="A315" s="66"/>
      <c r="B315" s="66"/>
      <c r="C315" s="67"/>
      <c r="D315" s="70"/>
      <c r="E315" s="58"/>
      <c r="F315" s="72"/>
    </row>
    <row r="316" spans="1:6" x14ac:dyDescent="0.25">
      <c r="A316" s="66"/>
      <c r="B316" s="66"/>
      <c r="C316" s="67"/>
      <c r="D316" s="70"/>
      <c r="E316" s="58"/>
      <c r="F316" s="72"/>
    </row>
    <row r="317" spans="1:6" x14ac:dyDescent="0.25">
      <c r="A317" s="66"/>
      <c r="B317" s="66"/>
      <c r="C317" s="67"/>
      <c r="D317" s="70"/>
      <c r="E317" s="58"/>
      <c r="F317" s="72"/>
    </row>
    <row r="318" spans="1:6" x14ac:dyDescent="0.25">
      <c r="A318" s="62"/>
      <c r="B318" s="62"/>
      <c r="C318" s="63"/>
      <c r="D318" s="68"/>
      <c r="E318" s="69"/>
      <c r="F318" s="71"/>
    </row>
    <row r="319" spans="1:6" x14ac:dyDescent="0.25">
      <c r="A319" s="62"/>
      <c r="B319" s="62"/>
      <c r="C319" s="63"/>
      <c r="D319" s="68"/>
      <c r="E319" s="69"/>
      <c r="F319" s="71"/>
    </row>
    <row r="320" spans="1:6" x14ac:dyDescent="0.25">
      <c r="A320" s="62"/>
      <c r="B320" s="62"/>
      <c r="C320" s="63"/>
      <c r="D320" s="68"/>
      <c r="E320" s="69"/>
      <c r="F320" s="71"/>
    </row>
    <row r="321" spans="1:6" x14ac:dyDescent="0.25">
      <c r="A321" s="62"/>
      <c r="B321" s="62"/>
      <c r="C321" s="63"/>
      <c r="D321" s="68"/>
      <c r="E321" s="69"/>
      <c r="F321" s="71"/>
    </row>
    <row r="322" spans="1:6" x14ac:dyDescent="0.25">
      <c r="A322" s="62"/>
      <c r="B322" s="62"/>
      <c r="C322" s="63"/>
      <c r="D322" s="68"/>
      <c r="E322" s="69"/>
      <c r="F322" s="71"/>
    </row>
    <row r="323" spans="1:6" x14ac:dyDescent="0.25">
      <c r="A323" s="62"/>
      <c r="B323" s="62"/>
      <c r="C323" s="63"/>
      <c r="D323" s="68"/>
      <c r="E323" s="69"/>
      <c r="F323" s="71"/>
    </row>
    <row r="324" spans="1:6" x14ac:dyDescent="0.25">
      <c r="A324" s="62"/>
      <c r="B324" s="62"/>
      <c r="C324" s="63"/>
      <c r="D324" s="68"/>
      <c r="E324" s="69"/>
      <c r="F324" s="71"/>
    </row>
    <row r="325" spans="1:6" x14ac:dyDescent="0.25">
      <c r="A325" s="62"/>
      <c r="B325" s="62"/>
      <c r="C325" s="63"/>
      <c r="D325" s="68"/>
      <c r="E325" s="69"/>
      <c r="F325" s="71"/>
    </row>
    <row r="326" spans="1:6" x14ac:dyDescent="0.25">
      <c r="A326" s="62"/>
      <c r="B326" s="62"/>
      <c r="C326" s="63"/>
      <c r="D326" s="68"/>
      <c r="E326" s="69"/>
      <c r="F326" s="71"/>
    </row>
    <row r="327" spans="1:6" x14ac:dyDescent="0.25">
      <c r="A327" s="62"/>
      <c r="B327" s="62"/>
      <c r="C327" s="63"/>
      <c r="D327" s="68"/>
      <c r="E327" s="69"/>
      <c r="F327" s="71"/>
    </row>
    <row r="328" spans="1:6" x14ac:dyDescent="0.25">
      <c r="A328" s="66"/>
      <c r="B328" s="66"/>
      <c r="C328" s="67"/>
      <c r="D328" s="70"/>
      <c r="E328" s="58"/>
      <c r="F328" s="72"/>
    </row>
    <row r="329" spans="1:6" x14ac:dyDescent="0.25">
      <c r="A329" s="66"/>
      <c r="B329" s="66"/>
      <c r="C329" s="67"/>
      <c r="D329" s="70"/>
      <c r="E329" s="58"/>
      <c r="F329" s="72"/>
    </row>
    <row r="330" spans="1:6" x14ac:dyDescent="0.25">
      <c r="A330" s="66"/>
      <c r="B330" s="66"/>
      <c r="C330" s="67"/>
      <c r="D330" s="70"/>
      <c r="E330" s="58"/>
      <c r="F330" s="72"/>
    </row>
    <row r="331" spans="1:6" x14ac:dyDescent="0.25">
      <c r="A331" s="66"/>
      <c r="B331" s="66"/>
      <c r="C331" s="67"/>
      <c r="D331" s="70"/>
      <c r="E331" s="58"/>
      <c r="F331" s="72"/>
    </row>
    <row r="332" spans="1:6" x14ac:dyDescent="0.25">
      <c r="A332" s="66"/>
      <c r="B332" s="66"/>
      <c r="C332" s="67"/>
      <c r="D332" s="70"/>
      <c r="E332" s="58"/>
      <c r="F332" s="72"/>
    </row>
    <row r="333" spans="1:6" x14ac:dyDescent="0.25">
      <c r="A333" s="66"/>
      <c r="B333" s="66"/>
      <c r="C333" s="67"/>
      <c r="D333" s="70"/>
      <c r="E333" s="58"/>
      <c r="F333" s="72"/>
    </row>
    <row r="334" spans="1:6" x14ac:dyDescent="0.25">
      <c r="A334" s="66"/>
      <c r="B334" s="66"/>
      <c r="C334" s="67"/>
      <c r="D334" s="70"/>
      <c r="E334" s="58"/>
      <c r="F334" s="72"/>
    </row>
    <row r="335" spans="1:6" x14ac:dyDescent="0.25">
      <c r="A335" s="66"/>
      <c r="B335" s="66"/>
      <c r="C335" s="67"/>
      <c r="D335" s="70"/>
      <c r="E335" s="58"/>
      <c r="F335" s="72"/>
    </row>
    <row r="336" spans="1:6" x14ac:dyDescent="0.25">
      <c r="A336" s="66"/>
      <c r="B336" s="66"/>
      <c r="C336" s="67"/>
      <c r="D336" s="70"/>
      <c r="E336" s="58"/>
      <c r="F336" s="72"/>
    </row>
    <row r="337" spans="1:6" x14ac:dyDescent="0.25">
      <c r="A337" s="66"/>
      <c r="B337" s="66"/>
      <c r="C337" s="67"/>
      <c r="D337" s="70"/>
      <c r="E337" s="58"/>
      <c r="F337" s="72"/>
    </row>
    <row r="338" spans="1:6" x14ac:dyDescent="0.25">
      <c r="A338" s="66"/>
      <c r="B338" s="66"/>
      <c r="C338" s="67"/>
      <c r="D338" s="70"/>
      <c r="E338" s="58"/>
      <c r="F338" s="72"/>
    </row>
    <row r="339" spans="1:6" x14ac:dyDescent="0.25">
      <c r="A339" s="66"/>
      <c r="B339" s="66"/>
      <c r="C339" s="67"/>
      <c r="D339" s="70"/>
      <c r="E339" s="58"/>
      <c r="F339" s="72"/>
    </row>
    <row r="340" spans="1:6" x14ac:dyDescent="0.25">
      <c r="A340" s="66"/>
      <c r="B340" s="66"/>
      <c r="C340" s="67"/>
      <c r="D340" s="70"/>
      <c r="E340" s="58"/>
      <c r="F340" s="72"/>
    </row>
    <row r="341" spans="1:6" x14ac:dyDescent="0.25">
      <c r="A341" s="66"/>
      <c r="B341" s="66"/>
      <c r="C341" s="67"/>
      <c r="D341" s="70"/>
      <c r="E341" s="58"/>
      <c r="F341" s="72"/>
    </row>
    <row r="342" spans="1:6" x14ac:dyDescent="0.25">
      <c r="A342" s="66"/>
      <c r="B342" s="66"/>
      <c r="C342" s="67"/>
      <c r="D342" s="70"/>
      <c r="E342" s="58"/>
      <c r="F342" s="72"/>
    </row>
    <row r="343" spans="1:6" x14ac:dyDescent="0.25">
      <c r="A343" s="66"/>
      <c r="B343" s="66"/>
      <c r="C343" s="67"/>
      <c r="D343" s="70"/>
      <c r="E343" s="58"/>
      <c r="F343" s="72"/>
    </row>
    <row r="344" spans="1:6" x14ac:dyDescent="0.25">
      <c r="A344" s="66"/>
      <c r="B344" s="66"/>
      <c r="C344" s="67"/>
      <c r="D344" s="70"/>
      <c r="E344" s="58"/>
      <c r="F344" s="72"/>
    </row>
    <row r="345" spans="1:6" x14ac:dyDescent="0.25">
      <c r="A345" s="66"/>
      <c r="B345" s="66"/>
      <c r="C345" s="67"/>
      <c r="D345" s="70"/>
      <c r="E345" s="58"/>
      <c r="F345" s="72"/>
    </row>
    <row r="346" spans="1:6" x14ac:dyDescent="0.25">
      <c r="A346" s="66"/>
      <c r="B346" s="66"/>
      <c r="C346" s="67"/>
      <c r="D346" s="70"/>
      <c r="E346" s="58"/>
      <c r="F346" s="72"/>
    </row>
    <row r="347" spans="1:6" x14ac:dyDescent="0.25">
      <c r="A347" s="66"/>
      <c r="B347" s="66"/>
      <c r="C347" s="67"/>
      <c r="D347" s="70"/>
      <c r="E347" s="58"/>
      <c r="F347" s="72"/>
    </row>
    <row r="348" spans="1:6" x14ac:dyDescent="0.25">
      <c r="A348" s="66"/>
      <c r="B348" s="66"/>
      <c r="C348" s="67"/>
      <c r="D348" s="70"/>
      <c r="E348" s="58"/>
      <c r="F348" s="72"/>
    </row>
    <row r="349" spans="1:6" x14ac:dyDescent="0.25">
      <c r="A349" s="66"/>
      <c r="B349" s="66"/>
      <c r="C349" s="67"/>
      <c r="D349" s="70"/>
      <c r="E349" s="58"/>
      <c r="F349" s="72"/>
    </row>
    <row r="350" spans="1:6" x14ac:dyDescent="0.25">
      <c r="A350" s="66"/>
      <c r="B350" s="66"/>
      <c r="C350" s="67"/>
      <c r="D350" s="70"/>
      <c r="E350" s="58"/>
      <c r="F350" s="72"/>
    </row>
    <row r="351" spans="1:6" x14ac:dyDescent="0.25">
      <c r="A351" s="66"/>
      <c r="B351" s="66"/>
      <c r="C351" s="67"/>
      <c r="D351" s="70"/>
      <c r="E351" s="58"/>
      <c r="F351" s="72"/>
    </row>
    <row r="352" spans="1:6" x14ac:dyDescent="0.25">
      <c r="A352" s="66"/>
      <c r="B352" s="66"/>
      <c r="C352" s="67"/>
      <c r="D352" s="70"/>
      <c r="E352" s="58"/>
      <c r="F352" s="72"/>
    </row>
    <row r="353" spans="1:6" x14ac:dyDescent="0.25">
      <c r="A353" s="66"/>
      <c r="B353" s="66"/>
      <c r="C353" s="67"/>
      <c r="D353" s="70"/>
      <c r="E353" s="58"/>
      <c r="F353" s="72"/>
    </row>
    <row r="354" spans="1:6" x14ac:dyDescent="0.25">
      <c r="A354" s="66"/>
      <c r="B354" s="66"/>
      <c r="C354" s="67"/>
      <c r="D354" s="70"/>
      <c r="E354" s="58"/>
      <c r="F354" s="72"/>
    </row>
    <row r="355" spans="1:6" x14ac:dyDescent="0.25">
      <c r="A355" s="66"/>
      <c r="B355" s="66"/>
      <c r="C355" s="67"/>
      <c r="D355" s="70"/>
      <c r="E355" s="58"/>
      <c r="F355" s="72"/>
    </row>
    <row r="356" spans="1:6" x14ac:dyDescent="0.25">
      <c r="A356" s="66"/>
      <c r="B356" s="66"/>
      <c r="C356" s="67"/>
      <c r="D356" s="70"/>
      <c r="E356" s="58"/>
      <c r="F356" s="72"/>
    </row>
    <row r="357" spans="1:6" x14ac:dyDescent="0.25">
      <c r="A357" s="66"/>
      <c r="B357" s="66"/>
      <c r="C357" s="67"/>
      <c r="D357" s="70"/>
      <c r="E357" s="58"/>
      <c r="F357" s="72"/>
    </row>
    <row r="358" spans="1:6" x14ac:dyDescent="0.25">
      <c r="A358" s="66"/>
      <c r="B358" s="66"/>
      <c r="C358" s="67"/>
      <c r="D358" s="70"/>
      <c r="E358" s="58"/>
      <c r="F358" s="72"/>
    </row>
    <row r="359" spans="1:6" x14ac:dyDescent="0.25">
      <c r="A359" s="66"/>
      <c r="B359" s="66"/>
      <c r="C359" s="67"/>
      <c r="D359" s="70"/>
      <c r="E359" s="58"/>
      <c r="F359" s="72"/>
    </row>
    <row r="360" spans="1:6" x14ac:dyDescent="0.25">
      <c r="A360" s="66"/>
      <c r="B360" s="66"/>
      <c r="C360" s="67"/>
      <c r="D360" s="70"/>
      <c r="E360" s="58"/>
      <c r="F360" s="72"/>
    </row>
    <row r="361" spans="1:6" x14ac:dyDescent="0.25">
      <c r="A361" s="66"/>
      <c r="B361" s="66"/>
      <c r="C361" s="67"/>
      <c r="D361" s="70"/>
      <c r="E361" s="58"/>
      <c r="F361" s="72"/>
    </row>
    <row r="362" spans="1:6" x14ac:dyDescent="0.25">
      <c r="A362" s="66"/>
      <c r="B362" s="66"/>
      <c r="C362" s="67"/>
      <c r="D362" s="70"/>
      <c r="E362" s="58"/>
      <c r="F362" s="72"/>
    </row>
    <row r="363" spans="1:6" x14ac:dyDescent="0.25">
      <c r="A363" s="66"/>
      <c r="B363" s="66"/>
      <c r="C363" s="67"/>
      <c r="D363" s="70"/>
      <c r="E363" s="58"/>
      <c r="F363" s="72"/>
    </row>
    <row r="364" spans="1:6" x14ac:dyDescent="0.25">
      <c r="A364" s="66"/>
      <c r="B364" s="66"/>
      <c r="C364" s="67"/>
      <c r="D364" s="70"/>
      <c r="E364" s="58"/>
      <c r="F364" s="72"/>
    </row>
    <row r="365" spans="1:6" x14ac:dyDescent="0.25">
      <c r="A365" s="66"/>
      <c r="B365" s="66"/>
      <c r="C365" s="67"/>
      <c r="D365" s="70"/>
      <c r="E365" s="58"/>
      <c r="F365" s="72"/>
    </row>
    <row r="366" spans="1:6" x14ac:dyDescent="0.25">
      <c r="A366" s="66"/>
      <c r="B366" s="66"/>
      <c r="C366" s="67"/>
      <c r="D366" s="70"/>
      <c r="E366" s="58"/>
      <c r="F366" s="72"/>
    </row>
    <row r="367" spans="1:6" x14ac:dyDescent="0.25">
      <c r="A367" s="66"/>
      <c r="B367" s="66"/>
      <c r="C367" s="67"/>
      <c r="D367" s="70"/>
      <c r="E367" s="58"/>
      <c r="F367" s="72"/>
    </row>
    <row r="368" spans="1:6" x14ac:dyDescent="0.25">
      <c r="A368" s="66"/>
      <c r="B368" s="66"/>
      <c r="C368" s="67"/>
      <c r="D368" s="70"/>
      <c r="E368" s="58"/>
      <c r="F368" s="72"/>
    </row>
    <row r="369" spans="1:6" x14ac:dyDescent="0.25">
      <c r="A369" s="66"/>
      <c r="B369" s="66"/>
      <c r="C369" s="67"/>
      <c r="D369" s="70"/>
      <c r="E369" s="58"/>
      <c r="F369" s="72"/>
    </row>
    <row r="370" spans="1:6" x14ac:dyDescent="0.25">
      <c r="A370" s="66"/>
      <c r="B370" s="66"/>
      <c r="C370" s="67"/>
      <c r="D370" s="70"/>
      <c r="E370" s="58"/>
      <c r="F370" s="72"/>
    </row>
    <row r="371" spans="1:6" x14ac:dyDescent="0.25">
      <c r="A371" s="66"/>
      <c r="B371" s="66"/>
      <c r="C371" s="67"/>
      <c r="D371" s="70"/>
      <c r="E371" s="58"/>
      <c r="F371" s="72"/>
    </row>
    <row r="372" spans="1:6" x14ac:dyDescent="0.25">
      <c r="A372" s="66"/>
      <c r="B372" s="66"/>
      <c r="C372" s="67"/>
      <c r="D372" s="70"/>
      <c r="E372" s="58"/>
      <c r="F372" s="72"/>
    </row>
    <row r="373" spans="1:6" x14ac:dyDescent="0.25">
      <c r="A373" s="66"/>
      <c r="B373" s="66"/>
      <c r="C373" s="67"/>
      <c r="D373" s="70"/>
      <c r="E373" s="58"/>
      <c r="F373" s="72"/>
    </row>
    <row r="374" spans="1:6" x14ac:dyDescent="0.25">
      <c r="A374" s="66"/>
      <c r="B374" s="66"/>
      <c r="C374" s="67"/>
      <c r="D374" s="70"/>
      <c r="E374" s="58"/>
      <c r="F374" s="72"/>
    </row>
    <row r="375" spans="1:6" x14ac:dyDescent="0.25">
      <c r="A375" s="66"/>
      <c r="B375" s="66"/>
      <c r="C375" s="67"/>
      <c r="D375" s="70"/>
      <c r="E375" s="58"/>
      <c r="F375" s="72"/>
    </row>
    <row r="376" spans="1:6" x14ac:dyDescent="0.25">
      <c r="A376" s="66"/>
      <c r="B376" s="66"/>
      <c r="C376" s="67"/>
      <c r="D376" s="70"/>
      <c r="E376" s="58"/>
      <c r="F376" s="72"/>
    </row>
    <row r="377" spans="1:6" x14ac:dyDescent="0.25">
      <c r="A377" s="66"/>
      <c r="B377" s="66"/>
      <c r="C377" s="67"/>
      <c r="D377" s="70"/>
      <c r="E377" s="58"/>
      <c r="F377" s="72"/>
    </row>
    <row r="378" spans="1:6" x14ac:dyDescent="0.25">
      <c r="A378" s="66"/>
      <c r="B378" s="66"/>
      <c r="C378" s="67"/>
      <c r="D378" s="70"/>
      <c r="E378" s="58"/>
      <c r="F378" s="72"/>
    </row>
    <row r="379" spans="1:6" x14ac:dyDescent="0.25">
      <c r="A379" s="66"/>
      <c r="B379" s="66"/>
      <c r="C379" s="67"/>
      <c r="D379" s="70"/>
      <c r="E379" s="58"/>
      <c r="F379" s="72"/>
    </row>
    <row r="380" spans="1:6" x14ac:dyDescent="0.25">
      <c r="A380" s="66"/>
      <c r="B380" s="66"/>
      <c r="C380" s="67"/>
      <c r="D380" s="70"/>
      <c r="E380" s="58"/>
      <c r="F380" s="72"/>
    </row>
    <row r="381" spans="1:6" x14ac:dyDescent="0.25">
      <c r="A381" s="66"/>
      <c r="B381" s="66"/>
      <c r="C381" s="67"/>
      <c r="D381" s="70"/>
      <c r="E381" s="58"/>
      <c r="F381" s="72"/>
    </row>
    <row r="382" spans="1:6" x14ac:dyDescent="0.25">
      <c r="A382" s="66"/>
      <c r="B382" s="66"/>
      <c r="C382" s="67"/>
      <c r="D382" s="70"/>
      <c r="E382" s="58"/>
      <c r="F382" s="72"/>
    </row>
    <row r="383" spans="1:6" x14ac:dyDescent="0.25">
      <c r="A383" s="66"/>
      <c r="B383" s="66"/>
      <c r="C383" s="67"/>
      <c r="D383" s="70"/>
      <c r="E383" s="58"/>
      <c r="F383" s="72"/>
    </row>
    <row r="384" spans="1:6" x14ac:dyDescent="0.25">
      <c r="A384" s="66"/>
      <c r="B384" s="66"/>
      <c r="C384" s="67"/>
      <c r="D384" s="70"/>
      <c r="E384" s="58"/>
      <c r="F384" s="72"/>
    </row>
    <row r="385" spans="1:6" x14ac:dyDescent="0.25">
      <c r="A385" s="66"/>
      <c r="B385" s="66"/>
      <c r="C385" s="67"/>
      <c r="D385" s="70"/>
      <c r="E385" s="58"/>
      <c r="F385" s="72"/>
    </row>
    <row r="386" spans="1:6" x14ac:dyDescent="0.25">
      <c r="A386" s="66"/>
      <c r="B386" s="66"/>
      <c r="C386" s="67"/>
      <c r="D386" s="70"/>
      <c r="E386" s="58"/>
      <c r="F386" s="72"/>
    </row>
    <row r="387" spans="1:6" x14ac:dyDescent="0.25">
      <c r="A387" s="66"/>
      <c r="B387" s="66"/>
      <c r="C387" s="67"/>
      <c r="D387" s="70"/>
      <c r="E387" s="58"/>
      <c r="F387" s="72"/>
    </row>
    <row r="388" spans="1:6" x14ac:dyDescent="0.25">
      <c r="A388" s="66"/>
      <c r="B388" s="66"/>
      <c r="C388" s="67"/>
      <c r="D388" s="70"/>
      <c r="E388" s="58"/>
      <c r="F388" s="72"/>
    </row>
    <row r="389" spans="1:6" x14ac:dyDescent="0.25">
      <c r="A389" s="66"/>
      <c r="B389" s="66"/>
      <c r="C389" s="67"/>
      <c r="D389" s="70"/>
      <c r="E389" s="58"/>
      <c r="F389" s="72"/>
    </row>
    <row r="390" spans="1:6" x14ac:dyDescent="0.25">
      <c r="A390" s="66"/>
      <c r="B390" s="66"/>
      <c r="C390" s="67"/>
      <c r="D390" s="70"/>
      <c r="E390" s="58"/>
      <c r="F390" s="72"/>
    </row>
    <row r="391" spans="1:6" x14ac:dyDescent="0.25">
      <c r="A391" s="66"/>
      <c r="B391" s="66"/>
      <c r="C391" s="67"/>
      <c r="D391" s="70"/>
      <c r="E391" s="58"/>
      <c r="F391" s="72"/>
    </row>
    <row r="392" spans="1:6" x14ac:dyDescent="0.25">
      <c r="A392" s="66"/>
      <c r="B392" s="66"/>
      <c r="C392" s="67"/>
      <c r="D392" s="70"/>
      <c r="E392" s="58"/>
      <c r="F392" s="72"/>
    </row>
    <row r="393" spans="1:6" x14ac:dyDescent="0.25">
      <c r="A393" s="66"/>
      <c r="B393" s="66"/>
      <c r="C393" s="67"/>
      <c r="D393" s="70"/>
      <c r="E393" s="58"/>
      <c r="F393" s="72"/>
    </row>
    <row r="394" spans="1:6" x14ac:dyDescent="0.25">
      <c r="A394" s="66"/>
      <c r="B394" s="66"/>
      <c r="C394" s="67"/>
      <c r="D394" s="70"/>
      <c r="E394" s="58"/>
      <c r="F394" s="72"/>
    </row>
    <row r="395" spans="1:6" x14ac:dyDescent="0.25">
      <c r="A395" s="66"/>
      <c r="B395" s="66"/>
      <c r="C395" s="67"/>
      <c r="D395" s="70"/>
      <c r="E395" s="58"/>
      <c r="F395" s="72"/>
    </row>
    <row r="396" spans="1:6" x14ac:dyDescent="0.25">
      <c r="A396" s="66"/>
      <c r="B396" s="66"/>
      <c r="C396" s="67"/>
      <c r="D396" s="70"/>
      <c r="E396" s="58"/>
      <c r="F396" s="72"/>
    </row>
    <row r="397" spans="1:6" x14ac:dyDescent="0.25">
      <c r="A397" s="66"/>
      <c r="B397" s="66"/>
      <c r="C397" s="67"/>
      <c r="D397" s="70"/>
      <c r="E397" s="58"/>
      <c r="F397" s="72"/>
    </row>
    <row r="398" spans="1:6" x14ac:dyDescent="0.25">
      <c r="A398" s="66"/>
      <c r="B398" s="66"/>
      <c r="C398" s="67"/>
      <c r="D398" s="70"/>
      <c r="E398" s="58"/>
      <c r="F398" s="72"/>
    </row>
    <row r="399" spans="1:6" x14ac:dyDescent="0.25">
      <c r="A399" s="66"/>
      <c r="B399" s="66"/>
      <c r="C399" s="67"/>
      <c r="D399" s="70"/>
      <c r="E399" s="58"/>
      <c r="F399" s="72"/>
    </row>
    <row r="400" spans="1:6" x14ac:dyDescent="0.25">
      <c r="A400" s="66"/>
      <c r="B400" s="66"/>
      <c r="C400" s="67"/>
      <c r="D400" s="70"/>
      <c r="E400" s="58"/>
      <c r="F400" s="72"/>
    </row>
    <row r="401" spans="1:6" x14ac:dyDescent="0.25">
      <c r="A401" s="66"/>
      <c r="B401" s="66"/>
      <c r="C401" s="67"/>
      <c r="D401" s="70"/>
      <c r="E401" s="58"/>
      <c r="F401" s="72"/>
    </row>
    <row r="402" spans="1:6" x14ac:dyDescent="0.25">
      <c r="A402" s="66"/>
      <c r="B402" s="66"/>
      <c r="C402" s="67"/>
      <c r="D402" s="70"/>
      <c r="E402" s="58"/>
      <c r="F402" s="72"/>
    </row>
    <row r="403" spans="1:6" x14ac:dyDescent="0.25">
      <c r="A403" s="66"/>
      <c r="B403" s="66"/>
      <c r="C403" s="67"/>
      <c r="D403" s="70"/>
      <c r="E403" s="58"/>
      <c r="F403" s="72"/>
    </row>
    <row r="404" spans="1:6" x14ac:dyDescent="0.25">
      <c r="A404" s="66"/>
      <c r="B404" s="66"/>
      <c r="C404" s="67"/>
      <c r="D404" s="70"/>
      <c r="E404" s="58"/>
      <c r="F404" s="72"/>
    </row>
    <row r="405" spans="1:6" x14ac:dyDescent="0.25">
      <c r="A405" s="66"/>
      <c r="B405" s="66"/>
      <c r="C405" s="67"/>
      <c r="D405" s="70"/>
      <c r="E405" s="58"/>
      <c r="F405" s="72"/>
    </row>
    <row r="406" spans="1:6" x14ac:dyDescent="0.25">
      <c r="A406" s="66"/>
      <c r="B406" s="66"/>
      <c r="C406" s="67"/>
      <c r="D406" s="70"/>
      <c r="E406" s="58"/>
      <c r="F406" s="72"/>
    </row>
    <row r="407" spans="1:6" x14ac:dyDescent="0.25">
      <c r="A407" s="66"/>
      <c r="B407" s="66"/>
      <c r="C407" s="67"/>
      <c r="D407" s="70"/>
      <c r="E407" s="58"/>
      <c r="F407" s="72"/>
    </row>
    <row r="408" spans="1:6" x14ac:dyDescent="0.25">
      <c r="A408" s="66"/>
      <c r="B408" s="66"/>
      <c r="C408" s="67"/>
      <c r="D408" s="70"/>
      <c r="E408" s="58"/>
      <c r="F408" s="72"/>
    </row>
    <row r="409" spans="1:6" x14ac:dyDescent="0.25">
      <c r="A409" s="66"/>
      <c r="B409" s="66"/>
      <c r="C409" s="67"/>
      <c r="D409" s="70"/>
      <c r="E409" s="58"/>
      <c r="F409" s="72"/>
    </row>
    <row r="410" spans="1:6" x14ac:dyDescent="0.25">
      <c r="A410" s="66"/>
      <c r="B410" s="66"/>
      <c r="C410" s="67"/>
      <c r="D410" s="70"/>
      <c r="E410" s="58"/>
      <c r="F410" s="72"/>
    </row>
    <row r="411" spans="1:6" x14ac:dyDescent="0.25">
      <c r="A411" s="66"/>
      <c r="B411" s="66"/>
      <c r="C411" s="67"/>
      <c r="D411" s="70"/>
      <c r="E411" s="58"/>
      <c r="F411" s="72"/>
    </row>
    <row r="412" spans="1:6" x14ac:dyDescent="0.25">
      <c r="A412" s="66"/>
      <c r="B412" s="66"/>
      <c r="C412" s="67"/>
      <c r="D412" s="70"/>
      <c r="E412" s="58"/>
      <c r="F412" s="72"/>
    </row>
    <row r="413" spans="1:6" x14ac:dyDescent="0.25">
      <c r="A413" s="66"/>
      <c r="B413" s="66"/>
      <c r="C413" s="67"/>
      <c r="D413" s="70"/>
      <c r="E413" s="58"/>
      <c r="F413" s="72"/>
    </row>
    <row r="414" spans="1:6" x14ac:dyDescent="0.25">
      <c r="A414" s="66"/>
      <c r="B414" s="66"/>
      <c r="C414" s="67"/>
      <c r="D414" s="70"/>
      <c r="E414" s="58"/>
      <c r="F414" s="72"/>
    </row>
    <row r="415" spans="1:6" x14ac:dyDescent="0.25">
      <c r="A415" s="66"/>
      <c r="B415" s="66"/>
      <c r="C415" s="67"/>
      <c r="D415" s="70"/>
      <c r="E415" s="58"/>
      <c r="F415" s="72"/>
    </row>
    <row r="416" spans="1:6" x14ac:dyDescent="0.25">
      <c r="A416" s="66"/>
      <c r="B416" s="66"/>
      <c r="C416" s="67"/>
      <c r="D416" s="70"/>
      <c r="E416" s="58"/>
      <c r="F416" s="72"/>
    </row>
    <row r="417" spans="1:6" x14ac:dyDescent="0.25">
      <c r="A417" s="66"/>
      <c r="B417" s="66"/>
      <c r="C417" s="67"/>
      <c r="D417" s="70"/>
      <c r="E417" s="58"/>
      <c r="F417" s="72"/>
    </row>
    <row r="418" spans="1:6" x14ac:dyDescent="0.25">
      <c r="A418" s="66"/>
      <c r="B418" s="66"/>
      <c r="C418" s="67"/>
      <c r="D418" s="70"/>
      <c r="E418" s="58"/>
      <c r="F418" s="72"/>
    </row>
    <row r="419" spans="1:6" x14ac:dyDescent="0.25">
      <c r="A419" s="66"/>
      <c r="B419" s="66"/>
      <c r="C419" s="67"/>
      <c r="D419" s="70"/>
      <c r="E419" s="58"/>
      <c r="F419" s="72"/>
    </row>
    <row r="420" spans="1:6" x14ac:dyDescent="0.25">
      <c r="A420" s="66"/>
      <c r="B420" s="66"/>
      <c r="C420" s="67"/>
      <c r="D420" s="70"/>
      <c r="E420" s="58"/>
      <c r="F420" s="72"/>
    </row>
    <row r="421" spans="1:6" x14ac:dyDescent="0.25">
      <c r="A421" s="66"/>
      <c r="B421" s="66"/>
      <c r="C421" s="67"/>
      <c r="D421" s="70"/>
      <c r="E421" s="58"/>
      <c r="F421" s="72"/>
    </row>
    <row r="422" spans="1:6" x14ac:dyDescent="0.25">
      <c r="A422" s="66"/>
      <c r="B422" s="66"/>
      <c r="C422" s="67"/>
      <c r="D422" s="70"/>
      <c r="E422" s="58"/>
      <c r="F422" s="72"/>
    </row>
    <row r="423" spans="1:6" x14ac:dyDescent="0.25">
      <c r="A423" s="66"/>
      <c r="B423" s="66"/>
      <c r="C423" s="67"/>
      <c r="D423" s="70"/>
      <c r="E423" s="58"/>
      <c r="F423" s="72"/>
    </row>
    <row r="424" spans="1:6" x14ac:dyDescent="0.25">
      <c r="A424" s="66"/>
      <c r="B424" s="66"/>
      <c r="C424" s="67"/>
      <c r="D424" s="70"/>
      <c r="E424" s="58"/>
      <c r="F424" s="72"/>
    </row>
    <row r="425" spans="1:6" x14ac:dyDescent="0.25">
      <c r="A425" s="66"/>
      <c r="B425" s="66"/>
      <c r="C425" s="67"/>
      <c r="D425" s="70"/>
      <c r="E425" s="58"/>
      <c r="F425" s="72"/>
    </row>
    <row r="426" spans="1:6" x14ac:dyDescent="0.25">
      <c r="A426" s="66"/>
      <c r="B426" s="66"/>
      <c r="C426" s="67"/>
      <c r="D426" s="70"/>
      <c r="E426" s="58"/>
      <c r="F426" s="72"/>
    </row>
    <row r="427" spans="1:6" x14ac:dyDescent="0.25">
      <c r="A427" s="66"/>
      <c r="B427" s="66"/>
      <c r="C427" s="67"/>
      <c r="D427" s="70"/>
      <c r="E427" s="58"/>
      <c r="F427" s="72"/>
    </row>
    <row r="428" spans="1:6" x14ac:dyDescent="0.25">
      <c r="A428" s="66"/>
      <c r="B428" s="66"/>
      <c r="C428" s="67"/>
      <c r="D428" s="70"/>
      <c r="E428" s="58"/>
      <c r="F428" s="72"/>
    </row>
    <row r="429" spans="1:6" x14ac:dyDescent="0.25">
      <c r="A429" s="66"/>
      <c r="B429" s="66"/>
      <c r="C429" s="67"/>
      <c r="D429" s="70"/>
      <c r="E429" s="58"/>
      <c r="F429" s="72"/>
    </row>
    <row r="430" spans="1:6" x14ac:dyDescent="0.25">
      <c r="A430" s="66"/>
      <c r="B430" s="66"/>
      <c r="C430" s="67"/>
      <c r="D430" s="70"/>
      <c r="E430" s="58"/>
      <c r="F430" s="72"/>
    </row>
    <row r="431" spans="1:6" x14ac:dyDescent="0.25">
      <c r="A431" s="66"/>
      <c r="B431" s="66"/>
      <c r="C431" s="67"/>
      <c r="D431" s="70"/>
      <c r="E431" s="58"/>
      <c r="F431" s="72"/>
    </row>
    <row r="432" spans="1:6" x14ac:dyDescent="0.25">
      <c r="A432" s="66"/>
      <c r="B432" s="66"/>
      <c r="C432" s="67"/>
      <c r="D432" s="70"/>
      <c r="E432" s="58"/>
      <c r="F432" s="72"/>
    </row>
    <row r="433" spans="1:6" x14ac:dyDescent="0.25">
      <c r="A433" s="66"/>
      <c r="B433" s="66"/>
      <c r="C433" s="67"/>
      <c r="D433" s="70"/>
      <c r="E433" s="58"/>
      <c r="F433" s="72"/>
    </row>
    <row r="434" spans="1:6" x14ac:dyDescent="0.25">
      <c r="A434" s="66"/>
      <c r="B434" s="66"/>
      <c r="C434" s="67"/>
      <c r="D434" s="70"/>
      <c r="E434" s="58"/>
      <c r="F434" s="72"/>
    </row>
    <row r="435" spans="1:6" x14ac:dyDescent="0.25">
      <c r="A435" s="66"/>
      <c r="B435" s="66"/>
      <c r="C435" s="67"/>
      <c r="D435" s="70"/>
      <c r="E435" s="58"/>
      <c r="F435" s="72"/>
    </row>
    <row r="436" spans="1:6" x14ac:dyDescent="0.25">
      <c r="A436" s="66"/>
      <c r="B436" s="66"/>
      <c r="C436" s="67"/>
      <c r="D436" s="70"/>
      <c r="E436" s="58"/>
      <c r="F436" s="72"/>
    </row>
    <row r="437" spans="1:6" x14ac:dyDescent="0.25">
      <c r="A437" s="66"/>
      <c r="B437" s="66"/>
      <c r="C437" s="67"/>
      <c r="D437" s="70"/>
      <c r="E437" s="58"/>
      <c r="F437" s="72"/>
    </row>
    <row r="438" spans="1:6" x14ac:dyDescent="0.25">
      <c r="A438" s="66"/>
      <c r="B438" s="66"/>
      <c r="C438" s="67"/>
      <c r="D438" s="70"/>
      <c r="E438" s="58"/>
      <c r="F438" s="72"/>
    </row>
    <row r="439" spans="1:6" x14ac:dyDescent="0.25">
      <c r="A439" s="66"/>
      <c r="B439" s="66"/>
      <c r="C439" s="67"/>
      <c r="D439" s="70"/>
      <c r="E439" s="58"/>
      <c r="F439" s="72"/>
    </row>
    <row r="440" spans="1:6" x14ac:dyDescent="0.25">
      <c r="A440" s="66"/>
      <c r="B440" s="66"/>
      <c r="C440" s="67"/>
      <c r="D440" s="70"/>
      <c r="E440" s="58"/>
      <c r="F440" s="72"/>
    </row>
    <row r="441" spans="1:6" x14ac:dyDescent="0.25">
      <c r="A441" s="66"/>
      <c r="B441" s="66"/>
      <c r="C441" s="67"/>
      <c r="D441" s="70"/>
      <c r="E441" s="58"/>
      <c r="F441" s="72"/>
    </row>
    <row r="442" spans="1:6" x14ac:dyDescent="0.25">
      <c r="A442" s="66"/>
      <c r="B442" s="66"/>
      <c r="C442" s="67"/>
      <c r="D442" s="70"/>
      <c r="E442" s="58"/>
      <c r="F442" s="72"/>
    </row>
    <row r="443" spans="1:6" x14ac:dyDescent="0.25">
      <c r="A443" s="66"/>
      <c r="B443" s="66"/>
      <c r="C443" s="67"/>
      <c r="D443" s="70"/>
      <c r="E443" s="58"/>
      <c r="F443" s="72"/>
    </row>
    <row r="444" spans="1:6" x14ac:dyDescent="0.25">
      <c r="A444" s="66"/>
      <c r="B444" s="66"/>
      <c r="C444" s="67"/>
      <c r="D444" s="70"/>
      <c r="E444" s="58"/>
      <c r="F444" s="72"/>
    </row>
    <row r="445" spans="1:6" x14ac:dyDescent="0.25">
      <c r="A445" s="66"/>
      <c r="B445" s="66"/>
      <c r="C445" s="67"/>
      <c r="D445" s="70"/>
      <c r="E445" s="58"/>
      <c r="F445" s="72"/>
    </row>
    <row r="446" spans="1:6" x14ac:dyDescent="0.25">
      <c r="A446" s="66"/>
      <c r="B446" s="66"/>
      <c r="C446" s="67"/>
      <c r="D446" s="70"/>
      <c r="E446" s="58"/>
      <c r="F446" s="72"/>
    </row>
    <row r="447" spans="1:6" x14ac:dyDescent="0.25">
      <c r="A447" s="66"/>
      <c r="B447" s="66"/>
      <c r="C447" s="67"/>
      <c r="D447" s="70"/>
      <c r="E447" s="58"/>
      <c r="F447" s="72"/>
    </row>
    <row r="448" spans="1:6" x14ac:dyDescent="0.25">
      <c r="A448" s="66"/>
      <c r="B448" s="66"/>
      <c r="C448" s="67"/>
      <c r="D448" s="70"/>
      <c r="E448" s="58"/>
      <c r="F448" s="72"/>
    </row>
    <row r="449" spans="1:6" x14ac:dyDescent="0.25">
      <c r="A449" s="66"/>
      <c r="B449" s="66"/>
      <c r="C449" s="67"/>
      <c r="D449" s="70"/>
      <c r="E449" s="58"/>
      <c r="F449" s="72"/>
    </row>
    <row r="450" spans="1:6" x14ac:dyDescent="0.25">
      <c r="A450" s="66"/>
      <c r="B450" s="66"/>
      <c r="C450" s="67"/>
      <c r="D450" s="70"/>
      <c r="E450" s="58"/>
      <c r="F450" s="72"/>
    </row>
    <row r="451" spans="1:6" x14ac:dyDescent="0.25">
      <c r="A451" s="66"/>
      <c r="B451" s="66"/>
      <c r="C451" s="67"/>
      <c r="D451" s="70"/>
      <c r="E451" s="58"/>
      <c r="F451" s="72"/>
    </row>
    <row r="452" spans="1:6" x14ac:dyDescent="0.25">
      <c r="A452" s="66"/>
      <c r="B452" s="66"/>
      <c r="C452" s="67"/>
      <c r="D452" s="70"/>
      <c r="E452" s="58"/>
      <c r="F452" s="72"/>
    </row>
    <row r="453" spans="1:6" x14ac:dyDescent="0.25">
      <c r="A453" s="66"/>
      <c r="B453" s="66"/>
      <c r="C453" s="67"/>
      <c r="D453" s="70"/>
      <c r="E453" s="58"/>
      <c r="F453" s="72"/>
    </row>
    <row r="454" spans="1:6" x14ac:dyDescent="0.25">
      <c r="A454" s="66"/>
      <c r="B454" s="66"/>
      <c r="C454" s="67"/>
      <c r="D454" s="70"/>
      <c r="E454" s="58"/>
      <c r="F454" s="72"/>
    </row>
    <row r="455" spans="1:6" x14ac:dyDescent="0.25">
      <c r="A455" s="66"/>
      <c r="B455" s="66"/>
      <c r="C455" s="67"/>
      <c r="D455" s="70"/>
      <c r="E455" s="58"/>
      <c r="F455" s="72"/>
    </row>
    <row r="456" spans="1:6" x14ac:dyDescent="0.25">
      <c r="A456" s="66"/>
      <c r="B456" s="66"/>
      <c r="C456" s="67"/>
      <c r="D456" s="70"/>
      <c r="E456" s="58"/>
      <c r="F456" s="72"/>
    </row>
    <row r="457" spans="1:6" x14ac:dyDescent="0.25">
      <c r="A457" s="66"/>
      <c r="B457" s="66"/>
      <c r="C457" s="67"/>
      <c r="D457" s="70"/>
      <c r="E457" s="58"/>
      <c r="F457" s="72"/>
    </row>
    <row r="458" spans="1:6" x14ac:dyDescent="0.25">
      <c r="A458" s="66"/>
      <c r="B458" s="66"/>
      <c r="C458" s="67"/>
      <c r="D458" s="70"/>
      <c r="E458" s="58"/>
      <c r="F458" s="72"/>
    </row>
    <row r="459" spans="1:6" x14ac:dyDescent="0.25">
      <c r="A459" s="66"/>
      <c r="B459" s="66"/>
      <c r="C459" s="67"/>
      <c r="D459" s="70"/>
      <c r="E459" s="58"/>
      <c r="F459" s="72"/>
    </row>
    <row r="460" spans="1:6" x14ac:dyDescent="0.25">
      <c r="A460" s="66"/>
      <c r="B460" s="66"/>
      <c r="C460" s="67"/>
      <c r="D460" s="70"/>
      <c r="E460" s="58"/>
      <c r="F460" s="72"/>
    </row>
    <row r="461" spans="1:6" x14ac:dyDescent="0.25">
      <c r="A461" s="66"/>
      <c r="B461" s="66"/>
      <c r="C461" s="67"/>
      <c r="D461" s="70"/>
      <c r="E461" s="58"/>
      <c r="F461" s="72"/>
    </row>
    <row r="462" spans="1:6" x14ac:dyDescent="0.25">
      <c r="A462" s="66"/>
      <c r="B462" s="66"/>
      <c r="C462" s="67"/>
      <c r="D462" s="70"/>
      <c r="E462" s="58"/>
      <c r="F462" s="72"/>
    </row>
    <row r="463" spans="1:6" x14ac:dyDescent="0.25">
      <c r="A463" s="66"/>
      <c r="B463" s="66"/>
      <c r="C463" s="67"/>
      <c r="D463" s="70"/>
      <c r="E463" s="58"/>
      <c r="F463" s="72"/>
    </row>
    <row r="464" spans="1:6" x14ac:dyDescent="0.25">
      <c r="A464" s="66"/>
      <c r="B464" s="66"/>
      <c r="C464" s="67"/>
      <c r="D464" s="70"/>
      <c r="E464" s="58"/>
      <c r="F464" s="72"/>
    </row>
    <row r="465" spans="1:6" x14ac:dyDescent="0.25">
      <c r="A465" s="66"/>
      <c r="B465" s="66"/>
      <c r="C465" s="67"/>
      <c r="D465" s="70"/>
      <c r="E465" s="58"/>
      <c r="F465" s="72"/>
    </row>
    <row r="466" spans="1:6" x14ac:dyDescent="0.25">
      <c r="A466" s="66"/>
      <c r="B466" s="66"/>
      <c r="C466" s="67"/>
      <c r="D466" s="70"/>
      <c r="E466" s="58"/>
      <c r="F466" s="72"/>
    </row>
    <row r="467" spans="1:6" x14ac:dyDescent="0.25">
      <c r="A467" s="66"/>
      <c r="B467" s="66"/>
      <c r="C467" s="67"/>
      <c r="D467" s="70"/>
      <c r="E467" s="58"/>
      <c r="F467" s="72"/>
    </row>
    <row r="468" spans="1:6" x14ac:dyDescent="0.25">
      <c r="A468" s="66"/>
      <c r="B468" s="66"/>
      <c r="C468" s="67"/>
      <c r="D468" s="70"/>
      <c r="E468" s="58"/>
      <c r="F468" s="72"/>
    </row>
    <row r="469" spans="1:6" x14ac:dyDescent="0.25">
      <c r="A469" s="66"/>
      <c r="B469" s="66"/>
      <c r="C469" s="67"/>
      <c r="D469" s="70"/>
      <c r="E469" s="58"/>
      <c r="F469" s="72"/>
    </row>
    <row r="470" spans="1:6" x14ac:dyDescent="0.25">
      <c r="A470" s="66"/>
      <c r="B470" s="66"/>
      <c r="C470" s="67"/>
      <c r="D470" s="70"/>
      <c r="E470" s="58"/>
      <c r="F470" s="72"/>
    </row>
    <row r="471" spans="1:6" x14ac:dyDescent="0.25">
      <c r="A471" s="66"/>
      <c r="B471" s="66"/>
      <c r="C471" s="67"/>
      <c r="D471" s="70"/>
      <c r="E471" s="58"/>
      <c r="F471" s="72"/>
    </row>
    <row r="472" spans="1:6" x14ac:dyDescent="0.25">
      <c r="A472" s="66"/>
      <c r="B472" s="66"/>
      <c r="C472" s="67"/>
      <c r="D472" s="70"/>
      <c r="E472" s="58"/>
      <c r="F472" s="72"/>
    </row>
    <row r="473" spans="1:6" x14ac:dyDescent="0.25">
      <c r="A473" s="66"/>
      <c r="B473" s="66"/>
      <c r="C473" s="67"/>
      <c r="D473" s="70"/>
      <c r="E473" s="58"/>
      <c r="F473" s="72"/>
    </row>
    <row r="474" spans="1:6" x14ac:dyDescent="0.25">
      <c r="A474" s="66"/>
      <c r="B474" s="66"/>
      <c r="C474" s="67"/>
      <c r="D474" s="70"/>
      <c r="E474" s="58"/>
      <c r="F474" s="72"/>
    </row>
    <row r="475" spans="1:6" x14ac:dyDescent="0.25">
      <c r="A475" s="66"/>
      <c r="B475" s="66"/>
      <c r="C475" s="67"/>
      <c r="D475" s="70"/>
      <c r="E475" s="58"/>
      <c r="F475" s="72"/>
    </row>
    <row r="476" spans="1:6" x14ac:dyDescent="0.25">
      <c r="A476" s="66"/>
      <c r="B476" s="66"/>
      <c r="C476" s="67"/>
      <c r="D476" s="70"/>
      <c r="E476" s="58"/>
      <c r="F476" s="72"/>
    </row>
    <row r="477" spans="1:6" x14ac:dyDescent="0.25">
      <c r="A477" s="66"/>
      <c r="B477" s="66"/>
      <c r="C477" s="67"/>
      <c r="D477" s="70"/>
      <c r="E477" s="58"/>
      <c r="F477" s="72"/>
    </row>
    <row r="478" spans="1:6" x14ac:dyDescent="0.25">
      <c r="A478" s="66"/>
      <c r="B478" s="66"/>
      <c r="C478" s="67"/>
      <c r="D478" s="70"/>
      <c r="E478" s="58"/>
      <c r="F478" s="72"/>
    </row>
    <row r="479" spans="1:6" x14ac:dyDescent="0.25">
      <c r="A479" s="66"/>
      <c r="B479" s="66"/>
      <c r="C479" s="67"/>
      <c r="D479" s="70"/>
      <c r="E479" s="58"/>
      <c r="F479" s="72"/>
    </row>
    <row r="480" spans="1:6" x14ac:dyDescent="0.25">
      <c r="A480" s="66"/>
      <c r="B480" s="66"/>
      <c r="C480" s="67"/>
      <c r="D480" s="70"/>
      <c r="E480" s="58"/>
      <c r="F480" s="72"/>
    </row>
    <row r="481" spans="1:6" x14ac:dyDescent="0.25">
      <c r="A481" s="66"/>
      <c r="B481" s="66"/>
      <c r="C481" s="67"/>
      <c r="D481" s="70"/>
      <c r="E481" s="58"/>
      <c r="F481" s="72"/>
    </row>
    <row r="482" spans="1:6" x14ac:dyDescent="0.25">
      <c r="A482" s="66"/>
      <c r="B482" s="66"/>
      <c r="C482" s="67"/>
      <c r="D482" s="70"/>
      <c r="E482" s="58"/>
      <c r="F482" s="72"/>
    </row>
    <row r="483" spans="1:6" x14ac:dyDescent="0.25">
      <c r="A483" s="66"/>
      <c r="B483" s="66"/>
      <c r="C483" s="67"/>
      <c r="D483" s="70"/>
      <c r="E483" s="58"/>
      <c r="F483" s="72"/>
    </row>
    <row r="484" spans="1:6" x14ac:dyDescent="0.25">
      <c r="A484" s="66"/>
      <c r="B484" s="66"/>
      <c r="C484" s="67"/>
      <c r="D484" s="70"/>
      <c r="E484" s="58"/>
      <c r="F484" s="72"/>
    </row>
    <row r="485" spans="1:6" x14ac:dyDescent="0.25">
      <c r="A485" s="66"/>
      <c r="B485" s="66"/>
      <c r="C485" s="67"/>
      <c r="D485" s="70"/>
      <c r="E485" s="58"/>
      <c r="F485" s="72"/>
    </row>
    <row r="486" spans="1:6" x14ac:dyDescent="0.25">
      <c r="A486" s="66"/>
      <c r="B486" s="66"/>
      <c r="C486" s="67"/>
      <c r="D486" s="70"/>
      <c r="E486" s="58"/>
      <c r="F486" s="72"/>
    </row>
    <row r="487" spans="1:6" x14ac:dyDescent="0.25">
      <c r="A487" s="66"/>
      <c r="B487" s="66"/>
      <c r="C487" s="67"/>
      <c r="D487" s="70"/>
      <c r="E487" s="58"/>
      <c r="F487" s="72"/>
    </row>
    <row r="488" spans="1:6" x14ac:dyDescent="0.25">
      <c r="A488" s="66"/>
      <c r="B488" s="66"/>
      <c r="C488" s="67"/>
      <c r="D488" s="70"/>
      <c r="E488" s="58"/>
      <c r="F488" s="72"/>
    </row>
    <row r="489" spans="1:6" x14ac:dyDescent="0.25">
      <c r="A489" s="66"/>
      <c r="B489" s="66"/>
      <c r="C489" s="67"/>
      <c r="D489" s="70"/>
      <c r="E489" s="58"/>
      <c r="F489" s="72"/>
    </row>
    <row r="490" spans="1:6" x14ac:dyDescent="0.25">
      <c r="A490" s="66"/>
      <c r="B490" s="66"/>
      <c r="C490" s="67"/>
      <c r="D490" s="70"/>
      <c r="E490" s="58"/>
      <c r="F490" s="72"/>
    </row>
    <row r="491" spans="1:6" x14ac:dyDescent="0.25">
      <c r="A491" s="66"/>
      <c r="B491" s="66"/>
      <c r="C491" s="67"/>
      <c r="D491" s="70"/>
      <c r="E491" s="58"/>
      <c r="F491" s="72"/>
    </row>
    <row r="492" spans="1:6" x14ac:dyDescent="0.25">
      <c r="A492" s="66"/>
      <c r="B492" s="66"/>
      <c r="C492" s="67"/>
      <c r="D492" s="70"/>
      <c r="E492" s="58"/>
      <c r="F492" s="72"/>
    </row>
    <row r="493" spans="1:6" x14ac:dyDescent="0.25">
      <c r="A493" s="66"/>
      <c r="B493" s="66"/>
      <c r="C493" s="67"/>
      <c r="D493" s="70"/>
      <c r="E493" s="58"/>
      <c r="F493" s="72"/>
    </row>
    <row r="494" spans="1:6" x14ac:dyDescent="0.25">
      <c r="A494" s="66"/>
      <c r="B494" s="66"/>
      <c r="C494" s="67"/>
      <c r="D494" s="70"/>
      <c r="E494" s="58"/>
      <c r="F494" s="72"/>
    </row>
    <row r="495" spans="1:6" x14ac:dyDescent="0.25">
      <c r="A495" s="66"/>
      <c r="B495" s="66"/>
      <c r="C495" s="67"/>
      <c r="D495" s="70"/>
      <c r="E495" s="58"/>
      <c r="F495" s="72"/>
    </row>
    <row r="496" spans="1:6" x14ac:dyDescent="0.25">
      <c r="A496" s="66"/>
      <c r="B496" s="66"/>
      <c r="C496" s="67"/>
      <c r="D496" s="70"/>
      <c r="E496" s="58"/>
      <c r="F496" s="72"/>
    </row>
    <row r="497" spans="1:6" x14ac:dyDescent="0.25">
      <c r="A497" s="66"/>
      <c r="B497" s="66"/>
      <c r="C497" s="67"/>
      <c r="D497" s="70"/>
      <c r="E497" s="58"/>
      <c r="F497" s="72"/>
    </row>
    <row r="498" spans="1:6" x14ac:dyDescent="0.25">
      <c r="A498" s="66"/>
      <c r="B498" s="66"/>
      <c r="C498" s="67"/>
      <c r="D498" s="70"/>
      <c r="E498" s="58"/>
      <c r="F498" s="72"/>
    </row>
    <row r="499" spans="1:6" x14ac:dyDescent="0.25">
      <c r="A499" s="66"/>
      <c r="B499" s="66"/>
      <c r="C499" s="67"/>
      <c r="D499" s="70"/>
      <c r="E499" s="58"/>
      <c r="F499" s="72"/>
    </row>
    <row r="500" spans="1:6" x14ac:dyDescent="0.25">
      <c r="A500" s="66"/>
      <c r="B500" s="66"/>
      <c r="C500" s="67"/>
      <c r="D500" s="70"/>
      <c r="E500" s="58"/>
      <c r="F500" s="72"/>
    </row>
    <row r="501" spans="1:6" x14ac:dyDescent="0.25">
      <c r="A501" s="66"/>
      <c r="B501" s="66"/>
      <c r="C501" s="67"/>
      <c r="D501" s="70"/>
      <c r="E501" s="58"/>
      <c r="F501" s="72"/>
    </row>
    <row r="502" spans="1:6" x14ac:dyDescent="0.25">
      <c r="A502" s="66"/>
      <c r="B502" s="66"/>
      <c r="C502" s="67"/>
      <c r="D502" s="70"/>
      <c r="E502" s="58"/>
      <c r="F502" s="72"/>
    </row>
    <row r="503" spans="1:6" x14ac:dyDescent="0.25">
      <c r="A503" s="66"/>
      <c r="B503" s="66"/>
      <c r="C503" s="67"/>
      <c r="D503" s="70"/>
      <c r="E503" s="58"/>
      <c r="F503" s="72"/>
    </row>
    <row r="504" spans="1:6" x14ac:dyDescent="0.25">
      <c r="A504" s="66"/>
      <c r="B504" s="66"/>
      <c r="C504" s="67"/>
      <c r="D504" s="70"/>
      <c r="E504" s="58"/>
      <c r="F504" s="72"/>
    </row>
    <row r="505" spans="1:6" x14ac:dyDescent="0.25">
      <c r="A505" s="66"/>
      <c r="B505" s="66"/>
      <c r="C505" s="67"/>
      <c r="D505" s="70"/>
      <c r="E505" s="58"/>
      <c r="F505" s="72"/>
    </row>
    <row r="506" spans="1:6" x14ac:dyDescent="0.25">
      <c r="A506" s="66"/>
      <c r="B506" s="66"/>
      <c r="C506" s="67"/>
      <c r="D506" s="70"/>
      <c r="E506" s="58"/>
      <c r="F506" s="72"/>
    </row>
    <row r="507" spans="1:6" x14ac:dyDescent="0.25">
      <c r="A507" s="66"/>
      <c r="B507" s="66"/>
      <c r="C507" s="67"/>
      <c r="D507" s="70"/>
      <c r="E507" s="58"/>
      <c r="F507" s="72"/>
    </row>
    <row r="508" spans="1:6" x14ac:dyDescent="0.25">
      <c r="A508" s="66"/>
      <c r="B508" s="66"/>
      <c r="C508" s="67"/>
      <c r="D508" s="70"/>
      <c r="E508" s="58"/>
      <c r="F508" s="72"/>
    </row>
    <row r="509" spans="1:6" x14ac:dyDescent="0.25">
      <c r="A509" s="66"/>
      <c r="B509" s="66"/>
      <c r="C509" s="67"/>
      <c r="D509" s="70"/>
      <c r="E509" s="58"/>
      <c r="F509" s="72"/>
    </row>
    <row r="510" spans="1:6" x14ac:dyDescent="0.25">
      <c r="A510" s="66"/>
      <c r="B510" s="66"/>
      <c r="C510" s="67"/>
      <c r="D510" s="70"/>
      <c r="E510" s="58"/>
      <c r="F510" s="72"/>
    </row>
    <row r="511" spans="1:6" x14ac:dyDescent="0.25">
      <c r="A511" s="66"/>
      <c r="B511" s="66"/>
      <c r="C511" s="67"/>
      <c r="D511" s="70"/>
      <c r="E511" s="58"/>
      <c r="F511" s="72"/>
    </row>
    <row r="512" spans="1:6" x14ac:dyDescent="0.25">
      <c r="A512" s="66"/>
      <c r="B512" s="66"/>
      <c r="C512" s="67"/>
      <c r="D512" s="70"/>
      <c r="E512" s="58"/>
      <c r="F512" s="72"/>
    </row>
    <row r="513" spans="1:6" x14ac:dyDescent="0.25">
      <c r="A513" s="66"/>
      <c r="B513" s="66"/>
      <c r="C513" s="67"/>
      <c r="D513" s="70"/>
      <c r="E513" s="58"/>
      <c r="F513" s="72"/>
    </row>
    <row r="514" spans="1:6" x14ac:dyDescent="0.25">
      <c r="A514" s="66"/>
      <c r="B514" s="66"/>
      <c r="C514" s="67"/>
      <c r="D514" s="70"/>
      <c r="E514" s="58"/>
      <c r="F514" s="72"/>
    </row>
    <row r="515" spans="1:6" x14ac:dyDescent="0.25">
      <c r="A515" s="66"/>
      <c r="B515" s="66"/>
      <c r="C515" s="67"/>
      <c r="D515" s="70"/>
      <c r="E515" s="58"/>
      <c r="F515" s="72"/>
    </row>
    <row r="516" spans="1:6" x14ac:dyDescent="0.25">
      <c r="A516" s="66"/>
      <c r="B516" s="66"/>
      <c r="C516" s="67"/>
      <c r="D516" s="70"/>
      <c r="E516" s="58"/>
      <c r="F516" s="72"/>
    </row>
    <row r="517" spans="1:6" x14ac:dyDescent="0.25">
      <c r="A517" s="66"/>
      <c r="B517" s="66"/>
      <c r="C517" s="67"/>
      <c r="D517" s="70"/>
      <c r="E517" s="58"/>
      <c r="F517" s="72"/>
    </row>
    <row r="518" spans="1:6" x14ac:dyDescent="0.25">
      <c r="A518" s="66"/>
      <c r="B518" s="66"/>
      <c r="C518" s="67"/>
      <c r="D518" s="70"/>
      <c r="E518" s="58"/>
      <c r="F518" s="72"/>
    </row>
    <row r="519" spans="1:6" x14ac:dyDescent="0.25">
      <c r="A519" s="66"/>
      <c r="B519" s="66"/>
      <c r="C519" s="67"/>
      <c r="D519" s="70"/>
      <c r="E519" s="58"/>
      <c r="F519" s="72"/>
    </row>
    <row r="520" spans="1:6" x14ac:dyDescent="0.25">
      <c r="A520" s="66"/>
      <c r="B520" s="66"/>
      <c r="C520" s="67"/>
      <c r="D520" s="70"/>
      <c r="E520" s="58"/>
      <c r="F520" s="72"/>
    </row>
    <row r="521" spans="1:6" x14ac:dyDescent="0.25">
      <c r="A521" s="66"/>
      <c r="B521" s="66"/>
      <c r="C521" s="67"/>
      <c r="D521" s="70"/>
      <c r="E521" s="58"/>
      <c r="F521" s="72"/>
    </row>
    <row r="522" spans="1:6" x14ac:dyDescent="0.25">
      <c r="A522" s="66"/>
      <c r="B522" s="66"/>
      <c r="C522" s="67"/>
      <c r="D522" s="70"/>
      <c r="E522" s="58"/>
      <c r="F522" s="72"/>
    </row>
    <row r="523" spans="1:6" x14ac:dyDescent="0.25">
      <c r="A523" s="66"/>
      <c r="B523" s="66"/>
      <c r="C523" s="67"/>
      <c r="D523" s="70"/>
      <c r="E523" s="58"/>
      <c r="F523" s="72"/>
    </row>
    <row r="524" spans="1:6" x14ac:dyDescent="0.25">
      <c r="A524" s="66"/>
      <c r="B524" s="66"/>
      <c r="C524" s="67"/>
      <c r="D524" s="70"/>
      <c r="E524" s="58"/>
      <c r="F524" s="72"/>
    </row>
    <row r="525" spans="1:6" x14ac:dyDescent="0.25">
      <c r="A525" s="66"/>
      <c r="B525" s="66"/>
      <c r="C525" s="67"/>
      <c r="D525" s="70"/>
      <c r="E525" s="58"/>
      <c r="F525" s="72"/>
    </row>
    <row r="526" spans="1:6" x14ac:dyDescent="0.25">
      <c r="A526" s="66"/>
      <c r="B526" s="66"/>
      <c r="C526" s="67"/>
      <c r="D526" s="70"/>
      <c r="E526" s="58"/>
      <c r="F526" s="72"/>
    </row>
    <row r="527" spans="1:6" x14ac:dyDescent="0.25">
      <c r="A527" s="66"/>
      <c r="B527" s="66"/>
      <c r="C527" s="67"/>
      <c r="D527" s="70"/>
      <c r="E527" s="58"/>
      <c r="F527" s="72"/>
    </row>
    <row r="528" spans="1:6" x14ac:dyDescent="0.25">
      <c r="A528" s="66"/>
      <c r="B528" s="66"/>
      <c r="C528" s="67"/>
      <c r="D528" s="70"/>
      <c r="E528" s="58"/>
      <c r="F528" s="72"/>
    </row>
    <row r="529" spans="1:6" x14ac:dyDescent="0.25">
      <c r="A529" s="66"/>
      <c r="B529" s="66"/>
      <c r="C529" s="67"/>
      <c r="D529" s="70"/>
      <c r="E529" s="58"/>
      <c r="F529" s="72"/>
    </row>
    <row r="530" spans="1:6" x14ac:dyDescent="0.25">
      <c r="A530" s="66"/>
      <c r="B530" s="66"/>
      <c r="C530" s="67"/>
      <c r="D530" s="70"/>
      <c r="E530" s="58"/>
      <c r="F530" s="72"/>
    </row>
    <row r="531" spans="1:6" x14ac:dyDescent="0.25">
      <c r="A531" s="66"/>
      <c r="B531" s="66"/>
      <c r="C531" s="67"/>
      <c r="D531" s="70"/>
      <c r="E531" s="58"/>
      <c r="F531" s="72"/>
    </row>
    <row r="532" spans="1:6" x14ac:dyDescent="0.25">
      <c r="A532" s="66"/>
      <c r="B532" s="66"/>
      <c r="C532" s="67"/>
      <c r="D532" s="70"/>
      <c r="E532" s="58"/>
      <c r="F532" s="72"/>
    </row>
    <row r="533" spans="1:6" x14ac:dyDescent="0.25">
      <c r="A533" s="66"/>
      <c r="B533" s="66"/>
      <c r="C533" s="67"/>
      <c r="D533" s="70"/>
      <c r="E533" s="58"/>
      <c r="F533" s="72"/>
    </row>
    <row r="534" spans="1:6" x14ac:dyDescent="0.25">
      <c r="A534" s="66"/>
      <c r="B534" s="66"/>
      <c r="C534" s="67"/>
      <c r="D534" s="70"/>
      <c r="E534" s="58"/>
      <c r="F534" s="72"/>
    </row>
    <row r="535" spans="1:6" x14ac:dyDescent="0.25">
      <c r="A535" s="66"/>
      <c r="B535" s="66"/>
      <c r="C535" s="67"/>
      <c r="D535" s="70"/>
      <c r="E535" s="58"/>
      <c r="F535" s="72"/>
    </row>
    <row r="536" spans="1:6" x14ac:dyDescent="0.25">
      <c r="A536" s="66"/>
      <c r="B536" s="66"/>
      <c r="C536" s="67"/>
      <c r="D536" s="70"/>
      <c r="E536" s="58"/>
      <c r="F536" s="72"/>
    </row>
    <row r="537" spans="1:6" x14ac:dyDescent="0.25">
      <c r="A537" s="66"/>
      <c r="B537" s="66"/>
      <c r="C537" s="67"/>
      <c r="D537" s="70"/>
      <c r="E537" s="58"/>
      <c r="F537" s="72"/>
    </row>
    <row r="538" spans="1:6" x14ac:dyDescent="0.25">
      <c r="A538" s="66"/>
      <c r="B538" s="66"/>
      <c r="C538" s="67"/>
      <c r="D538" s="70"/>
      <c r="E538" s="58"/>
      <c r="F538" s="72"/>
    </row>
    <row r="539" spans="1:6" x14ac:dyDescent="0.25">
      <c r="A539" s="66"/>
      <c r="B539" s="66"/>
      <c r="C539" s="67"/>
      <c r="D539" s="70"/>
      <c r="E539" s="58"/>
      <c r="F539" s="72"/>
    </row>
    <row r="540" spans="1:6" x14ac:dyDescent="0.25">
      <c r="A540" s="66"/>
      <c r="B540" s="66"/>
      <c r="C540" s="67"/>
      <c r="D540" s="70"/>
      <c r="E540" s="58"/>
      <c r="F540" s="72"/>
    </row>
    <row r="541" spans="1:6" x14ac:dyDescent="0.25">
      <c r="A541" s="66"/>
      <c r="B541" s="66"/>
      <c r="C541" s="67"/>
      <c r="D541" s="70"/>
      <c r="E541" s="58"/>
      <c r="F541" s="72"/>
    </row>
    <row r="542" spans="1:6" x14ac:dyDescent="0.25">
      <c r="A542" s="66"/>
      <c r="B542" s="66"/>
      <c r="C542" s="67"/>
      <c r="D542" s="70"/>
      <c r="E542" s="58"/>
      <c r="F542" s="72"/>
    </row>
    <row r="543" spans="1:6" x14ac:dyDescent="0.25">
      <c r="A543" s="66"/>
      <c r="B543" s="66"/>
      <c r="C543" s="67"/>
      <c r="D543" s="70"/>
      <c r="E543" s="58"/>
      <c r="F543" s="72"/>
    </row>
    <row r="544" spans="1:6" x14ac:dyDescent="0.25">
      <c r="A544" s="66"/>
      <c r="B544" s="66"/>
      <c r="C544" s="67"/>
      <c r="D544" s="70"/>
      <c r="E544" s="58"/>
      <c r="F544" s="72"/>
    </row>
    <row r="545" spans="1:6" x14ac:dyDescent="0.25">
      <c r="A545" s="66"/>
      <c r="B545" s="66"/>
      <c r="C545" s="67"/>
      <c r="D545" s="70"/>
      <c r="E545" s="58"/>
      <c r="F545" s="72"/>
    </row>
    <row r="546" spans="1:6" x14ac:dyDescent="0.25">
      <c r="A546" s="66"/>
      <c r="B546" s="66"/>
      <c r="C546" s="67"/>
      <c r="D546" s="70"/>
      <c r="E546" s="58"/>
      <c r="F546" s="72"/>
    </row>
    <row r="547" spans="1:6" x14ac:dyDescent="0.25">
      <c r="A547" s="66"/>
      <c r="B547" s="66"/>
      <c r="C547" s="67"/>
      <c r="D547" s="70"/>
      <c r="E547" s="58"/>
      <c r="F547" s="72"/>
    </row>
    <row r="548" spans="1:6" x14ac:dyDescent="0.25">
      <c r="A548" s="66"/>
      <c r="B548" s="66"/>
      <c r="C548" s="67"/>
      <c r="D548" s="70"/>
      <c r="E548" s="58"/>
      <c r="F548" s="72"/>
    </row>
    <row r="549" spans="1:6" x14ac:dyDescent="0.25">
      <c r="A549" s="66"/>
      <c r="B549" s="66"/>
      <c r="C549" s="67"/>
      <c r="D549" s="70"/>
      <c r="E549" s="58"/>
      <c r="F549" s="72"/>
    </row>
    <row r="550" spans="1:6" x14ac:dyDescent="0.25">
      <c r="A550" s="66"/>
      <c r="B550" s="66"/>
      <c r="C550" s="67"/>
      <c r="D550" s="70"/>
      <c r="E550" s="58"/>
      <c r="F550" s="72"/>
    </row>
    <row r="551" spans="1:6" x14ac:dyDescent="0.25">
      <c r="A551" s="66"/>
      <c r="B551" s="66"/>
      <c r="C551" s="67"/>
      <c r="D551" s="70"/>
      <c r="E551" s="58"/>
      <c r="F551" s="72"/>
    </row>
    <row r="552" spans="1:6" x14ac:dyDescent="0.25">
      <c r="A552" s="66"/>
      <c r="B552" s="66"/>
      <c r="C552" s="67"/>
      <c r="D552" s="70"/>
      <c r="E552" s="58"/>
      <c r="F552" s="72"/>
    </row>
    <row r="553" spans="1:6" x14ac:dyDescent="0.25">
      <c r="A553" s="66"/>
      <c r="B553" s="66"/>
      <c r="C553" s="67"/>
      <c r="D553" s="70"/>
      <c r="E553" s="58"/>
      <c r="F553" s="72"/>
    </row>
    <row r="554" spans="1:6" x14ac:dyDescent="0.25">
      <c r="A554" s="66"/>
      <c r="B554" s="66"/>
      <c r="C554" s="67"/>
      <c r="D554" s="70"/>
      <c r="E554" s="58"/>
      <c r="F554" s="72"/>
    </row>
    <row r="555" spans="1:6" x14ac:dyDescent="0.25">
      <c r="A555" s="66"/>
      <c r="B555" s="66"/>
      <c r="C555" s="67"/>
      <c r="D555" s="70"/>
      <c r="E555" s="58"/>
      <c r="F555" s="72"/>
    </row>
    <row r="556" spans="1:6" x14ac:dyDescent="0.25">
      <c r="A556" s="66"/>
      <c r="B556" s="66"/>
      <c r="C556" s="67"/>
      <c r="D556" s="70"/>
      <c r="E556" s="58"/>
      <c r="F556" s="72"/>
    </row>
    <row r="557" spans="1:6" x14ac:dyDescent="0.25">
      <c r="A557" s="66"/>
      <c r="B557" s="66"/>
      <c r="C557" s="67"/>
      <c r="D557" s="70"/>
      <c r="E557" s="58"/>
      <c r="F557" s="72"/>
    </row>
    <row r="558" spans="1:6" x14ac:dyDescent="0.25">
      <c r="A558" s="66"/>
      <c r="B558" s="66"/>
      <c r="C558" s="67"/>
      <c r="D558" s="70"/>
      <c r="E558" s="58"/>
      <c r="F558" s="72"/>
    </row>
    <row r="559" spans="1:6" x14ac:dyDescent="0.25">
      <c r="A559" s="66"/>
      <c r="B559" s="66"/>
      <c r="C559" s="67"/>
      <c r="D559" s="70"/>
      <c r="E559" s="58"/>
      <c r="F559" s="72"/>
    </row>
    <row r="560" spans="1:6" x14ac:dyDescent="0.25">
      <c r="A560" s="66"/>
      <c r="B560" s="66"/>
      <c r="C560" s="67"/>
      <c r="D560" s="70"/>
      <c r="E560" s="58"/>
      <c r="F560" s="72"/>
    </row>
    <row r="561" spans="1:6" x14ac:dyDescent="0.25">
      <c r="A561" s="66"/>
      <c r="B561" s="66"/>
      <c r="C561" s="67"/>
      <c r="D561" s="70"/>
      <c r="E561" s="58"/>
      <c r="F561" s="72"/>
    </row>
    <row r="562" spans="1:6" x14ac:dyDescent="0.25">
      <c r="A562" s="66"/>
      <c r="B562" s="66"/>
      <c r="C562" s="67"/>
      <c r="D562" s="70"/>
      <c r="E562" s="58"/>
      <c r="F562" s="72"/>
    </row>
    <row r="563" spans="1:6" x14ac:dyDescent="0.25">
      <c r="A563" s="66"/>
      <c r="B563" s="66"/>
      <c r="C563" s="67"/>
      <c r="D563" s="70"/>
      <c r="E563" s="58"/>
      <c r="F563" s="72"/>
    </row>
    <row r="564" spans="1:6" x14ac:dyDescent="0.25">
      <c r="A564" s="66"/>
      <c r="B564" s="66"/>
      <c r="C564" s="67"/>
      <c r="D564" s="70"/>
      <c r="E564" s="58"/>
      <c r="F564" s="72"/>
    </row>
    <row r="565" spans="1:6" x14ac:dyDescent="0.25">
      <c r="A565" s="66"/>
      <c r="B565" s="66"/>
      <c r="C565" s="67"/>
      <c r="D565" s="70"/>
      <c r="E565" s="58"/>
      <c r="F565" s="72"/>
    </row>
    <row r="566" spans="1:6" x14ac:dyDescent="0.25">
      <c r="A566" s="66"/>
      <c r="B566" s="66"/>
      <c r="C566" s="67"/>
      <c r="D566" s="70"/>
      <c r="E566" s="58"/>
      <c r="F566" s="72"/>
    </row>
    <row r="567" spans="1:6" x14ac:dyDescent="0.25">
      <c r="A567" s="66"/>
      <c r="B567" s="66"/>
      <c r="C567" s="67"/>
      <c r="D567" s="70"/>
      <c r="E567" s="58"/>
      <c r="F567" s="72"/>
    </row>
    <row r="568" spans="1:6" x14ac:dyDescent="0.25">
      <c r="A568" s="66"/>
      <c r="B568" s="66"/>
      <c r="C568" s="67"/>
      <c r="D568" s="70"/>
      <c r="E568" s="58"/>
      <c r="F568" s="72"/>
    </row>
    <row r="569" spans="1:6" x14ac:dyDescent="0.25">
      <c r="A569" s="66"/>
      <c r="B569" s="66"/>
      <c r="C569" s="67"/>
      <c r="D569" s="70"/>
      <c r="E569" s="58"/>
      <c r="F569" s="72"/>
    </row>
    <row r="570" spans="1:6" x14ac:dyDescent="0.25">
      <c r="A570" s="66"/>
      <c r="B570" s="66"/>
      <c r="C570" s="67"/>
      <c r="D570" s="70"/>
      <c r="E570" s="58"/>
      <c r="F570" s="72"/>
    </row>
    <row r="571" spans="1:6" x14ac:dyDescent="0.25">
      <c r="A571" s="66"/>
      <c r="B571" s="66"/>
      <c r="C571" s="67"/>
      <c r="D571" s="70"/>
      <c r="E571" s="58"/>
      <c r="F571" s="72"/>
    </row>
    <row r="572" spans="1:6" x14ac:dyDescent="0.25">
      <c r="A572" s="66"/>
      <c r="B572" s="66"/>
      <c r="C572" s="67"/>
      <c r="D572" s="70"/>
      <c r="E572" s="58"/>
      <c r="F572" s="72"/>
    </row>
    <row r="573" spans="1:6" x14ac:dyDescent="0.25">
      <c r="A573" s="66"/>
      <c r="B573" s="66"/>
      <c r="C573" s="67"/>
      <c r="D573" s="70"/>
      <c r="E573" s="58"/>
      <c r="F573" s="72"/>
    </row>
    <row r="574" spans="1:6" x14ac:dyDescent="0.25">
      <c r="A574" s="66"/>
      <c r="B574" s="66"/>
      <c r="C574" s="67"/>
      <c r="D574" s="70"/>
      <c r="E574" s="58"/>
      <c r="F574" s="72"/>
    </row>
    <row r="575" spans="1:6" x14ac:dyDescent="0.25">
      <c r="A575" s="66"/>
      <c r="B575" s="66"/>
      <c r="C575" s="67"/>
      <c r="D575" s="70"/>
      <c r="E575" s="58"/>
      <c r="F575" s="72"/>
    </row>
    <row r="576" spans="1:6" x14ac:dyDescent="0.25">
      <c r="A576" s="66"/>
      <c r="B576" s="66"/>
      <c r="C576" s="67"/>
      <c r="D576" s="70"/>
      <c r="E576" s="58"/>
      <c r="F576" s="72"/>
    </row>
    <row r="577" spans="1:6" x14ac:dyDescent="0.25">
      <c r="A577" s="66"/>
      <c r="B577" s="66"/>
      <c r="C577" s="67"/>
      <c r="D577" s="70"/>
      <c r="E577" s="58"/>
      <c r="F577" s="72"/>
    </row>
    <row r="578" spans="1:6" x14ac:dyDescent="0.25">
      <c r="A578" s="66"/>
      <c r="B578" s="66"/>
      <c r="C578" s="67"/>
      <c r="D578" s="70"/>
      <c r="E578" s="58"/>
      <c r="F578" s="72"/>
    </row>
    <row r="579" spans="1:6" x14ac:dyDescent="0.25">
      <c r="A579" s="66"/>
      <c r="B579" s="66"/>
      <c r="C579" s="67"/>
      <c r="D579" s="70"/>
      <c r="E579" s="58"/>
      <c r="F579" s="72"/>
    </row>
    <row r="580" spans="1:6" x14ac:dyDescent="0.25">
      <c r="A580" s="66"/>
      <c r="B580" s="66"/>
      <c r="C580" s="67"/>
      <c r="D580" s="70"/>
      <c r="E580" s="58"/>
      <c r="F580" s="72"/>
    </row>
    <row r="581" spans="1:6" x14ac:dyDescent="0.25">
      <c r="A581" s="66"/>
      <c r="B581" s="66"/>
      <c r="C581" s="67"/>
      <c r="D581" s="70"/>
      <c r="E581" s="58"/>
      <c r="F581" s="72"/>
    </row>
    <row r="582" spans="1:6" x14ac:dyDescent="0.25">
      <c r="A582" s="66"/>
      <c r="B582" s="66"/>
      <c r="C582" s="67"/>
      <c r="D582" s="70"/>
      <c r="E582" s="58"/>
      <c r="F582" s="72"/>
    </row>
    <row r="583" spans="1:6" x14ac:dyDescent="0.25">
      <c r="A583" s="66"/>
      <c r="B583" s="66"/>
      <c r="C583" s="67"/>
      <c r="D583" s="70"/>
      <c r="E583" s="58"/>
      <c r="F583" s="72"/>
    </row>
    <row r="584" spans="1:6" x14ac:dyDescent="0.25">
      <c r="A584" s="66"/>
      <c r="B584" s="66"/>
      <c r="C584" s="67"/>
      <c r="D584" s="70"/>
      <c r="E584" s="58"/>
      <c r="F584" s="72"/>
    </row>
    <row r="585" spans="1:6" x14ac:dyDescent="0.25">
      <c r="A585" s="66"/>
      <c r="B585" s="66"/>
      <c r="C585" s="67"/>
      <c r="D585" s="70"/>
      <c r="E585" s="58"/>
      <c r="F585" s="72"/>
    </row>
    <row r="586" spans="1:6" x14ac:dyDescent="0.25">
      <c r="A586" s="66"/>
      <c r="B586" s="66"/>
      <c r="C586" s="67"/>
      <c r="D586" s="70"/>
      <c r="E586" s="58"/>
      <c r="F586" s="72"/>
    </row>
    <row r="587" spans="1:6" x14ac:dyDescent="0.25">
      <c r="A587" s="66"/>
      <c r="B587" s="66"/>
      <c r="C587" s="67"/>
      <c r="D587" s="70"/>
      <c r="E587" s="58"/>
      <c r="F587" s="72"/>
    </row>
    <row r="588" spans="1:6" x14ac:dyDescent="0.25">
      <c r="A588" s="66"/>
      <c r="B588" s="66"/>
      <c r="C588" s="67"/>
      <c r="D588" s="70"/>
      <c r="E588" s="58"/>
      <c r="F588" s="72"/>
    </row>
    <row r="589" spans="1:6" x14ac:dyDescent="0.25">
      <c r="A589" s="66"/>
      <c r="B589" s="66"/>
      <c r="C589" s="67"/>
      <c r="D589" s="70"/>
      <c r="E589" s="58"/>
      <c r="F589" s="72"/>
    </row>
    <row r="590" spans="1:6" x14ac:dyDescent="0.25">
      <c r="A590" s="66"/>
      <c r="B590" s="66"/>
      <c r="C590" s="67"/>
      <c r="D590" s="70"/>
      <c r="E590" s="58"/>
      <c r="F590" s="72"/>
    </row>
    <row r="591" spans="1:6" x14ac:dyDescent="0.25">
      <c r="A591" s="66"/>
      <c r="B591" s="66"/>
      <c r="C591" s="67"/>
      <c r="D591" s="70"/>
      <c r="E591" s="58"/>
      <c r="F591" s="72"/>
    </row>
    <row r="592" spans="1:6" x14ac:dyDescent="0.25">
      <c r="A592" s="66"/>
      <c r="B592" s="66"/>
      <c r="C592" s="67"/>
      <c r="D592" s="70"/>
      <c r="E592" s="58"/>
      <c r="F592" s="72"/>
    </row>
    <row r="593" spans="1:6" x14ac:dyDescent="0.25">
      <c r="A593" s="66"/>
      <c r="B593" s="66"/>
      <c r="C593" s="67"/>
      <c r="D593" s="70"/>
      <c r="E593" s="58"/>
      <c r="F593" s="72"/>
    </row>
    <row r="594" spans="1:6" x14ac:dyDescent="0.25">
      <c r="A594" s="66"/>
      <c r="B594" s="66"/>
      <c r="C594" s="67"/>
      <c r="D594" s="70"/>
      <c r="E594" s="58"/>
      <c r="F594" s="72"/>
    </row>
    <row r="595" spans="1:6" x14ac:dyDescent="0.25">
      <c r="A595" s="66"/>
      <c r="B595" s="66"/>
      <c r="C595" s="67"/>
      <c r="D595" s="70"/>
      <c r="E595" s="58"/>
      <c r="F595" s="72"/>
    </row>
    <row r="596" spans="1:6" x14ac:dyDescent="0.25">
      <c r="A596" s="66"/>
      <c r="B596" s="66"/>
      <c r="C596" s="67"/>
      <c r="D596" s="70"/>
      <c r="E596" s="58"/>
      <c r="F596" s="72"/>
    </row>
    <row r="597" spans="1:6" x14ac:dyDescent="0.25">
      <c r="A597" s="66"/>
      <c r="B597" s="66"/>
      <c r="C597" s="67"/>
      <c r="D597" s="70"/>
      <c r="E597" s="58"/>
      <c r="F597" s="72"/>
    </row>
    <row r="598" spans="1:6" x14ac:dyDescent="0.25">
      <c r="A598" s="66"/>
      <c r="B598" s="66"/>
      <c r="C598" s="67"/>
      <c r="D598" s="70"/>
      <c r="E598" s="58"/>
      <c r="F598" s="72"/>
    </row>
    <row r="599" spans="1:6" x14ac:dyDescent="0.25">
      <c r="A599" s="66"/>
      <c r="B599" s="66"/>
      <c r="C599" s="67"/>
      <c r="D599" s="70"/>
      <c r="E599" s="58"/>
      <c r="F599" s="72"/>
    </row>
    <row r="600" spans="1:6" x14ac:dyDescent="0.25">
      <c r="A600" s="66"/>
      <c r="B600" s="66"/>
      <c r="C600" s="67"/>
      <c r="D600" s="70"/>
      <c r="E600" s="58"/>
      <c r="F600" s="72"/>
    </row>
    <row r="601" spans="1:6" x14ac:dyDescent="0.25">
      <c r="A601" s="66"/>
      <c r="B601" s="66"/>
      <c r="C601" s="67"/>
      <c r="D601" s="70"/>
      <c r="E601" s="58"/>
      <c r="F601" s="72"/>
    </row>
    <row r="602" spans="1:6" x14ac:dyDescent="0.25">
      <c r="A602" s="66"/>
      <c r="B602" s="66"/>
      <c r="C602" s="67"/>
      <c r="D602" s="70"/>
      <c r="E602" s="58"/>
      <c r="F602" s="72"/>
    </row>
    <row r="603" spans="1:6" x14ac:dyDescent="0.25">
      <c r="A603" s="66"/>
      <c r="B603" s="66"/>
      <c r="C603" s="67"/>
      <c r="D603" s="70"/>
      <c r="E603" s="58"/>
      <c r="F603" s="72"/>
    </row>
    <row r="604" spans="1:6" x14ac:dyDescent="0.25">
      <c r="A604" s="66"/>
      <c r="B604" s="66"/>
      <c r="C604" s="67"/>
      <c r="D604" s="70"/>
      <c r="E604" s="58"/>
      <c r="F604" s="72"/>
    </row>
    <row r="605" spans="1:6" x14ac:dyDescent="0.25">
      <c r="A605" s="66"/>
      <c r="B605" s="66"/>
      <c r="C605" s="67"/>
      <c r="D605" s="70"/>
      <c r="E605" s="58"/>
      <c r="F605" s="72"/>
    </row>
    <row r="606" spans="1:6" x14ac:dyDescent="0.25">
      <c r="A606" s="66"/>
      <c r="B606" s="66"/>
      <c r="C606" s="67"/>
      <c r="D606" s="70"/>
      <c r="E606" s="58"/>
      <c r="F606" s="72"/>
    </row>
    <row r="607" spans="1:6" x14ac:dyDescent="0.25">
      <c r="A607" s="66"/>
      <c r="B607" s="66"/>
      <c r="C607" s="67"/>
      <c r="D607" s="70"/>
      <c r="E607" s="58"/>
      <c r="F607" s="72"/>
    </row>
    <row r="608" spans="1:6" x14ac:dyDescent="0.25">
      <c r="A608" s="66"/>
      <c r="B608" s="66"/>
      <c r="C608" s="67"/>
      <c r="D608" s="70"/>
      <c r="E608" s="58"/>
      <c r="F608" s="72"/>
    </row>
    <row r="609" spans="1:6" x14ac:dyDescent="0.25">
      <c r="A609" s="66"/>
      <c r="B609" s="66"/>
      <c r="C609" s="67"/>
      <c r="D609" s="70"/>
      <c r="E609" s="58"/>
      <c r="F609" s="72"/>
    </row>
    <row r="610" spans="1:6" x14ac:dyDescent="0.25">
      <c r="A610" s="66"/>
      <c r="B610" s="66"/>
      <c r="C610" s="67"/>
      <c r="D610" s="70"/>
      <c r="E610" s="58"/>
      <c r="F610" s="72"/>
    </row>
    <row r="611" spans="1:6" x14ac:dyDescent="0.25">
      <c r="A611" s="66"/>
      <c r="B611" s="66"/>
      <c r="C611" s="67"/>
      <c r="D611" s="70"/>
      <c r="E611" s="58"/>
      <c r="F611" s="72"/>
    </row>
    <row r="612" spans="1:6" x14ac:dyDescent="0.25">
      <c r="A612" s="66"/>
      <c r="B612" s="66"/>
      <c r="C612" s="67"/>
      <c r="D612" s="70"/>
      <c r="E612" s="58"/>
      <c r="F612" s="72"/>
    </row>
    <row r="613" spans="1:6" x14ac:dyDescent="0.25">
      <c r="A613" s="66"/>
      <c r="B613" s="66"/>
      <c r="C613" s="67"/>
      <c r="D613" s="70"/>
      <c r="E613" s="58"/>
      <c r="F613" s="72"/>
    </row>
    <row r="614" spans="1:6" x14ac:dyDescent="0.25">
      <c r="A614" s="66"/>
      <c r="B614" s="66"/>
      <c r="C614" s="67"/>
      <c r="D614" s="70"/>
      <c r="E614" s="58"/>
      <c r="F614" s="72"/>
    </row>
    <row r="615" spans="1:6" x14ac:dyDescent="0.25">
      <c r="A615" s="66"/>
      <c r="B615" s="66"/>
      <c r="C615" s="67"/>
      <c r="D615" s="70"/>
      <c r="E615" s="58"/>
      <c r="F615" s="72"/>
    </row>
    <row r="616" spans="1:6" x14ac:dyDescent="0.25">
      <c r="A616" s="66"/>
      <c r="B616" s="66"/>
      <c r="C616" s="67"/>
      <c r="D616" s="70"/>
      <c r="E616" s="58"/>
      <c r="F616" s="72"/>
    </row>
    <row r="617" spans="1:6" x14ac:dyDescent="0.25">
      <c r="A617" s="66"/>
      <c r="B617" s="66"/>
      <c r="C617" s="67"/>
      <c r="D617" s="70"/>
      <c r="E617" s="58"/>
      <c r="F617" s="72"/>
    </row>
    <row r="618" spans="1:6" x14ac:dyDescent="0.25">
      <c r="A618" s="66"/>
      <c r="B618" s="66"/>
      <c r="C618" s="67"/>
      <c r="D618" s="70"/>
      <c r="E618" s="58"/>
      <c r="F618" s="72"/>
    </row>
    <row r="619" spans="1:6" x14ac:dyDescent="0.25">
      <c r="A619" s="66"/>
      <c r="B619" s="66"/>
      <c r="C619" s="67"/>
      <c r="D619" s="70"/>
      <c r="E619" s="58"/>
      <c r="F619" s="72"/>
    </row>
    <row r="620" spans="1:6" x14ac:dyDescent="0.25">
      <c r="A620" s="66"/>
      <c r="B620" s="66"/>
      <c r="C620" s="67"/>
      <c r="D620" s="70"/>
      <c r="E620" s="58"/>
      <c r="F620" s="72"/>
    </row>
    <row r="621" spans="1:6" x14ac:dyDescent="0.25">
      <c r="A621" s="66"/>
      <c r="B621" s="66"/>
      <c r="C621" s="67"/>
      <c r="D621" s="70"/>
      <c r="E621" s="58"/>
      <c r="F621" s="72"/>
    </row>
    <row r="622" spans="1:6" x14ac:dyDescent="0.25">
      <c r="A622" s="66"/>
      <c r="B622" s="66"/>
      <c r="C622" s="67"/>
      <c r="D622" s="70"/>
      <c r="E622" s="58"/>
      <c r="F622" s="72"/>
    </row>
    <row r="623" spans="1:6" x14ac:dyDescent="0.25">
      <c r="A623" s="66"/>
      <c r="B623" s="66"/>
      <c r="C623" s="67"/>
      <c r="D623" s="70"/>
      <c r="E623" s="58"/>
      <c r="F623" s="72"/>
    </row>
    <row r="624" spans="1:6" x14ac:dyDescent="0.25">
      <c r="A624" s="66"/>
      <c r="B624" s="66"/>
      <c r="C624" s="67"/>
      <c r="D624" s="70"/>
      <c r="E624" s="58"/>
      <c r="F624" s="72"/>
    </row>
    <row r="625" spans="1:6" x14ac:dyDescent="0.25">
      <c r="A625" s="66"/>
      <c r="B625" s="66"/>
      <c r="C625" s="67"/>
      <c r="D625" s="70"/>
      <c r="E625" s="58"/>
      <c r="F625" s="72"/>
    </row>
    <row r="626" spans="1:6" x14ac:dyDescent="0.25">
      <c r="A626" s="66"/>
      <c r="B626" s="66"/>
      <c r="C626" s="67"/>
      <c r="D626" s="70"/>
      <c r="E626" s="58"/>
      <c r="F626" s="72"/>
    </row>
    <row r="627" spans="1:6" x14ac:dyDescent="0.25">
      <c r="A627" s="66"/>
      <c r="B627" s="66"/>
      <c r="C627" s="67"/>
      <c r="D627" s="70"/>
      <c r="E627" s="58"/>
      <c r="F627" s="72"/>
    </row>
    <row r="628" spans="1:6" x14ac:dyDescent="0.25">
      <c r="A628" s="66"/>
      <c r="B628" s="66"/>
      <c r="C628" s="67"/>
      <c r="D628" s="70"/>
      <c r="E628" s="58"/>
      <c r="F628" s="72"/>
    </row>
    <row r="629" spans="1:6" x14ac:dyDescent="0.25">
      <c r="A629" s="66"/>
      <c r="B629" s="66"/>
      <c r="C629" s="67"/>
      <c r="D629" s="70"/>
      <c r="E629" s="58"/>
      <c r="F629" s="72"/>
    </row>
    <row r="630" spans="1:6" x14ac:dyDescent="0.25">
      <c r="A630" s="66"/>
      <c r="B630" s="66"/>
      <c r="C630" s="67"/>
      <c r="D630" s="70"/>
      <c r="E630" s="58"/>
      <c r="F630" s="72"/>
    </row>
    <row r="631" spans="1:6" x14ac:dyDescent="0.25">
      <c r="A631" s="66"/>
      <c r="B631" s="66"/>
      <c r="C631" s="67"/>
      <c r="D631" s="70"/>
      <c r="E631" s="58"/>
      <c r="F631" s="72"/>
    </row>
    <row r="632" spans="1:6" x14ac:dyDescent="0.25">
      <c r="A632" s="66"/>
      <c r="B632" s="66"/>
      <c r="C632" s="67"/>
      <c r="D632" s="70"/>
      <c r="E632" s="58"/>
      <c r="F632" s="72"/>
    </row>
    <row r="633" spans="1:6" x14ac:dyDescent="0.25">
      <c r="A633" s="66"/>
      <c r="B633" s="66"/>
      <c r="C633" s="67"/>
      <c r="D633" s="70"/>
      <c r="E633" s="58"/>
      <c r="F633" s="72"/>
    </row>
    <row r="634" spans="1:6" x14ac:dyDescent="0.25">
      <c r="A634" s="66"/>
      <c r="B634" s="66"/>
      <c r="C634" s="67"/>
      <c r="D634" s="70"/>
      <c r="E634" s="58"/>
      <c r="F634" s="72"/>
    </row>
    <row r="635" spans="1:6" x14ac:dyDescent="0.25">
      <c r="A635" s="66"/>
      <c r="B635" s="66"/>
      <c r="C635" s="67"/>
      <c r="D635" s="70"/>
      <c r="E635" s="58"/>
      <c r="F635" s="72"/>
    </row>
    <row r="636" spans="1:6" x14ac:dyDescent="0.25">
      <c r="A636" s="66"/>
      <c r="B636" s="66"/>
      <c r="C636" s="67"/>
      <c r="D636" s="70"/>
      <c r="E636" s="58"/>
      <c r="F636" s="72"/>
    </row>
    <row r="637" spans="1:6" x14ac:dyDescent="0.25">
      <c r="A637" s="66"/>
      <c r="B637" s="66"/>
      <c r="C637" s="67"/>
      <c r="D637" s="70"/>
      <c r="E637" s="58"/>
      <c r="F637" s="72"/>
    </row>
    <row r="638" spans="1:6" x14ac:dyDescent="0.25">
      <c r="A638" s="66"/>
      <c r="B638" s="66"/>
      <c r="C638" s="67"/>
      <c r="D638" s="70"/>
      <c r="E638" s="58"/>
      <c r="F638" s="72"/>
    </row>
    <row r="639" spans="1:6" x14ac:dyDescent="0.25">
      <c r="A639" s="66"/>
      <c r="B639" s="66"/>
      <c r="C639" s="67"/>
      <c r="D639" s="70"/>
      <c r="E639" s="58"/>
      <c r="F639" s="72"/>
    </row>
    <row r="640" spans="1:6" x14ac:dyDescent="0.25">
      <c r="A640" s="66"/>
      <c r="B640" s="66"/>
      <c r="C640" s="67"/>
      <c r="D640" s="70"/>
      <c r="E640" s="58"/>
      <c r="F640" s="72"/>
    </row>
    <row r="641" spans="1:6" x14ac:dyDescent="0.25">
      <c r="A641" s="66"/>
      <c r="B641" s="66"/>
      <c r="C641" s="67"/>
      <c r="D641" s="70"/>
      <c r="E641" s="58"/>
      <c r="F641" s="72"/>
    </row>
    <row r="642" spans="1:6" x14ac:dyDescent="0.25">
      <c r="A642" s="66"/>
      <c r="B642" s="66"/>
      <c r="C642" s="67"/>
      <c r="D642" s="70"/>
      <c r="E642" s="58"/>
      <c r="F642" s="72"/>
    </row>
    <row r="643" spans="1:6" x14ac:dyDescent="0.25">
      <c r="A643" s="66"/>
      <c r="B643" s="66"/>
      <c r="C643" s="67"/>
      <c r="D643" s="70"/>
      <c r="E643" s="58"/>
      <c r="F643" s="72"/>
    </row>
    <row r="644" spans="1:6" x14ac:dyDescent="0.25">
      <c r="A644" s="66"/>
      <c r="B644" s="66"/>
      <c r="C644" s="67"/>
      <c r="D644" s="70"/>
      <c r="E644" s="58"/>
      <c r="F644" s="72"/>
    </row>
    <row r="645" spans="1:6" x14ac:dyDescent="0.25">
      <c r="A645" s="66"/>
      <c r="B645" s="66"/>
      <c r="C645" s="67"/>
      <c r="D645" s="70"/>
      <c r="E645" s="58"/>
      <c r="F645" s="72"/>
    </row>
    <row r="646" spans="1:6" x14ac:dyDescent="0.25">
      <c r="A646" s="66"/>
      <c r="B646" s="66"/>
      <c r="C646" s="67"/>
      <c r="D646" s="70"/>
      <c r="E646" s="58"/>
      <c r="F646" s="72"/>
    </row>
    <row r="647" spans="1:6" x14ac:dyDescent="0.25">
      <c r="A647" s="66"/>
      <c r="B647" s="66"/>
      <c r="C647" s="67"/>
      <c r="D647" s="70"/>
      <c r="E647" s="58"/>
      <c r="F647" s="72"/>
    </row>
    <row r="648" spans="1:6" x14ac:dyDescent="0.25">
      <c r="A648" s="66"/>
      <c r="B648" s="66"/>
      <c r="C648" s="67"/>
      <c r="D648" s="70"/>
      <c r="E648" s="58"/>
      <c r="F648" s="72"/>
    </row>
    <row r="649" spans="1:6" x14ac:dyDescent="0.25">
      <c r="A649" s="66"/>
      <c r="B649" s="66"/>
      <c r="C649" s="67"/>
      <c r="D649" s="70"/>
      <c r="E649" s="58"/>
      <c r="F649" s="72"/>
    </row>
    <row r="650" spans="1:6" x14ac:dyDescent="0.25">
      <c r="A650" s="66"/>
      <c r="B650" s="66"/>
      <c r="C650" s="67"/>
      <c r="D650" s="70"/>
      <c r="E650" s="58"/>
      <c r="F650" s="72"/>
    </row>
    <row r="651" spans="1:6" x14ac:dyDescent="0.25">
      <c r="A651" s="66"/>
      <c r="B651" s="66"/>
      <c r="C651" s="67"/>
      <c r="D651" s="70"/>
      <c r="E651" s="58"/>
      <c r="F651" s="72"/>
    </row>
    <row r="652" spans="1:6" x14ac:dyDescent="0.25">
      <c r="A652" s="66"/>
      <c r="B652" s="66"/>
      <c r="C652" s="67"/>
      <c r="D652" s="70"/>
      <c r="E652" s="58"/>
      <c r="F652" s="72"/>
    </row>
    <row r="653" spans="1:6" x14ac:dyDescent="0.25">
      <c r="A653" s="66"/>
      <c r="B653" s="66"/>
      <c r="C653" s="67"/>
      <c r="D653" s="70"/>
      <c r="E653" s="58"/>
      <c r="F653" s="72"/>
    </row>
    <row r="654" spans="1:6" x14ac:dyDescent="0.25">
      <c r="A654" s="66"/>
      <c r="B654" s="66"/>
      <c r="C654" s="67"/>
      <c r="D654" s="70"/>
      <c r="E654" s="58"/>
      <c r="F654" s="72"/>
    </row>
    <row r="655" spans="1:6" x14ac:dyDescent="0.25">
      <c r="A655" s="66"/>
      <c r="B655" s="66"/>
      <c r="C655" s="67"/>
      <c r="D655" s="70"/>
      <c r="E655" s="58"/>
      <c r="F655" s="72"/>
    </row>
    <row r="656" spans="1:6" x14ac:dyDescent="0.25">
      <c r="A656" s="66"/>
      <c r="B656" s="66"/>
      <c r="C656" s="67"/>
      <c r="D656" s="70"/>
      <c r="E656" s="58"/>
      <c r="F656" s="72"/>
    </row>
    <row r="657" spans="1:6" x14ac:dyDescent="0.25">
      <c r="A657" s="66"/>
      <c r="B657" s="66"/>
      <c r="C657" s="67"/>
      <c r="D657" s="70"/>
      <c r="E657" s="58"/>
      <c r="F657" s="72"/>
    </row>
    <row r="658" spans="1:6" x14ac:dyDescent="0.25">
      <c r="A658" s="66"/>
      <c r="B658" s="66"/>
      <c r="C658" s="67"/>
      <c r="D658" s="70"/>
      <c r="E658" s="58"/>
      <c r="F658" s="72"/>
    </row>
    <row r="659" spans="1:6" x14ac:dyDescent="0.25">
      <c r="A659" s="66"/>
      <c r="B659" s="66"/>
      <c r="C659" s="67"/>
      <c r="D659" s="70"/>
      <c r="E659" s="58"/>
      <c r="F659" s="72"/>
    </row>
    <row r="660" spans="1:6" x14ac:dyDescent="0.25">
      <c r="A660" s="66"/>
      <c r="B660" s="66"/>
      <c r="C660" s="67"/>
      <c r="D660" s="70"/>
      <c r="E660" s="58"/>
      <c r="F660" s="72"/>
    </row>
    <row r="661" spans="1:6" x14ac:dyDescent="0.25">
      <c r="A661" s="66"/>
      <c r="B661" s="66"/>
      <c r="C661" s="67"/>
      <c r="D661" s="70"/>
      <c r="E661" s="58"/>
      <c r="F661" s="72"/>
    </row>
    <row r="662" spans="1:6" x14ac:dyDescent="0.25">
      <c r="A662" s="66"/>
      <c r="B662" s="66"/>
      <c r="C662" s="67"/>
      <c r="D662" s="70"/>
      <c r="E662" s="58"/>
      <c r="F662" s="72"/>
    </row>
    <row r="663" spans="1:6" x14ac:dyDescent="0.25">
      <c r="A663" s="66"/>
      <c r="B663" s="66"/>
      <c r="C663" s="67"/>
      <c r="D663" s="70"/>
      <c r="E663" s="58"/>
      <c r="F663" s="72"/>
    </row>
    <row r="664" spans="1:6" x14ac:dyDescent="0.25">
      <c r="A664" s="66"/>
      <c r="B664" s="66"/>
      <c r="C664" s="67"/>
      <c r="D664" s="70"/>
      <c r="E664" s="58"/>
      <c r="F664" s="72"/>
    </row>
    <row r="665" spans="1:6" x14ac:dyDescent="0.25">
      <c r="A665" s="66"/>
      <c r="B665" s="66"/>
      <c r="C665" s="67"/>
      <c r="D665" s="70"/>
      <c r="E665" s="58"/>
      <c r="F665" s="72"/>
    </row>
    <row r="666" spans="1:6" x14ac:dyDescent="0.25">
      <c r="A666" s="66"/>
      <c r="B666" s="66"/>
      <c r="C666" s="67"/>
      <c r="D666" s="70"/>
      <c r="E666" s="58"/>
      <c r="F666" s="72"/>
    </row>
    <row r="667" spans="1:6" x14ac:dyDescent="0.25">
      <c r="A667" s="66"/>
      <c r="B667" s="66"/>
      <c r="C667" s="67"/>
      <c r="D667" s="70"/>
      <c r="E667" s="58"/>
      <c r="F667" s="72"/>
    </row>
    <row r="668" spans="1:6" x14ac:dyDescent="0.25">
      <c r="A668" s="66"/>
      <c r="B668" s="66"/>
      <c r="C668" s="67"/>
      <c r="D668" s="70"/>
      <c r="E668" s="58"/>
      <c r="F668" s="72"/>
    </row>
    <row r="669" spans="1:6" x14ac:dyDescent="0.25">
      <c r="A669" s="66"/>
      <c r="B669" s="66"/>
      <c r="C669" s="67"/>
      <c r="D669" s="70"/>
      <c r="E669" s="58"/>
      <c r="F669" s="72"/>
    </row>
    <row r="670" spans="1:6" x14ac:dyDescent="0.25">
      <c r="A670" s="66"/>
      <c r="B670" s="66"/>
      <c r="C670" s="67"/>
      <c r="D670" s="70"/>
      <c r="E670" s="58"/>
      <c r="F670" s="72"/>
    </row>
    <row r="671" spans="1:6" x14ac:dyDescent="0.25">
      <c r="A671" s="66"/>
      <c r="B671" s="66"/>
      <c r="C671" s="67"/>
      <c r="D671" s="70"/>
      <c r="E671" s="58"/>
      <c r="F671" s="72"/>
    </row>
    <row r="672" spans="1:6" x14ac:dyDescent="0.25">
      <c r="A672" s="66"/>
      <c r="B672" s="66"/>
      <c r="C672" s="67"/>
      <c r="D672" s="70"/>
      <c r="E672" s="58"/>
      <c r="F672" s="72"/>
    </row>
    <row r="673" spans="1:6" x14ac:dyDescent="0.25">
      <c r="A673" s="66"/>
      <c r="B673" s="66"/>
      <c r="C673" s="67"/>
      <c r="D673" s="70"/>
      <c r="E673" s="58"/>
      <c r="F673" s="72"/>
    </row>
    <row r="674" spans="1:6" x14ac:dyDescent="0.25">
      <c r="A674" s="66"/>
      <c r="B674" s="66"/>
      <c r="C674" s="67"/>
      <c r="D674" s="70"/>
      <c r="E674" s="58"/>
      <c r="F674" s="72"/>
    </row>
    <row r="675" spans="1:6" x14ac:dyDescent="0.25">
      <c r="A675" s="66"/>
      <c r="B675" s="66"/>
      <c r="C675" s="67"/>
      <c r="D675" s="70"/>
      <c r="E675" s="58"/>
      <c r="F675" s="72"/>
    </row>
    <row r="676" spans="1:6" x14ac:dyDescent="0.25">
      <c r="A676" s="66"/>
      <c r="B676" s="66"/>
      <c r="C676" s="67"/>
      <c r="D676" s="70"/>
      <c r="E676" s="58"/>
      <c r="F676" s="72"/>
    </row>
    <row r="677" spans="1:6" x14ac:dyDescent="0.25">
      <c r="A677" s="66"/>
      <c r="B677" s="66"/>
      <c r="C677" s="67"/>
      <c r="D677" s="70"/>
      <c r="E677" s="58"/>
      <c r="F677" s="72"/>
    </row>
    <row r="678" spans="1:6" x14ac:dyDescent="0.25">
      <c r="A678" s="66"/>
      <c r="B678" s="66"/>
      <c r="C678" s="67"/>
      <c r="D678" s="70"/>
      <c r="E678" s="58"/>
      <c r="F678" s="72"/>
    </row>
    <row r="679" spans="1:6" x14ac:dyDescent="0.25">
      <c r="A679" s="66"/>
      <c r="B679" s="66"/>
      <c r="C679" s="67"/>
      <c r="D679" s="70"/>
      <c r="E679" s="58"/>
      <c r="F679" s="72"/>
    </row>
    <row r="680" spans="1:6" x14ac:dyDescent="0.25">
      <c r="A680" s="66"/>
      <c r="B680" s="66"/>
      <c r="C680" s="67"/>
      <c r="D680" s="70"/>
      <c r="E680" s="58"/>
      <c r="F680" s="72"/>
    </row>
    <row r="681" spans="1:6" x14ac:dyDescent="0.25">
      <c r="A681" s="66"/>
      <c r="B681" s="66"/>
      <c r="C681" s="67"/>
      <c r="D681" s="70"/>
      <c r="E681" s="58"/>
      <c r="F681" s="72"/>
    </row>
    <row r="682" spans="1:6" x14ac:dyDescent="0.25">
      <c r="A682" s="66"/>
      <c r="B682" s="66"/>
      <c r="C682" s="67"/>
      <c r="D682" s="70"/>
      <c r="E682" s="58"/>
      <c r="F682" s="72"/>
    </row>
    <row r="683" spans="1:6" x14ac:dyDescent="0.25">
      <c r="A683" s="66"/>
      <c r="B683" s="66"/>
      <c r="C683" s="67"/>
      <c r="D683" s="70"/>
      <c r="E683" s="58"/>
      <c r="F683" s="72"/>
    </row>
    <row r="684" spans="1:6" x14ac:dyDescent="0.25">
      <c r="A684" s="66"/>
      <c r="B684" s="66"/>
      <c r="C684" s="67"/>
      <c r="D684" s="70"/>
      <c r="E684" s="58"/>
      <c r="F684" s="72"/>
    </row>
    <row r="685" spans="1:6" x14ac:dyDescent="0.25">
      <c r="A685" s="66"/>
      <c r="B685" s="66"/>
      <c r="C685" s="67"/>
      <c r="D685" s="70"/>
      <c r="E685" s="58"/>
      <c r="F685" s="72"/>
    </row>
    <row r="686" spans="1:6" x14ac:dyDescent="0.25">
      <c r="A686" s="66"/>
      <c r="B686" s="66"/>
      <c r="C686" s="67"/>
      <c r="D686" s="70"/>
      <c r="E686" s="58"/>
      <c r="F686" s="72"/>
    </row>
    <row r="687" spans="1:6" x14ac:dyDescent="0.25">
      <c r="A687" s="66"/>
      <c r="B687" s="66"/>
      <c r="C687" s="67"/>
      <c r="D687" s="70"/>
      <c r="E687" s="58"/>
      <c r="F687" s="72"/>
    </row>
    <row r="688" spans="1:6" x14ac:dyDescent="0.25">
      <c r="A688" s="66"/>
      <c r="B688" s="66"/>
      <c r="C688" s="67"/>
      <c r="D688" s="70"/>
      <c r="E688" s="58"/>
      <c r="F688" s="72"/>
    </row>
    <row r="689" spans="1:6" x14ac:dyDescent="0.25">
      <c r="A689" s="66"/>
      <c r="B689" s="66"/>
      <c r="C689" s="67"/>
      <c r="D689" s="70"/>
      <c r="E689" s="58"/>
      <c r="F689" s="72"/>
    </row>
    <row r="690" spans="1:6" x14ac:dyDescent="0.25">
      <c r="A690" s="66"/>
      <c r="B690" s="66"/>
      <c r="C690" s="67"/>
      <c r="D690" s="70"/>
      <c r="E690" s="58"/>
      <c r="F690" s="72"/>
    </row>
    <row r="691" spans="1:6" x14ac:dyDescent="0.25">
      <c r="A691" s="66"/>
      <c r="B691" s="66"/>
      <c r="C691" s="67"/>
      <c r="D691" s="70"/>
      <c r="E691" s="58"/>
      <c r="F691" s="72"/>
    </row>
    <row r="692" spans="1:6" x14ac:dyDescent="0.25">
      <c r="A692" s="66"/>
      <c r="B692" s="66"/>
      <c r="C692" s="67"/>
      <c r="D692" s="70"/>
      <c r="E692" s="58"/>
      <c r="F692" s="72"/>
    </row>
    <row r="693" spans="1:6" x14ac:dyDescent="0.25">
      <c r="A693" s="66"/>
      <c r="B693" s="66"/>
      <c r="C693" s="67"/>
      <c r="D693" s="70"/>
      <c r="E693" s="58"/>
      <c r="F693" s="72"/>
    </row>
    <row r="694" spans="1:6" x14ac:dyDescent="0.25">
      <c r="A694" s="66"/>
      <c r="B694" s="66"/>
      <c r="C694" s="67"/>
      <c r="D694" s="70"/>
      <c r="E694" s="58"/>
      <c r="F694" s="72"/>
    </row>
    <row r="695" spans="1:6" x14ac:dyDescent="0.25">
      <c r="A695" s="66"/>
      <c r="B695" s="66"/>
      <c r="C695" s="67"/>
      <c r="D695" s="70"/>
      <c r="E695" s="58"/>
      <c r="F695" s="72"/>
    </row>
    <row r="696" spans="1:6" x14ac:dyDescent="0.25">
      <c r="A696" s="66"/>
      <c r="B696" s="66"/>
      <c r="C696" s="67"/>
      <c r="D696" s="70"/>
      <c r="E696" s="58"/>
      <c r="F696" s="72"/>
    </row>
    <row r="697" spans="1:6" x14ac:dyDescent="0.25">
      <c r="A697" s="66"/>
      <c r="B697" s="66"/>
      <c r="C697" s="67"/>
      <c r="D697" s="70"/>
      <c r="E697" s="58"/>
      <c r="F697" s="72"/>
    </row>
    <row r="698" spans="1:6" x14ac:dyDescent="0.25">
      <c r="A698" s="66"/>
      <c r="B698" s="66"/>
      <c r="C698" s="67"/>
      <c r="D698" s="70"/>
      <c r="E698" s="58"/>
      <c r="F698" s="72"/>
    </row>
    <row r="699" spans="1:6" x14ac:dyDescent="0.25">
      <c r="A699" s="66"/>
      <c r="B699" s="66"/>
      <c r="C699" s="67"/>
      <c r="D699" s="70"/>
      <c r="E699" s="58"/>
      <c r="F699" s="72"/>
    </row>
    <row r="700" spans="1:6" x14ac:dyDescent="0.25">
      <c r="A700" s="66"/>
      <c r="B700" s="66"/>
      <c r="C700" s="67"/>
      <c r="D700" s="70"/>
      <c r="E700" s="58"/>
      <c r="F700" s="72"/>
    </row>
    <row r="701" spans="1:6" x14ac:dyDescent="0.25">
      <c r="A701" s="66"/>
      <c r="B701" s="66"/>
      <c r="C701" s="67"/>
      <c r="D701" s="70"/>
      <c r="E701" s="58"/>
      <c r="F701" s="72"/>
    </row>
    <row r="702" spans="1:6" x14ac:dyDescent="0.25">
      <c r="A702" s="66"/>
      <c r="B702" s="66"/>
      <c r="C702" s="67"/>
      <c r="D702" s="70"/>
      <c r="E702" s="58"/>
      <c r="F702" s="72"/>
    </row>
    <row r="703" spans="1:6" x14ac:dyDescent="0.25">
      <c r="A703" s="66"/>
      <c r="B703" s="66"/>
      <c r="C703" s="67"/>
      <c r="D703" s="70"/>
      <c r="E703" s="58"/>
      <c r="F703" s="72"/>
    </row>
    <row r="704" spans="1:6" x14ac:dyDescent="0.25">
      <c r="A704" s="66"/>
      <c r="B704" s="66"/>
      <c r="C704" s="67"/>
      <c r="D704" s="70"/>
      <c r="E704" s="58"/>
      <c r="F704" s="72"/>
    </row>
    <row r="705" spans="1:6" x14ac:dyDescent="0.25">
      <c r="A705" s="66"/>
      <c r="B705" s="66"/>
      <c r="C705" s="67"/>
      <c r="D705" s="70"/>
      <c r="E705" s="58"/>
      <c r="F705" s="72"/>
    </row>
    <row r="706" spans="1:6" x14ac:dyDescent="0.25">
      <c r="A706" s="66"/>
      <c r="B706" s="66"/>
      <c r="C706" s="67"/>
      <c r="D706" s="70"/>
      <c r="E706" s="58"/>
      <c r="F706" s="72"/>
    </row>
    <row r="707" spans="1:6" x14ac:dyDescent="0.25">
      <c r="A707" s="66"/>
      <c r="B707" s="66"/>
      <c r="C707" s="67"/>
      <c r="D707" s="70"/>
      <c r="E707" s="58"/>
      <c r="F707" s="72"/>
    </row>
    <row r="708" spans="1:6" x14ac:dyDescent="0.25">
      <c r="A708" s="66"/>
      <c r="B708" s="66"/>
      <c r="C708" s="67"/>
      <c r="D708" s="70"/>
      <c r="E708" s="58"/>
      <c r="F708" s="72"/>
    </row>
    <row r="709" spans="1:6" x14ac:dyDescent="0.25">
      <c r="A709" s="66"/>
      <c r="B709" s="66"/>
      <c r="C709" s="67"/>
      <c r="D709" s="70"/>
      <c r="E709" s="58"/>
      <c r="F709" s="72"/>
    </row>
    <row r="710" spans="1:6" x14ac:dyDescent="0.25">
      <c r="A710" s="66"/>
      <c r="B710" s="66"/>
      <c r="C710" s="67"/>
      <c r="D710" s="70"/>
      <c r="E710" s="58"/>
      <c r="F710" s="72"/>
    </row>
    <row r="711" spans="1:6" x14ac:dyDescent="0.25">
      <c r="A711" s="66"/>
      <c r="B711" s="66"/>
      <c r="C711" s="67"/>
      <c r="D711" s="70"/>
      <c r="E711" s="58"/>
      <c r="F711" s="72"/>
    </row>
    <row r="712" spans="1:6" x14ac:dyDescent="0.25">
      <c r="A712" s="66"/>
      <c r="B712" s="66"/>
      <c r="C712" s="67"/>
      <c r="D712" s="70"/>
      <c r="E712" s="58"/>
      <c r="F712" s="72"/>
    </row>
    <row r="713" spans="1:6" x14ac:dyDescent="0.25">
      <c r="A713" s="66"/>
      <c r="B713" s="66"/>
      <c r="C713" s="67"/>
      <c r="D713" s="70"/>
      <c r="E713" s="58"/>
      <c r="F713" s="72"/>
    </row>
    <row r="714" spans="1:6" x14ac:dyDescent="0.25">
      <c r="A714" s="66"/>
      <c r="B714" s="66"/>
      <c r="C714" s="67"/>
      <c r="D714" s="70"/>
      <c r="E714" s="58"/>
      <c r="F714" s="72"/>
    </row>
    <row r="715" spans="1:6" x14ac:dyDescent="0.25">
      <c r="A715" s="66"/>
      <c r="B715" s="66"/>
      <c r="C715" s="67"/>
      <c r="D715" s="70"/>
      <c r="E715" s="58"/>
      <c r="F715" s="72"/>
    </row>
    <row r="716" spans="1:6" x14ac:dyDescent="0.25">
      <c r="A716" s="66"/>
      <c r="B716" s="66"/>
      <c r="C716" s="67"/>
      <c r="D716" s="70"/>
      <c r="E716" s="58"/>
      <c r="F716" s="72"/>
    </row>
    <row r="717" spans="1:6" x14ac:dyDescent="0.25">
      <c r="A717" s="66"/>
      <c r="B717" s="66"/>
      <c r="C717" s="67"/>
      <c r="D717" s="70"/>
      <c r="E717" s="58"/>
      <c r="F717" s="72"/>
    </row>
    <row r="718" spans="1:6" x14ac:dyDescent="0.25">
      <c r="A718" s="66"/>
      <c r="B718" s="66"/>
      <c r="C718" s="67"/>
      <c r="D718" s="70"/>
      <c r="E718" s="58"/>
      <c r="F718" s="72"/>
    </row>
    <row r="719" spans="1:6" x14ac:dyDescent="0.25">
      <c r="A719" s="66"/>
      <c r="B719" s="66"/>
      <c r="C719" s="67"/>
      <c r="D719" s="70"/>
      <c r="E719" s="58"/>
      <c r="F719" s="72"/>
    </row>
    <row r="720" spans="1:6" x14ac:dyDescent="0.25">
      <c r="A720" s="66"/>
      <c r="B720" s="66"/>
      <c r="C720" s="67"/>
      <c r="D720" s="70"/>
      <c r="E720" s="58"/>
      <c r="F720" s="72"/>
    </row>
    <row r="721" spans="1:6" x14ac:dyDescent="0.25">
      <c r="A721" s="66"/>
      <c r="B721" s="66"/>
      <c r="C721" s="67"/>
      <c r="D721" s="70"/>
      <c r="E721" s="58"/>
      <c r="F721" s="72"/>
    </row>
    <row r="722" spans="1:6" x14ac:dyDescent="0.25">
      <c r="A722" s="66"/>
      <c r="B722" s="66"/>
      <c r="C722" s="67"/>
      <c r="D722" s="70"/>
      <c r="E722" s="58"/>
      <c r="F722" s="72"/>
    </row>
    <row r="723" spans="1:6" x14ac:dyDescent="0.25">
      <c r="A723" s="66"/>
      <c r="B723" s="66"/>
      <c r="C723" s="67"/>
      <c r="D723" s="70"/>
      <c r="E723" s="58"/>
      <c r="F723" s="72"/>
    </row>
    <row r="724" spans="1:6" x14ac:dyDescent="0.25">
      <c r="A724" s="66"/>
      <c r="B724" s="66"/>
      <c r="C724" s="67"/>
      <c r="D724" s="70"/>
      <c r="E724" s="58"/>
      <c r="F724" s="72"/>
    </row>
    <row r="725" spans="1:6" x14ac:dyDescent="0.25">
      <c r="A725" s="66"/>
      <c r="B725" s="66"/>
      <c r="C725" s="67"/>
      <c r="D725" s="70"/>
      <c r="E725" s="58"/>
      <c r="F725" s="72"/>
    </row>
    <row r="726" spans="1:6" x14ac:dyDescent="0.25">
      <c r="A726" s="66"/>
      <c r="B726" s="66"/>
      <c r="C726" s="67"/>
      <c r="D726" s="70"/>
      <c r="E726" s="58"/>
      <c r="F726" s="72"/>
    </row>
    <row r="727" spans="1:6" x14ac:dyDescent="0.25">
      <c r="A727" s="66"/>
      <c r="B727" s="66"/>
      <c r="C727" s="67"/>
      <c r="D727" s="70"/>
      <c r="E727" s="58"/>
      <c r="F727" s="72"/>
    </row>
    <row r="728" spans="1:6" x14ac:dyDescent="0.25">
      <c r="A728" s="66"/>
      <c r="B728" s="66"/>
      <c r="C728" s="67"/>
      <c r="D728" s="70"/>
      <c r="E728" s="58"/>
      <c r="F728" s="72"/>
    </row>
    <row r="729" spans="1:6" x14ac:dyDescent="0.25">
      <c r="A729" s="66"/>
      <c r="B729" s="66"/>
      <c r="C729" s="67"/>
      <c r="D729" s="70"/>
      <c r="E729" s="58"/>
      <c r="F729" s="72"/>
    </row>
    <row r="730" spans="1:6" x14ac:dyDescent="0.25">
      <c r="A730" s="66"/>
      <c r="B730" s="66"/>
      <c r="C730" s="67"/>
      <c r="D730" s="70"/>
      <c r="E730" s="58"/>
      <c r="F730" s="72"/>
    </row>
    <row r="731" spans="1:6" x14ac:dyDescent="0.25">
      <c r="A731" s="66"/>
      <c r="B731" s="66"/>
      <c r="C731" s="67"/>
      <c r="D731" s="70"/>
      <c r="E731" s="58"/>
      <c r="F731" s="72"/>
    </row>
    <row r="732" spans="1:6" x14ac:dyDescent="0.25">
      <c r="A732" s="66"/>
      <c r="B732" s="66"/>
      <c r="C732" s="67"/>
      <c r="D732" s="70"/>
      <c r="E732" s="58"/>
      <c r="F732" s="72"/>
    </row>
    <row r="733" spans="1:6" x14ac:dyDescent="0.25">
      <c r="A733" s="66"/>
      <c r="B733" s="66"/>
      <c r="C733" s="67"/>
      <c r="D733" s="70"/>
      <c r="E733" s="58"/>
      <c r="F733" s="72"/>
    </row>
    <row r="734" spans="1:6" x14ac:dyDescent="0.25">
      <c r="A734" s="66"/>
      <c r="B734" s="66"/>
      <c r="C734" s="67"/>
      <c r="D734" s="70"/>
      <c r="E734" s="58"/>
      <c r="F734" s="72"/>
    </row>
    <row r="735" spans="1:6" x14ac:dyDescent="0.25">
      <c r="A735" s="66"/>
      <c r="B735" s="66"/>
      <c r="C735" s="67"/>
      <c r="D735" s="70"/>
      <c r="E735" s="58"/>
      <c r="F735" s="72"/>
    </row>
    <row r="736" spans="1:6" x14ac:dyDescent="0.25">
      <c r="A736" s="66"/>
      <c r="B736" s="66"/>
      <c r="C736" s="67"/>
      <c r="D736" s="70"/>
      <c r="E736" s="58"/>
      <c r="F736" s="72"/>
    </row>
    <row r="737" spans="1:6" x14ac:dyDescent="0.25">
      <c r="A737" s="66"/>
      <c r="B737" s="66"/>
      <c r="C737" s="67"/>
      <c r="D737" s="70"/>
      <c r="E737" s="58"/>
      <c r="F737" s="72"/>
    </row>
    <row r="738" spans="1:6" x14ac:dyDescent="0.25">
      <c r="A738" s="66"/>
      <c r="B738" s="66"/>
      <c r="C738" s="67"/>
      <c r="D738" s="70"/>
      <c r="E738" s="58"/>
      <c r="F738" s="72"/>
    </row>
    <row r="739" spans="1:6" x14ac:dyDescent="0.25">
      <c r="A739" s="66"/>
      <c r="B739" s="66"/>
      <c r="C739" s="67"/>
      <c r="D739" s="70"/>
      <c r="E739" s="58"/>
      <c r="F739" s="72"/>
    </row>
    <row r="740" spans="1:6" x14ac:dyDescent="0.25">
      <c r="A740" s="66"/>
      <c r="B740" s="66"/>
      <c r="C740" s="67"/>
      <c r="D740" s="70"/>
      <c r="E740" s="58"/>
      <c r="F740" s="72"/>
    </row>
    <row r="741" spans="1:6" x14ac:dyDescent="0.25">
      <c r="A741" s="66"/>
      <c r="B741" s="66"/>
      <c r="C741" s="67"/>
      <c r="D741" s="70"/>
      <c r="E741" s="58"/>
      <c r="F741" s="72"/>
    </row>
    <row r="742" spans="1:6" x14ac:dyDescent="0.25">
      <c r="A742" s="66"/>
      <c r="B742" s="66"/>
      <c r="C742" s="67"/>
      <c r="D742" s="70"/>
      <c r="E742" s="58"/>
      <c r="F742" s="72"/>
    </row>
    <row r="743" spans="1:6" x14ac:dyDescent="0.25">
      <c r="A743" s="66"/>
      <c r="B743" s="66"/>
      <c r="C743" s="67"/>
      <c r="D743" s="70"/>
      <c r="E743" s="58"/>
      <c r="F743" s="72"/>
    </row>
    <row r="744" spans="1:6" x14ac:dyDescent="0.25">
      <c r="A744" s="66"/>
      <c r="B744" s="66"/>
      <c r="C744" s="67"/>
      <c r="D744" s="70"/>
      <c r="E744" s="58"/>
      <c r="F744" s="72"/>
    </row>
    <row r="745" spans="1:6" x14ac:dyDescent="0.25">
      <c r="A745" s="66"/>
      <c r="B745" s="66"/>
      <c r="C745" s="67"/>
      <c r="D745" s="70"/>
      <c r="E745" s="58"/>
      <c r="F745" s="72"/>
    </row>
    <row r="746" spans="1:6" x14ac:dyDescent="0.25">
      <c r="A746" s="66"/>
      <c r="B746" s="66"/>
      <c r="C746" s="67"/>
      <c r="D746" s="70"/>
      <c r="E746" s="58"/>
      <c r="F746" s="72"/>
    </row>
    <row r="747" spans="1:6" x14ac:dyDescent="0.25">
      <c r="A747" s="66"/>
      <c r="B747" s="66"/>
      <c r="C747" s="67"/>
      <c r="D747" s="70"/>
      <c r="E747" s="58"/>
      <c r="F747" s="72"/>
    </row>
    <row r="748" spans="1:6" x14ac:dyDescent="0.25">
      <c r="A748" s="66"/>
      <c r="B748" s="66"/>
      <c r="C748" s="67"/>
      <c r="D748" s="70"/>
      <c r="E748" s="58"/>
      <c r="F748" s="72"/>
    </row>
    <row r="749" spans="1:6" x14ac:dyDescent="0.25">
      <c r="A749" s="66"/>
      <c r="B749" s="66"/>
      <c r="C749" s="67"/>
      <c r="D749" s="70"/>
      <c r="E749" s="58"/>
      <c r="F749" s="72"/>
    </row>
    <row r="750" spans="1:6" x14ac:dyDescent="0.25">
      <c r="A750" s="66"/>
      <c r="B750" s="66"/>
      <c r="C750" s="67"/>
      <c r="D750" s="70"/>
      <c r="E750" s="58"/>
      <c r="F750" s="72"/>
    </row>
    <row r="751" spans="1:6" x14ac:dyDescent="0.25">
      <c r="A751" s="66"/>
      <c r="B751" s="66"/>
      <c r="C751" s="67"/>
      <c r="D751" s="70"/>
      <c r="E751" s="58"/>
      <c r="F751" s="72"/>
    </row>
    <row r="752" spans="1:6" x14ac:dyDescent="0.25">
      <c r="A752" s="66"/>
      <c r="B752" s="66"/>
      <c r="C752" s="67"/>
      <c r="D752" s="70"/>
      <c r="E752" s="58"/>
      <c r="F752" s="72"/>
    </row>
    <row r="753" spans="1:6" x14ac:dyDescent="0.25">
      <c r="A753" s="66"/>
      <c r="B753" s="66"/>
      <c r="C753" s="67"/>
      <c r="D753" s="70"/>
      <c r="E753" s="58"/>
      <c r="F753" s="72"/>
    </row>
    <row r="754" spans="1:6" x14ac:dyDescent="0.25">
      <c r="A754" s="66"/>
      <c r="B754" s="66"/>
      <c r="C754" s="67"/>
      <c r="D754" s="70"/>
      <c r="E754" s="58"/>
      <c r="F754" s="72"/>
    </row>
    <row r="755" spans="1:6" x14ac:dyDescent="0.25">
      <c r="A755" s="66"/>
      <c r="B755" s="66"/>
      <c r="C755" s="67"/>
      <c r="D755" s="70"/>
      <c r="E755" s="58"/>
      <c r="F755" s="72"/>
    </row>
    <row r="756" spans="1:6" x14ac:dyDescent="0.25">
      <c r="A756" s="66"/>
      <c r="B756" s="66"/>
      <c r="C756" s="67"/>
      <c r="D756" s="70"/>
      <c r="E756" s="58"/>
      <c r="F756" s="72"/>
    </row>
    <row r="757" spans="1:6" x14ac:dyDescent="0.25">
      <c r="A757" s="66"/>
      <c r="B757" s="66"/>
      <c r="C757" s="67"/>
      <c r="D757" s="70"/>
      <c r="E757" s="58"/>
      <c r="F757" s="72"/>
    </row>
    <row r="758" spans="1:6" x14ac:dyDescent="0.25">
      <c r="A758" s="66"/>
      <c r="B758" s="66"/>
      <c r="C758" s="67"/>
      <c r="D758" s="70"/>
      <c r="E758" s="58"/>
      <c r="F758" s="72"/>
    </row>
    <row r="759" spans="1:6" x14ac:dyDescent="0.25">
      <c r="A759" s="66"/>
      <c r="B759" s="66"/>
      <c r="C759" s="67"/>
      <c r="D759" s="70"/>
      <c r="E759" s="58"/>
      <c r="F759" s="72"/>
    </row>
    <row r="760" spans="1:6" x14ac:dyDescent="0.25">
      <c r="A760" s="66"/>
      <c r="B760" s="66"/>
      <c r="C760" s="67"/>
      <c r="D760" s="70"/>
      <c r="E760" s="58"/>
      <c r="F760" s="72"/>
    </row>
    <row r="761" spans="1:6" x14ac:dyDescent="0.25">
      <c r="A761" s="66"/>
      <c r="B761" s="66"/>
      <c r="C761" s="67"/>
      <c r="D761" s="70"/>
      <c r="E761" s="58"/>
      <c r="F761" s="72"/>
    </row>
    <row r="762" spans="1:6" x14ac:dyDescent="0.25">
      <c r="A762" s="66"/>
      <c r="B762" s="66"/>
      <c r="C762" s="67"/>
      <c r="D762" s="70"/>
      <c r="E762" s="58"/>
      <c r="F762" s="72"/>
    </row>
    <row r="763" spans="1:6" x14ac:dyDescent="0.25">
      <c r="A763" s="66"/>
      <c r="B763" s="66"/>
      <c r="C763" s="67"/>
      <c r="D763" s="70"/>
      <c r="E763" s="58"/>
      <c r="F763" s="72"/>
    </row>
    <row r="764" spans="1:6" x14ac:dyDescent="0.25">
      <c r="A764" s="66"/>
      <c r="B764" s="66"/>
      <c r="C764" s="67"/>
      <c r="D764" s="70"/>
      <c r="E764" s="58"/>
      <c r="F764" s="72"/>
    </row>
    <row r="765" spans="1:6" x14ac:dyDescent="0.25">
      <c r="A765" s="66"/>
      <c r="B765" s="66"/>
      <c r="C765" s="67"/>
      <c r="D765" s="70"/>
      <c r="E765" s="58"/>
      <c r="F765" s="72"/>
    </row>
    <row r="766" spans="1:6" x14ac:dyDescent="0.25">
      <c r="A766" s="66"/>
      <c r="B766" s="66"/>
      <c r="C766" s="67"/>
      <c r="D766" s="70"/>
      <c r="E766" s="58"/>
      <c r="F766" s="72"/>
    </row>
    <row r="767" spans="1:6" x14ac:dyDescent="0.25">
      <c r="A767" s="66"/>
      <c r="B767" s="66"/>
      <c r="C767" s="67"/>
      <c r="D767" s="70"/>
      <c r="E767" s="58"/>
      <c r="F767" s="72"/>
    </row>
    <row r="768" spans="1:6" x14ac:dyDescent="0.25">
      <c r="A768" s="66"/>
      <c r="B768" s="66"/>
      <c r="C768" s="67"/>
      <c r="D768" s="70"/>
      <c r="E768" s="58"/>
      <c r="F768" s="72"/>
    </row>
    <row r="769" spans="1:6" x14ac:dyDescent="0.25">
      <c r="A769" s="66"/>
      <c r="B769" s="66"/>
      <c r="C769" s="67"/>
      <c r="D769" s="70"/>
      <c r="E769" s="58"/>
      <c r="F769" s="72"/>
    </row>
    <row r="770" spans="1:6" x14ac:dyDescent="0.25">
      <c r="A770" s="66"/>
      <c r="B770" s="66"/>
      <c r="C770" s="67"/>
      <c r="D770" s="70"/>
      <c r="E770" s="58"/>
      <c r="F770" s="72"/>
    </row>
    <row r="771" spans="1:6" x14ac:dyDescent="0.25">
      <c r="A771" s="66"/>
      <c r="B771" s="66"/>
      <c r="C771" s="67"/>
      <c r="D771" s="70"/>
      <c r="E771" s="58"/>
      <c r="F771" s="72"/>
    </row>
    <row r="772" spans="1:6" x14ac:dyDescent="0.25">
      <c r="A772" s="66"/>
      <c r="B772" s="66"/>
      <c r="C772" s="67"/>
      <c r="D772" s="70"/>
      <c r="E772" s="58"/>
      <c r="F772" s="72"/>
    </row>
    <row r="773" spans="1:6" x14ac:dyDescent="0.25">
      <c r="A773" s="66"/>
      <c r="B773" s="66"/>
      <c r="C773" s="67"/>
      <c r="D773" s="70"/>
      <c r="E773" s="58"/>
      <c r="F773" s="72"/>
    </row>
    <row r="774" spans="1:6" x14ac:dyDescent="0.25">
      <c r="A774" s="66"/>
      <c r="B774" s="66"/>
      <c r="C774" s="67"/>
      <c r="D774" s="70"/>
      <c r="E774" s="58"/>
      <c r="F774" s="72"/>
    </row>
    <row r="775" spans="1:6" x14ac:dyDescent="0.25">
      <c r="A775" s="66"/>
      <c r="B775" s="66"/>
      <c r="C775" s="67"/>
      <c r="D775" s="70"/>
      <c r="E775" s="58"/>
      <c r="F775" s="72"/>
    </row>
    <row r="776" spans="1:6" x14ac:dyDescent="0.25">
      <c r="A776" s="66"/>
      <c r="B776" s="66"/>
      <c r="C776" s="67"/>
      <c r="D776" s="70"/>
      <c r="E776" s="58"/>
      <c r="F776" s="72"/>
    </row>
    <row r="777" spans="1:6" x14ac:dyDescent="0.25">
      <c r="A777" s="66"/>
      <c r="B777" s="66"/>
      <c r="C777" s="67"/>
      <c r="D777" s="70"/>
      <c r="E777" s="58"/>
      <c r="F777" s="72"/>
    </row>
    <row r="778" spans="1:6" x14ac:dyDescent="0.25">
      <c r="A778" s="66"/>
      <c r="B778" s="66"/>
      <c r="C778" s="67"/>
      <c r="D778" s="70"/>
      <c r="E778" s="58"/>
      <c r="F778" s="72"/>
    </row>
    <row r="779" spans="1:6" x14ac:dyDescent="0.25">
      <c r="A779" s="66"/>
      <c r="B779" s="66"/>
      <c r="C779" s="67"/>
      <c r="D779" s="70"/>
      <c r="E779" s="58"/>
      <c r="F779" s="72"/>
    </row>
    <row r="780" spans="1:6" x14ac:dyDescent="0.25">
      <c r="A780" s="66"/>
      <c r="B780" s="66"/>
      <c r="C780" s="67"/>
      <c r="D780" s="70"/>
      <c r="E780" s="58"/>
      <c r="F780" s="72"/>
    </row>
    <row r="781" spans="1:6" x14ac:dyDescent="0.25">
      <c r="A781" s="66"/>
      <c r="B781" s="66"/>
      <c r="C781" s="67"/>
      <c r="D781" s="70"/>
      <c r="E781" s="58"/>
      <c r="F781" s="72"/>
    </row>
    <row r="782" spans="1:6" x14ac:dyDescent="0.25">
      <c r="A782" s="66"/>
      <c r="B782" s="66"/>
      <c r="C782" s="67"/>
      <c r="D782" s="70"/>
      <c r="E782" s="58"/>
      <c r="F782" s="72"/>
    </row>
    <row r="783" spans="1:6" x14ac:dyDescent="0.25">
      <c r="A783" s="66"/>
      <c r="B783" s="66"/>
      <c r="C783" s="67"/>
      <c r="D783" s="70"/>
      <c r="E783" s="58"/>
      <c r="F783" s="72"/>
    </row>
    <row r="784" spans="1:6" x14ac:dyDescent="0.25">
      <c r="A784" s="66"/>
      <c r="B784" s="66"/>
      <c r="C784" s="67"/>
      <c r="D784" s="70"/>
      <c r="E784" s="58"/>
      <c r="F784" s="72"/>
    </row>
    <row r="785" spans="1:6" x14ac:dyDescent="0.25">
      <c r="A785" s="66"/>
      <c r="B785" s="66"/>
      <c r="C785" s="67"/>
      <c r="D785" s="70"/>
      <c r="E785" s="58"/>
      <c r="F785" s="72"/>
    </row>
    <row r="786" spans="1:6" x14ac:dyDescent="0.25">
      <c r="A786" s="66"/>
      <c r="B786" s="66"/>
      <c r="C786" s="67"/>
      <c r="D786" s="70"/>
      <c r="E786" s="58"/>
      <c r="F786" s="72"/>
    </row>
    <row r="787" spans="1:6" x14ac:dyDescent="0.25">
      <c r="A787" s="66"/>
      <c r="B787" s="66"/>
      <c r="C787" s="67"/>
      <c r="D787" s="70"/>
      <c r="E787" s="58"/>
      <c r="F787" s="72"/>
    </row>
    <row r="788" spans="1:6" x14ac:dyDescent="0.25">
      <c r="A788" s="66"/>
      <c r="B788" s="66"/>
      <c r="C788" s="67"/>
      <c r="D788" s="70"/>
      <c r="E788" s="58"/>
      <c r="F788" s="72"/>
    </row>
    <row r="789" spans="1:6" x14ac:dyDescent="0.25">
      <c r="A789" s="66"/>
      <c r="B789" s="66"/>
      <c r="C789" s="67"/>
      <c r="D789" s="70"/>
      <c r="E789" s="58"/>
      <c r="F789" s="72"/>
    </row>
    <row r="790" spans="1:6" x14ac:dyDescent="0.25">
      <c r="A790" s="66"/>
      <c r="B790" s="66"/>
      <c r="C790" s="67"/>
      <c r="D790" s="70"/>
      <c r="E790" s="58"/>
      <c r="F790" s="72"/>
    </row>
    <row r="791" spans="1:6" x14ac:dyDescent="0.25">
      <c r="A791" s="66"/>
      <c r="B791" s="66"/>
      <c r="C791" s="67"/>
      <c r="D791" s="70"/>
      <c r="E791" s="58"/>
      <c r="F791" s="72"/>
    </row>
    <row r="792" spans="1:6" x14ac:dyDescent="0.25">
      <c r="A792" s="66"/>
      <c r="B792" s="66"/>
      <c r="C792" s="67"/>
      <c r="D792" s="70"/>
      <c r="E792" s="58"/>
      <c r="F792" s="72"/>
    </row>
    <row r="793" spans="1:6" x14ac:dyDescent="0.25">
      <c r="A793" s="66"/>
      <c r="B793" s="66"/>
      <c r="C793" s="67"/>
      <c r="D793" s="70"/>
      <c r="E793" s="58"/>
      <c r="F793" s="72"/>
    </row>
    <row r="794" spans="1:6" x14ac:dyDescent="0.25">
      <c r="A794" s="66"/>
      <c r="B794" s="66"/>
      <c r="C794" s="67"/>
      <c r="D794" s="70"/>
      <c r="E794" s="58"/>
      <c r="F794" s="72"/>
    </row>
    <row r="795" spans="1:6" x14ac:dyDescent="0.25">
      <c r="A795" s="66"/>
      <c r="B795" s="66"/>
      <c r="C795" s="67"/>
      <c r="D795" s="70"/>
      <c r="E795" s="58"/>
      <c r="F795" s="72"/>
    </row>
    <row r="796" spans="1:6" x14ac:dyDescent="0.25">
      <c r="A796" s="66"/>
      <c r="B796" s="66"/>
      <c r="C796" s="67"/>
      <c r="D796" s="70"/>
      <c r="E796" s="58"/>
      <c r="F796" s="72"/>
    </row>
    <row r="797" spans="1:6" x14ac:dyDescent="0.25">
      <c r="A797" s="66"/>
      <c r="B797" s="66"/>
      <c r="C797" s="67"/>
      <c r="D797" s="70"/>
      <c r="E797" s="58"/>
      <c r="F797" s="72"/>
    </row>
    <row r="798" spans="1:6" x14ac:dyDescent="0.25">
      <c r="A798" s="66"/>
      <c r="B798" s="66"/>
      <c r="C798" s="67"/>
      <c r="D798" s="70"/>
      <c r="E798" s="58"/>
      <c r="F798" s="72"/>
    </row>
    <row r="799" spans="1:6" x14ac:dyDescent="0.25">
      <c r="A799" s="66"/>
      <c r="B799" s="66"/>
      <c r="C799" s="67"/>
      <c r="D799" s="70"/>
      <c r="E799" s="58"/>
      <c r="F799" s="72"/>
    </row>
    <row r="800" spans="1:6" x14ac:dyDescent="0.25">
      <c r="A800" s="66"/>
      <c r="B800" s="66"/>
      <c r="C800" s="67"/>
      <c r="D800" s="70"/>
      <c r="E800" s="58"/>
      <c r="F800" s="72"/>
    </row>
    <row r="801" spans="1:6" x14ac:dyDescent="0.25">
      <c r="A801" s="66"/>
      <c r="B801" s="66"/>
      <c r="C801" s="67"/>
      <c r="D801" s="70"/>
      <c r="E801" s="58"/>
      <c r="F801" s="72"/>
    </row>
    <row r="802" spans="1:6" x14ac:dyDescent="0.25">
      <c r="A802" s="66"/>
      <c r="B802" s="66"/>
      <c r="C802" s="67"/>
      <c r="D802" s="70"/>
      <c r="E802" s="58"/>
      <c r="F802" s="72"/>
    </row>
    <row r="803" spans="1:6" x14ac:dyDescent="0.25">
      <c r="A803" s="66"/>
      <c r="B803" s="66"/>
      <c r="C803" s="67"/>
      <c r="D803" s="70"/>
      <c r="E803" s="58"/>
      <c r="F803" s="72"/>
    </row>
    <row r="804" spans="1:6" x14ac:dyDescent="0.25">
      <c r="A804" s="66"/>
      <c r="B804" s="66"/>
      <c r="C804" s="67"/>
      <c r="D804" s="70"/>
      <c r="E804" s="58"/>
      <c r="F804" s="72"/>
    </row>
    <row r="805" spans="1:6" x14ac:dyDescent="0.25">
      <c r="A805" s="66"/>
      <c r="B805" s="66"/>
      <c r="C805" s="67"/>
      <c r="D805" s="70"/>
      <c r="E805" s="58"/>
      <c r="F805" s="72"/>
    </row>
    <row r="806" spans="1:6" x14ac:dyDescent="0.25">
      <c r="A806" s="66"/>
      <c r="B806" s="66"/>
      <c r="C806" s="67"/>
      <c r="D806" s="70"/>
      <c r="E806" s="58"/>
      <c r="F806" s="72"/>
    </row>
    <row r="807" spans="1:6" x14ac:dyDescent="0.25">
      <c r="A807" s="66"/>
      <c r="B807" s="66"/>
      <c r="C807" s="67"/>
      <c r="D807" s="70"/>
      <c r="E807" s="58"/>
      <c r="F807" s="72"/>
    </row>
    <row r="808" spans="1:6" x14ac:dyDescent="0.25">
      <c r="A808" s="66"/>
      <c r="B808" s="66"/>
      <c r="C808" s="67"/>
      <c r="D808" s="70"/>
      <c r="E808" s="58"/>
      <c r="F808" s="72"/>
    </row>
    <row r="809" spans="1:6" x14ac:dyDescent="0.25">
      <c r="A809" s="66"/>
      <c r="B809" s="66"/>
      <c r="C809" s="67"/>
      <c r="D809" s="70"/>
      <c r="E809" s="58"/>
      <c r="F809" s="72"/>
    </row>
    <row r="810" spans="1:6" x14ac:dyDescent="0.25">
      <c r="A810" s="66"/>
      <c r="B810" s="66"/>
      <c r="C810" s="67"/>
      <c r="D810" s="70"/>
      <c r="E810" s="58"/>
      <c r="F810" s="72"/>
    </row>
    <row r="811" spans="1:6" x14ac:dyDescent="0.25">
      <c r="A811" s="66"/>
      <c r="B811" s="66"/>
      <c r="C811" s="67"/>
      <c r="D811" s="70"/>
      <c r="E811" s="58"/>
      <c r="F811" s="72"/>
    </row>
    <row r="812" spans="1:6" x14ac:dyDescent="0.25">
      <c r="A812" s="66"/>
      <c r="B812" s="66"/>
      <c r="C812" s="67"/>
      <c r="D812" s="70"/>
      <c r="E812" s="58"/>
      <c r="F812" s="72"/>
    </row>
    <row r="813" spans="1:6" x14ac:dyDescent="0.25">
      <c r="A813" s="66"/>
      <c r="B813" s="66"/>
      <c r="C813" s="67"/>
      <c r="D813" s="70"/>
      <c r="E813" s="58"/>
      <c r="F813" s="72"/>
    </row>
    <row r="814" spans="1:6" x14ac:dyDescent="0.25">
      <c r="A814" s="66"/>
      <c r="B814" s="66"/>
      <c r="C814" s="67"/>
      <c r="D814" s="70"/>
      <c r="E814" s="58"/>
      <c r="F814" s="72"/>
    </row>
    <row r="815" spans="1:6" x14ac:dyDescent="0.25">
      <c r="A815" s="66"/>
      <c r="B815" s="66"/>
      <c r="C815" s="67"/>
      <c r="D815" s="70"/>
      <c r="E815" s="58"/>
      <c r="F815" s="72"/>
    </row>
    <row r="816" spans="1:6" x14ac:dyDescent="0.25">
      <c r="A816" s="66"/>
      <c r="B816" s="66"/>
      <c r="C816" s="67"/>
      <c r="D816" s="70"/>
      <c r="E816" s="58"/>
      <c r="F816" s="72"/>
    </row>
    <row r="817" spans="1:6" x14ac:dyDescent="0.25">
      <c r="A817" s="66"/>
      <c r="B817" s="66"/>
      <c r="C817" s="67"/>
      <c r="D817" s="70"/>
      <c r="E817" s="58"/>
      <c r="F817" s="72"/>
    </row>
    <row r="818" spans="1:6" x14ac:dyDescent="0.25">
      <c r="A818" s="66"/>
      <c r="B818" s="66"/>
      <c r="C818" s="67"/>
      <c r="D818" s="70"/>
      <c r="E818" s="58"/>
      <c r="F818" s="72"/>
    </row>
    <row r="819" spans="1:6" x14ac:dyDescent="0.25">
      <c r="A819" s="66"/>
      <c r="B819" s="66"/>
      <c r="C819" s="67"/>
      <c r="D819" s="70"/>
      <c r="E819" s="58"/>
      <c r="F819" s="72"/>
    </row>
    <row r="820" spans="1:6" x14ac:dyDescent="0.25">
      <c r="A820" s="66"/>
      <c r="B820" s="66"/>
      <c r="C820" s="67"/>
      <c r="D820" s="70"/>
      <c r="E820" s="58"/>
      <c r="F820" s="72"/>
    </row>
    <row r="821" spans="1:6" x14ac:dyDescent="0.25">
      <c r="A821" s="66"/>
      <c r="B821" s="66"/>
      <c r="C821" s="67"/>
      <c r="D821" s="70"/>
      <c r="E821" s="58"/>
      <c r="F821" s="72"/>
    </row>
    <row r="822" spans="1:6" x14ac:dyDescent="0.25">
      <c r="A822" s="66"/>
      <c r="B822" s="66"/>
      <c r="C822" s="67"/>
      <c r="D822" s="70"/>
      <c r="E822" s="58"/>
      <c r="F822" s="72"/>
    </row>
    <row r="823" spans="1:6" x14ac:dyDescent="0.25">
      <c r="A823" s="66"/>
      <c r="B823" s="66"/>
      <c r="C823" s="67"/>
      <c r="D823" s="70"/>
      <c r="E823" s="58"/>
      <c r="F823" s="72"/>
    </row>
    <row r="824" spans="1:6" x14ac:dyDescent="0.25">
      <c r="A824" s="66"/>
      <c r="B824" s="66"/>
      <c r="C824" s="67"/>
      <c r="D824" s="70"/>
      <c r="E824" s="58"/>
      <c r="F824" s="72"/>
    </row>
    <row r="825" spans="1:6" x14ac:dyDescent="0.25">
      <c r="A825" s="66"/>
      <c r="B825" s="66"/>
      <c r="C825" s="67"/>
      <c r="D825" s="70"/>
      <c r="E825" s="58"/>
      <c r="F825" s="72"/>
    </row>
    <row r="826" spans="1:6" x14ac:dyDescent="0.25">
      <c r="A826" s="66"/>
      <c r="B826" s="66"/>
      <c r="C826" s="67"/>
      <c r="D826" s="70"/>
      <c r="E826" s="58"/>
      <c r="F826" s="72"/>
    </row>
    <row r="827" spans="1:6" x14ac:dyDescent="0.25">
      <c r="A827" s="66"/>
      <c r="B827" s="66"/>
      <c r="C827" s="67"/>
      <c r="D827" s="70"/>
      <c r="E827" s="58"/>
      <c r="F827" s="72"/>
    </row>
    <row r="828" spans="1:6" x14ac:dyDescent="0.25">
      <c r="A828" s="66"/>
      <c r="B828" s="66"/>
      <c r="C828" s="67"/>
      <c r="D828" s="70"/>
      <c r="E828" s="58"/>
      <c r="F828" s="72"/>
    </row>
    <row r="829" spans="1:6" x14ac:dyDescent="0.25">
      <c r="A829" s="66"/>
      <c r="B829" s="66"/>
      <c r="C829" s="67"/>
      <c r="D829" s="70"/>
      <c r="E829" s="58"/>
      <c r="F829" s="72"/>
    </row>
    <row r="830" spans="1:6" x14ac:dyDescent="0.25">
      <c r="A830" s="66"/>
      <c r="B830" s="66"/>
      <c r="C830" s="67"/>
      <c r="D830" s="70"/>
      <c r="E830" s="58"/>
      <c r="F830" s="72"/>
    </row>
    <row r="831" spans="1:6" x14ac:dyDescent="0.25">
      <c r="A831" s="66"/>
      <c r="B831" s="66"/>
      <c r="C831" s="67"/>
      <c r="D831" s="70"/>
      <c r="E831" s="58"/>
      <c r="F831" s="72"/>
    </row>
    <row r="832" spans="1:6" x14ac:dyDescent="0.25">
      <c r="A832" s="66"/>
      <c r="B832" s="66"/>
      <c r="C832" s="67"/>
      <c r="D832" s="70"/>
      <c r="E832" s="58"/>
      <c r="F832" s="72"/>
    </row>
    <row r="833" spans="1:6" x14ac:dyDescent="0.25">
      <c r="A833" s="66"/>
      <c r="B833" s="66"/>
      <c r="C833" s="67"/>
      <c r="D833" s="70"/>
      <c r="E833" s="58"/>
      <c r="F833" s="72"/>
    </row>
    <row r="834" spans="1:6" x14ac:dyDescent="0.25">
      <c r="A834" s="66"/>
      <c r="B834" s="66"/>
      <c r="C834" s="67"/>
      <c r="D834" s="70"/>
      <c r="E834" s="58"/>
      <c r="F834" s="72"/>
    </row>
    <row r="835" spans="1:6" x14ac:dyDescent="0.25">
      <c r="A835" s="66"/>
      <c r="B835" s="66"/>
      <c r="C835" s="67"/>
      <c r="D835" s="70"/>
      <c r="E835" s="58"/>
      <c r="F835" s="72"/>
    </row>
    <row r="836" spans="1:6" x14ac:dyDescent="0.25">
      <c r="A836" s="66"/>
      <c r="B836" s="66"/>
      <c r="C836" s="67"/>
      <c r="D836" s="70"/>
      <c r="E836" s="58"/>
      <c r="F836" s="72"/>
    </row>
    <row r="837" spans="1:6" x14ac:dyDescent="0.25">
      <c r="A837" s="66"/>
      <c r="B837" s="66"/>
      <c r="C837" s="67"/>
      <c r="D837" s="70"/>
      <c r="E837" s="58"/>
      <c r="F837" s="72"/>
    </row>
    <row r="838" spans="1:6" x14ac:dyDescent="0.25">
      <c r="A838" s="66"/>
      <c r="B838" s="66"/>
      <c r="C838" s="67"/>
      <c r="D838" s="70"/>
      <c r="E838" s="58"/>
      <c r="F838" s="72"/>
    </row>
    <row r="839" spans="1:6" x14ac:dyDescent="0.25">
      <c r="A839" s="66"/>
      <c r="B839" s="66"/>
      <c r="C839" s="67"/>
      <c r="D839" s="70"/>
      <c r="E839" s="58"/>
      <c r="F839" s="72"/>
    </row>
    <row r="840" spans="1:6" x14ac:dyDescent="0.25">
      <c r="A840" s="66"/>
      <c r="B840" s="66"/>
      <c r="C840" s="67"/>
      <c r="D840" s="70"/>
      <c r="E840" s="58"/>
      <c r="F840" s="72"/>
    </row>
    <row r="841" spans="1:6" x14ac:dyDescent="0.25">
      <c r="A841" s="66"/>
      <c r="B841" s="66"/>
      <c r="C841" s="67"/>
      <c r="D841" s="70"/>
      <c r="E841" s="58"/>
      <c r="F841" s="72"/>
    </row>
    <row r="842" spans="1:6" x14ac:dyDescent="0.25">
      <c r="A842" s="66"/>
      <c r="B842" s="66"/>
      <c r="C842" s="67"/>
      <c r="D842" s="70"/>
      <c r="E842" s="58"/>
      <c r="F842" s="72"/>
    </row>
    <row r="843" spans="1:6" x14ac:dyDescent="0.25">
      <c r="A843" s="66"/>
      <c r="B843" s="66"/>
      <c r="C843" s="67"/>
      <c r="D843" s="70"/>
      <c r="E843" s="58"/>
      <c r="F843" s="72"/>
    </row>
    <row r="844" spans="1:6" x14ac:dyDescent="0.25">
      <c r="A844" s="66"/>
      <c r="B844" s="66"/>
      <c r="C844" s="67"/>
      <c r="D844" s="70"/>
      <c r="E844" s="58"/>
      <c r="F844" s="72"/>
    </row>
    <row r="845" spans="1:6" x14ac:dyDescent="0.25">
      <c r="A845" s="66"/>
      <c r="B845" s="66"/>
      <c r="C845" s="67"/>
      <c r="D845" s="70"/>
      <c r="E845" s="58"/>
      <c r="F845" s="72"/>
    </row>
    <row r="846" spans="1:6" x14ac:dyDescent="0.25">
      <c r="A846" s="66"/>
      <c r="B846" s="66"/>
      <c r="C846" s="67"/>
      <c r="D846" s="70"/>
      <c r="E846" s="58"/>
      <c r="F846" s="72"/>
    </row>
    <row r="847" spans="1:6" x14ac:dyDescent="0.25">
      <c r="A847" s="66"/>
      <c r="B847" s="66"/>
      <c r="C847" s="67"/>
      <c r="D847" s="70"/>
      <c r="E847" s="58"/>
      <c r="F847" s="72"/>
    </row>
    <row r="848" spans="1:6" x14ac:dyDescent="0.25">
      <c r="A848" s="66"/>
      <c r="B848" s="66"/>
      <c r="C848" s="67"/>
      <c r="D848" s="70"/>
      <c r="E848" s="58"/>
      <c r="F848" s="72"/>
    </row>
    <row r="849" spans="1:6" x14ac:dyDescent="0.25">
      <c r="A849" s="66"/>
      <c r="B849" s="66"/>
      <c r="C849" s="67"/>
      <c r="D849" s="70"/>
      <c r="E849" s="58"/>
      <c r="F849" s="72"/>
    </row>
    <row r="850" spans="1:6" x14ac:dyDescent="0.25">
      <c r="A850" s="66"/>
      <c r="B850" s="66"/>
      <c r="C850" s="67"/>
      <c r="D850" s="70"/>
      <c r="E850" s="58"/>
      <c r="F850" s="72"/>
    </row>
    <row r="851" spans="1:6" x14ac:dyDescent="0.25">
      <c r="A851" s="66"/>
      <c r="B851" s="66"/>
      <c r="C851" s="67"/>
      <c r="D851" s="70"/>
      <c r="E851" s="58"/>
      <c r="F851" s="72"/>
    </row>
    <row r="852" spans="1:6" x14ac:dyDescent="0.25">
      <c r="A852" s="66"/>
      <c r="B852" s="66"/>
      <c r="C852" s="67"/>
      <c r="D852" s="70"/>
      <c r="E852" s="58"/>
      <c r="F852" s="72"/>
    </row>
    <row r="853" spans="1:6" x14ac:dyDescent="0.25">
      <c r="A853" s="66"/>
      <c r="B853" s="66"/>
      <c r="C853" s="67"/>
      <c r="D853" s="70"/>
      <c r="E853" s="58"/>
      <c r="F853" s="72"/>
    </row>
    <row r="854" spans="1:6" x14ac:dyDescent="0.25">
      <c r="A854" s="66"/>
      <c r="B854" s="66"/>
      <c r="C854" s="67"/>
      <c r="D854" s="70"/>
      <c r="E854" s="58"/>
      <c r="F854" s="72"/>
    </row>
    <row r="855" spans="1:6" x14ac:dyDescent="0.25">
      <c r="A855" s="66"/>
      <c r="B855" s="66"/>
      <c r="C855" s="67"/>
      <c r="D855" s="70"/>
      <c r="E855" s="58"/>
      <c r="F855" s="72"/>
    </row>
    <row r="856" spans="1:6" x14ac:dyDescent="0.25">
      <c r="A856" s="66"/>
      <c r="B856" s="66"/>
      <c r="C856" s="67"/>
      <c r="D856" s="70"/>
      <c r="E856" s="58"/>
      <c r="F856" s="72"/>
    </row>
    <row r="857" spans="1:6" x14ac:dyDescent="0.25">
      <c r="A857" s="66"/>
      <c r="B857" s="66"/>
      <c r="C857" s="67"/>
      <c r="D857" s="70"/>
      <c r="E857" s="58"/>
      <c r="F857" s="72"/>
    </row>
    <row r="858" spans="1:6" x14ac:dyDescent="0.25">
      <c r="A858" s="66"/>
      <c r="B858" s="66"/>
      <c r="C858" s="67"/>
      <c r="D858" s="70"/>
      <c r="E858" s="58"/>
      <c r="F858" s="72"/>
    </row>
    <row r="859" spans="1:6" x14ac:dyDescent="0.25">
      <c r="A859" s="66"/>
      <c r="B859" s="66"/>
      <c r="C859" s="67"/>
      <c r="D859" s="70"/>
      <c r="E859" s="58"/>
      <c r="F859" s="72"/>
    </row>
    <row r="860" spans="1:6" x14ac:dyDescent="0.25">
      <c r="A860" s="66"/>
      <c r="B860" s="66"/>
      <c r="C860" s="67"/>
      <c r="D860" s="70"/>
      <c r="E860" s="58"/>
      <c r="F860" s="72"/>
    </row>
    <row r="861" spans="1:6" x14ac:dyDescent="0.25">
      <c r="A861" s="66"/>
      <c r="B861" s="66"/>
      <c r="C861" s="67"/>
      <c r="D861" s="70"/>
      <c r="E861" s="58"/>
      <c r="F861" s="72"/>
    </row>
    <row r="862" spans="1:6" x14ac:dyDescent="0.25">
      <c r="A862" s="66"/>
      <c r="B862" s="66"/>
      <c r="C862" s="67"/>
      <c r="D862" s="70"/>
      <c r="E862" s="58"/>
      <c r="F862" s="72"/>
    </row>
    <row r="863" spans="1:6" x14ac:dyDescent="0.25">
      <c r="A863" s="66"/>
      <c r="B863" s="66"/>
      <c r="C863" s="67"/>
      <c r="D863" s="70"/>
      <c r="E863" s="58"/>
      <c r="F863" s="72"/>
    </row>
    <row r="864" spans="1:6" x14ac:dyDescent="0.25">
      <c r="A864" s="66"/>
      <c r="B864" s="66"/>
      <c r="C864" s="67"/>
      <c r="D864" s="70"/>
      <c r="E864" s="58"/>
      <c r="F864" s="72"/>
    </row>
    <row r="865" spans="1:6" x14ac:dyDescent="0.25">
      <c r="A865" s="66"/>
      <c r="B865" s="66"/>
      <c r="C865" s="67"/>
      <c r="D865" s="70"/>
      <c r="E865" s="58"/>
      <c r="F865" s="72"/>
    </row>
    <row r="866" spans="1:6" x14ac:dyDescent="0.25">
      <c r="A866" s="66"/>
      <c r="B866" s="66"/>
      <c r="C866" s="67"/>
      <c r="D866" s="70"/>
      <c r="E866" s="58"/>
      <c r="F866" s="72"/>
    </row>
    <row r="867" spans="1:6" x14ac:dyDescent="0.25">
      <c r="A867" s="66"/>
      <c r="B867" s="66"/>
      <c r="C867" s="67"/>
      <c r="D867" s="70"/>
      <c r="E867" s="58"/>
      <c r="F867" s="72"/>
    </row>
    <row r="868" spans="1:6" x14ac:dyDescent="0.25">
      <c r="A868" s="66"/>
      <c r="B868" s="66"/>
      <c r="C868" s="67"/>
      <c r="D868" s="70"/>
      <c r="E868" s="58"/>
      <c r="F868" s="72"/>
    </row>
    <row r="869" spans="1:6" x14ac:dyDescent="0.25">
      <c r="A869" s="66"/>
      <c r="B869" s="66"/>
      <c r="C869" s="67"/>
      <c r="D869" s="70"/>
      <c r="E869" s="58"/>
      <c r="F869" s="72"/>
    </row>
    <row r="870" spans="1:6" x14ac:dyDescent="0.25">
      <c r="A870" s="66"/>
      <c r="B870" s="66"/>
      <c r="C870" s="67"/>
      <c r="D870" s="70"/>
      <c r="E870" s="58"/>
      <c r="F870" s="72"/>
    </row>
    <row r="871" spans="1:6" x14ac:dyDescent="0.25">
      <c r="A871" s="66"/>
      <c r="B871" s="66"/>
      <c r="C871" s="67"/>
      <c r="D871" s="70"/>
      <c r="E871" s="58"/>
      <c r="F871" s="72"/>
    </row>
    <row r="872" spans="1:6" x14ac:dyDescent="0.25">
      <c r="A872" s="66"/>
      <c r="B872" s="66"/>
      <c r="C872" s="67"/>
      <c r="D872" s="70"/>
      <c r="E872" s="58"/>
      <c r="F872" s="72"/>
    </row>
    <row r="873" spans="1:6" x14ac:dyDescent="0.25">
      <c r="A873" s="66"/>
      <c r="B873" s="66"/>
      <c r="C873" s="67"/>
      <c r="D873" s="70"/>
      <c r="E873" s="58"/>
      <c r="F873" s="72"/>
    </row>
    <row r="874" spans="1:6" x14ac:dyDescent="0.25">
      <c r="A874" s="66"/>
      <c r="B874" s="66"/>
      <c r="C874" s="67"/>
      <c r="D874" s="70"/>
      <c r="E874" s="58"/>
      <c r="F874" s="72"/>
    </row>
    <row r="875" spans="1:6" x14ac:dyDescent="0.25">
      <c r="A875" s="66"/>
      <c r="B875" s="66"/>
      <c r="C875" s="67"/>
      <c r="D875" s="70"/>
      <c r="E875" s="58"/>
      <c r="F875" s="72"/>
    </row>
    <row r="876" spans="1:6" x14ac:dyDescent="0.25">
      <c r="A876" s="66"/>
      <c r="B876" s="66"/>
      <c r="C876" s="67"/>
      <c r="D876" s="70"/>
      <c r="E876" s="58"/>
      <c r="F876" s="72"/>
    </row>
    <row r="877" spans="1:6" x14ac:dyDescent="0.25">
      <c r="A877" s="66"/>
      <c r="B877" s="66"/>
      <c r="C877" s="67"/>
      <c r="D877" s="70"/>
      <c r="E877" s="58"/>
      <c r="F877" s="72"/>
    </row>
    <row r="878" spans="1:6" x14ac:dyDescent="0.25">
      <c r="A878" s="66"/>
      <c r="B878" s="66"/>
      <c r="C878" s="67"/>
      <c r="D878" s="70"/>
      <c r="E878" s="58"/>
      <c r="F878" s="72"/>
    </row>
    <row r="879" spans="1:6" x14ac:dyDescent="0.25">
      <c r="A879" s="66"/>
      <c r="B879" s="66"/>
      <c r="C879" s="67"/>
      <c r="D879" s="70"/>
      <c r="E879" s="58"/>
      <c r="F879" s="72"/>
    </row>
    <row r="880" spans="1:6" x14ac:dyDescent="0.25">
      <c r="A880" s="66"/>
      <c r="B880" s="66"/>
      <c r="C880" s="67"/>
      <c r="D880" s="70"/>
      <c r="E880" s="58"/>
      <c r="F880" s="72"/>
    </row>
    <row r="881" spans="1:6" x14ac:dyDescent="0.25">
      <c r="A881" s="66"/>
      <c r="B881" s="66"/>
      <c r="C881" s="67"/>
      <c r="D881" s="70"/>
      <c r="E881" s="58"/>
      <c r="F881" s="72"/>
    </row>
    <row r="882" spans="1:6" x14ac:dyDescent="0.25">
      <c r="A882" s="66"/>
      <c r="B882" s="66"/>
      <c r="C882" s="67"/>
      <c r="D882" s="70"/>
      <c r="E882" s="58"/>
      <c r="F882" s="72"/>
    </row>
    <row r="883" spans="1:6" x14ac:dyDescent="0.25">
      <c r="A883" s="66"/>
      <c r="B883" s="66"/>
      <c r="C883" s="67"/>
      <c r="D883" s="70"/>
      <c r="E883" s="58"/>
      <c r="F883" s="72"/>
    </row>
    <row r="884" spans="1:6" x14ac:dyDescent="0.25">
      <c r="A884" s="66"/>
      <c r="B884" s="66"/>
      <c r="C884" s="67"/>
      <c r="D884" s="70"/>
      <c r="E884" s="58"/>
      <c r="F884" s="72"/>
    </row>
    <row r="885" spans="1:6" x14ac:dyDescent="0.25">
      <c r="A885" s="66"/>
      <c r="B885" s="66"/>
      <c r="C885" s="67"/>
      <c r="D885" s="70"/>
      <c r="E885" s="58"/>
      <c r="F885" s="72"/>
    </row>
    <row r="886" spans="1:6" x14ac:dyDescent="0.25">
      <c r="A886" s="66"/>
      <c r="B886" s="66"/>
      <c r="C886" s="67"/>
      <c r="D886" s="70"/>
      <c r="E886" s="58"/>
      <c r="F886" s="72"/>
    </row>
    <row r="887" spans="1:6" x14ac:dyDescent="0.25">
      <c r="A887" s="66"/>
      <c r="B887" s="66"/>
      <c r="C887" s="67"/>
      <c r="D887" s="70"/>
      <c r="E887" s="58"/>
      <c r="F887" s="72"/>
    </row>
    <row r="888" spans="1:6" x14ac:dyDescent="0.25">
      <c r="A888" s="66"/>
      <c r="B888" s="66"/>
      <c r="C888" s="67"/>
      <c r="D888" s="70"/>
      <c r="E888" s="58"/>
      <c r="F888" s="72"/>
    </row>
    <row r="889" spans="1:6" x14ac:dyDescent="0.25">
      <c r="A889" s="66"/>
      <c r="B889" s="66"/>
      <c r="C889" s="67"/>
      <c r="D889" s="70"/>
      <c r="E889" s="58"/>
      <c r="F889" s="72"/>
    </row>
    <row r="890" spans="1:6" x14ac:dyDescent="0.25">
      <c r="A890" s="66"/>
      <c r="B890" s="66"/>
      <c r="C890" s="67"/>
      <c r="D890" s="70"/>
      <c r="E890" s="58"/>
      <c r="F890" s="72"/>
    </row>
    <row r="891" spans="1:6" x14ac:dyDescent="0.25">
      <c r="A891" s="66"/>
      <c r="B891" s="66"/>
      <c r="C891" s="67"/>
      <c r="D891" s="70"/>
      <c r="E891" s="58"/>
      <c r="F891" s="72"/>
    </row>
    <row r="892" spans="1:6" x14ac:dyDescent="0.25">
      <c r="A892" s="66"/>
      <c r="B892" s="66"/>
      <c r="C892" s="67"/>
      <c r="D892" s="70"/>
      <c r="E892" s="58"/>
      <c r="F892" s="72"/>
    </row>
    <row r="893" spans="1:6" x14ac:dyDescent="0.25">
      <c r="A893" s="66"/>
      <c r="B893" s="66"/>
      <c r="C893" s="67"/>
      <c r="D893" s="70"/>
      <c r="E893" s="58"/>
      <c r="F893" s="72"/>
    </row>
    <row r="894" spans="1:6" x14ac:dyDescent="0.25">
      <c r="A894" s="66"/>
      <c r="B894" s="66"/>
      <c r="C894" s="67"/>
      <c r="D894" s="70"/>
      <c r="E894" s="58"/>
      <c r="F894" s="72"/>
    </row>
    <row r="895" spans="1:6" x14ac:dyDescent="0.25">
      <c r="A895" s="66"/>
      <c r="B895" s="66"/>
      <c r="C895" s="67"/>
      <c r="D895" s="70"/>
      <c r="E895" s="58"/>
      <c r="F895" s="72"/>
    </row>
    <row r="896" spans="1:6" x14ac:dyDescent="0.25">
      <c r="A896" s="66"/>
      <c r="B896" s="66"/>
      <c r="C896" s="67"/>
      <c r="D896" s="70"/>
      <c r="E896" s="58"/>
      <c r="F896" s="72"/>
    </row>
    <row r="897" spans="1:6" x14ac:dyDescent="0.25">
      <c r="A897" s="66"/>
      <c r="B897" s="66"/>
      <c r="C897" s="67"/>
      <c r="D897" s="70"/>
      <c r="E897" s="58"/>
      <c r="F897" s="72"/>
    </row>
    <row r="898" spans="1:6" x14ac:dyDescent="0.25">
      <c r="A898" s="66"/>
      <c r="B898" s="66"/>
      <c r="C898" s="67"/>
      <c r="D898" s="70"/>
      <c r="E898" s="58"/>
      <c r="F898" s="72"/>
    </row>
    <row r="899" spans="1:6" x14ac:dyDescent="0.25">
      <c r="A899" s="66"/>
      <c r="B899" s="66"/>
      <c r="C899" s="67"/>
      <c r="D899" s="70"/>
      <c r="E899" s="58"/>
      <c r="F899" s="72"/>
    </row>
    <row r="900" spans="1:6" x14ac:dyDescent="0.25">
      <c r="A900" s="66"/>
      <c r="B900" s="66"/>
      <c r="C900" s="67"/>
      <c r="D900" s="70"/>
      <c r="E900" s="58"/>
      <c r="F900" s="72"/>
    </row>
    <row r="901" spans="1:6" x14ac:dyDescent="0.25">
      <c r="A901" s="66"/>
      <c r="B901" s="66"/>
      <c r="C901" s="67"/>
      <c r="D901" s="70"/>
      <c r="E901" s="58"/>
      <c r="F901" s="72"/>
    </row>
    <row r="902" spans="1:6" x14ac:dyDescent="0.25">
      <c r="A902" s="66"/>
      <c r="B902" s="66"/>
      <c r="C902" s="67"/>
      <c r="D902" s="70"/>
      <c r="E902" s="58"/>
      <c r="F902" s="72"/>
    </row>
    <row r="903" spans="1:6" x14ac:dyDescent="0.25">
      <c r="A903" s="66"/>
      <c r="B903" s="66"/>
      <c r="C903" s="67"/>
      <c r="D903" s="70"/>
      <c r="E903" s="58"/>
      <c r="F903" s="72"/>
    </row>
    <row r="904" spans="1:6" x14ac:dyDescent="0.25">
      <c r="A904" s="66"/>
      <c r="B904" s="66"/>
      <c r="C904" s="67"/>
      <c r="D904" s="70"/>
      <c r="E904" s="58"/>
      <c r="F904" s="72"/>
    </row>
    <row r="905" spans="1:6" x14ac:dyDescent="0.25">
      <c r="A905" s="66"/>
      <c r="B905" s="66"/>
      <c r="C905" s="67"/>
      <c r="D905" s="70"/>
      <c r="E905" s="58"/>
      <c r="F905" s="72"/>
    </row>
    <row r="906" spans="1:6" x14ac:dyDescent="0.25">
      <c r="A906" s="66"/>
      <c r="B906" s="66"/>
      <c r="C906" s="67"/>
      <c r="D906" s="70"/>
      <c r="E906" s="58"/>
      <c r="F906" s="72"/>
    </row>
    <row r="907" spans="1:6" x14ac:dyDescent="0.25">
      <c r="A907" s="66"/>
      <c r="B907" s="66"/>
      <c r="C907" s="67"/>
      <c r="D907" s="70"/>
      <c r="E907" s="58"/>
      <c r="F907" s="72"/>
    </row>
    <row r="908" spans="1:6" x14ac:dyDescent="0.25">
      <c r="A908" s="66"/>
      <c r="B908" s="66"/>
      <c r="C908" s="67"/>
      <c r="D908" s="70"/>
      <c r="E908" s="58"/>
      <c r="F908" s="72"/>
    </row>
    <row r="909" spans="1:6" x14ac:dyDescent="0.25">
      <c r="A909" s="66"/>
      <c r="B909" s="66"/>
      <c r="C909" s="67"/>
      <c r="D909" s="70"/>
      <c r="E909" s="58"/>
      <c r="F909" s="72"/>
    </row>
    <row r="910" spans="1:6" x14ac:dyDescent="0.25">
      <c r="A910" s="66"/>
      <c r="B910" s="66"/>
      <c r="C910" s="67"/>
      <c r="D910" s="70"/>
      <c r="E910" s="58"/>
      <c r="F910" s="72"/>
    </row>
    <row r="911" spans="1:6" x14ac:dyDescent="0.25">
      <c r="A911" s="66"/>
      <c r="B911" s="66"/>
      <c r="C911" s="67"/>
      <c r="D911" s="70"/>
      <c r="E911" s="58"/>
      <c r="F911" s="72"/>
    </row>
    <row r="912" spans="1:6" x14ac:dyDescent="0.25">
      <c r="A912" s="66"/>
      <c r="B912" s="66"/>
      <c r="C912" s="67"/>
      <c r="D912" s="70"/>
      <c r="E912" s="58"/>
      <c r="F912" s="72"/>
    </row>
    <row r="913" spans="1:6" x14ac:dyDescent="0.25">
      <c r="A913" s="66"/>
      <c r="B913" s="66"/>
      <c r="C913" s="67"/>
      <c r="D913" s="70"/>
      <c r="E913" s="58"/>
      <c r="F913" s="72"/>
    </row>
    <row r="914" spans="1:6" x14ac:dyDescent="0.25">
      <c r="A914" s="66"/>
      <c r="B914" s="66"/>
      <c r="C914" s="67"/>
      <c r="D914" s="70"/>
      <c r="E914" s="58"/>
      <c r="F914" s="72"/>
    </row>
    <row r="915" spans="1:6" x14ac:dyDescent="0.25">
      <c r="A915" s="66"/>
      <c r="B915" s="66"/>
      <c r="C915" s="67"/>
      <c r="D915" s="70"/>
      <c r="E915" s="58"/>
      <c r="F915" s="72"/>
    </row>
    <row r="916" spans="1:6" x14ac:dyDescent="0.25">
      <c r="A916" s="66"/>
      <c r="B916" s="66"/>
      <c r="C916" s="67"/>
      <c r="D916" s="70"/>
      <c r="E916" s="58"/>
      <c r="F916" s="72"/>
    </row>
    <row r="917" spans="1:6" x14ac:dyDescent="0.25">
      <c r="A917" s="66"/>
      <c r="B917" s="66"/>
      <c r="C917" s="67"/>
      <c r="D917" s="70"/>
      <c r="E917" s="58"/>
      <c r="F917" s="72"/>
    </row>
    <row r="918" spans="1:6" x14ac:dyDescent="0.25">
      <c r="A918" s="66"/>
      <c r="B918" s="66"/>
      <c r="C918" s="67"/>
      <c r="D918" s="70"/>
      <c r="E918" s="58"/>
      <c r="F918" s="72"/>
    </row>
    <row r="919" spans="1:6" x14ac:dyDescent="0.25">
      <c r="A919" s="66"/>
      <c r="B919" s="66"/>
      <c r="C919" s="67"/>
      <c r="D919" s="70"/>
      <c r="E919" s="58"/>
      <c r="F919" s="72"/>
    </row>
    <row r="920" spans="1:6" x14ac:dyDescent="0.25">
      <c r="A920" s="66"/>
      <c r="B920" s="66"/>
      <c r="C920" s="67"/>
      <c r="D920" s="70"/>
      <c r="E920" s="58"/>
      <c r="F920" s="72"/>
    </row>
    <row r="921" spans="1:6" x14ac:dyDescent="0.25">
      <c r="A921" s="66"/>
      <c r="B921" s="66"/>
      <c r="C921" s="67"/>
      <c r="D921" s="70"/>
      <c r="E921" s="58"/>
      <c r="F921" s="72"/>
    </row>
    <row r="922" spans="1:6" x14ac:dyDescent="0.25">
      <c r="A922" s="66"/>
      <c r="B922" s="66"/>
      <c r="C922" s="67"/>
      <c r="D922" s="70"/>
      <c r="E922" s="58"/>
      <c r="F922" s="72"/>
    </row>
    <row r="923" spans="1:6" x14ac:dyDescent="0.25">
      <c r="A923" s="66"/>
      <c r="B923" s="66"/>
      <c r="C923" s="67"/>
      <c r="D923" s="70"/>
      <c r="E923" s="58"/>
      <c r="F923" s="72"/>
    </row>
    <row r="924" spans="1:6" x14ac:dyDescent="0.25">
      <c r="A924" s="66"/>
      <c r="B924" s="66"/>
      <c r="C924" s="67"/>
      <c r="D924" s="70"/>
      <c r="E924" s="58"/>
      <c r="F924" s="72"/>
    </row>
    <row r="925" spans="1:6" x14ac:dyDescent="0.25">
      <c r="A925" s="66"/>
      <c r="B925" s="66"/>
      <c r="C925" s="67"/>
      <c r="D925" s="70"/>
      <c r="E925" s="58"/>
      <c r="F925" s="72"/>
    </row>
    <row r="926" spans="1:6" x14ac:dyDescent="0.25">
      <c r="A926" s="66"/>
      <c r="B926" s="66"/>
      <c r="C926" s="67"/>
      <c r="D926" s="70"/>
      <c r="E926" s="58"/>
      <c r="F926" s="72"/>
    </row>
    <row r="927" spans="1:6" x14ac:dyDescent="0.25">
      <c r="A927" s="66"/>
      <c r="B927" s="66"/>
      <c r="C927" s="67"/>
      <c r="D927" s="70"/>
      <c r="E927" s="58"/>
      <c r="F927" s="72"/>
    </row>
    <row r="928" spans="1:6" x14ac:dyDescent="0.25">
      <c r="A928" s="66"/>
      <c r="B928" s="66"/>
      <c r="C928" s="67"/>
      <c r="D928" s="70"/>
      <c r="E928" s="58"/>
      <c r="F928" s="72"/>
    </row>
    <row r="929" spans="1:6" x14ac:dyDescent="0.25">
      <c r="A929" s="66"/>
      <c r="B929" s="66"/>
      <c r="C929" s="67"/>
      <c r="D929" s="70"/>
      <c r="E929" s="58"/>
      <c r="F929" s="72"/>
    </row>
    <row r="930" spans="1:6" x14ac:dyDescent="0.25">
      <c r="A930" s="66"/>
      <c r="B930" s="66"/>
      <c r="C930" s="67"/>
      <c r="D930" s="70"/>
      <c r="E930" s="58"/>
      <c r="F930" s="72"/>
    </row>
    <row r="931" spans="1:6" x14ac:dyDescent="0.25">
      <c r="A931" s="66"/>
      <c r="B931" s="66"/>
      <c r="C931" s="67"/>
      <c r="D931" s="70"/>
      <c r="E931" s="58"/>
      <c r="F931" s="72"/>
    </row>
    <row r="932" spans="1:6" x14ac:dyDescent="0.25">
      <c r="A932" s="66"/>
      <c r="B932" s="66"/>
      <c r="C932" s="67"/>
      <c r="D932" s="70"/>
      <c r="E932" s="58"/>
      <c r="F932" s="72"/>
    </row>
    <row r="933" spans="1:6" x14ac:dyDescent="0.25">
      <c r="A933" s="66"/>
      <c r="B933" s="66"/>
      <c r="C933" s="67"/>
      <c r="D933" s="70"/>
      <c r="E933" s="58"/>
      <c r="F933" s="72"/>
    </row>
    <row r="934" spans="1:6" x14ac:dyDescent="0.25">
      <c r="A934" s="66"/>
      <c r="B934" s="66"/>
      <c r="C934" s="67"/>
      <c r="D934" s="70"/>
      <c r="E934" s="58"/>
      <c r="F934" s="72"/>
    </row>
    <row r="935" spans="1:6" x14ac:dyDescent="0.25">
      <c r="A935" s="66"/>
      <c r="B935" s="66"/>
      <c r="C935" s="67"/>
      <c r="D935" s="70"/>
      <c r="E935" s="58"/>
      <c r="F935" s="72"/>
    </row>
    <row r="936" spans="1:6" x14ac:dyDescent="0.25">
      <c r="A936" s="66"/>
      <c r="B936" s="66"/>
      <c r="C936" s="67"/>
      <c r="D936" s="70"/>
      <c r="E936" s="58"/>
      <c r="F936" s="72"/>
    </row>
    <row r="937" spans="1:6" x14ac:dyDescent="0.25">
      <c r="A937" s="66"/>
      <c r="B937" s="66"/>
      <c r="C937" s="67"/>
      <c r="D937" s="70"/>
      <c r="E937" s="58"/>
      <c r="F937" s="72"/>
    </row>
    <row r="938" spans="1:6" x14ac:dyDescent="0.25">
      <c r="A938" s="66"/>
      <c r="B938" s="66"/>
      <c r="C938" s="67"/>
      <c r="D938" s="70"/>
      <c r="E938" s="58"/>
      <c r="F938" s="72"/>
    </row>
    <row r="939" spans="1:6" x14ac:dyDescent="0.25">
      <c r="A939" s="66"/>
      <c r="B939" s="66"/>
      <c r="C939" s="67"/>
      <c r="D939" s="70"/>
      <c r="E939" s="58"/>
      <c r="F939" s="72"/>
    </row>
    <row r="940" spans="1:6" x14ac:dyDescent="0.25">
      <c r="A940" s="66"/>
      <c r="B940" s="66"/>
      <c r="C940" s="67"/>
      <c r="D940" s="70"/>
      <c r="E940" s="58"/>
      <c r="F940" s="72"/>
    </row>
    <row r="941" spans="1:6" x14ac:dyDescent="0.25">
      <c r="A941" s="66"/>
      <c r="B941" s="66"/>
      <c r="C941" s="67"/>
      <c r="D941" s="70"/>
      <c r="E941" s="58"/>
      <c r="F941" s="72"/>
    </row>
    <row r="942" spans="1:6" x14ac:dyDescent="0.25">
      <c r="A942" s="66"/>
      <c r="B942" s="66"/>
      <c r="C942" s="67"/>
      <c r="D942" s="70"/>
      <c r="E942" s="58"/>
      <c r="F942" s="72"/>
    </row>
    <row r="943" spans="1:6" x14ac:dyDescent="0.25">
      <c r="A943" s="66"/>
      <c r="B943" s="66"/>
      <c r="C943" s="67"/>
      <c r="D943" s="70"/>
      <c r="E943" s="58"/>
      <c r="F943" s="72"/>
    </row>
    <row r="944" spans="1:6" x14ac:dyDescent="0.25">
      <c r="A944" s="66"/>
      <c r="B944" s="66"/>
      <c r="C944" s="67"/>
      <c r="D944" s="70"/>
      <c r="E944" s="58"/>
      <c r="F944" s="72"/>
    </row>
    <row r="945" spans="1:6" x14ac:dyDescent="0.25">
      <c r="A945" s="66"/>
      <c r="B945" s="66"/>
      <c r="C945" s="67"/>
      <c r="D945" s="70"/>
      <c r="E945" s="58"/>
      <c r="F945" s="72"/>
    </row>
    <row r="946" spans="1:6" x14ac:dyDescent="0.25">
      <c r="A946" s="66"/>
      <c r="B946" s="66"/>
      <c r="C946" s="67"/>
      <c r="D946" s="70"/>
      <c r="E946" s="58"/>
      <c r="F946" s="72"/>
    </row>
    <row r="947" spans="1:6" x14ac:dyDescent="0.25">
      <c r="A947" s="66"/>
      <c r="B947" s="66"/>
      <c r="C947" s="67"/>
      <c r="D947" s="70"/>
      <c r="E947" s="58"/>
      <c r="F947" s="72"/>
    </row>
    <row r="948" spans="1:6" x14ac:dyDescent="0.25">
      <c r="A948" s="66"/>
      <c r="B948" s="66"/>
      <c r="C948" s="67"/>
      <c r="D948" s="70"/>
      <c r="E948" s="58"/>
      <c r="F948" s="72"/>
    </row>
    <row r="949" spans="1:6" x14ac:dyDescent="0.25">
      <c r="A949" s="66"/>
      <c r="B949" s="66"/>
      <c r="C949" s="67"/>
      <c r="D949" s="70"/>
      <c r="E949" s="58"/>
      <c r="F949" s="72"/>
    </row>
    <row r="950" spans="1:6" x14ac:dyDescent="0.25">
      <c r="A950" s="66"/>
      <c r="B950" s="66"/>
      <c r="C950" s="67"/>
      <c r="D950" s="70"/>
      <c r="E950" s="58"/>
      <c r="F950" s="72"/>
    </row>
    <row r="951" spans="1:6" x14ac:dyDescent="0.25">
      <c r="A951" s="66"/>
      <c r="B951" s="66"/>
      <c r="C951" s="67"/>
      <c r="D951" s="70"/>
      <c r="E951" s="58"/>
      <c r="F951" s="72"/>
    </row>
    <row r="952" spans="1:6" x14ac:dyDescent="0.25">
      <c r="A952" s="66"/>
      <c r="B952" s="66"/>
      <c r="C952" s="67"/>
      <c r="D952" s="70"/>
      <c r="E952" s="58"/>
      <c r="F952" s="72"/>
    </row>
    <row r="953" spans="1:6" x14ac:dyDescent="0.25">
      <c r="A953" s="66"/>
      <c r="B953" s="66"/>
      <c r="C953" s="67"/>
      <c r="D953" s="70"/>
      <c r="E953" s="58"/>
      <c r="F953" s="72"/>
    </row>
    <row r="954" spans="1:6" x14ac:dyDescent="0.25">
      <c r="A954" s="66"/>
      <c r="B954" s="66"/>
      <c r="C954" s="67"/>
      <c r="D954" s="70"/>
      <c r="E954" s="58"/>
      <c r="F954" s="72"/>
    </row>
    <row r="955" spans="1:6" x14ac:dyDescent="0.25">
      <c r="A955" s="66"/>
      <c r="B955" s="66"/>
      <c r="C955" s="67"/>
      <c r="D955" s="70"/>
      <c r="E955" s="58"/>
      <c r="F955" s="72"/>
    </row>
    <row r="956" spans="1:6" x14ac:dyDescent="0.25">
      <c r="A956" s="66"/>
      <c r="B956" s="66"/>
      <c r="C956" s="67"/>
      <c r="D956" s="70"/>
      <c r="E956" s="58"/>
      <c r="F956" s="72"/>
    </row>
    <row r="957" spans="1:6" x14ac:dyDescent="0.25">
      <c r="A957" s="66"/>
      <c r="B957" s="66"/>
      <c r="C957" s="67"/>
      <c r="D957" s="70"/>
      <c r="E957" s="58"/>
      <c r="F957" s="72"/>
    </row>
    <row r="958" spans="1:6" x14ac:dyDescent="0.25">
      <c r="A958" s="66"/>
      <c r="B958" s="66"/>
      <c r="C958" s="67"/>
      <c r="D958" s="70"/>
      <c r="E958" s="58"/>
      <c r="F958" s="72"/>
    </row>
    <row r="959" spans="1:6" x14ac:dyDescent="0.25">
      <c r="A959" s="66"/>
      <c r="B959" s="66"/>
      <c r="C959" s="67"/>
      <c r="D959" s="70"/>
      <c r="E959" s="58"/>
      <c r="F959" s="72"/>
    </row>
    <row r="960" spans="1:6" x14ac:dyDescent="0.25">
      <c r="A960" s="66"/>
      <c r="B960" s="66"/>
      <c r="C960" s="67"/>
      <c r="D960" s="70"/>
      <c r="E960" s="58"/>
      <c r="F960" s="72"/>
    </row>
    <row r="961" spans="1:6" x14ac:dyDescent="0.25">
      <c r="A961" s="66"/>
      <c r="B961" s="66"/>
      <c r="C961" s="67"/>
      <c r="D961" s="70"/>
      <c r="E961" s="58"/>
      <c r="F961" s="72"/>
    </row>
    <row r="962" spans="1:6" x14ac:dyDescent="0.25">
      <c r="A962" s="66"/>
      <c r="B962" s="66"/>
      <c r="C962" s="67"/>
      <c r="D962" s="70"/>
      <c r="E962" s="58"/>
      <c r="F962" s="72"/>
    </row>
    <row r="963" spans="1:6" x14ac:dyDescent="0.25">
      <c r="A963" s="66"/>
      <c r="B963" s="66"/>
      <c r="C963" s="67"/>
      <c r="D963" s="70"/>
      <c r="E963" s="58"/>
      <c r="F963" s="72"/>
    </row>
    <row r="964" spans="1:6" x14ac:dyDescent="0.25">
      <c r="A964" s="66"/>
      <c r="B964" s="66"/>
      <c r="C964" s="67"/>
      <c r="D964" s="70"/>
      <c r="E964" s="58"/>
      <c r="F964" s="72"/>
    </row>
    <row r="965" spans="1:6" x14ac:dyDescent="0.25">
      <c r="A965" s="66"/>
      <c r="B965" s="66"/>
      <c r="C965" s="67"/>
      <c r="D965" s="70"/>
      <c r="E965" s="58"/>
      <c r="F965" s="72"/>
    </row>
    <row r="966" spans="1:6" x14ac:dyDescent="0.25">
      <c r="A966" s="66"/>
      <c r="B966" s="66"/>
      <c r="C966" s="67"/>
      <c r="D966" s="70"/>
      <c r="E966" s="58"/>
      <c r="F966" s="72"/>
    </row>
    <row r="967" spans="1:6" x14ac:dyDescent="0.25">
      <c r="A967" s="66"/>
      <c r="B967" s="66"/>
      <c r="C967" s="67"/>
      <c r="D967" s="70"/>
      <c r="E967" s="58"/>
      <c r="F967" s="72"/>
    </row>
    <row r="968" spans="1:6" x14ac:dyDescent="0.25">
      <c r="A968" s="66"/>
      <c r="B968" s="66"/>
      <c r="C968" s="67"/>
      <c r="D968" s="70"/>
      <c r="E968" s="58"/>
      <c r="F968" s="72"/>
    </row>
    <row r="969" spans="1:6" x14ac:dyDescent="0.25">
      <c r="A969" s="66"/>
      <c r="B969" s="66"/>
      <c r="C969" s="67"/>
      <c r="D969" s="70"/>
      <c r="E969" s="58"/>
      <c r="F969" s="72"/>
    </row>
    <row r="970" spans="1:6" x14ac:dyDescent="0.25">
      <c r="A970" s="66"/>
      <c r="B970" s="66"/>
      <c r="C970" s="67"/>
      <c r="D970" s="70"/>
      <c r="E970" s="58"/>
      <c r="F970" s="72"/>
    </row>
    <row r="971" spans="1:6" x14ac:dyDescent="0.25">
      <c r="A971" s="66"/>
      <c r="B971" s="66"/>
      <c r="C971" s="67"/>
      <c r="D971" s="70"/>
      <c r="E971" s="58"/>
      <c r="F971" s="72"/>
    </row>
    <row r="972" spans="1:6" x14ac:dyDescent="0.25">
      <c r="A972" s="66"/>
      <c r="B972" s="66"/>
      <c r="C972" s="67"/>
      <c r="D972" s="70"/>
      <c r="E972" s="58"/>
      <c r="F972" s="72"/>
    </row>
    <row r="973" spans="1:6" x14ac:dyDescent="0.25">
      <c r="A973" s="66"/>
      <c r="B973" s="66"/>
      <c r="C973" s="67"/>
      <c r="D973" s="70"/>
      <c r="E973" s="58"/>
      <c r="F973" s="72"/>
    </row>
    <row r="974" spans="1:6" x14ac:dyDescent="0.25">
      <c r="A974" s="66"/>
      <c r="B974" s="66"/>
      <c r="C974" s="67"/>
      <c r="D974" s="70"/>
      <c r="E974" s="58"/>
      <c r="F974" s="72"/>
    </row>
    <row r="975" spans="1:6" x14ac:dyDescent="0.25">
      <c r="A975" s="66"/>
      <c r="B975" s="66"/>
      <c r="C975" s="67"/>
      <c r="D975" s="70"/>
      <c r="E975" s="58"/>
      <c r="F975" s="72"/>
    </row>
    <row r="976" spans="1:6" x14ac:dyDescent="0.25">
      <c r="A976" s="66"/>
      <c r="B976" s="66"/>
      <c r="C976" s="67"/>
      <c r="D976" s="70"/>
      <c r="E976" s="58"/>
      <c r="F976" s="72"/>
    </row>
    <row r="977" spans="1:6" x14ac:dyDescent="0.25">
      <c r="A977" s="66"/>
      <c r="B977" s="66"/>
      <c r="C977" s="67"/>
      <c r="D977" s="70"/>
      <c r="E977" s="58"/>
      <c r="F977" s="72"/>
    </row>
    <row r="978" spans="1:6" x14ac:dyDescent="0.25">
      <c r="A978" s="66"/>
      <c r="B978" s="66"/>
      <c r="C978" s="67"/>
      <c r="D978" s="70"/>
      <c r="E978" s="58"/>
      <c r="F978" s="72"/>
    </row>
    <row r="979" spans="1:6" x14ac:dyDescent="0.25">
      <c r="A979" s="66"/>
      <c r="B979" s="66"/>
      <c r="C979" s="67"/>
      <c r="D979" s="70"/>
      <c r="E979" s="58"/>
      <c r="F979" s="72"/>
    </row>
    <row r="980" spans="1:6" x14ac:dyDescent="0.25">
      <c r="A980" s="66"/>
      <c r="B980" s="66"/>
      <c r="C980" s="67"/>
      <c r="D980" s="70"/>
      <c r="E980" s="58"/>
      <c r="F980" s="72"/>
    </row>
    <row r="981" spans="1:6" x14ac:dyDescent="0.25">
      <c r="A981" s="66"/>
      <c r="B981" s="66"/>
      <c r="C981" s="67"/>
      <c r="D981" s="70"/>
      <c r="E981" s="58"/>
      <c r="F981" s="72"/>
    </row>
    <row r="982" spans="1:6" x14ac:dyDescent="0.25">
      <c r="A982" s="66"/>
      <c r="B982" s="66"/>
      <c r="C982" s="67"/>
      <c r="D982" s="70"/>
      <c r="E982" s="58"/>
      <c r="F982" s="72"/>
    </row>
    <row r="983" spans="1:6" x14ac:dyDescent="0.25">
      <c r="A983" s="66"/>
      <c r="B983" s="66"/>
      <c r="C983" s="67"/>
      <c r="D983" s="70"/>
      <c r="E983" s="58"/>
      <c r="F983" s="72"/>
    </row>
    <row r="984" spans="1:6" x14ac:dyDescent="0.25">
      <c r="A984" s="66"/>
      <c r="B984" s="66"/>
      <c r="C984" s="67"/>
      <c r="D984" s="70"/>
      <c r="E984" s="58"/>
      <c r="F984" s="72"/>
    </row>
    <row r="985" spans="1:6" x14ac:dyDescent="0.25">
      <c r="A985" s="66"/>
      <c r="B985" s="66"/>
      <c r="C985" s="67"/>
      <c r="D985" s="70"/>
      <c r="E985" s="58"/>
      <c r="F985" s="72"/>
    </row>
    <row r="986" spans="1:6" x14ac:dyDescent="0.25">
      <c r="A986" s="66"/>
      <c r="B986" s="66"/>
      <c r="C986" s="67"/>
      <c r="D986" s="70"/>
      <c r="E986" s="58"/>
      <c r="F986" s="72"/>
    </row>
    <row r="987" spans="1:6" x14ac:dyDescent="0.25">
      <c r="A987" s="66"/>
      <c r="B987" s="66"/>
      <c r="C987" s="67"/>
      <c r="D987" s="70"/>
      <c r="E987" s="58"/>
      <c r="F987" s="72"/>
    </row>
    <row r="988" spans="1:6" x14ac:dyDescent="0.25">
      <c r="A988" s="66"/>
      <c r="B988" s="66"/>
      <c r="C988" s="67"/>
      <c r="D988" s="70"/>
      <c r="E988" s="58"/>
      <c r="F988" s="72"/>
    </row>
    <row r="989" spans="1:6" x14ac:dyDescent="0.25">
      <c r="A989" s="66"/>
      <c r="B989" s="66"/>
      <c r="C989" s="67"/>
      <c r="D989" s="70"/>
      <c r="E989" s="58"/>
      <c r="F989" s="72"/>
    </row>
    <row r="990" spans="1:6" x14ac:dyDescent="0.25">
      <c r="A990" s="66"/>
      <c r="B990" s="66"/>
      <c r="C990" s="67"/>
      <c r="D990" s="70"/>
      <c r="E990" s="58"/>
      <c r="F990" s="72"/>
    </row>
    <row r="991" spans="1:6" x14ac:dyDescent="0.25">
      <c r="A991" s="66"/>
      <c r="B991" s="66"/>
      <c r="C991" s="67"/>
      <c r="D991" s="70"/>
      <c r="E991" s="58"/>
      <c r="F991" s="72"/>
    </row>
    <row r="992" spans="1:6" x14ac:dyDescent="0.25">
      <c r="A992" s="66"/>
      <c r="B992" s="66"/>
      <c r="C992" s="67"/>
      <c r="D992" s="70"/>
      <c r="E992" s="58"/>
      <c r="F992" s="72"/>
    </row>
    <row r="993" spans="1:6" x14ac:dyDescent="0.25">
      <c r="A993" s="66"/>
      <c r="B993" s="66"/>
      <c r="C993" s="67"/>
      <c r="D993" s="70"/>
      <c r="E993" s="58"/>
      <c r="F993" s="72"/>
    </row>
    <row r="994" spans="1:6" x14ac:dyDescent="0.25">
      <c r="A994" s="66"/>
      <c r="B994" s="66"/>
      <c r="C994" s="67"/>
      <c r="D994" s="70"/>
      <c r="E994" s="58"/>
      <c r="F994" s="72"/>
    </row>
    <row r="995" spans="1:6" x14ac:dyDescent="0.25">
      <c r="A995" s="66"/>
      <c r="B995" s="66"/>
      <c r="C995" s="67"/>
      <c r="D995" s="70"/>
      <c r="E995" s="58"/>
      <c r="F995" s="72"/>
    </row>
    <row r="996" spans="1:6" x14ac:dyDescent="0.25">
      <c r="A996" s="66"/>
      <c r="B996" s="66"/>
      <c r="C996" s="67"/>
      <c r="D996" s="70"/>
      <c r="E996" s="58"/>
      <c r="F996" s="72"/>
    </row>
    <row r="997" spans="1:6" x14ac:dyDescent="0.25">
      <c r="A997" s="66"/>
      <c r="B997" s="66"/>
      <c r="C997" s="67"/>
      <c r="D997" s="70"/>
      <c r="E997" s="58"/>
      <c r="F997" s="72"/>
    </row>
    <row r="998" spans="1:6" x14ac:dyDescent="0.25">
      <c r="A998" s="66"/>
      <c r="B998" s="66"/>
      <c r="C998" s="67"/>
      <c r="D998" s="70"/>
      <c r="E998" s="58"/>
      <c r="F998" s="72"/>
    </row>
    <row r="999" spans="1:6" x14ac:dyDescent="0.25">
      <c r="A999" s="66"/>
      <c r="B999" s="66"/>
      <c r="C999" s="67"/>
      <c r="D999" s="70"/>
      <c r="E999" s="58"/>
      <c r="F999" s="72"/>
    </row>
    <row r="1000" spans="1:6" x14ac:dyDescent="0.25">
      <c r="A1000" s="66"/>
      <c r="B1000" s="66"/>
      <c r="C1000" s="67"/>
      <c r="D1000" s="70"/>
      <c r="E1000" s="58"/>
      <c r="F1000" s="72"/>
    </row>
    <row r="1001" spans="1:6" x14ac:dyDescent="0.25">
      <c r="A1001" s="66"/>
      <c r="B1001" s="66"/>
      <c r="C1001" s="67"/>
      <c r="D1001" s="70"/>
      <c r="E1001" s="58"/>
      <c r="F1001" s="72"/>
    </row>
    <row r="1002" spans="1:6" x14ac:dyDescent="0.25">
      <c r="A1002" s="66"/>
      <c r="B1002" s="66"/>
      <c r="C1002" s="67"/>
      <c r="D1002" s="70"/>
      <c r="E1002" s="58"/>
      <c r="F1002" s="72"/>
    </row>
    <row r="1003" spans="1:6" x14ac:dyDescent="0.25">
      <c r="A1003" s="66"/>
      <c r="B1003" s="66"/>
      <c r="C1003" s="67"/>
      <c r="D1003" s="70"/>
      <c r="E1003" s="58"/>
      <c r="F1003" s="72"/>
    </row>
    <row r="1004" spans="1:6" x14ac:dyDescent="0.25">
      <c r="A1004" s="66"/>
      <c r="B1004" s="66"/>
      <c r="C1004" s="67"/>
      <c r="D1004" s="70"/>
      <c r="E1004" s="58"/>
      <c r="F1004" s="72"/>
    </row>
    <row r="1005" spans="1:6" x14ac:dyDescent="0.25">
      <c r="A1005" s="66"/>
      <c r="B1005" s="66"/>
      <c r="C1005" s="67"/>
      <c r="D1005" s="70"/>
      <c r="E1005" s="58"/>
      <c r="F1005" s="72"/>
    </row>
    <row r="1006" spans="1:6" x14ac:dyDescent="0.25">
      <c r="A1006" s="66"/>
      <c r="B1006" s="66"/>
      <c r="C1006" s="67"/>
      <c r="D1006" s="70"/>
      <c r="E1006" s="58"/>
      <c r="F1006" s="72"/>
    </row>
    <row r="1007" spans="1:6" x14ac:dyDescent="0.25">
      <c r="A1007" s="66"/>
      <c r="B1007" s="66"/>
      <c r="C1007" s="67"/>
      <c r="D1007" s="70"/>
      <c r="E1007" s="58"/>
      <c r="F1007" s="72"/>
    </row>
    <row r="1008" spans="1:6" x14ac:dyDescent="0.25">
      <c r="A1008" s="66"/>
      <c r="B1008" s="66"/>
      <c r="C1008" s="67"/>
      <c r="D1008" s="70"/>
      <c r="E1008" s="58"/>
      <c r="F1008" s="72"/>
    </row>
    <row r="1009" spans="1:6" x14ac:dyDescent="0.25">
      <c r="A1009" s="66"/>
      <c r="B1009" s="66"/>
      <c r="C1009" s="67"/>
      <c r="D1009" s="70"/>
      <c r="E1009" s="58"/>
      <c r="F1009" s="72"/>
    </row>
    <row r="1010" spans="1:6" x14ac:dyDescent="0.25">
      <c r="A1010" s="66"/>
      <c r="B1010" s="66"/>
      <c r="C1010" s="67"/>
      <c r="D1010" s="70"/>
      <c r="E1010" s="58"/>
      <c r="F1010" s="72"/>
    </row>
    <row r="1011" spans="1:6" x14ac:dyDescent="0.25">
      <c r="A1011" s="66"/>
      <c r="B1011" s="66"/>
      <c r="C1011" s="67"/>
      <c r="D1011" s="70"/>
      <c r="E1011" s="58"/>
      <c r="F1011" s="72"/>
    </row>
    <row r="1012" spans="1:6" x14ac:dyDescent="0.25">
      <c r="A1012" s="66"/>
      <c r="B1012" s="66"/>
      <c r="C1012" s="67"/>
      <c r="D1012" s="70"/>
      <c r="E1012" s="58"/>
      <c r="F1012" s="72"/>
    </row>
    <row r="1013" spans="1:6" x14ac:dyDescent="0.25">
      <c r="A1013" s="66"/>
      <c r="B1013" s="66"/>
      <c r="C1013" s="67"/>
      <c r="D1013" s="70"/>
      <c r="E1013" s="58"/>
      <c r="F1013" s="72"/>
    </row>
    <row r="1014" spans="1:6" x14ac:dyDescent="0.25">
      <c r="A1014" s="66"/>
      <c r="B1014" s="66"/>
      <c r="C1014" s="67"/>
      <c r="D1014" s="70"/>
      <c r="E1014" s="58"/>
      <c r="F1014" s="72"/>
    </row>
    <row r="1015" spans="1:6" x14ac:dyDescent="0.25">
      <c r="A1015" s="66"/>
      <c r="B1015" s="66"/>
      <c r="C1015" s="67"/>
      <c r="D1015" s="70"/>
      <c r="E1015" s="58"/>
      <c r="F1015" s="72"/>
    </row>
    <row r="1016" spans="1:6" x14ac:dyDescent="0.25">
      <c r="A1016" s="66"/>
      <c r="B1016" s="66"/>
      <c r="C1016" s="67"/>
      <c r="D1016" s="70"/>
      <c r="E1016" s="58"/>
      <c r="F1016" s="72"/>
    </row>
    <row r="1017" spans="1:6" x14ac:dyDescent="0.25">
      <c r="A1017" s="66"/>
      <c r="B1017" s="66"/>
      <c r="C1017" s="67"/>
      <c r="D1017" s="70"/>
      <c r="E1017" s="58"/>
      <c r="F1017" s="72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9" location="'TqRsDg_Per1() P'!A1" display="'TqRsDg_Per1() P'!A1"/>
    <hyperlink ref="A18" location="'TqRsDg_Per1() R'!A1" display="'TqRsDg_Per1() R'!A1"/>
    <hyperlink ref="A17" location="'TqRsDg_Per1() M'!A1" display="'TqRsDg_Per1() M'!A1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F215"/>
  <sheetViews>
    <sheetView workbookViewId="0">
      <selection sqref="A1:B1"/>
    </sheetView>
  </sheetViews>
  <sheetFormatPr defaultRowHeight="15" x14ac:dyDescent="0.25"/>
  <cols>
    <col min="1" max="1" width="8.140625" style="60" bestFit="1" customWidth="1"/>
    <col min="2" max="2" width="255.7109375" bestFit="1" customWidth="1"/>
    <col min="3" max="3" width="7" style="60" bestFit="1" customWidth="1"/>
    <col min="4" max="6" width="4" style="60" bestFit="1" customWidth="1"/>
    <col min="7" max="7" width="9" style="60" bestFit="1" customWidth="1"/>
    <col min="8" max="10" width="4" style="60" bestFit="1" customWidth="1"/>
    <col min="11" max="11" width="9" style="60" bestFit="1" customWidth="1"/>
    <col min="12" max="12" width="7" style="60" bestFit="1" customWidth="1"/>
    <col min="13" max="14" width="6.7109375" style="60" bestFit="1" customWidth="1"/>
    <col min="15" max="16" width="7" style="60" bestFit="1" customWidth="1"/>
    <col min="17" max="17" width="8" style="60" bestFit="1" customWidth="1"/>
    <col min="18" max="18" width="12" style="60" bestFit="1" customWidth="1"/>
    <col min="19" max="19" width="8" style="60" bestFit="1" customWidth="1"/>
    <col min="20" max="20" width="12" style="60" bestFit="1" customWidth="1"/>
    <col min="21" max="21" width="8" style="60" bestFit="1" customWidth="1"/>
    <col min="22" max="22" width="12" style="60" bestFit="1" customWidth="1"/>
    <col min="23" max="23" width="8" style="60" bestFit="1" customWidth="1"/>
    <col min="24" max="24" width="12" style="60" bestFit="1" customWidth="1"/>
    <col min="25" max="26" width="4" style="60" bestFit="1" customWidth="1"/>
    <col min="27" max="27" width="8" style="60" bestFit="1" customWidth="1"/>
    <col min="28" max="28" width="12" style="60" bestFit="1" customWidth="1"/>
    <col min="29" max="29" width="6" style="60" bestFit="1" customWidth="1"/>
    <col min="30" max="30" width="8" style="60" bestFit="1" customWidth="1"/>
    <col min="31" max="31" width="7.7109375" style="60" bestFit="1" customWidth="1"/>
    <col min="32" max="33" width="9.7109375" style="60" bestFit="1" customWidth="1"/>
    <col min="34" max="43" width="3.28515625" style="60" bestFit="1" customWidth="1"/>
    <col min="44" max="44" width="7.28515625" style="60" bestFit="1" customWidth="1"/>
    <col min="45" max="48" width="12.7109375" style="60" bestFit="1" customWidth="1"/>
    <col min="49" max="55" width="7.28515625" style="60" bestFit="1" customWidth="1"/>
    <col min="56" max="56" width="10.5703125" bestFit="1" customWidth="1"/>
    <col min="57" max="57" width="12.42578125" bestFit="1" customWidth="1"/>
    <col min="58" max="58" width="10.5703125" bestFit="1" customWidth="1"/>
  </cols>
  <sheetData>
    <row r="1" spans="1:58" x14ac:dyDescent="0.25">
      <c r="A1" s="177" t="s">
        <v>53</v>
      </c>
      <c r="B1" s="178"/>
      <c r="C1" s="31" t="s">
        <v>61</v>
      </c>
      <c r="D1" s="31" t="s">
        <v>60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49"/>
      <c r="BE1" s="49"/>
      <c r="BF1" s="30"/>
    </row>
    <row r="2" spans="1:58" ht="60" customHeight="1" x14ac:dyDescent="0.25">
      <c r="A2" s="179" t="s">
        <v>62</v>
      </c>
      <c r="B2" s="180"/>
      <c r="C2" s="50" t="s">
        <v>116</v>
      </c>
      <c r="D2" s="50" t="s">
        <v>116</v>
      </c>
      <c r="E2" s="50" t="s">
        <v>116</v>
      </c>
      <c r="F2" s="50" t="s">
        <v>116</v>
      </c>
      <c r="G2" s="50" t="s">
        <v>116</v>
      </c>
      <c r="H2" s="50" t="s">
        <v>116</v>
      </c>
      <c r="I2" s="50" t="s">
        <v>116</v>
      </c>
      <c r="J2" s="50" t="s">
        <v>116</v>
      </c>
      <c r="K2" s="50" t="s">
        <v>116</v>
      </c>
      <c r="L2" s="50" t="s">
        <v>116</v>
      </c>
      <c r="M2" s="50" t="s">
        <v>116</v>
      </c>
      <c r="N2" s="50" t="s">
        <v>116</v>
      </c>
      <c r="O2" s="50" t="s">
        <v>116</v>
      </c>
      <c r="P2" s="50" t="s">
        <v>116</v>
      </c>
      <c r="Q2" s="50" t="s">
        <v>116</v>
      </c>
      <c r="R2" s="50" t="s">
        <v>116</v>
      </c>
      <c r="S2" s="50" t="s">
        <v>116</v>
      </c>
      <c r="T2" s="50" t="s">
        <v>116</v>
      </c>
      <c r="U2" s="50" t="s">
        <v>116</v>
      </c>
      <c r="V2" s="50" t="s">
        <v>116</v>
      </c>
      <c r="W2" s="50" t="s">
        <v>116</v>
      </c>
      <c r="X2" s="50" t="s">
        <v>116</v>
      </c>
      <c r="Y2" s="50" t="s">
        <v>116</v>
      </c>
      <c r="Z2" s="50" t="s">
        <v>116</v>
      </c>
      <c r="AA2" s="50" t="s">
        <v>116</v>
      </c>
      <c r="AB2" s="50" t="s">
        <v>116</v>
      </c>
      <c r="AC2" s="50" t="s">
        <v>116</v>
      </c>
      <c r="AD2" s="50" t="s">
        <v>116</v>
      </c>
      <c r="AE2" s="50" t="s">
        <v>116</v>
      </c>
      <c r="AF2" s="50" t="s">
        <v>116</v>
      </c>
      <c r="AG2" s="50" t="s">
        <v>116</v>
      </c>
      <c r="AH2" s="51" t="s">
        <v>117</v>
      </c>
      <c r="AI2" s="46" t="s">
        <v>117</v>
      </c>
      <c r="AJ2" s="46" t="s">
        <v>117</v>
      </c>
      <c r="AK2" s="46" t="s">
        <v>117</v>
      </c>
      <c r="AL2" s="46" t="s">
        <v>117</v>
      </c>
      <c r="AM2" s="46" t="s">
        <v>117</v>
      </c>
      <c r="AN2" s="46" t="s">
        <v>117</v>
      </c>
      <c r="AO2" s="46" t="s">
        <v>117</v>
      </c>
      <c r="AP2" s="46" t="s">
        <v>117</v>
      </c>
      <c r="AQ2" s="46" t="s">
        <v>117</v>
      </c>
      <c r="AR2" s="64" t="s">
        <v>163</v>
      </c>
      <c r="AS2" s="47" t="s">
        <v>118</v>
      </c>
      <c r="AT2" s="47" t="s">
        <v>118</v>
      </c>
      <c r="AU2" s="47" t="s">
        <v>118</v>
      </c>
      <c r="AV2" s="47" t="s">
        <v>118</v>
      </c>
      <c r="AW2" s="47" t="s">
        <v>118</v>
      </c>
      <c r="AX2" s="47" t="s">
        <v>118</v>
      </c>
      <c r="AY2" s="47" t="s">
        <v>118</v>
      </c>
      <c r="AZ2" s="47" t="s">
        <v>118</v>
      </c>
      <c r="BA2" s="47" t="s">
        <v>118</v>
      </c>
      <c r="BB2" s="47" t="s">
        <v>118</v>
      </c>
      <c r="BC2" s="47" t="s">
        <v>164</v>
      </c>
      <c r="BD2" s="22" t="s">
        <v>20</v>
      </c>
      <c r="BE2" s="22" t="s">
        <v>57</v>
      </c>
      <c r="BF2" s="23" t="s">
        <v>59</v>
      </c>
    </row>
    <row r="3" spans="1:58" ht="163.5" x14ac:dyDescent="0.25">
      <c r="A3" s="24" t="s">
        <v>54</v>
      </c>
      <c r="B3" s="25" t="s">
        <v>55</v>
      </c>
      <c r="C3" s="41" t="s">
        <v>140</v>
      </c>
      <c r="D3" s="41" t="s">
        <v>143</v>
      </c>
      <c r="E3" s="41" t="s">
        <v>144</v>
      </c>
      <c r="F3" s="41" t="s">
        <v>145</v>
      </c>
      <c r="G3" s="41" t="s">
        <v>142</v>
      </c>
      <c r="H3" s="41" t="s">
        <v>146</v>
      </c>
      <c r="I3" s="41" t="s">
        <v>147</v>
      </c>
      <c r="J3" s="41" t="s">
        <v>148</v>
      </c>
      <c r="K3" s="41" t="s">
        <v>150</v>
      </c>
      <c r="L3" s="41" t="s">
        <v>141</v>
      </c>
      <c r="M3" s="41" t="s">
        <v>220</v>
      </c>
      <c r="N3" s="41" t="s">
        <v>219</v>
      </c>
      <c r="O3" s="41" t="s">
        <v>134</v>
      </c>
      <c r="P3" s="41" t="s">
        <v>135</v>
      </c>
      <c r="Q3" s="41" t="s">
        <v>123</v>
      </c>
      <c r="R3" s="41" t="s">
        <v>124</v>
      </c>
      <c r="S3" s="41" t="s">
        <v>125</v>
      </c>
      <c r="T3" s="41" t="s">
        <v>126</v>
      </c>
      <c r="U3" s="41" t="s">
        <v>121</v>
      </c>
      <c r="V3" s="41" t="s">
        <v>122</v>
      </c>
      <c r="W3" s="41" t="s">
        <v>127</v>
      </c>
      <c r="X3" s="41" t="s">
        <v>128</v>
      </c>
      <c r="Y3" s="41" t="s">
        <v>168</v>
      </c>
      <c r="Z3" s="41" t="s">
        <v>169</v>
      </c>
      <c r="AA3" s="41" t="s">
        <v>167</v>
      </c>
      <c r="AB3" s="41" t="s">
        <v>215</v>
      </c>
      <c r="AC3" s="41" t="s">
        <v>216</v>
      </c>
      <c r="AD3" s="41" t="s">
        <v>217</v>
      </c>
      <c r="AE3" s="41" t="s">
        <v>218</v>
      </c>
      <c r="AF3" s="41" t="s">
        <v>105</v>
      </c>
      <c r="AG3" s="41" t="s">
        <v>107</v>
      </c>
      <c r="AH3" s="42" t="s">
        <v>123</v>
      </c>
      <c r="AI3" s="42" t="s">
        <v>125</v>
      </c>
      <c r="AJ3" s="42" t="s">
        <v>121</v>
      </c>
      <c r="AK3" s="42" t="s">
        <v>127</v>
      </c>
      <c r="AL3" s="42" t="s">
        <v>168</v>
      </c>
      <c r="AM3" s="42" t="s">
        <v>169</v>
      </c>
      <c r="AN3" s="42" t="s">
        <v>113</v>
      </c>
      <c r="AO3" s="42" t="s">
        <v>114</v>
      </c>
      <c r="AP3" s="42" t="s">
        <v>115</v>
      </c>
      <c r="AQ3" s="42" t="s">
        <v>170</v>
      </c>
      <c r="AR3" s="42" t="s">
        <v>112</v>
      </c>
      <c r="AS3" s="43" t="s">
        <v>123</v>
      </c>
      <c r="AT3" s="43" t="s">
        <v>125</v>
      </c>
      <c r="AU3" s="43" t="s">
        <v>121</v>
      </c>
      <c r="AV3" s="43" t="s">
        <v>127</v>
      </c>
      <c r="AW3" s="43" t="s">
        <v>168</v>
      </c>
      <c r="AX3" s="43" t="s">
        <v>169</v>
      </c>
      <c r="AY3" s="43" t="s">
        <v>113</v>
      </c>
      <c r="AZ3" s="43" t="s">
        <v>114</v>
      </c>
      <c r="BA3" s="43" t="s">
        <v>115</v>
      </c>
      <c r="BB3" s="43" t="s">
        <v>170</v>
      </c>
      <c r="BC3" s="43" t="s">
        <v>112</v>
      </c>
      <c r="BD3" s="22" t="s">
        <v>56</v>
      </c>
      <c r="BE3" s="22" t="s">
        <v>58</v>
      </c>
      <c r="BF3" s="23"/>
    </row>
    <row r="4" spans="1:58" s="145" customFormat="1" ht="15" customHeight="1" x14ac:dyDescent="0.25">
      <c r="A4" s="140">
        <v>1</v>
      </c>
      <c r="B4" s="141" t="s">
        <v>341</v>
      </c>
      <c r="C4" s="106">
        <v>8.8000000000000007</v>
      </c>
      <c r="D4" s="106">
        <v>255</v>
      </c>
      <c r="E4" s="106">
        <v>255</v>
      </c>
      <c r="F4" s="106">
        <v>255</v>
      </c>
      <c r="G4" s="106">
        <v>250</v>
      </c>
      <c r="H4" s="106">
        <v>255</v>
      </c>
      <c r="I4" s="106">
        <v>255</v>
      </c>
      <c r="J4" s="106">
        <v>255</v>
      </c>
      <c r="K4" s="106">
        <v>250</v>
      </c>
      <c r="L4" s="106">
        <v>1</v>
      </c>
      <c r="M4" s="106">
        <v>31</v>
      </c>
      <c r="N4" s="106">
        <v>31</v>
      </c>
      <c r="O4" s="106">
        <v>1</v>
      </c>
      <c r="P4" s="106">
        <v>8.8000000000000007</v>
      </c>
      <c r="Q4" s="106">
        <v>31</v>
      </c>
      <c r="R4" s="106">
        <v>0.95678608200000004</v>
      </c>
      <c r="S4" s="106">
        <v>31</v>
      </c>
      <c r="T4" s="106">
        <v>0.95678608200000004</v>
      </c>
      <c r="U4" s="106">
        <v>31</v>
      </c>
      <c r="V4" s="106">
        <v>0.95678608200000004</v>
      </c>
      <c r="W4" s="106">
        <v>31</v>
      </c>
      <c r="X4" s="106">
        <v>0.95678608200000004</v>
      </c>
      <c r="Y4" s="106">
        <v>255</v>
      </c>
      <c r="Z4" s="106">
        <v>255</v>
      </c>
      <c r="AA4" s="106">
        <v>20</v>
      </c>
      <c r="AB4" s="106">
        <v>0.99998474121093806</v>
      </c>
      <c r="AC4" s="106">
        <v>7.4999999999999997E-2</v>
      </c>
      <c r="AD4" s="106">
        <v>0.12565000000000001</v>
      </c>
      <c r="AE4" s="106">
        <v>8.8000000000000007</v>
      </c>
      <c r="AF4" s="106">
        <v>220</v>
      </c>
      <c r="AG4" s="106">
        <v>220</v>
      </c>
      <c r="AH4" s="106" t="s">
        <v>60</v>
      </c>
      <c r="AI4" s="106" t="s">
        <v>60</v>
      </c>
      <c r="AJ4" s="106" t="s">
        <v>60</v>
      </c>
      <c r="AK4" s="106" t="s">
        <v>60</v>
      </c>
      <c r="AL4" s="106" t="s">
        <v>60</v>
      </c>
      <c r="AM4" s="106" t="s">
        <v>60</v>
      </c>
      <c r="AN4" s="106" t="s">
        <v>60</v>
      </c>
      <c r="AO4" s="106" t="s">
        <v>60</v>
      </c>
      <c r="AP4" s="106" t="s">
        <v>60</v>
      </c>
      <c r="AQ4" s="106" t="s">
        <v>60</v>
      </c>
      <c r="AR4" s="106" t="s">
        <v>60</v>
      </c>
      <c r="AS4" s="106">
        <v>8.0943939421422897</v>
      </c>
      <c r="AT4" s="106">
        <v>8.0943939421422897</v>
      </c>
      <c r="AU4" s="106">
        <v>-4.7848869947185699</v>
      </c>
      <c r="AV4" s="106">
        <v>-4.7848869947185699</v>
      </c>
      <c r="AW4" s="106">
        <v>0</v>
      </c>
      <c r="AX4" s="106">
        <v>0</v>
      </c>
      <c r="AY4" s="106">
        <v>169</v>
      </c>
      <c r="AZ4" s="106">
        <v>0</v>
      </c>
      <c r="BA4" s="106">
        <v>0</v>
      </c>
      <c r="BB4" s="106">
        <v>1</v>
      </c>
      <c r="BC4" s="106">
        <v>1</v>
      </c>
      <c r="BD4" s="142" t="s">
        <v>60</v>
      </c>
      <c r="BE4" s="143"/>
      <c r="BF4" s="144"/>
    </row>
    <row r="5" spans="1:58" s="145" customFormat="1" ht="15" customHeight="1" x14ac:dyDescent="0.25">
      <c r="A5" s="140">
        <v>2</v>
      </c>
      <c r="B5" s="141" t="s">
        <v>342</v>
      </c>
      <c r="C5" s="106">
        <v>8.8000000000000007</v>
      </c>
      <c r="D5" s="106">
        <v>255</v>
      </c>
      <c r="E5" s="106">
        <v>255</v>
      </c>
      <c r="F5" s="106">
        <v>255</v>
      </c>
      <c r="G5" s="106">
        <v>250</v>
      </c>
      <c r="H5" s="106">
        <v>255</v>
      </c>
      <c r="I5" s="106">
        <v>255</v>
      </c>
      <c r="J5" s="106">
        <v>255</v>
      </c>
      <c r="K5" s="106">
        <v>250</v>
      </c>
      <c r="L5" s="106">
        <v>1</v>
      </c>
      <c r="M5" s="106">
        <v>31</v>
      </c>
      <c r="N5" s="106">
        <v>31</v>
      </c>
      <c r="O5" s="106">
        <v>1</v>
      </c>
      <c r="P5" s="106">
        <v>8.8000000000000007</v>
      </c>
      <c r="Q5" s="106">
        <v>31</v>
      </c>
      <c r="R5" s="106">
        <v>0.95678608200000004</v>
      </c>
      <c r="S5" s="106">
        <v>31</v>
      </c>
      <c r="T5" s="106">
        <v>0.95678608200000004</v>
      </c>
      <c r="U5" s="106">
        <v>31</v>
      </c>
      <c r="V5" s="106">
        <v>0.95678608200000004</v>
      </c>
      <c r="W5" s="106">
        <v>31</v>
      </c>
      <c r="X5" s="106">
        <v>0.95678608200000004</v>
      </c>
      <c r="Y5" s="106">
        <v>255</v>
      </c>
      <c r="Z5" s="106">
        <v>255</v>
      </c>
      <c r="AA5" s="106">
        <v>20</v>
      </c>
      <c r="AB5" s="106">
        <v>0.99998474121093806</v>
      </c>
      <c r="AC5" s="106">
        <v>7.4999999999999997E-2</v>
      </c>
      <c r="AD5" s="106">
        <v>0.12565000000000001</v>
      </c>
      <c r="AE5" s="106">
        <v>8.8000000000000007</v>
      </c>
      <c r="AF5" s="106">
        <v>220</v>
      </c>
      <c r="AG5" s="106">
        <v>220</v>
      </c>
      <c r="AH5" s="106" t="s">
        <v>60</v>
      </c>
      <c r="AI5" s="106" t="s">
        <v>60</v>
      </c>
      <c r="AJ5" s="106" t="s">
        <v>60</v>
      </c>
      <c r="AK5" s="106" t="s">
        <v>60</v>
      </c>
      <c r="AL5" s="106" t="s">
        <v>60</v>
      </c>
      <c r="AM5" s="106" t="s">
        <v>60</v>
      </c>
      <c r="AN5" s="106" t="s">
        <v>60</v>
      </c>
      <c r="AO5" s="106" t="s">
        <v>60</v>
      </c>
      <c r="AP5" s="106" t="s">
        <v>60</v>
      </c>
      <c r="AQ5" s="106" t="s">
        <v>60</v>
      </c>
      <c r="AR5" s="106" t="s">
        <v>60</v>
      </c>
      <c r="AS5" s="106">
        <v>8.0943939421422897</v>
      </c>
      <c r="AT5" s="106">
        <v>8.0943939421422897</v>
      </c>
      <c r="AU5" s="106">
        <v>-4.7848869947185699</v>
      </c>
      <c r="AV5" s="106">
        <v>-4.7848869947185699</v>
      </c>
      <c r="AW5" s="106">
        <v>0</v>
      </c>
      <c r="AX5" s="106">
        <v>0</v>
      </c>
      <c r="AY5" s="106">
        <v>169</v>
      </c>
      <c r="AZ5" s="106">
        <v>0</v>
      </c>
      <c r="BA5" s="106">
        <v>0</v>
      </c>
      <c r="BB5" s="106">
        <v>1</v>
      </c>
      <c r="BC5" s="106">
        <v>1</v>
      </c>
      <c r="BD5" s="142" t="s">
        <v>60</v>
      </c>
      <c r="BE5" s="143"/>
      <c r="BF5" s="144"/>
    </row>
    <row r="6" spans="1:58" s="98" customFormat="1" ht="15" customHeight="1" x14ac:dyDescent="0.25">
      <c r="A6" s="140">
        <v>3</v>
      </c>
      <c r="B6" s="141" t="s">
        <v>343</v>
      </c>
      <c r="C6" s="106">
        <v>1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-31</v>
      </c>
      <c r="N6" s="106">
        <v>-31</v>
      </c>
      <c r="O6" s="106">
        <v>0</v>
      </c>
      <c r="P6" s="106">
        <v>0</v>
      </c>
      <c r="Q6" s="106">
        <v>-31</v>
      </c>
      <c r="R6" s="106">
        <v>0</v>
      </c>
      <c r="S6" s="106">
        <v>-31</v>
      </c>
      <c r="T6" s="106">
        <v>0</v>
      </c>
      <c r="U6" s="106">
        <v>-31</v>
      </c>
      <c r="V6" s="106">
        <v>0</v>
      </c>
      <c r="W6" s="106">
        <v>-31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2.5000000000000001E-2</v>
      </c>
      <c r="AD6" s="106">
        <v>5.0000000000000001E-3</v>
      </c>
      <c r="AE6" s="106">
        <v>-8.8000000000000007</v>
      </c>
      <c r="AF6" s="106">
        <v>-220</v>
      </c>
      <c r="AG6" s="106">
        <v>-220</v>
      </c>
      <c r="AH6" s="106" t="s">
        <v>60</v>
      </c>
      <c r="AI6" s="106" t="s">
        <v>60</v>
      </c>
      <c r="AJ6" s="106" t="s">
        <v>60</v>
      </c>
      <c r="AK6" s="106" t="s">
        <v>60</v>
      </c>
      <c r="AL6" s="106" t="s">
        <v>60</v>
      </c>
      <c r="AM6" s="106" t="s">
        <v>60</v>
      </c>
      <c r="AN6" s="106" t="s">
        <v>60</v>
      </c>
      <c r="AO6" s="106" t="s">
        <v>60</v>
      </c>
      <c r="AP6" s="106" t="s">
        <v>60</v>
      </c>
      <c r="AQ6" s="106" t="s">
        <v>60</v>
      </c>
      <c r="AR6" s="106" t="s">
        <v>60</v>
      </c>
      <c r="AS6" s="106">
        <v>-31</v>
      </c>
      <c r="AT6" s="106">
        <v>-31</v>
      </c>
      <c r="AU6" s="106">
        <v>-31</v>
      </c>
      <c r="AV6" s="106">
        <v>-31</v>
      </c>
      <c r="AW6" s="106">
        <v>0</v>
      </c>
      <c r="AX6" s="106">
        <v>0</v>
      </c>
      <c r="AY6" s="106">
        <v>169</v>
      </c>
      <c r="AZ6" s="106">
        <v>1</v>
      </c>
      <c r="BA6" s="106">
        <v>1</v>
      </c>
      <c r="BB6" s="106">
        <v>0</v>
      </c>
      <c r="BC6" s="106">
        <v>1</v>
      </c>
      <c r="BD6" s="142" t="s">
        <v>60</v>
      </c>
      <c r="BE6" s="143"/>
      <c r="BF6" s="144"/>
    </row>
    <row r="7" spans="1:58" s="98" customFormat="1" ht="15" customHeight="1" x14ac:dyDescent="0.25">
      <c r="A7" s="140">
        <v>4</v>
      </c>
      <c r="B7" s="141" t="s">
        <v>344</v>
      </c>
      <c r="C7" s="106">
        <v>8.8000000000000007</v>
      </c>
      <c r="D7" s="106">
        <v>255</v>
      </c>
      <c r="E7" s="106">
        <v>255</v>
      </c>
      <c r="F7" s="106">
        <v>255</v>
      </c>
      <c r="G7" s="106">
        <v>250</v>
      </c>
      <c r="H7" s="106">
        <v>255</v>
      </c>
      <c r="I7" s="106">
        <v>255</v>
      </c>
      <c r="J7" s="106">
        <v>255</v>
      </c>
      <c r="K7" s="106">
        <v>250</v>
      </c>
      <c r="L7" s="106">
        <v>1</v>
      </c>
      <c r="M7" s="106">
        <v>31</v>
      </c>
      <c r="N7" s="106">
        <v>31</v>
      </c>
      <c r="O7" s="106">
        <v>1</v>
      </c>
      <c r="P7" s="106">
        <v>8.8000000000000007</v>
      </c>
      <c r="Q7" s="106">
        <v>31</v>
      </c>
      <c r="R7" s="106">
        <v>0.95678608200000004</v>
      </c>
      <c r="S7" s="106">
        <v>31</v>
      </c>
      <c r="T7" s="106">
        <v>0.95678608200000004</v>
      </c>
      <c r="U7" s="106">
        <v>31</v>
      </c>
      <c r="V7" s="106">
        <v>0.95678608200000004</v>
      </c>
      <c r="W7" s="106">
        <v>31</v>
      </c>
      <c r="X7" s="106">
        <v>0.95678608200000004</v>
      </c>
      <c r="Y7" s="106">
        <v>255</v>
      </c>
      <c r="Z7" s="106">
        <v>255</v>
      </c>
      <c r="AA7" s="106">
        <v>20</v>
      </c>
      <c r="AB7" s="106">
        <v>0.99998474121093806</v>
      </c>
      <c r="AC7" s="106">
        <v>7.4999999999999997E-2</v>
      </c>
      <c r="AD7" s="106">
        <v>0.12565000000000001</v>
      </c>
      <c r="AE7" s="106">
        <v>8.8000000000000007</v>
      </c>
      <c r="AF7" s="106">
        <v>220</v>
      </c>
      <c r="AG7" s="106">
        <v>220</v>
      </c>
      <c r="AH7" s="106" t="s">
        <v>60</v>
      </c>
      <c r="AI7" s="106" t="s">
        <v>60</v>
      </c>
      <c r="AJ7" s="106" t="s">
        <v>60</v>
      </c>
      <c r="AK7" s="106" t="s">
        <v>60</v>
      </c>
      <c r="AL7" s="106" t="s">
        <v>60</v>
      </c>
      <c r="AM7" s="106" t="s">
        <v>60</v>
      </c>
      <c r="AN7" s="106" t="s">
        <v>60</v>
      </c>
      <c r="AO7" s="106" t="s">
        <v>60</v>
      </c>
      <c r="AP7" s="106" t="s">
        <v>60</v>
      </c>
      <c r="AQ7" s="106" t="s">
        <v>60</v>
      </c>
      <c r="AR7" s="106" t="s">
        <v>60</v>
      </c>
      <c r="AS7" s="106">
        <v>8.0943939421422897</v>
      </c>
      <c r="AT7" s="106">
        <v>8.0943939421422897</v>
      </c>
      <c r="AU7" s="106">
        <v>-4.7848869947185699</v>
      </c>
      <c r="AV7" s="106">
        <v>-4.7848869947185699</v>
      </c>
      <c r="AW7" s="106">
        <v>0</v>
      </c>
      <c r="AX7" s="106">
        <v>0</v>
      </c>
      <c r="AY7" s="106">
        <v>169</v>
      </c>
      <c r="AZ7" s="106">
        <v>0</v>
      </c>
      <c r="BA7" s="106">
        <v>0</v>
      </c>
      <c r="BB7" s="106">
        <v>1</v>
      </c>
      <c r="BC7" s="106">
        <v>1</v>
      </c>
      <c r="BD7" s="142" t="s">
        <v>60</v>
      </c>
      <c r="BE7" s="143"/>
      <c r="BF7" s="144"/>
    </row>
    <row r="8" spans="1:58" s="98" customFormat="1" x14ac:dyDescent="0.25">
      <c r="A8" s="140">
        <v>5</v>
      </c>
      <c r="B8" s="106" t="s">
        <v>345</v>
      </c>
      <c r="C8" s="106">
        <v>1</v>
      </c>
      <c r="D8" s="106">
        <v>80</v>
      </c>
      <c r="E8" s="106">
        <v>166</v>
      </c>
      <c r="F8" s="106">
        <v>22</v>
      </c>
      <c r="G8" s="106">
        <v>43.741</v>
      </c>
      <c r="H8" s="106">
        <v>46</v>
      </c>
      <c r="I8" s="106">
        <v>17</v>
      </c>
      <c r="J8" s="106">
        <v>43</v>
      </c>
      <c r="K8" s="106">
        <v>58.088999999999999</v>
      </c>
      <c r="L8" s="106">
        <v>1</v>
      </c>
      <c r="M8" s="106">
        <v>-11.12</v>
      </c>
      <c r="N8" s="106">
        <v>-14.45</v>
      </c>
      <c r="O8" s="106">
        <v>0.97309999999999997</v>
      </c>
      <c r="P8" s="106">
        <v>7.0457000000000001</v>
      </c>
      <c r="Q8" s="106">
        <v>0.69579999999999997</v>
      </c>
      <c r="R8" s="106">
        <v>1.24E-2</v>
      </c>
      <c r="S8" s="106">
        <v>0.59870000000000001</v>
      </c>
      <c r="T8" s="106">
        <v>1.2E-2</v>
      </c>
      <c r="U8" s="106">
        <v>0.71579999999999999</v>
      </c>
      <c r="V8" s="106">
        <v>1.15E-2</v>
      </c>
      <c r="W8" s="106">
        <v>0.36969999999999997</v>
      </c>
      <c r="X8" s="106">
        <v>1.0999999999999999E-2</v>
      </c>
      <c r="Y8" s="106">
        <v>16</v>
      </c>
      <c r="Z8" s="106">
        <v>14</v>
      </c>
      <c r="AA8" s="106">
        <v>2.7239</v>
      </c>
      <c r="AB8" s="106">
        <v>0.99998474121093806</v>
      </c>
      <c r="AC8" s="106">
        <v>7.4999999999999997E-2</v>
      </c>
      <c r="AD8" s="106">
        <v>0.12565000000000001</v>
      </c>
      <c r="AE8" s="106">
        <v>8.8000000000000007</v>
      </c>
      <c r="AF8" s="106">
        <v>-19.866700000000002</v>
      </c>
      <c r="AG8" s="106">
        <v>57.9739</v>
      </c>
      <c r="AH8" s="106" t="s">
        <v>60</v>
      </c>
      <c r="AI8" s="106" t="s">
        <v>60</v>
      </c>
      <c r="AJ8" s="106" t="s">
        <v>60</v>
      </c>
      <c r="AK8" s="106" t="s">
        <v>60</v>
      </c>
      <c r="AL8" s="106" t="s">
        <v>60</v>
      </c>
      <c r="AM8" s="106" t="s">
        <v>60</v>
      </c>
      <c r="AN8" s="106" t="s">
        <v>60</v>
      </c>
      <c r="AO8" s="106" t="s">
        <v>60</v>
      </c>
      <c r="AP8" s="106" t="s">
        <v>60</v>
      </c>
      <c r="AQ8" s="106" t="s">
        <v>60</v>
      </c>
      <c r="AR8" s="106" t="s">
        <v>60</v>
      </c>
      <c r="AS8" s="106">
        <v>0.65339572000000001</v>
      </c>
      <c r="AT8" s="106">
        <v>0.55882880000000001</v>
      </c>
      <c r="AU8" s="106">
        <v>0.73889315</v>
      </c>
      <c r="AV8" s="106">
        <v>0.39559620000000001</v>
      </c>
      <c r="AW8" s="106">
        <v>0</v>
      </c>
      <c r="AX8" s="106">
        <v>0</v>
      </c>
      <c r="AY8" s="106">
        <v>169</v>
      </c>
      <c r="AZ8" s="106">
        <v>0</v>
      </c>
      <c r="BA8" s="106">
        <v>0</v>
      </c>
      <c r="BB8" s="106">
        <v>1</v>
      </c>
      <c r="BC8" s="106">
        <v>1</v>
      </c>
      <c r="BD8" s="142" t="s">
        <v>60</v>
      </c>
      <c r="BE8" s="143"/>
      <c r="BF8" s="144"/>
    </row>
    <row r="9" spans="1:58" s="98" customFormat="1" ht="15" customHeight="1" x14ac:dyDescent="0.25">
      <c r="A9" s="140">
        <v>6</v>
      </c>
      <c r="B9" s="141" t="s">
        <v>346</v>
      </c>
      <c r="C9" s="106">
        <v>8.3337000000000003</v>
      </c>
      <c r="D9" s="106">
        <v>59</v>
      </c>
      <c r="E9" s="106">
        <v>0</v>
      </c>
      <c r="F9" s="106">
        <v>42</v>
      </c>
      <c r="G9" s="106">
        <v>185.9984</v>
      </c>
      <c r="H9" s="106">
        <v>235</v>
      </c>
      <c r="I9" s="106">
        <v>60</v>
      </c>
      <c r="J9" s="106">
        <v>169</v>
      </c>
      <c r="K9" s="106">
        <v>143.79089999999999</v>
      </c>
      <c r="L9" s="106">
        <v>1</v>
      </c>
      <c r="M9" s="106">
        <v>-11.06</v>
      </c>
      <c r="N9" s="106">
        <v>-6.47</v>
      </c>
      <c r="O9" s="106">
        <v>1</v>
      </c>
      <c r="P9" s="106">
        <v>5.9865000000000004</v>
      </c>
      <c r="Q9" s="106">
        <v>4.4790000000000001</v>
      </c>
      <c r="R9" s="106">
        <v>6.3E-2</v>
      </c>
      <c r="S9" s="106">
        <v>3.9935</v>
      </c>
      <c r="T9" s="106">
        <v>0.05</v>
      </c>
      <c r="U9" s="106">
        <v>4.5789999999999997</v>
      </c>
      <c r="V9" s="106">
        <v>5.8799999999999998E-2</v>
      </c>
      <c r="W9" s="106">
        <v>2.8485</v>
      </c>
      <c r="X9" s="106">
        <v>5.6000000000000001E-2</v>
      </c>
      <c r="Y9" s="106">
        <v>22</v>
      </c>
      <c r="Z9" s="106">
        <v>20</v>
      </c>
      <c r="AA9" s="106">
        <v>0.85580000000000001</v>
      </c>
      <c r="AB9" s="106">
        <v>0.92169999999999996</v>
      </c>
      <c r="AC9" s="106">
        <v>7.4999999999999997E-2</v>
      </c>
      <c r="AD9" s="106">
        <v>0.12565000000000001</v>
      </c>
      <c r="AE9" s="106">
        <v>-1.3292999999999999</v>
      </c>
      <c r="AF9" s="106">
        <v>-140.93610000000001</v>
      </c>
      <c r="AG9" s="106">
        <v>-185.02449999999999</v>
      </c>
      <c r="AH9" s="106" t="s">
        <v>60</v>
      </c>
      <c r="AI9" s="106" t="s">
        <v>60</v>
      </c>
      <c r="AJ9" s="106" t="s">
        <v>60</v>
      </c>
      <c r="AK9" s="106" t="s">
        <v>60</v>
      </c>
      <c r="AL9" s="106" t="s">
        <v>60</v>
      </c>
      <c r="AM9" s="106" t="s">
        <v>60</v>
      </c>
      <c r="AN9" s="106" t="s">
        <v>60</v>
      </c>
      <c r="AO9" s="106" t="s">
        <v>60</v>
      </c>
      <c r="AP9" s="106" t="s">
        <v>60</v>
      </c>
      <c r="AQ9" s="106" t="s">
        <v>60</v>
      </c>
      <c r="AR9" s="106" t="s">
        <v>60</v>
      </c>
      <c r="AS9" s="106">
        <v>4.2507384000000004</v>
      </c>
      <c r="AT9" s="106">
        <v>3.8366150000000001</v>
      </c>
      <c r="AU9" s="106">
        <v>4.2594337600000003</v>
      </c>
      <c r="AV9" s="106">
        <v>2.6410591999999999</v>
      </c>
      <c r="AW9" s="106">
        <v>22</v>
      </c>
      <c r="AX9" s="106">
        <v>0</v>
      </c>
      <c r="AY9" s="106">
        <v>0</v>
      </c>
      <c r="AZ9" s="106">
        <v>0</v>
      </c>
      <c r="BA9" s="106">
        <v>0</v>
      </c>
      <c r="BB9" s="106">
        <v>1</v>
      </c>
      <c r="BC9" s="106">
        <v>0</v>
      </c>
      <c r="BD9" s="142" t="s">
        <v>60</v>
      </c>
      <c r="BE9" s="143"/>
      <c r="BF9" s="144"/>
    </row>
    <row r="10" spans="1:58" s="98" customFormat="1" ht="15" customHeight="1" x14ac:dyDescent="0.25">
      <c r="A10" s="140">
        <v>7</v>
      </c>
      <c r="B10" s="141" t="s">
        <v>347</v>
      </c>
      <c r="C10" s="106">
        <v>5.1786000000000003</v>
      </c>
      <c r="D10" s="106">
        <v>159</v>
      </c>
      <c r="E10" s="106">
        <v>2</v>
      </c>
      <c r="F10" s="106">
        <v>200</v>
      </c>
      <c r="G10" s="106">
        <v>3.6000999999999999</v>
      </c>
      <c r="H10" s="106">
        <v>67</v>
      </c>
      <c r="I10" s="106">
        <v>127</v>
      </c>
      <c r="J10" s="106">
        <v>85</v>
      </c>
      <c r="K10" s="106">
        <v>105.122</v>
      </c>
      <c r="L10" s="106">
        <v>1</v>
      </c>
      <c r="M10" s="106">
        <v>-11.01</v>
      </c>
      <c r="N10" s="106">
        <v>0.18000000000000099</v>
      </c>
      <c r="O10" s="106">
        <v>1</v>
      </c>
      <c r="P10" s="106">
        <v>1.2976000000000001</v>
      </c>
      <c r="Q10" s="106">
        <v>6.2622</v>
      </c>
      <c r="R10" s="106">
        <v>0.11159999999999999</v>
      </c>
      <c r="S10" s="106">
        <v>5.3883000000000001</v>
      </c>
      <c r="T10" s="106">
        <v>0.108</v>
      </c>
      <c r="U10" s="106">
        <v>6.4421999999999997</v>
      </c>
      <c r="V10" s="106">
        <v>0.10349999999999999</v>
      </c>
      <c r="W10" s="106">
        <v>3.3272999999999997</v>
      </c>
      <c r="X10" s="106">
        <v>9.8999999999999991E-2</v>
      </c>
      <c r="Y10" s="106">
        <v>27</v>
      </c>
      <c r="Z10" s="106">
        <v>25</v>
      </c>
      <c r="AA10" s="106">
        <v>11.6905</v>
      </c>
      <c r="AB10" s="106">
        <v>0.25700000000000001</v>
      </c>
      <c r="AC10" s="106">
        <v>7.4999999999999997E-2</v>
      </c>
      <c r="AD10" s="106">
        <v>0.12565000000000001</v>
      </c>
      <c r="AE10" s="106">
        <v>-3.3140000000000001</v>
      </c>
      <c r="AF10" s="106">
        <v>203.82060000000001</v>
      </c>
      <c r="AG10" s="106">
        <v>-152.6173</v>
      </c>
      <c r="AH10" s="106" t="s">
        <v>60</v>
      </c>
      <c r="AI10" s="106" t="s">
        <v>60</v>
      </c>
      <c r="AJ10" s="106" t="s">
        <v>60</v>
      </c>
      <c r="AK10" s="106" t="s">
        <v>60</v>
      </c>
      <c r="AL10" s="106" t="s">
        <v>60</v>
      </c>
      <c r="AM10" s="106" t="s">
        <v>60</v>
      </c>
      <c r="AN10" s="106" t="s">
        <v>60</v>
      </c>
      <c r="AO10" s="106" t="s">
        <v>60</v>
      </c>
      <c r="AP10" s="106" t="s">
        <v>60</v>
      </c>
      <c r="AQ10" s="106" t="s">
        <v>60</v>
      </c>
      <c r="AR10" s="106" t="s">
        <v>60</v>
      </c>
      <c r="AS10" s="106">
        <v>6.32304073125432</v>
      </c>
      <c r="AT10" s="106">
        <v>5.5415593270203098</v>
      </c>
      <c r="AU10" s="106">
        <v>4.5654655499999999</v>
      </c>
      <c r="AV10" s="106">
        <v>1.8405377999999999</v>
      </c>
      <c r="AW10" s="106">
        <v>186</v>
      </c>
      <c r="AX10" s="106">
        <v>0</v>
      </c>
      <c r="AY10" s="106">
        <v>0</v>
      </c>
      <c r="AZ10" s="106">
        <v>0</v>
      </c>
      <c r="BA10" s="106">
        <v>0</v>
      </c>
      <c r="BB10" s="106">
        <v>1</v>
      </c>
      <c r="BC10" s="106">
        <v>0</v>
      </c>
      <c r="BD10" s="142" t="s">
        <v>60</v>
      </c>
      <c r="BE10" s="143"/>
      <c r="BF10" s="144"/>
    </row>
    <row r="11" spans="1:58" s="98" customFormat="1" ht="15" customHeight="1" x14ac:dyDescent="0.25">
      <c r="A11" s="140">
        <v>8</v>
      </c>
      <c r="B11" s="141" t="s">
        <v>348</v>
      </c>
      <c r="C11" s="106">
        <v>4.4031000000000002</v>
      </c>
      <c r="D11" s="106">
        <v>66</v>
      </c>
      <c r="E11" s="106">
        <v>255</v>
      </c>
      <c r="F11" s="106">
        <v>13</v>
      </c>
      <c r="G11" s="106">
        <v>8.3125999999999998</v>
      </c>
      <c r="H11" s="106">
        <v>236</v>
      </c>
      <c r="I11" s="106">
        <v>17</v>
      </c>
      <c r="J11" s="106">
        <v>95</v>
      </c>
      <c r="K11" s="106">
        <v>83.521699999999996</v>
      </c>
      <c r="L11" s="106">
        <v>1</v>
      </c>
      <c r="M11" s="106">
        <v>-11.05</v>
      </c>
      <c r="N11" s="106">
        <v>-5.14</v>
      </c>
      <c r="O11" s="106">
        <v>0.24079999999999999</v>
      </c>
      <c r="P11" s="106">
        <v>7.9047000000000001</v>
      </c>
      <c r="Q11" s="106">
        <v>4.1748000000000003</v>
      </c>
      <c r="R11" s="106">
        <v>7.4399999999999994E-2</v>
      </c>
      <c r="S11" s="106">
        <v>3.5922000000000001</v>
      </c>
      <c r="T11" s="106">
        <v>7.2000000000000008E-2</v>
      </c>
      <c r="U11" s="106">
        <v>4.2948000000000004</v>
      </c>
      <c r="V11" s="106">
        <v>6.9000000000000006E-2</v>
      </c>
      <c r="W11" s="106">
        <v>2.2181999999999999</v>
      </c>
      <c r="X11" s="106">
        <v>6.6000000000000003E-2</v>
      </c>
      <c r="Y11" s="106">
        <v>23</v>
      </c>
      <c r="Z11" s="106">
        <v>21</v>
      </c>
      <c r="AA11" s="106">
        <v>12.9694</v>
      </c>
      <c r="AB11" s="106">
        <v>0.99998474121093806</v>
      </c>
      <c r="AC11" s="106">
        <v>7.4999999999999997E-2</v>
      </c>
      <c r="AD11" s="106">
        <v>0.12565000000000001</v>
      </c>
      <c r="AE11" s="106">
        <v>-1.4258</v>
      </c>
      <c r="AF11" s="106">
        <v>78.357699999999994</v>
      </c>
      <c r="AG11" s="106">
        <v>-100.7741</v>
      </c>
      <c r="AH11" s="106" t="s">
        <v>60</v>
      </c>
      <c r="AI11" s="106" t="s">
        <v>60</v>
      </c>
      <c r="AJ11" s="106" t="s">
        <v>60</v>
      </c>
      <c r="AK11" s="106" t="s">
        <v>60</v>
      </c>
      <c r="AL11" s="106" t="s">
        <v>60</v>
      </c>
      <c r="AM11" s="106" t="s">
        <v>60</v>
      </c>
      <c r="AN11" s="106" t="s">
        <v>60</v>
      </c>
      <c r="AO11" s="106" t="s">
        <v>60</v>
      </c>
      <c r="AP11" s="106" t="s">
        <v>60</v>
      </c>
      <c r="AQ11" s="106" t="s">
        <v>60</v>
      </c>
      <c r="AR11" s="106" t="s">
        <v>60</v>
      </c>
      <c r="AS11" s="106">
        <v>2.8992715200000001</v>
      </c>
      <c r="AT11" s="106">
        <v>2.3997647999999998</v>
      </c>
      <c r="AU11" s="106">
        <v>3.9969774756784902</v>
      </c>
      <c r="AV11" s="106">
        <v>2.0703818810837702</v>
      </c>
      <c r="AW11" s="106">
        <v>0</v>
      </c>
      <c r="AX11" s="106">
        <v>4</v>
      </c>
      <c r="AY11" s="106">
        <v>0</v>
      </c>
      <c r="AZ11" s="106">
        <v>0</v>
      </c>
      <c r="BA11" s="106">
        <v>0</v>
      </c>
      <c r="BB11" s="106">
        <v>1</v>
      </c>
      <c r="BC11" s="106">
        <v>0</v>
      </c>
      <c r="BD11" s="142" t="s">
        <v>60</v>
      </c>
      <c r="BE11" s="143"/>
      <c r="BF11" s="144"/>
    </row>
    <row r="12" spans="1:58" s="98" customFormat="1" x14ac:dyDescent="0.25">
      <c r="A12" s="140">
        <v>9</v>
      </c>
      <c r="B12" s="106" t="s">
        <v>349</v>
      </c>
      <c r="C12" s="106">
        <v>6.9310999999999998</v>
      </c>
      <c r="D12" s="106">
        <v>22</v>
      </c>
      <c r="E12" s="106">
        <v>132</v>
      </c>
      <c r="F12" s="106">
        <v>8</v>
      </c>
      <c r="G12" s="106">
        <v>64.489699999999999</v>
      </c>
      <c r="H12" s="106">
        <v>227</v>
      </c>
      <c r="I12" s="106">
        <v>216</v>
      </c>
      <c r="J12" s="106">
        <v>200</v>
      </c>
      <c r="K12" s="106">
        <v>8.3811</v>
      </c>
      <c r="L12" s="106">
        <v>1</v>
      </c>
      <c r="M12" s="106">
        <v>-10.89</v>
      </c>
      <c r="N12" s="106">
        <v>16.14</v>
      </c>
      <c r="O12" s="106">
        <v>0.87160000000000004</v>
      </c>
      <c r="P12" s="106">
        <v>2.8323</v>
      </c>
      <c r="Q12" s="106">
        <v>12.5244</v>
      </c>
      <c r="R12" s="106">
        <v>0.22319999999999998</v>
      </c>
      <c r="S12" s="106">
        <v>10.7766</v>
      </c>
      <c r="T12" s="106">
        <v>0.216</v>
      </c>
      <c r="U12" s="106">
        <v>12.884399999999999</v>
      </c>
      <c r="V12" s="106">
        <v>0.20699999999999999</v>
      </c>
      <c r="W12" s="106">
        <v>6.6545999999999994</v>
      </c>
      <c r="X12" s="106">
        <v>0.19799999999999998</v>
      </c>
      <c r="Y12" s="106">
        <v>39</v>
      </c>
      <c r="Z12" s="106">
        <v>37</v>
      </c>
      <c r="AA12" s="106">
        <v>16.148299999999999</v>
      </c>
      <c r="AB12" s="106">
        <v>0.99998474121093806</v>
      </c>
      <c r="AC12" s="106">
        <v>7.4999999999999997E-2</v>
      </c>
      <c r="AD12" s="106">
        <v>0.12565000000000001</v>
      </c>
      <c r="AE12" s="106">
        <v>8.7012</v>
      </c>
      <c r="AF12" s="106">
        <v>81.066599999999994</v>
      </c>
      <c r="AG12" s="106">
        <v>-38.540999999999997</v>
      </c>
      <c r="AH12" s="106" t="s">
        <v>60</v>
      </c>
      <c r="AI12" s="106" t="s">
        <v>60</v>
      </c>
      <c r="AJ12" s="106" t="s">
        <v>60</v>
      </c>
      <c r="AK12" s="106" t="s">
        <v>60</v>
      </c>
      <c r="AL12" s="106" t="s">
        <v>60</v>
      </c>
      <c r="AM12" s="106" t="s">
        <v>60</v>
      </c>
      <c r="AN12" s="106" t="s">
        <v>60</v>
      </c>
      <c r="AO12" s="106" t="s">
        <v>60</v>
      </c>
      <c r="AP12" s="106" t="s">
        <v>60</v>
      </c>
      <c r="AQ12" s="106" t="s">
        <v>60</v>
      </c>
      <c r="AR12" s="106" t="s">
        <v>60</v>
      </c>
      <c r="AS12" s="106">
        <v>11.362633713262399</v>
      </c>
      <c r="AT12" s="106">
        <v>10.0298348450926</v>
      </c>
      <c r="AU12" s="106">
        <v>11.7383667107466</v>
      </c>
      <c r="AV12" s="106">
        <v>6.7918946450619497</v>
      </c>
      <c r="AW12" s="106">
        <v>0</v>
      </c>
      <c r="AX12" s="106">
        <v>200</v>
      </c>
      <c r="AY12" s="106">
        <v>169</v>
      </c>
      <c r="AZ12" s="106">
        <v>2</v>
      </c>
      <c r="BA12" s="106">
        <v>1</v>
      </c>
      <c r="BB12" s="106">
        <v>0</v>
      </c>
      <c r="BC12" s="106">
        <v>1</v>
      </c>
      <c r="BD12" s="142" t="s">
        <v>60</v>
      </c>
      <c r="BE12" s="143"/>
      <c r="BF12" s="144"/>
    </row>
    <row r="13" spans="1:58" s="98" customFormat="1" ht="15" customHeight="1" x14ac:dyDescent="0.25">
      <c r="A13" s="140">
        <v>10</v>
      </c>
      <c r="B13" s="141" t="s">
        <v>350</v>
      </c>
      <c r="C13" s="106">
        <v>8.8000000000000007</v>
      </c>
      <c r="D13" s="106">
        <v>79</v>
      </c>
      <c r="E13" s="106">
        <v>25</v>
      </c>
      <c r="F13" s="106">
        <v>146</v>
      </c>
      <c r="G13" s="106">
        <v>186.00579999999999</v>
      </c>
      <c r="H13" s="106">
        <v>72</v>
      </c>
      <c r="I13" s="106">
        <v>179</v>
      </c>
      <c r="J13" s="106">
        <v>223</v>
      </c>
      <c r="K13" s="106">
        <v>9.6097999999999999</v>
      </c>
      <c r="L13" s="106">
        <v>1</v>
      </c>
      <c r="M13" s="106">
        <v>1.45</v>
      </c>
      <c r="N13" s="106">
        <v>1.45</v>
      </c>
      <c r="O13" s="106">
        <v>0.2301</v>
      </c>
      <c r="P13" s="106">
        <v>2.6400999999999999</v>
      </c>
      <c r="Q13" s="106">
        <v>21.569800000000001</v>
      </c>
      <c r="R13" s="106">
        <v>0.38439999999999996</v>
      </c>
      <c r="S13" s="106">
        <v>18.559699999999999</v>
      </c>
      <c r="T13" s="106">
        <v>0.372</v>
      </c>
      <c r="U13" s="106">
        <v>22.189799999999998</v>
      </c>
      <c r="V13" s="106">
        <v>0.35649999999999998</v>
      </c>
      <c r="W13" s="106">
        <v>11.460699999999999</v>
      </c>
      <c r="X13" s="106">
        <v>0.34099999999999997</v>
      </c>
      <c r="Y13" s="106">
        <v>55</v>
      </c>
      <c r="Z13" s="106">
        <v>53</v>
      </c>
      <c r="AA13" s="106">
        <v>1.1894</v>
      </c>
      <c r="AB13" s="106">
        <v>0.99998474121093806</v>
      </c>
      <c r="AC13" s="106">
        <v>7.4999999999999997E-2</v>
      </c>
      <c r="AD13" s="106">
        <v>0.12565000000000001</v>
      </c>
      <c r="AE13" s="106">
        <v>-4.2663000000000002</v>
      </c>
      <c r="AF13" s="106">
        <v>165.7362</v>
      </c>
      <c r="AG13" s="106">
        <v>49.989400000000003</v>
      </c>
      <c r="AH13" s="106" t="s">
        <v>60</v>
      </c>
      <c r="AI13" s="106" t="s">
        <v>60</v>
      </c>
      <c r="AJ13" s="106" t="s">
        <v>60</v>
      </c>
      <c r="AK13" s="106" t="s">
        <v>60</v>
      </c>
      <c r="AL13" s="106" t="s">
        <v>60</v>
      </c>
      <c r="AM13" s="106" t="s">
        <v>60</v>
      </c>
      <c r="AN13" s="106" t="s">
        <v>60</v>
      </c>
      <c r="AO13" s="106" t="s">
        <v>60</v>
      </c>
      <c r="AP13" s="106" t="s">
        <v>60</v>
      </c>
      <c r="AQ13" s="106" t="s">
        <v>60</v>
      </c>
      <c r="AR13" s="106" t="s">
        <v>60</v>
      </c>
      <c r="AS13" s="106">
        <v>12.821163520000001</v>
      </c>
      <c r="AT13" s="106">
        <v>11.213034800000001</v>
      </c>
      <c r="AU13" s="106">
        <v>14.7031574</v>
      </c>
      <c r="AV13" s="106">
        <v>7.9581866999999997</v>
      </c>
      <c r="AW13" s="106">
        <v>30</v>
      </c>
      <c r="AX13" s="106">
        <v>125</v>
      </c>
      <c r="AY13" s="106">
        <v>0</v>
      </c>
      <c r="AZ13" s="106">
        <v>0</v>
      </c>
      <c r="BA13" s="106">
        <v>0</v>
      </c>
      <c r="BB13" s="106">
        <v>1</v>
      </c>
      <c r="BC13" s="106">
        <v>0</v>
      </c>
      <c r="BD13" s="142" t="s">
        <v>60</v>
      </c>
      <c r="BE13" s="143"/>
      <c r="BF13" s="144"/>
    </row>
    <row r="14" spans="1:58" s="98" customFormat="1" ht="15.75" thickBot="1" x14ac:dyDescent="0.3">
      <c r="A14" s="146">
        <v>11</v>
      </c>
      <c r="B14" s="115" t="s">
        <v>351</v>
      </c>
      <c r="C14" s="115">
        <v>8.8000000000000007</v>
      </c>
      <c r="D14" s="115">
        <v>147</v>
      </c>
      <c r="E14" s="115">
        <v>119</v>
      </c>
      <c r="F14" s="115">
        <v>125</v>
      </c>
      <c r="G14" s="115">
        <v>8.5338999999999992</v>
      </c>
      <c r="H14" s="115">
        <v>17</v>
      </c>
      <c r="I14" s="115">
        <v>135</v>
      </c>
      <c r="J14" s="115">
        <v>96</v>
      </c>
      <c r="K14" s="115">
        <v>135.56020000000001</v>
      </c>
      <c r="L14" s="115">
        <v>0.84550000000000003</v>
      </c>
      <c r="M14" s="115">
        <v>2.5499999999999998</v>
      </c>
      <c r="N14" s="115">
        <v>2.99</v>
      </c>
      <c r="O14" s="115">
        <v>1</v>
      </c>
      <c r="P14" s="115">
        <v>5.2229000000000001</v>
      </c>
      <c r="Q14" s="115">
        <v>-0.58740000000000003</v>
      </c>
      <c r="R14" s="115">
        <v>0.54559999999999997</v>
      </c>
      <c r="S14" s="115">
        <v>-0.53680000000000005</v>
      </c>
      <c r="T14" s="115">
        <v>0.52800000000000002</v>
      </c>
      <c r="U14" s="115">
        <v>-31</v>
      </c>
      <c r="V14" s="115">
        <v>0.50600000000000001</v>
      </c>
      <c r="W14" s="115">
        <v>15.897099999999998</v>
      </c>
      <c r="X14" s="115">
        <v>0.48399999999999999</v>
      </c>
      <c r="Y14" s="115">
        <v>72</v>
      </c>
      <c r="Z14" s="115">
        <v>70</v>
      </c>
      <c r="AA14" s="115">
        <v>12.115399999999999</v>
      </c>
      <c r="AB14" s="115">
        <v>2.1600000000000001E-2</v>
      </c>
      <c r="AC14" s="115">
        <v>7.4999999999999997E-2</v>
      </c>
      <c r="AD14" s="115">
        <v>0.10290000000000001</v>
      </c>
      <c r="AE14" s="115">
        <v>-3.1899999999999998E-2</v>
      </c>
      <c r="AF14" s="115">
        <v>131.77510000000001</v>
      </c>
      <c r="AG14" s="115">
        <v>164.56720000000001</v>
      </c>
      <c r="AH14" s="115" t="s">
        <v>60</v>
      </c>
      <c r="AI14" s="115" t="s">
        <v>60</v>
      </c>
      <c r="AJ14" s="115" t="s">
        <v>60</v>
      </c>
      <c r="AK14" s="115" t="s">
        <v>60</v>
      </c>
      <c r="AL14" s="115" t="s">
        <v>60</v>
      </c>
      <c r="AM14" s="115" t="s">
        <v>60</v>
      </c>
      <c r="AN14" s="115" t="s">
        <v>60</v>
      </c>
      <c r="AO14" s="115" t="s">
        <v>60</v>
      </c>
      <c r="AP14" s="115" t="s">
        <v>60</v>
      </c>
      <c r="AQ14" s="115" t="s">
        <v>60</v>
      </c>
      <c r="AR14" s="115" t="s">
        <v>60</v>
      </c>
      <c r="AS14" s="115">
        <v>-5.8928123506383701</v>
      </c>
      <c r="AT14" s="115">
        <v>-5.6977868167468104</v>
      </c>
      <c r="AU14" s="115">
        <v>-9.8405059533273391</v>
      </c>
      <c r="AV14" s="115">
        <v>13.4384196446434</v>
      </c>
      <c r="AW14" s="115">
        <v>125</v>
      </c>
      <c r="AX14" s="115">
        <v>0</v>
      </c>
      <c r="AY14" s="115">
        <v>169</v>
      </c>
      <c r="AZ14" s="115">
        <v>1</v>
      </c>
      <c r="BA14" s="115">
        <v>1</v>
      </c>
      <c r="BB14" s="115">
        <v>0</v>
      </c>
      <c r="BC14" s="115">
        <v>1</v>
      </c>
      <c r="BD14" s="147" t="s">
        <v>60</v>
      </c>
      <c r="BE14" s="148"/>
      <c r="BF14" s="149"/>
    </row>
    <row r="15" spans="1:58" x14ac:dyDescent="0.25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</row>
    <row r="16" spans="1:58" x14ac:dyDescent="0.25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</row>
    <row r="17" spans="1:58" x14ac:dyDescent="0.25">
      <c r="A17" s="29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</row>
    <row r="18" spans="1:58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</row>
    <row r="19" spans="1:58" x14ac:dyDescent="0.25">
      <c r="A19" s="29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</row>
    <row r="20" spans="1:58" x14ac:dyDescent="0.25">
      <c r="A20" s="29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</row>
    <row r="21" spans="1:58" x14ac:dyDescent="0.25">
      <c r="A21" s="29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</row>
    <row r="22" spans="1:58" x14ac:dyDescent="0.25">
      <c r="A22" s="29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</row>
    <row r="23" spans="1:58" x14ac:dyDescent="0.25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</row>
    <row r="24" spans="1:58" x14ac:dyDescent="0.25">
      <c r="A24" s="29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</row>
    <row r="25" spans="1:58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</row>
    <row r="26" spans="1:58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</row>
    <row r="27" spans="1:58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</row>
    <row r="28" spans="1:58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</row>
    <row r="29" spans="1:58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</row>
    <row r="30" spans="1:58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</row>
    <row r="31" spans="1:58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</row>
    <row r="32" spans="1:58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</row>
    <row r="33" spans="1:55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</row>
    <row r="34" spans="1:55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</row>
    <row r="35" spans="1:55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</row>
    <row r="36" spans="1:55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</row>
    <row r="37" spans="1:55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</row>
    <row r="38" spans="1:55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</row>
    <row r="39" spans="1:55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</row>
    <row r="40" spans="1:55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</row>
    <row r="41" spans="1:55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</row>
    <row r="42" spans="1:55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</row>
    <row r="43" spans="1:55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</row>
    <row r="44" spans="1:55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</row>
    <row r="45" spans="1:55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</row>
    <row r="46" spans="1:55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</row>
    <row r="47" spans="1:55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</row>
    <row r="48" spans="1:55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</row>
    <row r="49" spans="1:55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</row>
    <row r="50" spans="1:55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</row>
    <row r="51" spans="1:55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</row>
    <row r="52" spans="1:55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</row>
    <row r="53" spans="1:55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</row>
    <row r="54" spans="1:55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</row>
    <row r="55" spans="1:55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</row>
    <row r="56" spans="1:55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</row>
    <row r="57" spans="1:55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</row>
    <row r="58" spans="1:55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</row>
    <row r="59" spans="1:55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</row>
    <row r="60" spans="1:55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</row>
    <row r="61" spans="1:55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</row>
    <row r="62" spans="1:55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</row>
    <row r="63" spans="1:55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</row>
    <row r="64" spans="1:55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</row>
    <row r="65" spans="1:55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</row>
    <row r="66" spans="1:55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</row>
    <row r="67" spans="1:55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</row>
    <row r="68" spans="1:55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</row>
    <row r="69" spans="1:55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</row>
    <row r="70" spans="1:55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</row>
    <row r="71" spans="1:55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</row>
    <row r="72" spans="1:55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</row>
    <row r="73" spans="1:55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</row>
    <row r="74" spans="1:55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</row>
    <row r="75" spans="1:55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</row>
    <row r="76" spans="1:55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</row>
    <row r="77" spans="1:55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</row>
    <row r="78" spans="1:55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</row>
    <row r="79" spans="1:55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</row>
    <row r="80" spans="1:55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</row>
    <row r="81" spans="1:55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</row>
    <row r="82" spans="1:55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</row>
    <row r="83" spans="1:55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</row>
    <row r="84" spans="1:55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</row>
    <row r="85" spans="1:55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</row>
    <row r="86" spans="1:55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</row>
    <row r="87" spans="1:55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</row>
    <row r="88" spans="1:55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</row>
    <row r="89" spans="1:55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</row>
    <row r="90" spans="1:55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</row>
    <row r="91" spans="1:55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</row>
    <row r="92" spans="1:55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</row>
    <row r="93" spans="1:55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</row>
    <row r="94" spans="1:55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</row>
    <row r="95" spans="1:55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</row>
    <row r="96" spans="1:55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</row>
    <row r="97" spans="1:55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</row>
    <row r="98" spans="1:55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</row>
    <row r="99" spans="1:55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</row>
    <row r="100" spans="1:55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</row>
    <row r="101" spans="1:55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</row>
    <row r="102" spans="1:55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</row>
    <row r="103" spans="1:55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</row>
    <row r="104" spans="1:55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</row>
    <row r="105" spans="1:55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</row>
    <row r="106" spans="1:55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</row>
    <row r="107" spans="1:55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</row>
    <row r="108" spans="1:55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</row>
    <row r="109" spans="1:55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</row>
    <row r="110" spans="1:55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</row>
    <row r="111" spans="1:55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</row>
    <row r="112" spans="1:55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</row>
    <row r="113" spans="1:55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</row>
    <row r="114" spans="1:55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</row>
    <row r="115" spans="1:55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</row>
    <row r="116" spans="1:55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</row>
    <row r="117" spans="1:55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</row>
    <row r="118" spans="1:55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</row>
    <row r="119" spans="1:55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</row>
    <row r="120" spans="1:55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</row>
    <row r="121" spans="1:55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</row>
    <row r="122" spans="1:55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</row>
    <row r="123" spans="1:55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</row>
    <row r="124" spans="1:55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</row>
    <row r="125" spans="1:55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</row>
    <row r="126" spans="1:55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</row>
    <row r="127" spans="1:55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</row>
    <row r="128" spans="1:55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</row>
    <row r="129" spans="1:55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</row>
    <row r="130" spans="1:55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</row>
    <row r="131" spans="1:55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</row>
    <row r="132" spans="1:55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</row>
    <row r="133" spans="1:55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</row>
    <row r="134" spans="1:55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</row>
    <row r="135" spans="1:55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</row>
    <row r="136" spans="1:55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</row>
    <row r="137" spans="1:55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</row>
    <row r="138" spans="1:55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</row>
    <row r="139" spans="1:55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</row>
    <row r="140" spans="1:55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</row>
    <row r="141" spans="1:55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</row>
    <row r="142" spans="1:55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</row>
    <row r="143" spans="1:55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</row>
    <row r="144" spans="1:55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</row>
    <row r="145" spans="1:55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</row>
    <row r="146" spans="1:55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</row>
    <row r="147" spans="1:55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</row>
    <row r="148" spans="1:55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</row>
    <row r="149" spans="1:55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</row>
    <row r="150" spans="1:55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</row>
    <row r="151" spans="1:55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</row>
    <row r="152" spans="1:55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</row>
    <row r="153" spans="1:55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</row>
    <row r="154" spans="1:55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</row>
    <row r="155" spans="1:55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</row>
    <row r="156" spans="1:55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</row>
    <row r="157" spans="1:55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</row>
    <row r="158" spans="1:55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</row>
    <row r="159" spans="1:55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</row>
    <row r="160" spans="1:55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</row>
    <row r="161" spans="1:55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</row>
    <row r="162" spans="1:55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</row>
    <row r="163" spans="1:55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</row>
    <row r="164" spans="1:55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</row>
    <row r="165" spans="1:55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</row>
    <row r="166" spans="1:55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</row>
    <row r="167" spans="1:55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</row>
    <row r="168" spans="1:55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</row>
    <row r="169" spans="1:55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</row>
    <row r="170" spans="1:55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</row>
    <row r="171" spans="1:55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</row>
    <row r="172" spans="1:55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</row>
    <row r="173" spans="1:55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</row>
    <row r="174" spans="1:55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</row>
    <row r="175" spans="1:55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</row>
    <row r="176" spans="1:55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</row>
    <row r="177" spans="1:55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</row>
    <row r="178" spans="1:55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</row>
    <row r="179" spans="1:55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</row>
    <row r="180" spans="1:55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</row>
    <row r="181" spans="1:55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</row>
    <row r="182" spans="1:55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</row>
    <row r="183" spans="1:55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</row>
    <row r="184" spans="1:55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</row>
    <row r="185" spans="1:55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</row>
    <row r="186" spans="1:55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</row>
    <row r="187" spans="1:55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</row>
    <row r="188" spans="1:55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</row>
    <row r="189" spans="1:55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</row>
    <row r="190" spans="1:55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</row>
    <row r="191" spans="1:55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</row>
    <row r="192" spans="1:55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</row>
    <row r="193" spans="1:55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</row>
    <row r="194" spans="1:55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</row>
    <row r="195" spans="1:55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</row>
    <row r="196" spans="1:55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</row>
    <row r="197" spans="1:55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</row>
    <row r="198" spans="1:55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</row>
    <row r="199" spans="1:55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</row>
    <row r="200" spans="1:55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</row>
    <row r="201" spans="1:55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</row>
    <row r="202" spans="1:55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</row>
    <row r="203" spans="1:55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</row>
    <row r="204" spans="1:55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</row>
    <row r="205" spans="1:55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</row>
    <row r="206" spans="1:55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</row>
    <row r="207" spans="1:55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</row>
    <row r="208" spans="1:55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</row>
    <row r="209" spans="1:55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</row>
    <row r="210" spans="1:55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</row>
    <row r="211" spans="1:55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</row>
    <row r="212" spans="1:55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</row>
    <row r="213" spans="1:55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</row>
    <row r="214" spans="1:55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</row>
    <row r="215" spans="1:55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</row>
  </sheetData>
  <mergeCells count="2">
    <mergeCell ref="A1:B1"/>
    <mergeCell ref="A2:B2"/>
  </mergeCells>
  <hyperlinks>
    <hyperlink ref="A1" location="'TqRsDg_Per1'!A1" display="'TqRsDg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F205"/>
  <sheetViews>
    <sheetView workbookViewId="0">
      <selection sqref="A1:B1"/>
    </sheetView>
  </sheetViews>
  <sheetFormatPr defaultRowHeight="15" x14ac:dyDescent="0.25"/>
  <cols>
    <col min="1" max="1" width="8.140625" style="60" bestFit="1" customWidth="1"/>
    <col min="2" max="2" width="20.7109375" customWidth="1"/>
    <col min="3" max="3" width="7" style="60" bestFit="1" customWidth="1"/>
    <col min="4" max="4" width="3.28515625" style="60" bestFit="1" customWidth="1"/>
    <col min="5" max="6" width="4" style="60" bestFit="1" customWidth="1"/>
    <col min="7" max="7" width="9" style="60" bestFit="1" customWidth="1"/>
    <col min="8" max="10" width="4" style="60" bestFit="1" customWidth="1"/>
    <col min="11" max="11" width="8" style="60" bestFit="1" customWidth="1"/>
    <col min="12" max="12" width="3.28515625" style="60" bestFit="1" customWidth="1"/>
    <col min="13" max="13" width="6.7109375" style="60" bestFit="1" customWidth="1"/>
    <col min="14" max="14" width="6" style="60" bestFit="1" customWidth="1"/>
    <col min="15" max="16" width="7" style="60" bestFit="1" customWidth="1"/>
    <col min="17" max="17" width="8" style="60" bestFit="1" customWidth="1"/>
    <col min="18" max="18" width="7" style="60" bestFit="1" customWidth="1"/>
    <col min="19" max="19" width="8" style="60" bestFit="1" customWidth="1"/>
    <col min="20" max="20" width="6" style="60" bestFit="1" customWidth="1"/>
    <col min="21" max="21" width="8" style="60" bestFit="1" customWidth="1"/>
    <col min="22" max="22" width="7" style="60" bestFit="1" customWidth="1"/>
    <col min="23" max="23" width="8" style="60" bestFit="1" customWidth="1"/>
    <col min="24" max="24" width="6" style="60" bestFit="1" customWidth="1"/>
    <col min="25" max="26" width="3.28515625" style="60" bestFit="1" customWidth="1"/>
    <col min="27" max="27" width="7" style="60" bestFit="1" customWidth="1"/>
    <col min="28" max="28" width="12" style="60" bestFit="1" customWidth="1"/>
    <col min="29" max="29" width="6" style="60" bestFit="1" customWidth="1"/>
    <col min="30" max="30" width="8" style="60" bestFit="1" customWidth="1"/>
    <col min="31" max="31" width="7.7109375" style="60" bestFit="1" customWidth="1"/>
    <col min="32" max="33" width="9" style="60" bestFit="1" customWidth="1"/>
    <col min="34" max="43" width="3.28515625" style="60" bestFit="1" customWidth="1"/>
    <col min="44" max="44" width="7.28515625" style="60" bestFit="1" customWidth="1"/>
    <col min="45" max="45" width="12" style="60" bestFit="1" customWidth="1"/>
    <col min="46" max="47" width="11" style="60" bestFit="1" customWidth="1"/>
    <col min="48" max="48" width="10" style="60" bestFit="1" customWidth="1"/>
    <col min="49" max="55" width="7.28515625" style="60" bestFit="1" customWidth="1"/>
    <col min="56" max="56" width="10.5703125" bestFit="1" customWidth="1"/>
    <col min="57" max="57" width="12.42578125" bestFit="1" customWidth="1"/>
    <col min="58" max="58" width="10.5703125" bestFit="1" customWidth="1"/>
  </cols>
  <sheetData>
    <row r="1" spans="1:58" x14ac:dyDescent="0.25">
      <c r="A1" s="177" t="s">
        <v>53</v>
      </c>
      <c r="B1" s="178"/>
      <c r="C1" s="31" t="s">
        <v>61</v>
      </c>
      <c r="D1" s="57" t="s">
        <v>60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49"/>
      <c r="BE1" s="49"/>
      <c r="BF1" s="30"/>
    </row>
    <row r="2" spans="1:58" ht="60" customHeight="1" x14ac:dyDescent="0.25">
      <c r="A2" s="179" t="s">
        <v>69</v>
      </c>
      <c r="B2" s="180"/>
      <c r="C2" s="50" t="s">
        <v>116</v>
      </c>
      <c r="D2" s="50" t="s">
        <v>116</v>
      </c>
      <c r="E2" s="50" t="s">
        <v>116</v>
      </c>
      <c r="F2" s="50" t="s">
        <v>116</v>
      </c>
      <c r="G2" s="50" t="s">
        <v>116</v>
      </c>
      <c r="H2" s="50" t="s">
        <v>116</v>
      </c>
      <c r="I2" s="50" t="s">
        <v>116</v>
      </c>
      <c r="J2" s="50" t="s">
        <v>116</v>
      </c>
      <c r="K2" s="50" t="s">
        <v>116</v>
      </c>
      <c r="L2" s="50" t="s">
        <v>116</v>
      </c>
      <c r="M2" s="50" t="s">
        <v>116</v>
      </c>
      <c r="N2" s="50" t="s">
        <v>116</v>
      </c>
      <c r="O2" s="50" t="s">
        <v>116</v>
      </c>
      <c r="P2" s="50" t="s">
        <v>116</v>
      </c>
      <c r="Q2" s="50" t="s">
        <v>116</v>
      </c>
      <c r="R2" s="50" t="s">
        <v>116</v>
      </c>
      <c r="S2" s="50" t="s">
        <v>116</v>
      </c>
      <c r="T2" s="50" t="s">
        <v>116</v>
      </c>
      <c r="U2" s="50" t="s">
        <v>116</v>
      </c>
      <c r="V2" s="50" t="s">
        <v>116</v>
      </c>
      <c r="W2" s="50" t="s">
        <v>116</v>
      </c>
      <c r="X2" s="50" t="s">
        <v>116</v>
      </c>
      <c r="Y2" s="50" t="s">
        <v>116</v>
      </c>
      <c r="Z2" s="50" t="s">
        <v>116</v>
      </c>
      <c r="AA2" s="50" t="s">
        <v>116</v>
      </c>
      <c r="AB2" s="50" t="s">
        <v>116</v>
      </c>
      <c r="AC2" s="50" t="s">
        <v>116</v>
      </c>
      <c r="AD2" s="50" t="s">
        <v>116</v>
      </c>
      <c r="AE2" s="50" t="s">
        <v>116</v>
      </c>
      <c r="AF2" s="50" t="s">
        <v>116</v>
      </c>
      <c r="AG2" s="50" t="s">
        <v>116</v>
      </c>
      <c r="AH2" s="51" t="s">
        <v>117</v>
      </c>
      <c r="AI2" s="46" t="s">
        <v>117</v>
      </c>
      <c r="AJ2" s="46" t="s">
        <v>117</v>
      </c>
      <c r="AK2" s="46" t="s">
        <v>117</v>
      </c>
      <c r="AL2" s="46" t="s">
        <v>117</v>
      </c>
      <c r="AM2" s="46" t="s">
        <v>117</v>
      </c>
      <c r="AN2" s="46" t="s">
        <v>117</v>
      </c>
      <c r="AO2" s="46" t="s">
        <v>117</v>
      </c>
      <c r="AP2" s="46" t="s">
        <v>117</v>
      </c>
      <c r="AQ2" s="46" t="s">
        <v>117</v>
      </c>
      <c r="AR2" s="64" t="s">
        <v>163</v>
      </c>
      <c r="AS2" s="47" t="s">
        <v>118</v>
      </c>
      <c r="AT2" s="47" t="s">
        <v>118</v>
      </c>
      <c r="AU2" s="47" t="s">
        <v>118</v>
      </c>
      <c r="AV2" s="47" t="s">
        <v>118</v>
      </c>
      <c r="AW2" s="47" t="s">
        <v>118</v>
      </c>
      <c r="AX2" s="47" t="s">
        <v>118</v>
      </c>
      <c r="AY2" s="47" t="s">
        <v>118</v>
      </c>
      <c r="AZ2" s="47" t="s">
        <v>118</v>
      </c>
      <c r="BA2" s="47" t="s">
        <v>118</v>
      </c>
      <c r="BB2" s="47" t="s">
        <v>118</v>
      </c>
      <c r="BC2" s="47" t="s">
        <v>164</v>
      </c>
      <c r="BD2" s="22" t="s">
        <v>20</v>
      </c>
      <c r="BE2" s="22" t="s">
        <v>57</v>
      </c>
      <c r="BF2" s="23" t="s">
        <v>59</v>
      </c>
    </row>
    <row r="3" spans="1:58" ht="163.5" x14ac:dyDescent="0.25">
      <c r="A3" s="24" t="s">
        <v>54</v>
      </c>
      <c r="B3" s="25" t="s">
        <v>55</v>
      </c>
      <c r="C3" s="41" t="s">
        <v>140</v>
      </c>
      <c r="D3" s="41" t="s">
        <v>143</v>
      </c>
      <c r="E3" s="41" t="s">
        <v>144</v>
      </c>
      <c r="F3" s="41" t="s">
        <v>145</v>
      </c>
      <c r="G3" s="41" t="s">
        <v>142</v>
      </c>
      <c r="H3" s="41" t="s">
        <v>146</v>
      </c>
      <c r="I3" s="41" t="s">
        <v>147</v>
      </c>
      <c r="J3" s="41" t="s">
        <v>148</v>
      </c>
      <c r="K3" s="41" t="s">
        <v>150</v>
      </c>
      <c r="L3" s="41" t="s">
        <v>141</v>
      </c>
      <c r="M3" s="41" t="s">
        <v>220</v>
      </c>
      <c r="N3" s="41" t="s">
        <v>219</v>
      </c>
      <c r="O3" s="41" t="s">
        <v>134</v>
      </c>
      <c r="P3" s="41" t="s">
        <v>135</v>
      </c>
      <c r="Q3" s="41" t="s">
        <v>123</v>
      </c>
      <c r="R3" s="41" t="s">
        <v>124</v>
      </c>
      <c r="S3" s="41" t="s">
        <v>125</v>
      </c>
      <c r="T3" s="41" t="s">
        <v>126</v>
      </c>
      <c r="U3" s="41" t="s">
        <v>121</v>
      </c>
      <c r="V3" s="41" t="s">
        <v>122</v>
      </c>
      <c r="W3" s="41" t="s">
        <v>127</v>
      </c>
      <c r="X3" s="41" t="s">
        <v>128</v>
      </c>
      <c r="Y3" s="41" t="s">
        <v>168</v>
      </c>
      <c r="Z3" s="41" t="s">
        <v>169</v>
      </c>
      <c r="AA3" s="41" t="s">
        <v>167</v>
      </c>
      <c r="AB3" s="41" t="s">
        <v>215</v>
      </c>
      <c r="AC3" s="41" t="s">
        <v>216</v>
      </c>
      <c r="AD3" s="41" t="s">
        <v>217</v>
      </c>
      <c r="AE3" s="41" t="s">
        <v>218</v>
      </c>
      <c r="AF3" s="41" t="s">
        <v>105</v>
      </c>
      <c r="AG3" s="41" t="s">
        <v>107</v>
      </c>
      <c r="AH3" s="42" t="s">
        <v>123</v>
      </c>
      <c r="AI3" s="42" t="s">
        <v>125</v>
      </c>
      <c r="AJ3" s="42" t="s">
        <v>121</v>
      </c>
      <c r="AK3" s="42" t="s">
        <v>127</v>
      </c>
      <c r="AL3" s="42" t="s">
        <v>168</v>
      </c>
      <c r="AM3" s="42" t="s">
        <v>169</v>
      </c>
      <c r="AN3" s="42" t="s">
        <v>113</v>
      </c>
      <c r="AO3" s="42" t="s">
        <v>114</v>
      </c>
      <c r="AP3" s="42" t="s">
        <v>115</v>
      </c>
      <c r="AQ3" s="42" t="s">
        <v>170</v>
      </c>
      <c r="AR3" s="42" t="s">
        <v>112</v>
      </c>
      <c r="AS3" s="43" t="s">
        <v>123</v>
      </c>
      <c r="AT3" s="43" t="s">
        <v>125</v>
      </c>
      <c r="AU3" s="43" t="s">
        <v>121</v>
      </c>
      <c r="AV3" s="43" t="s">
        <v>127</v>
      </c>
      <c r="AW3" s="43" t="s">
        <v>168</v>
      </c>
      <c r="AX3" s="43" t="s">
        <v>169</v>
      </c>
      <c r="AY3" s="43" t="s">
        <v>113</v>
      </c>
      <c r="AZ3" s="43" t="s">
        <v>114</v>
      </c>
      <c r="BA3" s="43" t="s">
        <v>115</v>
      </c>
      <c r="BB3" s="43" t="s">
        <v>170</v>
      </c>
      <c r="BC3" s="43" t="s">
        <v>112</v>
      </c>
      <c r="BD3" s="22" t="s">
        <v>56</v>
      </c>
      <c r="BE3" s="22" t="s">
        <v>58</v>
      </c>
      <c r="BF3" s="23"/>
    </row>
    <row r="4" spans="1:58" s="98" customFormat="1" ht="15" customHeight="1" x14ac:dyDescent="0.25">
      <c r="A4" s="140">
        <v>1</v>
      </c>
      <c r="B4" s="141" t="s">
        <v>355</v>
      </c>
      <c r="C4" s="106">
        <v>1.0388999999999999</v>
      </c>
      <c r="D4" s="106">
        <v>13</v>
      </c>
      <c r="E4" s="106">
        <v>194</v>
      </c>
      <c r="F4" s="106">
        <v>1</v>
      </c>
      <c r="G4" s="106">
        <v>126.6991</v>
      </c>
      <c r="H4" s="106">
        <v>245</v>
      </c>
      <c r="I4" s="106">
        <v>1</v>
      </c>
      <c r="J4" s="106">
        <v>25</v>
      </c>
      <c r="K4" s="106">
        <v>92.706400000000002</v>
      </c>
      <c r="L4" s="106">
        <v>1</v>
      </c>
      <c r="M4" s="106">
        <v>-10.92</v>
      </c>
      <c r="N4" s="106">
        <v>12.15</v>
      </c>
      <c r="O4" s="106">
        <v>1</v>
      </c>
      <c r="P4" s="106">
        <v>4.9737</v>
      </c>
      <c r="Q4" s="106">
        <v>11.1328</v>
      </c>
      <c r="R4" s="106">
        <v>0.19839999999999999</v>
      </c>
      <c r="S4" s="106">
        <v>9.5792000000000002</v>
      </c>
      <c r="T4" s="106">
        <v>0.192</v>
      </c>
      <c r="U4" s="106">
        <v>11.4528</v>
      </c>
      <c r="V4" s="106">
        <v>0.184</v>
      </c>
      <c r="W4" s="106">
        <v>9.9152000000000005</v>
      </c>
      <c r="X4" s="106">
        <v>0.17599999999999999</v>
      </c>
      <c r="Y4" s="106">
        <v>36</v>
      </c>
      <c r="Z4" s="106">
        <v>34</v>
      </c>
      <c r="AA4" s="106">
        <v>8.3530999999999995</v>
      </c>
      <c r="AB4" s="106">
        <v>0.99998474121093806</v>
      </c>
      <c r="AC4" s="106">
        <v>7.4999999999999997E-2</v>
      </c>
      <c r="AD4" s="106">
        <v>0.12565000000000001</v>
      </c>
      <c r="AE4" s="106">
        <v>-5.6056999999999997</v>
      </c>
      <c r="AF4" s="106">
        <v>-44.868600000000001</v>
      </c>
      <c r="AG4" s="106">
        <v>195.03579999999999</v>
      </c>
      <c r="AH4" s="106" t="s">
        <v>60</v>
      </c>
      <c r="AI4" s="106" t="s">
        <v>60</v>
      </c>
      <c r="AJ4" s="106" t="s">
        <v>60</v>
      </c>
      <c r="AK4" s="106" t="s">
        <v>60</v>
      </c>
      <c r="AL4" s="106" t="s">
        <v>60</v>
      </c>
      <c r="AM4" s="106" t="s">
        <v>60</v>
      </c>
      <c r="AN4" s="106" t="s">
        <v>60</v>
      </c>
      <c r="AO4" s="106" t="s">
        <v>60</v>
      </c>
      <c r="AP4" s="106" t="s">
        <v>60</v>
      </c>
      <c r="AQ4" s="106" t="s">
        <v>60</v>
      </c>
      <c r="AR4" s="106" t="s">
        <v>60</v>
      </c>
      <c r="AS4" s="106">
        <v>10.581307519999999</v>
      </c>
      <c r="AT4" s="106">
        <v>9.3437888000000004</v>
      </c>
      <c r="AU4" s="106">
        <v>10.882455200000001</v>
      </c>
      <c r="AV4" s="106">
        <v>9.6402704000000004</v>
      </c>
      <c r="AW4" s="106">
        <v>0</v>
      </c>
      <c r="AX4" s="106">
        <v>33</v>
      </c>
      <c r="AY4" s="106">
        <v>0</v>
      </c>
      <c r="AZ4" s="106">
        <v>0</v>
      </c>
      <c r="BA4" s="106">
        <v>0</v>
      </c>
      <c r="BB4" s="106">
        <v>1</v>
      </c>
      <c r="BC4" s="106">
        <v>0</v>
      </c>
      <c r="BD4" s="142" t="s">
        <v>60</v>
      </c>
      <c r="BE4" s="143"/>
      <c r="BF4" s="144"/>
    </row>
    <row r="5" spans="1:58" s="98" customFormat="1" ht="15" customHeight="1" thickBot="1" x14ac:dyDescent="0.3">
      <c r="A5" s="146">
        <v>2</v>
      </c>
      <c r="B5" s="150" t="s">
        <v>356</v>
      </c>
      <c r="C5" s="115">
        <v>8.8000000000000007</v>
      </c>
      <c r="D5" s="115">
        <v>79</v>
      </c>
      <c r="E5" s="115">
        <v>25</v>
      </c>
      <c r="F5" s="115">
        <v>146</v>
      </c>
      <c r="G5" s="115">
        <v>186.00579999999999</v>
      </c>
      <c r="H5" s="115">
        <v>72</v>
      </c>
      <c r="I5" s="115">
        <v>179</v>
      </c>
      <c r="J5" s="115">
        <v>223</v>
      </c>
      <c r="K5" s="115">
        <v>9.6097999999999999</v>
      </c>
      <c r="L5" s="115">
        <v>1</v>
      </c>
      <c r="M5" s="115">
        <v>12.75</v>
      </c>
      <c r="N5" s="115">
        <v>1.45</v>
      </c>
      <c r="O5" s="115">
        <v>0.2301</v>
      </c>
      <c r="P5" s="115">
        <v>2.6400999999999999</v>
      </c>
      <c r="Q5" s="115">
        <v>21.569800000000001</v>
      </c>
      <c r="R5" s="115">
        <v>0.38439999999999996</v>
      </c>
      <c r="S5" s="115">
        <v>18.559699999999999</v>
      </c>
      <c r="T5" s="115">
        <v>0.372</v>
      </c>
      <c r="U5" s="115">
        <v>22.189799999999998</v>
      </c>
      <c r="V5" s="115">
        <v>0.35649999999999998</v>
      </c>
      <c r="W5" s="115">
        <v>11.460699999999999</v>
      </c>
      <c r="X5" s="115">
        <v>0.34099999999999997</v>
      </c>
      <c r="Y5" s="115">
        <v>55</v>
      </c>
      <c r="Z5" s="115">
        <v>53</v>
      </c>
      <c r="AA5" s="115">
        <v>1.1894</v>
      </c>
      <c r="AB5" s="115">
        <v>0.99998474121093806</v>
      </c>
      <c r="AC5" s="115">
        <v>4.8000000000000001E-2</v>
      </c>
      <c r="AD5" s="115">
        <v>0.12565000000000001</v>
      </c>
      <c r="AE5" s="115">
        <v>-4.2663000000000002</v>
      </c>
      <c r="AF5" s="115">
        <v>165.7362</v>
      </c>
      <c r="AG5" s="115">
        <v>49.989400000000003</v>
      </c>
      <c r="AH5" s="115" t="s">
        <v>60</v>
      </c>
      <c r="AI5" s="115" t="s">
        <v>60</v>
      </c>
      <c r="AJ5" s="115" t="s">
        <v>60</v>
      </c>
      <c r="AK5" s="115" t="s">
        <v>60</v>
      </c>
      <c r="AL5" s="115" t="s">
        <v>60</v>
      </c>
      <c r="AM5" s="115" t="s">
        <v>60</v>
      </c>
      <c r="AN5" s="115" t="s">
        <v>60</v>
      </c>
      <c r="AO5" s="115" t="s">
        <v>60</v>
      </c>
      <c r="AP5" s="115" t="s">
        <v>60</v>
      </c>
      <c r="AQ5" s="115" t="s">
        <v>60</v>
      </c>
      <c r="AR5" s="115" t="s">
        <v>60</v>
      </c>
      <c r="AS5" s="115">
        <v>12.821163520000001</v>
      </c>
      <c r="AT5" s="115">
        <v>11.213034800000001</v>
      </c>
      <c r="AU5" s="115">
        <v>13.8551152</v>
      </c>
      <c r="AV5" s="115">
        <v>7.1470159000000004</v>
      </c>
      <c r="AW5" s="115">
        <v>30</v>
      </c>
      <c r="AX5" s="115">
        <v>125</v>
      </c>
      <c r="AY5" s="115">
        <v>0</v>
      </c>
      <c r="AZ5" s="115">
        <v>0</v>
      </c>
      <c r="BA5" s="115">
        <v>0</v>
      </c>
      <c r="BB5" s="115">
        <v>1</v>
      </c>
      <c r="BC5" s="115">
        <v>0</v>
      </c>
      <c r="BD5" s="147" t="s">
        <v>60</v>
      </c>
      <c r="BE5" s="148"/>
      <c r="BF5" s="149"/>
    </row>
    <row r="6" spans="1:58" x14ac:dyDescent="0.25">
      <c r="A6" s="29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</row>
    <row r="7" spans="1:58" x14ac:dyDescent="0.25">
      <c r="A7" s="29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</row>
    <row r="8" spans="1:58" x14ac:dyDescent="0.25">
      <c r="A8" s="29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</row>
    <row r="9" spans="1:58" x14ac:dyDescent="0.25">
      <c r="A9" s="29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</row>
    <row r="10" spans="1:58" x14ac:dyDescent="0.25">
      <c r="A10" s="29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</row>
    <row r="11" spans="1:58" x14ac:dyDescent="0.25">
      <c r="A11" s="29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</row>
    <row r="12" spans="1:58" x14ac:dyDescent="0.25">
      <c r="A12" s="29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</row>
    <row r="13" spans="1:58" x14ac:dyDescent="0.25">
      <c r="A13" s="29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</row>
    <row r="14" spans="1:58" x14ac:dyDescent="0.25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</row>
    <row r="15" spans="1:58" x14ac:dyDescent="0.25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</row>
    <row r="16" spans="1:58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</row>
    <row r="17" spans="1:55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</row>
    <row r="18" spans="1:55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</row>
    <row r="19" spans="1:55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</row>
    <row r="20" spans="1:55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</row>
    <row r="21" spans="1:55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</row>
    <row r="22" spans="1:55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</row>
    <row r="23" spans="1:55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</row>
    <row r="24" spans="1:55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</row>
    <row r="25" spans="1:55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</row>
    <row r="26" spans="1:55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</row>
    <row r="27" spans="1:55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</row>
    <row r="28" spans="1:55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</row>
    <row r="29" spans="1:55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</row>
    <row r="30" spans="1:55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</row>
    <row r="31" spans="1:55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</row>
    <row r="32" spans="1:55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</row>
    <row r="33" spans="1:55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</row>
    <row r="34" spans="1:55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</row>
    <row r="35" spans="1:55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</row>
    <row r="36" spans="1:55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</row>
    <row r="37" spans="1:55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</row>
    <row r="38" spans="1:55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</row>
    <row r="39" spans="1:55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</row>
    <row r="40" spans="1:55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</row>
    <row r="41" spans="1:55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</row>
    <row r="42" spans="1:55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</row>
    <row r="43" spans="1:55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</row>
    <row r="44" spans="1:55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</row>
    <row r="45" spans="1:55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</row>
    <row r="46" spans="1:55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</row>
    <row r="47" spans="1:55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</row>
    <row r="48" spans="1:55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</row>
    <row r="49" spans="1:55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</row>
    <row r="50" spans="1:55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</row>
    <row r="51" spans="1:55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</row>
    <row r="52" spans="1:55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</row>
    <row r="53" spans="1:55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</row>
    <row r="54" spans="1:55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</row>
    <row r="55" spans="1:55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</row>
    <row r="56" spans="1:55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</row>
    <row r="57" spans="1:55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</row>
    <row r="58" spans="1:55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</row>
    <row r="59" spans="1:55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</row>
    <row r="60" spans="1:55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</row>
    <row r="61" spans="1:55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</row>
    <row r="62" spans="1:55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</row>
    <row r="63" spans="1:55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</row>
    <row r="64" spans="1:55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</row>
    <row r="65" spans="1:55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</row>
    <row r="66" spans="1:55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</row>
    <row r="67" spans="1:55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</row>
    <row r="68" spans="1:55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</row>
    <row r="69" spans="1:55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</row>
    <row r="70" spans="1:55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</row>
    <row r="71" spans="1:55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</row>
    <row r="72" spans="1:55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</row>
    <row r="73" spans="1:55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</row>
    <row r="74" spans="1:55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</row>
    <row r="75" spans="1:55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</row>
    <row r="76" spans="1:55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</row>
    <row r="77" spans="1:55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</row>
    <row r="78" spans="1:55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</row>
    <row r="79" spans="1:55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</row>
    <row r="80" spans="1:55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</row>
    <row r="81" spans="1:55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</row>
    <row r="82" spans="1:55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</row>
    <row r="83" spans="1:55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</row>
    <row r="84" spans="1:55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</row>
    <row r="85" spans="1:55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</row>
    <row r="86" spans="1:55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</row>
    <row r="87" spans="1:55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</row>
    <row r="88" spans="1:55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</row>
    <row r="89" spans="1:55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</row>
    <row r="90" spans="1:55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</row>
    <row r="91" spans="1:55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</row>
    <row r="92" spans="1:55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</row>
    <row r="93" spans="1:55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</row>
    <row r="94" spans="1:55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</row>
    <row r="95" spans="1:55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</row>
    <row r="96" spans="1:55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</row>
    <row r="97" spans="1:55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</row>
    <row r="98" spans="1:55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</row>
    <row r="99" spans="1:55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</row>
    <row r="100" spans="1:55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</row>
    <row r="101" spans="1:55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</row>
    <row r="102" spans="1:55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</row>
    <row r="103" spans="1:55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</row>
    <row r="104" spans="1:55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</row>
    <row r="105" spans="1:55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</row>
    <row r="106" spans="1:55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</row>
    <row r="107" spans="1:55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</row>
    <row r="108" spans="1:55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</row>
    <row r="109" spans="1:55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</row>
    <row r="110" spans="1:55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</row>
    <row r="111" spans="1:55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</row>
    <row r="112" spans="1:55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</row>
    <row r="113" spans="1:55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</row>
    <row r="114" spans="1:55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</row>
    <row r="115" spans="1:55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</row>
    <row r="116" spans="1:55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</row>
    <row r="117" spans="1:55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</row>
    <row r="118" spans="1:55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</row>
    <row r="119" spans="1:55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</row>
    <row r="120" spans="1:55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</row>
    <row r="121" spans="1:55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</row>
    <row r="122" spans="1:55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</row>
    <row r="123" spans="1:55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</row>
    <row r="124" spans="1:55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</row>
    <row r="125" spans="1:55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</row>
    <row r="126" spans="1:55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</row>
    <row r="127" spans="1:55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</row>
    <row r="128" spans="1:55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</row>
    <row r="129" spans="1:55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</row>
    <row r="130" spans="1:55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</row>
    <row r="131" spans="1:55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</row>
    <row r="132" spans="1:55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</row>
    <row r="133" spans="1:55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</row>
    <row r="134" spans="1:55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</row>
    <row r="135" spans="1:55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</row>
    <row r="136" spans="1:55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</row>
    <row r="137" spans="1:55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</row>
    <row r="138" spans="1:55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</row>
    <row r="139" spans="1:55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</row>
    <row r="140" spans="1:55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</row>
    <row r="141" spans="1:55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</row>
    <row r="142" spans="1:55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</row>
    <row r="143" spans="1:55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</row>
    <row r="144" spans="1:55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</row>
    <row r="145" spans="1:55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</row>
    <row r="146" spans="1:55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</row>
    <row r="147" spans="1:55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</row>
    <row r="148" spans="1:55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</row>
    <row r="149" spans="1:55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</row>
    <row r="150" spans="1:55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</row>
    <row r="151" spans="1:55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</row>
    <row r="152" spans="1:55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</row>
    <row r="153" spans="1:55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</row>
    <row r="154" spans="1:55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</row>
    <row r="155" spans="1:55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</row>
    <row r="156" spans="1:55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</row>
    <row r="157" spans="1:55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</row>
    <row r="158" spans="1:55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</row>
    <row r="159" spans="1:55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</row>
    <row r="160" spans="1:55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</row>
    <row r="161" spans="1:55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</row>
    <row r="162" spans="1:55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</row>
    <row r="163" spans="1:55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</row>
    <row r="164" spans="1:55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</row>
    <row r="165" spans="1:55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</row>
    <row r="166" spans="1:55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</row>
    <row r="167" spans="1:55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</row>
    <row r="168" spans="1:55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</row>
    <row r="169" spans="1:55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</row>
    <row r="170" spans="1:55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</row>
    <row r="171" spans="1:55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</row>
    <row r="172" spans="1:55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</row>
    <row r="173" spans="1:55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</row>
    <row r="174" spans="1:55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</row>
    <row r="175" spans="1:55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</row>
    <row r="176" spans="1:55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</row>
    <row r="177" spans="1:55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</row>
    <row r="178" spans="1:55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</row>
    <row r="179" spans="1:55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</row>
    <row r="180" spans="1:55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</row>
    <row r="181" spans="1:55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</row>
    <row r="182" spans="1:55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</row>
    <row r="183" spans="1:55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</row>
    <row r="184" spans="1:55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</row>
    <row r="185" spans="1:55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</row>
    <row r="186" spans="1:55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</row>
    <row r="187" spans="1:55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</row>
    <row r="188" spans="1:55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</row>
    <row r="189" spans="1:55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</row>
    <row r="190" spans="1:55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</row>
    <row r="191" spans="1:55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</row>
    <row r="192" spans="1:55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</row>
    <row r="193" spans="1:55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</row>
    <row r="194" spans="1:55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</row>
    <row r="195" spans="1:55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</row>
    <row r="196" spans="1:55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</row>
    <row r="197" spans="1:55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</row>
    <row r="198" spans="1:55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</row>
    <row r="199" spans="1:55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</row>
    <row r="200" spans="1:55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</row>
    <row r="201" spans="1:55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</row>
    <row r="202" spans="1:55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</row>
    <row r="203" spans="1:55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</row>
    <row r="204" spans="1:55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</row>
    <row r="205" spans="1:55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</row>
  </sheetData>
  <mergeCells count="2">
    <mergeCell ref="A1:B1"/>
    <mergeCell ref="A2:B2"/>
  </mergeCells>
  <hyperlinks>
    <hyperlink ref="A1" location="'TqRsDg_Per1'!A1" display="'TqRsDg_Per1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F316"/>
  <sheetViews>
    <sheetView zoomScale="103" zoomScaleNormal="103" workbookViewId="0">
      <selection sqref="A1:B1"/>
    </sheetView>
  </sheetViews>
  <sheetFormatPr defaultRowHeight="15" x14ac:dyDescent="0.25"/>
  <cols>
    <col min="1" max="1" width="8.140625" style="60" bestFit="1" customWidth="1"/>
    <col min="2" max="2" width="49.140625" style="60" bestFit="1" customWidth="1"/>
    <col min="3" max="3" width="7" style="60" bestFit="1" customWidth="1"/>
    <col min="4" max="6" width="4" style="60" bestFit="1" customWidth="1"/>
    <col min="7" max="7" width="9" style="60" bestFit="1" customWidth="1"/>
    <col min="8" max="10" width="4" style="60" bestFit="1" customWidth="1"/>
    <col min="11" max="11" width="9" style="60" bestFit="1" customWidth="1"/>
    <col min="12" max="12" width="7" style="60" bestFit="1" customWidth="1"/>
    <col min="13" max="14" width="6.7109375" style="60" bestFit="1" customWidth="1"/>
    <col min="15" max="15" width="8" style="60" bestFit="1" customWidth="1"/>
    <col min="16" max="16" width="7" style="60" bestFit="1" customWidth="1"/>
    <col min="17" max="17" width="8.7109375" style="60" bestFit="1" customWidth="1"/>
    <col min="18" max="18" width="12" style="60" bestFit="1" customWidth="1"/>
    <col min="19" max="19" width="8.7109375" style="60" bestFit="1" customWidth="1"/>
    <col min="20" max="20" width="12" style="60" bestFit="1" customWidth="1"/>
    <col min="21" max="21" width="8.7109375" style="60" bestFit="1" customWidth="1"/>
    <col min="22" max="22" width="12" style="60" bestFit="1" customWidth="1"/>
    <col min="23" max="23" width="8.7109375" style="60" bestFit="1" customWidth="1"/>
    <col min="24" max="24" width="12" style="60" bestFit="1" customWidth="1"/>
    <col min="25" max="26" width="4" style="60" bestFit="1" customWidth="1"/>
    <col min="27" max="27" width="8" style="60" bestFit="1" customWidth="1"/>
    <col min="28" max="28" width="12" style="60" bestFit="1" customWidth="1"/>
    <col min="29" max="29" width="7" style="60" bestFit="1" customWidth="1"/>
    <col min="30" max="30" width="8" style="60" bestFit="1" customWidth="1"/>
    <col min="31" max="31" width="7.7109375" style="60" bestFit="1" customWidth="1"/>
    <col min="32" max="33" width="9.7109375" style="60" bestFit="1" customWidth="1"/>
    <col min="34" max="37" width="3.28515625" style="60" bestFit="1" customWidth="1"/>
    <col min="38" max="43" width="3.28515625" style="60" customWidth="1"/>
    <col min="44" max="44" width="7.42578125" style="60" bestFit="1" customWidth="1"/>
    <col min="45" max="48" width="12.7109375" style="60" bestFit="1" customWidth="1"/>
    <col min="49" max="55" width="7.42578125" style="60" bestFit="1" customWidth="1"/>
    <col min="56" max="56" width="10.5703125" style="60" bestFit="1" customWidth="1"/>
    <col min="57" max="57" width="12.42578125" style="60" bestFit="1" customWidth="1"/>
    <col min="58" max="58" width="10.5703125" style="60" bestFit="1" customWidth="1"/>
    <col min="59" max="16384" width="9.140625" style="60"/>
  </cols>
  <sheetData>
    <row r="1" spans="1:58" x14ac:dyDescent="0.25">
      <c r="A1" s="181" t="s">
        <v>53</v>
      </c>
      <c r="B1" s="178"/>
      <c r="C1" s="31" t="s">
        <v>61</v>
      </c>
      <c r="D1" s="57" t="s">
        <v>60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49"/>
      <c r="BE1" s="49"/>
      <c r="BF1" s="30"/>
    </row>
    <row r="2" spans="1:58" ht="60" customHeight="1" x14ac:dyDescent="0.25">
      <c r="A2" s="179" t="s">
        <v>360</v>
      </c>
      <c r="B2" s="180"/>
      <c r="C2" s="50" t="s">
        <v>116</v>
      </c>
      <c r="D2" s="50" t="s">
        <v>116</v>
      </c>
      <c r="E2" s="50" t="s">
        <v>116</v>
      </c>
      <c r="F2" s="50" t="s">
        <v>116</v>
      </c>
      <c r="G2" s="50" t="s">
        <v>116</v>
      </c>
      <c r="H2" s="50" t="s">
        <v>116</v>
      </c>
      <c r="I2" s="50" t="s">
        <v>116</v>
      </c>
      <c r="J2" s="50" t="s">
        <v>116</v>
      </c>
      <c r="K2" s="50" t="s">
        <v>116</v>
      </c>
      <c r="L2" s="50" t="s">
        <v>116</v>
      </c>
      <c r="M2" s="50" t="s">
        <v>116</v>
      </c>
      <c r="N2" s="50" t="s">
        <v>116</v>
      </c>
      <c r="O2" s="50" t="s">
        <v>116</v>
      </c>
      <c r="P2" s="50" t="s">
        <v>116</v>
      </c>
      <c r="Q2" s="50" t="s">
        <v>116</v>
      </c>
      <c r="R2" s="50" t="s">
        <v>116</v>
      </c>
      <c r="S2" s="50" t="s">
        <v>116</v>
      </c>
      <c r="T2" s="50" t="s">
        <v>116</v>
      </c>
      <c r="U2" s="50" t="s">
        <v>116</v>
      </c>
      <c r="V2" s="50" t="s">
        <v>116</v>
      </c>
      <c r="W2" s="50" t="s">
        <v>116</v>
      </c>
      <c r="X2" s="50" t="s">
        <v>116</v>
      </c>
      <c r="Y2" s="50" t="s">
        <v>116</v>
      </c>
      <c r="Z2" s="50" t="s">
        <v>116</v>
      </c>
      <c r="AA2" s="50" t="s">
        <v>116</v>
      </c>
      <c r="AB2" s="50" t="s">
        <v>116</v>
      </c>
      <c r="AC2" s="50" t="s">
        <v>116</v>
      </c>
      <c r="AD2" s="50" t="s">
        <v>116</v>
      </c>
      <c r="AE2" s="50" t="s">
        <v>116</v>
      </c>
      <c r="AF2" s="50" t="s">
        <v>116</v>
      </c>
      <c r="AG2" s="50" t="s">
        <v>116</v>
      </c>
      <c r="AH2" s="51" t="s">
        <v>117</v>
      </c>
      <c r="AI2" s="46" t="s">
        <v>117</v>
      </c>
      <c r="AJ2" s="46" t="s">
        <v>117</v>
      </c>
      <c r="AK2" s="46" t="s">
        <v>117</v>
      </c>
      <c r="AL2" s="46" t="s">
        <v>117</v>
      </c>
      <c r="AM2" s="46" t="s">
        <v>117</v>
      </c>
      <c r="AN2" s="46" t="s">
        <v>117</v>
      </c>
      <c r="AO2" s="46" t="s">
        <v>117</v>
      </c>
      <c r="AP2" s="46" t="s">
        <v>117</v>
      </c>
      <c r="AQ2" s="46" t="s">
        <v>117</v>
      </c>
      <c r="AR2" s="64" t="s">
        <v>163</v>
      </c>
      <c r="AS2" s="47" t="s">
        <v>118</v>
      </c>
      <c r="AT2" s="47" t="s">
        <v>118</v>
      </c>
      <c r="AU2" s="47" t="s">
        <v>118</v>
      </c>
      <c r="AV2" s="47" t="s">
        <v>118</v>
      </c>
      <c r="AW2" s="47" t="s">
        <v>118</v>
      </c>
      <c r="AX2" s="47" t="s">
        <v>118</v>
      </c>
      <c r="AY2" s="47" t="s">
        <v>118</v>
      </c>
      <c r="AZ2" s="47" t="s">
        <v>118</v>
      </c>
      <c r="BA2" s="47" t="s">
        <v>118</v>
      </c>
      <c r="BB2" s="47" t="s">
        <v>118</v>
      </c>
      <c r="BC2" s="47" t="s">
        <v>164</v>
      </c>
      <c r="BD2" s="22" t="s">
        <v>20</v>
      </c>
      <c r="BE2" s="22" t="s">
        <v>57</v>
      </c>
      <c r="BF2" s="23" t="s">
        <v>59</v>
      </c>
    </row>
    <row r="3" spans="1:58" ht="163.5" x14ac:dyDescent="0.25">
      <c r="A3" s="24" t="s">
        <v>54</v>
      </c>
      <c r="B3" s="25" t="s">
        <v>55</v>
      </c>
      <c r="C3" s="41" t="s">
        <v>140</v>
      </c>
      <c r="D3" s="41" t="s">
        <v>143</v>
      </c>
      <c r="E3" s="41" t="s">
        <v>144</v>
      </c>
      <c r="F3" s="41" t="s">
        <v>145</v>
      </c>
      <c r="G3" s="41" t="s">
        <v>142</v>
      </c>
      <c r="H3" s="41" t="s">
        <v>146</v>
      </c>
      <c r="I3" s="41" t="s">
        <v>147</v>
      </c>
      <c r="J3" s="41" t="s">
        <v>148</v>
      </c>
      <c r="K3" s="41" t="s">
        <v>150</v>
      </c>
      <c r="L3" s="41" t="s">
        <v>141</v>
      </c>
      <c r="M3" s="41" t="s">
        <v>220</v>
      </c>
      <c r="N3" s="41" t="s">
        <v>219</v>
      </c>
      <c r="O3" s="41" t="s">
        <v>134</v>
      </c>
      <c r="P3" s="41" t="s">
        <v>135</v>
      </c>
      <c r="Q3" s="41" t="s">
        <v>123</v>
      </c>
      <c r="R3" s="41" t="s">
        <v>124</v>
      </c>
      <c r="S3" s="41" t="s">
        <v>125</v>
      </c>
      <c r="T3" s="41" t="s">
        <v>126</v>
      </c>
      <c r="U3" s="41" t="s">
        <v>121</v>
      </c>
      <c r="V3" s="41" t="s">
        <v>122</v>
      </c>
      <c r="W3" s="41" t="s">
        <v>127</v>
      </c>
      <c r="X3" s="41" t="s">
        <v>128</v>
      </c>
      <c r="Y3" s="41" t="s">
        <v>168</v>
      </c>
      <c r="Z3" s="41" t="s">
        <v>169</v>
      </c>
      <c r="AA3" s="41" t="s">
        <v>167</v>
      </c>
      <c r="AB3" s="41" t="s">
        <v>215</v>
      </c>
      <c r="AC3" s="41" t="s">
        <v>216</v>
      </c>
      <c r="AD3" s="41" t="s">
        <v>217</v>
      </c>
      <c r="AE3" s="41" t="s">
        <v>218</v>
      </c>
      <c r="AF3" s="41" t="s">
        <v>105</v>
      </c>
      <c r="AG3" s="41" t="s">
        <v>107</v>
      </c>
      <c r="AH3" s="42" t="s">
        <v>123</v>
      </c>
      <c r="AI3" s="42" t="s">
        <v>125</v>
      </c>
      <c r="AJ3" s="42" t="s">
        <v>121</v>
      </c>
      <c r="AK3" s="42" t="s">
        <v>127</v>
      </c>
      <c r="AL3" s="42" t="s">
        <v>168</v>
      </c>
      <c r="AM3" s="42" t="s">
        <v>169</v>
      </c>
      <c r="AN3" s="42" t="s">
        <v>113</v>
      </c>
      <c r="AO3" s="42" t="s">
        <v>114</v>
      </c>
      <c r="AP3" s="42" t="s">
        <v>115</v>
      </c>
      <c r="AQ3" s="42" t="s">
        <v>170</v>
      </c>
      <c r="AR3" s="42" t="s">
        <v>112</v>
      </c>
      <c r="AS3" s="43" t="s">
        <v>123</v>
      </c>
      <c r="AT3" s="43" t="s">
        <v>125</v>
      </c>
      <c r="AU3" s="43" t="s">
        <v>121</v>
      </c>
      <c r="AV3" s="43" t="s">
        <v>127</v>
      </c>
      <c r="AW3" s="43" t="s">
        <v>168</v>
      </c>
      <c r="AX3" s="43" t="s">
        <v>169</v>
      </c>
      <c r="AY3" s="43" t="s">
        <v>113</v>
      </c>
      <c r="AZ3" s="43" t="s">
        <v>114</v>
      </c>
      <c r="BA3" s="43" t="s">
        <v>115</v>
      </c>
      <c r="BB3" s="43" t="s">
        <v>170</v>
      </c>
      <c r="BC3" s="43" t="s">
        <v>112</v>
      </c>
      <c r="BD3" s="22" t="s">
        <v>56</v>
      </c>
      <c r="BE3" s="22" t="s">
        <v>58</v>
      </c>
      <c r="BF3" s="23"/>
    </row>
    <row r="4" spans="1:58" x14ac:dyDescent="0.25">
      <c r="A4" s="48">
        <v>1</v>
      </c>
      <c r="B4" s="45" t="s">
        <v>119</v>
      </c>
      <c r="C4" s="55">
        <v>1</v>
      </c>
      <c r="D4" s="55">
        <v>0</v>
      </c>
      <c r="E4" s="55">
        <v>0</v>
      </c>
      <c r="F4" s="55">
        <v>0</v>
      </c>
      <c r="G4" s="55">
        <v>0</v>
      </c>
      <c r="H4" s="55">
        <v>0</v>
      </c>
      <c r="I4" s="55">
        <v>0</v>
      </c>
      <c r="J4" s="55">
        <v>0</v>
      </c>
      <c r="K4" s="55">
        <v>0</v>
      </c>
      <c r="L4" s="55">
        <v>0</v>
      </c>
      <c r="M4" s="55">
        <v>-31</v>
      </c>
      <c r="N4" s="55">
        <v>-31</v>
      </c>
      <c r="O4" s="55">
        <v>0</v>
      </c>
      <c r="P4" s="55">
        <v>0</v>
      </c>
      <c r="Q4" s="55">
        <v>-31</v>
      </c>
      <c r="R4" s="55">
        <v>0</v>
      </c>
      <c r="S4" s="55">
        <v>-31</v>
      </c>
      <c r="T4" s="55">
        <v>0</v>
      </c>
      <c r="U4" s="55">
        <v>-31</v>
      </c>
      <c r="V4" s="55">
        <v>0</v>
      </c>
      <c r="W4" s="55">
        <v>-31</v>
      </c>
      <c r="X4" s="55">
        <v>0</v>
      </c>
      <c r="Y4" s="55">
        <v>0</v>
      </c>
      <c r="Z4" s="55">
        <v>0</v>
      </c>
      <c r="AA4" s="55">
        <v>0</v>
      </c>
      <c r="AB4" s="55">
        <v>0</v>
      </c>
      <c r="AC4" s="55">
        <v>2.5000000000000001E-2</v>
      </c>
      <c r="AD4" s="55">
        <v>5.0000000000000001E-3</v>
      </c>
      <c r="AE4" s="55">
        <v>-8.8000000000000007</v>
      </c>
      <c r="AF4" s="55">
        <v>-220</v>
      </c>
      <c r="AG4" s="55">
        <v>-220</v>
      </c>
      <c r="AH4" s="45" t="s">
        <v>60</v>
      </c>
      <c r="AI4" s="45" t="s">
        <v>60</v>
      </c>
      <c r="AJ4" s="45" t="s">
        <v>60</v>
      </c>
      <c r="AK4" s="45" t="s">
        <v>60</v>
      </c>
      <c r="AL4" s="45" t="s">
        <v>60</v>
      </c>
      <c r="AM4" s="45" t="s">
        <v>60</v>
      </c>
      <c r="AN4" s="45" t="s">
        <v>60</v>
      </c>
      <c r="AO4" s="45" t="s">
        <v>60</v>
      </c>
      <c r="AP4" s="45" t="s">
        <v>60</v>
      </c>
      <c r="AQ4" s="45" t="s">
        <v>60</v>
      </c>
      <c r="AR4" s="45" t="s">
        <v>60</v>
      </c>
      <c r="AS4" s="45">
        <v>-31</v>
      </c>
      <c r="AT4" s="45">
        <v>-31</v>
      </c>
      <c r="AU4" s="45">
        <v>-31</v>
      </c>
      <c r="AV4" s="45">
        <v>-31</v>
      </c>
      <c r="AW4" s="45">
        <v>0</v>
      </c>
      <c r="AX4" s="45">
        <v>0</v>
      </c>
      <c r="AY4" s="45">
        <v>169</v>
      </c>
      <c r="AZ4" s="45">
        <v>1</v>
      </c>
      <c r="BA4" s="45">
        <v>1</v>
      </c>
      <c r="BB4" s="45">
        <v>0</v>
      </c>
      <c r="BC4" s="45">
        <v>1</v>
      </c>
      <c r="BD4" s="54" t="s">
        <v>60</v>
      </c>
      <c r="BE4" s="44"/>
      <c r="BF4" s="53"/>
    </row>
    <row r="5" spans="1:58" x14ac:dyDescent="0.25">
      <c r="A5" s="48">
        <v>2</v>
      </c>
      <c r="B5" s="45" t="s">
        <v>120</v>
      </c>
      <c r="C5" s="55">
        <v>8.8000000000000007</v>
      </c>
      <c r="D5" s="55">
        <v>255</v>
      </c>
      <c r="E5" s="55">
        <v>255</v>
      </c>
      <c r="F5" s="55">
        <v>255</v>
      </c>
      <c r="G5" s="55">
        <v>250</v>
      </c>
      <c r="H5" s="55">
        <v>255</v>
      </c>
      <c r="I5" s="55">
        <v>255</v>
      </c>
      <c r="J5" s="55">
        <v>255</v>
      </c>
      <c r="K5" s="55">
        <v>250</v>
      </c>
      <c r="L5" s="55">
        <v>1</v>
      </c>
      <c r="M5" s="55">
        <v>31</v>
      </c>
      <c r="N5" s="55">
        <v>31</v>
      </c>
      <c r="O5" s="55">
        <v>1</v>
      </c>
      <c r="P5" s="55">
        <v>8.8000000000000007</v>
      </c>
      <c r="Q5" s="55">
        <v>31</v>
      </c>
      <c r="R5" s="55">
        <v>0.95678608200000004</v>
      </c>
      <c r="S5" s="55">
        <v>31</v>
      </c>
      <c r="T5" s="55">
        <v>0.95678608200000004</v>
      </c>
      <c r="U5" s="55">
        <v>31</v>
      </c>
      <c r="V5" s="55">
        <v>0.95678608200000004</v>
      </c>
      <c r="W5" s="55">
        <v>31</v>
      </c>
      <c r="X5" s="55">
        <v>0.95678608200000004</v>
      </c>
      <c r="Y5" s="55">
        <v>255</v>
      </c>
      <c r="Z5" s="55">
        <v>255</v>
      </c>
      <c r="AA5" s="55">
        <v>20</v>
      </c>
      <c r="AB5" s="55">
        <v>0.99998474121093806</v>
      </c>
      <c r="AC5" s="55">
        <v>7.4999999999999997E-2</v>
      </c>
      <c r="AD5" s="55">
        <v>0.12565000000000001</v>
      </c>
      <c r="AE5" s="55">
        <v>8.8000000000000007</v>
      </c>
      <c r="AF5" s="55">
        <v>220</v>
      </c>
      <c r="AG5" s="55">
        <v>220</v>
      </c>
      <c r="AH5" s="45" t="s">
        <v>60</v>
      </c>
      <c r="AI5" s="45" t="s">
        <v>60</v>
      </c>
      <c r="AJ5" s="45" t="s">
        <v>60</v>
      </c>
      <c r="AK5" s="45" t="s">
        <v>60</v>
      </c>
      <c r="AL5" s="45" t="s">
        <v>60</v>
      </c>
      <c r="AM5" s="45" t="s">
        <v>60</v>
      </c>
      <c r="AN5" s="45" t="s">
        <v>60</v>
      </c>
      <c r="AO5" s="45" t="s">
        <v>60</v>
      </c>
      <c r="AP5" s="45" t="s">
        <v>60</v>
      </c>
      <c r="AQ5" s="45" t="s">
        <v>60</v>
      </c>
      <c r="AR5" s="45" t="s">
        <v>60</v>
      </c>
      <c r="AS5" s="45">
        <v>8.0943939421422897</v>
      </c>
      <c r="AT5" s="45">
        <v>8.0943939421422897</v>
      </c>
      <c r="AU5" s="45">
        <v>-4.7848869947185699</v>
      </c>
      <c r="AV5" s="45">
        <v>-4.7848869947185699</v>
      </c>
      <c r="AW5" s="45">
        <v>0</v>
      </c>
      <c r="AX5" s="45">
        <v>0</v>
      </c>
      <c r="AY5" s="45">
        <v>169</v>
      </c>
      <c r="AZ5" s="45">
        <v>0</v>
      </c>
      <c r="BA5" s="45">
        <v>0</v>
      </c>
      <c r="BB5" s="45">
        <v>1</v>
      </c>
      <c r="BC5" s="45">
        <v>1</v>
      </c>
      <c r="BD5" s="54" t="s">
        <v>60</v>
      </c>
      <c r="BE5" s="44"/>
      <c r="BF5" s="53"/>
    </row>
    <row r="6" spans="1:58" x14ac:dyDescent="0.25">
      <c r="A6" s="48">
        <v>3</v>
      </c>
      <c r="B6" s="45" t="s">
        <v>225</v>
      </c>
      <c r="C6" s="55">
        <v>1</v>
      </c>
      <c r="D6" s="45">
        <v>80</v>
      </c>
      <c r="E6" s="45">
        <v>166</v>
      </c>
      <c r="F6" s="45">
        <v>22</v>
      </c>
      <c r="G6" s="45">
        <v>43.741</v>
      </c>
      <c r="H6" s="45">
        <v>46</v>
      </c>
      <c r="I6" s="45">
        <v>17</v>
      </c>
      <c r="J6" s="45">
        <v>43</v>
      </c>
      <c r="K6" s="45">
        <v>58.088999999999999</v>
      </c>
      <c r="L6" s="45">
        <v>1</v>
      </c>
      <c r="M6" s="45">
        <v>-11.12</v>
      </c>
      <c r="N6" s="45">
        <v>-14.45</v>
      </c>
      <c r="O6" s="45">
        <v>0.97309999999999997</v>
      </c>
      <c r="P6" s="45">
        <v>7.0457000000000001</v>
      </c>
      <c r="Q6" s="45">
        <v>0.69579999999999997</v>
      </c>
      <c r="R6" s="45">
        <v>1.24E-2</v>
      </c>
      <c r="S6" s="45">
        <v>0.59870000000000001</v>
      </c>
      <c r="T6" s="45">
        <v>1.2E-2</v>
      </c>
      <c r="U6" s="45">
        <v>0.71579999999999999</v>
      </c>
      <c r="V6" s="45">
        <v>1.15E-2</v>
      </c>
      <c r="W6" s="45">
        <v>0.36969999999999997</v>
      </c>
      <c r="X6" s="45">
        <v>1.0999999999999999E-2</v>
      </c>
      <c r="Y6" s="45">
        <v>16</v>
      </c>
      <c r="Z6" s="45">
        <v>14</v>
      </c>
      <c r="AA6" s="45">
        <v>2.7239</v>
      </c>
      <c r="AB6" s="45">
        <v>0.99998474121093806</v>
      </c>
      <c r="AC6" s="45">
        <v>7.4999999999999997E-2</v>
      </c>
      <c r="AD6" s="45">
        <v>0.12565000000000001</v>
      </c>
      <c r="AE6" s="45">
        <v>8.8000000000000007</v>
      </c>
      <c r="AF6" s="45">
        <v>-19.866700000000002</v>
      </c>
      <c r="AG6" s="45">
        <v>57.9739</v>
      </c>
      <c r="AH6" s="45" t="s">
        <v>60</v>
      </c>
      <c r="AI6" s="45" t="s">
        <v>60</v>
      </c>
      <c r="AJ6" s="45" t="s">
        <v>60</v>
      </c>
      <c r="AK6" s="45" t="s">
        <v>60</v>
      </c>
      <c r="AL6" s="45" t="s">
        <v>60</v>
      </c>
      <c r="AM6" s="45" t="s">
        <v>60</v>
      </c>
      <c r="AN6" s="45" t="s">
        <v>60</v>
      </c>
      <c r="AO6" s="45" t="s">
        <v>60</v>
      </c>
      <c r="AP6" s="45" t="s">
        <v>60</v>
      </c>
      <c r="AQ6" s="45" t="s">
        <v>60</v>
      </c>
      <c r="AR6" s="45" t="s">
        <v>60</v>
      </c>
      <c r="AS6" s="45">
        <v>0.65339572000000001</v>
      </c>
      <c r="AT6" s="45">
        <v>0.55882880000000001</v>
      </c>
      <c r="AU6" s="45">
        <v>0.73889315</v>
      </c>
      <c r="AV6" s="45">
        <v>0.39559620000000001</v>
      </c>
      <c r="AW6" s="45">
        <v>0</v>
      </c>
      <c r="AX6" s="45">
        <v>0</v>
      </c>
      <c r="AY6" s="45">
        <v>169</v>
      </c>
      <c r="AZ6" s="45">
        <v>0</v>
      </c>
      <c r="BA6" s="45">
        <v>0</v>
      </c>
      <c r="BB6" s="45">
        <v>1</v>
      </c>
      <c r="BC6" s="45">
        <v>1</v>
      </c>
      <c r="BD6" s="54" t="s">
        <v>60</v>
      </c>
      <c r="BE6" s="44"/>
      <c r="BF6" s="53"/>
    </row>
    <row r="7" spans="1:58" x14ac:dyDescent="0.25">
      <c r="A7" s="48">
        <v>4</v>
      </c>
      <c r="B7" s="45" t="s">
        <v>226</v>
      </c>
      <c r="C7" s="55">
        <v>8.8000000000000007</v>
      </c>
      <c r="D7" s="45">
        <v>77</v>
      </c>
      <c r="E7" s="45">
        <v>199</v>
      </c>
      <c r="F7" s="45">
        <v>81</v>
      </c>
      <c r="G7" s="45">
        <v>157.643</v>
      </c>
      <c r="H7" s="45">
        <v>128</v>
      </c>
      <c r="I7" s="45">
        <v>86</v>
      </c>
      <c r="J7" s="45">
        <v>247</v>
      </c>
      <c r="K7" s="45">
        <v>191.13669999999999</v>
      </c>
      <c r="L7" s="45">
        <v>0.44019999999999998</v>
      </c>
      <c r="M7" s="45">
        <v>-11.11</v>
      </c>
      <c r="N7" s="45">
        <v>-13.12</v>
      </c>
      <c r="O7" s="45">
        <v>1</v>
      </c>
      <c r="P7" s="45">
        <v>8.8000000000000007</v>
      </c>
      <c r="Q7" s="45">
        <v>1.3915999999999999</v>
      </c>
      <c r="R7" s="45">
        <v>2.4799999999999999E-2</v>
      </c>
      <c r="S7" s="45">
        <v>1.1974</v>
      </c>
      <c r="T7" s="45">
        <v>2.4E-2</v>
      </c>
      <c r="U7" s="45">
        <v>1.4316</v>
      </c>
      <c r="V7" s="45">
        <v>2.3E-2</v>
      </c>
      <c r="W7" s="45">
        <v>0.73939999999999995</v>
      </c>
      <c r="X7" s="45">
        <v>2.1999999999999999E-2</v>
      </c>
      <c r="Y7" s="45">
        <v>17</v>
      </c>
      <c r="Z7" s="45">
        <v>15</v>
      </c>
      <c r="AA7" s="45">
        <v>12.7408</v>
      </c>
      <c r="AB7" s="45">
        <v>5.6300000000000003E-2</v>
      </c>
      <c r="AC7" s="45">
        <v>7.4999999999999997E-2</v>
      </c>
      <c r="AD7" s="45">
        <v>3.6999999999999998E-2</v>
      </c>
      <c r="AE7" s="45">
        <v>-1.5629</v>
      </c>
      <c r="AF7" s="45">
        <v>-50.730899999999998</v>
      </c>
      <c r="AG7" s="45">
        <v>-50.644399999999997</v>
      </c>
      <c r="AH7" s="45" t="s">
        <v>60</v>
      </c>
      <c r="AI7" s="45" t="s">
        <v>60</v>
      </c>
      <c r="AJ7" s="45" t="s">
        <v>60</v>
      </c>
      <c r="AK7" s="45" t="s">
        <v>60</v>
      </c>
      <c r="AL7" s="45" t="s">
        <v>60</v>
      </c>
      <c r="AM7" s="45" t="s">
        <v>60</v>
      </c>
      <c r="AN7" s="45" t="s">
        <v>60</v>
      </c>
      <c r="AO7" s="45" t="s">
        <v>60</v>
      </c>
      <c r="AP7" s="45" t="s">
        <v>60</v>
      </c>
      <c r="AQ7" s="45" t="s">
        <v>60</v>
      </c>
      <c r="AR7" s="45" t="s">
        <v>60</v>
      </c>
      <c r="AS7" s="45">
        <v>1.0411164799999999</v>
      </c>
      <c r="AT7" s="45">
        <v>0.86288319999999996</v>
      </c>
      <c r="AU7" s="45">
        <v>1.50925753152682</v>
      </c>
      <c r="AV7" s="45">
        <v>0.82890951711261296</v>
      </c>
      <c r="AW7" s="45">
        <v>0</v>
      </c>
      <c r="AX7" s="45">
        <v>0</v>
      </c>
      <c r="AY7" s="45">
        <v>169</v>
      </c>
      <c r="AZ7" s="45">
        <v>0</v>
      </c>
      <c r="BA7" s="45">
        <v>0</v>
      </c>
      <c r="BB7" s="45">
        <v>1</v>
      </c>
      <c r="BC7" s="45">
        <v>1</v>
      </c>
      <c r="BD7" s="54" t="s">
        <v>60</v>
      </c>
      <c r="BE7" s="44"/>
      <c r="BF7" s="53"/>
    </row>
    <row r="8" spans="1:58" x14ac:dyDescent="0.25">
      <c r="A8" s="48">
        <v>5</v>
      </c>
      <c r="B8" s="45" t="s">
        <v>227</v>
      </c>
      <c r="C8" s="55">
        <v>4.5999999999999996</v>
      </c>
      <c r="D8" s="45">
        <v>57</v>
      </c>
      <c r="E8" s="45">
        <v>203</v>
      </c>
      <c r="F8" s="45">
        <v>76</v>
      </c>
      <c r="G8" s="45">
        <v>152.0386</v>
      </c>
      <c r="H8" s="45">
        <v>120</v>
      </c>
      <c r="I8" s="45">
        <v>233</v>
      </c>
      <c r="J8" s="45">
        <v>240</v>
      </c>
      <c r="K8" s="45">
        <v>135.69390000000001</v>
      </c>
      <c r="L8" s="45">
        <v>6.2799999999999995E-2</v>
      </c>
      <c r="M8" s="45">
        <v>-11.1</v>
      </c>
      <c r="N8" s="45">
        <v>-11.79</v>
      </c>
      <c r="O8" s="45">
        <v>1</v>
      </c>
      <c r="P8" s="45">
        <v>4.9184999999999999</v>
      </c>
      <c r="Q8" s="45">
        <v>2.3915999999999999</v>
      </c>
      <c r="R8" s="45">
        <v>2.5499999999999998E-2</v>
      </c>
      <c r="S8" s="45">
        <v>2.1974</v>
      </c>
      <c r="T8" s="45">
        <v>2.1999999999999999E-2</v>
      </c>
      <c r="U8" s="45">
        <v>2.4316</v>
      </c>
      <c r="V8" s="45">
        <v>2.1999999999999999E-2</v>
      </c>
      <c r="W8" s="45">
        <v>1.7394000000000001</v>
      </c>
      <c r="X8" s="45">
        <v>2.5000000000000001E-2</v>
      </c>
      <c r="Y8" s="45">
        <v>18</v>
      </c>
      <c r="Z8" s="45">
        <v>16</v>
      </c>
      <c r="AA8" s="45">
        <v>8.0824999999999996</v>
      </c>
      <c r="AB8" s="45">
        <v>0.68540000000000001</v>
      </c>
      <c r="AC8" s="45">
        <v>7.4999999999999997E-2</v>
      </c>
      <c r="AD8" s="45">
        <v>0.12565000000000001</v>
      </c>
      <c r="AE8" s="45">
        <v>-0.3377</v>
      </c>
      <c r="AF8" s="45">
        <v>-112.9889</v>
      </c>
      <c r="AG8" s="45">
        <v>-180.13589999999999</v>
      </c>
      <c r="AH8" s="45" t="s">
        <v>60</v>
      </c>
      <c r="AI8" s="45" t="s">
        <v>60</v>
      </c>
      <c r="AJ8" s="45" t="s">
        <v>60</v>
      </c>
      <c r="AK8" s="45" t="s">
        <v>60</v>
      </c>
      <c r="AL8" s="45" t="s">
        <v>60</v>
      </c>
      <c r="AM8" s="45" t="s">
        <v>60</v>
      </c>
      <c r="AN8" s="45" t="s">
        <v>60</v>
      </c>
      <c r="AO8" s="45" t="s">
        <v>60</v>
      </c>
      <c r="AP8" s="45" t="s">
        <v>60</v>
      </c>
      <c r="AQ8" s="45" t="s">
        <v>60</v>
      </c>
      <c r="AR8" s="45" t="s">
        <v>60</v>
      </c>
      <c r="AS8" s="45">
        <v>2.1257576628435499</v>
      </c>
      <c r="AT8" s="45">
        <v>1.9723182267669901</v>
      </c>
      <c r="AU8" s="45">
        <v>2.4419670097378798</v>
      </c>
      <c r="AV8" s="45">
        <v>1.7684856928839601</v>
      </c>
      <c r="AW8" s="45">
        <v>0</v>
      </c>
      <c r="AX8" s="45">
        <v>0</v>
      </c>
      <c r="AY8" s="45">
        <v>169</v>
      </c>
      <c r="AZ8" s="45">
        <v>0</v>
      </c>
      <c r="BA8" s="45">
        <v>0</v>
      </c>
      <c r="BB8" s="45">
        <v>1</v>
      </c>
      <c r="BC8" s="45">
        <v>1</v>
      </c>
      <c r="BD8" s="54" t="s">
        <v>60</v>
      </c>
      <c r="BE8" s="44"/>
      <c r="BF8" s="53"/>
    </row>
    <row r="9" spans="1:58" x14ac:dyDescent="0.25">
      <c r="A9" s="48">
        <v>6</v>
      </c>
      <c r="B9" s="45" t="s">
        <v>228</v>
      </c>
      <c r="C9" s="106">
        <v>2.8056000000000001</v>
      </c>
      <c r="D9" s="55">
        <v>0</v>
      </c>
      <c r="E9" s="45">
        <v>57</v>
      </c>
      <c r="F9" s="45">
        <v>72</v>
      </c>
      <c r="G9" s="45">
        <v>211.60919999999999</v>
      </c>
      <c r="H9" s="45">
        <v>57</v>
      </c>
      <c r="I9" s="45">
        <v>189</v>
      </c>
      <c r="J9" s="45">
        <v>216</v>
      </c>
      <c r="K9" s="45">
        <v>70.984099999999998</v>
      </c>
      <c r="L9" s="45">
        <v>1</v>
      </c>
      <c r="M9" s="45">
        <v>-11.09</v>
      </c>
      <c r="N9" s="45">
        <v>-10.46</v>
      </c>
      <c r="O9" s="45">
        <v>1</v>
      </c>
      <c r="P9" s="45">
        <v>5.5842000000000001</v>
      </c>
      <c r="Q9" s="45">
        <v>2.0874000000000001</v>
      </c>
      <c r="R9" s="45">
        <v>3.7199999999999997E-2</v>
      </c>
      <c r="S9" s="45">
        <v>1.7961</v>
      </c>
      <c r="T9" s="45">
        <v>3.6000000000000004E-2</v>
      </c>
      <c r="U9" s="45">
        <v>2.1474000000000002</v>
      </c>
      <c r="V9" s="45">
        <v>3.4500000000000003E-2</v>
      </c>
      <c r="W9" s="45">
        <v>1.1091</v>
      </c>
      <c r="X9" s="45">
        <v>3.3000000000000002E-2</v>
      </c>
      <c r="Y9" s="45">
        <v>19</v>
      </c>
      <c r="Z9" s="45">
        <v>17</v>
      </c>
      <c r="AA9" s="45">
        <v>12.817299999999999</v>
      </c>
      <c r="AB9" s="45">
        <v>0.99998474121093806</v>
      </c>
      <c r="AC9" s="45">
        <v>7.4999999999999997E-2</v>
      </c>
      <c r="AD9" s="45">
        <v>0.12565000000000001</v>
      </c>
      <c r="AE9" s="45">
        <v>-1.3896999999999999</v>
      </c>
      <c r="AF9" s="45">
        <v>-150.72540000000001</v>
      </c>
      <c r="AG9" s="45">
        <v>113.56570000000001</v>
      </c>
      <c r="AH9" s="45" t="s">
        <v>60</v>
      </c>
      <c r="AI9" s="45" t="s">
        <v>60</v>
      </c>
      <c r="AJ9" s="45" t="s">
        <v>60</v>
      </c>
      <c r="AK9" s="45" t="s">
        <v>60</v>
      </c>
      <c r="AL9" s="45" t="s">
        <v>60</v>
      </c>
      <c r="AM9" s="45" t="s">
        <v>60</v>
      </c>
      <c r="AN9" s="45" t="s">
        <v>60</v>
      </c>
      <c r="AO9" s="45" t="s">
        <v>60</v>
      </c>
      <c r="AP9" s="45" t="s">
        <v>60</v>
      </c>
      <c r="AQ9" s="45" t="s">
        <v>60</v>
      </c>
      <c r="AR9" s="45" t="s">
        <v>60</v>
      </c>
      <c r="AS9" s="45">
        <v>2.23085015633621</v>
      </c>
      <c r="AT9" s="45">
        <v>1.94540953193827</v>
      </c>
      <c r="AU9" s="45">
        <v>2.5155115499999998</v>
      </c>
      <c r="AV9" s="45">
        <v>1.4954706</v>
      </c>
      <c r="AW9" s="45">
        <v>0</v>
      </c>
      <c r="AX9" s="45">
        <v>0</v>
      </c>
      <c r="AY9" s="45">
        <v>169</v>
      </c>
      <c r="AZ9" s="45">
        <v>0</v>
      </c>
      <c r="BA9" s="45">
        <v>0</v>
      </c>
      <c r="BB9" s="45">
        <v>1</v>
      </c>
      <c r="BC9" s="45">
        <v>1</v>
      </c>
      <c r="BD9" s="54" t="s">
        <v>60</v>
      </c>
      <c r="BE9" s="44"/>
      <c r="BF9" s="53"/>
    </row>
    <row r="10" spans="1:58" x14ac:dyDescent="0.25">
      <c r="A10" s="48">
        <v>7</v>
      </c>
      <c r="B10" s="45" t="s">
        <v>229</v>
      </c>
      <c r="C10" s="45">
        <v>4.2074999999999996</v>
      </c>
      <c r="D10" s="55">
        <v>255</v>
      </c>
      <c r="E10" s="45">
        <v>113</v>
      </c>
      <c r="F10" s="45">
        <v>189</v>
      </c>
      <c r="G10" s="45">
        <v>14.437099999999999</v>
      </c>
      <c r="H10" s="45">
        <v>176</v>
      </c>
      <c r="I10" s="45">
        <v>139</v>
      </c>
      <c r="J10" s="45">
        <v>211</v>
      </c>
      <c r="K10" s="45">
        <v>64.040800000000004</v>
      </c>
      <c r="L10" s="45">
        <v>0.66810000000000003</v>
      </c>
      <c r="M10" s="45">
        <v>-11.08</v>
      </c>
      <c r="N10" s="45">
        <v>-9.1300000000000008</v>
      </c>
      <c r="O10" s="45">
        <v>0.75570000000000004</v>
      </c>
      <c r="P10" s="45">
        <v>8.0273000000000003</v>
      </c>
      <c r="Q10" s="45">
        <v>2.7831999999999999</v>
      </c>
      <c r="R10" s="45">
        <v>4.9599999999999998E-2</v>
      </c>
      <c r="S10" s="45">
        <v>2.3948</v>
      </c>
      <c r="T10" s="45">
        <v>4.8000000000000001E-2</v>
      </c>
      <c r="U10" s="45">
        <v>2.8632</v>
      </c>
      <c r="V10" s="45">
        <v>4.5999999999999999E-2</v>
      </c>
      <c r="W10" s="45">
        <v>1.4787999999999999</v>
      </c>
      <c r="X10" s="45">
        <v>4.3999999999999997E-2</v>
      </c>
      <c r="Y10" s="45">
        <v>20</v>
      </c>
      <c r="Z10" s="45">
        <v>18</v>
      </c>
      <c r="AA10" s="45">
        <v>14.5207</v>
      </c>
      <c r="AB10" s="45">
        <v>0.74429999999999996</v>
      </c>
      <c r="AC10" s="45">
        <v>7.4999999999999997E-2</v>
      </c>
      <c r="AD10" s="45">
        <v>0.12565000000000001</v>
      </c>
      <c r="AE10" s="45">
        <v>2.0329999999999999</v>
      </c>
      <c r="AF10" s="45">
        <v>57.203400000000002</v>
      </c>
      <c r="AG10" s="45">
        <v>-69.782600000000002</v>
      </c>
      <c r="AH10" s="45" t="s">
        <v>60</v>
      </c>
      <c r="AI10" s="45" t="s">
        <v>60</v>
      </c>
      <c r="AJ10" s="45" t="s">
        <v>60</v>
      </c>
      <c r="AK10" s="45" t="s">
        <v>60</v>
      </c>
      <c r="AL10" s="45" t="s">
        <v>60</v>
      </c>
      <c r="AM10" s="45" t="s">
        <v>60</v>
      </c>
      <c r="AN10" s="45" t="s">
        <v>60</v>
      </c>
      <c r="AO10" s="45" t="s">
        <v>60</v>
      </c>
      <c r="AP10" s="45" t="s">
        <v>60</v>
      </c>
      <c r="AQ10" s="45" t="s">
        <v>60</v>
      </c>
      <c r="AR10" s="45" t="s">
        <v>60</v>
      </c>
      <c r="AS10" s="45">
        <v>2.8528020896370898</v>
      </c>
      <c r="AT10" s="45">
        <v>2.4808000609391199</v>
      </c>
      <c r="AU10" s="45">
        <v>3.3994450000000001</v>
      </c>
      <c r="AV10" s="45">
        <v>2.0526436000000001</v>
      </c>
      <c r="AW10" s="45">
        <v>0</v>
      </c>
      <c r="AX10" s="45">
        <v>0</v>
      </c>
      <c r="AY10" s="45">
        <v>169</v>
      </c>
      <c r="AZ10" s="45">
        <v>0</v>
      </c>
      <c r="BA10" s="45">
        <v>0</v>
      </c>
      <c r="BB10" s="45">
        <v>1</v>
      </c>
      <c r="BC10" s="45">
        <v>1</v>
      </c>
      <c r="BD10" s="54" t="s">
        <v>60</v>
      </c>
      <c r="BE10" s="44"/>
      <c r="BF10" s="53"/>
    </row>
    <row r="11" spans="1:58" x14ac:dyDescent="0.25">
      <c r="A11" s="48">
        <v>8</v>
      </c>
      <c r="B11" s="45" t="s">
        <v>230</v>
      </c>
      <c r="C11" s="45">
        <v>8.8000000000000007</v>
      </c>
      <c r="D11" s="55">
        <v>2</v>
      </c>
      <c r="E11" s="45">
        <v>113</v>
      </c>
      <c r="F11" s="45">
        <v>146</v>
      </c>
      <c r="G11" s="45">
        <v>80.897199999999998</v>
      </c>
      <c r="H11" s="45">
        <v>10</v>
      </c>
      <c r="I11" s="45">
        <v>114</v>
      </c>
      <c r="J11" s="45">
        <v>59</v>
      </c>
      <c r="K11" s="45">
        <v>107.6511</v>
      </c>
      <c r="L11" s="45">
        <v>1</v>
      </c>
      <c r="M11" s="45">
        <v>-11.07</v>
      </c>
      <c r="N11" s="45">
        <v>-7.8</v>
      </c>
      <c r="O11" s="45">
        <v>1</v>
      </c>
      <c r="P11" s="45">
        <v>6.3653000000000004</v>
      </c>
      <c r="Q11" s="45">
        <v>3.4790000000000001</v>
      </c>
      <c r="R11" s="45">
        <v>6.2E-2</v>
      </c>
      <c r="S11" s="45">
        <v>2.9935</v>
      </c>
      <c r="T11" s="45">
        <v>0.06</v>
      </c>
      <c r="U11" s="45">
        <v>3.5789999999999997</v>
      </c>
      <c r="V11" s="45">
        <v>5.7499999999999996E-2</v>
      </c>
      <c r="W11" s="45">
        <v>1.8484999999999998</v>
      </c>
      <c r="X11" s="45">
        <v>5.4999999999999993E-2</v>
      </c>
      <c r="Y11" s="45">
        <v>21</v>
      </c>
      <c r="Z11" s="45">
        <v>19</v>
      </c>
      <c r="AA11" s="45">
        <v>18.1251</v>
      </c>
      <c r="AB11" s="45">
        <v>0.99998474121093806</v>
      </c>
      <c r="AC11" s="45">
        <v>7.4999999999999997E-2</v>
      </c>
      <c r="AD11" s="45">
        <v>0.12565000000000001</v>
      </c>
      <c r="AE11" s="45">
        <v>3.7521</v>
      </c>
      <c r="AF11" s="45">
        <v>3.6968999999999999</v>
      </c>
      <c r="AG11" s="45">
        <v>-207.31979999999999</v>
      </c>
      <c r="AH11" s="45" t="s">
        <v>60</v>
      </c>
      <c r="AI11" s="45" t="s">
        <v>60</v>
      </c>
      <c r="AJ11" s="45" t="s">
        <v>60</v>
      </c>
      <c r="AK11" s="45" t="s">
        <v>60</v>
      </c>
      <c r="AL11" s="45" t="s">
        <v>60</v>
      </c>
      <c r="AM11" s="45" t="s">
        <v>60</v>
      </c>
      <c r="AN11" s="45" t="s">
        <v>60</v>
      </c>
      <c r="AO11" s="45" t="s">
        <v>60</v>
      </c>
      <c r="AP11" s="45" t="s">
        <v>60</v>
      </c>
      <c r="AQ11" s="45" t="s">
        <v>60</v>
      </c>
      <c r="AR11" s="45" t="s">
        <v>60</v>
      </c>
      <c r="AS11" s="45">
        <v>2.7546938810496</v>
      </c>
      <c r="AT11" s="45">
        <v>2.3216885945641299</v>
      </c>
      <c r="AU11" s="45">
        <v>2.7287741517250499</v>
      </c>
      <c r="AV11" s="45">
        <v>1.1304179929544</v>
      </c>
      <c r="AW11" s="45">
        <v>0</v>
      </c>
      <c r="AX11" s="45">
        <v>0</v>
      </c>
      <c r="AY11" s="45">
        <v>169</v>
      </c>
      <c r="AZ11" s="45">
        <v>0</v>
      </c>
      <c r="BA11" s="45">
        <v>0</v>
      </c>
      <c r="BB11" s="45">
        <v>1</v>
      </c>
      <c r="BC11" s="45">
        <v>1</v>
      </c>
      <c r="BD11" s="54" t="s">
        <v>60</v>
      </c>
      <c r="BE11" s="44"/>
      <c r="BF11" s="53"/>
    </row>
    <row r="12" spans="1:58" x14ac:dyDescent="0.25">
      <c r="A12" s="48">
        <v>9</v>
      </c>
      <c r="B12" s="45" t="s">
        <v>231</v>
      </c>
      <c r="C12" s="45">
        <v>8.3337000000000003</v>
      </c>
      <c r="D12" s="106">
        <v>59</v>
      </c>
      <c r="E12" s="55">
        <v>0</v>
      </c>
      <c r="F12" s="45">
        <v>42</v>
      </c>
      <c r="G12" s="45">
        <v>185.9984</v>
      </c>
      <c r="H12" s="45">
        <v>235</v>
      </c>
      <c r="I12" s="45">
        <v>60</v>
      </c>
      <c r="J12" s="45">
        <v>169</v>
      </c>
      <c r="K12" s="45">
        <v>143.79089999999999</v>
      </c>
      <c r="L12" s="45">
        <v>1</v>
      </c>
      <c r="M12" s="45">
        <v>-11.06</v>
      </c>
      <c r="N12" s="45">
        <v>-6.47</v>
      </c>
      <c r="O12" s="45">
        <v>1</v>
      </c>
      <c r="P12" s="45">
        <v>5.9865000000000004</v>
      </c>
      <c r="Q12" s="45">
        <v>4.4790000000000001</v>
      </c>
      <c r="R12" s="45">
        <v>6.3E-2</v>
      </c>
      <c r="S12" s="45">
        <v>3.9935</v>
      </c>
      <c r="T12" s="45">
        <v>0.05</v>
      </c>
      <c r="U12" s="45">
        <v>4.5789999999999997</v>
      </c>
      <c r="V12" s="45">
        <v>5.8799999999999998E-2</v>
      </c>
      <c r="W12" s="45">
        <v>2.8485</v>
      </c>
      <c r="X12" s="45">
        <v>5.6000000000000001E-2</v>
      </c>
      <c r="Y12" s="45">
        <v>22</v>
      </c>
      <c r="Z12" s="45">
        <v>20</v>
      </c>
      <c r="AA12" s="45">
        <v>0.85580000000000001</v>
      </c>
      <c r="AB12" s="45">
        <v>0.92169999999999996</v>
      </c>
      <c r="AC12" s="45">
        <v>7.4999999999999997E-2</v>
      </c>
      <c r="AD12" s="45">
        <v>0.12565000000000001</v>
      </c>
      <c r="AE12" s="45">
        <v>-1.3292999999999999</v>
      </c>
      <c r="AF12" s="45">
        <v>-140.93610000000001</v>
      </c>
      <c r="AG12" s="45">
        <v>-185.02449999999999</v>
      </c>
      <c r="AH12" s="45" t="s">
        <v>60</v>
      </c>
      <c r="AI12" s="45" t="s">
        <v>60</v>
      </c>
      <c r="AJ12" s="45" t="s">
        <v>60</v>
      </c>
      <c r="AK12" s="45" t="s">
        <v>60</v>
      </c>
      <c r="AL12" s="45" t="s">
        <v>60</v>
      </c>
      <c r="AM12" s="45" t="s">
        <v>60</v>
      </c>
      <c r="AN12" s="45" t="s">
        <v>60</v>
      </c>
      <c r="AO12" s="45" t="s">
        <v>60</v>
      </c>
      <c r="AP12" s="45" t="s">
        <v>60</v>
      </c>
      <c r="AQ12" s="45" t="s">
        <v>60</v>
      </c>
      <c r="AR12" s="45" t="s">
        <v>60</v>
      </c>
      <c r="AS12" s="45">
        <v>4.2507384000000004</v>
      </c>
      <c r="AT12" s="45">
        <v>3.8366150000000001</v>
      </c>
      <c r="AU12" s="45">
        <v>4.2594337600000003</v>
      </c>
      <c r="AV12" s="45">
        <v>2.6410591999999999</v>
      </c>
      <c r="AW12" s="45">
        <v>22</v>
      </c>
      <c r="AX12" s="45">
        <v>0</v>
      </c>
      <c r="AY12" s="45">
        <v>0</v>
      </c>
      <c r="AZ12" s="45">
        <v>0</v>
      </c>
      <c r="BA12" s="45">
        <v>0</v>
      </c>
      <c r="BB12" s="45">
        <v>1</v>
      </c>
      <c r="BC12" s="45">
        <v>0</v>
      </c>
      <c r="BD12" s="54" t="s">
        <v>60</v>
      </c>
      <c r="BE12" s="44"/>
      <c r="BF12" s="53"/>
    </row>
    <row r="13" spans="1:58" x14ac:dyDescent="0.25">
      <c r="A13" s="48">
        <v>10</v>
      </c>
      <c r="B13" s="45" t="s">
        <v>232</v>
      </c>
      <c r="C13" s="45">
        <v>4.4031000000000002</v>
      </c>
      <c r="D13" s="106">
        <v>66</v>
      </c>
      <c r="E13" s="55">
        <v>255</v>
      </c>
      <c r="F13" s="45">
        <v>13</v>
      </c>
      <c r="G13" s="45">
        <v>8.3125999999999998</v>
      </c>
      <c r="H13" s="45">
        <v>236</v>
      </c>
      <c r="I13" s="45">
        <v>17</v>
      </c>
      <c r="J13" s="45">
        <v>95</v>
      </c>
      <c r="K13" s="45">
        <v>83.521699999999996</v>
      </c>
      <c r="L13" s="45">
        <v>1</v>
      </c>
      <c r="M13" s="45">
        <v>-11.05</v>
      </c>
      <c r="N13" s="45">
        <v>-5.14</v>
      </c>
      <c r="O13" s="45">
        <v>0.24079999999999999</v>
      </c>
      <c r="P13" s="45">
        <v>7.9047000000000001</v>
      </c>
      <c r="Q13" s="45">
        <v>4.1748000000000003</v>
      </c>
      <c r="R13" s="45">
        <v>7.4399999999999994E-2</v>
      </c>
      <c r="S13" s="45">
        <v>3.5922000000000001</v>
      </c>
      <c r="T13" s="45">
        <v>7.2000000000000008E-2</v>
      </c>
      <c r="U13" s="45">
        <v>4.2948000000000004</v>
      </c>
      <c r="V13" s="45">
        <v>6.9000000000000006E-2</v>
      </c>
      <c r="W13" s="45">
        <v>2.2181999999999999</v>
      </c>
      <c r="X13" s="45">
        <v>6.6000000000000003E-2</v>
      </c>
      <c r="Y13" s="45">
        <v>23</v>
      </c>
      <c r="Z13" s="45">
        <v>21</v>
      </c>
      <c r="AA13" s="45">
        <v>12.9694</v>
      </c>
      <c r="AB13" s="45">
        <v>0.99998474121093806</v>
      </c>
      <c r="AC13" s="45">
        <v>7.4999999999999997E-2</v>
      </c>
      <c r="AD13" s="45">
        <v>0.12565000000000001</v>
      </c>
      <c r="AE13" s="45">
        <v>-1.4258</v>
      </c>
      <c r="AF13" s="45">
        <v>78.357699999999994</v>
      </c>
      <c r="AG13" s="45">
        <v>-100.7741</v>
      </c>
      <c r="AH13" s="45" t="s">
        <v>60</v>
      </c>
      <c r="AI13" s="45" t="s">
        <v>60</v>
      </c>
      <c r="AJ13" s="45" t="s">
        <v>60</v>
      </c>
      <c r="AK13" s="45" t="s">
        <v>60</v>
      </c>
      <c r="AL13" s="45" t="s">
        <v>60</v>
      </c>
      <c r="AM13" s="45" t="s">
        <v>60</v>
      </c>
      <c r="AN13" s="45" t="s">
        <v>60</v>
      </c>
      <c r="AO13" s="45" t="s">
        <v>60</v>
      </c>
      <c r="AP13" s="45" t="s">
        <v>60</v>
      </c>
      <c r="AQ13" s="45" t="s">
        <v>60</v>
      </c>
      <c r="AR13" s="45" t="s">
        <v>60</v>
      </c>
      <c r="AS13" s="45">
        <v>2.8992715200000001</v>
      </c>
      <c r="AT13" s="45">
        <v>2.3997647999999998</v>
      </c>
      <c r="AU13" s="45">
        <v>3.9969774756784902</v>
      </c>
      <c r="AV13" s="45">
        <v>2.0703818810837702</v>
      </c>
      <c r="AW13" s="45">
        <v>0</v>
      </c>
      <c r="AX13" s="45">
        <v>4</v>
      </c>
      <c r="AY13" s="45">
        <v>0</v>
      </c>
      <c r="AZ13" s="45">
        <v>0</v>
      </c>
      <c r="BA13" s="45">
        <v>0</v>
      </c>
      <c r="BB13" s="45">
        <v>1</v>
      </c>
      <c r="BC13" s="45">
        <v>0</v>
      </c>
      <c r="BD13" s="54" t="s">
        <v>60</v>
      </c>
      <c r="BE13" s="44"/>
      <c r="BF13" s="53"/>
    </row>
    <row r="14" spans="1:58" x14ac:dyDescent="0.25">
      <c r="A14" s="48">
        <v>11</v>
      </c>
      <c r="B14" s="45" t="s">
        <v>233</v>
      </c>
      <c r="C14" s="45">
        <v>7.5726000000000004</v>
      </c>
      <c r="D14" s="45">
        <v>159</v>
      </c>
      <c r="E14" s="55">
        <v>1</v>
      </c>
      <c r="F14" s="45">
        <v>144</v>
      </c>
      <c r="G14" s="45">
        <v>238.3287</v>
      </c>
      <c r="H14" s="45">
        <v>171</v>
      </c>
      <c r="I14" s="45">
        <v>233</v>
      </c>
      <c r="J14" s="45">
        <v>108</v>
      </c>
      <c r="K14" s="45">
        <v>229.69130000000001</v>
      </c>
      <c r="L14" s="45">
        <v>1</v>
      </c>
      <c r="M14" s="45">
        <v>-11.04</v>
      </c>
      <c r="N14" s="45">
        <v>-3.81</v>
      </c>
      <c r="O14" s="45">
        <v>1</v>
      </c>
      <c r="P14" s="45">
        <v>6.5422000000000002</v>
      </c>
      <c r="Q14" s="45">
        <v>4.8705999999999996</v>
      </c>
      <c r="R14" s="45">
        <v>8.6800000000000002E-2</v>
      </c>
      <c r="S14" s="45">
        <v>4.1909000000000001</v>
      </c>
      <c r="T14" s="45">
        <v>8.4000000000000005E-2</v>
      </c>
      <c r="U14" s="45">
        <v>5.0106000000000002</v>
      </c>
      <c r="V14" s="45">
        <v>8.0500000000000002E-2</v>
      </c>
      <c r="W14" s="45">
        <v>2.5878999999999999</v>
      </c>
      <c r="X14" s="45">
        <v>7.6999999999999999E-2</v>
      </c>
      <c r="Y14" s="45">
        <v>24</v>
      </c>
      <c r="Z14" s="45">
        <v>22</v>
      </c>
      <c r="AA14" s="45">
        <v>20</v>
      </c>
      <c r="AB14" s="45">
        <v>0.3412</v>
      </c>
      <c r="AC14" s="45">
        <v>7.4999999999999997E-2</v>
      </c>
      <c r="AD14" s="45">
        <v>0.12565000000000001</v>
      </c>
      <c r="AE14" s="45">
        <v>-2.7766999999999999</v>
      </c>
      <c r="AF14" s="45">
        <v>-73.520300000000006</v>
      </c>
      <c r="AG14" s="45">
        <v>47.503599999999999</v>
      </c>
      <c r="AH14" s="45" t="s">
        <v>60</v>
      </c>
      <c r="AI14" s="45" t="s">
        <v>60</v>
      </c>
      <c r="AJ14" s="45" t="s">
        <v>60</v>
      </c>
      <c r="AK14" s="45" t="s">
        <v>60</v>
      </c>
      <c r="AL14" s="45" t="s">
        <v>60</v>
      </c>
      <c r="AM14" s="45" t="s">
        <v>60</v>
      </c>
      <c r="AN14" s="45" t="s">
        <v>60</v>
      </c>
      <c r="AO14" s="45" t="s">
        <v>60</v>
      </c>
      <c r="AP14" s="45" t="s">
        <v>60</v>
      </c>
      <c r="AQ14" s="45" t="s">
        <v>60</v>
      </c>
      <c r="AR14" s="45" t="s">
        <v>60</v>
      </c>
      <c r="AS14" s="45">
        <v>3.0836128020237101</v>
      </c>
      <c r="AT14" s="45">
        <v>2.5186523503455298</v>
      </c>
      <c r="AU14" s="45">
        <v>4.1923123195289103</v>
      </c>
      <c r="AV14" s="45">
        <v>1.99173794476678</v>
      </c>
      <c r="AW14" s="45">
        <v>23</v>
      </c>
      <c r="AX14" s="45">
        <v>0</v>
      </c>
      <c r="AY14" s="45">
        <v>0</v>
      </c>
      <c r="AZ14" s="45">
        <v>0</v>
      </c>
      <c r="BA14" s="45">
        <v>0</v>
      </c>
      <c r="BB14" s="45">
        <v>1</v>
      </c>
      <c r="BC14" s="45">
        <v>0</v>
      </c>
      <c r="BD14" s="54" t="s">
        <v>60</v>
      </c>
      <c r="BE14" s="44"/>
      <c r="BF14" s="53"/>
    </row>
    <row r="15" spans="1:58" x14ac:dyDescent="0.25">
      <c r="A15" s="48">
        <v>12</v>
      </c>
      <c r="B15" s="45" t="s">
        <v>234</v>
      </c>
      <c r="C15" s="45">
        <v>3.5806</v>
      </c>
      <c r="D15" s="45">
        <v>33</v>
      </c>
      <c r="E15" s="106">
        <v>74</v>
      </c>
      <c r="F15" s="55">
        <v>0</v>
      </c>
      <c r="G15" s="45">
        <v>127.9671</v>
      </c>
      <c r="H15" s="45">
        <v>25</v>
      </c>
      <c r="I15" s="45">
        <v>140</v>
      </c>
      <c r="J15" s="45">
        <v>40</v>
      </c>
      <c r="K15" s="45">
        <v>67.659499999999994</v>
      </c>
      <c r="L15" s="45">
        <v>1</v>
      </c>
      <c r="M15" s="45">
        <v>-11.03</v>
      </c>
      <c r="N15" s="45">
        <v>-2.48</v>
      </c>
      <c r="O15" s="45">
        <v>0.4209</v>
      </c>
      <c r="P15" s="45">
        <v>6.6407999999999996</v>
      </c>
      <c r="Q15" s="45">
        <v>5.5663999999999998</v>
      </c>
      <c r="R15" s="45">
        <v>9.9199999999999997E-2</v>
      </c>
      <c r="S15" s="45">
        <v>4.7896000000000001</v>
      </c>
      <c r="T15" s="45">
        <v>9.6000000000000002E-2</v>
      </c>
      <c r="U15" s="45">
        <v>5.7263999999999999</v>
      </c>
      <c r="V15" s="45">
        <v>9.1999999999999998E-2</v>
      </c>
      <c r="W15" s="45">
        <v>2.9575999999999998</v>
      </c>
      <c r="X15" s="45">
        <v>8.7999999999999995E-2</v>
      </c>
      <c r="Y15" s="45">
        <v>25</v>
      </c>
      <c r="Z15" s="45">
        <v>23</v>
      </c>
      <c r="AA15" s="45">
        <v>4.7382999999999997</v>
      </c>
      <c r="AB15" s="45">
        <v>0.99998474121093806</v>
      </c>
      <c r="AC15" s="45">
        <v>7.4999999999999997E-2</v>
      </c>
      <c r="AD15" s="45">
        <v>0.12565000000000001</v>
      </c>
      <c r="AE15" s="45">
        <v>0.38479999999999998</v>
      </c>
      <c r="AF15" s="45">
        <v>159.5411</v>
      </c>
      <c r="AG15" s="45">
        <v>-194.72909999999999</v>
      </c>
      <c r="AH15" s="45" t="s">
        <v>60</v>
      </c>
      <c r="AI15" s="45" t="s">
        <v>60</v>
      </c>
      <c r="AJ15" s="45" t="s">
        <v>60</v>
      </c>
      <c r="AK15" s="45" t="s">
        <v>60</v>
      </c>
      <c r="AL15" s="45" t="s">
        <v>60</v>
      </c>
      <c r="AM15" s="45" t="s">
        <v>60</v>
      </c>
      <c r="AN15" s="45" t="s">
        <v>60</v>
      </c>
      <c r="AO15" s="45" t="s">
        <v>60</v>
      </c>
      <c r="AP15" s="45" t="s">
        <v>60</v>
      </c>
      <c r="AQ15" s="45" t="s">
        <v>60</v>
      </c>
      <c r="AR15" s="45" t="s">
        <v>60</v>
      </c>
      <c r="AS15" s="45">
        <v>4.5441737599999996</v>
      </c>
      <c r="AT15" s="45">
        <v>3.8749216</v>
      </c>
      <c r="AU15" s="45">
        <v>4.7636475999999996</v>
      </c>
      <c r="AV15" s="45">
        <v>2.2803608</v>
      </c>
      <c r="AW15" s="45">
        <v>0</v>
      </c>
      <c r="AX15" s="45">
        <v>0</v>
      </c>
      <c r="AY15" s="45">
        <v>169</v>
      </c>
      <c r="AZ15" s="45">
        <v>0</v>
      </c>
      <c r="BA15" s="45">
        <v>0</v>
      </c>
      <c r="BB15" s="45">
        <v>1</v>
      </c>
      <c r="BC15" s="45">
        <v>1</v>
      </c>
      <c r="BD15" s="54" t="s">
        <v>60</v>
      </c>
      <c r="BE15" s="44"/>
      <c r="BF15" s="53"/>
    </row>
    <row r="16" spans="1:58" x14ac:dyDescent="0.25">
      <c r="A16" s="48">
        <v>13</v>
      </c>
      <c r="B16" s="45" t="s">
        <v>235</v>
      </c>
      <c r="C16" s="45">
        <v>7.2565999999999997</v>
      </c>
      <c r="D16" s="45">
        <v>0</v>
      </c>
      <c r="E16" s="106">
        <v>164</v>
      </c>
      <c r="F16" s="55">
        <v>255</v>
      </c>
      <c r="G16" s="45">
        <v>210.3039</v>
      </c>
      <c r="H16" s="45">
        <v>251</v>
      </c>
      <c r="I16" s="45">
        <v>141</v>
      </c>
      <c r="J16" s="45">
        <v>253</v>
      </c>
      <c r="K16" s="45">
        <v>210.63669999999999</v>
      </c>
      <c r="L16" s="45">
        <v>1</v>
      </c>
      <c r="M16" s="45">
        <v>-11.02</v>
      </c>
      <c r="N16" s="45">
        <v>-1.1499999999999999</v>
      </c>
      <c r="O16" s="45">
        <v>0.22689999999999999</v>
      </c>
      <c r="P16" s="45">
        <v>0.5494</v>
      </c>
      <c r="Q16" s="45">
        <v>6.5663999999999998</v>
      </c>
      <c r="R16" s="45">
        <v>9.9900000000000003E-2</v>
      </c>
      <c r="S16" s="45">
        <v>5.7896000000000001</v>
      </c>
      <c r="T16" s="45">
        <v>9.8000000000000004E-2</v>
      </c>
      <c r="U16" s="45">
        <v>6.7263999999999999</v>
      </c>
      <c r="V16" s="45">
        <v>6.6000000000000003E-2</v>
      </c>
      <c r="W16" s="45">
        <v>3.9575999999999998</v>
      </c>
      <c r="X16" s="45">
        <v>5.7000000000000002E-2</v>
      </c>
      <c r="Y16" s="45">
        <v>26</v>
      </c>
      <c r="Z16" s="45">
        <v>24</v>
      </c>
      <c r="AA16" s="45">
        <v>8.0241000000000007</v>
      </c>
      <c r="AB16" s="45">
        <v>0.52080000000000004</v>
      </c>
      <c r="AC16" s="45">
        <v>7.4999999999999997E-2</v>
      </c>
      <c r="AD16" s="45">
        <v>0.12565000000000001</v>
      </c>
      <c r="AE16" s="45">
        <v>-7.5885999999999996</v>
      </c>
      <c r="AF16" s="45">
        <v>210.76220000000001</v>
      </c>
      <c r="AG16" s="45">
        <v>117.1049</v>
      </c>
      <c r="AH16" s="45" t="s">
        <v>60</v>
      </c>
      <c r="AI16" s="45" t="s">
        <v>60</v>
      </c>
      <c r="AJ16" s="45" t="s">
        <v>60</v>
      </c>
      <c r="AK16" s="45" t="s">
        <v>60</v>
      </c>
      <c r="AL16" s="45" t="s">
        <v>60</v>
      </c>
      <c r="AM16" s="45" t="s">
        <v>60</v>
      </c>
      <c r="AN16" s="45" t="s">
        <v>60</v>
      </c>
      <c r="AO16" s="45" t="s">
        <v>60</v>
      </c>
      <c r="AP16" s="45" t="s">
        <v>60</v>
      </c>
      <c r="AQ16" s="45" t="s">
        <v>60</v>
      </c>
      <c r="AR16" s="45" t="s">
        <v>60</v>
      </c>
      <c r="AS16" s="45">
        <v>6.7120242299999999</v>
      </c>
      <c r="AT16" s="45">
        <v>6.0085810000000004</v>
      </c>
      <c r="AU16" s="45">
        <v>5.7528670000000002</v>
      </c>
      <c r="AV16" s="45">
        <v>3.2746431</v>
      </c>
      <c r="AW16" s="45">
        <v>0</v>
      </c>
      <c r="AX16" s="45">
        <v>0</v>
      </c>
      <c r="AY16" s="45">
        <v>169</v>
      </c>
      <c r="AZ16" s="45">
        <v>0</v>
      </c>
      <c r="BA16" s="45">
        <v>0</v>
      </c>
      <c r="BB16" s="45">
        <v>1</v>
      </c>
      <c r="BC16" s="45">
        <v>1</v>
      </c>
      <c r="BD16" s="54" t="s">
        <v>60</v>
      </c>
      <c r="BE16" s="44"/>
      <c r="BF16" s="53"/>
    </row>
    <row r="17" spans="1:58" x14ac:dyDescent="0.25">
      <c r="A17" s="48">
        <v>14</v>
      </c>
      <c r="B17" s="45" t="s">
        <v>236</v>
      </c>
      <c r="C17" s="45">
        <v>5.1786000000000003</v>
      </c>
      <c r="D17" s="45">
        <v>159</v>
      </c>
      <c r="E17" s="106">
        <v>2</v>
      </c>
      <c r="F17" s="55">
        <v>200</v>
      </c>
      <c r="G17" s="45">
        <v>3.6000999999999999</v>
      </c>
      <c r="H17" s="45">
        <v>67</v>
      </c>
      <c r="I17" s="45">
        <v>127</v>
      </c>
      <c r="J17" s="45">
        <v>85</v>
      </c>
      <c r="K17" s="45">
        <v>105.122</v>
      </c>
      <c r="L17" s="45">
        <v>1</v>
      </c>
      <c r="M17" s="45">
        <v>-11.01</v>
      </c>
      <c r="N17" s="45">
        <v>0.18000000000000099</v>
      </c>
      <c r="O17" s="45">
        <v>1</v>
      </c>
      <c r="P17" s="45">
        <v>1.2976000000000001</v>
      </c>
      <c r="Q17" s="45">
        <v>6.2622</v>
      </c>
      <c r="R17" s="45">
        <v>0.11159999999999999</v>
      </c>
      <c r="S17" s="45">
        <v>5.3883000000000001</v>
      </c>
      <c r="T17" s="45">
        <v>0.108</v>
      </c>
      <c r="U17" s="45">
        <v>6.4421999999999997</v>
      </c>
      <c r="V17" s="45">
        <v>0.10349999999999999</v>
      </c>
      <c r="W17" s="45">
        <v>3.3272999999999997</v>
      </c>
      <c r="X17" s="45">
        <v>9.8999999999999991E-2</v>
      </c>
      <c r="Y17" s="45">
        <v>27</v>
      </c>
      <c r="Z17" s="45">
        <v>25</v>
      </c>
      <c r="AA17" s="45">
        <v>11.6905</v>
      </c>
      <c r="AB17" s="45">
        <v>0.25700000000000001</v>
      </c>
      <c r="AC17" s="45">
        <v>7.4999999999999997E-2</v>
      </c>
      <c r="AD17" s="45">
        <v>0.12565000000000001</v>
      </c>
      <c r="AE17" s="45">
        <v>-3.3140000000000001</v>
      </c>
      <c r="AF17" s="45">
        <v>203.82060000000001</v>
      </c>
      <c r="AG17" s="45">
        <v>-152.6173</v>
      </c>
      <c r="AH17" s="45" t="s">
        <v>60</v>
      </c>
      <c r="AI17" s="45" t="s">
        <v>60</v>
      </c>
      <c r="AJ17" s="45" t="s">
        <v>60</v>
      </c>
      <c r="AK17" s="45" t="s">
        <v>60</v>
      </c>
      <c r="AL17" s="45" t="s">
        <v>60</v>
      </c>
      <c r="AM17" s="45" t="s">
        <v>60</v>
      </c>
      <c r="AN17" s="45" t="s">
        <v>60</v>
      </c>
      <c r="AO17" s="45" t="s">
        <v>60</v>
      </c>
      <c r="AP17" s="45" t="s">
        <v>60</v>
      </c>
      <c r="AQ17" s="45" t="s">
        <v>60</v>
      </c>
      <c r="AR17" s="45" t="s">
        <v>60</v>
      </c>
      <c r="AS17" s="45">
        <v>6.32304073125432</v>
      </c>
      <c r="AT17" s="45">
        <v>5.5415593270203098</v>
      </c>
      <c r="AU17" s="45">
        <v>4.5654655499999999</v>
      </c>
      <c r="AV17" s="45">
        <v>1.8405377999999999</v>
      </c>
      <c r="AW17" s="45">
        <v>186</v>
      </c>
      <c r="AX17" s="45">
        <v>0</v>
      </c>
      <c r="AY17" s="45">
        <v>0</v>
      </c>
      <c r="AZ17" s="45">
        <v>0</v>
      </c>
      <c r="BA17" s="45">
        <v>0</v>
      </c>
      <c r="BB17" s="45">
        <v>1</v>
      </c>
      <c r="BC17" s="45">
        <v>0</v>
      </c>
      <c r="BD17" s="54" t="s">
        <v>60</v>
      </c>
      <c r="BE17" s="44"/>
      <c r="BF17" s="53"/>
    </row>
    <row r="18" spans="1:58" x14ac:dyDescent="0.25">
      <c r="A18" s="48">
        <v>15</v>
      </c>
      <c r="B18" s="45" t="s">
        <v>237</v>
      </c>
      <c r="C18" s="45">
        <v>6.0130999999999997</v>
      </c>
      <c r="D18" s="45">
        <v>187</v>
      </c>
      <c r="E18" s="45">
        <v>152</v>
      </c>
      <c r="F18" s="106">
        <v>235</v>
      </c>
      <c r="G18" s="55">
        <v>0</v>
      </c>
      <c r="H18" s="45">
        <v>80</v>
      </c>
      <c r="I18" s="45">
        <v>185</v>
      </c>
      <c r="J18" s="45">
        <v>246</v>
      </c>
      <c r="K18" s="45">
        <v>63.228000000000002</v>
      </c>
      <c r="L18" s="45">
        <v>1</v>
      </c>
      <c r="M18" s="45">
        <v>-21.22</v>
      </c>
      <c r="N18" s="45">
        <v>1.51</v>
      </c>
      <c r="O18" s="45">
        <v>0.42980000000000002</v>
      </c>
      <c r="P18" s="45">
        <v>8.8000000000000007</v>
      </c>
      <c r="Q18" s="45">
        <v>6.9580000000000002</v>
      </c>
      <c r="R18" s="45">
        <v>0.124</v>
      </c>
      <c r="S18" s="45">
        <v>5.9870000000000001</v>
      </c>
      <c r="T18" s="45">
        <v>0.12</v>
      </c>
      <c r="U18" s="45">
        <v>7.1579999999999995</v>
      </c>
      <c r="V18" s="45">
        <v>0.11499999999999999</v>
      </c>
      <c r="W18" s="45">
        <v>3.6969999999999996</v>
      </c>
      <c r="X18" s="45">
        <v>0.10999999999999999</v>
      </c>
      <c r="Y18" s="45">
        <v>28</v>
      </c>
      <c r="Z18" s="45">
        <v>26</v>
      </c>
      <c r="AA18" s="45">
        <v>11.3079</v>
      </c>
      <c r="AB18" s="45">
        <v>0.99998474121093806</v>
      </c>
      <c r="AC18" s="45">
        <v>7.4999999999999997E-2</v>
      </c>
      <c r="AD18" s="45">
        <v>5.0999999999999997E-2</v>
      </c>
      <c r="AE18" s="45">
        <v>-4.8635999999999999</v>
      </c>
      <c r="AF18" s="45">
        <v>87.667199999999994</v>
      </c>
      <c r="AG18" s="45">
        <v>-45.3523</v>
      </c>
      <c r="AH18" s="45" t="s">
        <v>60</v>
      </c>
      <c r="AI18" s="45" t="s">
        <v>60</v>
      </c>
      <c r="AJ18" s="45" t="s">
        <v>60</v>
      </c>
      <c r="AK18" s="45" t="s">
        <v>60</v>
      </c>
      <c r="AL18" s="45" t="s">
        <v>60</v>
      </c>
      <c r="AM18" s="45" t="s">
        <v>60</v>
      </c>
      <c r="AN18" s="45" t="s">
        <v>60</v>
      </c>
      <c r="AO18" s="45" t="s">
        <v>60</v>
      </c>
      <c r="AP18" s="45" t="s">
        <v>60</v>
      </c>
      <c r="AQ18" s="45" t="s">
        <v>60</v>
      </c>
      <c r="AR18" s="45" t="s">
        <v>60</v>
      </c>
      <c r="AS18" s="45">
        <v>5.8025412533337297</v>
      </c>
      <c r="AT18" s="45">
        <v>4.9853341161294198</v>
      </c>
      <c r="AU18" s="45">
        <v>7.6352384999999998</v>
      </c>
      <c r="AV18" s="45">
        <v>4.5341990000000001</v>
      </c>
      <c r="AW18" s="45">
        <v>215</v>
      </c>
      <c r="AX18" s="45">
        <v>0</v>
      </c>
      <c r="AY18" s="45">
        <v>0</v>
      </c>
      <c r="AZ18" s="45">
        <v>0</v>
      </c>
      <c r="BA18" s="45">
        <v>0</v>
      </c>
      <c r="BB18" s="45">
        <v>1</v>
      </c>
      <c r="BC18" s="45">
        <v>0</v>
      </c>
      <c r="BD18" s="54" t="s">
        <v>60</v>
      </c>
      <c r="BE18" s="44"/>
      <c r="BF18" s="53"/>
    </row>
    <row r="19" spans="1:58" x14ac:dyDescent="0.25">
      <c r="A19" s="48">
        <v>16</v>
      </c>
      <c r="B19" s="45" t="s">
        <v>238</v>
      </c>
      <c r="C19" s="45">
        <v>8.1580999999999992</v>
      </c>
      <c r="D19" s="45">
        <v>109</v>
      </c>
      <c r="E19" s="45">
        <v>251</v>
      </c>
      <c r="F19" s="106">
        <v>61</v>
      </c>
      <c r="G19" s="55">
        <v>250</v>
      </c>
      <c r="H19" s="45">
        <v>108</v>
      </c>
      <c r="I19" s="45">
        <v>15</v>
      </c>
      <c r="J19" s="45">
        <v>137</v>
      </c>
      <c r="K19" s="45">
        <v>181.78630000000001</v>
      </c>
      <c r="L19" s="45">
        <v>0.18459999999999999</v>
      </c>
      <c r="M19" s="45">
        <v>-21.99</v>
      </c>
      <c r="N19" s="45">
        <v>2.84</v>
      </c>
      <c r="O19" s="45">
        <v>1</v>
      </c>
      <c r="P19" s="45">
        <v>2.5935000000000001</v>
      </c>
      <c r="Q19" s="45">
        <v>7.6538000000000004</v>
      </c>
      <c r="R19" s="45">
        <v>0.13639999999999999</v>
      </c>
      <c r="S19" s="45">
        <v>6.5857000000000001</v>
      </c>
      <c r="T19" s="45">
        <v>0.13200000000000001</v>
      </c>
      <c r="U19" s="45">
        <v>7.8738000000000001</v>
      </c>
      <c r="V19" s="45">
        <v>0.1265</v>
      </c>
      <c r="W19" s="45">
        <v>4.0667</v>
      </c>
      <c r="X19" s="45">
        <v>0.121</v>
      </c>
      <c r="Y19" s="45">
        <v>29</v>
      </c>
      <c r="Z19" s="45">
        <v>27</v>
      </c>
      <c r="AA19" s="45">
        <v>16.043099999999999</v>
      </c>
      <c r="AB19" s="45">
        <v>0.88749999999999996</v>
      </c>
      <c r="AC19" s="45">
        <v>7.4999999999999997E-2</v>
      </c>
      <c r="AD19" s="45">
        <v>0.12565000000000001</v>
      </c>
      <c r="AE19" s="45">
        <v>-2.6497999999999999</v>
      </c>
      <c r="AF19" s="45">
        <v>-62.500700000000002</v>
      </c>
      <c r="AG19" s="45">
        <v>57.2453</v>
      </c>
      <c r="AH19" s="45" t="s">
        <v>60</v>
      </c>
      <c r="AI19" s="45" t="s">
        <v>60</v>
      </c>
      <c r="AJ19" s="45" t="s">
        <v>60</v>
      </c>
      <c r="AK19" s="45" t="s">
        <v>60</v>
      </c>
      <c r="AL19" s="45" t="s">
        <v>60</v>
      </c>
      <c r="AM19" s="45" t="s">
        <v>60</v>
      </c>
      <c r="AN19" s="45" t="s">
        <v>60</v>
      </c>
      <c r="AO19" s="45" t="s">
        <v>60</v>
      </c>
      <c r="AP19" s="45" t="s">
        <v>60</v>
      </c>
      <c r="AQ19" s="45" t="s">
        <v>60</v>
      </c>
      <c r="AR19" s="45" t="s">
        <v>60</v>
      </c>
      <c r="AS19" s="45">
        <v>8.7981005200000002</v>
      </c>
      <c r="AT19" s="45">
        <v>7.8340768000000001</v>
      </c>
      <c r="AU19" s="45">
        <v>8.7810269294644794</v>
      </c>
      <c r="AV19" s="45">
        <v>5.3951413803573303</v>
      </c>
      <c r="AW19" s="45">
        <v>0</v>
      </c>
      <c r="AX19" s="45">
        <v>12</v>
      </c>
      <c r="AY19" s="45">
        <v>0</v>
      </c>
      <c r="AZ19" s="45">
        <v>0</v>
      </c>
      <c r="BA19" s="45">
        <v>0</v>
      </c>
      <c r="BB19" s="45">
        <v>1</v>
      </c>
      <c r="BC19" s="45">
        <v>0</v>
      </c>
      <c r="BD19" s="54" t="s">
        <v>60</v>
      </c>
      <c r="BE19" s="44"/>
      <c r="BF19" s="53"/>
    </row>
    <row r="20" spans="1:58" x14ac:dyDescent="0.25">
      <c r="A20" s="48">
        <v>17</v>
      </c>
      <c r="B20" s="45" t="s">
        <v>239</v>
      </c>
      <c r="C20" s="45">
        <v>4.827</v>
      </c>
      <c r="D20" s="45">
        <v>123</v>
      </c>
      <c r="E20" s="45">
        <v>210</v>
      </c>
      <c r="F20" s="106">
        <v>61</v>
      </c>
      <c r="G20" s="55">
        <v>20</v>
      </c>
      <c r="H20" s="45">
        <v>125</v>
      </c>
      <c r="I20" s="45">
        <v>107</v>
      </c>
      <c r="J20" s="45">
        <v>24</v>
      </c>
      <c r="K20" s="45">
        <v>82.795199999999994</v>
      </c>
      <c r="L20" s="45">
        <v>1</v>
      </c>
      <c r="M20" s="45">
        <v>-22.76</v>
      </c>
      <c r="N20" s="45">
        <v>4.17</v>
      </c>
      <c r="O20" s="45">
        <v>0.89710000000000001</v>
      </c>
      <c r="P20" s="45">
        <v>1.8411</v>
      </c>
      <c r="Q20" s="45">
        <v>8.6538000000000004</v>
      </c>
      <c r="R20" s="45">
        <v>0.1234</v>
      </c>
      <c r="S20" s="45">
        <v>7.5857000000000001</v>
      </c>
      <c r="T20" s="45">
        <v>0.123</v>
      </c>
      <c r="U20" s="45">
        <v>8.8737999999999992</v>
      </c>
      <c r="V20" s="45">
        <v>5.5800000000000002E-2</v>
      </c>
      <c r="W20" s="45">
        <v>5.0667</v>
      </c>
      <c r="X20" s="45">
        <v>5.8000000000000003E-2</v>
      </c>
      <c r="Y20" s="45">
        <v>30</v>
      </c>
      <c r="Z20" s="45">
        <v>28</v>
      </c>
      <c r="AA20" s="45">
        <v>10.7624</v>
      </c>
      <c r="AB20" s="45">
        <v>0.90800000000000003</v>
      </c>
      <c r="AC20" s="45">
        <v>2.5999999999999999E-2</v>
      </c>
      <c r="AD20" s="45">
        <v>0.12565000000000001</v>
      </c>
      <c r="AE20" s="45">
        <v>-3.1484000000000001</v>
      </c>
      <c r="AF20" s="45">
        <v>202.57499999999999</v>
      </c>
      <c r="AG20" s="45">
        <v>-7.7874999999999996</v>
      </c>
      <c r="AH20" s="45" t="s">
        <v>60</v>
      </c>
      <c r="AI20" s="45" t="s">
        <v>60</v>
      </c>
      <c r="AJ20" s="45" t="s">
        <v>60</v>
      </c>
      <c r="AK20" s="45" t="s">
        <v>60</v>
      </c>
      <c r="AL20" s="45" t="s">
        <v>60</v>
      </c>
      <c r="AM20" s="45" t="s">
        <v>60</v>
      </c>
      <c r="AN20" s="45" t="s">
        <v>60</v>
      </c>
      <c r="AO20" s="45" t="s">
        <v>60</v>
      </c>
      <c r="AP20" s="45" t="s">
        <v>60</v>
      </c>
      <c r="AQ20" s="45" t="s">
        <v>60</v>
      </c>
      <c r="AR20" s="45" t="s">
        <v>60</v>
      </c>
      <c r="AS20" s="45">
        <v>7.2106247350343198</v>
      </c>
      <c r="AT20" s="45">
        <v>6.2785790747911001</v>
      </c>
      <c r="AU20" s="45">
        <v>8.9791838800000008</v>
      </c>
      <c r="AV20" s="45">
        <v>5.3970506</v>
      </c>
      <c r="AW20" s="45">
        <v>0</v>
      </c>
      <c r="AX20" s="45">
        <v>0</v>
      </c>
      <c r="AY20" s="45">
        <v>169</v>
      </c>
      <c r="AZ20" s="45">
        <v>0</v>
      </c>
      <c r="BA20" s="45">
        <v>0</v>
      </c>
      <c r="BB20" s="45">
        <v>1</v>
      </c>
      <c r="BC20" s="45">
        <v>1</v>
      </c>
      <c r="BD20" s="54" t="s">
        <v>60</v>
      </c>
      <c r="BE20" s="44"/>
      <c r="BF20" s="53"/>
    </row>
    <row r="21" spans="1:58" x14ac:dyDescent="0.25">
      <c r="A21" s="48">
        <v>18</v>
      </c>
      <c r="B21" s="45" t="s">
        <v>240</v>
      </c>
      <c r="C21" s="45">
        <v>7.1585999999999999</v>
      </c>
      <c r="D21" s="45">
        <v>87</v>
      </c>
      <c r="E21" s="45">
        <v>249</v>
      </c>
      <c r="F21" s="106">
        <v>93</v>
      </c>
      <c r="G21" s="45">
        <v>8.4405000000000001</v>
      </c>
      <c r="H21" s="55">
        <v>0</v>
      </c>
      <c r="I21" s="45">
        <v>236</v>
      </c>
      <c r="J21" s="45">
        <v>136</v>
      </c>
      <c r="K21" s="45">
        <v>158.78</v>
      </c>
      <c r="L21" s="45">
        <v>1</v>
      </c>
      <c r="M21" s="45">
        <v>-23.53</v>
      </c>
      <c r="N21" s="45">
        <v>5.5</v>
      </c>
      <c r="O21" s="45">
        <v>1</v>
      </c>
      <c r="P21" s="45">
        <v>3.0234000000000001</v>
      </c>
      <c r="Q21" s="45">
        <v>8.3496000000000006</v>
      </c>
      <c r="R21" s="45">
        <v>0.14879999999999999</v>
      </c>
      <c r="S21" s="45">
        <v>7.1844000000000001</v>
      </c>
      <c r="T21" s="45">
        <v>0.14400000000000002</v>
      </c>
      <c r="U21" s="45">
        <v>8.5896000000000008</v>
      </c>
      <c r="V21" s="45">
        <v>0.13800000000000001</v>
      </c>
      <c r="W21" s="45">
        <v>4.4363999999999999</v>
      </c>
      <c r="X21" s="45">
        <v>0.13200000000000001</v>
      </c>
      <c r="Y21" s="45">
        <v>31</v>
      </c>
      <c r="Z21" s="45">
        <v>29</v>
      </c>
      <c r="AA21" s="45">
        <v>3.7677</v>
      </c>
      <c r="AB21" s="45">
        <v>0.99998474121093806</v>
      </c>
      <c r="AC21" s="45">
        <v>2.7E-2</v>
      </c>
      <c r="AD21" s="45">
        <v>0.12565000000000001</v>
      </c>
      <c r="AE21" s="45">
        <v>2.0062000000000002</v>
      </c>
      <c r="AF21" s="45">
        <v>156.56880000000001</v>
      </c>
      <c r="AG21" s="45">
        <v>203.21860000000001</v>
      </c>
      <c r="AH21" s="45" t="s">
        <v>60</v>
      </c>
      <c r="AI21" s="45" t="s">
        <v>60</v>
      </c>
      <c r="AJ21" s="45" t="s">
        <v>60</v>
      </c>
      <c r="AK21" s="45" t="s">
        <v>60</v>
      </c>
      <c r="AL21" s="45" t="s">
        <v>60</v>
      </c>
      <c r="AM21" s="45" t="s">
        <v>60</v>
      </c>
      <c r="AN21" s="45" t="s">
        <v>60</v>
      </c>
      <c r="AO21" s="45" t="s">
        <v>60</v>
      </c>
      <c r="AP21" s="45" t="s">
        <v>60</v>
      </c>
      <c r="AQ21" s="45" t="s">
        <v>60</v>
      </c>
      <c r="AR21" s="45" t="s">
        <v>60</v>
      </c>
      <c r="AS21" s="45">
        <v>6.5465457599999999</v>
      </c>
      <c r="AT21" s="45">
        <v>5.6072975999999999</v>
      </c>
      <c r="AU21" s="45">
        <v>7.9241777999999998</v>
      </c>
      <c r="AV21" s="45">
        <v>4.3481316000000003</v>
      </c>
      <c r="AW21" s="45">
        <v>0</v>
      </c>
      <c r="AX21" s="45">
        <v>0</v>
      </c>
      <c r="AY21" s="45">
        <v>169</v>
      </c>
      <c r="AZ21" s="45">
        <v>0</v>
      </c>
      <c r="BA21" s="45">
        <v>0</v>
      </c>
      <c r="BB21" s="45">
        <v>1</v>
      </c>
      <c r="BC21" s="45">
        <v>1</v>
      </c>
      <c r="BD21" s="54" t="s">
        <v>60</v>
      </c>
      <c r="BE21" s="44"/>
      <c r="BF21" s="53"/>
    </row>
    <row r="22" spans="1:58" x14ac:dyDescent="0.25">
      <c r="A22" s="48">
        <v>19</v>
      </c>
      <c r="B22" s="45" t="s">
        <v>241</v>
      </c>
      <c r="C22" s="45">
        <v>8.8000000000000007</v>
      </c>
      <c r="D22" s="45">
        <v>94</v>
      </c>
      <c r="E22" s="45">
        <v>107</v>
      </c>
      <c r="F22" s="45">
        <v>120</v>
      </c>
      <c r="G22" s="73">
        <v>151.29599999999999</v>
      </c>
      <c r="H22" s="55">
        <v>255</v>
      </c>
      <c r="I22" s="45">
        <v>156</v>
      </c>
      <c r="J22" s="45">
        <v>20</v>
      </c>
      <c r="K22" s="45">
        <v>201.60339999999999</v>
      </c>
      <c r="L22" s="45">
        <v>0.75529999999999997</v>
      </c>
      <c r="M22" s="45">
        <v>-24.3</v>
      </c>
      <c r="N22" s="45">
        <v>6.83</v>
      </c>
      <c r="O22" s="45">
        <v>1</v>
      </c>
      <c r="P22" s="45">
        <v>8.8000000000000007</v>
      </c>
      <c r="Q22" s="45">
        <v>9.0454000000000008</v>
      </c>
      <c r="R22" s="45">
        <v>0.16119999999999998</v>
      </c>
      <c r="S22" s="45">
        <v>7.7831000000000001</v>
      </c>
      <c r="T22" s="45">
        <v>0.156</v>
      </c>
      <c r="U22" s="45">
        <v>9.3054000000000006</v>
      </c>
      <c r="V22" s="45">
        <v>0.14949999999999999</v>
      </c>
      <c r="W22" s="45">
        <v>4.8060999999999998</v>
      </c>
      <c r="X22" s="45">
        <v>0.14299999999999999</v>
      </c>
      <c r="Y22" s="45">
        <v>32</v>
      </c>
      <c r="Z22" s="45">
        <v>30</v>
      </c>
      <c r="AA22" s="45">
        <v>18.449400000000001</v>
      </c>
      <c r="AB22" s="45">
        <v>0.1419</v>
      </c>
      <c r="AC22" s="45">
        <v>2.8000000000000001E-2</v>
      </c>
      <c r="AD22" s="45">
        <v>0.12565000000000001</v>
      </c>
      <c r="AE22" s="45">
        <v>2.3033000000000001</v>
      </c>
      <c r="AF22" s="45">
        <v>114.1123</v>
      </c>
      <c r="AG22" s="45">
        <v>-64.085300000000004</v>
      </c>
      <c r="AH22" s="45" t="s">
        <v>60</v>
      </c>
      <c r="AI22" s="45" t="s">
        <v>60</v>
      </c>
      <c r="AJ22" s="45" t="s">
        <v>60</v>
      </c>
      <c r="AK22" s="45" t="s">
        <v>60</v>
      </c>
      <c r="AL22" s="45" t="s">
        <v>60</v>
      </c>
      <c r="AM22" s="45" t="s">
        <v>60</v>
      </c>
      <c r="AN22" s="45" t="s">
        <v>60</v>
      </c>
      <c r="AO22" s="45" t="s">
        <v>60</v>
      </c>
      <c r="AP22" s="45" t="s">
        <v>60</v>
      </c>
      <c r="AQ22" s="45" t="s">
        <v>60</v>
      </c>
      <c r="AR22" s="45" t="s">
        <v>60</v>
      </c>
      <c r="AS22" s="45">
        <v>4.8402457596617001</v>
      </c>
      <c r="AT22" s="45">
        <v>3.91051469644681</v>
      </c>
      <c r="AU22" s="45">
        <v>8.8975654618211006</v>
      </c>
      <c r="AV22" s="45">
        <v>5.0593972982636597</v>
      </c>
      <c r="AW22" s="45">
        <v>0</v>
      </c>
      <c r="AX22" s="45">
        <v>0</v>
      </c>
      <c r="AY22" s="45">
        <v>169</v>
      </c>
      <c r="AZ22" s="45">
        <v>0</v>
      </c>
      <c r="BA22" s="45">
        <v>0</v>
      </c>
      <c r="BB22" s="45">
        <v>1</v>
      </c>
      <c r="BC22" s="45">
        <v>1</v>
      </c>
      <c r="BD22" s="54" t="s">
        <v>60</v>
      </c>
      <c r="BE22" s="44"/>
      <c r="BF22" s="53"/>
    </row>
    <row r="23" spans="1:58" x14ac:dyDescent="0.25">
      <c r="A23" s="48">
        <v>20</v>
      </c>
      <c r="B23" s="45" t="s">
        <v>242</v>
      </c>
      <c r="C23" s="45">
        <v>7.4199000000000002</v>
      </c>
      <c r="D23" s="45">
        <v>103</v>
      </c>
      <c r="E23" s="45">
        <v>149</v>
      </c>
      <c r="F23" s="45">
        <v>54</v>
      </c>
      <c r="G23" s="73">
        <v>21.5122</v>
      </c>
      <c r="H23" s="55">
        <v>2</v>
      </c>
      <c r="I23" s="45">
        <v>40</v>
      </c>
      <c r="J23" s="45">
        <v>75</v>
      </c>
      <c r="K23" s="45">
        <v>186.36189999999999</v>
      </c>
      <c r="L23" s="45">
        <v>0.7651</v>
      </c>
      <c r="M23" s="45">
        <v>-25.07</v>
      </c>
      <c r="N23" s="45">
        <v>8.16</v>
      </c>
      <c r="O23" s="45">
        <v>0.24210000000000001</v>
      </c>
      <c r="P23" s="45">
        <v>8.6941000000000006</v>
      </c>
      <c r="Q23" s="45">
        <v>9.7411999999999992</v>
      </c>
      <c r="R23" s="45">
        <v>0.1736</v>
      </c>
      <c r="S23" s="45">
        <v>8.3818000000000001</v>
      </c>
      <c r="T23" s="45">
        <v>0.16800000000000001</v>
      </c>
      <c r="U23" s="45">
        <v>10.0212</v>
      </c>
      <c r="V23" s="45">
        <v>0.161</v>
      </c>
      <c r="W23" s="45">
        <v>5.1757999999999997</v>
      </c>
      <c r="X23" s="45">
        <v>0.154</v>
      </c>
      <c r="Y23" s="45">
        <v>33</v>
      </c>
      <c r="Z23" s="45">
        <v>31</v>
      </c>
      <c r="AA23" s="45">
        <v>7.7488999999999999</v>
      </c>
      <c r="AB23" s="45">
        <v>0.24010000000000001</v>
      </c>
      <c r="AC23" s="45">
        <v>2.9000000000000001E-2</v>
      </c>
      <c r="AD23" s="45">
        <v>0.12565000000000001</v>
      </c>
      <c r="AE23" s="45">
        <v>4.1173999999999999</v>
      </c>
      <c r="AF23" s="45">
        <v>-126.65519999999999</v>
      </c>
      <c r="AG23" s="45">
        <v>164.37010000000001</v>
      </c>
      <c r="AH23" s="45" t="s">
        <v>60</v>
      </c>
      <c r="AI23" s="45" t="s">
        <v>60</v>
      </c>
      <c r="AJ23" s="45" t="s">
        <v>60</v>
      </c>
      <c r="AK23" s="45" t="s">
        <v>60</v>
      </c>
      <c r="AL23" s="45" t="s">
        <v>60</v>
      </c>
      <c r="AM23" s="45" t="s">
        <v>60</v>
      </c>
      <c r="AN23" s="45" t="s">
        <v>60</v>
      </c>
      <c r="AO23" s="45" t="s">
        <v>60</v>
      </c>
      <c r="AP23" s="45" t="s">
        <v>60</v>
      </c>
      <c r="AQ23" s="45" t="s">
        <v>60</v>
      </c>
      <c r="AR23" s="45" t="s">
        <v>60</v>
      </c>
      <c r="AS23" s="45">
        <v>6.7049186399999998</v>
      </c>
      <c r="AT23" s="45">
        <v>5.6718424000000001</v>
      </c>
      <c r="AU23" s="45">
        <v>9.6553597</v>
      </c>
      <c r="AV23" s="45">
        <v>5.5720574000000003</v>
      </c>
      <c r="AW23" s="45">
        <v>0</v>
      </c>
      <c r="AX23" s="45">
        <v>0</v>
      </c>
      <c r="AY23" s="45">
        <v>169</v>
      </c>
      <c r="AZ23" s="45">
        <v>0</v>
      </c>
      <c r="BA23" s="45">
        <v>0</v>
      </c>
      <c r="BB23" s="45">
        <v>1</v>
      </c>
      <c r="BC23" s="45">
        <v>1</v>
      </c>
      <c r="BD23" s="54" t="s">
        <v>60</v>
      </c>
      <c r="BE23" s="44"/>
      <c r="BF23" s="53"/>
    </row>
    <row r="24" spans="1:58" x14ac:dyDescent="0.25">
      <c r="A24" s="48">
        <v>21</v>
      </c>
      <c r="B24" s="45" t="s">
        <v>243</v>
      </c>
      <c r="C24" s="45">
        <v>7.3789999999999996</v>
      </c>
      <c r="D24" s="45">
        <v>39</v>
      </c>
      <c r="E24" s="45">
        <v>12</v>
      </c>
      <c r="F24" s="45">
        <v>122</v>
      </c>
      <c r="G24" s="73">
        <v>0.82840000000000003</v>
      </c>
      <c r="H24" s="45">
        <v>38</v>
      </c>
      <c r="I24" s="55">
        <v>0</v>
      </c>
      <c r="J24" s="45">
        <v>198</v>
      </c>
      <c r="K24" s="45">
        <v>127.71250000000001</v>
      </c>
      <c r="L24" s="45">
        <v>1</v>
      </c>
      <c r="M24" s="45">
        <v>-10.94</v>
      </c>
      <c r="N24" s="45">
        <v>9.49</v>
      </c>
      <c r="O24" s="45">
        <v>0.5806</v>
      </c>
      <c r="P24" s="45">
        <v>6.2614999999999998</v>
      </c>
      <c r="Q24" s="45">
        <v>10.741199999999999</v>
      </c>
      <c r="R24" s="45">
        <v>0.1736</v>
      </c>
      <c r="S24" s="45">
        <v>9.3818000000000001</v>
      </c>
      <c r="T24" s="45">
        <v>0.16200000000000001</v>
      </c>
      <c r="U24" s="45">
        <v>11.0212</v>
      </c>
      <c r="V24" s="45">
        <v>0.20799999999999999</v>
      </c>
      <c r="W24" s="45">
        <v>6.1757999999999997</v>
      </c>
      <c r="X24" s="45">
        <v>0.222</v>
      </c>
      <c r="Y24" s="45">
        <v>34</v>
      </c>
      <c r="Z24" s="45">
        <v>32</v>
      </c>
      <c r="AA24" s="45">
        <v>1.5046999999999999</v>
      </c>
      <c r="AB24" s="45">
        <v>4.2099999999999999E-2</v>
      </c>
      <c r="AC24" s="45">
        <v>3.1E-2</v>
      </c>
      <c r="AD24" s="45">
        <v>0.12565000000000001</v>
      </c>
      <c r="AE24" s="45">
        <v>7.9965000000000002</v>
      </c>
      <c r="AF24" s="45">
        <v>18.745899999999999</v>
      </c>
      <c r="AG24" s="45">
        <v>69.309799999999996</v>
      </c>
      <c r="AH24" s="45" t="s">
        <v>60</v>
      </c>
      <c r="AI24" s="45" t="s">
        <v>60</v>
      </c>
      <c r="AJ24" s="45" t="s">
        <v>60</v>
      </c>
      <c r="AK24" s="45" t="s">
        <v>60</v>
      </c>
      <c r="AL24" s="45" t="s">
        <v>60</v>
      </c>
      <c r="AM24" s="45" t="s">
        <v>60</v>
      </c>
      <c r="AN24" s="45" t="s">
        <v>60</v>
      </c>
      <c r="AO24" s="45" t="s">
        <v>60</v>
      </c>
      <c r="AP24" s="45" t="s">
        <v>60</v>
      </c>
      <c r="AQ24" s="45" t="s">
        <v>60</v>
      </c>
      <c r="AR24" s="45" t="s">
        <v>60</v>
      </c>
      <c r="AS24" s="45">
        <v>9.1377436000000003</v>
      </c>
      <c r="AT24" s="45">
        <v>8.1057097999999996</v>
      </c>
      <c r="AU24" s="45">
        <v>9.0417679999999994</v>
      </c>
      <c r="AV24" s="45">
        <v>5.1388157999999997</v>
      </c>
      <c r="AW24" s="45">
        <v>73</v>
      </c>
      <c r="AX24" s="45">
        <v>32</v>
      </c>
      <c r="AY24" s="45">
        <v>0</v>
      </c>
      <c r="AZ24" s="45">
        <v>0</v>
      </c>
      <c r="BA24" s="45">
        <v>0</v>
      </c>
      <c r="BB24" s="45">
        <v>1</v>
      </c>
      <c r="BC24" s="45">
        <v>0</v>
      </c>
      <c r="BD24" s="54" t="s">
        <v>60</v>
      </c>
      <c r="BE24" s="44"/>
      <c r="BF24" s="53"/>
    </row>
    <row r="25" spans="1:58" x14ac:dyDescent="0.25">
      <c r="A25" s="48">
        <v>22</v>
      </c>
      <c r="B25" s="45" t="s">
        <v>244</v>
      </c>
      <c r="C25" s="45">
        <v>8.8000000000000007</v>
      </c>
      <c r="D25" s="45">
        <v>194</v>
      </c>
      <c r="E25" s="45">
        <v>117</v>
      </c>
      <c r="F25" s="45">
        <v>34</v>
      </c>
      <c r="G25" s="73">
        <v>85.047600000000003</v>
      </c>
      <c r="H25" s="45">
        <v>125</v>
      </c>
      <c r="I25" s="55">
        <v>255</v>
      </c>
      <c r="J25" s="45">
        <v>226</v>
      </c>
      <c r="K25" s="45">
        <v>161.84520000000001</v>
      </c>
      <c r="L25" s="45">
        <v>0.52039999999999997</v>
      </c>
      <c r="M25" s="45">
        <v>-10.93</v>
      </c>
      <c r="N25" s="45">
        <v>10.82</v>
      </c>
      <c r="O25" s="45">
        <v>1</v>
      </c>
      <c r="P25" s="45">
        <v>2.4453</v>
      </c>
      <c r="Q25" s="45">
        <v>10.436999999999999</v>
      </c>
      <c r="R25" s="45">
        <v>0.186</v>
      </c>
      <c r="S25" s="45">
        <v>8.9804999999999993</v>
      </c>
      <c r="T25" s="45">
        <v>0.18</v>
      </c>
      <c r="U25" s="45">
        <v>10.737</v>
      </c>
      <c r="V25" s="45">
        <v>0.17249999999999999</v>
      </c>
      <c r="W25" s="45">
        <v>5.5454999999999997</v>
      </c>
      <c r="X25" s="45">
        <v>0.16499999999999998</v>
      </c>
      <c r="Y25" s="45">
        <v>35</v>
      </c>
      <c r="Z25" s="45">
        <v>33</v>
      </c>
      <c r="AA25" s="45">
        <v>13.212</v>
      </c>
      <c r="AB25" s="45">
        <v>0.99998474121093806</v>
      </c>
      <c r="AC25" s="45">
        <v>3.1E-2</v>
      </c>
      <c r="AD25" s="45">
        <v>0.12565000000000001</v>
      </c>
      <c r="AE25" s="45">
        <v>8.8000000000000007</v>
      </c>
      <c r="AF25" s="45">
        <v>183.18430000000001</v>
      </c>
      <c r="AG25" s="45">
        <v>209.76070000000001</v>
      </c>
      <c r="AH25" s="45" t="s">
        <v>60</v>
      </c>
      <c r="AI25" s="45" t="s">
        <v>60</v>
      </c>
      <c r="AJ25" s="45" t="s">
        <v>60</v>
      </c>
      <c r="AK25" s="45" t="s">
        <v>60</v>
      </c>
      <c r="AL25" s="45" t="s">
        <v>60</v>
      </c>
      <c r="AM25" s="45" t="s">
        <v>60</v>
      </c>
      <c r="AN25" s="45" t="s">
        <v>60</v>
      </c>
      <c r="AO25" s="45" t="s">
        <v>60</v>
      </c>
      <c r="AP25" s="45" t="s">
        <v>60</v>
      </c>
      <c r="AQ25" s="45" t="s">
        <v>60</v>
      </c>
      <c r="AR25" s="45" t="s">
        <v>60</v>
      </c>
      <c r="AS25" s="45">
        <v>6.8012324826253501</v>
      </c>
      <c r="AT25" s="45">
        <v>5.7241853057664702</v>
      </c>
      <c r="AU25" s="45">
        <v>11.163937499999999</v>
      </c>
      <c r="AV25" s="45">
        <v>6.8104725000000004</v>
      </c>
      <c r="AW25" s="45">
        <v>0</v>
      </c>
      <c r="AX25" s="45">
        <v>0</v>
      </c>
      <c r="AY25" s="45">
        <v>169</v>
      </c>
      <c r="AZ25" s="45">
        <v>0</v>
      </c>
      <c r="BA25" s="45">
        <v>0</v>
      </c>
      <c r="BB25" s="45">
        <v>1</v>
      </c>
      <c r="BC25" s="45">
        <v>1</v>
      </c>
      <c r="BD25" s="54" t="s">
        <v>60</v>
      </c>
      <c r="BE25" s="44"/>
      <c r="BF25" s="53"/>
    </row>
    <row r="26" spans="1:58" x14ac:dyDescent="0.25">
      <c r="A26" s="48">
        <v>23</v>
      </c>
      <c r="B26" s="45" t="s">
        <v>245</v>
      </c>
      <c r="C26" s="45">
        <v>1.0388999999999999</v>
      </c>
      <c r="D26" s="45">
        <v>13</v>
      </c>
      <c r="E26" s="45">
        <v>194</v>
      </c>
      <c r="F26" s="45">
        <v>1</v>
      </c>
      <c r="G26" s="45">
        <v>126.6991</v>
      </c>
      <c r="H26" s="106">
        <v>245</v>
      </c>
      <c r="I26" s="55">
        <v>1</v>
      </c>
      <c r="J26" s="45">
        <v>25</v>
      </c>
      <c r="K26" s="45">
        <v>92.706400000000002</v>
      </c>
      <c r="L26" s="45">
        <v>1</v>
      </c>
      <c r="M26" s="45">
        <v>-10.92</v>
      </c>
      <c r="N26" s="45">
        <v>12.15</v>
      </c>
      <c r="O26" s="45">
        <v>1</v>
      </c>
      <c r="P26" s="45">
        <v>4.9737</v>
      </c>
      <c r="Q26" s="45">
        <v>11.1328</v>
      </c>
      <c r="R26" s="45">
        <v>0.19839999999999999</v>
      </c>
      <c r="S26" s="45">
        <v>9.5792000000000002</v>
      </c>
      <c r="T26" s="45">
        <v>0.192</v>
      </c>
      <c r="U26" s="45">
        <v>11.4528</v>
      </c>
      <c r="V26" s="45">
        <v>0.184</v>
      </c>
      <c r="W26" s="45">
        <v>9.9152000000000005</v>
      </c>
      <c r="X26" s="45">
        <v>0.17599999999999999</v>
      </c>
      <c r="Y26" s="45">
        <v>36</v>
      </c>
      <c r="Z26" s="45">
        <v>34</v>
      </c>
      <c r="AA26" s="45">
        <v>8.3530999999999995</v>
      </c>
      <c r="AB26" s="45">
        <v>0.99998474121093806</v>
      </c>
      <c r="AC26" s="45">
        <v>7.4999999999999997E-2</v>
      </c>
      <c r="AD26" s="45">
        <v>0.12565000000000001</v>
      </c>
      <c r="AE26" s="45">
        <v>-5.6056999999999997</v>
      </c>
      <c r="AF26" s="45">
        <v>-44.868600000000001</v>
      </c>
      <c r="AG26" s="45">
        <v>195.03579999999999</v>
      </c>
      <c r="AH26" s="45" t="s">
        <v>60</v>
      </c>
      <c r="AI26" s="45" t="s">
        <v>60</v>
      </c>
      <c r="AJ26" s="45" t="s">
        <v>60</v>
      </c>
      <c r="AK26" s="45" t="s">
        <v>60</v>
      </c>
      <c r="AL26" s="45" t="s">
        <v>60</v>
      </c>
      <c r="AM26" s="45" t="s">
        <v>60</v>
      </c>
      <c r="AN26" s="45" t="s">
        <v>60</v>
      </c>
      <c r="AO26" s="45" t="s">
        <v>60</v>
      </c>
      <c r="AP26" s="45" t="s">
        <v>60</v>
      </c>
      <c r="AQ26" s="45" t="s">
        <v>60</v>
      </c>
      <c r="AR26" s="45" t="s">
        <v>60</v>
      </c>
      <c r="AS26" s="45">
        <v>10.581307519999999</v>
      </c>
      <c r="AT26" s="45">
        <v>9.3437888000000004</v>
      </c>
      <c r="AU26" s="45">
        <v>10.882455200000001</v>
      </c>
      <c r="AV26" s="45">
        <v>9.6402704000000004</v>
      </c>
      <c r="AW26" s="45">
        <v>0</v>
      </c>
      <c r="AX26" s="45">
        <v>33</v>
      </c>
      <c r="AY26" s="45">
        <v>0</v>
      </c>
      <c r="AZ26" s="45">
        <v>0</v>
      </c>
      <c r="BA26" s="45">
        <v>0</v>
      </c>
      <c r="BB26" s="45">
        <v>1</v>
      </c>
      <c r="BC26" s="45">
        <v>0</v>
      </c>
      <c r="BD26" s="54" t="s">
        <v>60</v>
      </c>
      <c r="BE26" s="44"/>
      <c r="BF26" s="53"/>
    </row>
    <row r="27" spans="1:58" x14ac:dyDescent="0.25">
      <c r="A27" s="48">
        <v>24</v>
      </c>
      <c r="B27" s="45" t="s">
        <v>246</v>
      </c>
      <c r="C27" s="45">
        <v>3.5943999999999998</v>
      </c>
      <c r="D27" s="45">
        <v>202</v>
      </c>
      <c r="E27" s="45">
        <v>109</v>
      </c>
      <c r="F27" s="45">
        <v>86</v>
      </c>
      <c r="G27" s="45">
        <v>44.3797</v>
      </c>
      <c r="H27" s="106">
        <v>5</v>
      </c>
      <c r="I27" s="45">
        <v>213</v>
      </c>
      <c r="J27" s="55">
        <v>0</v>
      </c>
      <c r="K27" s="45">
        <v>121.9074</v>
      </c>
      <c r="L27" s="45">
        <v>0.93610000000000004</v>
      </c>
      <c r="M27" s="45">
        <v>-10.91</v>
      </c>
      <c r="N27" s="45">
        <v>13.48</v>
      </c>
      <c r="O27" s="45">
        <v>1</v>
      </c>
      <c r="P27" s="45">
        <v>3.9365999999999999</v>
      </c>
      <c r="Q27" s="45">
        <v>11.8286</v>
      </c>
      <c r="R27" s="45">
        <v>0.21079999999999999</v>
      </c>
      <c r="S27" s="45">
        <v>10.177900000000001</v>
      </c>
      <c r="T27" s="45">
        <v>0.20400000000000001</v>
      </c>
      <c r="U27" s="45">
        <v>12.1686</v>
      </c>
      <c r="V27" s="45">
        <v>0.19550000000000001</v>
      </c>
      <c r="W27" s="45">
        <v>10.2849</v>
      </c>
      <c r="X27" s="45">
        <v>0.187</v>
      </c>
      <c r="Y27" s="45">
        <v>37</v>
      </c>
      <c r="Z27" s="45">
        <v>35</v>
      </c>
      <c r="AA27" s="45">
        <v>9.5778999999999996</v>
      </c>
      <c r="AB27" s="45">
        <v>7.8299999999999995E-2</v>
      </c>
      <c r="AC27" s="45">
        <v>7.4999999999999997E-2</v>
      </c>
      <c r="AD27" s="45">
        <v>1.41E-2</v>
      </c>
      <c r="AE27" s="45">
        <v>-7.4621000000000004</v>
      </c>
      <c r="AF27" s="45">
        <v>-184.05869999999999</v>
      </c>
      <c r="AG27" s="45">
        <v>-15.985099999999999</v>
      </c>
      <c r="AH27" s="45" t="s">
        <v>60</v>
      </c>
      <c r="AI27" s="45" t="s">
        <v>60</v>
      </c>
      <c r="AJ27" s="45" t="s">
        <v>60</v>
      </c>
      <c r="AK27" s="45" t="s">
        <v>60</v>
      </c>
      <c r="AL27" s="45" t="s">
        <v>60</v>
      </c>
      <c r="AM27" s="45" t="s">
        <v>60</v>
      </c>
      <c r="AN27" s="45" t="s">
        <v>60</v>
      </c>
      <c r="AO27" s="45" t="s">
        <v>60</v>
      </c>
      <c r="AP27" s="45" t="s">
        <v>60</v>
      </c>
      <c r="AQ27" s="45" t="s">
        <v>60</v>
      </c>
      <c r="AR27" s="45" t="s">
        <v>60</v>
      </c>
      <c r="AS27" s="45">
        <v>11.2461040600764</v>
      </c>
      <c r="AT27" s="45">
        <v>9.9509370516867897</v>
      </c>
      <c r="AU27" s="45">
        <v>11.66211815</v>
      </c>
      <c r="AV27" s="45">
        <v>10.152691000000001</v>
      </c>
      <c r="AW27" s="45">
        <v>0</v>
      </c>
      <c r="AX27" s="45">
        <v>0</v>
      </c>
      <c r="AY27" s="45">
        <v>169</v>
      </c>
      <c r="AZ27" s="45">
        <v>0</v>
      </c>
      <c r="BA27" s="45">
        <v>0</v>
      </c>
      <c r="BB27" s="45">
        <v>1</v>
      </c>
      <c r="BC27" s="45">
        <v>1</v>
      </c>
      <c r="BD27" s="54" t="s">
        <v>60</v>
      </c>
      <c r="BE27" s="44"/>
      <c r="BF27" s="53"/>
    </row>
    <row r="28" spans="1:58" x14ac:dyDescent="0.25">
      <c r="A28" s="48">
        <v>25</v>
      </c>
      <c r="B28" s="45" t="s">
        <v>247</v>
      </c>
      <c r="C28" s="45">
        <v>2.1772</v>
      </c>
      <c r="D28" s="45">
        <v>227</v>
      </c>
      <c r="E28" s="45">
        <v>37</v>
      </c>
      <c r="F28" s="45">
        <v>47</v>
      </c>
      <c r="G28" s="45">
        <v>147.74510000000001</v>
      </c>
      <c r="H28" s="106">
        <v>160</v>
      </c>
      <c r="I28" s="45">
        <v>134</v>
      </c>
      <c r="J28" s="55">
        <v>255</v>
      </c>
      <c r="K28" s="45">
        <v>51.263300000000001</v>
      </c>
      <c r="L28" s="45">
        <v>1</v>
      </c>
      <c r="M28" s="45">
        <v>-10.9</v>
      </c>
      <c r="N28" s="45">
        <v>14.81</v>
      </c>
      <c r="O28" s="45">
        <v>0.38119999999999998</v>
      </c>
      <c r="P28" s="45">
        <v>8.8000000000000007</v>
      </c>
      <c r="Q28" s="45">
        <v>12.8286</v>
      </c>
      <c r="R28" s="45">
        <v>0.23449999999999999</v>
      </c>
      <c r="S28" s="45">
        <v>11.177899999999999</v>
      </c>
      <c r="T28" s="45">
        <v>0.22500000000000001</v>
      </c>
      <c r="U28" s="45">
        <v>13.1686</v>
      </c>
      <c r="V28" s="45">
        <v>2.2499999999999999E-2</v>
      </c>
      <c r="W28" s="45">
        <v>11.2849</v>
      </c>
      <c r="X28" s="45">
        <v>5.8999999999999997E-2</v>
      </c>
      <c r="Y28" s="45">
        <v>38</v>
      </c>
      <c r="Z28" s="45">
        <v>36</v>
      </c>
      <c r="AA28" s="45">
        <v>2.6467999999999998</v>
      </c>
      <c r="AB28" s="45">
        <v>0.99998474121093806</v>
      </c>
      <c r="AC28" s="45">
        <v>7.4999999999999997E-2</v>
      </c>
      <c r="AD28" s="45">
        <v>0.12565000000000001</v>
      </c>
      <c r="AE28" s="45">
        <v>4.5042999999999997</v>
      </c>
      <c r="AF28" s="45">
        <v>140.24590000000001</v>
      </c>
      <c r="AG28" s="45">
        <v>-188.39879999999999</v>
      </c>
      <c r="AH28" s="45" t="s">
        <v>60</v>
      </c>
      <c r="AI28" s="45" t="s">
        <v>60</v>
      </c>
      <c r="AJ28" s="45" t="s">
        <v>60</v>
      </c>
      <c r="AK28" s="45" t="s">
        <v>60</v>
      </c>
      <c r="AL28" s="45" t="s">
        <v>60</v>
      </c>
      <c r="AM28" s="45" t="s">
        <v>60</v>
      </c>
      <c r="AN28" s="45" t="s">
        <v>60</v>
      </c>
      <c r="AO28" s="45" t="s">
        <v>60</v>
      </c>
      <c r="AP28" s="45" t="s">
        <v>60</v>
      </c>
      <c r="AQ28" s="45" t="s">
        <v>60</v>
      </c>
      <c r="AR28" s="45" t="s">
        <v>60</v>
      </c>
      <c r="AS28" s="45">
        <v>9.7143230239470597</v>
      </c>
      <c r="AT28" s="45">
        <v>8.5611952628489902</v>
      </c>
      <c r="AU28" s="45">
        <v>12.812753499999999</v>
      </c>
      <c r="AV28" s="45">
        <v>10.4629297</v>
      </c>
      <c r="AW28" s="45">
        <v>1</v>
      </c>
      <c r="AX28" s="45">
        <v>0</v>
      </c>
      <c r="AY28" s="45">
        <v>0</v>
      </c>
      <c r="AZ28" s="45">
        <v>0</v>
      </c>
      <c r="BA28" s="45">
        <v>0</v>
      </c>
      <c r="BB28" s="45">
        <v>1</v>
      </c>
      <c r="BC28" s="45">
        <v>0</v>
      </c>
      <c r="BD28" s="54" t="s">
        <v>60</v>
      </c>
      <c r="BE28" s="44"/>
      <c r="BF28" s="53"/>
    </row>
    <row r="29" spans="1:58" x14ac:dyDescent="0.25">
      <c r="A29" s="48">
        <v>26</v>
      </c>
      <c r="B29" s="45" t="s">
        <v>248</v>
      </c>
      <c r="C29" s="45">
        <v>6.9310999999999998</v>
      </c>
      <c r="D29" s="45">
        <v>22</v>
      </c>
      <c r="E29" s="45">
        <v>132</v>
      </c>
      <c r="F29" s="45">
        <v>8</v>
      </c>
      <c r="G29" s="45">
        <v>64.489699999999999</v>
      </c>
      <c r="H29" s="106">
        <v>227</v>
      </c>
      <c r="I29" s="45">
        <v>216</v>
      </c>
      <c r="J29" s="55">
        <v>200</v>
      </c>
      <c r="K29" s="45">
        <v>8.3811</v>
      </c>
      <c r="L29" s="45">
        <v>1</v>
      </c>
      <c r="M29" s="45">
        <v>-25.89</v>
      </c>
      <c r="N29" s="45">
        <v>16.14</v>
      </c>
      <c r="O29" s="45">
        <v>0.87160000000000004</v>
      </c>
      <c r="P29" s="45">
        <v>2.8323</v>
      </c>
      <c r="Q29" s="45">
        <v>12.5244</v>
      </c>
      <c r="R29" s="45">
        <v>0.22319999999999998</v>
      </c>
      <c r="S29" s="45">
        <v>10.7766</v>
      </c>
      <c r="T29" s="45">
        <v>0.216</v>
      </c>
      <c r="U29" s="45">
        <v>12.884399999999999</v>
      </c>
      <c r="V29" s="45">
        <v>0.20699999999999999</v>
      </c>
      <c r="W29" s="45">
        <v>6.6545999999999994</v>
      </c>
      <c r="X29" s="45">
        <v>0.19799999999999998</v>
      </c>
      <c r="Y29" s="45">
        <v>39</v>
      </c>
      <c r="Z29" s="45">
        <v>37</v>
      </c>
      <c r="AA29" s="45">
        <v>16.148299999999999</v>
      </c>
      <c r="AB29" s="45">
        <v>0.99998474121093806</v>
      </c>
      <c r="AC29" s="45">
        <v>7.4999999999999997E-2</v>
      </c>
      <c r="AD29" s="45">
        <v>0.12565000000000001</v>
      </c>
      <c r="AE29" s="45">
        <v>8.7012</v>
      </c>
      <c r="AF29" s="45">
        <v>81.066599999999994</v>
      </c>
      <c r="AG29" s="45">
        <v>-38.540999999999997</v>
      </c>
      <c r="AH29" s="45" t="s">
        <v>60</v>
      </c>
      <c r="AI29" s="45" t="s">
        <v>60</v>
      </c>
      <c r="AJ29" s="45" t="s">
        <v>60</v>
      </c>
      <c r="AK29" s="45" t="s">
        <v>60</v>
      </c>
      <c r="AL29" s="45" t="s">
        <v>60</v>
      </c>
      <c r="AM29" s="45" t="s">
        <v>60</v>
      </c>
      <c r="AN29" s="45" t="s">
        <v>60</v>
      </c>
      <c r="AO29" s="45" t="s">
        <v>60</v>
      </c>
      <c r="AP29" s="45" t="s">
        <v>60</v>
      </c>
      <c r="AQ29" s="45" t="s">
        <v>60</v>
      </c>
      <c r="AR29" s="45" t="s">
        <v>60</v>
      </c>
      <c r="AS29" s="45">
        <v>11.362954698741699</v>
      </c>
      <c r="AT29" s="45">
        <v>10.0301454762016</v>
      </c>
      <c r="AU29" s="45">
        <v>13.5600273</v>
      </c>
      <c r="AV29" s="45">
        <v>8.5343526000000001</v>
      </c>
      <c r="AW29" s="45">
        <v>0</v>
      </c>
      <c r="AX29" s="45">
        <v>200</v>
      </c>
      <c r="AY29" s="45">
        <v>169</v>
      </c>
      <c r="AZ29" s="45">
        <v>2</v>
      </c>
      <c r="BA29" s="45">
        <v>1</v>
      </c>
      <c r="BB29" s="45">
        <v>0</v>
      </c>
      <c r="BC29" s="45">
        <v>1</v>
      </c>
      <c r="BD29" s="54" t="s">
        <v>60</v>
      </c>
      <c r="BE29" s="44"/>
      <c r="BF29" s="53"/>
    </row>
    <row r="30" spans="1:58" x14ac:dyDescent="0.25">
      <c r="A30" s="48">
        <v>27</v>
      </c>
      <c r="B30" s="45" t="s">
        <v>249</v>
      </c>
      <c r="C30" s="45">
        <v>3.8128000000000002</v>
      </c>
      <c r="D30" s="45">
        <v>179</v>
      </c>
      <c r="E30" s="45">
        <v>194</v>
      </c>
      <c r="F30" s="45">
        <v>130</v>
      </c>
      <c r="G30" s="45">
        <v>245.54650000000001</v>
      </c>
      <c r="H30" s="45">
        <v>141</v>
      </c>
      <c r="I30" s="106">
        <v>161</v>
      </c>
      <c r="J30" s="45">
        <v>101</v>
      </c>
      <c r="K30" s="55">
        <v>0</v>
      </c>
      <c r="L30" s="45">
        <v>0.38030000000000003</v>
      </c>
      <c r="M30" s="45">
        <v>-25.88</v>
      </c>
      <c r="N30" s="45">
        <v>17.47</v>
      </c>
      <c r="O30" s="45">
        <v>1</v>
      </c>
      <c r="P30" s="45">
        <v>1.4801</v>
      </c>
      <c r="Q30" s="45">
        <v>13.2202</v>
      </c>
      <c r="R30" s="45">
        <v>0.2356</v>
      </c>
      <c r="S30" s="45">
        <v>11.375299999999999</v>
      </c>
      <c r="T30" s="45">
        <v>0.22800000000000001</v>
      </c>
      <c r="U30" s="45">
        <v>13.600199999999999</v>
      </c>
      <c r="V30" s="45">
        <v>0.2185</v>
      </c>
      <c r="W30" s="45">
        <v>7.0242999999999993</v>
      </c>
      <c r="X30" s="45">
        <v>0.20899999999999999</v>
      </c>
      <c r="Y30" s="45">
        <v>40</v>
      </c>
      <c r="Z30" s="45">
        <v>38</v>
      </c>
      <c r="AA30" s="45">
        <v>6.7065000000000001</v>
      </c>
      <c r="AB30" s="45">
        <v>0.99998474121093806</v>
      </c>
      <c r="AC30" s="45">
        <v>7.4999999999999997E-2</v>
      </c>
      <c r="AD30" s="45">
        <v>0.12565000000000001</v>
      </c>
      <c r="AE30" s="45">
        <v>-4.4401999999999999</v>
      </c>
      <c r="AF30" s="45">
        <v>25.5884</v>
      </c>
      <c r="AG30" s="45">
        <v>145.4734</v>
      </c>
      <c r="AH30" s="45" t="s">
        <v>60</v>
      </c>
      <c r="AI30" s="45" t="s">
        <v>60</v>
      </c>
      <c r="AJ30" s="45" t="s">
        <v>60</v>
      </c>
      <c r="AK30" s="45" t="s">
        <v>60</v>
      </c>
      <c r="AL30" s="45" t="s">
        <v>60</v>
      </c>
      <c r="AM30" s="45" t="s">
        <v>60</v>
      </c>
      <c r="AN30" s="45" t="s">
        <v>60</v>
      </c>
      <c r="AO30" s="45" t="s">
        <v>60</v>
      </c>
      <c r="AP30" s="45" t="s">
        <v>60</v>
      </c>
      <c r="AQ30" s="45" t="s">
        <v>60</v>
      </c>
      <c r="AR30" s="45" t="s">
        <v>60</v>
      </c>
      <c r="AS30" s="45">
        <v>11.685572280000001</v>
      </c>
      <c r="AT30" s="45">
        <v>10.310813599999999</v>
      </c>
      <c r="AU30" s="45">
        <v>12.093926550000001</v>
      </c>
      <c r="AV30" s="45">
        <v>6.9578797999999997</v>
      </c>
      <c r="AW30" s="45">
        <v>0</v>
      </c>
      <c r="AX30" s="45">
        <v>0</v>
      </c>
      <c r="AY30" s="45">
        <v>169</v>
      </c>
      <c r="AZ30" s="45">
        <v>0</v>
      </c>
      <c r="BA30" s="45">
        <v>0</v>
      </c>
      <c r="BB30" s="45">
        <v>1</v>
      </c>
      <c r="BC30" s="45">
        <v>1</v>
      </c>
      <c r="BD30" s="54" t="s">
        <v>60</v>
      </c>
      <c r="BE30" s="44"/>
      <c r="BF30" s="53"/>
    </row>
    <row r="31" spans="1:58" x14ac:dyDescent="0.25">
      <c r="A31" s="48">
        <v>28</v>
      </c>
      <c r="B31" s="45" t="s">
        <v>250</v>
      </c>
      <c r="C31" s="45">
        <v>3.3875000000000002</v>
      </c>
      <c r="D31" s="45">
        <v>45</v>
      </c>
      <c r="E31" s="45">
        <v>42</v>
      </c>
      <c r="F31" s="45">
        <v>116</v>
      </c>
      <c r="G31" s="45">
        <v>81.066699999999997</v>
      </c>
      <c r="H31" s="45">
        <v>33</v>
      </c>
      <c r="I31" s="106">
        <v>62</v>
      </c>
      <c r="J31" s="45">
        <v>20</v>
      </c>
      <c r="K31" s="55">
        <v>250</v>
      </c>
      <c r="L31" s="45">
        <v>1</v>
      </c>
      <c r="M31" s="45">
        <v>-25.87</v>
      </c>
      <c r="N31" s="45">
        <v>18.8</v>
      </c>
      <c r="O31" s="45">
        <v>0.32069999999999999</v>
      </c>
      <c r="P31" s="45">
        <v>4.2655000000000003</v>
      </c>
      <c r="Q31" s="45">
        <v>13.916</v>
      </c>
      <c r="R31" s="45">
        <v>0.248</v>
      </c>
      <c r="S31" s="45">
        <v>11.974</v>
      </c>
      <c r="T31" s="45">
        <v>0.24</v>
      </c>
      <c r="U31" s="45">
        <v>14.315999999999999</v>
      </c>
      <c r="V31" s="45">
        <v>0.22999999999999998</v>
      </c>
      <c r="W31" s="45">
        <v>7.3939999999999992</v>
      </c>
      <c r="X31" s="45">
        <v>0.21999999999999997</v>
      </c>
      <c r="Y31" s="45">
        <v>41</v>
      </c>
      <c r="Z31" s="45">
        <v>39</v>
      </c>
      <c r="AA31" s="45">
        <v>19.2807</v>
      </c>
      <c r="AB31" s="45">
        <v>0.99998474121093806</v>
      </c>
      <c r="AC31" s="45">
        <v>7.4999999999999997E-2</v>
      </c>
      <c r="AD31" s="45">
        <v>0.12565000000000001</v>
      </c>
      <c r="AE31" s="45">
        <v>-6.3766999999999996</v>
      </c>
      <c r="AF31" s="45">
        <v>-18.491</v>
      </c>
      <c r="AG31" s="45">
        <v>-19.645199999999999</v>
      </c>
      <c r="AH31" s="45" t="s">
        <v>60</v>
      </c>
      <c r="AI31" s="45" t="s">
        <v>60</v>
      </c>
      <c r="AJ31" s="45" t="s">
        <v>60</v>
      </c>
      <c r="AK31" s="45" t="s">
        <v>60</v>
      </c>
      <c r="AL31" s="45" t="s">
        <v>60</v>
      </c>
      <c r="AM31" s="45" t="s">
        <v>60</v>
      </c>
      <c r="AN31" s="45" t="s">
        <v>60</v>
      </c>
      <c r="AO31" s="45" t="s">
        <v>60</v>
      </c>
      <c r="AP31" s="45" t="s">
        <v>60</v>
      </c>
      <c r="AQ31" s="45" t="s">
        <v>60</v>
      </c>
      <c r="AR31" s="45" t="s">
        <v>60</v>
      </c>
      <c r="AS31" s="45">
        <v>15.246445599999999</v>
      </c>
      <c r="AT31" s="45">
        <v>13.727608</v>
      </c>
      <c r="AU31" s="45">
        <v>15.457881</v>
      </c>
      <c r="AV31" s="45">
        <v>10.009074</v>
      </c>
      <c r="AW31" s="45">
        <v>0</v>
      </c>
      <c r="AX31" s="45">
        <v>0</v>
      </c>
      <c r="AY31" s="45">
        <v>169</v>
      </c>
      <c r="AZ31" s="45">
        <v>0</v>
      </c>
      <c r="BA31" s="45">
        <v>0</v>
      </c>
      <c r="BB31" s="45">
        <v>1</v>
      </c>
      <c r="BC31" s="45">
        <v>1</v>
      </c>
      <c r="BD31" s="54" t="s">
        <v>60</v>
      </c>
      <c r="BE31" s="44"/>
      <c r="BF31" s="53"/>
    </row>
    <row r="32" spans="1:58" x14ac:dyDescent="0.25">
      <c r="A32" s="48">
        <v>29</v>
      </c>
      <c r="B32" s="45" t="s">
        <v>251</v>
      </c>
      <c r="C32" s="45">
        <v>7.0541</v>
      </c>
      <c r="D32" s="45">
        <v>1</v>
      </c>
      <c r="E32" s="45">
        <v>249</v>
      </c>
      <c r="F32" s="45">
        <v>47</v>
      </c>
      <c r="G32" s="45">
        <v>175.74639999999999</v>
      </c>
      <c r="H32" s="45">
        <v>220</v>
      </c>
      <c r="I32" s="106">
        <v>237</v>
      </c>
      <c r="J32" s="45">
        <v>179</v>
      </c>
      <c r="K32" s="55">
        <v>20</v>
      </c>
      <c r="L32" s="45">
        <v>0.49790000000000001</v>
      </c>
      <c r="M32" s="45">
        <v>-25.86</v>
      </c>
      <c r="N32" s="45">
        <v>20.13</v>
      </c>
      <c r="O32" s="45">
        <v>0.19359999999999999</v>
      </c>
      <c r="P32" s="45">
        <v>1.56</v>
      </c>
      <c r="Q32" s="45">
        <v>14.916</v>
      </c>
      <c r="R32" s="45">
        <v>0.249</v>
      </c>
      <c r="S32" s="45">
        <v>12.974</v>
      </c>
      <c r="T32" s="45">
        <v>0.24199999999999999</v>
      </c>
      <c r="U32" s="45">
        <v>15.316000000000001</v>
      </c>
      <c r="V32" s="45">
        <v>2.5399999999999999E-2</v>
      </c>
      <c r="W32" s="45">
        <v>8.3940000000000001</v>
      </c>
      <c r="X32" s="45">
        <v>0.06</v>
      </c>
      <c r="Y32" s="45">
        <v>42</v>
      </c>
      <c r="Z32" s="45">
        <v>40</v>
      </c>
      <c r="AA32" s="45">
        <v>6.4995000000000003</v>
      </c>
      <c r="AB32" s="45">
        <v>0.99998474121093806</v>
      </c>
      <c r="AC32" s="45">
        <v>2.9000000000000001E-2</v>
      </c>
      <c r="AD32" s="45">
        <v>0.12565000000000001</v>
      </c>
      <c r="AE32" s="45">
        <v>-7.8476999999999997</v>
      </c>
      <c r="AF32" s="45">
        <v>-54.023499999999999</v>
      </c>
      <c r="AG32" s="45">
        <v>-51.126199999999997</v>
      </c>
      <c r="AH32" s="45" t="s">
        <v>60</v>
      </c>
      <c r="AI32" s="45" t="s">
        <v>60</v>
      </c>
      <c r="AJ32" s="45" t="s">
        <v>60</v>
      </c>
      <c r="AK32" s="45" t="s">
        <v>60</v>
      </c>
      <c r="AL32" s="45" t="s">
        <v>60</v>
      </c>
      <c r="AM32" s="45" t="s">
        <v>60</v>
      </c>
      <c r="AN32" s="45" t="s">
        <v>60</v>
      </c>
      <c r="AO32" s="45" t="s">
        <v>60</v>
      </c>
      <c r="AP32" s="45" t="s">
        <v>60</v>
      </c>
      <c r="AQ32" s="45" t="s">
        <v>60</v>
      </c>
      <c r="AR32" s="45" t="s">
        <v>60</v>
      </c>
      <c r="AS32" s="45">
        <v>12.8202915</v>
      </c>
      <c r="AT32" s="45">
        <v>11.407171</v>
      </c>
      <c r="AU32" s="45">
        <v>15.0920609</v>
      </c>
      <c r="AV32" s="45">
        <v>8.2803299999999993</v>
      </c>
      <c r="AW32" s="45">
        <v>0</v>
      </c>
      <c r="AX32" s="45">
        <v>0</v>
      </c>
      <c r="AY32" s="45">
        <v>169</v>
      </c>
      <c r="AZ32" s="45">
        <v>0</v>
      </c>
      <c r="BA32" s="45">
        <v>0</v>
      </c>
      <c r="BB32" s="45">
        <v>1</v>
      </c>
      <c r="BC32" s="45">
        <v>1</v>
      </c>
      <c r="BD32" s="54" t="s">
        <v>60</v>
      </c>
      <c r="BE32" s="44"/>
      <c r="BF32" s="53"/>
    </row>
    <row r="33" spans="1:58" x14ac:dyDescent="0.25">
      <c r="A33" s="48">
        <v>30</v>
      </c>
      <c r="B33" s="45" t="s">
        <v>353</v>
      </c>
      <c r="C33" s="45">
        <v>8.1320999999999994</v>
      </c>
      <c r="D33" s="45">
        <v>48</v>
      </c>
      <c r="E33" s="45">
        <v>43</v>
      </c>
      <c r="F33" s="45">
        <v>62</v>
      </c>
      <c r="G33" s="45">
        <v>131.0488</v>
      </c>
      <c r="H33" s="45">
        <v>185</v>
      </c>
      <c r="I33" s="106">
        <v>251</v>
      </c>
      <c r="J33" s="45">
        <v>197</v>
      </c>
      <c r="K33" s="45">
        <v>216.27430000000001</v>
      </c>
      <c r="L33" s="55">
        <v>0</v>
      </c>
      <c r="M33" s="45">
        <v>-25.85</v>
      </c>
      <c r="N33" s="45">
        <v>21.46</v>
      </c>
      <c r="O33" s="45">
        <v>0.21249999999999999</v>
      </c>
      <c r="P33" s="45">
        <v>6.8117999999999999</v>
      </c>
      <c r="Q33" s="45">
        <v>14.611800000000001</v>
      </c>
      <c r="R33" s="45">
        <v>0.26039999999999996</v>
      </c>
      <c r="S33" s="45">
        <v>12.572700000000001</v>
      </c>
      <c r="T33" s="45">
        <v>0.252</v>
      </c>
      <c r="U33" s="45">
        <v>15.0318</v>
      </c>
      <c r="V33" s="45">
        <v>0.24149999999999999</v>
      </c>
      <c r="W33" s="45">
        <v>7.7636999999999992</v>
      </c>
      <c r="X33" s="45">
        <v>0.23099999999999998</v>
      </c>
      <c r="Y33" s="45">
        <v>43</v>
      </c>
      <c r="Z33" s="45">
        <v>41</v>
      </c>
      <c r="AA33" s="45">
        <v>15.9567</v>
      </c>
      <c r="AB33" s="45">
        <v>0.19209999999999999</v>
      </c>
      <c r="AC33" s="45">
        <v>3.1E-2</v>
      </c>
      <c r="AD33" s="45">
        <v>0.12565000000000001</v>
      </c>
      <c r="AE33" s="45">
        <v>3.294</v>
      </c>
      <c r="AF33" s="45">
        <v>-133.17689999999999</v>
      </c>
      <c r="AG33" s="45">
        <v>163.0145</v>
      </c>
      <c r="AH33" s="45" t="s">
        <v>60</v>
      </c>
      <c r="AI33" s="45" t="s">
        <v>60</v>
      </c>
      <c r="AJ33" s="45" t="s">
        <v>60</v>
      </c>
      <c r="AK33" s="45" t="s">
        <v>60</v>
      </c>
      <c r="AL33" s="45" t="s">
        <v>60</v>
      </c>
      <c r="AM33" s="45" t="s">
        <v>60</v>
      </c>
      <c r="AN33" s="45" t="s">
        <v>60</v>
      </c>
      <c r="AO33" s="45" t="s">
        <v>60</v>
      </c>
      <c r="AP33" s="45" t="s">
        <v>60</v>
      </c>
      <c r="AQ33" s="45" t="s">
        <v>60</v>
      </c>
      <c r="AR33" s="45" t="s">
        <v>60</v>
      </c>
      <c r="AS33" s="45">
        <v>6.6517625999999996</v>
      </c>
      <c r="AT33" s="45">
        <v>5.3832912000000004</v>
      </c>
      <c r="AU33" s="45">
        <v>15.25516335</v>
      </c>
      <c r="AV33" s="45">
        <v>9.6562830000000002</v>
      </c>
      <c r="AW33" s="45">
        <v>0</v>
      </c>
      <c r="AX33" s="45">
        <v>0</v>
      </c>
      <c r="AY33" s="45">
        <v>169</v>
      </c>
      <c r="AZ33" s="45">
        <v>0</v>
      </c>
      <c r="BA33" s="45">
        <v>0</v>
      </c>
      <c r="BB33" s="45">
        <v>1</v>
      </c>
      <c r="BC33" s="45">
        <v>1</v>
      </c>
      <c r="BD33" s="54" t="s">
        <v>60</v>
      </c>
      <c r="BE33" s="44"/>
      <c r="BF33" s="53"/>
    </row>
    <row r="34" spans="1:58" x14ac:dyDescent="0.25">
      <c r="A34" s="48">
        <v>31</v>
      </c>
      <c r="B34" s="45" t="s">
        <v>252</v>
      </c>
      <c r="C34" s="45">
        <v>7.7141999999999999</v>
      </c>
      <c r="D34" s="45">
        <v>78</v>
      </c>
      <c r="E34" s="45">
        <v>170</v>
      </c>
      <c r="F34" s="45">
        <v>131</v>
      </c>
      <c r="G34" s="45">
        <v>158.92920000000001</v>
      </c>
      <c r="H34" s="45">
        <v>168</v>
      </c>
      <c r="I34" s="45">
        <v>117</v>
      </c>
      <c r="J34" s="106">
        <v>242</v>
      </c>
      <c r="K34" s="45">
        <v>101.614</v>
      </c>
      <c r="L34" s="55">
        <v>1</v>
      </c>
      <c r="M34" s="45">
        <v>-25.84</v>
      </c>
      <c r="N34" s="45">
        <v>22.79</v>
      </c>
      <c r="O34" s="45">
        <v>0.1179</v>
      </c>
      <c r="P34" s="45">
        <v>6.3875000000000002</v>
      </c>
      <c r="Q34" s="45">
        <v>15.307600000000001</v>
      </c>
      <c r="R34" s="45">
        <v>0.27279999999999999</v>
      </c>
      <c r="S34" s="45">
        <v>13.1714</v>
      </c>
      <c r="T34" s="45">
        <v>0.26400000000000001</v>
      </c>
      <c r="U34" s="45">
        <v>15.7476</v>
      </c>
      <c r="V34" s="45">
        <v>0.253</v>
      </c>
      <c r="W34" s="45">
        <v>8.1334</v>
      </c>
      <c r="X34" s="45">
        <v>0.24199999999999999</v>
      </c>
      <c r="Y34" s="45">
        <v>44</v>
      </c>
      <c r="Z34" s="45">
        <v>42</v>
      </c>
      <c r="AA34" s="45">
        <v>20</v>
      </c>
      <c r="AB34" s="45">
        <v>0.99998474121093806</v>
      </c>
      <c r="AC34" s="45">
        <v>3.1E-2</v>
      </c>
      <c r="AD34" s="45">
        <v>0.12565000000000001</v>
      </c>
      <c r="AE34" s="45">
        <v>-4.9794999999999998</v>
      </c>
      <c r="AF34" s="45">
        <v>82.723399999999998</v>
      </c>
      <c r="AG34" s="45">
        <v>15.936999999999999</v>
      </c>
      <c r="AH34" s="45" t="s">
        <v>60</v>
      </c>
      <c r="AI34" s="45" t="s">
        <v>60</v>
      </c>
      <c r="AJ34" s="45" t="s">
        <v>60</v>
      </c>
      <c r="AK34" s="45" t="s">
        <v>60</v>
      </c>
      <c r="AL34" s="45" t="s">
        <v>60</v>
      </c>
      <c r="AM34" s="45" t="s">
        <v>60</v>
      </c>
      <c r="AN34" s="45" t="s">
        <v>60</v>
      </c>
      <c r="AO34" s="45" t="s">
        <v>60</v>
      </c>
      <c r="AP34" s="45" t="s">
        <v>60</v>
      </c>
      <c r="AQ34" s="45" t="s">
        <v>60</v>
      </c>
      <c r="AR34" s="45" t="s">
        <v>60</v>
      </c>
      <c r="AS34" s="45">
        <v>14.893869249452001</v>
      </c>
      <c r="AT34" s="45">
        <v>13.3349722026955</v>
      </c>
      <c r="AU34" s="45">
        <v>16.8234572</v>
      </c>
      <c r="AV34" s="45">
        <v>11.005117200000001</v>
      </c>
      <c r="AW34" s="45">
        <v>0</v>
      </c>
      <c r="AX34" s="45">
        <v>0</v>
      </c>
      <c r="AY34" s="45">
        <v>169</v>
      </c>
      <c r="AZ34" s="45">
        <v>0</v>
      </c>
      <c r="BA34" s="45">
        <v>0</v>
      </c>
      <c r="BB34" s="45">
        <v>1</v>
      </c>
      <c r="BC34" s="45">
        <v>1</v>
      </c>
      <c r="BD34" s="54" t="s">
        <v>60</v>
      </c>
      <c r="BE34" s="44"/>
      <c r="BF34" s="53"/>
    </row>
    <row r="35" spans="1:58" x14ac:dyDescent="0.25">
      <c r="A35" s="48">
        <v>32</v>
      </c>
      <c r="B35" s="45" t="s">
        <v>354</v>
      </c>
      <c r="C35" s="45">
        <v>7.7141999999999999</v>
      </c>
      <c r="D35" s="45">
        <v>78</v>
      </c>
      <c r="E35" s="45">
        <v>170</v>
      </c>
      <c r="F35" s="45">
        <v>131</v>
      </c>
      <c r="G35" s="45">
        <v>158.92920000000001</v>
      </c>
      <c r="H35" s="45">
        <v>168</v>
      </c>
      <c r="I35" s="45">
        <v>117</v>
      </c>
      <c r="J35" s="106">
        <v>242</v>
      </c>
      <c r="K35" s="45">
        <v>101.614</v>
      </c>
      <c r="L35" s="55">
        <v>0.125</v>
      </c>
      <c r="M35" s="45">
        <v>-25.83</v>
      </c>
      <c r="N35" s="45">
        <v>22.79</v>
      </c>
      <c r="O35" s="45">
        <v>0.1179</v>
      </c>
      <c r="P35" s="45">
        <v>6.3875000000000002</v>
      </c>
      <c r="Q35" s="45">
        <v>15.307600000000001</v>
      </c>
      <c r="R35" s="45">
        <v>0.27279999999999999</v>
      </c>
      <c r="S35" s="45">
        <v>13.1714</v>
      </c>
      <c r="T35" s="45">
        <v>0.26400000000000001</v>
      </c>
      <c r="U35" s="45">
        <v>15.7476</v>
      </c>
      <c r="V35" s="45">
        <v>0.253</v>
      </c>
      <c r="W35" s="45">
        <v>8.1334</v>
      </c>
      <c r="X35" s="45">
        <v>0.24199999999999999</v>
      </c>
      <c r="Y35" s="45">
        <v>44</v>
      </c>
      <c r="Z35" s="45">
        <v>42</v>
      </c>
      <c r="AA35" s="45">
        <v>20</v>
      </c>
      <c r="AB35" s="45">
        <v>0.99998474121093806</v>
      </c>
      <c r="AC35" s="45">
        <v>3.2000000000000001E-2</v>
      </c>
      <c r="AD35" s="45">
        <v>0.12565000000000001</v>
      </c>
      <c r="AE35" s="45">
        <v>-4.9794999999999998</v>
      </c>
      <c r="AF35" s="45">
        <v>82.723399999999998</v>
      </c>
      <c r="AG35" s="45">
        <v>15.936999999999999</v>
      </c>
      <c r="AH35" s="45" t="s">
        <v>60</v>
      </c>
      <c r="AI35" s="45" t="s">
        <v>60</v>
      </c>
      <c r="AJ35" s="45" t="s">
        <v>60</v>
      </c>
      <c r="AK35" s="45" t="s">
        <v>60</v>
      </c>
      <c r="AL35" s="45" t="s">
        <v>60</v>
      </c>
      <c r="AM35" s="45" t="s">
        <v>60</v>
      </c>
      <c r="AN35" s="45" t="s">
        <v>60</v>
      </c>
      <c r="AO35" s="45" t="s">
        <v>60</v>
      </c>
      <c r="AP35" s="45" t="s">
        <v>60</v>
      </c>
      <c r="AQ35" s="45" t="s">
        <v>60</v>
      </c>
      <c r="AR35" s="45" t="s">
        <v>60</v>
      </c>
      <c r="AS35" s="45">
        <v>14.893868857672601</v>
      </c>
      <c r="AT35" s="45">
        <v>13.334971823554101</v>
      </c>
      <c r="AU35" s="45">
        <v>16.8234572</v>
      </c>
      <c r="AV35" s="45">
        <v>11.005117200000001</v>
      </c>
      <c r="AW35" s="45">
        <v>0</v>
      </c>
      <c r="AX35" s="45">
        <v>0</v>
      </c>
      <c r="AY35" s="45">
        <v>169</v>
      </c>
      <c r="AZ35" s="45">
        <v>0</v>
      </c>
      <c r="BA35" s="45">
        <v>0</v>
      </c>
      <c r="BB35" s="45">
        <v>1</v>
      </c>
      <c r="BC35" s="45">
        <v>1</v>
      </c>
      <c r="BD35" s="54" t="s">
        <v>60</v>
      </c>
      <c r="BE35" s="44"/>
      <c r="BF35" s="53"/>
    </row>
    <row r="36" spans="1:58" x14ac:dyDescent="0.25">
      <c r="A36" s="48">
        <v>33</v>
      </c>
      <c r="B36" s="45" t="s">
        <v>253</v>
      </c>
      <c r="C36" s="45">
        <v>6.5697000000000001</v>
      </c>
      <c r="D36" s="45">
        <v>224</v>
      </c>
      <c r="E36" s="45">
        <v>28</v>
      </c>
      <c r="F36" s="45">
        <v>206</v>
      </c>
      <c r="G36" s="45">
        <v>64.4876</v>
      </c>
      <c r="H36" s="45">
        <v>55</v>
      </c>
      <c r="I36" s="45">
        <v>73</v>
      </c>
      <c r="J36" s="106">
        <v>178</v>
      </c>
      <c r="K36" s="45">
        <v>206.1</v>
      </c>
      <c r="L36" s="45">
        <v>1</v>
      </c>
      <c r="M36" s="55">
        <v>-31</v>
      </c>
      <c r="N36" s="45">
        <v>24.12</v>
      </c>
      <c r="O36" s="45">
        <v>1</v>
      </c>
      <c r="P36" s="45">
        <v>0.25480000000000003</v>
      </c>
      <c r="Q36" s="45">
        <v>16.003399999999999</v>
      </c>
      <c r="R36" s="45">
        <v>0.28520000000000001</v>
      </c>
      <c r="S36" s="45">
        <v>13.770099999999999</v>
      </c>
      <c r="T36" s="45">
        <v>0.27600000000000002</v>
      </c>
      <c r="U36" s="45">
        <v>16.4634</v>
      </c>
      <c r="V36" s="45">
        <v>0.26450000000000001</v>
      </c>
      <c r="W36" s="45">
        <v>8.5030999999999999</v>
      </c>
      <c r="X36" s="45">
        <v>0.253</v>
      </c>
      <c r="Y36" s="45">
        <v>45</v>
      </c>
      <c r="Z36" s="45">
        <v>43</v>
      </c>
      <c r="AA36" s="45">
        <v>6.9017999999999997</v>
      </c>
      <c r="AB36" s="45">
        <v>0.99998474121093806</v>
      </c>
      <c r="AC36" s="45">
        <v>3.3000000000000002E-2</v>
      </c>
      <c r="AD36" s="45">
        <v>4.5499999999999999E-2</v>
      </c>
      <c r="AE36" s="45">
        <v>-5.6261000000000001</v>
      </c>
      <c r="AF36" s="45">
        <v>-86.859700000000004</v>
      </c>
      <c r="AG36" s="45">
        <v>-64.176299999999998</v>
      </c>
      <c r="AH36" s="45" t="s">
        <v>60</v>
      </c>
      <c r="AI36" s="45" t="s">
        <v>60</v>
      </c>
      <c r="AJ36" s="45" t="s">
        <v>60</v>
      </c>
      <c r="AK36" s="45" t="s">
        <v>60</v>
      </c>
      <c r="AL36" s="45" t="s">
        <v>60</v>
      </c>
      <c r="AM36" s="45" t="s">
        <v>60</v>
      </c>
      <c r="AN36" s="45" t="s">
        <v>60</v>
      </c>
      <c r="AO36" s="45" t="s">
        <v>60</v>
      </c>
      <c r="AP36" s="45" t="s">
        <v>60</v>
      </c>
      <c r="AQ36" s="45" t="s">
        <v>60</v>
      </c>
      <c r="AR36" s="45" t="s">
        <v>60</v>
      </c>
      <c r="AS36" s="45">
        <v>13.40762368</v>
      </c>
      <c r="AT36" s="45">
        <v>11.874449200000001</v>
      </c>
      <c r="AU36" s="45">
        <v>13.9343568</v>
      </c>
      <c r="AV36" s="45">
        <v>8.0979711000000005</v>
      </c>
      <c r="AW36" s="45">
        <v>17</v>
      </c>
      <c r="AX36" s="45">
        <v>0</v>
      </c>
      <c r="AY36" s="45">
        <v>0</v>
      </c>
      <c r="AZ36" s="45">
        <v>0</v>
      </c>
      <c r="BA36" s="45">
        <v>0</v>
      </c>
      <c r="BB36" s="45">
        <v>1</v>
      </c>
      <c r="BC36" s="45">
        <v>0</v>
      </c>
      <c r="BD36" s="54" t="s">
        <v>60</v>
      </c>
      <c r="BE36" s="44"/>
      <c r="BF36" s="53"/>
    </row>
    <row r="37" spans="1:58" x14ac:dyDescent="0.25">
      <c r="A37" s="48">
        <v>34</v>
      </c>
      <c r="B37" s="45" t="s">
        <v>254</v>
      </c>
      <c r="C37" s="45">
        <v>7.8479000000000001</v>
      </c>
      <c r="D37" s="45">
        <v>154</v>
      </c>
      <c r="E37" s="45">
        <v>102</v>
      </c>
      <c r="F37" s="45">
        <v>79</v>
      </c>
      <c r="G37" s="45">
        <v>113.5265</v>
      </c>
      <c r="H37" s="45">
        <v>169</v>
      </c>
      <c r="I37" s="45">
        <v>121</v>
      </c>
      <c r="J37" s="106">
        <v>76</v>
      </c>
      <c r="K37" s="45">
        <v>93.438900000000004</v>
      </c>
      <c r="L37" s="45">
        <v>0.30409999999999998</v>
      </c>
      <c r="M37" s="55">
        <v>31</v>
      </c>
      <c r="N37" s="45">
        <v>25.45</v>
      </c>
      <c r="O37" s="45">
        <v>1</v>
      </c>
      <c r="P37" s="45">
        <v>3.5074999999999998</v>
      </c>
      <c r="Q37" s="45">
        <v>17.003399999999999</v>
      </c>
      <c r="R37" s="45">
        <v>0.2586</v>
      </c>
      <c r="S37" s="45">
        <v>14.770099999999999</v>
      </c>
      <c r="T37" s="45">
        <v>0.27700000000000002</v>
      </c>
      <c r="U37" s="45">
        <v>17.4634</v>
      </c>
      <c r="V37" s="45">
        <v>5.8700000000000002E-2</v>
      </c>
      <c r="W37" s="45">
        <v>9.5030999999999999</v>
      </c>
      <c r="X37" s="45">
        <v>6.4000000000000001E-2</v>
      </c>
      <c r="Y37" s="45">
        <v>46</v>
      </c>
      <c r="Z37" s="45">
        <v>44</v>
      </c>
      <c r="AA37" s="45">
        <v>4.4917999999999996</v>
      </c>
      <c r="AB37" s="45">
        <v>0.79020000000000001</v>
      </c>
      <c r="AC37" s="45">
        <v>3.4000000000000002E-2</v>
      </c>
      <c r="AD37" s="45">
        <v>0.12565000000000001</v>
      </c>
      <c r="AE37" s="45">
        <v>-2.8475000000000001</v>
      </c>
      <c r="AF37" s="45">
        <v>-47.776600000000002</v>
      </c>
      <c r="AG37" s="45">
        <v>169.13839999999999</v>
      </c>
      <c r="AH37" s="45" t="s">
        <v>60</v>
      </c>
      <c r="AI37" s="45" t="s">
        <v>60</v>
      </c>
      <c r="AJ37" s="45" t="s">
        <v>60</v>
      </c>
      <c r="AK37" s="45" t="s">
        <v>60</v>
      </c>
      <c r="AL37" s="45" t="s">
        <v>60</v>
      </c>
      <c r="AM37" s="45" t="s">
        <v>60</v>
      </c>
      <c r="AN37" s="45" t="s">
        <v>60</v>
      </c>
      <c r="AO37" s="45" t="s">
        <v>60</v>
      </c>
      <c r="AP37" s="45" t="s">
        <v>60</v>
      </c>
      <c r="AQ37" s="45" t="s">
        <v>60</v>
      </c>
      <c r="AR37" s="45" t="s">
        <v>60</v>
      </c>
      <c r="AS37" s="45">
        <v>11.444741280000001</v>
      </c>
      <c r="AT37" s="45">
        <v>9.4345537000000004</v>
      </c>
      <c r="AU37" s="45">
        <v>16.174629759999998</v>
      </c>
      <c r="AV37" s="45">
        <v>8.6074263999999996</v>
      </c>
      <c r="AW37" s="45">
        <v>0</v>
      </c>
      <c r="AX37" s="45">
        <v>0</v>
      </c>
      <c r="AY37" s="45">
        <v>169</v>
      </c>
      <c r="AZ37" s="45">
        <v>0</v>
      </c>
      <c r="BA37" s="45">
        <v>0</v>
      </c>
      <c r="BB37" s="45">
        <v>1</v>
      </c>
      <c r="BC37" s="45">
        <v>1</v>
      </c>
      <c r="BD37" s="54" t="s">
        <v>60</v>
      </c>
      <c r="BE37" s="44"/>
      <c r="BF37" s="53"/>
    </row>
    <row r="38" spans="1:58" x14ac:dyDescent="0.25">
      <c r="A38" s="48">
        <v>35</v>
      </c>
      <c r="B38" s="45" t="s">
        <v>255</v>
      </c>
      <c r="C38" s="45">
        <v>3.3296000000000001</v>
      </c>
      <c r="D38" s="45">
        <v>146</v>
      </c>
      <c r="E38" s="45">
        <v>90</v>
      </c>
      <c r="F38" s="45">
        <v>146</v>
      </c>
      <c r="G38" s="45">
        <v>214.3306</v>
      </c>
      <c r="H38" s="45">
        <v>102</v>
      </c>
      <c r="I38" s="45">
        <v>144</v>
      </c>
      <c r="J38" s="106">
        <v>225</v>
      </c>
      <c r="K38" s="45">
        <v>127.0941</v>
      </c>
      <c r="L38" s="45">
        <v>7.3599999999999999E-2</v>
      </c>
      <c r="M38" s="55">
        <v>12.5</v>
      </c>
      <c r="N38" s="45">
        <v>26.78</v>
      </c>
      <c r="O38" s="45">
        <v>1</v>
      </c>
      <c r="P38" s="45">
        <v>4.2736000000000001</v>
      </c>
      <c r="Q38" s="45">
        <v>16.699200000000001</v>
      </c>
      <c r="R38" s="45">
        <v>0.29759999999999998</v>
      </c>
      <c r="S38" s="45">
        <v>14.3688</v>
      </c>
      <c r="T38" s="45">
        <v>0.28800000000000003</v>
      </c>
      <c r="U38" s="45">
        <v>17.179200000000002</v>
      </c>
      <c r="V38" s="45">
        <v>0.27600000000000002</v>
      </c>
      <c r="W38" s="45">
        <v>8.8727999999999998</v>
      </c>
      <c r="X38" s="45">
        <v>0.26400000000000001</v>
      </c>
      <c r="Y38" s="45">
        <v>47</v>
      </c>
      <c r="Z38" s="45">
        <v>45</v>
      </c>
      <c r="AA38" s="45">
        <v>18.662400000000002</v>
      </c>
      <c r="AB38" s="45">
        <v>0.99998474121093806</v>
      </c>
      <c r="AC38" s="45">
        <v>3.5000000000000003E-2</v>
      </c>
      <c r="AD38" s="45">
        <v>6.0900000000000003E-2</v>
      </c>
      <c r="AE38" s="45">
        <v>8.3873999999999995</v>
      </c>
      <c r="AF38" s="45">
        <v>113.91</v>
      </c>
      <c r="AG38" s="45">
        <v>-206.5427</v>
      </c>
      <c r="AH38" s="45" t="s">
        <v>60</v>
      </c>
      <c r="AI38" s="45" t="s">
        <v>60</v>
      </c>
      <c r="AJ38" s="45" t="s">
        <v>60</v>
      </c>
      <c r="AK38" s="45" t="s">
        <v>60</v>
      </c>
      <c r="AL38" s="45" t="s">
        <v>60</v>
      </c>
      <c r="AM38" s="45" t="s">
        <v>60</v>
      </c>
      <c r="AN38" s="45" t="s">
        <v>60</v>
      </c>
      <c r="AO38" s="45" t="s">
        <v>60</v>
      </c>
      <c r="AP38" s="45" t="s">
        <v>60</v>
      </c>
      <c r="AQ38" s="45" t="s">
        <v>60</v>
      </c>
      <c r="AR38" s="45" t="s">
        <v>60</v>
      </c>
      <c r="AS38" s="45">
        <v>17.283448320000002</v>
      </c>
      <c r="AT38" s="45">
        <v>15.605356799999999</v>
      </c>
      <c r="AU38" s="45">
        <v>7.2869184000000002</v>
      </c>
      <c r="AV38" s="45">
        <v>1.6035071999999999</v>
      </c>
      <c r="AW38" s="45">
        <v>0</v>
      </c>
      <c r="AX38" s="45">
        <v>0</v>
      </c>
      <c r="AY38" s="45">
        <v>169</v>
      </c>
      <c r="AZ38" s="45">
        <v>0</v>
      </c>
      <c r="BA38" s="45">
        <v>0</v>
      </c>
      <c r="BB38" s="45">
        <v>1</v>
      </c>
      <c r="BC38" s="45">
        <v>1</v>
      </c>
      <c r="BD38" s="54" t="s">
        <v>60</v>
      </c>
      <c r="BE38" s="44"/>
      <c r="BF38" s="53"/>
    </row>
    <row r="39" spans="1:58" x14ac:dyDescent="0.25">
      <c r="A39" s="48">
        <v>36</v>
      </c>
      <c r="B39" s="45" t="s">
        <v>329</v>
      </c>
      <c r="C39" s="45">
        <v>3.3296000000000001</v>
      </c>
      <c r="D39" s="45">
        <v>146</v>
      </c>
      <c r="E39" s="45">
        <v>90</v>
      </c>
      <c r="F39" s="45">
        <v>146</v>
      </c>
      <c r="G39" s="45">
        <v>214.3306</v>
      </c>
      <c r="H39" s="45">
        <v>102</v>
      </c>
      <c r="I39" s="45">
        <v>144</v>
      </c>
      <c r="J39" s="106">
        <v>225</v>
      </c>
      <c r="K39" s="45">
        <v>127.0941</v>
      </c>
      <c r="L39" s="45">
        <v>7.3599999999999999E-2</v>
      </c>
      <c r="M39" s="55">
        <v>0</v>
      </c>
      <c r="N39" s="45">
        <v>26.78</v>
      </c>
      <c r="O39" s="45">
        <v>1</v>
      </c>
      <c r="P39" s="45">
        <v>4.2736000000000001</v>
      </c>
      <c r="Q39" s="45">
        <v>16.699200000000001</v>
      </c>
      <c r="R39" s="45">
        <v>0.29759999999999998</v>
      </c>
      <c r="S39" s="45">
        <v>14.3688</v>
      </c>
      <c r="T39" s="45">
        <v>0.28800000000000003</v>
      </c>
      <c r="U39" s="45">
        <v>17.179200000000002</v>
      </c>
      <c r="V39" s="45">
        <v>0.27600000000000002</v>
      </c>
      <c r="W39" s="45">
        <v>8.8727999999999998</v>
      </c>
      <c r="X39" s="45">
        <v>0.26400000000000001</v>
      </c>
      <c r="Y39" s="45">
        <v>47</v>
      </c>
      <c r="Z39" s="45">
        <v>45</v>
      </c>
      <c r="AA39" s="45">
        <v>18.662400000000002</v>
      </c>
      <c r="AB39" s="45">
        <v>0.99998474121093806</v>
      </c>
      <c r="AC39" s="45">
        <v>3.5999999999999997E-2</v>
      </c>
      <c r="AD39" s="45">
        <v>6.0900000000000003E-2</v>
      </c>
      <c r="AE39" s="45">
        <v>8.3873999999999995</v>
      </c>
      <c r="AF39" s="45">
        <v>113.91</v>
      </c>
      <c r="AG39" s="45">
        <v>-206.5427</v>
      </c>
      <c r="AH39" s="45" t="s">
        <v>60</v>
      </c>
      <c r="AI39" s="45" t="s">
        <v>60</v>
      </c>
      <c r="AJ39" s="45" t="s">
        <v>60</v>
      </c>
      <c r="AK39" s="45" t="s">
        <v>60</v>
      </c>
      <c r="AL39" s="45" t="s">
        <v>60</v>
      </c>
      <c r="AM39" s="45" t="s">
        <v>60</v>
      </c>
      <c r="AN39" s="45" t="s">
        <v>60</v>
      </c>
      <c r="AO39" s="45" t="s">
        <v>60</v>
      </c>
      <c r="AP39" s="45" t="s">
        <v>60</v>
      </c>
      <c r="AQ39" s="45" t="s">
        <v>60</v>
      </c>
      <c r="AR39" s="45" t="s">
        <v>60</v>
      </c>
      <c r="AS39" s="45">
        <v>17.283448320000002</v>
      </c>
      <c r="AT39" s="45">
        <v>15.605356799999999</v>
      </c>
      <c r="AU39" s="45">
        <v>9.5139892599840099</v>
      </c>
      <c r="AV39" s="45">
        <v>3.7337488921586202</v>
      </c>
      <c r="AW39" s="45">
        <v>0</v>
      </c>
      <c r="AX39" s="45">
        <v>0</v>
      </c>
      <c r="AY39" s="45">
        <v>169</v>
      </c>
      <c r="AZ39" s="45">
        <v>0</v>
      </c>
      <c r="BA39" s="45">
        <v>0</v>
      </c>
      <c r="BB39" s="45">
        <v>1</v>
      </c>
      <c r="BC39" s="45">
        <v>1</v>
      </c>
      <c r="BD39" s="54" t="s">
        <v>60</v>
      </c>
      <c r="BE39" s="44"/>
      <c r="BF39" s="53"/>
    </row>
    <row r="40" spans="1:58" x14ac:dyDescent="0.25">
      <c r="A40" s="48">
        <v>37</v>
      </c>
      <c r="B40" s="45" t="s">
        <v>330</v>
      </c>
      <c r="C40" s="45">
        <v>3.3296000000000001</v>
      </c>
      <c r="D40" s="45">
        <v>146</v>
      </c>
      <c r="E40" s="45">
        <v>90</v>
      </c>
      <c r="F40" s="45">
        <v>146</v>
      </c>
      <c r="G40" s="45">
        <v>214.3306</v>
      </c>
      <c r="H40" s="45">
        <v>102</v>
      </c>
      <c r="I40" s="45">
        <v>144</v>
      </c>
      <c r="J40" s="106">
        <v>225</v>
      </c>
      <c r="K40" s="45">
        <v>127.0941</v>
      </c>
      <c r="L40" s="45">
        <v>7.3599999999999999E-2</v>
      </c>
      <c r="M40" s="55">
        <v>-12.5</v>
      </c>
      <c r="N40" s="45">
        <v>26.78</v>
      </c>
      <c r="O40" s="45">
        <v>1</v>
      </c>
      <c r="P40" s="45">
        <v>4.2736000000000001</v>
      </c>
      <c r="Q40" s="45">
        <v>16.699200000000001</v>
      </c>
      <c r="R40" s="45">
        <v>0.29759999999999998</v>
      </c>
      <c r="S40" s="45">
        <v>14.3688</v>
      </c>
      <c r="T40" s="45">
        <v>0.28800000000000003</v>
      </c>
      <c r="U40" s="45">
        <v>17.179200000000002</v>
      </c>
      <c r="V40" s="45">
        <v>0.27600000000000002</v>
      </c>
      <c r="W40" s="45">
        <v>8.8727999999999998</v>
      </c>
      <c r="X40" s="45">
        <v>0.26400000000000001</v>
      </c>
      <c r="Y40" s="45">
        <v>47</v>
      </c>
      <c r="Z40" s="45">
        <v>45</v>
      </c>
      <c r="AA40" s="45">
        <v>18.662400000000002</v>
      </c>
      <c r="AB40" s="45">
        <v>0.99998474121093806</v>
      </c>
      <c r="AC40" s="45">
        <v>3.6999999999999998E-2</v>
      </c>
      <c r="AD40" s="45">
        <v>6.0900000000000003E-2</v>
      </c>
      <c r="AE40" s="45">
        <v>8.3873999999999995</v>
      </c>
      <c r="AF40" s="45">
        <v>113.91</v>
      </c>
      <c r="AG40" s="45">
        <v>-206.5427</v>
      </c>
      <c r="AH40" s="45" t="s">
        <v>60</v>
      </c>
      <c r="AI40" s="45" t="s">
        <v>60</v>
      </c>
      <c r="AJ40" s="45" t="s">
        <v>60</v>
      </c>
      <c r="AK40" s="45" t="s">
        <v>60</v>
      </c>
      <c r="AL40" s="45" t="s">
        <v>60</v>
      </c>
      <c r="AM40" s="45" t="s">
        <v>60</v>
      </c>
      <c r="AN40" s="45" t="s">
        <v>60</v>
      </c>
      <c r="AO40" s="45" t="s">
        <v>60</v>
      </c>
      <c r="AP40" s="45" t="s">
        <v>60</v>
      </c>
      <c r="AQ40" s="45" t="s">
        <v>60</v>
      </c>
      <c r="AR40" s="45" t="s">
        <v>60</v>
      </c>
      <c r="AS40" s="45">
        <v>17.283448320000002</v>
      </c>
      <c r="AT40" s="45">
        <v>15.605356799999999</v>
      </c>
      <c r="AU40" s="45">
        <v>12.966304166517499</v>
      </c>
      <c r="AV40" s="45">
        <v>7.0359631505819999</v>
      </c>
      <c r="AW40" s="45">
        <v>0</v>
      </c>
      <c r="AX40" s="45">
        <v>0</v>
      </c>
      <c r="AY40" s="45">
        <v>169</v>
      </c>
      <c r="AZ40" s="45">
        <v>0</v>
      </c>
      <c r="BA40" s="45">
        <v>0</v>
      </c>
      <c r="BB40" s="45">
        <v>1</v>
      </c>
      <c r="BC40" s="45">
        <v>1</v>
      </c>
      <c r="BD40" s="54" t="s">
        <v>60</v>
      </c>
      <c r="BE40" s="44"/>
      <c r="BF40" s="53"/>
    </row>
    <row r="41" spans="1:58" x14ac:dyDescent="0.25">
      <c r="A41" s="48">
        <v>38</v>
      </c>
      <c r="B41" s="45" t="s">
        <v>256</v>
      </c>
      <c r="C41" s="45">
        <v>5.1855000000000002</v>
      </c>
      <c r="D41" s="45">
        <v>233</v>
      </c>
      <c r="E41" s="45">
        <v>251</v>
      </c>
      <c r="F41" s="45">
        <v>164</v>
      </c>
      <c r="G41" s="45">
        <v>30.968499999999999</v>
      </c>
      <c r="H41" s="45">
        <v>165</v>
      </c>
      <c r="I41" s="45">
        <v>70</v>
      </c>
      <c r="J41" s="45">
        <v>42</v>
      </c>
      <c r="K41" s="106">
        <v>44.925899999999999</v>
      </c>
      <c r="L41" s="45">
        <v>1</v>
      </c>
      <c r="M41" s="45">
        <v>1.1499999999999999</v>
      </c>
      <c r="N41" s="55">
        <v>-31</v>
      </c>
      <c r="O41" s="45">
        <v>0.70979999999999999</v>
      </c>
      <c r="P41" s="45">
        <v>6.5397999999999996</v>
      </c>
      <c r="Q41" s="45">
        <v>17.395</v>
      </c>
      <c r="R41" s="45">
        <v>0.31</v>
      </c>
      <c r="S41" s="45">
        <v>14.967500000000001</v>
      </c>
      <c r="T41" s="45">
        <v>0.3</v>
      </c>
      <c r="U41" s="45">
        <v>17.895</v>
      </c>
      <c r="V41" s="45">
        <v>0.28749999999999998</v>
      </c>
      <c r="W41" s="45">
        <v>9.2424999999999997</v>
      </c>
      <c r="X41" s="45">
        <v>0.27499999999999997</v>
      </c>
      <c r="Y41" s="45">
        <v>48</v>
      </c>
      <c r="Z41" s="45">
        <v>46</v>
      </c>
      <c r="AA41" s="45">
        <v>6.5163000000000002</v>
      </c>
      <c r="AB41" s="45">
        <v>0.99998474121093806</v>
      </c>
      <c r="AC41" s="45">
        <v>3.7999999999999999E-2</v>
      </c>
      <c r="AD41" s="45">
        <v>6.0900000000000003E-2</v>
      </c>
      <c r="AE41" s="45">
        <v>-1.4917</v>
      </c>
      <c r="AF41" s="45">
        <v>-22.769400000000001</v>
      </c>
      <c r="AG41" s="45">
        <v>-79.851200000000006</v>
      </c>
      <c r="AH41" s="45" t="s">
        <v>60</v>
      </c>
      <c r="AI41" s="45" t="s">
        <v>60</v>
      </c>
      <c r="AJ41" s="45" t="s">
        <v>60</v>
      </c>
      <c r="AK41" s="45" t="s">
        <v>60</v>
      </c>
      <c r="AL41" s="45" t="s">
        <v>60</v>
      </c>
      <c r="AM41" s="45" t="s">
        <v>60</v>
      </c>
      <c r="AN41" s="45" t="s">
        <v>60</v>
      </c>
      <c r="AO41" s="45" t="s">
        <v>60</v>
      </c>
      <c r="AP41" s="45" t="s">
        <v>60</v>
      </c>
      <c r="AQ41" s="45" t="s">
        <v>60</v>
      </c>
      <c r="AR41" s="45" t="s">
        <v>60</v>
      </c>
      <c r="AS41" s="45">
        <v>9.9824970000000004</v>
      </c>
      <c r="AT41" s="45">
        <v>8.5223600000000008</v>
      </c>
      <c r="AU41" s="45">
        <v>11.1933015338206</v>
      </c>
      <c r="AV41" s="45">
        <v>5.2116172280022797</v>
      </c>
      <c r="AW41" s="45">
        <v>0</v>
      </c>
      <c r="AX41" s="45">
        <v>0</v>
      </c>
      <c r="AY41" s="45">
        <v>169</v>
      </c>
      <c r="AZ41" s="45">
        <v>0</v>
      </c>
      <c r="BA41" s="45">
        <v>0</v>
      </c>
      <c r="BB41" s="45">
        <v>1</v>
      </c>
      <c r="BC41" s="45">
        <v>1</v>
      </c>
      <c r="BD41" s="54" t="s">
        <v>60</v>
      </c>
      <c r="BE41" s="44"/>
      <c r="BF41" s="53"/>
    </row>
    <row r="42" spans="1:58" x14ac:dyDescent="0.25">
      <c r="A42" s="48">
        <v>39</v>
      </c>
      <c r="B42" s="45" t="s">
        <v>257</v>
      </c>
      <c r="C42" s="45">
        <v>5.5640999999999998</v>
      </c>
      <c r="D42" s="45">
        <v>23</v>
      </c>
      <c r="E42" s="45">
        <v>207</v>
      </c>
      <c r="F42" s="45">
        <v>77</v>
      </c>
      <c r="G42" s="45">
        <v>145.46610000000001</v>
      </c>
      <c r="H42" s="45">
        <v>118</v>
      </c>
      <c r="I42" s="45">
        <v>105</v>
      </c>
      <c r="J42" s="45">
        <v>168</v>
      </c>
      <c r="K42" s="106">
        <v>156.60050000000001</v>
      </c>
      <c r="L42" s="45">
        <v>1</v>
      </c>
      <c r="M42" s="45">
        <v>1.25</v>
      </c>
      <c r="N42" s="55">
        <v>31</v>
      </c>
      <c r="O42" s="45">
        <v>0.1537</v>
      </c>
      <c r="P42" s="45">
        <v>5.0354000000000001</v>
      </c>
      <c r="Q42" s="45">
        <v>18.090800000000002</v>
      </c>
      <c r="R42" s="45">
        <v>0.32239999999999996</v>
      </c>
      <c r="S42" s="45">
        <v>15.5662</v>
      </c>
      <c r="T42" s="45">
        <v>0.312</v>
      </c>
      <c r="U42" s="45">
        <v>18.610800000000001</v>
      </c>
      <c r="V42" s="45">
        <v>0.29899999999999999</v>
      </c>
      <c r="W42" s="45">
        <v>9.6121999999999996</v>
      </c>
      <c r="X42" s="45">
        <v>0.28599999999999998</v>
      </c>
      <c r="Y42" s="45">
        <v>49</v>
      </c>
      <c r="Z42" s="45">
        <v>47</v>
      </c>
      <c r="AA42" s="45">
        <v>8.2952999999999992</v>
      </c>
      <c r="AB42" s="45">
        <v>0.99998474121093806</v>
      </c>
      <c r="AC42" s="45">
        <v>3.9E-2</v>
      </c>
      <c r="AD42" s="45">
        <v>6.0900000000000003E-2</v>
      </c>
      <c r="AE42" s="45">
        <v>6.6565000000000003</v>
      </c>
      <c r="AF42" s="45">
        <v>196.56530000000001</v>
      </c>
      <c r="AG42" s="45">
        <v>-22.182700000000001</v>
      </c>
      <c r="AH42" s="45" t="s">
        <v>60</v>
      </c>
      <c r="AI42" s="45" t="s">
        <v>60</v>
      </c>
      <c r="AJ42" s="45" t="s">
        <v>60</v>
      </c>
      <c r="AK42" s="45" t="s">
        <v>60</v>
      </c>
      <c r="AL42" s="45" t="s">
        <v>60</v>
      </c>
      <c r="AM42" s="45" t="s">
        <v>60</v>
      </c>
      <c r="AN42" s="45" t="s">
        <v>60</v>
      </c>
      <c r="AO42" s="45" t="s">
        <v>60</v>
      </c>
      <c r="AP42" s="45" t="s">
        <v>60</v>
      </c>
      <c r="AQ42" s="45" t="s">
        <v>60</v>
      </c>
      <c r="AR42" s="45" t="s">
        <v>60</v>
      </c>
      <c r="AS42" s="45">
        <v>14.9327308</v>
      </c>
      <c r="AT42" s="45">
        <v>13.297679199999999</v>
      </c>
      <c r="AU42" s="45">
        <v>12.3996397340531</v>
      </c>
      <c r="AV42" s="45">
        <v>6.2446897803985699</v>
      </c>
      <c r="AW42" s="45">
        <v>0</v>
      </c>
      <c r="AX42" s="45">
        <v>0</v>
      </c>
      <c r="AY42" s="45">
        <v>169</v>
      </c>
      <c r="AZ42" s="45">
        <v>0</v>
      </c>
      <c r="BA42" s="45">
        <v>0</v>
      </c>
      <c r="BB42" s="45">
        <v>1</v>
      </c>
      <c r="BC42" s="45">
        <v>1</v>
      </c>
      <c r="BD42" s="54" t="s">
        <v>60</v>
      </c>
      <c r="BE42" s="44"/>
      <c r="BF42" s="53"/>
    </row>
    <row r="43" spans="1:58" x14ac:dyDescent="0.25">
      <c r="A43" s="48">
        <v>40</v>
      </c>
      <c r="B43" s="45" t="s">
        <v>258</v>
      </c>
      <c r="C43" s="45">
        <v>3.6394000000000002</v>
      </c>
      <c r="D43" s="45">
        <v>36</v>
      </c>
      <c r="E43" s="45">
        <v>152</v>
      </c>
      <c r="F43" s="45">
        <v>100</v>
      </c>
      <c r="G43" s="45">
        <v>89.051699999999997</v>
      </c>
      <c r="H43" s="45">
        <v>134</v>
      </c>
      <c r="I43" s="45">
        <v>160</v>
      </c>
      <c r="J43" s="45">
        <v>211</v>
      </c>
      <c r="K43" s="106">
        <v>210.3785</v>
      </c>
      <c r="L43" s="45">
        <v>0.37269999999999998</v>
      </c>
      <c r="M43" s="45">
        <v>1.1499999999999999</v>
      </c>
      <c r="N43" s="55">
        <v>11.25</v>
      </c>
      <c r="O43" s="45">
        <v>1</v>
      </c>
      <c r="P43" s="45">
        <v>5.3033999999999999</v>
      </c>
      <c r="Q43" s="45">
        <v>19.090800000000002</v>
      </c>
      <c r="R43" s="45">
        <v>0.32229999999999998</v>
      </c>
      <c r="S43" s="45">
        <v>16.566199999999998</v>
      </c>
      <c r="T43" s="45">
        <v>0.33300000000000002</v>
      </c>
      <c r="U43" s="45">
        <v>19.610800000000001</v>
      </c>
      <c r="V43" s="45">
        <v>0.3</v>
      </c>
      <c r="W43" s="45">
        <v>10.6122</v>
      </c>
      <c r="X43" s="45">
        <v>0.26800000000000002</v>
      </c>
      <c r="Y43" s="45">
        <v>50</v>
      </c>
      <c r="Z43" s="45">
        <v>48</v>
      </c>
      <c r="AA43" s="45">
        <v>0.62409999999999999</v>
      </c>
      <c r="AB43" s="45">
        <v>0.63029999999999997</v>
      </c>
      <c r="AC43" s="45">
        <v>0.04</v>
      </c>
      <c r="AD43" s="45">
        <v>0.12565000000000001</v>
      </c>
      <c r="AE43" s="45">
        <v>8.3169000000000004</v>
      </c>
      <c r="AF43" s="45">
        <v>193.3588</v>
      </c>
      <c r="AG43" s="45">
        <v>7.5201000000000002</v>
      </c>
      <c r="AH43" s="45" t="s">
        <v>60</v>
      </c>
      <c r="AI43" s="45" t="s">
        <v>60</v>
      </c>
      <c r="AJ43" s="45" t="s">
        <v>60</v>
      </c>
      <c r="AK43" s="45" t="s">
        <v>60</v>
      </c>
      <c r="AL43" s="45" t="s">
        <v>60</v>
      </c>
      <c r="AM43" s="45" t="s">
        <v>60</v>
      </c>
      <c r="AN43" s="45" t="s">
        <v>60</v>
      </c>
      <c r="AO43" s="45" t="s">
        <v>60</v>
      </c>
      <c r="AP43" s="45" t="s">
        <v>60</v>
      </c>
      <c r="AQ43" s="45" t="s">
        <v>60</v>
      </c>
      <c r="AR43" s="45" t="s">
        <v>60</v>
      </c>
      <c r="AS43" s="45">
        <v>13.138982589999999</v>
      </c>
      <c r="AT43" s="45">
        <v>11.2574807</v>
      </c>
      <c r="AU43" s="45">
        <v>13.91479</v>
      </c>
      <c r="AV43" s="45">
        <v>7.9353892000000004</v>
      </c>
      <c r="AW43" s="45">
        <v>0</v>
      </c>
      <c r="AX43" s="45">
        <v>0</v>
      </c>
      <c r="AY43" s="45">
        <v>169</v>
      </c>
      <c r="AZ43" s="45">
        <v>0</v>
      </c>
      <c r="BA43" s="45">
        <v>0</v>
      </c>
      <c r="BB43" s="45">
        <v>1</v>
      </c>
      <c r="BC43" s="45">
        <v>1</v>
      </c>
      <c r="BD43" s="54" t="s">
        <v>60</v>
      </c>
      <c r="BE43" s="44"/>
      <c r="BF43" s="53"/>
    </row>
    <row r="44" spans="1:58" x14ac:dyDescent="0.25">
      <c r="A44" s="48">
        <v>41</v>
      </c>
      <c r="B44" s="45" t="s">
        <v>331</v>
      </c>
      <c r="C44" s="45">
        <v>3.6394000000000002</v>
      </c>
      <c r="D44" s="45">
        <v>36</v>
      </c>
      <c r="E44" s="45">
        <v>152</v>
      </c>
      <c r="F44" s="45">
        <v>100</v>
      </c>
      <c r="G44" s="45">
        <v>89.051699999999997</v>
      </c>
      <c r="H44" s="45">
        <v>134</v>
      </c>
      <c r="I44" s="45">
        <v>160</v>
      </c>
      <c r="J44" s="45">
        <v>211</v>
      </c>
      <c r="K44" s="106">
        <v>210.3785</v>
      </c>
      <c r="L44" s="45">
        <v>0.37269999999999998</v>
      </c>
      <c r="M44" s="45">
        <v>1.1499999999999999</v>
      </c>
      <c r="N44" s="55">
        <v>0</v>
      </c>
      <c r="O44" s="45">
        <v>1</v>
      </c>
      <c r="P44" s="45">
        <v>5.3033999999999999</v>
      </c>
      <c r="Q44" s="45">
        <v>19.090800000000002</v>
      </c>
      <c r="R44" s="45">
        <v>0.32229999999999998</v>
      </c>
      <c r="S44" s="45">
        <v>16.566199999999998</v>
      </c>
      <c r="T44" s="45">
        <v>0.33300000000000002</v>
      </c>
      <c r="U44" s="45">
        <v>19.610800000000001</v>
      </c>
      <c r="V44" s="45">
        <v>0.3</v>
      </c>
      <c r="W44" s="45">
        <v>10.6122</v>
      </c>
      <c r="X44" s="45">
        <v>0.26800000000000002</v>
      </c>
      <c r="Y44" s="45">
        <v>50</v>
      </c>
      <c r="Z44" s="45">
        <v>48</v>
      </c>
      <c r="AA44" s="45">
        <v>0.62409999999999999</v>
      </c>
      <c r="AB44" s="45">
        <v>0.63029999999999997</v>
      </c>
      <c r="AC44" s="45">
        <v>7.4999999999999997E-2</v>
      </c>
      <c r="AD44" s="45">
        <v>0.12565000000000001</v>
      </c>
      <c r="AE44" s="45">
        <v>8.3169000000000004</v>
      </c>
      <c r="AF44" s="45">
        <v>193.3588</v>
      </c>
      <c r="AG44" s="45">
        <v>7.5201000000000002</v>
      </c>
      <c r="AH44" s="45" t="s">
        <v>60</v>
      </c>
      <c r="AI44" s="45" t="s">
        <v>60</v>
      </c>
      <c r="AJ44" s="45" t="s">
        <v>60</v>
      </c>
      <c r="AK44" s="45" t="s">
        <v>60</v>
      </c>
      <c r="AL44" s="45" t="s">
        <v>60</v>
      </c>
      <c r="AM44" s="45" t="s">
        <v>60</v>
      </c>
      <c r="AN44" s="45" t="s">
        <v>60</v>
      </c>
      <c r="AO44" s="45" t="s">
        <v>60</v>
      </c>
      <c r="AP44" s="45" t="s">
        <v>60</v>
      </c>
      <c r="AQ44" s="45" t="s">
        <v>60</v>
      </c>
      <c r="AR44" s="45" t="s">
        <v>60</v>
      </c>
      <c r="AS44" s="45">
        <v>13.138982589999999</v>
      </c>
      <c r="AT44" s="45">
        <v>11.2574807</v>
      </c>
      <c r="AU44" s="45">
        <v>13.91479</v>
      </c>
      <c r="AV44" s="45">
        <v>7.9353892000000004</v>
      </c>
      <c r="AW44" s="45">
        <v>0</v>
      </c>
      <c r="AX44" s="45">
        <v>0</v>
      </c>
      <c r="AY44" s="45">
        <v>169</v>
      </c>
      <c r="AZ44" s="45">
        <v>0</v>
      </c>
      <c r="BA44" s="45">
        <v>0</v>
      </c>
      <c r="BB44" s="45">
        <v>1</v>
      </c>
      <c r="BC44" s="45">
        <v>1</v>
      </c>
      <c r="BD44" s="54" t="s">
        <v>60</v>
      </c>
      <c r="BE44" s="44"/>
      <c r="BF44" s="53"/>
    </row>
    <row r="45" spans="1:58" x14ac:dyDescent="0.25">
      <c r="A45" s="48">
        <v>42</v>
      </c>
      <c r="B45" s="45" t="s">
        <v>332</v>
      </c>
      <c r="C45" s="45">
        <v>3.6394000000000002</v>
      </c>
      <c r="D45" s="45">
        <v>36</v>
      </c>
      <c r="E45" s="45">
        <v>152</v>
      </c>
      <c r="F45" s="45">
        <v>100</v>
      </c>
      <c r="G45" s="45">
        <v>89.051699999999997</v>
      </c>
      <c r="H45" s="45">
        <v>134</v>
      </c>
      <c r="I45" s="45">
        <v>160</v>
      </c>
      <c r="J45" s="45">
        <v>211</v>
      </c>
      <c r="K45" s="106">
        <v>210.3785</v>
      </c>
      <c r="L45" s="45">
        <v>0.37269999999999998</v>
      </c>
      <c r="M45" s="45">
        <v>12.15</v>
      </c>
      <c r="N45" s="55">
        <v>-11.25</v>
      </c>
      <c r="O45" s="45">
        <v>1</v>
      </c>
      <c r="P45" s="45">
        <v>5.3033999999999999</v>
      </c>
      <c r="Q45" s="45">
        <v>19.090800000000002</v>
      </c>
      <c r="R45" s="45">
        <v>0.32229999999999998</v>
      </c>
      <c r="S45" s="45">
        <v>16.566199999999998</v>
      </c>
      <c r="T45" s="45">
        <v>0.33300000000000002</v>
      </c>
      <c r="U45" s="45">
        <v>19.610800000000001</v>
      </c>
      <c r="V45" s="45">
        <v>0.3</v>
      </c>
      <c r="W45" s="45">
        <v>10.6122</v>
      </c>
      <c r="X45" s="45">
        <v>0.26800000000000002</v>
      </c>
      <c r="Y45" s="45">
        <v>50</v>
      </c>
      <c r="Z45" s="45">
        <v>48</v>
      </c>
      <c r="AA45" s="45">
        <v>0.62409999999999999</v>
      </c>
      <c r="AB45" s="45">
        <v>0.63029999999999997</v>
      </c>
      <c r="AC45" s="45">
        <v>4.2000000000000003E-2</v>
      </c>
      <c r="AD45" s="45">
        <v>0.12565000000000001</v>
      </c>
      <c r="AE45" s="45">
        <v>8.3169000000000004</v>
      </c>
      <c r="AF45" s="45">
        <v>193.3588</v>
      </c>
      <c r="AG45" s="45">
        <v>7.5201000000000002</v>
      </c>
      <c r="AH45" s="45" t="s">
        <v>60</v>
      </c>
      <c r="AI45" s="45" t="s">
        <v>60</v>
      </c>
      <c r="AJ45" s="45" t="s">
        <v>60</v>
      </c>
      <c r="AK45" s="45" t="s">
        <v>60</v>
      </c>
      <c r="AL45" s="45" t="s">
        <v>60</v>
      </c>
      <c r="AM45" s="45" t="s">
        <v>60</v>
      </c>
      <c r="AN45" s="45" t="s">
        <v>60</v>
      </c>
      <c r="AO45" s="45" t="s">
        <v>60</v>
      </c>
      <c r="AP45" s="45" t="s">
        <v>60</v>
      </c>
      <c r="AQ45" s="45" t="s">
        <v>60</v>
      </c>
      <c r="AR45" s="45" t="s">
        <v>60</v>
      </c>
      <c r="AS45" s="45">
        <v>13.138982589999999</v>
      </c>
      <c r="AT45" s="45">
        <v>11.2574807</v>
      </c>
      <c r="AU45" s="45">
        <v>13.91479</v>
      </c>
      <c r="AV45" s="45">
        <v>7.9353892000000004</v>
      </c>
      <c r="AW45" s="45">
        <v>0</v>
      </c>
      <c r="AX45" s="45">
        <v>0</v>
      </c>
      <c r="AY45" s="45">
        <v>169</v>
      </c>
      <c r="AZ45" s="45">
        <v>0</v>
      </c>
      <c r="BA45" s="45">
        <v>0</v>
      </c>
      <c r="BB45" s="45">
        <v>1</v>
      </c>
      <c r="BC45" s="45">
        <v>1</v>
      </c>
      <c r="BD45" s="54" t="s">
        <v>60</v>
      </c>
      <c r="BE45" s="44"/>
      <c r="BF45" s="53"/>
    </row>
    <row r="46" spans="1:58" x14ac:dyDescent="0.25">
      <c r="A46" s="48">
        <v>43</v>
      </c>
      <c r="B46" s="45" t="s">
        <v>259</v>
      </c>
      <c r="C46" s="45">
        <v>4.6306000000000003</v>
      </c>
      <c r="D46" s="45">
        <v>168</v>
      </c>
      <c r="E46" s="45">
        <v>30</v>
      </c>
      <c r="F46" s="45">
        <v>217</v>
      </c>
      <c r="G46" s="45">
        <v>197.12289999999999</v>
      </c>
      <c r="H46" s="45">
        <v>61</v>
      </c>
      <c r="I46" s="45">
        <v>206</v>
      </c>
      <c r="J46" s="45">
        <v>83</v>
      </c>
      <c r="K46" s="106">
        <v>184.70169999999999</v>
      </c>
      <c r="L46" s="45">
        <v>1</v>
      </c>
      <c r="M46" s="106">
        <v>12.25</v>
      </c>
      <c r="N46" s="45">
        <v>26.78</v>
      </c>
      <c r="O46" s="55">
        <v>0</v>
      </c>
      <c r="P46" s="45">
        <v>1.9221999999999999</v>
      </c>
      <c r="Q46" s="45">
        <v>18.7866</v>
      </c>
      <c r="R46" s="45">
        <v>0.33479999999999999</v>
      </c>
      <c r="S46" s="45">
        <v>16.164899999999999</v>
      </c>
      <c r="T46" s="45">
        <v>0.32400000000000001</v>
      </c>
      <c r="U46" s="45">
        <v>19.326599999999999</v>
      </c>
      <c r="V46" s="45">
        <v>0.3105</v>
      </c>
      <c r="W46" s="45">
        <v>9.9818999999999996</v>
      </c>
      <c r="X46" s="45">
        <v>0.29699999999999999</v>
      </c>
      <c r="Y46" s="45">
        <v>51</v>
      </c>
      <c r="Z46" s="45">
        <v>49</v>
      </c>
      <c r="AA46" s="45">
        <v>13.577199999999999</v>
      </c>
      <c r="AB46" s="45">
        <v>0.85719999999999996</v>
      </c>
      <c r="AC46" s="45">
        <v>4.2999999999999997E-2</v>
      </c>
      <c r="AD46" s="45">
        <v>0.12565000000000001</v>
      </c>
      <c r="AE46" s="45">
        <v>2.9077000000000002</v>
      </c>
      <c r="AF46" s="45">
        <v>195.52260000000001</v>
      </c>
      <c r="AG46" s="45">
        <v>54.474699999999999</v>
      </c>
      <c r="AH46" s="45" t="s">
        <v>60</v>
      </c>
      <c r="AI46" s="45" t="s">
        <v>60</v>
      </c>
      <c r="AJ46" s="45" t="s">
        <v>60</v>
      </c>
      <c r="AK46" s="45" t="s">
        <v>60</v>
      </c>
      <c r="AL46" s="45" t="s">
        <v>60</v>
      </c>
      <c r="AM46" s="45" t="s">
        <v>60</v>
      </c>
      <c r="AN46" s="45" t="s">
        <v>60</v>
      </c>
      <c r="AO46" s="45" t="s">
        <v>60</v>
      </c>
      <c r="AP46" s="45" t="s">
        <v>60</v>
      </c>
      <c r="AQ46" s="45" t="s">
        <v>60</v>
      </c>
      <c r="AR46" s="45" t="s">
        <v>60</v>
      </c>
      <c r="AS46" s="45">
        <v>12.0245827371894</v>
      </c>
      <c r="AT46" s="45">
        <v>10.470443126312301</v>
      </c>
      <c r="AU46" s="45">
        <v>10.7896439478096</v>
      </c>
      <c r="AV46" s="45">
        <v>4.5914918500787802</v>
      </c>
      <c r="AW46" s="45">
        <v>21</v>
      </c>
      <c r="AX46" s="45">
        <v>0</v>
      </c>
      <c r="AY46" s="45">
        <v>0</v>
      </c>
      <c r="AZ46" s="45">
        <v>0</v>
      </c>
      <c r="BA46" s="45">
        <v>0</v>
      </c>
      <c r="BB46" s="45">
        <v>1</v>
      </c>
      <c r="BC46" s="45">
        <v>0</v>
      </c>
      <c r="BD46" s="54" t="s">
        <v>60</v>
      </c>
      <c r="BE46" s="44"/>
      <c r="BF46" s="53"/>
    </row>
    <row r="47" spans="1:58" x14ac:dyDescent="0.25">
      <c r="A47" s="48">
        <v>44</v>
      </c>
      <c r="B47" s="45" t="s">
        <v>260</v>
      </c>
      <c r="C47" s="45">
        <v>2.2557999999999998</v>
      </c>
      <c r="D47" s="45">
        <v>202</v>
      </c>
      <c r="E47" s="45">
        <v>220</v>
      </c>
      <c r="F47" s="45">
        <v>122</v>
      </c>
      <c r="G47" s="45">
        <v>166.2379</v>
      </c>
      <c r="H47" s="45">
        <v>22</v>
      </c>
      <c r="I47" s="45">
        <v>188</v>
      </c>
      <c r="J47" s="45">
        <v>252</v>
      </c>
      <c r="K47" s="45">
        <v>215.5735</v>
      </c>
      <c r="L47" s="106">
        <v>0.90280000000000005</v>
      </c>
      <c r="M47" s="45">
        <v>12.35</v>
      </c>
      <c r="N47" s="45">
        <v>26.78</v>
      </c>
      <c r="O47" s="55">
        <v>1</v>
      </c>
      <c r="P47" s="45">
        <v>6.9355000000000002</v>
      </c>
      <c r="Q47" s="45">
        <v>19.482399999999998</v>
      </c>
      <c r="R47" s="45">
        <v>0.34720000000000001</v>
      </c>
      <c r="S47" s="45">
        <v>16.7636</v>
      </c>
      <c r="T47" s="45">
        <v>0.33600000000000002</v>
      </c>
      <c r="U47" s="45">
        <v>20.042400000000001</v>
      </c>
      <c r="V47" s="45">
        <v>0.32200000000000001</v>
      </c>
      <c r="W47" s="45">
        <v>10.351599999999999</v>
      </c>
      <c r="X47" s="45">
        <v>0.308</v>
      </c>
      <c r="Y47" s="45">
        <v>52</v>
      </c>
      <c r="Z47" s="45">
        <v>50</v>
      </c>
      <c r="AA47" s="45">
        <v>14.086499999999999</v>
      </c>
      <c r="AB47" s="45">
        <v>0.19400000000000001</v>
      </c>
      <c r="AC47" s="45">
        <v>4.3999999999999997E-2</v>
      </c>
      <c r="AD47" s="45">
        <v>0.12565000000000001</v>
      </c>
      <c r="AE47" s="45">
        <v>-8.6432000000000002</v>
      </c>
      <c r="AF47" s="45">
        <v>73.586299999999994</v>
      </c>
      <c r="AG47" s="45">
        <v>-81.140500000000003</v>
      </c>
      <c r="AH47" s="45" t="s">
        <v>60</v>
      </c>
      <c r="AI47" s="45" t="s">
        <v>60</v>
      </c>
      <c r="AJ47" s="45" t="s">
        <v>60</v>
      </c>
      <c r="AK47" s="45" t="s">
        <v>60</v>
      </c>
      <c r="AL47" s="45" t="s">
        <v>60</v>
      </c>
      <c r="AM47" s="45" t="s">
        <v>60</v>
      </c>
      <c r="AN47" s="45" t="s">
        <v>60</v>
      </c>
      <c r="AO47" s="45" t="s">
        <v>60</v>
      </c>
      <c r="AP47" s="45" t="s">
        <v>60</v>
      </c>
      <c r="AQ47" s="45" t="s">
        <v>60</v>
      </c>
      <c r="AR47" s="45" t="s">
        <v>60</v>
      </c>
      <c r="AS47" s="45">
        <v>17.60894352</v>
      </c>
      <c r="AT47" s="45">
        <v>15.864094400000001</v>
      </c>
      <c r="AU47" s="45">
        <v>16.8706048234382</v>
      </c>
      <c r="AV47" s="45">
        <v>10.302475361549501</v>
      </c>
      <c r="AW47" s="45">
        <v>0</v>
      </c>
      <c r="AX47" s="45">
        <v>0</v>
      </c>
      <c r="AY47" s="45">
        <v>169</v>
      </c>
      <c r="AZ47" s="45">
        <v>0</v>
      </c>
      <c r="BA47" s="45">
        <v>0</v>
      </c>
      <c r="BB47" s="45">
        <v>1</v>
      </c>
      <c r="BC47" s="45">
        <v>1</v>
      </c>
      <c r="BD47" s="54" t="s">
        <v>60</v>
      </c>
      <c r="BE47" s="44"/>
      <c r="BF47" s="53"/>
    </row>
    <row r="48" spans="1:58" x14ac:dyDescent="0.25">
      <c r="A48" s="48">
        <v>45</v>
      </c>
      <c r="B48" s="45" t="s">
        <v>352</v>
      </c>
      <c r="C48" s="45">
        <v>2.2557999999999998</v>
      </c>
      <c r="D48" s="45">
        <v>202</v>
      </c>
      <c r="E48" s="45">
        <v>220</v>
      </c>
      <c r="F48" s="45">
        <v>122</v>
      </c>
      <c r="G48" s="45">
        <v>166.2379</v>
      </c>
      <c r="H48" s="45">
        <v>22</v>
      </c>
      <c r="I48" s="45">
        <v>188</v>
      </c>
      <c r="J48" s="45">
        <v>252</v>
      </c>
      <c r="K48" s="45">
        <v>215.5735</v>
      </c>
      <c r="L48" s="106">
        <v>0.90280000000000005</v>
      </c>
      <c r="M48" s="106">
        <v>12.45</v>
      </c>
      <c r="N48" s="45">
        <v>26.78</v>
      </c>
      <c r="O48" s="55">
        <v>1.2449999999999999E-2</v>
      </c>
      <c r="P48" s="45">
        <v>6.9355000000000002</v>
      </c>
      <c r="Q48" s="45">
        <v>19.482399999999998</v>
      </c>
      <c r="R48" s="45">
        <v>0.34720000000000001</v>
      </c>
      <c r="S48" s="45">
        <v>16.7636</v>
      </c>
      <c r="T48" s="45">
        <v>0.33600000000000002</v>
      </c>
      <c r="U48" s="45">
        <v>20.042400000000001</v>
      </c>
      <c r="V48" s="45">
        <v>0.32200000000000001</v>
      </c>
      <c r="W48" s="45">
        <v>10.351599999999999</v>
      </c>
      <c r="X48" s="45">
        <v>0.308</v>
      </c>
      <c r="Y48" s="45">
        <v>52</v>
      </c>
      <c r="Z48" s="45">
        <v>50</v>
      </c>
      <c r="AA48" s="45">
        <v>14.086499999999999</v>
      </c>
      <c r="AB48" s="45">
        <v>0.19400000000000001</v>
      </c>
      <c r="AC48" s="45">
        <v>4.4999999999999998E-2</v>
      </c>
      <c r="AD48" s="45">
        <v>0.12565000000000001</v>
      </c>
      <c r="AE48" s="45">
        <v>-8.6432000000000002</v>
      </c>
      <c r="AF48" s="45">
        <v>73.586299999999994</v>
      </c>
      <c r="AG48" s="45">
        <v>-81.140500000000003</v>
      </c>
      <c r="AH48" s="45" t="s">
        <v>60</v>
      </c>
      <c r="AI48" s="45" t="s">
        <v>60</v>
      </c>
      <c r="AJ48" s="45" t="s">
        <v>60</v>
      </c>
      <c r="AK48" s="45" t="s">
        <v>60</v>
      </c>
      <c r="AL48" s="45" t="s">
        <v>60</v>
      </c>
      <c r="AM48" s="45" t="s">
        <v>60</v>
      </c>
      <c r="AN48" s="45" t="s">
        <v>60</v>
      </c>
      <c r="AO48" s="45" t="s">
        <v>60</v>
      </c>
      <c r="AP48" s="45" t="s">
        <v>60</v>
      </c>
      <c r="AQ48" s="45" t="s">
        <v>60</v>
      </c>
      <c r="AR48" s="45" t="s">
        <v>60</v>
      </c>
      <c r="AS48" s="45">
        <v>17.60894352</v>
      </c>
      <c r="AT48" s="45">
        <v>15.864094400000001</v>
      </c>
      <c r="AU48" s="45">
        <v>16.8585481420082</v>
      </c>
      <c r="AV48" s="45">
        <v>10.29094288366</v>
      </c>
      <c r="AW48" s="45">
        <v>0</v>
      </c>
      <c r="AX48" s="45">
        <v>0</v>
      </c>
      <c r="AY48" s="45">
        <v>169</v>
      </c>
      <c r="AZ48" s="45">
        <v>0</v>
      </c>
      <c r="BA48" s="45">
        <v>0</v>
      </c>
      <c r="BB48" s="45">
        <v>1</v>
      </c>
      <c r="BC48" s="45">
        <v>1</v>
      </c>
      <c r="BD48" s="54" t="s">
        <v>60</v>
      </c>
      <c r="BE48" s="44"/>
      <c r="BF48" s="53"/>
    </row>
    <row r="49" spans="1:58" x14ac:dyDescent="0.25">
      <c r="A49" s="48">
        <v>46</v>
      </c>
      <c r="B49" s="45" t="s">
        <v>261</v>
      </c>
      <c r="C49" s="45">
        <v>4.8335999999999997</v>
      </c>
      <c r="D49" s="45">
        <v>74</v>
      </c>
      <c r="E49" s="45">
        <v>225</v>
      </c>
      <c r="F49" s="45">
        <v>11</v>
      </c>
      <c r="G49" s="45">
        <v>53.4694</v>
      </c>
      <c r="H49" s="45">
        <v>122</v>
      </c>
      <c r="I49" s="45">
        <v>182</v>
      </c>
      <c r="J49" s="45">
        <v>249</v>
      </c>
      <c r="K49" s="45">
        <v>182.99639999999999</v>
      </c>
      <c r="L49" s="106">
        <v>1</v>
      </c>
      <c r="M49" s="45">
        <v>12.55</v>
      </c>
      <c r="N49" s="45">
        <v>26.78</v>
      </c>
      <c r="O49" s="45">
        <v>1</v>
      </c>
      <c r="P49" s="55">
        <v>0</v>
      </c>
      <c r="Q49" s="45">
        <v>20.1782</v>
      </c>
      <c r="R49" s="45">
        <v>0.35959999999999998</v>
      </c>
      <c r="S49" s="45">
        <v>17.362300000000001</v>
      </c>
      <c r="T49" s="45">
        <v>0.34800000000000003</v>
      </c>
      <c r="U49" s="45">
        <v>20.758199999999999</v>
      </c>
      <c r="V49" s="45">
        <v>0.33350000000000002</v>
      </c>
      <c r="W49" s="45">
        <v>10.721299999999999</v>
      </c>
      <c r="X49" s="45">
        <v>0.31900000000000001</v>
      </c>
      <c r="Y49" s="45">
        <v>53</v>
      </c>
      <c r="Z49" s="45">
        <v>51</v>
      </c>
      <c r="AA49" s="45">
        <v>13.8904</v>
      </c>
      <c r="AB49" s="45">
        <v>6.1000000000000004E-3</v>
      </c>
      <c r="AC49" s="45">
        <v>4.5999999999999999E-2</v>
      </c>
      <c r="AD49" s="45">
        <v>0.12565000000000001</v>
      </c>
      <c r="AE49" s="45">
        <v>-8.0673999999999992</v>
      </c>
      <c r="AF49" s="45">
        <v>-123.8326</v>
      </c>
      <c r="AG49" s="45">
        <v>-48.353400000000001</v>
      </c>
      <c r="AH49" s="45" t="s">
        <v>60</v>
      </c>
      <c r="AI49" s="45" t="s">
        <v>60</v>
      </c>
      <c r="AJ49" s="45" t="s">
        <v>60</v>
      </c>
      <c r="AK49" s="45" t="s">
        <v>60</v>
      </c>
      <c r="AL49" s="45" t="s">
        <v>60</v>
      </c>
      <c r="AM49" s="45" t="s">
        <v>60</v>
      </c>
      <c r="AN49" s="45" t="s">
        <v>60</v>
      </c>
      <c r="AO49" s="45" t="s">
        <v>60</v>
      </c>
      <c r="AP49" s="45" t="s">
        <v>60</v>
      </c>
      <c r="AQ49" s="45" t="s">
        <v>60</v>
      </c>
      <c r="AR49" s="45" t="s">
        <v>60</v>
      </c>
      <c r="AS49" s="45">
        <v>17.917107120000001</v>
      </c>
      <c r="AT49" s="45">
        <v>16.154078800000001</v>
      </c>
      <c r="AU49" s="45">
        <v>9.2028918999999991</v>
      </c>
      <c r="AV49" s="45">
        <v>2.8701677000000001</v>
      </c>
      <c r="AW49" s="45">
        <v>0</v>
      </c>
      <c r="AX49" s="45">
        <v>0</v>
      </c>
      <c r="AY49" s="45">
        <v>169</v>
      </c>
      <c r="AZ49" s="45">
        <v>0</v>
      </c>
      <c r="BA49" s="45">
        <v>0</v>
      </c>
      <c r="BB49" s="45">
        <v>1</v>
      </c>
      <c r="BC49" s="45">
        <v>1</v>
      </c>
      <c r="BD49" s="54" t="s">
        <v>60</v>
      </c>
      <c r="BE49" s="44"/>
      <c r="BF49" s="53"/>
    </row>
    <row r="50" spans="1:58" x14ac:dyDescent="0.25">
      <c r="A50" s="48">
        <v>47</v>
      </c>
      <c r="B50" s="45" t="s">
        <v>262</v>
      </c>
      <c r="C50" s="45">
        <v>1.3902000000000001</v>
      </c>
      <c r="D50" s="45">
        <v>70</v>
      </c>
      <c r="E50" s="45">
        <v>138</v>
      </c>
      <c r="F50" s="45">
        <v>180</v>
      </c>
      <c r="G50" s="45">
        <v>239.3579</v>
      </c>
      <c r="H50" s="45">
        <v>180</v>
      </c>
      <c r="I50" s="45">
        <v>229</v>
      </c>
      <c r="J50" s="45">
        <v>205</v>
      </c>
      <c r="K50" s="45">
        <v>84.924999999999997</v>
      </c>
      <c r="L50" s="106">
        <v>1</v>
      </c>
      <c r="M50" s="106">
        <v>12.65</v>
      </c>
      <c r="N50" s="45">
        <v>26.78</v>
      </c>
      <c r="O50" s="45">
        <v>0.91869999999999996</v>
      </c>
      <c r="P50" s="55">
        <v>8.8000000000000007</v>
      </c>
      <c r="Q50" s="45">
        <v>20.873999999999999</v>
      </c>
      <c r="R50" s="45">
        <v>0.372</v>
      </c>
      <c r="S50" s="45">
        <v>17.960999999999999</v>
      </c>
      <c r="T50" s="45">
        <v>0.36</v>
      </c>
      <c r="U50" s="45">
        <v>21.474</v>
      </c>
      <c r="V50" s="45">
        <v>0.34499999999999997</v>
      </c>
      <c r="W50" s="45">
        <v>11.090999999999999</v>
      </c>
      <c r="X50" s="45">
        <v>0.32999999999999996</v>
      </c>
      <c r="Y50" s="45">
        <v>54</v>
      </c>
      <c r="Z50" s="45">
        <v>52</v>
      </c>
      <c r="AA50" s="45">
        <v>9.1710999999999991</v>
      </c>
      <c r="AB50" s="45">
        <v>0.99998474121093806</v>
      </c>
      <c r="AC50" s="45">
        <v>4.7E-2</v>
      </c>
      <c r="AD50" s="45">
        <v>0.12565000000000001</v>
      </c>
      <c r="AE50" s="45">
        <v>-1.7265999999999999</v>
      </c>
      <c r="AF50" s="45">
        <v>35.795099999999998</v>
      </c>
      <c r="AG50" s="45">
        <v>-154.60130000000001</v>
      </c>
      <c r="AH50" s="45" t="s">
        <v>60</v>
      </c>
      <c r="AI50" s="45" t="s">
        <v>60</v>
      </c>
      <c r="AJ50" s="45" t="s">
        <v>60</v>
      </c>
      <c r="AK50" s="45" t="s">
        <v>60</v>
      </c>
      <c r="AL50" s="45" t="s">
        <v>60</v>
      </c>
      <c r="AM50" s="45" t="s">
        <v>60</v>
      </c>
      <c r="AN50" s="45" t="s">
        <v>60</v>
      </c>
      <c r="AO50" s="45" t="s">
        <v>60</v>
      </c>
      <c r="AP50" s="45" t="s">
        <v>60</v>
      </c>
      <c r="AQ50" s="45" t="s">
        <v>60</v>
      </c>
      <c r="AR50" s="45" t="s">
        <v>60</v>
      </c>
      <c r="AS50" s="45">
        <v>16.520521200000001</v>
      </c>
      <c r="AT50" s="45">
        <v>14.796635999999999</v>
      </c>
      <c r="AU50" s="45">
        <v>10.9014405</v>
      </c>
      <c r="AV50" s="45">
        <v>4.4045069999999997</v>
      </c>
      <c r="AW50" s="45">
        <v>0</v>
      </c>
      <c r="AX50" s="45">
        <v>0</v>
      </c>
      <c r="AY50" s="45">
        <v>169</v>
      </c>
      <c r="AZ50" s="45">
        <v>0</v>
      </c>
      <c r="BA50" s="45">
        <v>0</v>
      </c>
      <c r="BB50" s="45">
        <v>1</v>
      </c>
      <c r="BC50" s="45">
        <v>1</v>
      </c>
      <c r="BD50" s="54" t="s">
        <v>60</v>
      </c>
      <c r="BE50" s="44"/>
      <c r="BF50" s="53"/>
    </row>
    <row r="51" spans="1:58" x14ac:dyDescent="0.25">
      <c r="A51" s="48">
        <v>48</v>
      </c>
      <c r="B51" s="45" t="s">
        <v>263</v>
      </c>
      <c r="C51" s="45">
        <v>8.8000000000000007</v>
      </c>
      <c r="D51" s="45">
        <v>79</v>
      </c>
      <c r="E51" s="45">
        <v>25</v>
      </c>
      <c r="F51" s="45">
        <v>146</v>
      </c>
      <c r="G51" s="45">
        <v>186.00579999999999</v>
      </c>
      <c r="H51" s="45">
        <v>72</v>
      </c>
      <c r="I51" s="45">
        <v>179</v>
      </c>
      <c r="J51" s="45">
        <v>223</v>
      </c>
      <c r="K51" s="45">
        <v>9.6097999999999999</v>
      </c>
      <c r="L51" s="45">
        <v>1</v>
      </c>
      <c r="M51" s="45">
        <v>12.75</v>
      </c>
      <c r="N51" s="45">
        <v>1.45</v>
      </c>
      <c r="O51" s="45">
        <v>0.2301</v>
      </c>
      <c r="P51" s="55">
        <v>2.6400999999999999</v>
      </c>
      <c r="Q51" s="45">
        <v>21.569800000000001</v>
      </c>
      <c r="R51" s="45">
        <v>0.38439999999999996</v>
      </c>
      <c r="S51" s="45">
        <v>18.559699999999999</v>
      </c>
      <c r="T51" s="45">
        <v>0.372</v>
      </c>
      <c r="U51" s="45">
        <v>22.189799999999998</v>
      </c>
      <c r="V51" s="45">
        <v>0.35649999999999998</v>
      </c>
      <c r="W51" s="45">
        <v>11.460699999999999</v>
      </c>
      <c r="X51" s="45">
        <v>0.34099999999999997</v>
      </c>
      <c r="Y51" s="45">
        <v>55</v>
      </c>
      <c r="Z51" s="45">
        <v>53</v>
      </c>
      <c r="AA51" s="45">
        <v>1.1894</v>
      </c>
      <c r="AB51" s="45">
        <v>0.99998474121093806</v>
      </c>
      <c r="AC51" s="45">
        <v>4.8000000000000001E-2</v>
      </c>
      <c r="AD51" s="45">
        <v>0.12565000000000001</v>
      </c>
      <c r="AE51" s="45">
        <v>-4.2663000000000002</v>
      </c>
      <c r="AF51" s="45">
        <v>165.7362</v>
      </c>
      <c r="AG51" s="45">
        <v>49.989400000000003</v>
      </c>
      <c r="AH51" s="45" t="s">
        <v>60</v>
      </c>
      <c r="AI51" s="45" t="s">
        <v>60</v>
      </c>
      <c r="AJ51" s="45" t="s">
        <v>60</v>
      </c>
      <c r="AK51" s="45" t="s">
        <v>60</v>
      </c>
      <c r="AL51" s="45" t="s">
        <v>60</v>
      </c>
      <c r="AM51" s="45" t="s">
        <v>60</v>
      </c>
      <c r="AN51" s="45" t="s">
        <v>60</v>
      </c>
      <c r="AO51" s="45" t="s">
        <v>60</v>
      </c>
      <c r="AP51" s="45" t="s">
        <v>60</v>
      </c>
      <c r="AQ51" s="45" t="s">
        <v>60</v>
      </c>
      <c r="AR51" s="45" t="s">
        <v>60</v>
      </c>
      <c r="AS51" s="45">
        <v>12.821163520000001</v>
      </c>
      <c r="AT51" s="45">
        <v>11.213034800000001</v>
      </c>
      <c r="AU51" s="45">
        <v>13.8551152</v>
      </c>
      <c r="AV51" s="45">
        <v>7.1470159000000004</v>
      </c>
      <c r="AW51" s="45">
        <v>30</v>
      </c>
      <c r="AX51" s="45">
        <v>125</v>
      </c>
      <c r="AY51" s="45">
        <v>0</v>
      </c>
      <c r="AZ51" s="45">
        <v>0</v>
      </c>
      <c r="BA51" s="45">
        <v>0</v>
      </c>
      <c r="BB51" s="45">
        <v>1</v>
      </c>
      <c r="BC51" s="45">
        <v>0</v>
      </c>
      <c r="BD51" s="54" t="s">
        <v>60</v>
      </c>
      <c r="BE51" s="44"/>
      <c r="BF51" s="53"/>
    </row>
    <row r="52" spans="1:58" x14ac:dyDescent="0.25">
      <c r="A52" s="48">
        <v>49</v>
      </c>
      <c r="B52" s="45" t="s">
        <v>264</v>
      </c>
      <c r="C52" s="45">
        <v>5.4782999999999999</v>
      </c>
      <c r="D52" s="45">
        <v>236</v>
      </c>
      <c r="E52" s="45">
        <v>188</v>
      </c>
      <c r="F52" s="45">
        <v>153</v>
      </c>
      <c r="G52" s="45">
        <v>197.93459999999999</v>
      </c>
      <c r="H52" s="45">
        <v>117</v>
      </c>
      <c r="I52" s="45">
        <v>45</v>
      </c>
      <c r="J52" s="45">
        <v>46</v>
      </c>
      <c r="K52" s="45">
        <v>198.9563</v>
      </c>
      <c r="L52" s="45">
        <v>0.74650000000000005</v>
      </c>
      <c r="M52" s="106">
        <v>12.85</v>
      </c>
      <c r="N52" s="45">
        <v>1.59</v>
      </c>
      <c r="O52" s="45">
        <v>0.98670000000000002</v>
      </c>
      <c r="P52" s="45">
        <v>3.3189000000000002</v>
      </c>
      <c r="Q52" s="55">
        <v>-31</v>
      </c>
      <c r="R52" s="45">
        <v>0.39679999999999999</v>
      </c>
      <c r="S52" s="45">
        <v>19.1584</v>
      </c>
      <c r="T52" s="45">
        <v>0.38400000000000001</v>
      </c>
      <c r="U52" s="45">
        <v>22.9056</v>
      </c>
      <c r="V52" s="45">
        <v>0.36799999999999999</v>
      </c>
      <c r="W52" s="45">
        <v>11.830399999999999</v>
      </c>
      <c r="X52" s="45">
        <v>0.35199999999999998</v>
      </c>
      <c r="Y52" s="45">
        <v>56</v>
      </c>
      <c r="Z52" s="45">
        <v>54</v>
      </c>
      <c r="AA52" s="45">
        <v>16.740500000000001</v>
      </c>
      <c r="AB52" s="45">
        <v>0.90959999999999996</v>
      </c>
      <c r="AC52" s="45">
        <v>4.8999999999999898E-2</v>
      </c>
      <c r="AD52" s="45">
        <v>0.12565000000000001</v>
      </c>
      <c r="AE52" s="45">
        <v>-0.75790000000000002</v>
      </c>
      <c r="AF52" s="45">
        <v>16.627300000000002</v>
      </c>
      <c r="AG52" s="45">
        <v>192.11340000000001</v>
      </c>
      <c r="AH52" s="45" t="s">
        <v>60</v>
      </c>
      <c r="AI52" s="45" t="s">
        <v>60</v>
      </c>
      <c r="AJ52" s="45" t="s">
        <v>60</v>
      </c>
      <c r="AK52" s="45" t="s">
        <v>60</v>
      </c>
      <c r="AL52" s="45" t="s">
        <v>60</v>
      </c>
      <c r="AM52" s="45" t="s">
        <v>60</v>
      </c>
      <c r="AN52" s="45" t="s">
        <v>60</v>
      </c>
      <c r="AO52" s="45" t="s">
        <v>60</v>
      </c>
      <c r="AP52" s="45" t="s">
        <v>60</v>
      </c>
      <c r="AQ52" s="45" t="s">
        <v>60</v>
      </c>
      <c r="AR52" s="45" t="s">
        <v>60</v>
      </c>
      <c r="AS52" s="45">
        <v>-17.061081859970798</v>
      </c>
      <c r="AT52" s="45">
        <v>13.3868500193831</v>
      </c>
      <c r="AU52" s="45">
        <v>17.007035772563</v>
      </c>
      <c r="AV52" s="45">
        <v>10.086765486799401</v>
      </c>
      <c r="AW52" s="45">
        <v>0</v>
      </c>
      <c r="AX52" s="45">
        <v>9</v>
      </c>
      <c r="AY52" s="45">
        <v>0</v>
      </c>
      <c r="AZ52" s="45">
        <v>0</v>
      </c>
      <c r="BA52" s="45">
        <v>0</v>
      </c>
      <c r="BB52" s="45">
        <v>1</v>
      </c>
      <c r="BC52" s="45">
        <v>0</v>
      </c>
      <c r="BD52" s="54" t="s">
        <v>60</v>
      </c>
      <c r="BE52" s="44"/>
      <c r="BF52" s="53"/>
    </row>
    <row r="53" spans="1:58" x14ac:dyDescent="0.25">
      <c r="A53" s="48">
        <v>50</v>
      </c>
      <c r="B53" s="45" t="s">
        <v>265</v>
      </c>
      <c r="C53" s="45">
        <v>7.2682000000000002</v>
      </c>
      <c r="D53" s="45">
        <v>219</v>
      </c>
      <c r="E53" s="45">
        <v>16</v>
      </c>
      <c r="F53" s="45">
        <v>18</v>
      </c>
      <c r="G53" s="45">
        <v>26.092700000000001</v>
      </c>
      <c r="H53" s="45">
        <v>40</v>
      </c>
      <c r="I53" s="45">
        <v>67</v>
      </c>
      <c r="J53" s="45">
        <v>32</v>
      </c>
      <c r="K53" s="45">
        <v>164.2764</v>
      </c>
      <c r="L53" s="45">
        <v>1</v>
      </c>
      <c r="M53" s="45">
        <v>12.95</v>
      </c>
      <c r="N53" s="45">
        <v>1.73</v>
      </c>
      <c r="O53" s="45">
        <v>1.9400000000000001E-2</v>
      </c>
      <c r="P53" s="45">
        <v>1.4001999999999999</v>
      </c>
      <c r="Q53" s="55">
        <v>31</v>
      </c>
      <c r="R53" s="45">
        <v>0.40920000000000001</v>
      </c>
      <c r="S53" s="45">
        <v>19.757100000000001</v>
      </c>
      <c r="T53" s="45">
        <v>0.39600000000000002</v>
      </c>
      <c r="U53" s="45">
        <v>23.621400000000001</v>
      </c>
      <c r="V53" s="45">
        <v>0.3795</v>
      </c>
      <c r="W53" s="45">
        <v>12.200099999999999</v>
      </c>
      <c r="X53" s="45">
        <v>0.36299999999999999</v>
      </c>
      <c r="Y53" s="45">
        <v>57</v>
      </c>
      <c r="Z53" s="45">
        <v>55</v>
      </c>
      <c r="AA53" s="45">
        <v>9.7072000000000003</v>
      </c>
      <c r="AB53" s="45">
        <v>0.96730000000000005</v>
      </c>
      <c r="AC53" s="45">
        <v>4.9999999999999899E-2</v>
      </c>
      <c r="AD53" s="45">
        <v>0.12565000000000001</v>
      </c>
      <c r="AE53" s="45">
        <v>-4.7633999999999999</v>
      </c>
      <c r="AF53" s="45">
        <v>155.24870000000001</v>
      </c>
      <c r="AG53" s="45">
        <v>-214.2595</v>
      </c>
      <c r="AH53" s="45" t="s">
        <v>60</v>
      </c>
      <c r="AI53" s="45" t="s">
        <v>60</v>
      </c>
      <c r="AJ53" s="45" t="s">
        <v>60</v>
      </c>
      <c r="AK53" s="45" t="s">
        <v>60</v>
      </c>
      <c r="AL53" s="45" t="s">
        <v>60</v>
      </c>
      <c r="AM53" s="45" t="s">
        <v>60</v>
      </c>
      <c r="AN53" s="45" t="s">
        <v>60</v>
      </c>
      <c r="AO53" s="45" t="s">
        <v>60</v>
      </c>
      <c r="AP53" s="45" t="s">
        <v>60</v>
      </c>
      <c r="AQ53" s="45" t="s">
        <v>60</v>
      </c>
      <c r="AR53" s="45" t="s">
        <v>60</v>
      </c>
      <c r="AS53" s="45">
        <v>14.342613760000001</v>
      </c>
      <c r="AT53" s="45">
        <v>8.0892371999999995</v>
      </c>
      <c r="AU53" s="45">
        <v>10.9731963</v>
      </c>
      <c r="AV53" s="45">
        <v>4.2477501000000002</v>
      </c>
      <c r="AW53" s="45">
        <v>41</v>
      </c>
      <c r="AX53" s="45">
        <v>0</v>
      </c>
      <c r="AY53" s="45">
        <v>0</v>
      </c>
      <c r="AZ53" s="45">
        <v>0</v>
      </c>
      <c r="BA53" s="45">
        <v>0</v>
      </c>
      <c r="BB53" s="45">
        <v>1</v>
      </c>
      <c r="BC53" s="45">
        <v>0</v>
      </c>
      <c r="BD53" s="54" t="s">
        <v>60</v>
      </c>
      <c r="BE53" s="44"/>
      <c r="BF53" s="53"/>
    </row>
    <row r="54" spans="1:58" x14ac:dyDescent="0.25">
      <c r="A54" s="48">
        <v>51</v>
      </c>
      <c r="B54" s="45" t="s">
        <v>266</v>
      </c>
      <c r="C54" s="45">
        <v>3.9796999999999998</v>
      </c>
      <c r="D54" s="45">
        <v>234</v>
      </c>
      <c r="E54" s="45">
        <v>201</v>
      </c>
      <c r="F54" s="45">
        <v>171</v>
      </c>
      <c r="G54" s="45">
        <v>181.09710000000001</v>
      </c>
      <c r="H54" s="45">
        <v>144</v>
      </c>
      <c r="I54" s="45">
        <v>230</v>
      </c>
      <c r="J54" s="45">
        <v>88</v>
      </c>
      <c r="K54" s="45">
        <v>158.5497</v>
      </c>
      <c r="L54" s="45">
        <v>1</v>
      </c>
      <c r="M54" s="106">
        <v>13.05</v>
      </c>
      <c r="N54" s="45">
        <v>1.87</v>
      </c>
      <c r="O54" s="45">
        <v>0.88829999999999998</v>
      </c>
      <c r="P54" s="45">
        <v>2.2029000000000001</v>
      </c>
      <c r="Q54" s="55">
        <v>23.6572</v>
      </c>
      <c r="R54" s="45">
        <v>0.42159999999999997</v>
      </c>
      <c r="S54" s="45">
        <v>20.355800000000002</v>
      </c>
      <c r="T54" s="45">
        <v>0.40800000000000003</v>
      </c>
      <c r="U54" s="45">
        <v>24.337199999999999</v>
      </c>
      <c r="V54" s="45">
        <v>0.39100000000000001</v>
      </c>
      <c r="W54" s="45">
        <v>12.569799999999999</v>
      </c>
      <c r="X54" s="45">
        <v>0.374</v>
      </c>
      <c r="Y54" s="45">
        <v>58</v>
      </c>
      <c r="Z54" s="45">
        <v>56</v>
      </c>
      <c r="AA54" s="45">
        <v>15.6351</v>
      </c>
      <c r="AB54" s="45">
        <v>0.99998474121093806</v>
      </c>
      <c r="AC54" s="45">
        <v>5.09999999999999E-2</v>
      </c>
      <c r="AD54" s="45">
        <v>0.12565000000000001</v>
      </c>
      <c r="AE54" s="45">
        <v>5.1314000000000002</v>
      </c>
      <c r="AF54" s="45">
        <v>-133.81200000000001</v>
      </c>
      <c r="AG54" s="45">
        <v>-185.2002</v>
      </c>
      <c r="AH54" s="45" t="s">
        <v>60</v>
      </c>
      <c r="AI54" s="45" t="s">
        <v>60</v>
      </c>
      <c r="AJ54" s="45" t="s">
        <v>60</v>
      </c>
      <c r="AK54" s="45" t="s">
        <v>60</v>
      </c>
      <c r="AL54" s="45" t="s">
        <v>60</v>
      </c>
      <c r="AM54" s="45" t="s">
        <v>60</v>
      </c>
      <c r="AN54" s="45" t="s">
        <v>60</v>
      </c>
      <c r="AO54" s="45" t="s">
        <v>60</v>
      </c>
      <c r="AP54" s="45" t="s">
        <v>60</v>
      </c>
      <c r="AQ54" s="45" t="s">
        <v>60</v>
      </c>
      <c r="AR54" s="45" t="s">
        <v>60</v>
      </c>
      <c r="AS54" s="45">
        <v>20.275082640000001</v>
      </c>
      <c r="AT54" s="45">
        <v>18.4297544</v>
      </c>
      <c r="AU54" s="45">
        <v>8.7080307000000001</v>
      </c>
      <c r="AV54" s="45">
        <v>2.0211673999999999</v>
      </c>
      <c r="AW54" s="45">
        <v>0</v>
      </c>
      <c r="AX54" s="45">
        <v>0</v>
      </c>
      <c r="AY54" s="45">
        <v>169</v>
      </c>
      <c r="AZ54" s="45">
        <v>0</v>
      </c>
      <c r="BA54" s="45">
        <v>0</v>
      </c>
      <c r="BB54" s="45">
        <v>1</v>
      </c>
      <c r="BC54" s="45">
        <v>1</v>
      </c>
      <c r="BD54" s="54" t="s">
        <v>60</v>
      </c>
      <c r="BE54" s="44"/>
      <c r="BF54" s="53"/>
    </row>
    <row r="55" spans="1:58" x14ac:dyDescent="0.25">
      <c r="A55" s="48">
        <v>52</v>
      </c>
      <c r="B55" s="45" t="s">
        <v>267</v>
      </c>
      <c r="C55" s="45">
        <v>3.9796999999999998</v>
      </c>
      <c r="D55" s="45">
        <v>234</v>
      </c>
      <c r="E55" s="45">
        <v>201</v>
      </c>
      <c r="F55" s="45">
        <v>171</v>
      </c>
      <c r="G55" s="45">
        <v>181.09710000000001</v>
      </c>
      <c r="H55" s="45">
        <v>144</v>
      </c>
      <c r="I55" s="45">
        <v>230</v>
      </c>
      <c r="J55" s="45">
        <v>88</v>
      </c>
      <c r="K55" s="45">
        <v>158.5497</v>
      </c>
      <c r="L55" s="45">
        <v>1</v>
      </c>
      <c r="M55" s="45">
        <v>13.15</v>
      </c>
      <c r="N55" s="45">
        <v>1.87</v>
      </c>
      <c r="O55" s="45">
        <v>0.88829999999999998</v>
      </c>
      <c r="P55" s="45">
        <v>2.2029000000000001</v>
      </c>
      <c r="Q55" s="55">
        <v>0</v>
      </c>
      <c r="R55" s="45">
        <v>0.42159999999999997</v>
      </c>
      <c r="S55" s="45">
        <v>20.355800000000002</v>
      </c>
      <c r="T55" s="45">
        <v>0.40800000000000003</v>
      </c>
      <c r="U55" s="45">
        <v>24.337199999999999</v>
      </c>
      <c r="V55" s="45">
        <v>0.39100000000000001</v>
      </c>
      <c r="W55" s="45">
        <v>12.569799999999999</v>
      </c>
      <c r="X55" s="45">
        <v>0.374</v>
      </c>
      <c r="Y55" s="45">
        <v>59</v>
      </c>
      <c r="Z55" s="45">
        <v>57</v>
      </c>
      <c r="AA55" s="45">
        <v>15.6351</v>
      </c>
      <c r="AB55" s="45">
        <v>0.99998474121093806</v>
      </c>
      <c r="AC55" s="45">
        <v>5.19999999999999E-2</v>
      </c>
      <c r="AD55" s="45">
        <v>0.12565000000000001</v>
      </c>
      <c r="AE55" s="45">
        <v>5.1314000000000002</v>
      </c>
      <c r="AF55" s="45">
        <v>-133.81200000000001</v>
      </c>
      <c r="AG55" s="45">
        <v>-185.2002</v>
      </c>
      <c r="AH55" s="45" t="s">
        <v>60</v>
      </c>
      <c r="AI55" s="45" t="s">
        <v>60</v>
      </c>
      <c r="AJ55" s="45" t="s">
        <v>60</v>
      </c>
      <c r="AK55" s="45" t="s">
        <v>60</v>
      </c>
      <c r="AL55" s="45" t="s">
        <v>60</v>
      </c>
      <c r="AM55" s="45" t="s">
        <v>60</v>
      </c>
      <c r="AN55" s="45" t="s">
        <v>60</v>
      </c>
      <c r="AO55" s="45" t="s">
        <v>60</v>
      </c>
      <c r="AP55" s="45" t="s">
        <v>60</v>
      </c>
      <c r="AQ55" s="45" t="s">
        <v>60</v>
      </c>
      <c r="AR55" s="45" t="s">
        <v>60</v>
      </c>
      <c r="AS55" s="45">
        <v>6.5917581600000004</v>
      </c>
      <c r="AT55" s="45">
        <v>18.4297544</v>
      </c>
      <c r="AU55" s="45">
        <v>8.7080307000000001</v>
      </c>
      <c r="AV55" s="45">
        <v>2.0211673999999999</v>
      </c>
      <c r="AW55" s="45">
        <v>0</v>
      </c>
      <c r="AX55" s="45">
        <v>0</v>
      </c>
      <c r="AY55" s="45">
        <v>169</v>
      </c>
      <c r="AZ55" s="45">
        <v>0</v>
      </c>
      <c r="BA55" s="45">
        <v>0</v>
      </c>
      <c r="BB55" s="45">
        <v>1</v>
      </c>
      <c r="BC55" s="45">
        <v>1</v>
      </c>
      <c r="BD55" s="54" t="s">
        <v>60</v>
      </c>
      <c r="BE55" s="44"/>
      <c r="BF55" s="53"/>
    </row>
    <row r="56" spans="1:58" x14ac:dyDescent="0.25">
      <c r="A56" s="48">
        <v>53</v>
      </c>
      <c r="B56" s="45" t="s">
        <v>268</v>
      </c>
      <c r="C56" s="45">
        <v>3.9796999999999998</v>
      </c>
      <c r="D56" s="45">
        <v>234</v>
      </c>
      <c r="E56" s="45">
        <v>201</v>
      </c>
      <c r="F56" s="45">
        <v>171</v>
      </c>
      <c r="G56" s="45">
        <v>181.09710000000001</v>
      </c>
      <c r="H56" s="45">
        <v>144</v>
      </c>
      <c r="I56" s="45">
        <v>230</v>
      </c>
      <c r="J56" s="45">
        <v>88</v>
      </c>
      <c r="K56" s="45">
        <v>158.5497</v>
      </c>
      <c r="L56" s="45">
        <v>1</v>
      </c>
      <c r="M56" s="106">
        <v>13.25</v>
      </c>
      <c r="N56" s="45">
        <v>1.87</v>
      </c>
      <c r="O56" s="45">
        <v>0.88829999999999998</v>
      </c>
      <c r="P56" s="45">
        <v>2.2029000000000001</v>
      </c>
      <c r="Q56" s="55">
        <v>-23.6572</v>
      </c>
      <c r="R56" s="45">
        <v>0.42159999999999997</v>
      </c>
      <c r="S56" s="45">
        <v>20.355800000000002</v>
      </c>
      <c r="T56" s="45">
        <v>0.40800000000000003</v>
      </c>
      <c r="U56" s="45">
        <v>24.337199999999999</v>
      </c>
      <c r="V56" s="45">
        <v>0.39100000000000001</v>
      </c>
      <c r="W56" s="45">
        <v>12.569799999999999</v>
      </c>
      <c r="X56" s="45">
        <v>0.374</v>
      </c>
      <c r="Y56" s="45">
        <v>60</v>
      </c>
      <c r="Z56" s="45">
        <v>58</v>
      </c>
      <c r="AA56" s="45">
        <v>15.6351</v>
      </c>
      <c r="AB56" s="45">
        <v>0.99998474121093806</v>
      </c>
      <c r="AC56" s="45">
        <v>5.2999999999999901E-2</v>
      </c>
      <c r="AD56" s="45">
        <v>0.12565000000000001</v>
      </c>
      <c r="AE56" s="45">
        <v>5.1314000000000002</v>
      </c>
      <c r="AF56" s="45">
        <v>-133.81200000000001</v>
      </c>
      <c r="AG56" s="45">
        <v>-185.2002</v>
      </c>
      <c r="AH56" s="45" t="s">
        <v>60</v>
      </c>
      <c r="AI56" s="45" t="s">
        <v>60</v>
      </c>
      <c r="AJ56" s="45" t="s">
        <v>60</v>
      </c>
      <c r="AK56" s="45" t="s">
        <v>60</v>
      </c>
      <c r="AL56" s="45" t="s">
        <v>60</v>
      </c>
      <c r="AM56" s="45" t="s">
        <v>60</v>
      </c>
      <c r="AN56" s="45" t="s">
        <v>60</v>
      </c>
      <c r="AO56" s="45" t="s">
        <v>60</v>
      </c>
      <c r="AP56" s="45" t="s">
        <v>60</v>
      </c>
      <c r="AQ56" s="45" t="s">
        <v>60</v>
      </c>
      <c r="AR56" s="45" t="s">
        <v>60</v>
      </c>
      <c r="AS56" s="45">
        <v>-7.0915663200000001</v>
      </c>
      <c r="AT56" s="45">
        <v>18.4297544</v>
      </c>
      <c r="AU56" s="45">
        <v>8.7080307000000001</v>
      </c>
      <c r="AV56" s="45">
        <v>2.0211673999999999</v>
      </c>
      <c r="AW56" s="45">
        <v>0</v>
      </c>
      <c r="AX56" s="45">
        <v>0</v>
      </c>
      <c r="AY56" s="45">
        <v>169</v>
      </c>
      <c r="AZ56" s="45">
        <v>0</v>
      </c>
      <c r="BA56" s="45">
        <v>0</v>
      </c>
      <c r="BB56" s="45">
        <v>1</v>
      </c>
      <c r="BC56" s="45">
        <v>1</v>
      </c>
      <c r="BD56" s="54" t="s">
        <v>60</v>
      </c>
      <c r="BE56" s="44"/>
      <c r="BF56" s="53"/>
    </row>
    <row r="57" spans="1:58" x14ac:dyDescent="0.25">
      <c r="A57" s="48">
        <v>54</v>
      </c>
      <c r="B57" s="45" t="s">
        <v>269</v>
      </c>
      <c r="C57" s="45">
        <v>8.8000000000000007</v>
      </c>
      <c r="D57" s="45">
        <v>151</v>
      </c>
      <c r="E57" s="45">
        <v>47</v>
      </c>
      <c r="F57" s="45">
        <v>198</v>
      </c>
      <c r="G57" s="45">
        <v>91.710599999999999</v>
      </c>
      <c r="H57" s="45">
        <v>68</v>
      </c>
      <c r="I57" s="45">
        <v>249</v>
      </c>
      <c r="J57" s="45">
        <v>120</v>
      </c>
      <c r="K57" s="45">
        <v>50.091799999999999</v>
      </c>
      <c r="L57" s="45">
        <v>0.51470000000000005</v>
      </c>
      <c r="M57" s="45">
        <v>13.35</v>
      </c>
      <c r="N57" s="45">
        <v>2.0099999999999998</v>
      </c>
      <c r="O57" s="45">
        <v>0.75509999999999999</v>
      </c>
      <c r="P57" s="45">
        <v>8.8000000000000007</v>
      </c>
      <c r="Q57" s="45">
        <v>24.353000000000002</v>
      </c>
      <c r="R57" s="55">
        <v>0</v>
      </c>
      <c r="S57" s="45">
        <v>20.954499999999999</v>
      </c>
      <c r="T57" s="45">
        <v>0.42</v>
      </c>
      <c r="U57" s="45">
        <v>25.053000000000001</v>
      </c>
      <c r="V57" s="45">
        <v>0.40249999999999997</v>
      </c>
      <c r="W57" s="45">
        <v>12.939499999999999</v>
      </c>
      <c r="X57" s="45">
        <v>0.38499999999999995</v>
      </c>
      <c r="Y57" s="45">
        <v>61</v>
      </c>
      <c r="Z57" s="45">
        <v>59</v>
      </c>
      <c r="AA57" s="45">
        <v>5.3047000000000004</v>
      </c>
      <c r="AB57" s="45">
        <v>0.99998474121093806</v>
      </c>
      <c r="AC57" s="45">
        <v>5.3999999999999902E-2</v>
      </c>
      <c r="AD57" s="45">
        <v>9.2999999999999999E-2</v>
      </c>
      <c r="AE57" s="45">
        <v>3.8999000000000001</v>
      </c>
      <c r="AF57" s="45">
        <v>104.89660000000001</v>
      </c>
      <c r="AG57" s="45">
        <v>72.9876</v>
      </c>
      <c r="AH57" s="45" t="s">
        <v>60</v>
      </c>
      <c r="AI57" s="45" t="s">
        <v>60</v>
      </c>
      <c r="AJ57" s="45" t="s">
        <v>60</v>
      </c>
      <c r="AK57" s="45" t="s">
        <v>60</v>
      </c>
      <c r="AL57" s="45" t="s">
        <v>60</v>
      </c>
      <c r="AM57" s="45" t="s">
        <v>60</v>
      </c>
      <c r="AN57" s="45" t="s">
        <v>60</v>
      </c>
      <c r="AO57" s="45" t="s">
        <v>60</v>
      </c>
      <c r="AP57" s="45" t="s">
        <v>60</v>
      </c>
      <c r="AQ57" s="45" t="s">
        <v>60</v>
      </c>
      <c r="AR57" s="45" t="s">
        <v>60</v>
      </c>
      <c r="AS57" s="45">
        <v>24.353000000000002</v>
      </c>
      <c r="AT57" s="45">
        <v>9.9256360000000008</v>
      </c>
      <c r="AU57" s="45">
        <v>12.83402575</v>
      </c>
      <c r="AV57" s="45">
        <v>5.915483</v>
      </c>
      <c r="AW57" s="45">
        <v>14</v>
      </c>
      <c r="AX57" s="45">
        <v>0</v>
      </c>
      <c r="AY57" s="45">
        <v>0</v>
      </c>
      <c r="AZ57" s="45">
        <v>0</v>
      </c>
      <c r="BA57" s="45">
        <v>0</v>
      </c>
      <c r="BB57" s="45">
        <v>1</v>
      </c>
      <c r="BC57" s="45">
        <v>0</v>
      </c>
      <c r="BD57" s="54" t="s">
        <v>60</v>
      </c>
      <c r="BE57" s="44"/>
      <c r="BF57" s="53"/>
    </row>
    <row r="58" spans="1:58" x14ac:dyDescent="0.25">
      <c r="A58" s="48">
        <v>55</v>
      </c>
      <c r="B58" s="45" t="s">
        <v>270</v>
      </c>
      <c r="C58" s="45">
        <v>2.2679999999999998</v>
      </c>
      <c r="D58" s="45">
        <v>175</v>
      </c>
      <c r="E58" s="45">
        <v>57</v>
      </c>
      <c r="F58" s="45">
        <v>242</v>
      </c>
      <c r="G58" s="45">
        <v>95.802199999999999</v>
      </c>
      <c r="H58" s="45">
        <v>18</v>
      </c>
      <c r="I58" s="45">
        <v>189</v>
      </c>
      <c r="J58" s="45">
        <v>245</v>
      </c>
      <c r="K58" s="45">
        <v>109.1918</v>
      </c>
      <c r="L58" s="45">
        <v>1</v>
      </c>
      <c r="M58" s="106">
        <v>13.45</v>
      </c>
      <c r="N58" s="45">
        <v>2.15</v>
      </c>
      <c r="O58" s="45">
        <v>0.60940000000000005</v>
      </c>
      <c r="P58" s="45">
        <v>6.2202999999999999</v>
      </c>
      <c r="Q58" s="45">
        <v>25.0488</v>
      </c>
      <c r="R58" s="55">
        <v>0.95678608200000004</v>
      </c>
      <c r="S58" s="45">
        <v>21.5532</v>
      </c>
      <c r="T58" s="45">
        <v>0.432</v>
      </c>
      <c r="U58" s="45">
        <v>25.768799999999999</v>
      </c>
      <c r="V58" s="45">
        <v>0.41399999999999998</v>
      </c>
      <c r="W58" s="45">
        <v>13.309199999999999</v>
      </c>
      <c r="X58" s="45">
        <v>0.39599999999999996</v>
      </c>
      <c r="Y58" s="45">
        <v>62</v>
      </c>
      <c r="Z58" s="45">
        <v>60</v>
      </c>
      <c r="AA58" s="45">
        <v>2.1234000000000002</v>
      </c>
      <c r="AB58" s="45">
        <v>0.215</v>
      </c>
      <c r="AC58" s="45">
        <v>5.4999999999999903E-2</v>
      </c>
      <c r="AD58" s="45">
        <v>0.12565000000000001</v>
      </c>
      <c r="AE58" s="45">
        <v>4.7732999999999999</v>
      </c>
      <c r="AF58" s="45">
        <v>-186.62119999999999</v>
      </c>
      <c r="AG58" s="45">
        <v>-1.2353000000000001</v>
      </c>
      <c r="AH58" s="45" t="s">
        <v>60</v>
      </c>
      <c r="AI58" s="45" t="s">
        <v>60</v>
      </c>
      <c r="AJ58" s="45" t="s">
        <v>60</v>
      </c>
      <c r="AK58" s="45" t="s">
        <v>60</v>
      </c>
      <c r="AL58" s="45" t="s">
        <v>60</v>
      </c>
      <c r="AM58" s="45" t="s">
        <v>60</v>
      </c>
      <c r="AN58" s="45" t="s">
        <v>60</v>
      </c>
      <c r="AO58" s="45" t="s">
        <v>60</v>
      </c>
      <c r="AP58" s="45" t="s">
        <v>60</v>
      </c>
      <c r="AQ58" s="45" t="s">
        <v>60</v>
      </c>
      <c r="AR58" s="45" t="s">
        <v>60</v>
      </c>
      <c r="AS58" s="45">
        <v>3.1140963557172001</v>
      </c>
      <c r="AT58" s="45">
        <v>13.159526400000001</v>
      </c>
      <c r="AU58" s="45">
        <v>15.979604399999999</v>
      </c>
      <c r="AV58" s="45">
        <v>8.8796231999999993</v>
      </c>
      <c r="AW58" s="45">
        <v>5</v>
      </c>
      <c r="AX58" s="45">
        <v>0</v>
      </c>
      <c r="AY58" s="45">
        <v>0</v>
      </c>
      <c r="AZ58" s="45">
        <v>0</v>
      </c>
      <c r="BA58" s="45">
        <v>0</v>
      </c>
      <c r="BB58" s="45">
        <v>1</v>
      </c>
      <c r="BC58" s="45">
        <v>0</v>
      </c>
      <c r="BD58" s="54" t="s">
        <v>60</v>
      </c>
      <c r="BE58" s="44"/>
      <c r="BF58" s="53"/>
    </row>
    <row r="59" spans="1:58" x14ac:dyDescent="0.25">
      <c r="A59" s="48">
        <v>56</v>
      </c>
      <c r="B59" s="45" t="s">
        <v>271</v>
      </c>
      <c r="C59" s="45">
        <v>2.7732000000000001</v>
      </c>
      <c r="D59" s="45">
        <v>250</v>
      </c>
      <c r="E59" s="45">
        <v>151</v>
      </c>
      <c r="F59" s="45">
        <v>102</v>
      </c>
      <c r="G59" s="45">
        <v>44.293399999999998</v>
      </c>
      <c r="H59" s="45">
        <v>217</v>
      </c>
      <c r="I59" s="45">
        <v>172</v>
      </c>
      <c r="J59" s="45">
        <v>85</v>
      </c>
      <c r="K59" s="45">
        <v>150.2758</v>
      </c>
      <c r="L59" s="45">
        <v>0.41389999999999999</v>
      </c>
      <c r="M59" s="45">
        <v>13.55</v>
      </c>
      <c r="N59" s="45">
        <v>2.29</v>
      </c>
      <c r="O59" s="45">
        <v>5.8099999999999999E-2</v>
      </c>
      <c r="P59" s="45">
        <v>8.8000000000000007</v>
      </c>
      <c r="Q59" s="45">
        <v>25.744599999999998</v>
      </c>
      <c r="R59" s="55">
        <v>0.45879999999999999</v>
      </c>
      <c r="S59" s="45">
        <v>22.151900000000001</v>
      </c>
      <c r="T59" s="45">
        <v>0.44400000000000001</v>
      </c>
      <c r="U59" s="45">
        <v>26.4846</v>
      </c>
      <c r="V59" s="45">
        <v>0.42549999999999999</v>
      </c>
      <c r="W59" s="45">
        <v>13.678899999999999</v>
      </c>
      <c r="X59" s="45">
        <v>0.40699999999999997</v>
      </c>
      <c r="Y59" s="45">
        <v>63</v>
      </c>
      <c r="Z59" s="45">
        <v>61</v>
      </c>
      <c r="AA59" s="45">
        <v>2.6221999999999999</v>
      </c>
      <c r="AB59" s="45">
        <v>0.79179999999999995</v>
      </c>
      <c r="AC59" s="45">
        <v>5.5999999999999897E-2</v>
      </c>
      <c r="AD59" s="45">
        <v>0.12565000000000001</v>
      </c>
      <c r="AE59" s="45">
        <v>4.8038999999999996</v>
      </c>
      <c r="AF59" s="45">
        <v>-172.4537</v>
      </c>
      <c r="AG59" s="45">
        <v>-32.900599999999997</v>
      </c>
      <c r="AH59" s="45" t="s">
        <v>60</v>
      </c>
      <c r="AI59" s="45" t="s">
        <v>60</v>
      </c>
      <c r="AJ59" s="45" t="s">
        <v>60</v>
      </c>
      <c r="AK59" s="45" t="s">
        <v>60</v>
      </c>
      <c r="AL59" s="45" t="s">
        <v>60</v>
      </c>
      <c r="AM59" s="45" t="s">
        <v>60</v>
      </c>
      <c r="AN59" s="45" t="s">
        <v>60</v>
      </c>
      <c r="AO59" s="45" t="s">
        <v>60</v>
      </c>
      <c r="AP59" s="45" t="s">
        <v>60</v>
      </c>
      <c r="AQ59" s="45" t="s">
        <v>60</v>
      </c>
      <c r="AR59" s="45" t="s">
        <v>60</v>
      </c>
      <c r="AS59" s="45">
        <v>12.72991216</v>
      </c>
      <c r="AT59" s="45">
        <v>11.152199599999999</v>
      </c>
      <c r="AU59" s="45">
        <v>14.099656599999999</v>
      </c>
      <c r="AV59" s="45">
        <v>7.0443522999999999</v>
      </c>
      <c r="AW59" s="45">
        <v>0</v>
      </c>
      <c r="AX59" s="45">
        <v>0</v>
      </c>
      <c r="AY59" s="45">
        <v>169</v>
      </c>
      <c r="AZ59" s="45">
        <v>0</v>
      </c>
      <c r="BA59" s="45">
        <v>0</v>
      </c>
      <c r="BB59" s="45">
        <v>1</v>
      </c>
      <c r="BC59" s="45">
        <v>1</v>
      </c>
      <c r="BD59" s="54" t="s">
        <v>60</v>
      </c>
      <c r="BE59" s="44"/>
      <c r="BF59" s="53"/>
    </row>
    <row r="60" spans="1:58" x14ac:dyDescent="0.25">
      <c r="A60" s="48">
        <v>57</v>
      </c>
      <c r="B60" s="45" t="s">
        <v>272</v>
      </c>
      <c r="C60" s="45">
        <v>8.8000000000000007</v>
      </c>
      <c r="D60" s="45">
        <v>148</v>
      </c>
      <c r="E60" s="45">
        <v>123</v>
      </c>
      <c r="F60" s="45">
        <v>207</v>
      </c>
      <c r="G60" s="45">
        <v>49.834499999999998</v>
      </c>
      <c r="H60" s="45">
        <v>32</v>
      </c>
      <c r="I60" s="45">
        <v>156</v>
      </c>
      <c r="J60" s="45">
        <v>96</v>
      </c>
      <c r="K60" s="45">
        <v>109.1841</v>
      </c>
      <c r="L60" s="45">
        <v>1</v>
      </c>
      <c r="M60" s="106">
        <v>13.65</v>
      </c>
      <c r="N60" s="45">
        <v>2.4300000000000002</v>
      </c>
      <c r="O60" s="45">
        <v>0.55200000000000005</v>
      </c>
      <c r="P60" s="45">
        <v>7.2272999999999996</v>
      </c>
      <c r="Q60" s="45">
        <v>26.4404</v>
      </c>
      <c r="R60" s="45">
        <v>0.47120000000000001</v>
      </c>
      <c r="S60" s="55">
        <v>-31</v>
      </c>
      <c r="T60" s="45">
        <v>0.45600000000000002</v>
      </c>
      <c r="U60" s="45">
        <v>27.200399999999998</v>
      </c>
      <c r="V60" s="45">
        <v>0.437</v>
      </c>
      <c r="W60" s="45">
        <v>14.048599999999999</v>
      </c>
      <c r="X60" s="45">
        <v>0.41799999999999998</v>
      </c>
      <c r="Y60" s="45">
        <v>64</v>
      </c>
      <c r="Z60" s="45">
        <v>62</v>
      </c>
      <c r="AA60" s="45">
        <v>5.9489000000000001</v>
      </c>
      <c r="AB60" s="45">
        <v>0.99998474121093806</v>
      </c>
      <c r="AC60" s="45">
        <v>5.6999999999999898E-2</v>
      </c>
      <c r="AD60" s="45">
        <v>0.12565000000000001</v>
      </c>
      <c r="AE60" s="45">
        <v>-4.4028</v>
      </c>
      <c r="AF60" s="45">
        <v>-197.11060000000001</v>
      </c>
      <c r="AG60" s="45">
        <v>136.03489999999999</v>
      </c>
      <c r="AH60" s="45" t="s">
        <v>60</v>
      </c>
      <c r="AI60" s="45" t="s">
        <v>60</v>
      </c>
      <c r="AJ60" s="45" t="s">
        <v>60</v>
      </c>
      <c r="AK60" s="45" t="s">
        <v>60</v>
      </c>
      <c r="AL60" s="45" t="s">
        <v>60</v>
      </c>
      <c r="AM60" s="45" t="s">
        <v>60</v>
      </c>
      <c r="AN60" s="45" t="s">
        <v>60</v>
      </c>
      <c r="AO60" s="45" t="s">
        <v>60</v>
      </c>
      <c r="AP60" s="45" t="s">
        <v>60</v>
      </c>
      <c r="AQ60" s="45" t="s">
        <v>60</v>
      </c>
      <c r="AR60" s="45" t="s">
        <v>60</v>
      </c>
      <c r="AS60" s="45">
        <v>16.784805200000001</v>
      </c>
      <c r="AT60" s="45">
        <v>-14.1513016</v>
      </c>
      <c r="AU60" s="45">
        <v>15.7069229720087</v>
      </c>
      <c r="AV60" s="45">
        <v>8.5522917645301106</v>
      </c>
      <c r="AW60" s="45">
        <v>0</v>
      </c>
      <c r="AX60" s="45">
        <v>0</v>
      </c>
      <c r="AY60" s="45">
        <v>169</v>
      </c>
      <c r="AZ60" s="45">
        <v>0</v>
      </c>
      <c r="BA60" s="45">
        <v>0</v>
      </c>
      <c r="BB60" s="45">
        <v>1</v>
      </c>
      <c r="BC60" s="45">
        <v>1</v>
      </c>
      <c r="BD60" s="54" t="s">
        <v>60</v>
      </c>
      <c r="BE60" s="44"/>
      <c r="BF60" s="53"/>
    </row>
    <row r="61" spans="1:58" x14ac:dyDescent="0.25">
      <c r="A61" s="48">
        <v>58</v>
      </c>
      <c r="B61" s="45" t="s">
        <v>273</v>
      </c>
      <c r="C61" s="45">
        <v>2.7282000000000002</v>
      </c>
      <c r="D61" s="45">
        <v>200</v>
      </c>
      <c r="E61" s="45">
        <v>131</v>
      </c>
      <c r="F61" s="45">
        <v>50</v>
      </c>
      <c r="G61" s="45">
        <v>25.229600000000001</v>
      </c>
      <c r="H61" s="45">
        <v>236</v>
      </c>
      <c r="I61" s="45">
        <v>70</v>
      </c>
      <c r="J61" s="45">
        <v>169</v>
      </c>
      <c r="K61" s="45">
        <v>33.0411</v>
      </c>
      <c r="L61" s="45">
        <v>0.30009999999999998</v>
      </c>
      <c r="M61" s="45">
        <v>13.75</v>
      </c>
      <c r="N61" s="45">
        <v>2.4300000000000002</v>
      </c>
      <c r="O61" s="45">
        <v>0.92479999999999996</v>
      </c>
      <c r="P61" s="45">
        <v>4.8760000000000003</v>
      </c>
      <c r="Q61" s="45">
        <v>27.136199999999999</v>
      </c>
      <c r="R61" s="45">
        <v>0.48359999999999997</v>
      </c>
      <c r="S61" s="55">
        <v>31</v>
      </c>
      <c r="T61" s="45">
        <v>0.46800000000000003</v>
      </c>
      <c r="U61" s="45">
        <v>27.9162</v>
      </c>
      <c r="V61" s="45">
        <v>0.44850000000000001</v>
      </c>
      <c r="W61" s="45">
        <v>14.418299999999999</v>
      </c>
      <c r="X61" s="45">
        <v>0.42899999999999999</v>
      </c>
      <c r="Y61" s="45">
        <v>65</v>
      </c>
      <c r="Z61" s="45">
        <v>63</v>
      </c>
      <c r="AA61" s="45">
        <v>6.4367999999999999</v>
      </c>
      <c r="AB61" s="45">
        <v>0.56510000000000005</v>
      </c>
      <c r="AC61" s="45">
        <v>5.7999999999999899E-2</v>
      </c>
      <c r="AD61" s="45">
        <v>0.12565000000000001</v>
      </c>
      <c r="AE61" s="45">
        <v>-1.7504999999999999</v>
      </c>
      <c r="AF61" s="45">
        <v>16.2607</v>
      </c>
      <c r="AG61" s="45">
        <v>151.59690000000001</v>
      </c>
      <c r="AH61" s="45" t="s">
        <v>60</v>
      </c>
      <c r="AI61" s="45" t="s">
        <v>60</v>
      </c>
      <c r="AJ61" s="45" t="s">
        <v>60</v>
      </c>
      <c r="AK61" s="45" t="s">
        <v>60</v>
      </c>
      <c r="AL61" s="45" t="s">
        <v>60</v>
      </c>
      <c r="AM61" s="45" t="s">
        <v>60</v>
      </c>
      <c r="AN61" s="45" t="s">
        <v>60</v>
      </c>
      <c r="AO61" s="45" t="s">
        <v>60</v>
      </c>
      <c r="AP61" s="45" t="s">
        <v>60</v>
      </c>
      <c r="AQ61" s="45" t="s">
        <v>60</v>
      </c>
      <c r="AR61" s="45" t="s">
        <v>60</v>
      </c>
      <c r="AS61" s="45">
        <v>14.2287047686091</v>
      </c>
      <c r="AT61" s="45">
        <v>16.700617182524901</v>
      </c>
      <c r="AU61" s="45">
        <v>14.1896741484932</v>
      </c>
      <c r="AV61" s="45">
        <v>7.0791787202978202</v>
      </c>
      <c r="AW61" s="45">
        <v>0</v>
      </c>
      <c r="AX61" s="45">
        <v>0</v>
      </c>
      <c r="AY61" s="45">
        <v>169</v>
      </c>
      <c r="AZ61" s="45">
        <v>0</v>
      </c>
      <c r="BA61" s="45">
        <v>0</v>
      </c>
      <c r="BB61" s="45">
        <v>1</v>
      </c>
      <c r="BC61" s="45">
        <v>1</v>
      </c>
      <c r="BD61" s="54" t="s">
        <v>60</v>
      </c>
      <c r="BE61" s="44"/>
      <c r="BF61" s="53"/>
    </row>
    <row r="62" spans="1:58" x14ac:dyDescent="0.25">
      <c r="A62" s="48">
        <v>59</v>
      </c>
      <c r="B62" s="45" t="s">
        <v>274</v>
      </c>
      <c r="C62" s="45">
        <v>5.0391000000000004</v>
      </c>
      <c r="D62" s="45">
        <v>207</v>
      </c>
      <c r="E62" s="45">
        <v>65</v>
      </c>
      <c r="F62" s="45">
        <v>96</v>
      </c>
      <c r="G62" s="45">
        <v>232.80170000000001</v>
      </c>
      <c r="H62" s="45">
        <v>80</v>
      </c>
      <c r="I62" s="45">
        <v>202</v>
      </c>
      <c r="J62" s="45">
        <v>195</v>
      </c>
      <c r="K62" s="45">
        <v>216.5369</v>
      </c>
      <c r="L62" s="45">
        <v>1</v>
      </c>
      <c r="M62" s="106">
        <v>13.85</v>
      </c>
      <c r="N62" s="45">
        <v>2.4300000000000002</v>
      </c>
      <c r="O62" s="45">
        <v>1</v>
      </c>
      <c r="P62" s="45">
        <v>8.6468000000000007</v>
      </c>
      <c r="Q62" s="45">
        <v>27.832000000000001</v>
      </c>
      <c r="R62" s="45">
        <v>0.496</v>
      </c>
      <c r="S62" s="55">
        <v>23.948</v>
      </c>
      <c r="T62" s="45">
        <v>0.48</v>
      </c>
      <c r="U62" s="45">
        <v>28.631999999999998</v>
      </c>
      <c r="V62" s="45">
        <v>0.45999999999999996</v>
      </c>
      <c r="W62" s="45">
        <v>14.787999999999998</v>
      </c>
      <c r="X62" s="45">
        <v>0.43999999999999995</v>
      </c>
      <c r="Y62" s="45">
        <v>66</v>
      </c>
      <c r="Z62" s="45">
        <v>64</v>
      </c>
      <c r="AA62" s="45">
        <v>3.7565</v>
      </c>
      <c r="AB62" s="45">
        <v>0.9546</v>
      </c>
      <c r="AC62" s="45">
        <v>5.89999999999999E-2</v>
      </c>
      <c r="AD62" s="45">
        <v>0.12565000000000001</v>
      </c>
      <c r="AE62" s="45">
        <v>-1.0669999999999999</v>
      </c>
      <c r="AF62" s="45">
        <v>143.13249999999999</v>
      </c>
      <c r="AG62" s="45">
        <v>-166.75739999999999</v>
      </c>
      <c r="AH62" s="45" t="s">
        <v>60</v>
      </c>
      <c r="AI62" s="45" t="s">
        <v>60</v>
      </c>
      <c r="AJ62" s="45" t="s">
        <v>60</v>
      </c>
      <c r="AK62" s="45" t="s">
        <v>60</v>
      </c>
      <c r="AL62" s="45" t="s">
        <v>60</v>
      </c>
      <c r="AM62" s="45" t="s">
        <v>60</v>
      </c>
      <c r="AN62" s="45" t="s">
        <v>60</v>
      </c>
      <c r="AO62" s="45" t="s">
        <v>60</v>
      </c>
      <c r="AP62" s="45" t="s">
        <v>60</v>
      </c>
      <c r="AQ62" s="45" t="s">
        <v>60</v>
      </c>
      <c r="AR62" s="45" t="s">
        <v>60</v>
      </c>
      <c r="AS62" s="45">
        <v>12.164104</v>
      </c>
      <c r="AT62" s="45">
        <v>10.649839999999999</v>
      </c>
      <c r="AU62" s="45">
        <v>13.73329</v>
      </c>
      <c r="AV62" s="45">
        <v>6.6284200000000002</v>
      </c>
      <c r="AW62" s="45">
        <v>1</v>
      </c>
      <c r="AX62" s="45">
        <v>0</v>
      </c>
      <c r="AY62" s="45">
        <v>0</v>
      </c>
      <c r="AZ62" s="45">
        <v>0</v>
      </c>
      <c r="BA62" s="45">
        <v>0</v>
      </c>
      <c r="BB62" s="45">
        <v>1</v>
      </c>
      <c r="BC62" s="45">
        <v>0</v>
      </c>
      <c r="BD62" s="54" t="s">
        <v>60</v>
      </c>
      <c r="BE62" s="44"/>
      <c r="BF62" s="53"/>
    </row>
    <row r="63" spans="1:58" x14ac:dyDescent="0.25">
      <c r="A63" s="48">
        <v>60</v>
      </c>
      <c r="B63" s="45" t="s">
        <v>275</v>
      </c>
      <c r="C63" s="45">
        <v>5.0391000000000004</v>
      </c>
      <c r="D63" s="45">
        <v>207</v>
      </c>
      <c r="E63" s="45">
        <v>65</v>
      </c>
      <c r="F63" s="45">
        <v>96</v>
      </c>
      <c r="G63" s="45">
        <v>232.80170000000001</v>
      </c>
      <c r="H63" s="45">
        <v>80</v>
      </c>
      <c r="I63" s="45">
        <v>202</v>
      </c>
      <c r="J63" s="45">
        <v>195</v>
      </c>
      <c r="K63" s="45">
        <v>216.5369</v>
      </c>
      <c r="L63" s="45">
        <v>1</v>
      </c>
      <c r="M63" s="45">
        <v>13.95</v>
      </c>
      <c r="N63" s="45">
        <v>2.4300000000000002</v>
      </c>
      <c r="O63" s="45">
        <v>1</v>
      </c>
      <c r="P63" s="45">
        <v>8.6468000000000007</v>
      </c>
      <c r="Q63" s="45">
        <v>27.832000000000001</v>
      </c>
      <c r="R63" s="45">
        <v>0.496</v>
      </c>
      <c r="S63" s="55">
        <v>0</v>
      </c>
      <c r="T63" s="45">
        <v>0.48</v>
      </c>
      <c r="U63" s="45">
        <v>28.631999999999998</v>
      </c>
      <c r="V63" s="45">
        <v>0.45999999999999996</v>
      </c>
      <c r="W63" s="45">
        <v>14.787999999999998</v>
      </c>
      <c r="X63" s="45">
        <v>0.43999999999999995</v>
      </c>
      <c r="Y63" s="45">
        <v>67</v>
      </c>
      <c r="Z63" s="45">
        <v>65</v>
      </c>
      <c r="AA63" s="45">
        <v>3.7565</v>
      </c>
      <c r="AB63" s="45">
        <v>0.9546</v>
      </c>
      <c r="AC63" s="45">
        <v>5.9999999999999901E-2</v>
      </c>
      <c r="AD63" s="45">
        <v>0.12565000000000001</v>
      </c>
      <c r="AE63" s="45">
        <v>-1.0669999999999999</v>
      </c>
      <c r="AF63" s="45">
        <v>143.13249999999999</v>
      </c>
      <c r="AG63" s="45">
        <v>-166.75739999999999</v>
      </c>
      <c r="AH63" s="45" t="s">
        <v>60</v>
      </c>
      <c r="AI63" s="45" t="s">
        <v>60</v>
      </c>
      <c r="AJ63" s="45" t="s">
        <v>60</v>
      </c>
      <c r="AK63" s="45" t="s">
        <v>60</v>
      </c>
      <c r="AL63" s="45" t="s">
        <v>60</v>
      </c>
      <c r="AM63" s="45" t="s">
        <v>60</v>
      </c>
      <c r="AN63" s="45" t="s">
        <v>60</v>
      </c>
      <c r="AO63" s="45" t="s">
        <v>60</v>
      </c>
      <c r="AP63" s="45" t="s">
        <v>60</v>
      </c>
      <c r="AQ63" s="45" t="s">
        <v>60</v>
      </c>
      <c r="AR63" s="45" t="s">
        <v>60</v>
      </c>
      <c r="AS63" s="45">
        <v>12.164104</v>
      </c>
      <c r="AT63" s="45">
        <v>-1.8031200000000001</v>
      </c>
      <c r="AU63" s="45">
        <v>13.73329</v>
      </c>
      <c r="AV63" s="45">
        <v>6.6284200000000002</v>
      </c>
      <c r="AW63" s="45">
        <v>2</v>
      </c>
      <c r="AX63" s="45">
        <v>0</v>
      </c>
      <c r="AY63" s="45">
        <v>0</v>
      </c>
      <c r="AZ63" s="45">
        <v>0</v>
      </c>
      <c r="BA63" s="45">
        <v>0</v>
      </c>
      <c r="BB63" s="45">
        <v>1</v>
      </c>
      <c r="BC63" s="45">
        <v>0</v>
      </c>
      <c r="BD63" s="54" t="s">
        <v>60</v>
      </c>
      <c r="BE63" s="44"/>
      <c r="BF63" s="53"/>
    </row>
    <row r="64" spans="1:58" x14ac:dyDescent="0.25">
      <c r="A64" s="48">
        <v>61</v>
      </c>
      <c r="B64" s="45" t="s">
        <v>276</v>
      </c>
      <c r="C64" s="45">
        <v>5.0391000000000004</v>
      </c>
      <c r="D64" s="45">
        <v>207</v>
      </c>
      <c r="E64" s="45">
        <v>65</v>
      </c>
      <c r="F64" s="45">
        <v>96</v>
      </c>
      <c r="G64" s="45">
        <v>232.80170000000001</v>
      </c>
      <c r="H64" s="45">
        <v>80</v>
      </c>
      <c r="I64" s="45">
        <v>202</v>
      </c>
      <c r="J64" s="45">
        <v>195</v>
      </c>
      <c r="K64" s="45">
        <v>216.5369</v>
      </c>
      <c r="L64" s="45">
        <v>1</v>
      </c>
      <c r="M64" s="45">
        <v>2.15</v>
      </c>
      <c r="N64" s="45">
        <v>2.4300000000000002</v>
      </c>
      <c r="O64" s="45">
        <v>1</v>
      </c>
      <c r="P64" s="45">
        <v>8.6468000000000007</v>
      </c>
      <c r="Q64" s="45">
        <v>27.832000000000001</v>
      </c>
      <c r="R64" s="45">
        <v>0.496</v>
      </c>
      <c r="S64" s="55">
        <v>-23.948</v>
      </c>
      <c r="T64" s="45">
        <v>0.48</v>
      </c>
      <c r="U64" s="45">
        <v>28.631999999999998</v>
      </c>
      <c r="V64" s="45">
        <v>0.45999999999999996</v>
      </c>
      <c r="W64" s="45">
        <v>14.787999999999998</v>
      </c>
      <c r="X64" s="45">
        <v>0.43999999999999995</v>
      </c>
      <c r="Y64" s="45">
        <v>68</v>
      </c>
      <c r="Z64" s="45">
        <v>66</v>
      </c>
      <c r="AA64" s="45">
        <v>3.7565</v>
      </c>
      <c r="AB64" s="45">
        <v>0.9546</v>
      </c>
      <c r="AC64" s="45">
        <v>7.4999999999999997E-2</v>
      </c>
      <c r="AD64" s="45">
        <v>0.12565000000000001</v>
      </c>
      <c r="AE64" s="45">
        <v>-1.0669999999999999</v>
      </c>
      <c r="AF64" s="45">
        <v>143.13249999999999</v>
      </c>
      <c r="AG64" s="45">
        <v>-166.75739999999999</v>
      </c>
      <c r="AH64" s="45" t="s">
        <v>60</v>
      </c>
      <c r="AI64" s="45" t="s">
        <v>60</v>
      </c>
      <c r="AJ64" s="45" t="s">
        <v>60</v>
      </c>
      <c r="AK64" s="45" t="s">
        <v>60</v>
      </c>
      <c r="AL64" s="45" t="s">
        <v>60</v>
      </c>
      <c r="AM64" s="45" t="s">
        <v>60</v>
      </c>
      <c r="AN64" s="45" t="s">
        <v>60</v>
      </c>
      <c r="AO64" s="45" t="s">
        <v>60</v>
      </c>
      <c r="AP64" s="45" t="s">
        <v>60</v>
      </c>
      <c r="AQ64" s="45" t="s">
        <v>60</v>
      </c>
      <c r="AR64" s="45" t="s">
        <v>60</v>
      </c>
      <c r="AS64" s="45">
        <v>12.164104</v>
      </c>
      <c r="AT64" s="45">
        <v>-14.256080000000001</v>
      </c>
      <c r="AU64" s="45">
        <v>13.73329</v>
      </c>
      <c r="AV64" s="45">
        <v>6.6284200000000002</v>
      </c>
      <c r="AW64" s="45">
        <v>3</v>
      </c>
      <c r="AX64" s="45">
        <v>0</v>
      </c>
      <c r="AY64" s="45">
        <v>0</v>
      </c>
      <c r="AZ64" s="45">
        <v>0</v>
      </c>
      <c r="BA64" s="45">
        <v>0</v>
      </c>
      <c r="BB64" s="45">
        <v>1</v>
      </c>
      <c r="BC64" s="45">
        <v>0</v>
      </c>
      <c r="BD64" s="54" t="s">
        <v>60</v>
      </c>
      <c r="BE64" s="44"/>
      <c r="BF64" s="53"/>
    </row>
    <row r="65" spans="1:58" x14ac:dyDescent="0.25">
      <c r="A65" s="48">
        <v>62</v>
      </c>
      <c r="B65" s="45" t="s">
        <v>277</v>
      </c>
      <c r="C65" s="45">
        <v>3.0556999999999999</v>
      </c>
      <c r="D65" s="45">
        <v>197</v>
      </c>
      <c r="E65" s="45">
        <v>187</v>
      </c>
      <c r="F65" s="45">
        <v>70</v>
      </c>
      <c r="G65" s="45">
        <v>134.37569999999999</v>
      </c>
      <c r="H65" s="45">
        <v>186</v>
      </c>
      <c r="I65" s="45">
        <v>238</v>
      </c>
      <c r="J65" s="45">
        <v>13</v>
      </c>
      <c r="K65" s="45">
        <v>224.4111</v>
      </c>
      <c r="L65" s="45">
        <v>1</v>
      </c>
      <c r="M65" s="45">
        <v>2.25</v>
      </c>
      <c r="N65" s="45">
        <v>2.57</v>
      </c>
      <c r="O65" s="106">
        <v>1</v>
      </c>
      <c r="P65" s="45">
        <v>6.5716000000000001</v>
      </c>
      <c r="Q65" s="45">
        <v>28.527799999999999</v>
      </c>
      <c r="R65" s="45">
        <v>0.50839999999999996</v>
      </c>
      <c r="S65" s="45">
        <v>24.546700000000001</v>
      </c>
      <c r="T65" s="55">
        <v>0</v>
      </c>
      <c r="U65" s="45">
        <v>29.347799999999999</v>
      </c>
      <c r="V65" s="45">
        <v>0.47149999999999997</v>
      </c>
      <c r="W65" s="45">
        <v>15.157699999999998</v>
      </c>
      <c r="X65" s="45">
        <v>0.45099999999999996</v>
      </c>
      <c r="Y65" s="45">
        <v>69</v>
      </c>
      <c r="Z65" s="45">
        <v>67</v>
      </c>
      <c r="AA65" s="45">
        <v>8.8840000000000003</v>
      </c>
      <c r="AB65" s="45">
        <v>0.99998474121093806</v>
      </c>
      <c r="AC65" s="45">
        <v>7.4999999999999997E-2</v>
      </c>
      <c r="AD65" s="45">
        <v>0.12565000000000001</v>
      </c>
      <c r="AE65" s="45">
        <v>2.3489</v>
      </c>
      <c r="AF65" s="45">
        <v>79.997100000000003</v>
      </c>
      <c r="AG65" s="45">
        <v>-78.002099999999999</v>
      </c>
      <c r="AH65" s="45" t="s">
        <v>60</v>
      </c>
      <c r="AI65" s="45" t="s">
        <v>60</v>
      </c>
      <c r="AJ65" s="45" t="s">
        <v>60</v>
      </c>
      <c r="AK65" s="45" t="s">
        <v>60</v>
      </c>
      <c r="AL65" s="45" t="s">
        <v>60</v>
      </c>
      <c r="AM65" s="45" t="s">
        <v>60</v>
      </c>
      <c r="AN65" s="45" t="s">
        <v>60</v>
      </c>
      <c r="AO65" s="45" t="s">
        <v>60</v>
      </c>
      <c r="AP65" s="45" t="s">
        <v>60</v>
      </c>
      <c r="AQ65" s="45" t="s">
        <v>60</v>
      </c>
      <c r="AR65" s="45" t="s">
        <v>60</v>
      </c>
      <c r="AS65" s="45">
        <v>10.904732033496</v>
      </c>
      <c r="AT65" s="45">
        <v>24.546700000000001</v>
      </c>
      <c r="AU65" s="45">
        <v>11.321506299999999</v>
      </c>
      <c r="AV65" s="45">
        <v>4.3148932999999996</v>
      </c>
      <c r="AW65" s="45">
        <v>0</v>
      </c>
      <c r="AX65" s="45">
        <v>0</v>
      </c>
      <c r="AY65" s="45">
        <v>169</v>
      </c>
      <c r="AZ65" s="45">
        <v>0</v>
      </c>
      <c r="BA65" s="45">
        <v>0</v>
      </c>
      <c r="BB65" s="45">
        <v>1</v>
      </c>
      <c r="BC65" s="45">
        <v>1</v>
      </c>
      <c r="BD65" s="54" t="s">
        <v>60</v>
      </c>
      <c r="BE65" s="44"/>
      <c r="BF65" s="53"/>
    </row>
    <row r="66" spans="1:58" x14ac:dyDescent="0.25">
      <c r="A66" s="48">
        <v>63</v>
      </c>
      <c r="B66" s="45" t="s">
        <v>278</v>
      </c>
      <c r="C66" s="45">
        <v>2.4075000000000002</v>
      </c>
      <c r="D66" s="45">
        <v>243</v>
      </c>
      <c r="E66" s="45">
        <v>161</v>
      </c>
      <c r="F66" s="45">
        <v>246</v>
      </c>
      <c r="G66" s="45">
        <v>96.095200000000006</v>
      </c>
      <c r="H66" s="45">
        <v>236</v>
      </c>
      <c r="I66" s="45">
        <v>223</v>
      </c>
      <c r="J66" s="45">
        <v>22</v>
      </c>
      <c r="K66" s="45">
        <v>16.016100000000002</v>
      </c>
      <c r="L66" s="45">
        <v>0.85550000000000004</v>
      </c>
      <c r="M66" s="45">
        <v>2.35</v>
      </c>
      <c r="N66" s="45">
        <v>2.71</v>
      </c>
      <c r="O66" s="106">
        <v>0.95660000000000001</v>
      </c>
      <c r="P66" s="45">
        <v>6.5231000000000003</v>
      </c>
      <c r="Q66" s="45">
        <v>29.223600000000001</v>
      </c>
      <c r="R66" s="45">
        <v>0.52079999999999993</v>
      </c>
      <c r="S66" s="45">
        <v>25.145400000000002</v>
      </c>
      <c r="T66" s="55">
        <v>0.95678608200000004</v>
      </c>
      <c r="U66" s="45">
        <v>30.063600000000001</v>
      </c>
      <c r="V66" s="45">
        <v>0.48299999999999998</v>
      </c>
      <c r="W66" s="45">
        <v>11.5274</v>
      </c>
      <c r="X66" s="45">
        <v>0.46199999999999997</v>
      </c>
      <c r="Y66" s="45">
        <v>70</v>
      </c>
      <c r="Z66" s="45">
        <v>68</v>
      </c>
      <c r="AA66" s="45">
        <v>0.92920000000000003</v>
      </c>
      <c r="AB66" s="45">
        <v>0.73919999999999997</v>
      </c>
      <c r="AC66" s="45">
        <v>7.4999999999999997E-2</v>
      </c>
      <c r="AD66" s="45">
        <v>0.12565000000000001</v>
      </c>
      <c r="AE66" s="45">
        <v>-6.86</v>
      </c>
      <c r="AF66" s="45">
        <v>-159.34960000000001</v>
      </c>
      <c r="AG66" s="45">
        <v>-198.4076</v>
      </c>
      <c r="AH66" s="45" t="s">
        <v>60</v>
      </c>
      <c r="AI66" s="45" t="s">
        <v>60</v>
      </c>
      <c r="AJ66" s="45" t="s">
        <v>60</v>
      </c>
      <c r="AK66" s="45" t="s">
        <v>60</v>
      </c>
      <c r="AL66" s="45" t="s">
        <v>60</v>
      </c>
      <c r="AM66" s="45" t="s">
        <v>60</v>
      </c>
      <c r="AN66" s="45" t="s">
        <v>60</v>
      </c>
      <c r="AO66" s="45" t="s">
        <v>60</v>
      </c>
      <c r="AP66" s="45" t="s">
        <v>60</v>
      </c>
      <c r="AQ66" s="45" t="s">
        <v>60</v>
      </c>
      <c r="AR66" s="45" t="s">
        <v>60</v>
      </c>
      <c r="AS66" s="45">
        <v>13.520021760000001</v>
      </c>
      <c r="AT66" s="45">
        <v>0.19758562628279899</v>
      </c>
      <c r="AU66" s="45">
        <v>15.0940776</v>
      </c>
      <c r="AV66" s="45">
        <v>5.7724507999999997</v>
      </c>
      <c r="AW66" s="45">
        <v>0</v>
      </c>
      <c r="AX66" s="45">
        <v>0</v>
      </c>
      <c r="AY66" s="45">
        <v>169</v>
      </c>
      <c r="AZ66" s="45">
        <v>0</v>
      </c>
      <c r="BA66" s="45">
        <v>0</v>
      </c>
      <c r="BB66" s="45">
        <v>1</v>
      </c>
      <c r="BC66" s="45">
        <v>1</v>
      </c>
      <c r="BD66" s="54" t="s">
        <v>60</v>
      </c>
      <c r="BE66" s="44"/>
      <c r="BF66" s="53"/>
    </row>
    <row r="67" spans="1:58" x14ac:dyDescent="0.25">
      <c r="A67" s="48">
        <v>64</v>
      </c>
      <c r="B67" s="45" t="s">
        <v>279</v>
      </c>
      <c r="C67" s="45">
        <v>8.1973000000000003</v>
      </c>
      <c r="D67" s="45">
        <v>164</v>
      </c>
      <c r="E67" s="45">
        <v>162</v>
      </c>
      <c r="F67" s="45">
        <v>168</v>
      </c>
      <c r="G67" s="45">
        <v>3.6749000000000001</v>
      </c>
      <c r="H67" s="45">
        <v>123</v>
      </c>
      <c r="I67" s="45">
        <v>162</v>
      </c>
      <c r="J67" s="45">
        <v>51</v>
      </c>
      <c r="K67" s="45">
        <v>238.58080000000001</v>
      </c>
      <c r="L67" s="45">
        <v>1</v>
      </c>
      <c r="M67" s="45">
        <v>22.45</v>
      </c>
      <c r="N67" s="45">
        <v>2.85</v>
      </c>
      <c r="O67" s="106">
        <v>1</v>
      </c>
      <c r="P67" s="45">
        <v>0.378</v>
      </c>
      <c r="Q67" s="45">
        <v>29.9194</v>
      </c>
      <c r="R67" s="45">
        <v>0.53320000000000001</v>
      </c>
      <c r="S67" s="45">
        <v>25.7441</v>
      </c>
      <c r="T67" s="55">
        <v>0.51600000000000001</v>
      </c>
      <c r="U67" s="45">
        <v>30.779399999999999</v>
      </c>
      <c r="V67" s="45">
        <v>0.4945</v>
      </c>
      <c r="W67" s="45">
        <v>12.8971</v>
      </c>
      <c r="X67" s="45">
        <v>0.47299999999999998</v>
      </c>
      <c r="Y67" s="45">
        <v>71</v>
      </c>
      <c r="Z67" s="45">
        <v>69</v>
      </c>
      <c r="AA67" s="45">
        <v>6.4481999999999999</v>
      </c>
      <c r="AB67" s="45">
        <v>0.99998474121093806</v>
      </c>
      <c r="AC67" s="45">
        <v>7.4999999999999997E-2</v>
      </c>
      <c r="AD67" s="45">
        <v>0.12565000000000001</v>
      </c>
      <c r="AE67" s="45">
        <v>2.5377999999999998</v>
      </c>
      <c r="AF67" s="45">
        <v>-167.113</v>
      </c>
      <c r="AG67" s="45">
        <v>28.414899999999999</v>
      </c>
      <c r="AH67" s="45" t="s">
        <v>60</v>
      </c>
      <c r="AI67" s="45" t="s">
        <v>60</v>
      </c>
      <c r="AJ67" s="45" t="s">
        <v>60</v>
      </c>
      <c r="AK67" s="45" t="s">
        <v>60</v>
      </c>
      <c r="AL67" s="45" t="s">
        <v>60</v>
      </c>
      <c r="AM67" s="45" t="s">
        <v>60</v>
      </c>
      <c r="AN67" s="45" t="s">
        <v>60</v>
      </c>
      <c r="AO67" s="45" t="s">
        <v>60</v>
      </c>
      <c r="AP67" s="45" t="s">
        <v>60</v>
      </c>
      <c r="AQ67" s="45" t="s">
        <v>60</v>
      </c>
      <c r="AR67" s="45" t="s">
        <v>60</v>
      </c>
      <c r="AS67" s="45">
        <v>17.404556159999998</v>
      </c>
      <c r="AT67" s="45">
        <v>15.787415599999999</v>
      </c>
      <c r="AU67" s="45">
        <v>12.3703518</v>
      </c>
      <c r="AV67" s="45">
        <v>3.7467731</v>
      </c>
      <c r="AW67" s="45">
        <v>168</v>
      </c>
      <c r="AX67" s="45">
        <v>0</v>
      </c>
      <c r="AY67" s="45">
        <v>169</v>
      </c>
      <c r="AZ67" s="45">
        <v>1</v>
      </c>
      <c r="BA67" s="45">
        <v>1</v>
      </c>
      <c r="BB67" s="45">
        <v>0</v>
      </c>
      <c r="BC67" s="45">
        <v>1</v>
      </c>
      <c r="BD67" s="54" t="s">
        <v>60</v>
      </c>
      <c r="BE67" s="44"/>
      <c r="BF67" s="53"/>
    </row>
    <row r="68" spans="1:58" x14ac:dyDescent="0.25">
      <c r="A68" s="48">
        <v>65</v>
      </c>
      <c r="B68" s="45" t="s">
        <v>280</v>
      </c>
      <c r="C68" s="45">
        <v>8.8000000000000007</v>
      </c>
      <c r="D68" s="45">
        <v>147</v>
      </c>
      <c r="E68" s="45">
        <v>119</v>
      </c>
      <c r="F68" s="45">
        <v>125</v>
      </c>
      <c r="G68" s="45">
        <v>8.5338999999999992</v>
      </c>
      <c r="H68" s="45">
        <v>17</v>
      </c>
      <c r="I68" s="45">
        <v>135</v>
      </c>
      <c r="J68" s="45">
        <v>96</v>
      </c>
      <c r="K68" s="45">
        <v>135.56020000000001</v>
      </c>
      <c r="L68" s="45">
        <v>0.84550000000000003</v>
      </c>
      <c r="M68" s="45">
        <v>22.55</v>
      </c>
      <c r="N68" s="45">
        <v>2.99</v>
      </c>
      <c r="O68" s="45">
        <v>1</v>
      </c>
      <c r="P68" s="106">
        <v>5.2229000000000001</v>
      </c>
      <c r="Q68" s="45">
        <v>-0.58740000000000003</v>
      </c>
      <c r="R68" s="45">
        <v>0.54559999999999997</v>
      </c>
      <c r="S68" s="45">
        <v>-0.53680000000000005</v>
      </c>
      <c r="T68" s="45">
        <v>0.52800000000000002</v>
      </c>
      <c r="U68" s="55">
        <v>-31</v>
      </c>
      <c r="V68" s="45">
        <v>0.50600000000000001</v>
      </c>
      <c r="W68" s="45">
        <v>15.897099999999998</v>
      </c>
      <c r="X68" s="45">
        <v>0.48399999999999999</v>
      </c>
      <c r="Y68" s="45">
        <v>72</v>
      </c>
      <c r="Z68" s="45">
        <v>70</v>
      </c>
      <c r="AA68" s="45">
        <v>12.115399999999999</v>
      </c>
      <c r="AB68" s="45">
        <v>2.1600000000000001E-2</v>
      </c>
      <c r="AC68" s="45">
        <v>7.4999999999999997E-2</v>
      </c>
      <c r="AD68" s="45">
        <v>0.10290000000000001</v>
      </c>
      <c r="AE68" s="45">
        <v>-3.1899999999999998E-2</v>
      </c>
      <c r="AF68" s="45">
        <v>131.77510000000001</v>
      </c>
      <c r="AG68" s="45">
        <v>164.56720000000001</v>
      </c>
      <c r="AH68" s="45" t="s">
        <v>60</v>
      </c>
      <c r="AI68" s="45" t="s">
        <v>60</v>
      </c>
      <c r="AJ68" s="45" t="s">
        <v>60</v>
      </c>
      <c r="AK68" s="45" t="s">
        <v>60</v>
      </c>
      <c r="AL68" s="45" t="s">
        <v>60</v>
      </c>
      <c r="AM68" s="45" t="s">
        <v>60</v>
      </c>
      <c r="AN68" s="45" t="s">
        <v>60</v>
      </c>
      <c r="AO68" s="45" t="s">
        <v>60</v>
      </c>
      <c r="AP68" s="45" t="s">
        <v>60</v>
      </c>
      <c r="AQ68" s="45" t="s">
        <v>60</v>
      </c>
      <c r="AR68" s="45" t="s">
        <v>60</v>
      </c>
      <c r="AS68" s="45">
        <v>-4.4164126720522399</v>
      </c>
      <c r="AT68" s="45">
        <v>-4.2690129342441097</v>
      </c>
      <c r="AU68" s="45">
        <v>-19.867448525139299</v>
      </c>
      <c r="AV68" s="45">
        <v>3.8474310976928701</v>
      </c>
      <c r="AW68" s="45">
        <v>125</v>
      </c>
      <c r="AX68" s="45">
        <v>0</v>
      </c>
      <c r="AY68" s="45">
        <v>169</v>
      </c>
      <c r="AZ68" s="45">
        <v>1</v>
      </c>
      <c r="BA68" s="45">
        <v>1</v>
      </c>
      <c r="BB68" s="45">
        <v>0</v>
      </c>
      <c r="BC68" s="45">
        <v>1</v>
      </c>
      <c r="BD68" s="54" t="s">
        <v>60</v>
      </c>
      <c r="BE68" s="44"/>
      <c r="BF68" s="53"/>
    </row>
    <row r="69" spans="1:58" x14ac:dyDescent="0.25">
      <c r="A69" s="48">
        <v>66</v>
      </c>
      <c r="B69" s="45" t="s">
        <v>281</v>
      </c>
      <c r="C69" s="45">
        <v>8.2131000000000007</v>
      </c>
      <c r="D69" s="45">
        <v>180</v>
      </c>
      <c r="E69" s="45">
        <v>161</v>
      </c>
      <c r="F69" s="45">
        <v>176</v>
      </c>
      <c r="G69" s="45">
        <v>230.72479999999999</v>
      </c>
      <c r="H69" s="45">
        <v>114</v>
      </c>
      <c r="I69" s="45">
        <v>124</v>
      </c>
      <c r="J69" s="45">
        <v>192</v>
      </c>
      <c r="K69" s="45">
        <v>178.16419999999999</v>
      </c>
      <c r="L69" s="45">
        <v>0.1143</v>
      </c>
      <c r="M69" s="45">
        <v>22.65</v>
      </c>
      <c r="N69" s="45">
        <v>3.13</v>
      </c>
      <c r="O69" s="45">
        <v>0.88349999999999995</v>
      </c>
      <c r="P69" s="106">
        <v>1.4471000000000001</v>
      </c>
      <c r="Q69" s="45">
        <v>-1.1748000000000001</v>
      </c>
      <c r="R69" s="45">
        <v>0.55799999999999994</v>
      </c>
      <c r="S69" s="45">
        <v>-1.0736000000000001</v>
      </c>
      <c r="T69" s="45">
        <v>0.54</v>
      </c>
      <c r="U69" s="55">
        <v>31</v>
      </c>
      <c r="V69" s="45">
        <v>0.51749999999999996</v>
      </c>
      <c r="W69" s="45">
        <v>16.2668</v>
      </c>
      <c r="X69" s="45">
        <v>0.495</v>
      </c>
      <c r="Y69" s="45">
        <v>73</v>
      </c>
      <c r="Z69" s="45">
        <v>71</v>
      </c>
      <c r="AA69" s="45">
        <v>5.8789999999999996</v>
      </c>
      <c r="AB69" s="45">
        <v>0.99998474121093806</v>
      </c>
      <c r="AC69" s="45">
        <v>5.7500000000000002E-2</v>
      </c>
      <c r="AD69" s="45">
        <v>0.12565000000000001</v>
      </c>
      <c r="AE69" s="45">
        <v>-0.60670000000000002</v>
      </c>
      <c r="AF69" s="45">
        <v>144.75409999999999</v>
      </c>
      <c r="AG69" s="45">
        <v>34.938400000000001</v>
      </c>
      <c r="AH69" s="45" t="s">
        <v>60</v>
      </c>
      <c r="AI69" s="45" t="s">
        <v>60</v>
      </c>
      <c r="AJ69" s="45" t="s">
        <v>60</v>
      </c>
      <c r="AK69" s="45" t="s">
        <v>60</v>
      </c>
      <c r="AL69" s="45" t="s">
        <v>60</v>
      </c>
      <c r="AM69" s="45" t="s">
        <v>60</v>
      </c>
      <c r="AN69" s="45" t="s">
        <v>60</v>
      </c>
      <c r="AO69" s="45" t="s">
        <v>60</v>
      </c>
      <c r="AP69" s="45" t="s">
        <v>60</v>
      </c>
      <c r="AQ69" s="45" t="s">
        <v>60</v>
      </c>
      <c r="AR69" s="45" t="s">
        <v>60</v>
      </c>
      <c r="AS69" s="45">
        <v>-3.7997436000000002</v>
      </c>
      <c r="AT69" s="45">
        <v>-3.6685159999999999</v>
      </c>
      <c r="AU69" s="45">
        <v>11.915117499999999</v>
      </c>
      <c r="AV69" s="45">
        <v>5.3046290000000003</v>
      </c>
      <c r="AW69" s="45">
        <v>0</v>
      </c>
      <c r="AX69" s="45">
        <v>0</v>
      </c>
      <c r="AY69" s="45">
        <v>169</v>
      </c>
      <c r="AZ69" s="45">
        <v>0</v>
      </c>
      <c r="BA69" s="45">
        <v>0</v>
      </c>
      <c r="BB69" s="45">
        <v>1</v>
      </c>
      <c r="BC69" s="45">
        <v>1</v>
      </c>
      <c r="BD69" s="54" t="s">
        <v>60</v>
      </c>
      <c r="BE69" s="44"/>
      <c r="BF69" s="53"/>
    </row>
    <row r="70" spans="1:58" x14ac:dyDescent="0.25">
      <c r="A70" s="48">
        <v>67</v>
      </c>
      <c r="B70" s="45" t="s">
        <v>282</v>
      </c>
      <c r="C70" s="45">
        <v>3.5320999999999998</v>
      </c>
      <c r="D70" s="45">
        <v>182</v>
      </c>
      <c r="E70" s="45">
        <v>153</v>
      </c>
      <c r="F70" s="45">
        <v>183</v>
      </c>
      <c r="G70" s="45">
        <v>93.161000000000001</v>
      </c>
      <c r="H70" s="45">
        <v>15</v>
      </c>
      <c r="I70" s="45">
        <v>40</v>
      </c>
      <c r="J70" s="45">
        <v>158</v>
      </c>
      <c r="K70" s="45">
        <v>81.037800000000004</v>
      </c>
      <c r="L70" s="45">
        <v>0.96489999999999998</v>
      </c>
      <c r="M70" s="45">
        <v>22.75</v>
      </c>
      <c r="N70" s="45">
        <v>3.27</v>
      </c>
      <c r="O70" s="45">
        <v>1</v>
      </c>
      <c r="P70" s="106">
        <v>1.9355</v>
      </c>
      <c r="Q70" s="45">
        <v>-1.7622</v>
      </c>
      <c r="R70" s="45">
        <v>0.57040000000000002</v>
      </c>
      <c r="S70" s="45">
        <v>-1.6104000000000003</v>
      </c>
      <c r="T70" s="45">
        <v>0.55200000000000005</v>
      </c>
      <c r="U70" s="55">
        <v>2.1294</v>
      </c>
      <c r="V70" s="45">
        <v>0.52900000000000003</v>
      </c>
      <c r="W70" s="45">
        <v>12.6365</v>
      </c>
      <c r="X70" s="45">
        <v>0.50600000000000001</v>
      </c>
      <c r="Y70" s="45">
        <v>74</v>
      </c>
      <c r="Z70" s="45">
        <v>72</v>
      </c>
      <c r="AA70" s="45">
        <v>11.979799999999999</v>
      </c>
      <c r="AB70" s="45">
        <v>0.99998474121093806</v>
      </c>
      <c r="AC70" s="45">
        <v>7.4999999999999997E-2</v>
      </c>
      <c r="AD70" s="45">
        <v>0.12565000000000001</v>
      </c>
      <c r="AE70" s="45">
        <v>6.2072000000000003</v>
      </c>
      <c r="AF70" s="45">
        <v>105.5749</v>
      </c>
      <c r="AG70" s="45">
        <v>-219.72200000000001</v>
      </c>
      <c r="AH70" s="45" t="s">
        <v>60</v>
      </c>
      <c r="AI70" s="45" t="s">
        <v>60</v>
      </c>
      <c r="AJ70" s="45" t="s">
        <v>60</v>
      </c>
      <c r="AK70" s="45" t="s">
        <v>60</v>
      </c>
      <c r="AL70" s="45" t="s">
        <v>60</v>
      </c>
      <c r="AM70" s="45" t="s">
        <v>60</v>
      </c>
      <c r="AN70" s="45" t="s">
        <v>60</v>
      </c>
      <c r="AO70" s="45" t="s">
        <v>60</v>
      </c>
      <c r="AP70" s="45" t="s">
        <v>60</v>
      </c>
      <c r="AQ70" s="45" t="s">
        <v>60</v>
      </c>
      <c r="AR70" s="45" t="s">
        <v>60</v>
      </c>
      <c r="AS70" s="45">
        <v>-5.4472559451763596</v>
      </c>
      <c r="AT70" s="45">
        <v>-5.26037677275131</v>
      </c>
      <c r="AU70" s="45">
        <v>-5.3343667999999997</v>
      </c>
      <c r="AV70" s="45">
        <v>0.18065220000000001</v>
      </c>
      <c r="AW70" s="45">
        <v>0</v>
      </c>
      <c r="AX70" s="45">
        <v>32</v>
      </c>
      <c r="AY70" s="45">
        <v>0</v>
      </c>
      <c r="AZ70" s="45">
        <v>0</v>
      </c>
      <c r="BA70" s="45">
        <v>0</v>
      </c>
      <c r="BB70" s="45">
        <v>1</v>
      </c>
      <c r="BC70" s="45">
        <v>0</v>
      </c>
      <c r="BD70" s="54" t="s">
        <v>60</v>
      </c>
      <c r="BE70" s="44"/>
      <c r="BF70" s="53"/>
    </row>
    <row r="71" spans="1:58" x14ac:dyDescent="0.25">
      <c r="A71" s="48">
        <v>68</v>
      </c>
      <c r="B71" s="45" t="s">
        <v>283</v>
      </c>
      <c r="C71" s="45">
        <v>3.5320999999999998</v>
      </c>
      <c r="D71" s="45">
        <v>182</v>
      </c>
      <c r="E71" s="45">
        <v>153</v>
      </c>
      <c r="F71" s="45">
        <v>183</v>
      </c>
      <c r="G71" s="45">
        <v>93.161000000000001</v>
      </c>
      <c r="H71" s="45">
        <v>15</v>
      </c>
      <c r="I71" s="45">
        <v>40</v>
      </c>
      <c r="J71" s="45">
        <v>158</v>
      </c>
      <c r="K71" s="45">
        <v>81.037800000000004</v>
      </c>
      <c r="L71" s="45">
        <v>0.96489999999999998</v>
      </c>
      <c r="M71" s="45">
        <v>22.85</v>
      </c>
      <c r="N71" s="45">
        <v>3.27</v>
      </c>
      <c r="O71" s="45">
        <v>1</v>
      </c>
      <c r="P71" s="106">
        <v>1.9355</v>
      </c>
      <c r="Q71" s="45">
        <v>-1.7622</v>
      </c>
      <c r="R71" s="45">
        <v>0.57040000000000002</v>
      </c>
      <c r="S71" s="45">
        <v>-1.6104000000000003</v>
      </c>
      <c r="T71" s="45">
        <v>0.55200000000000005</v>
      </c>
      <c r="U71" s="55">
        <v>0</v>
      </c>
      <c r="V71" s="45">
        <v>0.52900000000000003</v>
      </c>
      <c r="W71" s="45">
        <v>12.6365</v>
      </c>
      <c r="X71" s="45">
        <v>0.50600000000000001</v>
      </c>
      <c r="Y71" s="45">
        <v>75</v>
      </c>
      <c r="Z71" s="45">
        <v>73</v>
      </c>
      <c r="AA71" s="45">
        <v>11.979799999999999</v>
      </c>
      <c r="AB71" s="45">
        <v>0.99998474121093806</v>
      </c>
      <c r="AC71" s="45">
        <v>7.4999999999999997E-2</v>
      </c>
      <c r="AD71" s="45">
        <v>0.12565000000000001</v>
      </c>
      <c r="AE71" s="45">
        <v>6.2072000000000003</v>
      </c>
      <c r="AF71" s="45">
        <v>105.5749</v>
      </c>
      <c r="AG71" s="45">
        <v>-219.72200000000001</v>
      </c>
      <c r="AH71" s="45" t="s">
        <v>60</v>
      </c>
      <c r="AI71" s="45" t="s">
        <v>60</v>
      </c>
      <c r="AJ71" s="45" t="s">
        <v>60</v>
      </c>
      <c r="AK71" s="45" t="s">
        <v>60</v>
      </c>
      <c r="AL71" s="45" t="s">
        <v>60</v>
      </c>
      <c r="AM71" s="45" t="s">
        <v>60</v>
      </c>
      <c r="AN71" s="45" t="s">
        <v>60</v>
      </c>
      <c r="AO71" s="45" t="s">
        <v>60</v>
      </c>
      <c r="AP71" s="45" t="s">
        <v>60</v>
      </c>
      <c r="AQ71" s="45" t="s">
        <v>60</v>
      </c>
      <c r="AR71" s="45" t="s">
        <v>60</v>
      </c>
      <c r="AS71" s="45">
        <v>-5.4472614138178503</v>
      </c>
      <c r="AT71" s="45">
        <v>-5.2603820649850199</v>
      </c>
      <c r="AU71" s="45">
        <v>-6.3373141999999998</v>
      </c>
      <c r="AV71" s="45">
        <v>0.18065220000000001</v>
      </c>
      <c r="AW71" s="45">
        <v>0</v>
      </c>
      <c r="AX71" s="45">
        <v>33</v>
      </c>
      <c r="AY71" s="45">
        <v>0</v>
      </c>
      <c r="AZ71" s="45">
        <v>0</v>
      </c>
      <c r="BA71" s="45">
        <v>0</v>
      </c>
      <c r="BB71" s="45">
        <v>1</v>
      </c>
      <c r="BC71" s="45">
        <v>0</v>
      </c>
      <c r="BD71" s="54" t="s">
        <v>60</v>
      </c>
      <c r="BE71" s="44"/>
      <c r="BF71" s="53"/>
    </row>
    <row r="72" spans="1:58" x14ac:dyDescent="0.25">
      <c r="A72" s="48">
        <v>69</v>
      </c>
      <c r="B72" s="45" t="s">
        <v>284</v>
      </c>
      <c r="C72" s="45">
        <v>3.5320999999999998</v>
      </c>
      <c r="D72" s="45">
        <v>182</v>
      </c>
      <c r="E72" s="45">
        <v>153</v>
      </c>
      <c r="F72" s="45">
        <v>183</v>
      </c>
      <c r="G72" s="45">
        <v>93.161000000000001</v>
      </c>
      <c r="H72" s="45">
        <v>15</v>
      </c>
      <c r="I72" s="45">
        <v>40</v>
      </c>
      <c r="J72" s="45">
        <v>158</v>
      </c>
      <c r="K72" s="45">
        <v>81.037800000000004</v>
      </c>
      <c r="L72" s="45">
        <v>0.96489999999999998</v>
      </c>
      <c r="M72" s="45">
        <v>22.95</v>
      </c>
      <c r="N72" s="45">
        <v>3.27</v>
      </c>
      <c r="O72" s="45">
        <v>1</v>
      </c>
      <c r="P72" s="106">
        <v>1.9355</v>
      </c>
      <c r="Q72" s="45">
        <v>-1.7622</v>
      </c>
      <c r="R72" s="45">
        <v>0.57040000000000002</v>
      </c>
      <c r="S72" s="45">
        <v>-1.6104000000000003</v>
      </c>
      <c r="T72" s="45">
        <v>0.55200000000000005</v>
      </c>
      <c r="U72" s="55">
        <v>-2.1294</v>
      </c>
      <c r="V72" s="45">
        <v>0.52900000000000003</v>
      </c>
      <c r="W72" s="45">
        <v>12.6365</v>
      </c>
      <c r="X72" s="45">
        <v>0.50600000000000001</v>
      </c>
      <c r="Y72" s="45">
        <v>76</v>
      </c>
      <c r="Z72" s="45">
        <v>74</v>
      </c>
      <c r="AA72" s="45">
        <v>11.979799999999999</v>
      </c>
      <c r="AB72" s="45">
        <v>0.99998474121093806</v>
      </c>
      <c r="AC72" s="45">
        <v>7.4999999999999997E-2</v>
      </c>
      <c r="AD72" s="45">
        <v>0.12565000000000001</v>
      </c>
      <c r="AE72" s="45">
        <v>6.2072000000000003</v>
      </c>
      <c r="AF72" s="45">
        <v>105.5749</v>
      </c>
      <c r="AG72" s="45">
        <v>-219.72200000000001</v>
      </c>
      <c r="AH72" s="45" t="s">
        <v>60</v>
      </c>
      <c r="AI72" s="45" t="s">
        <v>60</v>
      </c>
      <c r="AJ72" s="45" t="s">
        <v>60</v>
      </c>
      <c r="AK72" s="45" t="s">
        <v>60</v>
      </c>
      <c r="AL72" s="45" t="s">
        <v>60</v>
      </c>
      <c r="AM72" s="45" t="s">
        <v>60</v>
      </c>
      <c r="AN72" s="45" t="s">
        <v>60</v>
      </c>
      <c r="AO72" s="45" t="s">
        <v>60</v>
      </c>
      <c r="AP72" s="45" t="s">
        <v>60</v>
      </c>
      <c r="AQ72" s="45" t="s">
        <v>60</v>
      </c>
      <c r="AR72" s="45" t="s">
        <v>60</v>
      </c>
      <c r="AS72" s="45">
        <v>-5.44726688245935</v>
      </c>
      <c r="AT72" s="45">
        <v>-5.2603873572187299</v>
      </c>
      <c r="AU72" s="45">
        <v>-7.3402615999999998</v>
      </c>
      <c r="AV72" s="45">
        <v>0.18065220000000001</v>
      </c>
      <c r="AW72" s="45">
        <v>0</v>
      </c>
      <c r="AX72" s="45">
        <v>34</v>
      </c>
      <c r="AY72" s="45">
        <v>0</v>
      </c>
      <c r="AZ72" s="45">
        <v>0</v>
      </c>
      <c r="BA72" s="45">
        <v>0</v>
      </c>
      <c r="BB72" s="45">
        <v>1</v>
      </c>
      <c r="BC72" s="45">
        <v>0</v>
      </c>
      <c r="BD72" s="54" t="s">
        <v>60</v>
      </c>
      <c r="BE72" s="44"/>
      <c r="BF72" s="53"/>
    </row>
    <row r="73" spans="1:58" x14ac:dyDescent="0.25">
      <c r="A73" s="48">
        <v>70</v>
      </c>
      <c r="B73" s="45" t="s">
        <v>285</v>
      </c>
      <c r="C73" s="45">
        <v>1.2336</v>
      </c>
      <c r="D73" s="45">
        <v>236</v>
      </c>
      <c r="E73" s="45">
        <v>253</v>
      </c>
      <c r="F73" s="45">
        <v>179</v>
      </c>
      <c r="G73" s="45">
        <v>220.88829999999999</v>
      </c>
      <c r="H73" s="45">
        <v>108</v>
      </c>
      <c r="I73" s="45">
        <v>47</v>
      </c>
      <c r="J73" s="45">
        <v>247</v>
      </c>
      <c r="K73" s="45">
        <v>76.422700000000006</v>
      </c>
      <c r="L73" s="45">
        <v>1</v>
      </c>
      <c r="M73" s="45">
        <v>23.05</v>
      </c>
      <c r="N73" s="45">
        <v>3.27</v>
      </c>
      <c r="O73" s="45">
        <v>1</v>
      </c>
      <c r="P73" s="45">
        <v>7.8747999999999996</v>
      </c>
      <c r="Q73" s="45">
        <v>-1.7622</v>
      </c>
      <c r="R73" s="45">
        <v>0.58279999999999998</v>
      </c>
      <c r="S73" s="45">
        <v>-2.1472000000000002</v>
      </c>
      <c r="T73" s="45">
        <v>0.56400000000000006</v>
      </c>
      <c r="U73" s="45">
        <v>-2.8391999999999999</v>
      </c>
      <c r="V73" s="55">
        <v>0</v>
      </c>
      <c r="W73" s="45">
        <v>17.0062</v>
      </c>
      <c r="X73" s="45">
        <v>0.51700000000000002</v>
      </c>
      <c r="Y73" s="45">
        <v>77</v>
      </c>
      <c r="Z73" s="45">
        <v>75</v>
      </c>
      <c r="AA73" s="45">
        <v>14.440300000000001</v>
      </c>
      <c r="AB73" s="45">
        <v>0.99998474121093806</v>
      </c>
      <c r="AC73" s="45">
        <v>7.4999999999999997E-2</v>
      </c>
      <c r="AD73" s="45">
        <v>0.12565000000000001</v>
      </c>
      <c r="AE73" s="45">
        <v>-7.415</v>
      </c>
      <c r="AF73" s="45">
        <v>-24.223199999999999</v>
      </c>
      <c r="AG73" s="45">
        <v>132.08690000000001</v>
      </c>
      <c r="AH73" s="45" t="s">
        <v>60</v>
      </c>
      <c r="AI73" s="45" t="s">
        <v>60</v>
      </c>
      <c r="AJ73" s="45" t="s">
        <v>60</v>
      </c>
      <c r="AK73" s="45" t="s">
        <v>60</v>
      </c>
      <c r="AL73" s="45" t="s">
        <v>60</v>
      </c>
      <c r="AM73" s="45" t="s">
        <v>60</v>
      </c>
      <c r="AN73" s="45" t="s">
        <v>60</v>
      </c>
      <c r="AO73" s="45" t="s">
        <v>60</v>
      </c>
      <c r="AP73" s="45" t="s">
        <v>60</v>
      </c>
      <c r="AQ73" s="45" t="s">
        <v>60</v>
      </c>
      <c r="AR73" s="45" t="s">
        <v>60</v>
      </c>
      <c r="AS73" s="45">
        <v>2.70623759461263</v>
      </c>
      <c r="AT73" s="45">
        <v>2.3942344463993201</v>
      </c>
      <c r="AU73" s="45">
        <v>-2.8391999999999999</v>
      </c>
      <c r="AV73" s="45">
        <v>3.44026945660092</v>
      </c>
      <c r="AW73" s="45">
        <v>0</v>
      </c>
      <c r="AX73" s="45">
        <v>28</v>
      </c>
      <c r="AY73" s="45">
        <v>0</v>
      </c>
      <c r="AZ73" s="45">
        <v>0</v>
      </c>
      <c r="BA73" s="45">
        <v>0</v>
      </c>
      <c r="BB73" s="45">
        <v>1</v>
      </c>
      <c r="BC73" s="45">
        <v>0</v>
      </c>
      <c r="BD73" s="54" t="s">
        <v>60</v>
      </c>
      <c r="BE73" s="44"/>
      <c r="BF73" s="53"/>
    </row>
    <row r="74" spans="1:58" x14ac:dyDescent="0.25">
      <c r="A74" s="48">
        <v>71</v>
      </c>
      <c r="B74" s="45" t="s">
        <v>286</v>
      </c>
      <c r="C74" s="45">
        <v>8.2035</v>
      </c>
      <c r="D74" s="45">
        <v>71</v>
      </c>
      <c r="E74" s="45">
        <v>216</v>
      </c>
      <c r="F74" s="45">
        <v>186</v>
      </c>
      <c r="G74" s="45">
        <v>49.411099999999998</v>
      </c>
      <c r="H74" s="45">
        <v>111</v>
      </c>
      <c r="I74" s="45">
        <v>230</v>
      </c>
      <c r="J74" s="45">
        <v>60</v>
      </c>
      <c r="K74" s="45">
        <v>84.063599999999994</v>
      </c>
      <c r="L74" s="45">
        <v>0.92530000000000001</v>
      </c>
      <c r="M74" s="45">
        <v>23.15</v>
      </c>
      <c r="N74" s="45">
        <v>3.27</v>
      </c>
      <c r="O74" s="45">
        <v>1</v>
      </c>
      <c r="P74" s="45">
        <v>3.9809999999999999</v>
      </c>
      <c r="Q74" s="45">
        <v>-1.7622</v>
      </c>
      <c r="R74" s="45">
        <v>0.59519999999999995</v>
      </c>
      <c r="S74" s="45">
        <v>-2.6840000000000002</v>
      </c>
      <c r="T74" s="45">
        <v>0.57600000000000007</v>
      </c>
      <c r="U74" s="45">
        <v>-3.5489999999999999</v>
      </c>
      <c r="V74" s="55">
        <v>0.95678608200000004</v>
      </c>
      <c r="W74" s="45">
        <v>11.3759</v>
      </c>
      <c r="X74" s="45">
        <v>0.52800000000000002</v>
      </c>
      <c r="Y74" s="45">
        <v>78</v>
      </c>
      <c r="Z74" s="45">
        <v>76</v>
      </c>
      <c r="AA74" s="45">
        <v>16.957599999999999</v>
      </c>
      <c r="AB74" s="45">
        <v>0.26429999999999998</v>
      </c>
      <c r="AC74" s="45">
        <v>7.4999999999999997E-2</v>
      </c>
      <c r="AD74" s="45">
        <v>0.12565000000000001</v>
      </c>
      <c r="AE74" s="45">
        <v>2.5306000000000002</v>
      </c>
      <c r="AF74" s="45">
        <v>87.365899999999996</v>
      </c>
      <c r="AG74" s="45">
        <v>-155.38499999999999</v>
      </c>
      <c r="AH74" s="45" t="s">
        <v>60</v>
      </c>
      <c r="AI74" s="45" t="s">
        <v>60</v>
      </c>
      <c r="AJ74" s="45" t="s">
        <v>60</v>
      </c>
      <c r="AK74" s="45" t="s">
        <v>60</v>
      </c>
      <c r="AL74" s="45" t="s">
        <v>60</v>
      </c>
      <c r="AM74" s="45" t="s">
        <v>60</v>
      </c>
      <c r="AN74" s="45" t="s">
        <v>60</v>
      </c>
      <c r="AO74" s="45" t="s">
        <v>60</v>
      </c>
      <c r="AP74" s="45" t="s">
        <v>60</v>
      </c>
      <c r="AQ74" s="45" t="s">
        <v>60</v>
      </c>
      <c r="AR74" s="45" t="s">
        <v>60</v>
      </c>
      <c r="AS74" s="45">
        <v>9.3798249600000005</v>
      </c>
      <c r="AT74" s="45">
        <v>8.6295616000000006</v>
      </c>
      <c r="AU74" s="45">
        <v>-2.6738284190748298</v>
      </c>
      <c r="AV74" s="45">
        <v>3.9785140422481802</v>
      </c>
      <c r="AW74" s="45">
        <v>0</v>
      </c>
      <c r="AX74" s="45">
        <v>0</v>
      </c>
      <c r="AY74" s="45">
        <v>169</v>
      </c>
      <c r="AZ74" s="45">
        <v>0</v>
      </c>
      <c r="BA74" s="45">
        <v>0</v>
      </c>
      <c r="BB74" s="45">
        <v>1</v>
      </c>
      <c r="BC74" s="45">
        <v>1</v>
      </c>
      <c r="BD74" s="54" t="s">
        <v>60</v>
      </c>
      <c r="BE74" s="44"/>
      <c r="BF74" s="53"/>
    </row>
    <row r="75" spans="1:58" x14ac:dyDescent="0.25">
      <c r="A75" s="48">
        <v>72</v>
      </c>
      <c r="B75" s="45" t="s">
        <v>287</v>
      </c>
      <c r="C75" s="45">
        <v>1.9198999999999999</v>
      </c>
      <c r="D75" s="45">
        <v>53</v>
      </c>
      <c r="E75" s="45">
        <v>98</v>
      </c>
      <c r="F75" s="45">
        <v>35</v>
      </c>
      <c r="G75" s="45">
        <v>101.29130000000001</v>
      </c>
      <c r="H75" s="45">
        <v>6</v>
      </c>
      <c r="I75" s="45">
        <v>143</v>
      </c>
      <c r="J75" s="45">
        <v>238</v>
      </c>
      <c r="K75" s="45">
        <v>1.3168</v>
      </c>
      <c r="L75" s="45">
        <v>1</v>
      </c>
      <c r="M75" s="45">
        <v>23.25</v>
      </c>
      <c r="N75" s="45">
        <v>3.41</v>
      </c>
      <c r="O75" s="45">
        <v>0.86870000000000003</v>
      </c>
      <c r="P75" s="45">
        <v>2.6770999999999998</v>
      </c>
      <c r="Q75" s="106">
        <v>15.397</v>
      </c>
      <c r="R75" s="45">
        <v>0.60760000000000003</v>
      </c>
      <c r="S75" s="45">
        <v>-3.2208000000000006</v>
      </c>
      <c r="T75" s="45">
        <v>0.58799999999999997</v>
      </c>
      <c r="U75" s="45">
        <v>-4.2587999999999999</v>
      </c>
      <c r="V75" s="55">
        <v>0.5635</v>
      </c>
      <c r="W75" s="106">
        <v>13.7456</v>
      </c>
      <c r="X75" s="45">
        <v>0.53899999999999992</v>
      </c>
      <c r="Y75" s="45">
        <v>79</v>
      </c>
      <c r="Z75" s="45">
        <v>77</v>
      </c>
      <c r="AA75" s="45">
        <v>15.146699999999999</v>
      </c>
      <c r="AB75" s="45">
        <v>0.99998474121093806</v>
      </c>
      <c r="AC75" s="45">
        <v>7.4999999999999997E-2</v>
      </c>
      <c r="AD75" s="45">
        <v>0.12565000000000001</v>
      </c>
      <c r="AE75" s="45">
        <v>3.8441999999999998</v>
      </c>
      <c r="AF75" s="45">
        <v>117.4516</v>
      </c>
      <c r="AG75" s="45">
        <v>-191.14619999999999</v>
      </c>
      <c r="AH75" s="45" t="s">
        <v>60</v>
      </c>
      <c r="AI75" s="45" t="s">
        <v>60</v>
      </c>
      <c r="AJ75" s="45" t="s">
        <v>60</v>
      </c>
      <c r="AK75" s="45" t="s">
        <v>60</v>
      </c>
      <c r="AL75" s="45" t="s">
        <v>60</v>
      </c>
      <c r="AM75" s="45" t="s">
        <v>60</v>
      </c>
      <c r="AN75" s="45" t="s">
        <v>60</v>
      </c>
      <c r="AO75" s="45" t="s">
        <v>60</v>
      </c>
      <c r="AP75" s="45" t="s">
        <v>60</v>
      </c>
      <c r="AQ75" s="45" t="s">
        <v>60</v>
      </c>
      <c r="AR75" s="45" t="s">
        <v>60</v>
      </c>
      <c r="AS75" s="45">
        <v>0.34564238399344199</v>
      </c>
      <c r="AT75" s="45">
        <v>-6.83936355097409</v>
      </c>
      <c r="AU75" s="45">
        <v>-10.39413165</v>
      </c>
      <c r="AV75" s="45">
        <v>-1.8273497000000001</v>
      </c>
      <c r="AW75" s="45">
        <v>0</v>
      </c>
      <c r="AX75" s="45">
        <v>83</v>
      </c>
      <c r="AY75" s="45">
        <v>0</v>
      </c>
      <c r="AZ75" s="45">
        <v>0</v>
      </c>
      <c r="BA75" s="45">
        <v>0</v>
      </c>
      <c r="BB75" s="45">
        <v>1</v>
      </c>
      <c r="BC75" s="45">
        <v>0</v>
      </c>
      <c r="BD75" s="54" t="s">
        <v>60</v>
      </c>
      <c r="BE75" s="44"/>
      <c r="BF75" s="53"/>
    </row>
    <row r="76" spans="1:58" x14ac:dyDescent="0.25">
      <c r="A76" s="48">
        <v>73</v>
      </c>
      <c r="B76" s="45" t="s">
        <v>288</v>
      </c>
      <c r="C76" s="45">
        <v>2.7427999999999999</v>
      </c>
      <c r="D76" s="45">
        <v>161</v>
      </c>
      <c r="E76" s="45">
        <v>231</v>
      </c>
      <c r="F76" s="45">
        <v>30</v>
      </c>
      <c r="G76" s="45">
        <v>62.617699999999999</v>
      </c>
      <c r="H76" s="45">
        <v>141</v>
      </c>
      <c r="I76" s="45">
        <v>155</v>
      </c>
      <c r="J76" s="45">
        <v>8</v>
      </c>
      <c r="K76" s="45">
        <v>162.3416</v>
      </c>
      <c r="L76" s="45">
        <v>1</v>
      </c>
      <c r="M76" s="45">
        <v>23.35</v>
      </c>
      <c r="N76" s="45">
        <v>3.55</v>
      </c>
      <c r="O76" s="45">
        <v>0.25659999999999999</v>
      </c>
      <c r="P76" s="45">
        <v>8.1818000000000008</v>
      </c>
      <c r="Q76" s="106">
        <v>15.397</v>
      </c>
      <c r="R76" s="45">
        <v>0.61870000000000003</v>
      </c>
      <c r="S76" s="45">
        <v>-3.7576000000000005</v>
      </c>
      <c r="T76" s="45">
        <v>0.59119999999999995</v>
      </c>
      <c r="U76" s="45">
        <v>-4.9686000000000003</v>
      </c>
      <c r="V76" s="45">
        <v>0.56850000000000001</v>
      </c>
      <c r="W76" s="55">
        <v>-31</v>
      </c>
      <c r="X76" s="45">
        <v>0.54569999999999996</v>
      </c>
      <c r="Y76" s="45">
        <v>80</v>
      </c>
      <c r="Z76" s="45">
        <v>78</v>
      </c>
      <c r="AA76" s="45">
        <v>2.0442</v>
      </c>
      <c r="AB76" s="45">
        <v>0.99998474121093806</v>
      </c>
      <c r="AC76" s="45">
        <v>7.4999999999999997E-2</v>
      </c>
      <c r="AD76" s="45">
        <v>0.12565000000000001</v>
      </c>
      <c r="AE76" s="45">
        <v>-1.7099</v>
      </c>
      <c r="AF76" s="45">
        <v>-102.6776</v>
      </c>
      <c r="AG76" s="45">
        <v>157.6054</v>
      </c>
      <c r="AH76" s="45" t="s">
        <v>60</v>
      </c>
      <c r="AI76" s="45" t="s">
        <v>60</v>
      </c>
      <c r="AJ76" s="45" t="s">
        <v>60</v>
      </c>
      <c r="AK76" s="45" t="s">
        <v>60</v>
      </c>
      <c r="AL76" s="45" t="s">
        <v>60</v>
      </c>
      <c r="AM76" s="45" t="s">
        <v>60</v>
      </c>
      <c r="AN76" s="45" t="s">
        <v>60</v>
      </c>
      <c r="AO76" s="45" t="s">
        <v>60</v>
      </c>
      <c r="AP76" s="45" t="s">
        <v>60</v>
      </c>
      <c r="AQ76" s="45" t="s">
        <v>60</v>
      </c>
      <c r="AR76" s="45" t="s">
        <v>60</v>
      </c>
      <c r="AS76" s="45">
        <v>7.1356226400000002</v>
      </c>
      <c r="AT76" s="45">
        <v>-0.32757584000000001</v>
      </c>
      <c r="AU76" s="45">
        <v>-3.3060786000000002</v>
      </c>
      <c r="AV76" s="45">
        <v>-15.19881994</v>
      </c>
      <c r="AW76" s="45">
        <v>0</v>
      </c>
      <c r="AX76" s="45">
        <v>0</v>
      </c>
      <c r="AY76" s="45">
        <v>169</v>
      </c>
      <c r="AZ76" s="45">
        <v>0</v>
      </c>
      <c r="BA76" s="45">
        <v>0</v>
      </c>
      <c r="BB76" s="45">
        <v>1</v>
      </c>
      <c r="BC76" s="45">
        <v>1</v>
      </c>
      <c r="BD76" s="54" t="s">
        <v>60</v>
      </c>
      <c r="BE76" s="44"/>
      <c r="BF76" s="53"/>
    </row>
    <row r="77" spans="1:58" x14ac:dyDescent="0.25">
      <c r="A77" s="48">
        <v>74</v>
      </c>
      <c r="B77" s="45" t="s">
        <v>289</v>
      </c>
      <c r="C77" s="45">
        <v>3.2084000000000001</v>
      </c>
      <c r="D77" s="45">
        <v>38</v>
      </c>
      <c r="E77" s="45">
        <v>157</v>
      </c>
      <c r="F77" s="45">
        <v>122</v>
      </c>
      <c r="G77" s="45">
        <v>125.8004</v>
      </c>
      <c r="H77" s="45">
        <v>132</v>
      </c>
      <c r="I77" s="45">
        <v>20</v>
      </c>
      <c r="J77" s="45">
        <v>23</v>
      </c>
      <c r="K77" s="45">
        <v>238.9768</v>
      </c>
      <c r="L77" s="45">
        <v>1</v>
      </c>
      <c r="M77" s="45">
        <v>23.45</v>
      </c>
      <c r="N77" s="45">
        <v>3.69</v>
      </c>
      <c r="O77" s="45">
        <v>0.90229999999999999</v>
      </c>
      <c r="P77" s="45">
        <v>0.9768</v>
      </c>
      <c r="Q77" s="73">
        <v>-16.986999999999998</v>
      </c>
      <c r="R77" s="45">
        <v>0.62939999999999996</v>
      </c>
      <c r="S77" s="45">
        <v>-4.2944000000000004</v>
      </c>
      <c r="T77" s="45">
        <v>0.60870000000000002</v>
      </c>
      <c r="U77" s="45">
        <v>-5.6783999999999999</v>
      </c>
      <c r="V77" s="45">
        <v>0.57289999999999996</v>
      </c>
      <c r="W77" s="55">
        <v>31</v>
      </c>
      <c r="X77" s="45">
        <v>0.51249999999999996</v>
      </c>
      <c r="Y77" s="45">
        <v>81</v>
      </c>
      <c r="Z77" s="45">
        <v>79</v>
      </c>
      <c r="AA77" s="45">
        <v>16.8948</v>
      </c>
      <c r="AB77" s="45">
        <v>0.99998474121093806</v>
      </c>
      <c r="AC77" s="45">
        <v>7.4999999999999997E-2</v>
      </c>
      <c r="AD77" s="45">
        <v>0.12565000000000001</v>
      </c>
      <c r="AE77" s="45">
        <v>4.6795</v>
      </c>
      <c r="AF77" s="45">
        <v>-182.73609999999999</v>
      </c>
      <c r="AG77" s="45">
        <v>13.1341</v>
      </c>
      <c r="AH77" s="45" t="s">
        <v>60</v>
      </c>
      <c r="AI77" s="45" t="s">
        <v>60</v>
      </c>
      <c r="AJ77" s="45" t="s">
        <v>60</v>
      </c>
      <c r="AK77" s="45" t="s">
        <v>60</v>
      </c>
      <c r="AL77" s="45" t="s">
        <v>60</v>
      </c>
      <c r="AM77" s="45" t="s">
        <v>60</v>
      </c>
      <c r="AN77" s="45" t="s">
        <v>60</v>
      </c>
      <c r="AO77" s="45" t="s">
        <v>60</v>
      </c>
      <c r="AP77" s="45" t="s">
        <v>60</v>
      </c>
      <c r="AQ77" s="45" t="s">
        <v>60</v>
      </c>
      <c r="AR77" s="45" t="s">
        <v>60</v>
      </c>
      <c r="AS77" s="45">
        <v>4.3382049199999999</v>
      </c>
      <c r="AT77" s="45">
        <v>8.6034660400000007</v>
      </c>
      <c r="AU77" s="45">
        <v>-12.10427556</v>
      </c>
      <c r="AV77" s="45">
        <v>6.4539150000000003</v>
      </c>
      <c r="AW77" s="45">
        <v>0</v>
      </c>
      <c r="AX77" s="45">
        <v>59</v>
      </c>
      <c r="AY77" s="45">
        <v>0</v>
      </c>
      <c r="AZ77" s="45">
        <v>0</v>
      </c>
      <c r="BA77" s="45">
        <v>0</v>
      </c>
      <c r="BB77" s="45">
        <v>1</v>
      </c>
      <c r="BC77" s="45">
        <v>0</v>
      </c>
      <c r="BD77" s="54" t="s">
        <v>60</v>
      </c>
      <c r="BE77" s="44"/>
      <c r="BF77" s="53"/>
    </row>
    <row r="78" spans="1:58" x14ac:dyDescent="0.25">
      <c r="A78" s="48">
        <v>75</v>
      </c>
      <c r="B78" s="45" t="s">
        <v>290</v>
      </c>
      <c r="C78" s="45">
        <v>3.2084000000000001</v>
      </c>
      <c r="D78" s="45">
        <v>38</v>
      </c>
      <c r="E78" s="45">
        <v>157</v>
      </c>
      <c r="F78" s="45">
        <v>122</v>
      </c>
      <c r="G78" s="45">
        <v>125.8004</v>
      </c>
      <c r="H78" s="45">
        <v>132</v>
      </c>
      <c r="I78" s="45">
        <v>20</v>
      </c>
      <c r="J78" s="45">
        <v>23</v>
      </c>
      <c r="K78" s="45">
        <v>238.9768</v>
      </c>
      <c r="L78" s="45">
        <v>1</v>
      </c>
      <c r="M78" s="45">
        <v>23.55</v>
      </c>
      <c r="N78" s="45">
        <v>3.69</v>
      </c>
      <c r="O78" s="45">
        <v>0.90229999999999999</v>
      </c>
      <c r="P78" s="45">
        <v>0.9768</v>
      </c>
      <c r="Q78" s="73">
        <v>-16.986999999999998</v>
      </c>
      <c r="R78" s="45">
        <v>0.62939999999999996</v>
      </c>
      <c r="S78" s="45">
        <v>-4.2944000000000004</v>
      </c>
      <c r="T78" s="45">
        <v>0.60870000000000002</v>
      </c>
      <c r="U78" s="45">
        <v>-5.6783999999999999</v>
      </c>
      <c r="V78" s="45">
        <v>0.57289999999999996</v>
      </c>
      <c r="W78" s="55">
        <v>2.2549999999999999</v>
      </c>
      <c r="X78" s="45">
        <v>0.51249999999999996</v>
      </c>
      <c r="Y78" s="45">
        <v>82</v>
      </c>
      <c r="Z78" s="45">
        <v>80</v>
      </c>
      <c r="AA78" s="45">
        <v>16.8948</v>
      </c>
      <c r="AB78" s="45">
        <v>0.99998474121093806</v>
      </c>
      <c r="AC78" s="45">
        <v>5.5E-2</v>
      </c>
      <c r="AD78" s="45">
        <v>0.12565000000000001</v>
      </c>
      <c r="AE78" s="45">
        <v>4.6795</v>
      </c>
      <c r="AF78" s="45">
        <v>-182.73609999999999</v>
      </c>
      <c r="AG78" s="45">
        <v>13.1341</v>
      </c>
      <c r="AH78" s="45" t="s">
        <v>60</v>
      </c>
      <c r="AI78" s="45" t="s">
        <v>60</v>
      </c>
      <c r="AJ78" s="45" t="s">
        <v>60</v>
      </c>
      <c r="AK78" s="45" t="s">
        <v>60</v>
      </c>
      <c r="AL78" s="45" t="s">
        <v>60</v>
      </c>
      <c r="AM78" s="45" t="s">
        <v>60</v>
      </c>
      <c r="AN78" s="45" t="s">
        <v>60</v>
      </c>
      <c r="AO78" s="45" t="s">
        <v>60</v>
      </c>
      <c r="AP78" s="45" t="s">
        <v>60</v>
      </c>
      <c r="AQ78" s="45" t="s">
        <v>60</v>
      </c>
      <c r="AR78" s="45" t="s">
        <v>60</v>
      </c>
      <c r="AS78" s="45">
        <v>4.3382049199999999</v>
      </c>
      <c r="AT78" s="45">
        <v>8.6034660400000007</v>
      </c>
      <c r="AU78" s="45">
        <v>-12.10427556</v>
      </c>
      <c r="AV78" s="45">
        <v>-7.5592724999999996</v>
      </c>
      <c r="AW78" s="45">
        <v>0</v>
      </c>
      <c r="AX78" s="45">
        <v>60</v>
      </c>
      <c r="AY78" s="45">
        <v>0</v>
      </c>
      <c r="AZ78" s="45">
        <v>0</v>
      </c>
      <c r="BA78" s="45">
        <v>0</v>
      </c>
      <c r="BB78" s="45">
        <v>1</v>
      </c>
      <c r="BC78" s="45">
        <v>0</v>
      </c>
      <c r="BD78" s="54" t="s">
        <v>60</v>
      </c>
      <c r="BE78" s="44"/>
      <c r="BF78" s="53"/>
    </row>
    <row r="79" spans="1:58" x14ac:dyDescent="0.25">
      <c r="A79" s="48">
        <v>76</v>
      </c>
      <c r="B79" s="45" t="s">
        <v>291</v>
      </c>
      <c r="C79" s="45">
        <v>3.2084000000000001</v>
      </c>
      <c r="D79" s="45">
        <v>38</v>
      </c>
      <c r="E79" s="45">
        <v>157</v>
      </c>
      <c r="F79" s="45">
        <v>122</v>
      </c>
      <c r="G79" s="45">
        <v>125.8004</v>
      </c>
      <c r="H79" s="45">
        <v>132</v>
      </c>
      <c r="I79" s="45">
        <v>20</v>
      </c>
      <c r="J79" s="45">
        <v>23</v>
      </c>
      <c r="K79" s="45">
        <v>238.9768</v>
      </c>
      <c r="L79" s="45">
        <v>1</v>
      </c>
      <c r="M79" s="45">
        <v>23.65</v>
      </c>
      <c r="N79" s="45">
        <v>3.69</v>
      </c>
      <c r="O79" s="45">
        <v>0.90229999999999999</v>
      </c>
      <c r="P79" s="45">
        <v>0.9768</v>
      </c>
      <c r="Q79" s="73">
        <v>-16.986999999999998</v>
      </c>
      <c r="R79" s="45">
        <v>0.62939999999999996</v>
      </c>
      <c r="S79" s="45">
        <v>-4.2944000000000004</v>
      </c>
      <c r="T79" s="45">
        <v>0.60870000000000002</v>
      </c>
      <c r="U79" s="45">
        <v>-5.6783999999999999</v>
      </c>
      <c r="V79" s="45">
        <v>0.57289999999999996</v>
      </c>
      <c r="W79" s="55">
        <v>0</v>
      </c>
      <c r="X79" s="45">
        <v>0.51249999999999996</v>
      </c>
      <c r="Y79" s="45">
        <v>83</v>
      </c>
      <c r="Z79" s="45">
        <v>81</v>
      </c>
      <c r="AA79" s="45">
        <v>16.8948</v>
      </c>
      <c r="AB79" s="45">
        <v>0.99998474121093806</v>
      </c>
      <c r="AC79" s="45">
        <v>5.6000000000000001E-2</v>
      </c>
      <c r="AD79" s="45">
        <v>0.12565000000000001</v>
      </c>
      <c r="AE79" s="45">
        <v>4.6795</v>
      </c>
      <c r="AF79" s="45">
        <v>-182.73609999999999</v>
      </c>
      <c r="AG79" s="45">
        <v>13.1341</v>
      </c>
      <c r="AH79" s="45" t="s">
        <v>60</v>
      </c>
      <c r="AI79" s="45" t="s">
        <v>60</v>
      </c>
      <c r="AJ79" s="45" t="s">
        <v>60</v>
      </c>
      <c r="AK79" s="45" t="s">
        <v>60</v>
      </c>
      <c r="AL79" s="45" t="s">
        <v>60</v>
      </c>
      <c r="AM79" s="45" t="s">
        <v>60</v>
      </c>
      <c r="AN79" s="45" t="s">
        <v>60</v>
      </c>
      <c r="AO79" s="45" t="s">
        <v>60</v>
      </c>
      <c r="AP79" s="45" t="s">
        <v>60</v>
      </c>
      <c r="AQ79" s="45" t="s">
        <v>60</v>
      </c>
      <c r="AR79" s="45" t="s">
        <v>60</v>
      </c>
      <c r="AS79" s="45">
        <v>4.3382049199999999</v>
      </c>
      <c r="AT79" s="45">
        <v>8.6034660400000007</v>
      </c>
      <c r="AU79" s="45">
        <v>-12.10427556</v>
      </c>
      <c r="AV79" s="45">
        <v>-8.6585850000000004</v>
      </c>
      <c r="AW79" s="45">
        <v>0</v>
      </c>
      <c r="AX79" s="45">
        <v>61</v>
      </c>
      <c r="AY79" s="45">
        <v>0</v>
      </c>
      <c r="AZ79" s="45">
        <v>0</v>
      </c>
      <c r="BA79" s="45">
        <v>0</v>
      </c>
      <c r="BB79" s="45">
        <v>1</v>
      </c>
      <c r="BC79" s="45">
        <v>0</v>
      </c>
      <c r="BD79" s="54" t="s">
        <v>60</v>
      </c>
      <c r="BE79" s="44"/>
      <c r="BF79" s="53"/>
    </row>
    <row r="80" spans="1:58" x14ac:dyDescent="0.25">
      <c r="A80" s="48">
        <v>77</v>
      </c>
      <c r="B80" s="45" t="s">
        <v>292</v>
      </c>
      <c r="C80" s="45">
        <v>3.2084000000000001</v>
      </c>
      <c r="D80" s="45">
        <v>38</v>
      </c>
      <c r="E80" s="45">
        <v>157</v>
      </c>
      <c r="F80" s="45">
        <v>122</v>
      </c>
      <c r="G80" s="45">
        <v>125.8004</v>
      </c>
      <c r="H80" s="45">
        <v>132</v>
      </c>
      <c r="I80" s="45">
        <v>20</v>
      </c>
      <c r="J80" s="45">
        <v>23</v>
      </c>
      <c r="K80" s="45">
        <v>238.9768</v>
      </c>
      <c r="L80" s="45">
        <v>1</v>
      </c>
      <c r="M80" s="45">
        <v>23.75</v>
      </c>
      <c r="N80" s="45">
        <v>3.69</v>
      </c>
      <c r="O80" s="45">
        <v>0.90229999999999999</v>
      </c>
      <c r="P80" s="45">
        <v>0.9768</v>
      </c>
      <c r="Q80" s="73">
        <v>-16.986999999999998</v>
      </c>
      <c r="R80" s="45">
        <v>0.62939999999999996</v>
      </c>
      <c r="S80" s="45">
        <v>-4.2944000000000004</v>
      </c>
      <c r="T80" s="45">
        <v>0.60870000000000002</v>
      </c>
      <c r="U80" s="45">
        <v>-5.6783999999999999</v>
      </c>
      <c r="V80" s="45">
        <v>0.57289999999999996</v>
      </c>
      <c r="W80" s="55">
        <v>-2.2254999999999998</v>
      </c>
      <c r="X80" s="45">
        <v>0.51249999999999996</v>
      </c>
      <c r="Y80" s="45">
        <v>84</v>
      </c>
      <c r="Z80" s="45">
        <v>82</v>
      </c>
      <c r="AA80" s="45">
        <v>16.8948</v>
      </c>
      <c r="AB80" s="45">
        <v>0.99998474121093806</v>
      </c>
      <c r="AC80" s="45">
        <v>5.7000000000000002E-2</v>
      </c>
      <c r="AD80" s="45">
        <v>0.12565000000000001</v>
      </c>
      <c r="AE80" s="45">
        <v>4.6795</v>
      </c>
      <c r="AF80" s="45">
        <v>-182.73609999999999</v>
      </c>
      <c r="AG80" s="45">
        <v>13.1341</v>
      </c>
      <c r="AH80" s="45" t="s">
        <v>60</v>
      </c>
      <c r="AI80" s="45" t="s">
        <v>60</v>
      </c>
      <c r="AJ80" s="45" t="s">
        <v>60</v>
      </c>
      <c r="AK80" s="45" t="s">
        <v>60</v>
      </c>
      <c r="AL80" s="45" t="s">
        <v>60</v>
      </c>
      <c r="AM80" s="45" t="s">
        <v>60</v>
      </c>
      <c r="AN80" s="45" t="s">
        <v>60</v>
      </c>
      <c r="AO80" s="45" t="s">
        <v>60</v>
      </c>
      <c r="AP80" s="45" t="s">
        <v>60</v>
      </c>
      <c r="AQ80" s="45" t="s">
        <v>60</v>
      </c>
      <c r="AR80" s="45" t="s">
        <v>60</v>
      </c>
      <c r="AS80" s="45">
        <v>4.3382049199999999</v>
      </c>
      <c r="AT80" s="45">
        <v>8.6034660400000007</v>
      </c>
      <c r="AU80" s="45">
        <v>-12.10427556</v>
      </c>
      <c r="AV80" s="45">
        <v>-9.7435162500000008</v>
      </c>
      <c r="AW80" s="45">
        <v>0</v>
      </c>
      <c r="AX80" s="45">
        <v>62</v>
      </c>
      <c r="AY80" s="45">
        <v>0</v>
      </c>
      <c r="AZ80" s="45">
        <v>0</v>
      </c>
      <c r="BA80" s="45">
        <v>0</v>
      </c>
      <c r="BB80" s="45">
        <v>1</v>
      </c>
      <c r="BC80" s="45">
        <v>0</v>
      </c>
      <c r="BD80" s="54" t="s">
        <v>60</v>
      </c>
      <c r="BE80" s="44"/>
      <c r="BF80" s="53"/>
    </row>
    <row r="81" spans="1:58" x14ac:dyDescent="0.25">
      <c r="A81" s="48">
        <v>78</v>
      </c>
      <c r="B81" s="45" t="s">
        <v>293</v>
      </c>
      <c r="C81" s="45">
        <v>5.6588000000000003</v>
      </c>
      <c r="D81" s="45">
        <v>235</v>
      </c>
      <c r="E81" s="45">
        <v>158</v>
      </c>
      <c r="F81" s="45">
        <v>175</v>
      </c>
      <c r="G81" s="45">
        <v>204.57900000000001</v>
      </c>
      <c r="H81" s="45">
        <v>173</v>
      </c>
      <c r="I81" s="45">
        <v>188</v>
      </c>
      <c r="J81" s="45">
        <v>3</v>
      </c>
      <c r="K81" s="45">
        <v>196.7544</v>
      </c>
      <c r="L81" s="45">
        <v>0.73560000000000003</v>
      </c>
      <c r="M81" s="45">
        <v>23.85</v>
      </c>
      <c r="N81" s="45">
        <v>3.83</v>
      </c>
      <c r="O81" s="45">
        <v>1</v>
      </c>
      <c r="P81" s="45">
        <v>1.4024000000000001</v>
      </c>
      <c r="Q81" s="45">
        <v>-2.3496000000000001</v>
      </c>
      <c r="R81" s="45">
        <v>0.62939999999999996</v>
      </c>
      <c r="S81" s="45">
        <v>-4.8312000000000008</v>
      </c>
      <c r="T81" s="45">
        <v>0.6</v>
      </c>
      <c r="U81" s="45">
        <v>-6.3881999999999994</v>
      </c>
      <c r="V81" s="45">
        <v>0.57499999999999996</v>
      </c>
      <c r="W81" s="73">
        <v>18.854699999999998</v>
      </c>
      <c r="X81" s="55">
        <v>0</v>
      </c>
      <c r="Y81" s="45">
        <v>85</v>
      </c>
      <c r="Z81" s="45">
        <v>83</v>
      </c>
      <c r="AA81" s="45">
        <v>12.901</v>
      </c>
      <c r="AB81" s="45">
        <v>0.89219999999999999</v>
      </c>
      <c r="AC81" s="45">
        <v>5.8000000000000003E-2</v>
      </c>
      <c r="AD81" s="45">
        <v>0.12565000000000001</v>
      </c>
      <c r="AE81" s="45">
        <v>5.8676000000000004</v>
      </c>
      <c r="AF81" s="45">
        <v>-64.034700000000001</v>
      </c>
      <c r="AG81" s="45">
        <v>-81.365300000000005</v>
      </c>
      <c r="AH81" s="45" t="s">
        <v>60</v>
      </c>
      <c r="AI81" s="45" t="s">
        <v>60</v>
      </c>
      <c r="AJ81" s="45" t="s">
        <v>60</v>
      </c>
      <c r="AK81" s="45" t="s">
        <v>60</v>
      </c>
      <c r="AL81" s="45" t="s">
        <v>60</v>
      </c>
      <c r="AM81" s="45" t="s">
        <v>60</v>
      </c>
      <c r="AN81" s="45" t="s">
        <v>60</v>
      </c>
      <c r="AO81" s="45" t="s">
        <v>60</v>
      </c>
      <c r="AP81" s="45" t="s">
        <v>60</v>
      </c>
      <c r="AQ81" s="45" t="s">
        <v>60</v>
      </c>
      <c r="AR81" s="45" t="s">
        <v>60</v>
      </c>
      <c r="AS81" s="45">
        <v>-8.3406594850155091</v>
      </c>
      <c r="AT81" s="45">
        <v>-9.0534501859061098</v>
      </c>
      <c r="AU81" s="45">
        <v>-10.13306</v>
      </c>
      <c r="AV81" s="45">
        <v>18.854700000000001</v>
      </c>
      <c r="AW81" s="45">
        <v>0</v>
      </c>
      <c r="AX81" s="45">
        <v>0</v>
      </c>
      <c r="AY81" s="45">
        <v>169</v>
      </c>
      <c r="AZ81" s="45">
        <v>0</v>
      </c>
      <c r="BA81" s="45">
        <v>0</v>
      </c>
      <c r="BB81" s="45">
        <v>1</v>
      </c>
      <c r="BC81" s="45">
        <v>1</v>
      </c>
      <c r="BD81" s="54" t="s">
        <v>60</v>
      </c>
      <c r="BE81" s="44"/>
      <c r="BF81" s="53"/>
    </row>
    <row r="82" spans="1:58" x14ac:dyDescent="0.25">
      <c r="A82" s="48">
        <v>79</v>
      </c>
      <c r="B82" s="45" t="s">
        <v>294</v>
      </c>
      <c r="C82" s="45">
        <v>1.6154999999999999</v>
      </c>
      <c r="D82" s="45">
        <v>147</v>
      </c>
      <c r="E82" s="45">
        <v>97</v>
      </c>
      <c r="F82" s="45">
        <v>168</v>
      </c>
      <c r="G82" s="45">
        <v>88.825500000000005</v>
      </c>
      <c r="H82" s="45">
        <v>250</v>
      </c>
      <c r="I82" s="45">
        <v>189</v>
      </c>
      <c r="J82" s="45">
        <v>100</v>
      </c>
      <c r="K82" s="45">
        <v>183.93459999999999</v>
      </c>
      <c r="L82" s="45">
        <v>1</v>
      </c>
      <c r="M82" s="45">
        <v>23.95</v>
      </c>
      <c r="N82" s="45">
        <v>3.97</v>
      </c>
      <c r="O82" s="45">
        <v>1</v>
      </c>
      <c r="P82" s="45">
        <v>4.2808999999999999</v>
      </c>
      <c r="Q82" s="45">
        <v>-2.9370000000000003</v>
      </c>
      <c r="R82" s="45">
        <v>0.62939999999999996</v>
      </c>
      <c r="S82" s="45">
        <v>-5.3680000000000003</v>
      </c>
      <c r="T82" s="45">
        <v>0.61199999999999999</v>
      </c>
      <c r="U82" s="45">
        <v>-7.0979999999999999</v>
      </c>
      <c r="V82" s="45">
        <v>0.58650000000000002</v>
      </c>
      <c r="W82" s="45">
        <v>19.224399999999999</v>
      </c>
      <c r="X82" s="55">
        <v>0.95678608200000004</v>
      </c>
      <c r="Y82" s="45">
        <v>86</v>
      </c>
      <c r="Z82" s="45">
        <v>84</v>
      </c>
      <c r="AA82" s="45">
        <v>1.6456</v>
      </c>
      <c r="AB82" s="45">
        <v>0.55110000000000003</v>
      </c>
      <c r="AC82" s="45">
        <v>5.8999999999999997E-2</v>
      </c>
      <c r="AD82" s="45">
        <v>0.12565000000000001</v>
      </c>
      <c r="AE82" s="45">
        <v>-8.7779000000000007</v>
      </c>
      <c r="AF82" s="45">
        <v>-83.278899999999993</v>
      </c>
      <c r="AG82" s="45">
        <v>104.5607</v>
      </c>
      <c r="AH82" s="45" t="s">
        <v>60</v>
      </c>
      <c r="AI82" s="45" t="s">
        <v>60</v>
      </c>
      <c r="AJ82" s="45" t="s">
        <v>60</v>
      </c>
      <c r="AK82" s="45" t="s">
        <v>60</v>
      </c>
      <c r="AL82" s="45" t="s">
        <v>60</v>
      </c>
      <c r="AM82" s="45" t="s">
        <v>60</v>
      </c>
      <c r="AN82" s="45" t="s">
        <v>60</v>
      </c>
      <c r="AO82" s="45" t="s">
        <v>60</v>
      </c>
      <c r="AP82" s="45" t="s">
        <v>60</v>
      </c>
      <c r="AQ82" s="45" t="s">
        <v>60</v>
      </c>
      <c r="AR82" s="45" t="s">
        <v>60</v>
      </c>
      <c r="AS82" s="45">
        <v>-2.1241928400000001</v>
      </c>
      <c r="AT82" s="45">
        <v>-3.0898911999999998</v>
      </c>
      <c r="AU82" s="45">
        <v>-1.9698785999999999</v>
      </c>
      <c r="AV82" s="45">
        <v>2.4052488217383998</v>
      </c>
      <c r="AW82" s="45">
        <v>0</v>
      </c>
      <c r="AX82" s="45">
        <v>0</v>
      </c>
      <c r="AY82" s="45">
        <v>169</v>
      </c>
      <c r="AZ82" s="45">
        <v>0</v>
      </c>
      <c r="BA82" s="45">
        <v>0</v>
      </c>
      <c r="BB82" s="45">
        <v>1</v>
      </c>
      <c r="BC82" s="45">
        <v>1</v>
      </c>
      <c r="BD82" s="54" t="s">
        <v>60</v>
      </c>
      <c r="BE82" s="44"/>
      <c r="BF82" s="53"/>
    </row>
    <row r="83" spans="1:58" x14ac:dyDescent="0.25">
      <c r="A83" s="48">
        <v>80</v>
      </c>
      <c r="B83" s="45" t="s">
        <v>295</v>
      </c>
      <c r="C83" s="45">
        <v>3.2713999999999999</v>
      </c>
      <c r="D83" s="45">
        <v>224</v>
      </c>
      <c r="E83" s="45">
        <v>52</v>
      </c>
      <c r="F83" s="45">
        <v>164</v>
      </c>
      <c r="G83" s="45">
        <v>58.651299999999999</v>
      </c>
      <c r="H83" s="45">
        <v>231</v>
      </c>
      <c r="I83" s="45">
        <v>69</v>
      </c>
      <c r="J83" s="45">
        <v>130</v>
      </c>
      <c r="K83" s="45">
        <v>123.1675</v>
      </c>
      <c r="L83" s="45">
        <v>1</v>
      </c>
      <c r="M83" s="45">
        <v>24.05</v>
      </c>
      <c r="N83" s="45">
        <v>4.1100000000000003</v>
      </c>
      <c r="O83" s="45">
        <v>0.1699</v>
      </c>
      <c r="P83" s="45">
        <v>4.617</v>
      </c>
      <c r="Q83" s="45">
        <v>-3.5244</v>
      </c>
      <c r="R83" s="45">
        <v>0.64479999999999993</v>
      </c>
      <c r="S83" s="45">
        <v>-5.9048000000000007</v>
      </c>
      <c r="T83" s="45">
        <v>0.624</v>
      </c>
      <c r="U83" s="45">
        <v>-7.8078000000000003</v>
      </c>
      <c r="V83" s="45">
        <v>0.59799999999999998</v>
      </c>
      <c r="W83" s="45">
        <v>19.594099999999997</v>
      </c>
      <c r="X83" s="55">
        <v>0.57199999999999995</v>
      </c>
      <c r="Y83" s="45">
        <v>87</v>
      </c>
      <c r="Z83" s="45">
        <v>85</v>
      </c>
      <c r="AA83" s="45">
        <v>19.8093</v>
      </c>
      <c r="AB83" s="45">
        <v>0.92310000000000003</v>
      </c>
      <c r="AC83" s="45">
        <v>0.06</v>
      </c>
      <c r="AD83" s="45">
        <v>0.12565000000000001</v>
      </c>
      <c r="AE83" s="45">
        <v>-7.1603000000000003</v>
      </c>
      <c r="AF83" s="45">
        <v>-71.438699999999997</v>
      </c>
      <c r="AG83" s="45">
        <v>32.437100000000001</v>
      </c>
      <c r="AH83" s="45" t="s">
        <v>60</v>
      </c>
      <c r="AI83" s="45" t="s">
        <v>60</v>
      </c>
      <c r="AJ83" s="45" t="s">
        <v>60</v>
      </c>
      <c r="AK83" s="45" t="s">
        <v>60</v>
      </c>
      <c r="AL83" s="45" t="s">
        <v>60</v>
      </c>
      <c r="AM83" s="45" t="s">
        <v>60</v>
      </c>
      <c r="AN83" s="45" t="s">
        <v>60</v>
      </c>
      <c r="AO83" s="45" t="s">
        <v>60</v>
      </c>
      <c r="AP83" s="45" t="s">
        <v>60</v>
      </c>
      <c r="AQ83" s="45" t="s">
        <v>60</v>
      </c>
      <c r="AR83" s="45" t="s">
        <v>60</v>
      </c>
      <c r="AS83" s="45">
        <v>-0.74244630651660304</v>
      </c>
      <c r="AT83" s="45">
        <v>-1.7272171482418699</v>
      </c>
      <c r="AU83" s="45">
        <v>-14.984697000000001</v>
      </c>
      <c r="AV83" s="45">
        <v>-2.9446447999999998</v>
      </c>
      <c r="AW83" s="45">
        <v>35</v>
      </c>
      <c r="AX83" s="45">
        <v>16</v>
      </c>
      <c r="AY83" s="45">
        <v>0</v>
      </c>
      <c r="AZ83" s="45">
        <v>0</v>
      </c>
      <c r="BA83" s="45">
        <v>0</v>
      </c>
      <c r="BB83" s="45">
        <v>1</v>
      </c>
      <c r="BC83" s="45">
        <v>0</v>
      </c>
      <c r="BD83" s="54" t="s">
        <v>60</v>
      </c>
      <c r="BE83" s="44"/>
      <c r="BF83" s="53"/>
    </row>
    <row r="84" spans="1:58" x14ac:dyDescent="0.25">
      <c r="A84" s="48">
        <v>81</v>
      </c>
      <c r="B84" s="45" t="s">
        <v>296</v>
      </c>
      <c r="C84" s="45">
        <v>1.2946</v>
      </c>
      <c r="D84" s="45">
        <v>45</v>
      </c>
      <c r="E84" s="45">
        <v>100</v>
      </c>
      <c r="F84" s="45">
        <v>175</v>
      </c>
      <c r="G84" s="45">
        <v>114.5885</v>
      </c>
      <c r="H84" s="45">
        <v>109</v>
      </c>
      <c r="I84" s="45">
        <v>31</v>
      </c>
      <c r="J84" s="45">
        <v>115</v>
      </c>
      <c r="K84" s="45">
        <v>152.6669</v>
      </c>
      <c r="L84" s="45">
        <v>0.37069999999999997</v>
      </c>
      <c r="M84" s="45">
        <v>24.15</v>
      </c>
      <c r="N84" s="45">
        <v>4.1100000000000003</v>
      </c>
      <c r="O84" s="45">
        <v>1</v>
      </c>
      <c r="P84" s="45">
        <v>8.8000000000000007</v>
      </c>
      <c r="Q84" s="45">
        <v>-4.6992000000000003</v>
      </c>
      <c r="R84" s="45">
        <v>0.64479999999999993</v>
      </c>
      <c r="S84" s="45">
        <v>-5.9048000000000007</v>
      </c>
      <c r="T84" s="45">
        <v>0.64800000000000002</v>
      </c>
      <c r="U84" s="45">
        <v>-9.2273999999999994</v>
      </c>
      <c r="V84" s="45">
        <v>0.621</v>
      </c>
      <c r="W84" s="45">
        <v>20.333499999999997</v>
      </c>
      <c r="X84" s="45">
        <v>0.59399999999999997</v>
      </c>
      <c r="Y84" s="55">
        <v>0</v>
      </c>
      <c r="Z84" s="45">
        <v>86</v>
      </c>
      <c r="AA84" s="45">
        <v>10.2522</v>
      </c>
      <c r="AB84" s="45">
        <v>0.3826</v>
      </c>
      <c r="AC84" s="45">
        <v>6.0999999999999999E-2</v>
      </c>
      <c r="AD84" s="45">
        <v>0.12565000000000001</v>
      </c>
      <c r="AE84" s="45">
        <v>8.8000000000000007</v>
      </c>
      <c r="AF84" s="45">
        <v>-27.287199999999999</v>
      </c>
      <c r="AG84" s="45">
        <v>49.0124</v>
      </c>
      <c r="AH84" s="45" t="s">
        <v>60</v>
      </c>
      <c r="AI84" s="45" t="s">
        <v>60</v>
      </c>
      <c r="AJ84" s="45" t="s">
        <v>60</v>
      </c>
      <c r="AK84" s="45" t="s">
        <v>60</v>
      </c>
      <c r="AL84" s="45" t="s">
        <v>60</v>
      </c>
      <c r="AM84" s="45" t="s">
        <v>60</v>
      </c>
      <c r="AN84" s="45" t="s">
        <v>60</v>
      </c>
      <c r="AO84" s="45" t="s">
        <v>60</v>
      </c>
      <c r="AP84" s="45" t="s">
        <v>60</v>
      </c>
      <c r="AQ84" s="45" t="s">
        <v>60</v>
      </c>
      <c r="AR84" s="45" t="s">
        <v>60</v>
      </c>
      <c r="AS84" s="45">
        <v>2.8799246109468699</v>
      </c>
      <c r="AT84" s="45">
        <v>2.49316693258928</v>
      </c>
      <c r="AU84" s="45">
        <v>2.8694316</v>
      </c>
      <c r="AV84" s="45">
        <v>14.345207800000001</v>
      </c>
      <c r="AW84" s="45">
        <v>0</v>
      </c>
      <c r="AX84" s="45">
        <v>55</v>
      </c>
      <c r="AY84" s="45">
        <v>0</v>
      </c>
      <c r="AZ84" s="45">
        <v>0</v>
      </c>
      <c r="BA84" s="45">
        <v>0</v>
      </c>
      <c r="BB84" s="45">
        <v>1</v>
      </c>
      <c r="BC84" s="45">
        <v>0</v>
      </c>
      <c r="BD84" s="54" t="s">
        <v>60</v>
      </c>
      <c r="BE84" s="44"/>
      <c r="BF84" s="53"/>
    </row>
    <row r="85" spans="1:58" x14ac:dyDescent="0.25">
      <c r="A85" s="48">
        <v>82</v>
      </c>
      <c r="B85" s="45" t="s">
        <v>297</v>
      </c>
      <c r="C85" s="45">
        <v>5.2915999999999999</v>
      </c>
      <c r="D85" s="45">
        <v>28</v>
      </c>
      <c r="E85" s="45">
        <v>221</v>
      </c>
      <c r="F85" s="45">
        <v>19</v>
      </c>
      <c r="G85" s="45">
        <v>157.8622</v>
      </c>
      <c r="H85" s="45">
        <v>185</v>
      </c>
      <c r="I85" s="45">
        <v>205</v>
      </c>
      <c r="J85" s="45">
        <v>187</v>
      </c>
      <c r="K85" s="45">
        <v>73.102199999999996</v>
      </c>
      <c r="L85" s="45">
        <v>0.38579999999999998</v>
      </c>
      <c r="M85" s="45">
        <v>24.25</v>
      </c>
      <c r="N85" s="45">
        <v>4.25</v>
      </c>
      <c r="O85" s="45">
        <v>1</v>
      </c>
      <c r="P85" s="45">
        <v>4.4596999999999998</v>
      </c>
      <c r="Q85" s="45">
        <v>-5.2866</v>
      </c>
      <c r="R85" s="45">
        <v>0.65720000000000001</v>
      </c>
      <c r="S85" s="45">
        <v>-5.9048000000000007</v>
      </c>
      <c r="T85" s="45">
        <v>0.66</v>
      </c>
      <c r="U85" s="45">
        <v>-9.9372000000000007</v>
      </c>
      <c r="V85" s="45">
        <v>0.63249999999999995</v>
      </c>
      <c r="W85" s="45">
        <v>20.703199999999999</v>
      </c>
      <c r="X85" s="45">
        <v>0.60499999999999998</v>
      </c>
      <c r="Y85" s="55">
        <v>255</v>
      </c>
      <c r="Z85" s="45">
        <v>87</v>
      </c>
      <c r="AA85" s="45">
        <v>9.2690000000000001</v>
      </c>
      <c r="AB85" s="45">
        <v>0.35970000000000002</v>
      </c>
      <c r="AC85" s="45">
        <v>6.2E-2</v>
      </c>
      <c r="AD85" s="45">
        <v>0.12565000000000001</v>
      </c>
      <c r="AE85" s="45">
        <v>-7.8609</v>
      </c>
      <c r="AF85" s="45">
        <v>117.95650000000001</v>
      </c>
      <c r="AG85" s="45">
        <v>198.46279999999999</v>
      </c>
      <c r="AH85" s="45" t="s">
        <v>60</v>
      </c>
      <c r="AI85" s="45" t="s">
        <v>60</v>
      </c>
      <c r="AJ85" s="45" t="s">
        <v>60</v>
      </c>
      <c r="AK85" s="45" t="s">
        <v>60</v>
      </c>
      <c r="AL85" s="45" t="s">
        <v>60</v>
      </c>
      <c r="AM85" s="45" t="s">
        <v>60</v>
      </c>
      <c r="AN85" s="45" t="s">
        <v>60</v>
      </c>
      <c r="AO85" s="45" t="s">
        <v>60</v>
      </c>
      <c r="AP85" s="45" t="s">
        <v>60</v>
      </c>
      <c r="AQ85" s="45" t="s">
        <v>60</v>
      </c>
      <c r="AR85" s="45" t="s">
        <v>60</v>
      </c>
      <c r="AS85" s="45">
        <v>3.36941358811923</v>
      </c>
      <c r="AT85" s="45">
        <v>3.1961045261087802</v>
      </c>
      <c r="AU85" s="45">
        <v>-6.5789661239323403</v>
      </c>
      <c r="AV85" s="45">
        <v>5.3779817075429799</v>
      </c>
      <c r="AW85" s="45">
        <v>34</v>
      </c>
      <c r="AX85" s="45">
        <v>0</v>
      </c>
      <c r="AY85" s="45">
        <v>0</v>
      </c>
      <c r="AZ85" s="45">
        <v>0</v>
      </c>
      <c r="BA85" s="45">
        <v>0</v>
      </c>
      <c r="BB85" s="45">
        <v>1</v>
      </c>
      <c r="BC85" s="45">
        <v>0</v>
      </c>
      <c r="BD85" s="54" t="s">
        <v>60</v>
      </c>
      <c r="BE85" s="44"/>
      <c r="BF85" s="53"/>
    </row>
    <row r="86" spans="1:58" x14ac:dyDescent="0.25">
      <c r="A86" s="48">
        <v>83</v>
      </c>
      <c r="B86" s="45" t="s">
        <v>298</v>
      </c>
      <c r="C86" s="45">
        <v>5.0928000000000004</v>
      </c>
      <c r="D86" s="45">
        <v>155</v>
      </c>
      <c r="E86" s="45">
        <v>151</v>
      </c>
      <c r="F86" s="45">
        <v>94</v>
      </c>
      <c r="G86" s="45">
        <v>15.095700000000001</v>
      </c>
      <c r="H86" s="45">
        <v>237</v>
      </c>
      <c r="I86" s="45">
        <v>162</v>
      </c>
      <c r="J86" s="45">
        <v>204</v>
      </c>
      <c r="K86" s="45">
        <v>243.6996</v>
      </c>
      <c r="L86" s="45">
        <v>1</v>
      </c>
      <c r="M86" s="45">
        <v>24.35</v>
      </c>
      <c r="N86" s="45">
        <v>4.3899999999999997</v>
      </c>
      <c r="O86" s="45">
        <v>1</v>
      </c>
      <c r="P86" s="45">
        <v>7.0495999999999999</v>
      </c>
      <c r="Q86" s="45">
        <v>-5.8740000000000006</v>
      </c>
      <c r="R86" s="45">
        <v>0.65990000000000004</v>
      </c>
      <c r="S86" s="45">
        <v>-6.4416000000000011</v>
      </c>
      <c r="T86" s="45">
        <v>0.66969999999999996</v>
      </c>
      <c r="U86" s="45">
        <v>-10.647</v>
      </c>
      <c r="V86" s="45">
        <v>0.63290000000000002</v>
      </c>
      <c r="W86" s="45">
        <v>21.072899999999997</v>
      </c>
      <c r="X86" s="45">
        <v>0.60970000000000002</v>
      </c>
      <c r="Y86" s="55">
        <v>66</v>
      </c>
      <c r="Z86" s="45">
        <v>88</v>
      </c>
      <c r="AA86" s="45">
        <v>3.1581999999999999</v>
      </c>
      <c r="AB86" s="45">
        <v>0.99998474121093806</v>
      </c>
      <c r="AC86" s="45">
        <v>6.3E-2</v>
      </c>
      <c r="AD86" s="45">
        <v>0.12565000000000001</v>
      </c>
      <c r="AE86" s="45">
        <v>-3.1678000000000002</v>
      </c>
      <c r="AF86" s="45">
        <v>-176.32849999999999</v>
      </c>
      <c r="AG86" s="45">
        <v>169.87450000000001</v>
      </c>
      <c r="AH86" s="45" t="s">
        <v>60</v>
      </c>
      <c r="AI86" s="45" t="s">
        <v>60</v>
      </c>
      <c r="AJ86" s="45" t="s">
        <v>60</v>
      </c>
      <c r="AK86" s="45" t="s">
        <v>60</v>
      </c>
      <c r="AL86" s="45" t="s">
        <v>60</v>
      </c>
      <c r="AM86" s="45" t="s">
        <v>60</v>
      </c>
      <c r="AN86" s="45" t="s">
        <v>60</v>
      </c>
      <c r="AO86" s="45" t="s">
        <v>60</v>
      </c>
      <c r="AP86" s="45" t="s">
        <v>60</v>
      </c>
      <c r="AQ86" s="45" t="s">
        <v>60</v>
      </c>
      <c r="AR86" s="45" t="s">
        <v>60</v>
      </c>
      <c r="AS86" s="45">
        <v>8.6348780000000402E-2</v>
      </c>
      <c r="AT86" s="45">
        <v>-1.26139400000005E-2</v>
      </c>
      <c r="AU86" s="45">
        <v>-5.9073384799999999</v>
      </c>
      <c r="AV86" s="45">
        <v>6.2991983300000003</v>
      </c>
      <c r="AW86" s="45">
        <v>0</v>
      </c>
      <c r="AX86" s="45">
        <v>0</v>
      </c>
      <c r="AY86" s="45">
        <v>169</v>
      </c>
      <c r="AZ86" s="45">
        <v>0</v>
      </c>
      <c r="BA86" s="45">
        <v>0</v>
      </c>
      <c r="BB86" s="45">
        <v>1</v>
      </c>
      <c r="BC86" s="45">
        <v>1</v>
      </c>
      <c r="BD86" s="54" t="s">
        <v>60</v>
      </c>
      <c r="BE86" s="44"/>
      <c r="BF86" s="53"/>
    </row>
    <row r="87" spans="1:58" x14ac:dyDescent="0.25">
      <c r="A87" s="48">
        <v>84</v>
      </c>
      <c r="B87" s="45" t="s">
        <v>299</v>
      </c>
      <c r="C87" s="45">
        <v>7.1624999999999996</v>
      </c>
      <c r="D87" s="45">
        <v>168</v>
      </c>
      <c r="E87" s="45">
        <v>173</v>
      </c>
      <c r="F87" s="45">
        <v>8</v>
      </c>
      <c r="G87" s="45">
        <v>27.293500000000002</v>
      </c>
      <c r="H87" s="45">
        <v>117</v>
      </c>
      <c r="I87" s="45">
        <v>60</v>
      </c>
      <c r="J87" s="45">
        <v>204</v>
      </c>
      <c r="K87" s="45">
        <v>234.25989999999999</v>
      </c>
      <c r="L87" s="45">
        <v>1</v>
      </c>
      <c r="M87" s="45">
        <v>24.45</v>
      </c>
      <c r="N87" s="45">
        <v>4.53</v>
      </c>
      <c r="O87" s="45">
        <v>1</v>
      </c>
      <c r="P87" s="45">
        <v>6.4260999999999999</v>
      </c>
      <c r="Q87" s="45">
        <v>-6.4614000000000003</v>
      </c>
      <c r="R87" s="45">
        <v>0.66520000000000001</v>
      </c>
      <c r="S87" s="45">
        <v>-6.4416000000000011</v>
      </c>
      <c r="T87" s="45">
        <v>0.67149999999999999</v>
      </c>
      <c r="U87" s="45">
        <v>-11.3568</v>
      </c>
      <c r="V87" s="45">
        <v>0.64119999999999999</v>
      </c>
      <c r="W87" s="45">
        <v>21.442599999999999</v>
      </c>
      <c r="X87" s="45">
        <v>0.61229999999999996</v>
      </c>
      <c r="Y87" s="45">
        <v>32</v>
      </c>
      <c r="Z87" s="55">
        <v>0</v>
      </c>
      <c r="AA87" s="45">
        <v>10.6099</v>
      </c>
      <c r="AB87" s="45">
        <v>0.99998474121093806</v>
      </c>
      <c r="AC87" s="45">
        <v>6.4000000000000001E-2</v>
      </c>
      <c r="AD87" s="45">
        <v>0.12565000000000001</v>
      </c>
      <c r="AE87" s="45">
        <v>-2.1267</v>
      </c>
      <c r="AF87" s="45">
        <v>34.125300000000003</v>
      </c>
      <c r="AG87" s="45">
        <v>181.53829999999999</v>
      </c>
      <c r="AH87" s="45" t="s">
        <v>60</v>
      </c>
      <c r="AI87" s="45" t="s">
        <v>60</v>
      </c>
      <c r="AJ87" s="45" t="s">
        <v>60</v>
      </c>
      <c r="AK87" s="45" t="s">
        <v>60</v>
      </c>
      <c r="AL87" s="45" t="s">
        <v>60</v>
      </c>
      <c r="AM87" s="45" t="s">
        <v>60</v>
      </c>
      <c r="AN87" s="45" t="s">
        <v>60</v>
      </c>
      <c r="AO87" s="45" t="s">
        <v>60</v>
      </c>
      <c r="AP87" s="45" t="s">
        <v>60</v>
      </c>
      <c r="AQ87" s="45" t="s">
        <v>60</v>
      </c>
      <c r="AR87" s="45" t="s">
        <v>60</v>
      </c>
      <c r="AS87" s="45">
        <v>-1.62037043566379</v>
      </c>
      <c r="AT87" s="45">
        <v>-1.5680175393689699</v>
      </c>
      <c r="AU87" s="45">
        <v>-7.1730332982382699</v>
      </c>
      <c r="AV87" s="45">
        <v>5.3547244347234999</v>
      </c>
      <c r="AW87" s="45">
        <v>0</v>
      </c>
      <c r="AX87" s="45">
        <v>0</v>
      </c>
      <c r="AY87" s="45">
        <v>169</v>
      </c>
      <c r="AZ87" s="45">
        <v>0</v>
      </c>
      <c r="BA87" s="45">
        <v>0</v>
      </c>
      <c r="BB87" s="45">
        <v>1</v>
      </c>
      <c r="BC87" s="45">
        <v>1</v>
      </c>
      <c r="BD87" s="54" t="s">
        <v>60</v>
      </c>
      <c r="BE87" s="44"/>
      <c r="BF87" s="53"/>
    </row>
    <row r="88" spans="1:58" x14ac:dyDescent="0.25">
      <c r="A88" s="48">
        <v>85</v>
      </c>
      <c r="B88" s="45" t="s">
        <v>300</v>
      </c>
      <c r="C88" s="45">
        <v>8.8000000000000007</v>
      </c>
      <c r="D88" s="45">
        <v>149</v>
      </c>
      <c r="E88" s="45">
        <v>140</v>
      </c>
      <c r="F88" s="45">
        <v>160</v>
      </c>
      <c r="G88" s="45">
        <v>93.817700000000002</v>
      </c>
      <c r="H88" s="45">
        <v>35</v>
      </c>
      <c r="I88" s="45">
        <v>19</v>
      </c>
      <c r="J88" s="45">
        <v>106</v>
      </c>
      <c r="K88" s="45">
        <v>120.33450000000001</v>
      </c>
      <c r="L88" s="45">
        <v>1</v>
      </c>
      <c r="M88" s="45">
        <v>24.55</v>
      </c>
      <c r="N88" s="45">
        <v>4.67</v>
      </c>
      <c r="O88" s="45">
        <v>1</v>
      </c>
      <c r="P88" s="45">
        <v>3.3959999999999999</v>
      </c>
      <c r="Q88" s="45">
        <v>-7.0488</v>
      </c>
      <c r="R88" s="45">
        <v>0.66959999999999997</v>
      </c>
      <c r="S88" s="45">
        <v>-6.4416000000000011</v>
      </c>
      <c r="T88" s="45">
        <v>0.67149999999999999</v>
      </c>
      <c r="U88" s="45">
        <v>-12.066599999999999</v>
      </c>
      <c r="V88" s="45">
        <v>0.64400000000000002</v>
      </c>
      <c r="W88" s="45">
        <v>21.812299999999997</v>
      </c>
      <c r="X88" s="45">
        <v>0.61599999999999999</v>
      </c>
      <c r="Y88" s="45">
        <v>33</v>
      </c>
      <c r="Z88" s="55">
        <v>255</v>
      </c>
      <c r="AA88" s="45">
        <v>9.0843000000000007</v>
      </c>
      <c r="AB88" s="45">
        <v>0.99998474121093806</v>
      </c>
      <c r="AC88" s="45">
        <v>6.5000000000000002E-2</v>
      </c>
      <c r="AD88" s="45">
        <v>0.12565000000000001</v>
      </c>
      <c r="AE88" s="45">
        <v>-5.274</v>
      </c>
      <c r="AF88" s="45">
        <v>-40.844999999999999</v>
      </c>
      <c r="AG88" s="45">
        <v>-99.712100000000007</v>
      </c>
      <c r="AH88" s="45" t="s">
        <v>60</v>
      </c>
      <c r="AI88" s="45" t="s">
        <v>60</v>
      </c>
      <c r="AJ88" s="45" t="s">
        <v>60</v>
      </c>
      <c r="AK88" s="45" t="s">
        <v>60</v>
      </c>
      <c r="AL88" s="45" t="s">
        <v>60</v>
      </c>
      <c r="AM88" s="45" t="s">
        <v>60</v>
      </c>
      <c r="AN88" s="45" t="s">
        <v>60</v>
      </c>
      <c r="AO88" s="45" t="s">
        <v>60</v>
      </c>
      <c r="AP88" s="45" t="s">
        <v>60</v>
      </c>
      <c r="AQ88" s="45" t="s">
        <v>60</v>
      </c>
      <c r="AR88" s="45" t="s">
        <v>60</v>
      </c>
      <c r="AS88" s="45">
        <v>3.7539237600000002</v>
      </c>
      <c r="AT88" s="45">
        <v>3.9840418500000001</v>
      </c>
      <c r="AU88" s="45">
        <v>-10.145998799999999</v>
      </c>
      <c r="AV88" s="45">
        <v>2.7799944000000001</v>
      </c>
      <c r="AW88" s="45">
        <v>0</v>
      </c>
      <c r="AX88" s="45">
        <v>236</v>
      </c>
      <c r="AY88" s="45">
        <v>0</v>
      </c>
      <c r="AZ88" s="45">
        <v>0</v>
      </c>
      <c r="BA88" s="45">
        <v>0</v>
      </c>
      <c r="BB88" s="45">
        <v>1</v>
      </c>
      <c r="BC88" s="45">
        <v>0</v>
      </c>
      <c r="BD88" s="54" t="s">
        <v>60</v>
      </c>
      <c r="BE88" s="44"/>
      <c r="BF88" s="53"/>
    </row>
    <row r="89" spans="1:58" x14ac:dyDescent="0.25">
      <c r="A89" s="48">
        <v>86</v>
      </c>
      <c r="B89" s="45" t="s">
        <v>301</v>
      </c>
      <c r="C89" s="45">
        <v>2.0798999999999999</v>
      </c>
      <c r="D89" s="45">
        <v>131</v>
      </c>
      <c r="E89" s="45">
        <v>194</v>
      </c>
      <c r="F89" s="45">
        <v>135</v>
      </c>
      <c r="G89" s="45">
        <v>8.4544999999999995</v>
      </c>
      <c r="H89" s="45">
        <v>55</v>
      </c>
      <c r="I89" s="45">
        <v>202</v>
      </c>
      <c r="J89" s="45">
        <v>35</v>
      </c>
      <c r="K89" s="45">
        <v>57.4069</v>
      </c>
      <c r="L89" s="45">
        <v>1</v>
      </c>
      <c r="M89" s="45">
        <v>24.65</v>
      </c>
      <c r="N89" s="45">
        <v>4.8099999999999996</v>
      </c>
      <c r="O89" s="45">
        <v>1</v>
      </c>
      <c r="P89" s="45">
        <v>6.9755000000000003</v>
      </c>
      <c r="Q89" s="45">
        <v>-7.6362000000000005</v>
      </c>
      <c r="R89" s="45">
        <v>0.68199999999999994</v>
      </c>
      <c r="S89" s="45">
        <v>-6.9784000000000006</v>
      </c>
      <c r="T89" s="45">
        <v>0.67149999999999999</v>
      </c>
      <c r="U89" s="45">
        <v>-12.776399999999999</v>
      </c>
      <c r="V89" s="45">
        <v>0.65549999999999997</v>
      </c>
      <c r="W89" s="45">
        <v>-0.59870000000000001</v>
      </c>
      <c r="X89" s="45">
        <v>0.627</v>
      </c>
      <c r="Y89" s="45">
        <v>34</v>
      </c>
      <c r="Z89" s="55">
        <v>154</v>
      </c>
      <c r="AA89" s="45">
        <v>7.6101000000000001</v>
      </c>
      <c r="AB89" s="45">
        <v>0.51090000000000002</v>
      </c>
      <c r="AC89" s="45">
        <v>6.6000000000000003E-2</v>
      </c>
      <c r="AD89" s="45">
        <v>0.12565000000000001</v>
      </c>
      <c r="AE89" s="45">
        <v>-1.573</v>
      </c>
      <c r="AF89" s="45">
        <v>-189.6696</v>
      </c>
      <c r="AG89" s="45">
        <v>-198.49619999999999</v>
      </c>
      <c r="AH89" s="45" t="s">
        <v>60</v>
      </c>
      <c r="AI89" s="45" t="s">
        <v>60</v>
      </c>
      <c r="AJ89" s="45" t="s">
        <v>60</v>
      </c>
      <c r="AK89" s="45" t="s">
        <v>60</v>
      </c>
      <c r="AL89" s="45" t="s">
        <v>60</v>
      </c>
      <c r="AM89" s="45" t="s">
        <v>60</v>
      </c>
      <c r="AN89" s="45" t="s">
        <v>60</v>
      </c>
      <c r="AO89" s="45" t="s">
        <v>60</v>
      </c>
      <c r="AP89" s="45" t="s">
        <v>60</v>
      </c>
      <c r="AQ89" s="45" t="s">
        <v>60</v>
      </c>
      <c r="AR89" s="45" t="s">
        <v>60</v>
      </c>
      <c r="AS89" s="45">
        <v>-7.6183997999999997</v>
      </c>
      <c r="AT89" s="45">
        <v>-7.4025865499999997</v>
      </c>
      <c r="AU89" s="45">
        <v>0.58695074999999897</v>
      </c>
      <c r="AV89" s="45">
        <v>4.5482176000000001</v>
      </c>
      <c r="AW89" s="45">
        <v>0</v>
      </c>
      <c r="AX89" s="45">
        <v>0</v>
      </c>
      <c r="AY89" s="45">
        <v>169</v>
      </c>
      <c r="AZ89" s="45">
        <v>0</v>
      </c>
      <c r="BA89" s="45">
        <v>0</v>
      </c>
      <c r="BB89" s="45">
        <v>1</v>
      </c>
      <c r="BC89" s="45">
        <v>1</v>
      </c>
      <c r="BD89" s="54" t="s">
        <v>60</v>
      </c>
      <c r="BE89" s="44"/>
      <c r="BF89" s="53"/>
    </row>
    <row r="90" spans="1:58" x14ac:dyDescent="0.25">
      <c r="A90" s="48">
        <v>87</v>
      </c>
      <c r="B90" s="45" t="s">
        <v>302</v>
      </c>
      <c r="C90" s="45">
        <v>8.3621999999999996</v>
      </c>
      <c r="D90" s="45">
        <v>202</v>
      </c>
      <c r="E90" s="45">
        <v>20</v>
      </c>
      <c r="F90" s="45">
        <v>116</v>
      </c>
      <c r="G90" s="45">
        <v>157.22880000000001</v>
      </c>
      <c r="H90" s="45">
        <v>212</v>
      </c>
      <c r="I90" s="45">
        <v>98</v>
      </c>
      <c r="J90" s="45">
        <v>236</v>
      </c>
      <c r="K90" s="45">
        <v>189.61349999999999</v>
      </c>
      <c r="L90" s="45">
        <v>0.74909999999999999</v>
      </c>
      <c r="M90" s="45">
        <v>24.75</v>
      </c>
      <c r="N90" s="45">
        <v>4.95</v>
      </c>
      <c r="O90" s="45">
        <v>0.67210000000000003</v>
      </c>
      <c r="P90" s="45">
        <v>4.8068</v>
      </c>
      <c r="Q90" s="45">
        <v>-8.2236000000000011</v>
      </c>
      <c r="R90" s="45">
        <v>0.69440000000000002</v>
      </c>
      <c r="S90" s="45">
        <v>-7.515200000000001</v>
      </c>
      <c r="T90" s="45">
        <v>0.67149999999999999</v>
      </c>
      <c r="U90" s="45">
        <v>-13.4862</v>
      </c>
      <c r="V90" s="45">
        <v>0.66700000000000004</v>
      </c>
      <c r="W90" s="45">
        <v>-1.1974</v>
      </c>
      <c r="X90" s="45">
        <v>0.63800000000000001</v>
      </c>
      <c r="Y90" s="45">
        <v>35</v>
      </c>
      <c r="Z90" s="45">
        <v>13</v>
      </c>
      <c r="AA90" s="55">
        <v>0</v>
      </c>
      <c r="AB90" s="45">
        <v>0.99998474121093806</v>
      </c>
      <c r="AC90" s="45">
        <v>6.7000000000000004E-2</v>
      </c>
      <c r="AD90" s="45">
        <v>8.7999999999999995E-2</v>
      </c>
      <c r="AE90" s="45">
        <v>3.3843999999999999</v>
      </c>
      <c r="AF90" s="45">
        <v>137.6985</v>
      </c>
      <c r="AG90" s="45">
        <v>31.3993</v>
      </c>
      <c r="AH90" s="45" t="s">
        <v>60</v>
      </c>
      <c r="AI90" s="45" t="s">
        <v>60</v>
      </c>
      <c r="AJ90" s="45" t="s">
        <v>60</v>
      </c>
      <c r="AK90" s="45" t="s">
        <v>60</v>
      </c>
      <c r="AL90" s="45" t="s">
        <v>60</v>
      </c>
      <c r="AM90" s="45" t="s">
        <v>60</v>
      </c>
      <c r="AN90" s="45" t="s">
        <v>60</v>
      </c>
      <c r="AO90" s="45" t="s">
        <v>60</v>
      </c>
      <c r="AP90" s="45" t="s">
        <v>60</v>
      </c>
      <c r="AQ90" s="45" t="s">
        <v>60</v>
      </c>
      <c r="AR90" s="45" t="s">
        <v>60</v>
      </c>
      <c r="AS90" s="45">
        <v>-2.5131321600000001</v>
      </c>
      <c r="AT90" s="45">
        <v>-2.4687432</v>
      </c>
      <c r="AU90" s="45">
        <v>-4.4909046000000004</v>
      </c>
      <c r="AV90" s="45">
        <v>-0.43345879999999998</v>
      </c>
      <c r="AW90" s="45">
        <v>15</v>
      </c>
      <c r="AX90" s="45">
        <v>0</v>
      </c>
      <c r="AY90" s="45">
        <v>0</v>
      </c>
      <c r="AZ90" s="45">
        <v>0</v>
      </c>
      <c r="BA90" s="45">
        <v>0</v>
      </c>
      <c r="BB90" s="45">
        <v>1</v>
      </c>
      <c r="BC90" s="45">
        <v>0</v>
      </c>
      <c r="BD90" s="54" t="s">
        <v>60</v>
      </c>
      <c r="BE90" s="44"/>
      <c r="BF90" s="53"/>
    </row>
    <row r="91" spans="1:58" x14ac:dyDescent="0.25">
      <c r="A91" s="48">
        <v>88</v>
      </c>
      <c r="B91" s="45" t="s">
        <v>303</v>
      </c>
      <c r="C91" s="45">
        <v>1.0519000000000001</v>
      </c>
      <c r="D91" s="45">
        <v>47</v>
      </c>
      <c r="E91" s="45">
        <v>239</v>
      </c>
      <c r="F91" s="45">
        <v>181</v>
      </c>
      <c r="G91" s="45">
        <v>79.914599999999993</v>
      </c>
      <c r="H91" s="45">
        <v>224</v>
      </c>
      <c r="I91" s="45">
        <v>25</v>
      </c>
      <c r="J91" s="45">
        <v>173</v>
      </c>
      <c r="K91" s="45">
        <v>9.7844999999999995</v>
      </c>
      <c r="L91" s="45">
        <v>0.52070000000000005</v>
      </c>
      <c r="M91" s="45">
        <v>24.85</v>
      </c>
      <c r="N91" s="45">
        <v>4.95</v>
      </c>
      <c r="O91" s="45">
        <v>1</v>
      </c>
      <c r="P91" s="45">
        <v>8.8000000000000007</v>
      </c>
      <c r="Q91" s="45">
        <v>-8.8109999999999999</v>
      </c>
      <c r="R91" s="45">
        <v>0.70679999999999998</v>
      </c>
      <c r="S91" s="45">
        <v>-8.0520000000000014</v>
      </c>
      <c r="T91" s="45">
        <v>0.68400000000000005</v>
      </c>
      <c r="U91" s="45">
        <v>-12.776399999999999</v>
      </c>
      <c r="V91" s="45">
        <v>0.67849999999999999</v>
      </c>
      <c r="W91" s="45">
        <v>-1.7961</v>
      </c>
      <c r="X91" s="45">
        <v>0.64899999999999991</v>
      </c>
      <c r="Y91" s="45">
        <v>36</v>
      </c>
      <c r="Z91" s="45">
        <v>14</v>
      </c>
      <c r="AA91" s="55">
        <v>20</v>
      </c>
      <c r="AB91" s="45">
        <v>0.23780000000000001</v>
      </c>
      <c r="AC91" s="45">
        <v>6.8000000000000005E-2</v>
      </c>
      <c r="AD91" s="45">
        <v>8.7999999999999995E-2</v>
      </c>
      <c r="AE91" s="45">
        <v>-0.38159999999999999</v>
      </c>
      <c r="AF91" s="45">
        <v>146.8484</v>
      </c>
      <c r="AG91" s="45">
        <v>-155.72919999999999</v>
      </c>
      <c r="AH91" s="45" t="s">
        <v>60</v>
      </c>
      <c r="AI91" s="45" t="s">
        <v>60</v>
      </c>
      <c r="AJ91" s="45" t="s">
        <v>60</v>
      </c>
      <c r="AK91" s="45" t="s">
        <v>60</v>
      </c>
      <c r="AL91" s="45" t="s">
        <v>60</v>
      </c>
      <c r="AM91" s="45" t="s">
        <v>60</v>
      </c>
      <c r="AN91" s="45" t="s">
        <v>60</v>
      </c>
      <c r="AO91" s="45" t="s">
        <v>60</v>
      </c>
      <c r="AP91" s="45" t="s">
        <v>60</v>
      </c>
      <c r="AQ91" s="45" t="s">
        <v>60</v>
      </c>
      <c r="AR91" s="45" t="s">
        <v>60</v>
      </c>
      <c r="AS91" s="45">
        <v>11.552614800000001</v>
      </c>
      <c r="AT91" s="45">
        <v>11.135567999999999</v>
      </c>
      <c r="AU91" s="45">
        <v>-10.239135699436201</v>
      </c>
      <c r="AV91" s="45">
        <v>-6.4953662385911901</v>
      </c>
      <c r="AW91" s="45">
        <v>0</v>
      </c>
      <c r="AX91" s="45">
        <v>0</v>
      </c>
      <c r="AY91" s="45">
        <v>169</v>
      </c>
      <c r="AZ91" s="45">
        <v>0</v>
      </c>
      <c r="BA91" s="45">
        <v>0</v>
      </c>
      <c r="BB91" s="45">
        <v>1</v>
      </c>
      <c r="BC91" s="45">
        <v>1</v>
      </c>
      <c r="BD91" s="54" t="s">
        <v>60</v>
      </c>
      <c r="BE91" s="44"/>
      <c r="BF91" s="53"/>
    </row>
    <row r="92" spans="1:58" x14ac:dyDescent="0.25">
      <c r="A92" s="48">
        <v>89</v>
      </c>
      <c r="B92" s="45" t="s">
        <v>304</v>
      </c>
      <c r="C92" s="45">
        <v>1.0228999999999999</v>
      </c>
      <c r="D92" s="45">
        <v>0</v>
      </c>
      <c r="E92" s="45">
        <v>222</v>
      </c>
      <c r="F92" s="45">
        <v>9</v>
      </c>
      <c r="G92" s="45">
        <v>67.643799999999999</v>
      </c>
      <c r="H92" s="45">
        <v>201</v>
      </c>
      <c r="I92" s="45">
        <v>102</v>
      </c>
      <c r="J92" s="45">
        <v>68</v>
      </c>
      <c r="K92" s="45">
        <v>8.7113999999999994</v>
      </c>
      <c r="L92" s="45">
        <v>1</v>
      </c>
      <c r="M92" s="45">
        <v>24.95</v>
      </c>
      <c r="N92" s="45">
        <v>4.95</v>
      </c>
      <c r="O92" s="45">
        <v>1</v>
      </c>
      <c r="P92" s="45">
        <v>7.6393000000000004</v>
      </c>
      <c r="Q92" s="45">
        <v>-9.3984000000000005</v>
      </c>
      <c r="R92" s="45">
        <v>0.71919999999999995</v>
      </c>
      <c r="S92" s="45">
        <v>-8.5888000000000009</v>
      </c>
      <c r="T92" s="45">
        <v>0.69600000000000006</v>
      </c>
      <c r="U92" s="45">
        <v>-12.776399999999999</v>
      </c>
      <c r="V92" s="45">
        <v>0.69</v>
      </c>
      <c r="W92" s="45">
        <v>-2.3948</v>
      </c>
      <c r="X92" s="45">
        <v>0.65999999999999992</v>
      </c>
      <c r="Y92" s="45">
        <v>37</v>
      </c>
      <c r="Z92" s="45">
        <v>15</v>
      </c>
      <c r="AA92" s="55">
        <v>3.25</v>
      </c>
      <c r="AB92" s="45">
        <v>0.99998474121093806</v>
      </c>
      <c r="AC92" s="45">
        <v>6.9000000000000006E-2</v>
      </c>
      <c r="AD92" s="45">
        <v>8.7999999999999995E-2</v>
      </c>
      <c r="AE92" s="45">
        <v>4.3352000000000004</v>
      </c>
      <c r="AF92" s="45">
        <v>94.823899999999995</v>
      </c>
      <c r="AG92" s="45">
        <v>193.41970000000001</v>
      </c>
      <c r="AH92" s="45" t="s">
        <v>60</v>
      </c>
      <c r="AI92" s="45" t="s">
        <v>60</v>
      </c>
      <c r="AJ92" s="45" t="s">
        <v>60</v>
      </c>
      <c r="AK92" s="45" t="s">
        <v>60</v>
      </c>
      <c r="AL92" s="45" t="s">
        <v>60</v>
      </c>
      <c r="AM92" s="45" t="s">
        <v>60</v>
      </c>
      <c r="AN92" s="45" t="s">
        <v>60</v>
      </c>
      <c r="AO92" s="45" t="s">
        <v>60</v>
      </c>
      <c r="AP92" s="45" t="s">
        <v>60</v>
      </c>
      <c r="AQ92" s="45" t="s">
        <v>60</v>
      </c>
      <c r="AR92" s="45" t="s">
        <v>60</v>
      </c>
      <c r="AS92" s="45">
        <v>-4.27705007338567</v>
      </c>
      <c r="AT92" s="45">
        <v>-4.1961365097280696</v>
      </c>
      <c r="AU92" s="45">
        <v>-6.2031840000000003</v>
      </c>
      <c r="AV92" s="45">
        <v>-2.9592320000000001</v>
      </c>
      <c r="AW92" s="45">
        <v>0</v>
      </c>
      <c r="AX92" s="45">
        <v>0</v>
      </c>
      <c r="AY92" s="45">
        <v>169</v>
      </c>
      <c r="AZ92" s="45">
        <v>0</v>
      </c>
      <c r="BA92" s="45">
        <v>0</v>
      </c>
      <c r="BB92" s="45">
        <v>1</v>
      </c>
      <c r="BC92" s="45">
        <v>1</v>
      </c>
      <c r="BD92" s="54" t="s">
        <v>60</v>
      </c>
      <c r="BE92" s="44"/>
      <c r="BF92" s="53"/>
    </row>
    <row r="93" spans="1:58" x14ac:dyDescent="0.25">
      <c r="A93" s="48">
        <v>90</v>
      </c>
      <c r="B93" s="45" t="s">
        <v>305</v>
      </c>
      <c r="C93" s="45">
        <v>2.6393</v>
      </c>
      <c r="D93" s="45">
        <v>131</v>
      </c>
      <c r="E93" s="45">
        <v>197</v>
      </c>
      <c r="F93" s="45">
        <v>56</v>
      </c>
      <c r="G93" s="45">
        <v>5.6584000000000003</v>
      </c>
      <c r="H93" s="45">
        <v>213</v>
      </c>
      <c r="I93" s="45">
        <v>86</v>
      </c>
      <c r="J93" s="45">
        <v>94</v>
      </c>
      <c r="K93" s="45">
        <v>49.173299999999998</v>
      </c>
      <c r="L93" s="45">
        <v>0.83860000000000001</v>
      </c>
      <c r="M93" s="45">
        <v>25.05</v>
      </c>
      <c r="N93" s="45">
        <v>5.09</v>
      </c>
      <c r="O93" s="45">
        <v>0.72</v>
      </c>
      <c r="P93" s="45">
        <v>5.3781999999999996</v>
      </c>
      <c r="Q93" s="45">
        <v>-9.9858000000000011</v>
      </c>
      <c r="R93" s="45">
        <v>0.73160000000000003</v>
      </c>
      <c r="S93" s="45">
        <v>-9.1256000000000004</v>
      </c>
      <c r="T93" s="45">
        <v>0.70799999999999996</v>
      </c>
      <c r="U93" s="45">
        <v>-14.196</v>
      </c>
      <c r="V93" s="45">
        <v>0.70150000000000001</v>
      </c>
      <c r="W93" s="45">
        <v>-2.9935</v>
      </c>
      <c r="X93" s="45">
        <v>0.67099999999999993</v>
      </c>
      <c r="Y93" s="45">
        <v>38</v>
      </c>
      <c r="Z93" s="45">
        <v>16</v>
      </c>
      <c r="AA93" s="45">
        <v>16.978000000000002</v>
      </c>
      <c r="AB93" s="55">
        <v>0</v>
      </c>
      <c r="AC93" s="45">
        <v>7.0000000000000007E-2</v>
      </c>
      <c r="AD93" s="45">
        <v>0.12565000000000001</v>
      </c>
      <c r="AE93" s="45">
        <v>4.1155999999999997</v>
      </c>
      <c r="AF93" s="45">
        <v>-143.9408</v>
      </c>
      <c r="AG93" s="45">
        <v>-134.62960000000001</v>
      </c>
      <c r="AH93" s="45" t="s">
        <v>60</v>
      </c>
      <c r="AI93" s="45" t="s">
        <v>60</v>
      </c>
      <c r="AJ93" s="45" t="s">
        <v>60</v>
      </c>
      <c r="AK93" s="45" t="s">
        <v>60</v>
      </c>
      <c r="AL93" s="45" t="s">
        <v>60</v>
      </c>
      <c r="AM93" s="45" t="s">
        <v>60</v>
      </c>
      <c r="AN93" s="45" t="s">
        <v>60</v>
      </c>
      <c r="AO93" s="45" t="s">
        <v>60</v>
      </c>
      <c r="AP93" s="45" t="s">
        <v>60</v>
      </c>
      <c r="AQ93" s="45" t="s">
        <v>60</v>
      </c>
      <c r="AR93" s="45" t="s">
        <v>60</v>
      </c>
      <c r="AS93" s="45">
        <v>9.7409160799999999</v>
      </c>
      <c r="AT93" s="45">
        <v>9.3557488000000006</v>
      </c>
      <c r="AU93" s="45">
        <v>-16.147573000000001</v>
      </c>
      <c r="AV93" s="45">
        <v>-12.3770995</v>
      </c>
      <c r="AW93" s="45">
        <v>56</v>
      </c>
      <c r="AX93" s="45">
        <v>0</v>
      </c>
      <c r="AY93" s="45">
        <v>169</v>
      </c>
      <c r="AZ93" s="45">
        <v>1</v>
      </c>
      <c r="BA93" s="45">
        <v>1</v>
      </c>
      <c r="BB93" s="45">
        <v>0</v>
      </c>
      <c r="BC93" s="45">
        <v>1</v>
      </c>
      <c r="BD93" s="54" t="s">
        <v>60</v>
      </c>
      <c r="BE93" s="44"/>
      <c r="BF93" s="53"/>
    </row>
    <row r="94" spans="1:58" x14ac:dyDescent="0.25">
      <c r="A94" s="48">
        <v>91</v>
      </c>
      <c r="B94" s="45" t="s">
        <v>306</v>
      </c>
      <c r="C94" s="45">
        <v>1.4525999999999999</v>
      </c>
      <c r="D94" s="45">
        <v>75</v>
      </c>
      <c r="E94" s="45">
        <v>98</v>
      </c>
      <c r="F94" s="45">
        <v>213</v>
      </c>
      <c r="G94" s="45">
        <v>221.31979999999999</v>
      </c>
      <c r="H94" s="45">
        <v>136</v>
      </c>
      <c r="I94" s="45">
        <v>108</v>
      </c>
      <c r="J94" s="45">
        <v>34</v>
      </c>
      <c r="K94" s="45">
        <v>51.372700000000002</v>
      </c>
      <c r="L94" s="45">
        <v>1</v>
      </c>
      <c r="M94" s="45">
        <v>25.15</v>
      </c>
      <c r="N94" s="45">
        <v>5.23</v>
      </c>
      <c r="O94" s="45">
        <v>0.74360000000000004</v>
      </c>
      <c r="P94" s="45">
        <v>8.0505999999999993</v>
      </c>
      <c r="Q94" s="45">
        <v>-10.5732</v>
      </c>
      <c r="R94" s="45">
        <v>0.73860000000000003</v>
      </c>
      <c r="S94" s="45">
        <v>-9.6624000000000017</v>
      </c>
      <c r="T94" s="45">
        <v>0.71230000000000004</v>
      </c>
      <c r="U94" s="45">
        <v>-15.615600000000001</v>
      </c>
      <c r="V94" s="45">
        <v>0.70779999999999998</v>
      </c>
      <c r="W94" s="45">
        <v>-3.5922000000000001</v>
      </c>
      <c r="X94" s="45">
        <v>0.67689999999999995</v>
      </c>
      <c r="Y94" s="45">
        <v>39</v>
      </c>
      <c r="Z94" s="45">
        <v>17</v>
      </c>
      <c r="AA94" s="45">
        <v>0.59009999999999996</v>
      </c>
      <c r="AB94" s="55">
        <v>0.99998474121093806</v>
      </c>
      <c r="AC94" s="45">
        <v>7.0999999999999994E-2</v>
      </c>
      <c r="AD94" s="45">
        <v>0.12565000000000001</v>
      </c>
      <c r="AE94" s="45">
        <v>-0.98019999999999996</v>
      </c>
      <c r="AF94" s="45">
        <v>75.555499999999995</v>
      </c>
      <c r="AG94" s="45">
        <v>207.26339999999999</v>
      </c>
      <c r="AH94" s="45" t="s">
        <v>60</v>
      </c>
      <c r="AI94" s="45" t="s">
        <v>60</v>
      </c>
      <c r="AJ94" s="45" t="s">
        <v>60</v>
      </c>
      <c r="AK94" s="45" t="s">
        <v>60</v>
      </c>
      <c r="AL94" s="45" t="s">
        <v>60</v>
      </c>
      <c r="AM94" s="45" t="s">
        <v>60</v>
      </c>
      <c r="AN94" s="45" t="s">
        <v>60</v>
      </c>
      <c r="AO94" s="45" t="s">
        <v>60</v>
      </c>
      <c r="AP94" s="45" t="s">
        <v>60</v>
      </c>
      <c r="AQ94" s="45" t="s">
        <v>60</v>
      </c>
      <c r="AR94" s="45" t="s">
        <v>60</v>
      </c>
      <c r="AS94" s="45">
        <v>-3.1996823399999998</v>
      </c>
      <c r="AT94" s="45">
        <v>-3.2002007099999998</v>
      </c>
      <c r="AU94" s="45">
        <v>-4.9805510999999996</v>
      </c>
      <c r="AV94" s="45">
        <v>-1.5600785100000001</v>
      </c>
      <c r="AW94" s="45">
        <v>0</v>
      </c>
      <c r="AX94" s="45">
        <v>0</v>
      </c>
      <c r="AY94" s="45">
        <v>169</v>
      </c>
      <c r="AZ94" s="45">
        <v>0</v>
      </c>
      <c r="BA94" s="45">
        <v>0</v>
      </c>
      <c r="BB94" s="45">
        <v>1</v>
      </c>
      <c r="BC94" s="45">
        <v>1</v>
      </c>
      <c r="BD94" s="54" t="s">
        <v>60</v>
      </c>
      <c r="BE94" s="44"/>
      <c r="BF94" s="53"/>
    </row>
    <row r="95" spans="1:58" x14ac:dyDescent="0.25">
      <c r="A95" s="48">
        <v>92</v>
      </c>
      <c r="B95" s="45" t="s">
        <v>307</v>
      </c>
      <c r="C95" s="45">
        <v>4.4748999999999999</v>
      </c>
      <c r="D95" s="45">
        <v>108</v>
      </c>
      <c r="E95" s="45">
        <v>64</v>
      </c>
      <c r="F95" s="45">
        <v>115</v>
      </c>
      <c r="G95" s="45">
        <v>34.282800000000002</v>
      </c>
      <c r="H95" s="45">
        <v>90</v>
      </c>
      <c r="I95" s="45">
        <v>43</v>
      </c>
      <c r="J95" s="45">
        <v>139</v>
      </c>
      <c r="K95" s="45">
        <v>223.08179999999999</v>
      </c>
      <c r="L95" s="45">
        <v>1</v>
      </c>
      <c r="M95" s="45">
        <v>25.25</v>
      </c>
      <c r="N95" s="45">
        <v>5.37</v>
      </c>
      <c r="O95" s="45">
        <v>1</v>
      </c>
      <c r="P95" s="45">
        <v>6.8540999999999999</v>
      </c>
      <c r="Q95" s="45">
        <v>-11.160600000000001</v>
      </c>
      <c r="R95" s="45">
        <v>0.74119999999999997</v>
      </c>
      <c r="S95" s="45">
        <v>-10.199200000000001</v>
      </c>
      <c r="T95" s="45">
        <v>0.76870000000000005</v>
      </c>
      <c r="U95" s="45">
        <v>-17.0352</v>
      </c>
      <c r="V95" s="45">
        <v>0.71279999999999999</v>
      </c>
      <c r="W95" s="45">
        <v>-4.1909000000000001</v>
      </c>
      <c r="X95" s="45">
        <v>0.68049999999999999</v>
      </c>
      <c r="Y95" s="45">
        <v>40</v>
      </c>
      <c r="Z95" s="45">
        <v>18</v>
      </c>
      <c r="AA95" s="45">
        <v>9.1370000000000005</v>
      </c>
      <c r="AB95" s="55">
        <v>4.5121093799999998E-2</v>
      </c>
      <c r="AC95" s="45">
        <v>7.1999999999999995E-2</v>
      </c>
      <c r="AD95" s="45">
        <v>0.12565000000000001</v>
      </c>
      <c r="AE95" s="45">
        <v>-2.1415000000000002</v>
      </c>
      <c r="AF95" s="45">
        <v>218.39760000000001</v>
      </c>
      <c r="AG95" s="45">
        <v>88.536100000000005</v>
      </c>
      <c r="AH95" s="45" t="s">
        <v>60</v>
      </c>
      <c r="AI95" s="45" t="s">
        <v>60</v>
      </c>
      <c r="AJ95" s="45" t="s">
        <v>60</v>
      </c>
      <c r="AK95" s="45" t="s">
        <v>60</v>
      </c>
      <c r="AL95" s="45" t="s">
        <v>60</v>
      </c>
      <c r="AM95" s="45" t="s">
        <v>60</v>
      </c>
      <c r="AN95" s="45" t="s">
        <v>60</v>
      </c>
      <c r="AO95" s="45" t="s">
        <v>60</v>
      </c>
      <c r="AP95" s="45" t="s">
        <v>60</v>
      </c>
      <c r="AQ95" s="45" t="s">
        <v>60</v>
      </c>
      <c r="AR95" s="45" t="s">
        <v>60</v>
      </c>
      <c r="AS95" s="45">
        <v>-9.6607076799999998</v>
      </c>
      <c r="AT95" s="45">
        <v>-9.3826868599999997</v>
      </c>
      <c r="AU95" s="45">
        <v>-11.405363039999999</v>
      </c>
      <c r="AV95" s="45">
        <v>-7.5567210500000002</v>
      </c>
      <c r="AW95" s="45">
        <v>0</v>
      </c>
      <c r="AX95" s="45">
        <v>0</v>
      </c>
      <c r="AY95" s="45">
        <v>169</v>
      </c>
      <c r="AZ95" s="45">
        <v>0</v>
      </c>
      <c r="BA95" s="45">
        <v>0</v>
      </c>
      <c r="BB95" s="45">
        <v>1</v>
      </c>
      <c r="BC95" s="45">
        <v>1</v>
      </c>
      <c r="BD95" s="54" t="s">
        <v>60</v>
      </c>
      <c r="BE95" s="44"/>
      <c r="BF95" s="53"/>
    </row>
    <row r="96" spans="1:58" x14ac:dyDescent="0.25">
      <c r="A96" s="48">
        <v>93</v>
      </c>
      <c r="B96" s="45" t="s">
        <v>308</v>
      </c>
      <c r="C96" s="45">
        <v>8.8000000000000007</v>
      </c>
      <c r="D96" s="45">
        <v>79</v>
      </c>
      <c r="E96" s="45">
        <v>113</v>
      </c>
      <c r="F96" s="45">
        <v>109</v>
      </c>
      <c r="G96" s="45">
        <v>78.364900000000006</v>
      </c>
      <c r="H96" s="45">
        <v>212</v>
      </c>
      <c r="I96" s="45">
        <v>217</v>
      </c>
      <c r="J96" s="45">
        <v>99</v>
      </c>
      <c r="K96" s="45">
        <v>35.844799999999999</v>
      </c>
      <c r="L96" s="45">
        <v>1</v>
      </c>
      <c r="M96" s="45">
        <v>25.35</v>
      </c>
      <c r="N96" s="45">
        <v>5.51</v>
      </c>
      <c r="O96" s="45">
        <v>0.53349999999999997</v>
      </c>
      <c r="P96" s="45">
        <v>6.5190999999999999</v>
      </c>
      <c r="Q96" s="45">
        <v>-11.748000000000001</v>
      </c>
      <c r="R96" s="45">
        <v>0.74399999999999999</v>
      </c>
      <c r="S96" s="45">
        <v>-10.736000000000001</v>
      </c>
      <c r="T96" s="45">
        <v>0.72</v>
      </c>
      <c r="U96" s="45">
        <v>-14.196</v>
      </c>
      <c r="V96" s="45">
        <v>0.71779999999999999</v>
      </c>
      <c r="W96" s="45">
        <v>-4.7896000000000001</v>
      </c>
      <c r="X96" s="45">
        <v>0.68199999999999994</v>
      </c>
      <c r="Y96" s="45">
        <v>41</v>
      </c>
      <c r="Z96" s="45">
        <v>19</v>
      </c>
      <c r="AA96" s="45">
        <v>9.5347000000000008</v>
      </c>
      <c r="AB96" s="45">
        <v>0.84499999999999997</v>
      </c>
      <c r="AC96" s="55">
        <v>2.5000000000000001E-2</v>
      </c>
      <c r="AD96" s="45">
        <v>0.12565000000000001</v>
      </c>
      <c r="AE96" s="45">
        <v>3.0259</v>
      </c>
      <c r="AF96" s="45">
        <v>-105.9348</v>
      </c>
      <c r="AG96" s="45">
        <v>-98.699100000000001</v>
      </c>
      <c r="AH96" s="45" t="s">
        <v>60</v>
      </c>
      <c r="AI96" s="45" t="s">
        <v>60</v>
      </c>
      <c r="AJ96" s="45" t="s">
        <v>60</v>
      </c>
      <c r="AK96" s="45" t="s">
        <v>60</v>
      </c>
      <c r="AL96" s="45" t="s">
        <v>60</v>
      </c>
      <c r="AM96" s="45" t="s">
        <v>60</v>
      </c>
      <c r="AN96" s="45" t="s">
        <v>60</v>
      </c>
      <c r="AO96" s="45" t="s">
        <v>60</v>
      </c>
      <c r="AP96" s="45" t="s">
        <v>60</v>
      </c>
      <c r="AQ96" s="45" t="s">
        <v>60</v>
      </c>
      <c r="AR96" s="45" t="s">
        <v>60</v>
      </c>
      <c r="AS96" s="45">
        <v>-10.101304799999999</v>
      </c>
      <c r="AT96" s="45">
        <v>-9.8710640000000005</v>
      </c>
      <c r="AU96" s="45">
        <v>-10.85011886</v>
      </c>
      <c r="AV96" s="45">
        <v>-8.0257582000000003</v>
      </c>
      <c r="AW96" s="45">
        <v>0</v>
      </c>
      <c r="AX96" s="45">
        <v>0</v>
      </c>
      <c r="AY96" s="45">
        <v>169</v>
      </c>
      <c r="AZ96" s="45">
        <v>0</v>
      </c>
      <c r="BA96" s="45">
        <v>0</v>
      </c>
      <c r="BB96" s="45">
        <v>1</v>
      </c>
      <c r="BC96" s="45">
        <v>1</v>
      </c>
      <c r="BD96" s="54" t="s">
        <v>60</v>
      </c>
      <c r="BE96" s="44"/>
      <c r="BF96" s="53"/>
    </row>
    <row r="97" spans="1:58" x14ac:dyDescent="0.25">
      <c r="A97" s="48">
        <v>94</v>
      </c>
      <c r="B97" s="45" t="s">
        <v>309</v>
      </c>
      <c r="C97" s="45">
        <v>1.3434999999999999</v>
      </c>
      <c r="D97" s="45">
        <v>197</v>
      </c>
      <c r="E97" s="45">
        <v>175</v>
      </c>
      <c r="F97" s="45">
        <v>117</v>
      </c>
      <c r="G97" s="45">
        <v>163.76750000000001</v>
      </c>
      <c r="H97" s="45">
        <v>133</v>
      </c>
      <c r="I97" s="45">
        <v>65</v>
      </c>
      <c r="J97" s="45">
        <v>15</v>
      </c>
      <c r="K97" s="45">
        <v>37.447699999999998</v>
      </c>
      <c r="L97" s="45">
        <v>1</v>
      </c>
      <c r="M97" s="45">
        <v>25.45</v>
      </c>
      <c r="N97" s="45">
        <v>5.65</v>
      </c>
      <c r="O97" s="45">
        <v>1</v>
      </c>
      <c r="P97" s="45">
        <v>8.8000000000000007</v>
      </c>
      <c r="Q97" s="45">
        <v>-12.3354</v>
      </c>
      <c r="R97" s="45">
        <v>0.75639999999999996</v>
      </c>
      <c r="S97" s="45">
        <v>-11.272800000000002</v>
      </c>
      <c r="T97" s="45">
        <v>0.73199999999999998</v>
      </c>
      <c r="U97" s="45">
        <v>-14.905799999999999</v>
      </c>
      <c r="V97" s="45">
        <v>0.7228</v>
      </c>
      <c r="W97" s="45">
        <v>-5.3883000000000001</v>
      </c>
      <c r="X97" s="45">
        <v>0.69299999999999995</v>
      </c>
      <c r="Y97" s="45">
        <v>42</v>
      </c>
      <c r="Z97" s="45">
        <v>20</v>
      </c>
      <c r="AA97" s="45">
        <v>7.6635</v>
      </c>
      <c r="AB97" s="45">
        <v>0.60880000000000001</v>
      </c>
      <c r="AC97" s="55">
        <v>7.4999999999999997E-2</v>
      </c>
      <c r="AD97" s="45">
        <v>0.12565000000000001</v>
      </c>
      <c r="AE97" s="45">
        <v>-4.7394999999999996</v>
      </c>
      <c r="AF97" s="45">
        <v>85.918599999999998</v>
      </c>
      <c r="AG97" s="45">
        <v>-29.054099999999998</v>
      </c>
      <c r="AH97" s="45" t="s">
        <v>60</v>
      </c>
      <c r="AI97" s="45" t="s">
        <v>60</v>
      </c>
      <c r="AJ97" s="45" t="s">
        <v>60</v>
      </c>
      <c r="AK97" s="45" t="s">
        <v>60</v>
      </c>
      <c r="AL97" s="45" t="s">
        <v>60</v>
      </c>
      <c r="AM97" s="45" t="s">
        <v>60</v>
      </c>
      <c r="AN97" s="45" t="s">
        <v>60</v>
      </c>
      <c r="AO97" s="45" t="s">
        <v>60</v>
      </c>
      <c r="AP97" s="45" t="s">
        <v>60</v>
      </c>
      <c r="AQ97" s="45" t="s">
        <v>60</v>
      </c>
      <c r="AR97" s="45" t="s">
        <v>60</v>
      </c>
      <c r="AS97" s="45">
        <v>-8.8015748400000007</v>
      </c>
      <c r="AT97" s="45">
        <v>-8.6307924000000007</v>
      </c>
      <c r="AU97" s="45">
        <v>1.4072900399999999</v>
      </c>
      <c r="AV97" s="45">
        <v>3.6565973999999999</v>
      </c>
      <c r="AW97" s="45">
        <v>0</v>
      </c>
      <c r="AX97" s="45">
        <v>0</v>
      </c>
      <c r="AY97" s="45">
        <v>169</v>
      </c>
      <c r="AZ97" s="45">
        <v>0</v>
      </c>
      <c r="BA97" s="45">
        <v>0</v>
      </c>
      <c r="BB97" s="45">
        <v>1</v>
      </c>
      <c r="BC97" s="45">
        <v>1</v>
      </c>
      <c r="BD97" s="54" t="s">
        <v>60</v>
      </c>
      <c r="BE97" s="44"/>
      <c r="BF97" s="53"/>
    </row>
    <row r="98" spans="1:58" x14ac:dyDescent="0.25">
      <c r="A98" s="48">
        <v>95</v>
      </c>
      <c r="B98" s="45" t="s">
        <v>310</v>
      </c>
      <c r="C98" s="45">
        <v>3.9929000000000001</v>
      </c>
      <c r="D98" s="45">
        <v>50</v>
      </c>
      <c r="E98" s="45">
        <v>242</v>
      </c>
      <c r="F98" s="45">
        <v>41</v>
      </c>
      <c r="G98" s="45">
        <v>242.92609999999999</v>
      </c>
      <c r="H98" s="45">
        <v>67</v>
      </c>
      <c r="I98" s="45">
        <v>36</v>
      </c>
      <c r="J98" s="45">
        <v>30</v>
      </c>
      <c r="K98" s="45">
        <v>191.2758</v>
      </c>
      <c r="L98" s="45">
        <v>1</v>
      </c>
      <c r="M98" s="45">
        <v>25.55</v>
      </c>
      <c r="N98" s="45">
        <v>5.79</v>
      </c>
      <c r="O98" s="45">
        <v>0.90859999999999996</v>
      </c>
      <c r="P98" s="45">
        <v>8.8000000000000007</v>
      </c>
      <c r="Q98" s="45">
        <v>-12.922800000000001</v>
      </c>
      <c r="R98" s="45">
        <v>0.76879999999999993</v>
      </c>
      <c r="S98" s="45">
        <v>-11.809600000000001</v>
      </c>
      <c r="T98" s="45">
        <v>0.74399999999999999</v>
      </c>
      <c r="U98" s="45">
        <v>-15.615600000000001</v>
      </c>
      <c r="V98" s="45">
        <v>0.7278</v>
      </c>
      <c r="W98" s="45">
        <v>-5.9870000000000001</v>
      </c>
      <c r="X98" s="45">
        <v>0.70399999999999996</v>
      </c>
      <c r="Y98" s="45">
        <v>43</v>
      </c>
      <c r="Z98" s="45">
        <v>21</v>
      </c>
      <c r="AA98" s="45">
        <v>13.998900000000001</v>
      </c>
      <c r="AB98" s="45">
        <v>0.99998474121093806</v>
      </c>
      <c r="AC98" s="55">
        <v>5.5E-2</v>
      </c>
      <c r="AD98" s="45">
        <v>0.12565000000000001</v>
      </c>
      <c r="AE98" s="45">
        <v>-5.8160999999999996</v>
      </c>
      <c r="AF98" s="45">
        <v>172.47739999999999</v>
      </c>
      <c r="AG98" s="45">
        <v>108.1301</v>
      </c>
      <c r="AH98" s="45" t="s">
        <v>60</v>
      </c>
      <c r="AI98" s="45" t="s">
        <v>60</v>
      </c>
      <c r="AJ98" s="45" t="s">
        <v>60</v>
      </c>
      <c r="AK98" s="45" t="s">
        <v>60</v>
      </c>
      <c r="AL98" s="45" t="s">
        <v>60</v>
      </c>
      <c r="AM98" s="45" t="s">
        <v>60</v>
      </c>
      <c r="AN98" s="45" t="s">
        <v>60</v>
      </c>
      <c r="AO98" s="45" t="s">
        <v>60</v>
      </c>
      <c r="AP98" s="45" t="s">
        <v>60</v>
      </c>
      <c r="AQ98" s="45" t="s">
        <v>60</v>
      </c>
      <c r="AR98" s="45" t="s">
        <v>60</v>
      </c>
      <c r="AS98" s="45">
        <v>-12.9665206788373</v>
      </c>
      <c r="AT98" s="45">
        <v>-12.6801311343586</v>
      </c>
      <c r="AU98" s="45">
        <v>-14.43896574</v>
      </c>
      <c r="AV98" s="45">
        <v>-11.627377600000001</v>
      </c>
      <c r="AW98" s="45">
        <v>0</v>
      </c>
      <c r="AX98" s="45">
        <v>0</v>
      </c>
      <c r="AY98" s="45">
        <v>169</v>
      </c>
      <c r="AZ98" s="45">
        <v>0</v>
      </c>
      <c r="BA98" s="45">
        <v>0</v>
      </c>
      <c r="BB98" s="45">
        <v>1</v>
      </c>
      <c r="BC98" s="45">
        <v>1</v>
      </c>
      <c r="BD98" s="54" t="s">
        <v>60</v>
      </c>
      <c r="BE98" s="44"/>
      <c r="BF98" s="53"/>
    </row>
    <row r="99" spans="1:58" x14ac:dyDescent="0.25">
      <c r="A99" s="48">
        <v>96</v>
      </c>
      <c r="B99" s="45" t="s">
        <v>311</v>
      </c>
      <c r="C99" s="45">
        <v>3.0952000000000002</v>
      </c>
      <c r="D99" s="45">
        <v>239</v>
      </c>
      <c r="E99" s="45">
        <v>228</v>
      </c>
      <c r="F99" s="45">
        <v>152</v>
      </c>
      <c r="G99" s="45">
        <v>50.414000000000001</v>
      </c>
      <c r="H99" s="45">
        <v>9</v>
      </c>
      <c r="I99" s="45">
        <v>220</v>
      </c>
      <c r="J99" s="45">
        <v>170</v>
      </c>
      <c r="K99" s="45">
        <v>53.943600000000004</v>
      </c>
      <c r="L99" s="45">
        <v>0.77270000000000005</v>
      </c>
      <c r="M99" s="45">
        <v>25.65</v>
      </c>
      <c r="N99" s="45">
        <v>5.93</v>
      </c>
      <c r="O99" s="45">
        <v>0.29649999999999999</v>
      </c>
      <c r="P99" s="45">
        <v>8.8000000000000007</v>
      </c>
      <c r="Q99" s="45">
        <v>-13.510200000000001</v>
      </c>
      <c r="R99" s="45">
        <v>0.78120000000000001</v>
      </c>
      <c r="S99" s="45">
        <v>-12.346400000000001</v>
      </c>
      <c r="T99" s="45">
        <v>0.75600000000000001</v>
      </c>
      <c r="U99" s="45">
        <v>-16.325399999999998</v>
      </c>
      <c r="V99" s="45">
        <v>0.72450000000000003</v>
      </c>
      <c r="W99" s="45">
        <v>-6.5857000000000001</v>
      </c>
      <c r="X99" s="45">
        <v>0.71499999999999997</v>
      </c>
      <c r="Y99" s="45">
        <v>44</v>
      </c>
      <c r="Z99" s="45">
        <v>22</v>
      </c>
      <c r="AA99" s="45">
        <v>17.7654</v>
      </c>
      <c r="AB99" s="45">
        <v>0.99998474121093806</v>
      </c>
      <c r="AC99" s="45">
        <v>7.4999999999999997E-2</v>
      </c>
      <c r="AD99" s="55">
        <v>5.0000000000000001E-3</v>
      </c>
      <c r="AE99" s="45">
        <v>-0.38030000000000003</v>
      </c>
      <c r="AF99" s="45">
        <v>-116.6185</v>
      </c>
      <c r="AG99" s="45">
        <v>-156.59280000000001</v>
      </c>
      <c r="AH99" s="45" t="s">
        <v>60</v>
      </c>
      <c r="AI99" s="45" t="s">
        <v>60</v>
      </c>
      <c r="AJ99" s="45" t="s">
        <v>60</v>
      </c>
      <c r="AK99" s="45" t="s">
        <v>60</v>
      </c>
      <c r="AL99" s="45" t="s">
        <v>60</v>
      </c>
      <c r="AM99" s="45" t="s">
        <v>60</v>
      </c>
      <c r="AN99" s="45" t="s">
        <v>60</v>
      </c>
      <c r="AO99" s="45" t="s">
        <v>60</v>
      </c>
      <c r="AP99" s="45" t="s">
        <v>60</v>
      </c>
      <c r="AQ99" s="45" t="s">
        <v>60</v>
      </c>
      <c r="AR99" s="45" t="s">
        <v>60</v>
      </c>
      <c r="AS99" s="45">
        <v>2.0689950410155702</v>
      </c>
      <c r="AT99" s="45">
        <v>1.85040756227313</v>
      </c>
      <c r="AU99" s="45">
        <v>-17.368680000000001</v>
      </c>
      <c r="AV99" s="45">
        <v>-14.579185499999999</v>
      </c>
      <c r="AW99" s="45">
        <v>0</v>
      </c>
      <c r="AX99" s="45">
        <v>0</v>
      </c>
      <c r="AY99" s="45">
        <v>169</v>
      </c>
      <c r="AZ99" s="45">
        <v>0</v>
      </c>
      <c r="BA99" s="45">
        <v>0</v>
      </c>
      <c r="BB99" s="45">
        <v>1</v>
      </c>
      <c r="BC99" s="45">
        <v>1</v>
      </c>
      <c r="BD99" s="54" t="s">
        <v>60</v>
      </c>
      <c r="BE99" s="44"/>
      <c r="BF99" s="53"/>
    </row>
    <row r="100" spans="1:58" x14ac:dyDescent="0.25">
      <c r="A100" s="48">
        <v>97</v>
      </c>
      <c r="B100" s="45" t="s">
        <v>312</v>
      </c>
      <c r="C100" s="45">
        <v>6.0864000000000003</v>
      </c>
      <c r="D100" s="45">
        <v>96</v>
      </c>
      <c r="E100" s="45">
        <v>207</v>
      </c>
      <c r="F100" s="45">
        <v>216</v>
      </c>
      <c r="G100" s="45">
        <v>100.8717</v>
      </c>
      <c r="H100" s="45">
        <v>104</v>
      </c>
      <c r="I100" s="45">
        <v>128</v>
      </c>
      <c r="J100" s="45">
        <v>15</v>
      </c>
      <c r="K100" s="45">
        <v>105.2963</v>
      </c>
      <c r="L100" s="45">
        <v>0.28699999999999998</v>
      </c>
      <c r="M100" s="45">
        <v>25.75</v>
      </c>
      <c r="N100" s="45">
        <v>6.07</v>
      </c>
      <c r="O100" s="45">
        <v>1</v>
      </c>
      <c r="P100" s="45">
        <v>2.919</v>
      </c>
      <c r="Q100" s="45">
        <v>-14.0976</v>
      </c>
      <c r="R100" s="45">
        <v>0.79359999999999997</v>
      </c>
      <c r="S100" s="45">
        <v>-12.883200000000002</v>
      </c>
      <c r="T100" s="45">
        <v>0.76800000000000002</v>
      </c>
      <c r="U100" s="45">
        <v>-17.0352</v>
      </c>
      <c r="V100" s="45">
        <v>0.73599999999999999</v>
      </c>
      <c r="W100" s="45">
        <v>-7.1844000000000001</v>
      </c>
      <c r="X100" s="45">
        <v>0.72599999999999998</v>
      </c>
      <c r="Y100" s="45">
        <v>45</v>
      </c>
      <c r="Z100" s="45">
        <v>23</v>
      </c>
      <c r="AA100" s="45">
        <v>10.3354</v>
      </c>
      <c r="AB100" s="45">
        <v>0.99998474121093806</v>
      </c>
      <c r="AC100" s="45">
        <v>5.91E-2</v>
      </c>
      <c r="AD100" s="55">
        <v>0.12565000000000001</v>
      </c>
      <c r="AE100" s="45">
        <v>3.4323000000000001</v>
      </c>
      <c r="AF100" s="45">
        <v>-180.88409999999999</v>
      </c>
      <c r="AG100" s="45">
        <v>169.5248</v>
      </c>
      <c r="AH100" s="45" t="s">
        <v>60</v>
      </c>
      <c r="AI100" s="45" t="s">
        <v>60</v>
      </c>
      <c r="AJ100" s="45" t="s">
        <v>60</v>
      </c>
      <c r="AK100" s="45" t="s">
        <v>60</v>
      </c>
      <c r="AL100" s="45" t="s">
        <v>60</v>
      </c>
      <c r="AM100" s="45" t="s">
        <v>60</v>
      </c>
      <c r="AN100" s="45" t="s">
        <v>60</v>
      </c>
      <c r="AO100" s="45" t="s">
        <v>60</v>
      </c>
      <c r="AP100" s="45" t="s">
        <v>60</v>
      </c>
      <c r="AQ100" s="45" t="s">
        <v>60</v>
      </c>
      <c r="AR100" s="45" t="s">
        <v>60</v>
      </c>
      <c r="AS100" s="45">
        <v>5.2924287999999997</v>
      </c>
      <c r="AT100" s="45">
        <v>4.9486847999999997</v>
      </c>
      <c r="AU100" s="45">
        <v>-9.7248018768162101</v>
      </c>
      <c r="AV100" s="45">
        <v>-7.12500873827251</v>
      </c>
      <c r="AW100" s="45">
        <v>0</v>
      </c>
      <c r="AX100" s="45">
        <v>0</v>
      </c>
      <c r="AY100" s="45">
        <v>169</v>
      </c>
      <c r="AZ100" s="45">
        <v>0</v>
      </c>
      <c r="BA100" s="45">
        <v>0</v>
      </c>
      <c r="BB100" s="45">
        <v>1</v>
      </c>
      <c r="BC100" s="45">
        <v>1</v>
      </c>
      <c r="BD100" s="54" t="s">
        <v>60</v>
      </c>
      <c r="BE100" s="44"/>
      <c r="BF100" s="53"/>
    </row>
    <row r="101" spans="1:58" x14ac:dyDescent="0.25">
      <c r="A101" s="48">
        <v>98</v>
      </c>
      <c r="B101" s="45" t="s">
        <v>313</v>
      </c>
      <c r="C101" s="45">
        <v>2.2686999999999999</v>
      </c>
      <c r="D101" s="45">
        <v>4</v>
      </c>
      <c r="E101" s="45">
        <v>249</v>
      </c>
      <c r="F101" s="45">
        <v>229</v>
      </c>
      <c r="G101" s="45">
        <v>197.29660000000001</v>
      </c>
      <c r="H101" s="45">
        <v>46</v>
      </c>
      <c r="I101" s="45">
        <v>90</v>
      </c>
      <c r="J101" s="45">
        <v>53</v>
      </c>
      <c r="K101" s="45">
        <v>201.73249999999999</v>
      </c>
      <c r="L101" s="45">
        <v>1</v>
      </c>
      <c r="M101" s="45">
        <v>25.850000000000101</v>
      </c>
      <c r="N101" s="45">
        <v>6.21</v>
      </c>
      <c r="O101" s="45">
        <v>0.26800000000000002</v>
      </c>
      <c r="P101" s="45">
        <v>2.1067999999999998</v>
      </c>
      <c r="Q101" s="45">
        <v>-14.685</v>
      </c>
      <c r="R101" s="45">
        <v>0.80599999999999994</v>
      </c>
      <c r="S101" s="45">
        <v>-13.420000000000002</v>
      </c>
      <c r="T101" s="45">
        <v>0.78</v>
      </c>
      <c r="U101" s="45">
        <v>-17.745000000000001</v>
      </c>
      <c r="V101" s="45">
        <v>0.74749999999999994</v>
      </c>
      <c r="W101" s="45">
        <v>-7.7831000000000001</v>
      </c>
      <c r="X101" s="45">
        <v>0.73699999999999999</v>
      </c>
      <c r="Y101" s="45">
        <v>46</v>
      </c>
      <c r="Z101" s="45">
        <v>24</v>
      </c>
      <c r="AA101" s="45">
        <v>14.454000000000001</v>
      </c>
      <c r="AB101" s="45">
        <v>0.99998474121093806</v>
      </c>
      <c r="AC101" s="45">
        <v>5.8099999999999999E-2</v>
      </c>
      <c r="AD101" s="55">
        <v>7.4999999999999997E-3</v>
      </c>
      <c r="AE101" s="45">
        <v>0.22159999999999999</v>
      </c>
      <c r="AF101" s="45">
        <v>133.01</v>
      </c>
      <c r="AG101" s="45">
        <v>-203.9873</v>
      </c>
      <c r="AH101" s="45" t="s">
        <v>60</v>
      </c>
      <c r="AI101" s="45" t="s">
        <v>60</v>
      </c>
      <c r="AJ101" s="45" t="s">
        <v>60</v>
      </c>
      <c r="AK101" s="45" t="s">
        <v>60</v>
      </c>
      <c r="AL101" s="45" t="s">
        <v>60</v>
      </c>
      <c r="AM101" s="45" t="s">
        <v>60</v>
      </c>
      <c r="AN101" s="45" t="s">
        <v>60</v>
      </c>
      <c r="AO101" s="45" t="s">
        <v>60</v>
      </c>
      <c r="AP101" s="45" t="s">
        <v>60</v>
      </c>
      <c r="AQ101" s="45" t="s">
        <v>60</v>
      </c>
      <c r="AR101" s="45" t="s">
        <v>60</v>
      </c>
      <c r="AS101" s="45">
        <v>1.45794726590432</v>
      </c>
      <c r="AT101" s="45">
        <v>1.21550703152031</v>
      </c>
      <c r="AU101" s="45">
        <v>-15.2849775</v>
      </c>
      <c r="AV101" s="45">
        <v>-12.6995533</v>
      </c>
      <c r="AW101" s="45">
        <v>0</v>
      </c>
      <c r="AX101" s="45">
        <v>0</v>
      </c>
      <c r="AY101" s="45">
        <v>169</v>
      </c>
      <c r="AZ101" s="45">
        <v>0</v>
      </c>
      <c r="BA101" s="45">
        <v>0</v>
      </c>
      <c r="BB101" s="45">
        <v>1</v>
      </c>
      <c r="BC101" s="45">
        <v>1</v>
      </c>
      <c r="BD101" s="54" t="s">
        <v>60</v>
      </c>
      <c r="BE101" s="44"/>
      <c r="BF101" s="53"/>
    </row>
    <row r="102" spans="1:58" x14ac:dyDescent="0.25">
      <c r="A102" s="48">
        <v>99</v>
      </c>
      <c r="B102" s="45" t="s">
        <v>314</v>
      </c>
      <c r="C102" s="45">
        <v>6.5045999999999999</v>
      </c>
      <c r="D102" s="45">
        <v>96</v>
      </c>
      <c r="E102" s="45">
        <v>44</v>
      </c>
      <c r="F102" s="45">
        <v>7</v>
      </c>
      <c r="G102" s="45">
        <v>152.93989999999999</v>
      </c>
      <c r="H102" s="45">
        <v>95</v>
      </c>
      <c r="I102" s="45">
        <v>233</v>
      </c>
      <c r="J102" s="45">
        <v>113</v>
      </c>
      <c r="K102" s="45">
        <v>149.25309999999999</v>
      </c>
      <c r="L102" s="45">
        <v>1</v>
      </c>
      <c r="M102" s="45">
        <v>25.95</v>
      </c>
      <c r="N102" s="45">
        <v>6.35</v>
      </c>
      <c r="O102" s="45">
        <v>0.16689999999999999</v>
      </c>
      <c r="P102" s="45">
        <v>6.4617000000000004</v>
      </c>
      <c r="Q102" s="45">
        <v>-15.272400000000001</v>
      </c>
      <c r="R102" s="45">
        <v>0.80959999999999999</v>
      </c>
      <c r="S102" s="45">
        <v>-13.956800000000001</v>
      </c>
      <c r="T102" s="45">
        <v>0.78090000000000004</v>
      </c>
      <c r="U102" s="45">
        <v>-18.454799999999999</v>
      </c>
      <c r="V102" s="45">
        <v>0.74909999999999999</v>
      </c>
      <c r="W102" s="45">
        <v>-8.3818000000000001</v>
      </c>
      <c r="X102" s="45">
        <v>0.7399</v>
      </c>
      <c r="Y102" s="45">
        <v>47</v>
      </c>
      <c r="Z102" s="45">
        <v>25</v>
      </c>
      <c r="AA102" s="45">
        <v>13.299300000000001</v>
      </c>
      <c r="AB102" s="45">
        <v>0.99998474121093806</v>
      </c>
      <c r="AC102" s="45">
        <v>5.7099999999999998E-2</v>
      </c>
      <c r="AD102" s="45">
        <v>0.12565000000000001</v>
      </c>
      <c r="AE102" s="55">
        <v>-8.8000000000000007</v>
      </c>
      <c r="AF102" s="45">
        <v>-207.27699999999999</v>
      </c>
      <c r="AG102" s="45">
        <v>176.9641</v>
      </c>
      <c r="AH102" s="45" t="s">
        <v>60</v>
      </c>
      <c r="AI102" s="45" t="s">
        <v>60</v>
      </c>
      <c r="AJ102" s="45" t="s">
        <v>60</v>
      </c>
      <c r="AK102" s="45" t="s">
        <v>60</v>
      </c>
      <c r="AL102" s="45" t="s">
        <v>60</v>
      </c>
      <c r="AM102" s="45" t="s">
        <v>60</v>
      </c>
      <c r="AN102" s="45" t="s">
        <v>60</v>
      </c>
      <c r="AO102" s="45" t="s">
        <v>60</v>
      </c>
      <c r="AP102" s="45" t="s">
        <v>60</v>
      </c>
      <c r="AQ102" s="45" t="s">
        <v>60</v>
      </c>
      <c r="AR102" s="45" t="s">
        <v>60</v>
      </c>
      <c r="AS102" s="45">
        <v>7.8592483199999998</v>
      </c>
      <c r="AT102" s="45">
        <v>7.3274884900000004</v>
      </c>
      <c r="AU102" s="45">
        <v>-10.0228625483009</v>
      </c>
      <c r="AV102" s="45">
        <v>-7.5064312816150798</v>
      </c>
      <c r="AW102" s="45">
        <v>3</v>
      </c>
      <c r="AX102" s="45">
        <v>0</v>
      </c>
      <c r="AY102" s="45">
        <v>0</v>
      </c>
      <c r="AZ102" s="45">
        <v>0</v>
      </c>
      <c r="BA102" s="45">
        <v>0</v>
      </c>
      <c r="BB102" s="45">
        <v>1</v>
      </c>
      <c r="BC102" s="45">
        <v>0</v>
      </c>
      <c r="BD102" s="54" t="s">
        <v>60</v>
      </c>
      <c r="BE102" s="44"/>
      <c r="BF102" s="53"/>
    </row>
    <row r="103" spans="1:58" x14ac:dyDescent="0.25">
      <c r="A103" s="48">
        <v>100</v>
      </c>
      <c r="B103" s="45" t="s">
        <v>315</v>
      </c>
      <c r="C103" s="45">
        <v>8.2981999999999996</v>
      </c>
      <c r="D103" s="45">
        <v>229</v>
      </c>
      <c r="E103" s="45">
        <v>44</v>
      </c>
      <c r="F103" s="45">
        <v>176</v>
      </c>
      <c r="G103" s="45">
        <v>100.3186</v>
      </c>
      <c r="H103" s="45">
        <v>175</v>
      </c>
      <c r="I103" s="45">
        <v>151</v>
      </c>
      <c r="J103" s="45">
        <v>165</v>
      </c>
      <c r="K103" s="45">
        <v>145.2663</v>
      </c>
      <c r="L103" s="45">
        <v>0.72040000000000004</v>
      </c>
      <c r="M103" s="45">
        <v>26.0500000000001</v>
      </c>
      <c r="N103" s="45">
        <v>6.49</v>
      </c>
      <c r="O103" s="45">
        <v>1</v>
      </c>
      <c r="P103" s="45">
        <v>1.7297</v>
      </c>
      <c r="Q103" s="45">
        <v>-15.859800000000002</v>
      </c>
      <c r="R103" s="45">
        <v>0.81459999999999999</v>
      </c>
      <c r="S103" s="45">
        <v>-14.493600000000001</v>
      </c>
      <c r="T103" s="45">
        <v>0.78910000000000002</v>
      </c>
      <c r="U103" s="45">
        <v>-19.1646</v>
      </c>
      <c r="V103" s="45">
        <v>0.75280000000000002</v>
      </c>
      <c r="W103" s="45">
        <v>-8.9804999999999993</v>
      </c>
      <c r="X103" s="45">
        <v>0.74250000000000005</v>
      </c>
      <c r="Y103" s="45">
        <v>48</v>
      </c>
      <c r="Z103" s="45">
        <v>26</v>
      </c>
      <c r="AA103" s="45">
        <v>8.0975999999999999</v>
      </c>
      <c r="AB103" s="45">
        <v>0.17399999999999999</v>
      </c>
      <c r="AC103" s="45">
        <v>5.6099999999999997E-2</v>
      </c>
      <c r="AD103" s="45">
        <v>0.12565000000000001</v>
      </c>
      <c r="AE103" s="55">
        <v>8.8000000000000007</v>
      </c>
      <c r="AF103" s="45">
        <v>84.335099999999997</v>
      </c>
      <c r="AG103" s="45">
        <v>-207.94820000000001</v>
      </c>
      <c r="AH103" s="45" t="s">
        <v>60</v>
      </c>
      <c r="AI103" s="45" t="s">
        <v>60</v>
      </c>
      <c r="AJ103" s="45" t="s">
        <v>60</v>
      </c>
      <c r="AK103" s="45" t="s">
        <v>60</v>
      </c>
      <c r="AL103" s="45" t="s">
        <v>60</v>
      </c>
      <c r="AM103" s="45" t="s">
        <v>60</v>
      </c>
      <c r="AN103" s="45" t="s">
        <v>60</v>
      </c>
      <c r="AO103" s="45" t="s">
        <v>60</v>
      </c>
      <c r="AP103" s="45" t="s">
        <v>60</v>
      </c>
      <c r="AQ103" s="45" t="s">
        <v>60</v>
      </c>
      <c r="AR103" s="45" t="s">
        <v>60</v>
      </c>
      <c r="AS103" s="45">
        <v>3.6558980399999998</v>
      </c>
      <c r="AT103" s="45">
        <v>3.33311592</v>
      </c>
      <c r="AU103" s="45">
        <v>-10.8333624</v>
      </c>
      <c r="AV103" s="45">
        <v>-8.3249467500000005</v>
      </c>
      <c r="AW103" s="45">
        <v>4</v>
      </c>
      <c r="AX103" s="45">
        <v>0</v>
      </c>
      <c r="AY103" s="45">
        <v>0</v>
      </c>
      <c r="AZ103" s="45">
        <v>0</v>
      </c>
      <c r="BA103" s="45">
        <v>0</v>
      </c>
      <c r="BB103" s="45">
        <v>1</v>
      </c>
      <c r="BC103" s="45">
        <v>0</v>
      </c>
      <c r="BD103" s="54" t="s">
        <v>60</v>
      </c>
      <c r="BE103" s="44"/>
      <c r="BF103" s="53"/>
    </row>
    <row r="104" spans="1:58" x14ac:dyDescent="0.25">
      <c r="A104" s="48">
        <v>101</v>
      </c>
      <c r="B104" s="45" t="s">
        <v>316</v>
      </c>
      <c r="C104" s="45">
        <v>7.2632000000000003</v>
      </c>
      <c r="D104" s="45">
        <v>61</v>
      </c>
      <c r="E104" s="45">
        <v>84</v>
      </c>
      <c r="F104" s="45">
        <v>183</v>
      </c>
      <c r="G104" s="45">
        <v>172.06970000000001</v>
      </c>
      <c r="H104" s="45">
        <v>200</v>
      </c>
      <c r="I104" s="45">
        <v>108</v>
      </c>
      <c r="J104" s="45">
        <v>129</v>
      </c>
      <c r="K104" s="45">
        <v>249.3142</v>
      </c>
      <c r="L104" s="45">
        <v>1</v>
      </c>
      <c r="M104" s="45">
        <v>26.15</v>
      </c>
      <c r="N104" s="45">
        <v>6.6300000000000097</v>
      </c>
      <c r="O104" s="45">
        <v>1</v>
      </c>
      <c r="P104" s="45">
        <v>7.4650999999999996</v>
      </c>
      <c r="Q104" s="45">
        <v>-16.447200000000002</v>
      </c>
      <c r="R104" s="45">
        <v>0.81840000000000002</v>
      </c>
      <c r="S104" s="45">
        <v>-15.030400000000002</v>
      </c>
      <c r="T104" s="45">
        <v>0.79200000000000004</v>
      </c>
      <c r="U104" s="45">
        <v>-19.874400000000001</v>
      </c>
      <c r="V104" s="45">
        <v>0.75900000000000001</v>
      </c>
      <c r="W104" s="45">
        <v>-20.954499999999999</v>
      </c>
      <c r="X104" s="45">
        <v>0.74509999999999998</v>
      </c>
      <c r="Y104" s="45">
        <v>49</v>
      </c>
      <c r="Z104" s="45">
        <v>27</v>
      </c>
      <c r="AA104" s="45">
        <v>16.887699999999999</v>
      </c>
      <c r="AB104" s="45">
        <v>0.99998474121093806</v>
      </c>
      <c r="AC104" s="45">
        <v>5.5100000000000003E-2</v>
      </c>
      <c r="AD104" s="45">
        <v>0.12565000000000001</v>
      </c>
      <c r="AE104" s="55">
        <v>4.4000000000000004</v>
      </c>
      <c r="AF104" s="45">
        <v>-63.5672</v>
      </c>
      <c r="AG104" s="45">
        <v>-31.599499999999999</v>
      </c>
      <c r="AH104" s="45" t="s">
        <v>60</v>
      </c>
      <c r="AI104" s="45" t="s">
        <v>60</v>
      </c>
      <c r="AJ104" s="45" t="s">
        <v>60</v>
      </c>
      <c r="AK104" s="45" t="s">
        <v>60</v>
      </c>
      <c r="AL104" s="45" t="s">
        <v>60</v>
      </c>
      <c r="AM104" s="45" t="s">
        <v>60</v>
      </c>
      <c r="AN104" s="45" t="s">
        <v>60</v>
      </c>
      <c r="AO104" s="45" t="s">
        <v>60</v>
      </c>
      <c r="AP104" s="45" t="s">
        <v>60</v>
      </c>
      <c r="AQ104" s="45" t="s">
        <v>60</v>
      </c>
      <c r="AR104" s="45" t="s">
        <v>60</v>
      </c>
      <c r="AS104" s="45">
        <v>8.0978605397895596</v>
      </c>
      <c r="AT104" s="45">
        <v>7.6007787933447304</v>
      </c>
      <c r="AU104" s="45">
        <v>-17.6074947</v>
      </c>
      <c r="AV104" s="45">
        <v>-17.92432732</v>
      </c>
      <c r="AW104" s="45">
        <v>0</v>
      </c>
      <c r="AX104" s="45">
        <v>0</v>
      </c>
      <c r="AY104" s="45">
        <v>169</v>
      </c>
      <c r="AZ104" s="45">
        <v>0</v>
      </c>
      <c r="BA104" s="45">
        <v>0</v>
      </c>
      <c r="BB104" s="45">
        <v>1</v>
      </c>
      <c r="BC104" s="45">
        <v>1</v>
      </c>
      <c r="BD104" s="54" t="s">
        <v>60</v>
      </c>
      <c r="BE104" s="44"/>
      <c r="BF104" s="53"/>
    </row>
    <row r="105" spans="1:58" x14ac:dyDescent="0.25">
      <c r="A105" s="48">
        <v>102</v>
      </c>
      <c r="B105" s="45" t="s">
        <v>317</v>
      </c>
      <c r="C105" s="45">
        <v>3.3807999999999998</v>
      </c>
      <c r="D105" s="45">
        <v>111</v>
      </c>
      <c r="E105" s="45">
        <v>154</v>
      </c>
      <c r="F105" s="45">
        <v>17</v>
      </c>
      <c r="G105" s="45">
        <v>136.71709999999999</v>
      </c>
      <c r="H105" s="45">
        <v>82</v>
      </c>
      <c r="I105" s="45">
        <v>133</v>
      </c>
      <c r="J105" s="45">
        <v>243</v>
      </c>
      <c r="K105" s="45">
        <v>84.470600000000005</v>
      </c>
      <c r="L105" s="45">
        <v>6.4399999999999999E-2</v>
      </c>
      <c r="M105" s="45">
        <v>26.25</v>
      </c>
      <c r="N105" s="45">
        <v>6.77</v>
      </c>
      <c r="O105" s="45">
        <v>1</v>
      </c>
      <c r="P105" s="45">
        <v>5.2286000000000001</v>
      </c>
      <c r="Q105" s="45">
        <v>-17.034600000000001</v>
      </c>
      <c r="R105" s="45">
        <v>0.83079999999999998</v>
      </c>
      <c r="S105" s="45">
        <v>-15.567200000000001</v>
      </c>
      <c r="T105" s="45">
        <v>0.80400000000000005</v>
      </c>
      <c r="U105" s="45">
        <v>-20.584199999999999</v>
      </c>
      <c r="V105" s="45">
        <v>0.77049999999999996</v>
      </c>
      <c r="W105" s="45">
        <v>-21.5532</v>
      </c>
      <c r="X105" s="45">
        <v>0.74770000000000003</v>
      </c>
      <c r="Y105" s="45">
        <v>50</v>
      </c>
      <c r="Z105" s="45">
        <v>28</v>
      </c>
      <c r="AA105" s="45">
        <v>4.4001000000000001</v>
      </c>
      <c r="AB105" s="45">
        <v>0.97860000000000003</v>
      </c>
      <c r="AC105" s="45">
        <v>5.4100000000000002E-2</v>
      </c>
      <c r="AD105" s="45">
        <v>8.3099999999999993E-2</v>
      </c>
      <c r="AE105" s="55">
        <v>0</v>
      </c>
      <c r="AF105" s="45">
        <v>-64.224800000000002</v>
      </c>
      <c r="AG105" s="45">
        <v>-188.79409999999999</v>
      </c>
      <c r="AH105" s="45" t="s">
        <v>60</v>
      </c>
      <c r="AI105" s="45" t="s">
        <v>60</v>
      </c>
      <c r="AJ105" s="45" t="s">
        <v>60</v>
      </c>
      <c r="AK105" s="45" t="s">
        <v>60</v>
      </c>
      <c r="AL105" s="45" t="s">
        <v>60</v>
      </c>
      <c r="AM105" s="45" t="s">
        <v>60</v>
      </c>
      <c r="AN105" s="45" t="s">
        <v>60</v>
      </c>
      <c r="AO105" s="45" t="s">
        <v>60</v>
      </c>
      <c r="AP105" s="45" t="s">
        <v>60</v>
      </c>
      <c r="AQ105" s="45" t="s">
        <v>60</v>
      </c>
      <c r="AR105" s="45" t="s">
        <v>60</v>
      </c>
      <c r="AS105" s="45">
        <v>0.77334875999999997</v>
      </c>
      <c r="AT105" s="45">
        <v>0.48650920000000097</v>
      </c>
      <c r="AU105" s="45">
        <v>-8.1143509500000004</v>
      </c>
      <c r="AV105" s="45">
        <v>-8.7278271299999997</v>
      </c>
      <c r="AW105" s="45">
        <v>0</v>
      </c>
      <c r="AX105" s="45">
        <v>0</v>
      </c>
      <c r="AY105" s="45">
        <v>169</v>
      </c>
      <c r="AZ105" s="45">
        <v>0</v>
      </c>
      <c r="BA105" s="45">
        <v>0</v>
      </c>
      <c r="BB105" s="45">
        <v>1</v>
      </c>
      <c r="BC105" s="45">
        <v>1</v>
      </c>
      <c r="BD105" s="54" t="s">
        <v>60</v>
      </c>
      <c r="BE105" s="44"/>
      <c r="BF105" s="53"/>
    </row>
    <row r="106" spans="1:58" x14ac:dyDescent="0.25">
      <c r="A106" s="48">
        <v>103</v>
      </c>
      <c r="B106" s="45" t="s">
        <v>318</v>
      </c>
      <c r="C106" s="45">
        <v>8.8000000000000007</v>
      </c>
      <c r="D106" s="45">
        <v>87</v>
      </c>
      <c r="E106" s="45">
        <v>252</v>
      </c>
      <c r="F106" s="45">
        <v>105</v>
      </c>
      <c r="G106" s="45">
        <v>189.3853</v>
      </c>
      <c r="H106" s="45">
        <v>104</v>
      </c>
      <c r="I106" s="45">
        <v>226</v>
      </c>
      <c r="J106" s="45">
        <v>66</v>
      </c>
      <c r="K106" s="45">
        <v>121.41370000000001</v>
      </c>
      <c r="L106" s="45">
        <v>0.36840000000000001</v>
      </c>
      <c r="M106" s="45">
        <v>26.350000000000101</v>
      </c>
      <c r="N106" s="45">
        <v>6.91</v>
      </c>
      <c r="O106" s="45">
        <v>2.87E-2</v>
      </c>
      <c r="P106" s="45">
        <v>8.0663999999999998</v>
      </c>
      <c r="Q106" s="45">
        <v>-17.622</v>
      </c>
      <c r="R106" s="45">
        <v>0.84319999999999995</v>
      </c>
      <c r="S106" s="45">
        <v>-16.104000000000003</v>
      </c>
      <c r="T106" s="45">
        <v>0.81600000000000006</v>
      </c>
      <c r="U106" s="45">
        <v>-21.294</v>
      </c>
      <c r="V106" s="45">
        <v>0.78200000000000003</v>
      </c>
      <c r="W106" s="45">
        <v>-22.151900000000001</v>
      </c>
      <c r="X106" s="45">
        <v>0.75029999999999997</v>
      </c>
      <c r="Y106" s="45">
        <v>51</v>
      </c>
      <c r="Z106" s="45">
        <v>29</v>
      </c>
      <c r="AA106" s="45">
        <v>19.902899999999999</v>
      </c>
      <c r="AB106" s="45">
        <v>0.87790000000000001</v>
      </c>
      <c r="AC106" s="45">
        <v>5.3100000000000001E-2</v>
      </c>
      <c r="AD106" s="45">
        <v>0.12565000000000001</v>
      </c>
      <c r="AE106" s="55">
        <v>-4.4000000000000004</v>
      </c>
      <c r="AF106" s="45">
        <v>30.529199999999999</v>
      </c>
      <c r="AG106" s="45">
        <v>-198.8272</v>
      </c>
      <c r="AH106" s="45" t="s">
        <v>60</v>
      </c>
      <c r="AI106" s="45" t="s">
        <v>60</v>
      </c>
      <c r="AJ106" s="45" t="s">
        <v>60</v>
      </c>
      <c r="AK106" s="45" t="s">
        <v>60</v>
      </c>
      <c r="AL106" s="45" t="s">
        <v>60</v>
      </c>
      <c r="AM106" s="45" t="s">
        <v>60</v>
      </c>
      <c r="AN106" s="45" t="s">
        <v>60</v>
      </c>
      <c r="AO106" s="45" t="s">
        <v>60</v>
      </c>
      <c r="AP106" s="45" t="s">
        <v>60</v>
      </c>
      <c r="AQ106" s="45" t="s">
        <v>60</v>
      </c>
      <c r="AR106" s="45" t="s">
        <v>60</v>
      </c>
      <c r="AS106" s="45">
        <v>-19.545254880000002</v>
      </c>
      <c r="AT106" s="45">
        <v>-19.2039024</v>
      </c>
      <c r="AU106" s="45">
        <v>-20.206159799999998</v>
      </c>
      <c r="AV106" s="45">
        <v>-20.4644753</v>
      </c>
      <c r="AW106" s="45">
        <v>0</v>
      </c>
      <c r="AX106" s="45">
        <v>0</v>
      </c>
      <c r="AY106" s="45">
        <v>169</v>
      </c>
      <c r="AZ106" s="45">
        <v>0</v>
      </c>
      <c r="BA106" s="45">
        <v>0</v>
      </c>
      <c r="BB106" s="45">
        <v>1</v>
      </c>
      <c r="BC106" s="45">
        <v>1</v>
      </c>
      <c r="BD106" s="54" t="s">
        <v>60</v>
      </c>
      <c r="BE106" s="44"/>
      <c r="BF106" s="53"/>
    </row>
    <row r="107" spans="1:58" x14ac:dyDescent="0.25">
      <c r="A107" s="48">
        <v>104</v>
      </c>
      <c r="B107" s="45" t="s">
        <v>319</v>
      </c>
      <c r="C107" s="45">
        <v>2.8774000000000002</v>
      </c>
      <c r="D107" s="45">
        <v>153</v>
      </c>
      <c r="E107" s="45">
        <v>233</v>
      </c>
      <c r="F107" s="45">
        <v>32</v>
      </c>
      <c r="G107" s="45">
        <v>238.61189999999999</v>
      </c>
      <c r="H107" s="45">
        <v>117</v>
      </c>
      <c r="I107" s="45">
        <v>125</v>
      </c>
      <c r="J107" s="45">
        <v>88</v>
      </c>
      <c r="K107" s="45">
        <v>175.41030000000001</v>
      </c>
      <c r="L107" s="45">
        <v>1</v>
      </c>
      <c r="M107" s="45">
        <v>26.450000000000099</v>
      </c>
      <c r="N107" s="45">
        <v>7.05</v>
      </c>
      <c r="O107" s="45">
        <v>1</v>
      </c>
      <c r="P107" s="45">
        <v>5.6558000000000002</v>
      </c>
      <c r="Q107" s="45">
        <v>-18.209400000000002</v>
      </c>
      <c r="R107" s="45">
        <v>0.85559999999999992</v>
      </c>
      <c r="S107" s="45">
        <v>-16.640800000000002</v>
      </c>
      <c r="T107" s="45">
        <v>0.82800000000000007</v>
      </c>
      <c r="U107" s="45">
        <v>-22.003799999999998</v>
      </c>
      <c r="V107" s="45">
        <v>0.79349999999999998</v>
      </c>
      <c r="W107" s="45">
        <v>-22.750599999999999</v>
      </c>
      <c r="X107" s="45">
        <v>0.75900000000000001</v>
      </c>
      <c r="Y107" s="45">
        <v>52</v>
      </c>
      <c r="Z107" s="45">
        <v>30</v>
      </c>
      <c r="AA107" s="45">
        <v>1.212</v>
      </c>
      <c r="AB107" s="45">
        <v>6.0199999999999997E-2</v>
      </c>
      <c r="AC107" s="45">
        <v>5.21E-2</v>
      </c>
      <c r="AD107" s="45">
        <v>7.3000000000000001E-3</v>
      </c>
      <c r="AE107" s="45">
        <v>3.2471999999999999</v>
      </c>
      <c r="AF107" s="55">
        <v>-220</v>
      </c>
      <c r="AG107" s="45">
        <v>-184.6893</v>
      </c>
      <c r="AH107" s="45" t="s">
        <v>60</v>
      </c>
      <c r="AI107" s="45" t="s">
        <v>60</v>
      </c>
      <c r="AJ107" s="45" t="s">
        <v>60</v>
      </c>
      <c r="AK107" s="45" t="s">
        <v>60</v>
      </c>
      <c r="AL107" s="45" t="s">
        <v>60</v>
      </c>
      <c r="AM107" s="45" t="s">
        <v>60</v>
      </c>
      <c r="AN107" s="45" t="s">
        <v>60</v>
      </c>
      <c r="AO107" s="45" t="s">
        <v>60</v>
      </c>
      <c r="AP107" s="45" t="s">
        <v>60</v>
      </c>
      <c r="AQ107" s="45" t="s">
        <v>60</v>
      </c>
      <c r="AR107" s="45" t="s">
        <v>60</v>
      </c>
      <c r="AS107" s="45">
        <v>-1.5924501600000001</v>
      </c>
      <c r="AT107" s="45">
        <v>-1.8586815999999999</v>
      </c>
      <c r="AU107" s="45">
        <v>-5.5055066999999998</v>
      </c>
      <c r="AV107" s="45">
        <v>-6.4028026000000002</v>
      </c>
      <c r="AW107" s="45">
        <v>0</v>
      </c>
      <c r="AX107" s="45">
        <v>0</v>
      </c>
      <c r="AY107" s="45">
        <v>169</v>
      </c>
      <c r="AZ107" s="45">
        <v>0</v>
      </c>
      <c r="BA107" s="45">
        <v>0</v>
      </c>
      <c r="BB107" s="45">
        <v>1</v>
      </c>
      <c r="BC107" s="45">
        <v>1</v>
      </c>
      <c r="BD107" s="54" t="s">
        <v>60</v>
      </c>
      <c r="BE107" s="44"/>
      <c r="BF107" s="53"/>
    </row>
    <row r="108" spans="1:58" x14ac:dyDescent="0.25">
      <c r="A108" s="48">
        <v>105</v>
      </c>
      <c r="B108" s="45" t="s">
        <v>320</v>
      </c>
      <c r="C108" s="45">
        <v>1.5707</v>
      </c>
      <c r="D108" s="45">
        <v>148</v>
      </c>
      <c r="E108" s="45">
        <v>215</v>
      </c>
      <c r="F108" s="45">
        <v>236</v>
      </c>
      <c r="G108" s="45">
        <v>81.050799999999995</v>
      </c>
      <c r="H108" s="45">
        <v>16</v>
      </c>
      <c r="I108" s="45">
        <v>134</v>
      </c>
      <c r="J108" s="45">
        <v>58</v>
      </c>
      <c r="K108" s="45">
        <v>130.7551</v>
      </c>
      <c r="L108" s="45">
        <v>0.127</v>
      </c>
      <c r="M108" s="45">
        <v>26.5500000000001</v>
      </c>
      <c r="N108" s="45">
        <v>7.1900000000000102</v>
      </c>
      <c r="O108" s="45">
        <v>1</v>
      </c>
      <c r="P108" s="45">
        <v>1.3164</v>
      </c>
      <c r="Q108" s="45">
        <v>-18.796800000000001</v>
      </c>
      <c r="R108" s="45">
        <v>0.86799999999999999</v>
      </c>
      <c r="S108" s="45">
        <v>-17.177600000000002</v>
      </c>
      <c r="T108" s="45">
        <v>0.84</v>
      </c>
      <c r="U108" s="45">
        <v>-22.7136</v>
      </c>
      <c r="V108" s="45">
        <v>0.80499999999999994</v>
      </c>
      <c r="W108" s="45">
        <v>-23.349299999999999</v>
      </c>
      <c r="X108" s="45">
        <v>0.76999999999999991</v>
      </c>
      <c r="Y108" s="45">
        <v>53</v>
      </c>
      <c r="Z108" s="45">
        <v>31</v>
      </c>
      <c r="AA108" s="45">
        <v>4.0194000000000001</v>
      </c>
      <c r="AB108" s="45">
        <v>0.99998474121093806</v>
      </c>
      <c r="AC108" s="45">
        <v>5.11E-2</v>
      </c>
      <c r="AD108" s="45">
        <v>0.12565000000000001</v>
      </c>
      <c r="AE108" s="45">
        <v>8.2162000000000006</v>
      </c>
      <c r="AF108" s="55">
        <v>220</v>
      </c>
      <c r="AG108" s="45">
        <v>-206.78120000000001</v>
      </c>
      <c r="AH108" s="45" t="s">
        <v>60</v>
      </c>
      <c r="AI108" s="45" t="s">
        <v>60</v>
      </c>
      <c r="AJ108" s="45" t="s">
        <v>60</v>
      </c>
      <c r="AK108" s="45" t="s">
        <v>60</v>
      </c>
      <c r="AL108" s="45" t="s">
        <v>60</v>
      </c>
      <c r="AM108" s="45" t="s">
        <v>60</v>
      </c>
      <c r="AN108" s="45" t="s">
        <v>60</v>
      </c>
      <c r="AO108" s="45" t="s">
        <v>60</v>
      </c>
      <c r="AP108" s="45" t="s">
        <v>60</v>
      </c>
      <c r="AQ108" s="45" t="s">
        <v>60</v>
      </c>
      <c r="AR108" s="45" t="s">
        <v>60</v>
      </c>
      <c r="AS108" s="45">
        <v>-5.9700167999999998</v>
      </c>
      <c r="AT108" s="45">
        <v>-6.1247119999999997</v>
      </c>
      <c r="AU108" s="45">
        <v>-7.6647689999999997</v>
      </c>
      <c r="AV108" s="45">
        <v>-8.4652770000000004</v>
      </c>
      <c r="AW108" s="45">
        <v>0</v>
      </c>
      <c r="AX108" s="45">
        <v>0</v>
      </c>
      <c r="AY108" s="45">
        <v>169</v>
      </c>
      <c r="AZ108" s="45">
        <v>0</v>
      </c>
      <c r="BA108" s="45">
        <v>0</v>
      </c>
      <c r="BB108" s="45">
        <v>1</v>
      </c>
      <c r="BC108" s="45">
        <v>1</v>
      </c>
      <c r="BD108" s="54" t="s">
        <v>60</v>
      </c>
      <c r="BE108" s="44"/>
      <c r="BF108" s="53"/>
    </row>
    <row r="109" spans="1:58" x14ac:dyDescent="0.25">
      <c r="A109" s="48">
        <v>106</v>
      </c>
      <c r="B109" s="45" t="s">
        <v>321</v>
      </c>
      <c r="C109" s="45">
        <v>8.8000000000000007</v>
      </c>
      <c r="D109" s="45">
        <v>79</v>
      </c>
      <c r="E109" s="45">
        <v>29</v>
      </c>
      <c r="F109" s="45">
        <v>34</v>
      </c>
      <c r="G109" s="45">
        <v>2.9403999999999999</v>
      </c>
      <c r="H109" s="45">
        <v>238</v>
      </c>
      <c r="I109" s="45">
        <v>14</v>
      </c>
      <c r="J109" s="45">
        <v>146</v>
      </c>
      <c r="K109" s="45">
        <v>85.279499999999999</v>
      </c>
      <c r="L109" s="45">
        <v>0.52210000000000001</v>
      </c>
      <c r="M109" s="45">
        <v>26.650000000000102</v>
      </c>
      <c r="N109" s="45">
        <v>7.3300000000000098</v>
      </c>
      <c r="O109" s="45">
        <v>1</v>
      </c>
      <c r="P109" s="45">
        <v>8.8000000000000007</v>
      </c>
      <c r="Q109" s="45">
        <v>-19.3842</v>
      </c>
      <c r="R109" s="45">
        <v>0.88039999999999996</v>
      </c>
      <c r="S109" s="45">
        <v>-17.714400000000001</v>
      </c>
      <c r="T109" s="45">
        <v>0.85199999999999998</v>
      </c>
      <c r="U109" s="45">
        <v>-23.423400000000001</v>
      </c>
      <c r="V109" s="45">
        <v>0.8165</v>
      </c>
      <c r="W109" s="45">
        <v>-23.948</v>
      </c>
      <c r="X109" s="45">
        <v>0.78099999999999992</v>
      </c>
      <c r="Y109" s="45">
        <v>54</v>
      </c>
      <c r="Z109" s="45">
        <v>32</v>
      </c>
      <c r="AA109" s="45">
        <v>1.8302</v>
      </c>
      <c r="AB109" s="45">
        <v>0.99998474121093806</v>
      </c>
      <c r="AC109" s="45">
        <v>5.0099999999999999E-2</v>
      </c>
      <c r="AD109" s="45">
        <v>0.12565000000000001</v>
      </c>
      <c r="AE109" s="45">
        <v>3.9704000000000002</v>
      </c>
      <c r="AF109" s="55">
        <v>53.246000000000002</v>
      </c>
      <c r="AG109" s="45">
        <v>-118.7837</v>
      </c>
      <c r="AH109" s="45" t="s">
        <v>60</v>
      </c>
      <c r="AI109" s="45" t="s">
        <v>60</v>
      </c>
      <c r="AJ109" s="45" t="s">
        <v>60</v>
      </c>
      <c r="AK109" s="45" t="s">
        <v>60</v>
      </c>
      <c r="AL109" s="45" t="s">
        <v>60</v>
      </c>
      <c r="AM109" s="45" t="s">
        <v>60</v>
      </c>
      <c r="AN109" s="45" t="s">
        <v>60</v>
      </c>
      <c r="AO109" s="45" t="s">
        <v>60</v>
      </c>
      <c r="AP109" s="45" t="s">
        <v>60</v>
      </c>
      <c r="AQ109" s="45" t="s">
        <v>60</v>
      </c>
      <c r="AR109" s="45" t="s">
        <v>60</v>
      </c>
      <c r="AS109" s="45">
        <v>-0.96939865001298997</v>
      </c>
      <c r="AT109" s="45">
        <v>-1.3162941000125701</v>
      </c>
      <c r="AU109" s="45">
        <v>-5.7925522000000003</v>
      </c>
      <c r="AV109" s="45">
        <v>-6.6739981999999998</v>
      </c>
      <c r="AW109" s="45">
        <v>34</v>
      </c>
      <c r="AX109" s="45">
        <v>18</v>
      </c>
      <c r="AY109" s="45">
        <v>169</v>
      </c>
      <c r="AZ109" s="45">
        <v>1</v>
      </c>
      <c r="BA109" s="45">
        <v>1</v>
      </c>
      <c r="BB109" s="45">
        <v>0</v>
      </c>
      <c r="BC109" s="45">
        <v>1</v>
      </c>
      <c r="BD109" s="54" t="s">
        <v>60</v>
      </c>
      <c r="BE109" s="44"/>
      <c r="BF109" s="53"/>
    </row>
    <row r="110" spans="1:58" x14ac:dyDescent="0.25">
      <c r="A110" s="48">
        <v>107</v>
      </c>
      <c r="B110" s="45" t="s">
        <v>322</v>
      </c>
      <c r="C110" s="45">
        <v>8.8000000000000007</v>
      </c>
      <c r="D110" s="45">
        <v>76</v>
      </c>
      <c r="E110" s="45">
        <v>141</v>
      </c>
      <c r="F110" s="45">
        <v>93</v>
      </c>
      <c r="G110" s="45">
        <v>116.9652</v>
      </c>
      <c r="H110" s="45">
        <v>118</v>
      </c>
      <c r="I110" s="45">
        <v>251</v>
      </c>
      <c r="J110" s="45">
        <v>66</v>
      </c>
      <c r="K110" s="45">
        <v>242.34219999999999</v>
      </c>
      <c r="L110" s="45">
        <v>1</v>
      </c>
      <c r="M110" s="45">
        <v>26.750000000000099</v>
      </c>
      <c r="N110" s="45">
        <v>7.47</v>
      </c>
      <c r="O110" s="45">
        <v>1</v>
      </c>
      <c r="P110" s="45">
        <v>2.6133000000000002</v>
      </c>
      <c r="Q110" s="45">
        <v>-19.971600000000002</v>
      </c>
      <c r="R110" s="45">
        <v>0.89279999999999993</v>
      </c>
      <c r="S110" s="45">
        <v>-18.251200000000001</v>
      </c>
      <c r="T110" s="45">
        <v>0.86399999999999999</v>
      </c>
      <c r="U110" s="45">
        <v>-24.133199999999999</v>
      </c>
      <c r="V110" s="45">
        <v>0.82799999999999996</v>
      </c>
      <c r="W110" s="45">
        <v>-24.546700000000001</v>
      </c>
      <c r="X110" s="45">
        <v>0.79199999999999993</v>
      </c>
      <c r="Y110" s="45">
        <v>55</v>
      </c>
      <c r="Z110" s="45">
        <v>33</v>
      </c>
      <c r="AA110" s="45">
        <v>9.3859999999999992</v>
      </c>
      <c r="AB110" s="45">
        <v>0.38529999999999998</v>
      </c>
      <c r="AC110" s="45">
        <v>4.9099999999999998E-2</v>
      </c>
      <c r="AD110" s="45">
        <v>0.12565000000000001</v>
      </c>
      <c r="AE110" s="45">
        <v>2.1619000000000002</v>
      </c>
      <c r="AF110" s="55">
        <v>0</v>
      </c>
      <c r="AG110" s="45">
        <v>185.9965</v>
      </c>
      <c r="AH110" s="45" t="s">
        <v>60</v>
      </c>
      <c r="AI110" s="45" t="s">
        <v>60</v>
      </c>
      <c r="AJ110" s="45" t="s">
        <v>60</v>
      </c>
      <c r="AK110" s="45" t="s">
        <v>60</v>
      </c>
      <c r="AL110" s="45" t="s">
        <v>60</v>
      </c>
      <c r="AM110" s="45" t="s">
        <v>60</v>
      </c>
      <c r="AN110" s="45" t="s">
        <v>60</v>
      </c>
      <c r="AO110" s="45" t="s">
        <v>60</v>
      </c>
      <c r="AP110" s="45" t="s">
        <v>60</v>
      </c>
      <c r="AQ110" s="45" t="s">
        <v>60</v>
      </c>
      <c r="AR110" s="45" t="s">
        <v>60</v>
      </c>
      <c r="AS110" s="45">
        <v>-3.3787005750930401</v>
      </c>
      <c r="AT110" s="45">
        <v>-3.6799809952513298</v>
      </c>
      <c r="AU110" s="45">
        <v>3.6206976000000002</v>
      </c>
      <c r="AV110" s="45">
        <v>2.3279983999999998</v>
      </c>
      <c r="AW110" s="45">
        <v>0</v>
      </c>
      <c r="AX110" s="45">
        <v>0</v>
      </c>
      <c r="AY110" s="45">
        <v>169</v>
      </c>
      <c r="AZ110" s="45">
        <v>0</v>
      </c>
      <c r="BA110" s="45">
        <v>0</v>
      </c>
      <c r="BB110" s="45">
        <v>1</v>
      </c>
      <c r="BC110" s="45">
        <v>1</v>
      </c>
      <c r="BD110" s="54" t="s">
        <v>60</v>
      </c>
      <c r="BE110" s="44"/>
      <c r="BF110" s="53"/>
    </row>
    <row r="111" spans="1:58" x14ac:dyDescent="0.25">
      <c r="A111" s="48">
        <v>108</v>
      </c>
      <c r="B111" s="45" t="s">
        <v>323</v>
      </c>
      <c r="C111" s="45">
        <v>3.3227000000000002</v>
      </c>
      <c r="D111" s="45">
        <v>59</v>
      </c>
      <c r="E111" s="45">
        <v>38</v>
      </c>
      <c r="F111" s="45">
        <v>9</v>
      </c>
      <c r="G111" s="45">
        <v>182.87289999999999</v>
      </c>
      <c r="H111" s="45">
        <v>232</v>
      </c>
      <c r="I111" s="45">
        <v>90</v>
      </c>
      <c r="J111" s="45">
        <v>253</v>
      </c>
      <c r="K111" s="45">
        <v>7.3090000000000002</v>
      </c>
      <c r="L111" s="45">
        <v>1</v>
      </c>
      <c r="M111" s="45">
        <v>26.850000000000101</v>
      </c>
      <c r="N111" s="45">
        <v>7.6100000000000101</v>
      </c>
      <c r="O111" s="45">
        <v>1</v>
      </c>
      <c r="P111" s="45">
        <v>4.7622999999999998</v>
      </c>
      <c r="Q111" s="45">
        <v>-20.559000000000001</v>
      </c>
      <c r="R111" s="45">
        <v>0.9052</v>
      </c>
      <c r="S111" s="45">
        <v>-18.788</v>
      </c>
      <c r="T111" s="45">
        <v>0.876</v>
      </c>
      <c r="U111" s="45">
        <v>-24.843</v>
      </c>
      <c r="V111" s="45">
        <v>0.83950000000000002</v>
      </c>
      <c r="W111" s="45">
        <v>-25.145400000000002</v>
      </c>
      <c r="X111" s="45">
        <v>0.80299999999999994</v>
      </c>
      <c r="Y111" s="45">
        <v>56</v>
      </c>
      <c r="Z111" s="45">
        <v>34</v>
      </c>
      <c r="AA111" s="45">
        <v>8.6914999999999996</v>
      </c>
      <c r="AB111" s="45">
        <v>0.1028</v>
      </c>
      <c r="AC111" s="45">
        <v>4.8099999999999997E-2</v>
      </c>
      <c r="AD111" s="45">
        <v>0.12565000000000001</v>
      </c>
      <c r="AE111" s="45">
        <v>-1.0871999999999999</v>
      </c>
      <c r="AF111" s="55">
        <v>-103.3711</v>
      </c>
      <c r="AG111" s="45">
        <v>73.525499999999994</v>
      </c>
      <c r="AH111" s="45" t="s">
        <v>60</v>
      </c>
      <c r="AI111" s="45" t="s">
        <v>60</v>
      </c>
      <c r="AJ111" s="45" t="s">
        <v>60</v>
      </c>
      <c r="AK111" s="45" t="s">
        <v>60</v>
      </c>
      <c r="AL111" s="45" t="s">
        <v>60</v>
      </c>
      <c r="AM111" s="45" t="s">
        <v>60</v>
      </c>
      <c r="AN111" s="45" t="s">
        <v>60</v>
      </c>
      <c r="AO111" s="45" t="s">
        <v>60</v>
      </c>
      <c r="AP111" s="45" t="s">
        <v>60</v>
      </c>
      <c r="AQ111" s="45" t="s">
        <v>60</v>
      </c>
      <c r="AR111" s="45" t="s">
        <v>60</v>
      </c>
      <c r="AS111" s="45">
        <v>5.9185525999999999</v>
      </c>
      <c r="AT111" s="45">
        <v>5.2840420000000003</v>
      </c>
      <c r="AU111" s="45">
        <v>-7.1290926652287299</v>
      </c>
      <c r="AV111" s="45">
        <v>-7.9588353493492203</v>
      </c>
      <c r="AW111" s="45">
        <v>18</v>
      </c>
      <c r="AX111" s="45">
        <v>0</v>
      </c>
      <c r="AY111" s="45">
        <v>0</v>
      </c>
      <c r="AZ111" s="45">
        <v>0</v>
      </c>
      <c r="BA111" s="45">
        <v>0</v>
      </c>
      <c r="BB111" s="45">
        <v>1</v>
      </c>
      <c r="BC111" s="45">
        <v>0</v>
      </c>
      <c r="BD111" s="54" t="s">
        <v>60</v>
      </c>
      <c r="BE111" s="44"/>
      <c r="BF111" s="53"/>
    </row>
    <row r="112" spans="1:58" x14ac:dyDescent="0.25">
      <c r="A112" s="48">
        <v>109</v>
      </c>
      <c r="B112" s="45" t="s">
        <v>324</v>
      </c>
      <c r="C112" s="45">
        <v>8.2891999999999992</v>
      </c>
      <c r="D112" s="45">
        <v>104</v>
      </c>
      <c r="E112" s="45">
        <v>140</v>
      </c>
      <c r="F112" s="45">
        <v>34</v>
      </c>
      <c r="G112" s="45">
        <v>126.0155</v>
      </c>
      <c r="H112" s="45">
        <v>38</v>
      </c>
      <c r="I112" s="45">
        <v>190</v>
      </c>
      <c r="J112" s="45">
        <v>153</v>
      </c>
      <c r="K112" s="45">
        <v>113.7559</v>
      </c>
      <c r="L112" s="45">
        <v>0.4672</v>
      </c>
      <c r="M112" s="45">
        <v>26.950000000000099</v>
      </c>
      <c r="N112" s="45">
        <v>7.7500000000000098</v>
      </c>
      <c r="O112" s="45">
        <v>0.4819</v>
      </c>
      <c r="P112" s="45">
        <v>8.8000000000000007</v>
      </c>
      <c r="Q112" s="45">
        <v>-21.1464</v>
      </c>
      <c r="R112" s="45">
        <v>0.91759999999999997</v>
      </c>
      <c r="S112" s="45">
        <v>-19.324800000000003</v>
      </c>
      <c r="T112" s="45">
        <v>0.88800000000000001</v>
      </c>
      <c r="U112" s="45">
        <v>-25.552799999999998</v>
      </c>
      <c r="V112" s="45">
        <v>0.85099999999999998</v>
      </c>
      <c r="W112" s="45">
        <v>-25.7441</v>
      </c>
      <c r="X112" s="45">
        <v>0.81399999999999995</v>
      </c>
      <c r="Y112" s="45">
        <v>57</v>
      </c>
      <c r="Z112" s="45">
        <v>35</v>
      </c>
      <c r="AA112" s="45">
        <v>17.044</v>
      </c>
      <c r="AB112" s="45">
        <v>0.99998474121093806</v>
      </c>
      <c r="AC112" s="45">
        <v>4.7100000000000003E-2</v>
      </c>
      <c r="AD112" s="45">
        <v>0.12565000000000001</v>
      </c>
      <c r="AE112" s="45">
        <v>5.6210000000000004</v>
      </c>
      <c r="AF112" s="45">
        <v>123.5103</v>
      </c>
      <c r="AG112" s="55">
        <v>-220</v>
      </c>
      <c r="AH112" s="45" t="s">
        <v>60</v>
      </c>
      <c r="AI112" s="45" t="s">
        <v>60</v>
      </c>
      <c r="AJ112" s="45" t="s">
        <v>60</v>
      </c>
      <c r="AK112" s="45" t="s">
        <v>60</v>
      </c>
      <c r="AL112" s="45" t="s">
        <v>60</v>
      </c>
      <c r="AM112" s="45" t="s">
        <v>60</v>
      </c>
      <c r="AN112" s="45" t="s">
        <v>60</v>
      </c>
      <c r="AO112" s="45" t="s">
        <v>60</v>
      </c>
      <c r="AP112" s="45" t="s">
        <v>60</v>
      </c>
      <c r="AQ112" s="45" t="s">
        <v>60</v>
      </c>
      <c r="AR112" s="45" t="s">
        <v>60</v>
      </c>
      <c r="AS112" s="45">
        <v>-6.9679767242328499</v>
      </c>
      <c r="AT112" s="45">
        <v>-7.2213260169995301</v>
      </c>
      <c r="AU112" s="45">
        <v>-18.311811200000001</v>
      </c>
      <c r="AV112" s="45">
        <v>-18.662218599999999</v>
      </c>
      <c r="AW112" s="45">
        <v>0</v>
      </c>
      <c r="AX112" s="45">
        <v>0</v>
      </c>
      <c r="AY112" s="45">
        <v>169</v>
      </c>
      <c r="AZ112" s="45">
        <v>0</v>
      </c>
      <c r="BA112" s="45">
        <v>0</v>
      </c>
      <c r="BB112" s="45">
        <v>1</v>
      </c>
      <c r="BC112" s="45">
        <v>1</v>
      </c>
      <c r="BD112" s="54" t="s">
        <v>60</v>
      </c>
      <c r="BE112" s="44"/>
      <c r="BF112" s="53"/>
    </row>
    <row r="113" spans="1:58" x14ac:dyDescent="0.25">
      <c r="A113" s="48">
        <v>110</v>
      </c>
      <c r="B113" s="45" t="s">
        <v>325</v>
      </c>
      <c r="C113" s="73">
        <v>2.4039999999999999</v>
      </c>
      <c r="D113" s="45">
        <v>233</v>
      </c>
      <c r="E113" s="45">
        <v>246</v>
      </c>
      <c r="F113" s="45">
        <v>236</v>
      </c>
      <c r="G113" s="45">
        <v>46.552900000000001</v>
      </c>
      <c r="H113" s="45">
        <v>162</v>
      </c>
      <c r="I113" s="45">
        <v>61</v>
      </c>
      <c r="J113" s="45">
        <v>200</v>
      </c>
      <c r="K113" s="45">
        <v>5.9359999999999999</v>
      </c>
      <c r="L113" s="45">
        <v>1</v>
      </c>
      <c r="M113" s="45">
        <v>27.0500000000001</v>
      </c>
      <c r="N113" s="45">
        <v>7.8900000000000103</v>
      </c>
      <c r="O113" s="45">
        <v>1</v>
      </c>
      <c r="P113" s="45">
        <v>1.792</v>
      </c>
      <c r="Q113" s="45">
        <v>2.0874000000000001</v>
      </c>
      <c r="R113" s="45">
        <v>3.7199999999999997E-2</v>
      </c>
      <c r="S113" s="45">
        <v>1.7961</v>
      </c>
      <c r="T113" s="45">
        <v>3.6000000000000004E-2</v>
      </c>
      <c r="U113" s="45">
        <v>2.1474000000000002</v>
      </c>
      <c r="V113" s="45">
        <v>3.4500000000000003E-2</v>
      </c>
      <c r="W113" s="45">
        <v>1.1091</v>
      </c>
      <c r="X113" s="45">
        <v>3.3000000000000002E-2</v>
      </c>
      <c r="Y113" s="45">
        <v>58</v>
      </c>
      <c r="Z113" s="45">
        <v>36</v>
      </c>
      <c r="AA113" s="45">
        <v>12.3965</v>
      </c>
      <c r="AB113" s="73">
        <v>0.99998474121093806</v>
      </c>
      <c r="AC113" s="45">
        <v>4.6100000000000002E-2</v>
      </c>
      <c r="AD113" s="45">
        <v>0.12565000000000001</v>
      </c>
      <c r="AE113" s="73">
        <v>7.4013</v>
      </c>
      <c r="AF113" s="73">
        <v>-90.357100000000003</v>
      </c>
      <c r="AG113" s="55">
        <v>220</v>
      </c>
      <c r="AH113" s="44" t="s">
        <v>60</v>
      </c>
      <c r="AI113" s="44" t="s">
        <v>60</v>
      </c>
      <c r="AJ113" s="44" t="s">
        <v>60</v>
      </c>
      <c r="AK113" s="44" t="s">
        <v>60</v>
      </c>
      <c r="AL113" s="44" t="s">
        <v>60</v>
      </c>
      <c r="AM113" s="44" t="s">
        <v>60</v>
      </c>
      <c r="AN113" s="44" t="s">
        <v>60</v>
      </c>
      <c r="AO113" s="44" t="s">
        <v>60</v>
      </c>
      <c r="AP113" s="44" t="s">
        <v>60</v>
      </c>
      <c r="AQ113" s="44" t="s">
        <v>60</v>
      </c>
      <c r="AR113" s="44" t="s">
        <v>60</v>
      </c>
      <c r="AS113" s="45">
        <v>2.47089852</v>
      </c>
      <c r="AT113" s="45">
        <v>2.1777144000000002</v>
      </c>
      <c r="AU113" s="45">
        <v>1.9777166170762901</v>
      </c>
      <c r="AV113" s="45">
        <v>0.98105805546428004</v>
      </c>
      <c r="AW113" s="45">
        <v>0</v>
      </c>
      <c r="AX113" s="45">
        <v>0</v>
      </c>
      <c r="AY113" s="45">
        <v>169</v>
      </c>
      <c r="AZ113" s="45">
        <v>0</v>
      </c>
      <c r="BA113" s="45">
        <v>0</v>
      </c>
      <c r="BB113" s="45">
        <v>1</v>
      </c>
      <c r="BC113" s="45">
        <v>1</v>
      </c>
      <c r="BD113" s="54" t="s">
        <v>60</v>
      </c>
      <c r="BE113" s="44"/>
      <c r="BF113" s="53"/>
    </row>
    <row r="114" spans="1:58" x14ac:dyDescent="0.25">
      <c r="A114" s="48">
        <v>111</v>
      </c>
      <c r="B114" s="45" t="s">
        <v>326</v>
      </c>
      <c r="C114" s="45">
        <v>1.2666999999999999</v>
      </c>
      <c r="D114" s="45">
        <v>126</v>
      </c>
      <c r="E114" s="45">
        <v>84</v>
      </c>
      <c r="F114" s="45">
        <v>253</v>
      </c>
      <c r="G114" s="45">
        <v>15.358000000000001</v>
      </c>
      <c r="H114" s="45">
        <v>186</v>
      </c>
      <c r="I114" s="45">
        <v>42</v>
      </c>
      <c r="J114" s="45">
        <v>225</v>
      </c>
      <c r="K114" s="45">
        <v>181.14580000000001</v>
      </c>
      <c r="L114" s="45">
        <v>1</v>
      </c>
      <c r="M114" s="45">
        <v>27.150000000000102</v>
      </c>
      <c r="N114" s="45">
        <v>8.03000000000001</v>
      </c>
      <c r="O114" s="45">
        <v>1</v>
      </c>
      <c r="P114" s="45">
        <v>8.1214999999999993</v>
      </c>
      <c r="Q114" s="45">
        <v>-5.8740000000000006</v>
      </c>
      <c r="R114" s="45">
        <v>0.65990000000000004</v>
      </c>
      <c r="S114" s="73">
        <v>14.397</v>
      </c>
      <c r="T114" s="45">
        <v>0.66969999999999996</v>
      </c>
      <c r="U114" s="45">
        <v>-10.647</v>
      </c>
      <c r="V114" s="45">
        <v>0.63290000000000002</v>
      </c>
      <c r="W114" s="45">
        <v>21.072899999999997</v>
      </c>
      <c r="X114" s="45">
        <v>0.60970000000000002</v>
      </c>
      <c r="Y114" s="45">
        <v>59</v>
      </c>
      <c r="Z114" s="45">
        <v>37</v>
      </c>
      <c r="AA114" s="45">
        <v>12.257999999999999</v>
      </c>
      <c r="AB114" s="73">
        <v>0.47439999999999999</v>
      </c>
      <c r="AC114" s="45">
        <v>7.4999999999999997E-2</v>
      </c>
      <c r="AD114" s="45">
        <v>0.12565000000000001</v>
      </c>
      <c r="AE114" s="73">
        <v>8.8000000000000007</v>
      </c>
      <c r="AF114" s="73">
        <v>47.125900000000001</v>
      </c>
      <c r="AG114" s="55">
        <v>110.25</v>
      </c>
      <c r="AH114" s="44" t="s">
        <v>60</v>
      </c>
      <c r="AI114" s="44" t="s">
        <v>60</v>
      </c>
      <c r="AJ114" s="44" t="s">
        <v>60</v>
      </c>
      <c r="AK114" s="44" t="s">
        <v>60</v>
      </c>
      <c r="AL114" s="44" t="s">
        <v>60</v>
      </c>
      <c r="AM114" s="44" t="s">
        <v>60</v>
      </c>
      <c r="AN114" s="44" t="s">
        <v>60</v>
      </c>
      <c r="AO114" s="44" t="s">
        <v>60</v>
      </c>
      <c r="AP114" s="44" t="s">
        <v>60</v>
      </c>
      <c r="AQ114" s="44" t="s">
        <v>60</v>
      </c>
      <c r="AR114" s="44" t="s">
        <v>60</v>
      </c>
      <c r="AS114" s="45">
        <v>-2.35628886694656</v>
      </c>
      <c r="AT114" s="45">
        <v>4.3914630287557097</v>
      </c>
      <c r="AU114" s="45">
        <v>3.8495745000000001</v>
      </c>
      <c r="AV114" s="45">
        <v>15.698455470000001</v>
      </c>
      <c r="AW114" s="45">
        <v>0</v>
      </c>
      <c r="AX114" s="45">
        <v>0</v>
      </c>
      <c r="AY114" s="45">
        <v>169</v>
      </c>
      <c r="AZ114" s="45">
        <v>0</v>
      </c>
      <c r="BA114" s="45">
        <v>0</v>
      </c>
      <c r="BB114" s="45">
        <v>1</v>
      </c>
      <c r="BC114" s="45">
        <v>1</v>
      </c>
      <c r="BD114" s="54" t="s">
        <v>60</v>
      </c>
      <c r="BE114" s="44"/>
      <c r="BF114" s="53"/>
    </row>
    <row r="115" spans="1:58" x14ac:dyDescent="0.25">
      <c r="A115" s="48">
        <v>112</v>
      </c>
      <c r="B115" s="45" t="s">
        <v>327</v>
      </c>
      <c r="C115" s="45">
        <v>1.1074999999999999</v>
      </c>
      <c r="D115" s="45">
        <v>224</v>
      </c>
      <c r="E115" s="45">
        <v>23</v>
      </c>
      <c r="F115" s="45">
        <v>111</v>
      </c>
      <c r="G115" s="45">
        <v>211.75399999999999</v>
      </c>
      <c r="H115" s="45">
        <v>65</v>
      </c>
      <c r="I115" s="45">
        <v>215</v>
      </c>
      <c r="J115" s="45">
        <v>149</v>
      </c>
      <c r="K115" s="45">
        <v>147.3287</v>
      </c>
      <c r="L115" s="45">
        <v>1</v>
      </c>
      <c r="M115" s="45">
        <v>27.250000000000099</v>
      </c>
      <c r="N115" s="45">
        <v>8.1700000000000106</v>
      </c>
      <c r="O115" s="45">
        <v>0.66569999999999996</v>
      </c>
      <c r="P115" s="45">
        <v>1.9542999999999999</v>
      </c>
      <c r="Q115" s="45">
        <v>-4.8739999999999997</v>
      </c>
      <c r="R115" s="45">
        <v>0.5222</v>
      </c>
      <c r="S115" s="73">
        <v>15.397</v>
      </c>
      <c r="T115" s="45">
        <v>0.54410000000000003</v>
      </c>
      <c r="U115" s="45">
        <v>-9.6470000000000002</v>
      </c>
      <c r="V115" s="45">
        <v>0.25480000000000003</v>
      </c>
      <c r="W115" s="45">
        <v>22.072900000000001</v>
      </c>
      <c r="X115" s="45">
        <v>0.33329999999999999</v>
      </c>
      <c r="Y115" s="45">
        <v>60</v>
      </c>
      <c r="Z115" s="45">
        <v>38</v>
      </c>
      <c r="AA115" s="45">
        <v>13.257999999999999</v>
      </c>
      <c r="AB115" s="73">
        <v>0.99998474121093806</v>
      </c>
      <c r="AC115" s="45">
        <v>7.4999999999999997E-2</v>
      </c>
      <c r="AD115" s="45">
        <v>0.12565000000000001</v>
      </c>
      <c r="AE115" s="73">
        <v>2.5543</v>
      </c>
      <c r="AF115" s="73">
        <v>16.971800000000002</v>
      </c>
      <c r="AG115" s="55">
        <v>0</v>
      </c>
      <c r="AH115" s="44" t="s">
        <v>60</v>
      </c>
      <c r="AI115" s="44" t="s">
        <v>60</v>
      </c>
      <c r="AJ115" s="44" t="s">
        <v>60</v>
      </c>
      <c r="AK115" s="44" t="s">
        <v>60</v>
      </c>
      <c r="AL115" s="44" t="s">
        <v>60</v>
      </c>
      <c r="AM115" s="44" t="s">
        <v>60</v>
      </c>
      <c r="AN115" s="44" t="s">
        <v>60</v>
      </c>
      <c r="AO115" s="44" t="s">
        <v>60</v>
      </c>
      <c r="AP115" s="44" t="s">
        <v>60</v>
      </c>
      <c r="AQ115" s="44" t="s">
        <v>60</v>
      </c>
      <c r="AR115" s="44" t="s">
        <v>60</v>
      </c>
      <c r="AS115" s="45">
        <v>0.97182055172308102</v>
      </c>
      <c r="AT115" s="45">
        <v>10.458531209828701</v>
      </c>
      <c r="AU115" s="45">
        <v>-10.5670828</v>
      </c>
      <c r="AV115" s="45">
        <v>10.29711103</v>
      </c>
      <c r="AW115" s="45">
        <v>37</v>
      </c>
      <c r="AX115" s="45">
        <v>0</v>
      </c>
      <c r="AY115" s="45">
        <v>0</v>
      </c>
      <c r="AZ115" s="45">
        <v>0</v>
      </c>
      <c r="BA115" s="45">
        <v>0</v>
      </c>
      <c r="BB115" s="45">
        <v>1</v>
      </c>
      <c r="BC115" s="45">
        <v>0</v>
      </c>
      <c r="BD115" s="54" t="s">
        <v>60</v>
      </c>
      <c r="BE115" s="44"/>
      <c r="BF115" s="53"/>
    </row>
    <row r="116" spans="1:58" ht="15.75" thickBot="1" x14ac:dyDescent="0.3">
      <c r="A116" s="26">
        <v>113</v>
      </c>
      <c r="B116" s="32" t="s">
        <v>328</v>
      </c>
      <c r="C116" s="32">
        <v>7.3487999999999998</v>
      </c>
      <c r="D116" s="32">
        <v>5</v>
      </c>
      <c r="E116" s="32">
        <v>41</v>
      </c>
      <c r="F116" s="32">
        <v>94</v>
      </c>
      <c r="G116" s="32">
        <v>176.9444</v>
      </c>
      <c r="H116" s="32">
        <v>238</v>
      </c>
      <c r="I116" s="74">
        <v>102</v>
      </c>
      <c r="J116" s="32">
        <v>173</v>
      </c>
      <c r="K116" s="32">
        <v>138.1557</v>
      </c>
      <c r="L116" s="32">
        <v>0.26979999999999998</v>
      </c>
      <c r="M116" s="32">
        <v>27.350000000000101</v>
      </c>
      <c r="N116" s="32">
        <v>8.3100000000000094</v>
      </c>
      <c r="O116" s="32">
        <v>1</v>
      </c>
      <c r="P116" s="32">
        <v>8.3295999999999992</v>
      </c>
      <c r="Q116" s="32">
        <v>14.611800000000001</v>
      </c>
      <c r="R116" s="32">
        <v>0.26039999999999996</v>
      </c>
      <c r="S116" s="32">
        <v>12.572700000000001</v>
      </c>
      <c r="T116" s="32">
        <v>0.252</v>
      </c>
      <c r="U116" s="32">
        <v>15.0318</v>
      </c>
      <c r="V116" s="32">
        <v>0.24149999999999999</v>
      </c>
      <c r="W116" s="32">
        <v>7.7636999999999992</v>
      </c>
      <c r="X116" s="32">
        <v>6.3700000000000007E-2</v>
      </c>
      <c r="Y116" s="32">
        <v>61</v>
      </c>
      <c r="Z116" s="32">
        <v>39</v>
      </c>
      <c r="AA116" s="32">
        <v>14.257999999999999</v>
      </c>
      <c r="AB116" s="74">
        <v>0.66479999999999995</v>
      </c>
      <c r="AC116" s="32">
        <v>7.4999999999999997E-2</v>
      </c>
      <c r="AD116" s="32">
        <v>0.12565000000000001</v>
      </c>
      <c r="AE116" s="74">
        <v>-3.9727999999999999</v>
      </c>
      <c r="AF116" s="74">
        <v>145.7363</v>
      </c>
      <c r="AG116" s="56">
        <v>-110.25</v>
      </c>
      <c r="AH116" s="27" t="s">
        <v>60</v>
      </c>
      <c r="AI116" s="27" t="s">
        <v>60</v>
      </c>
      <c r="AJ116" s="27" t="s">
        <v>60</v>
      </c>
      <c r="AK116" s="27" t="s">
        <v>60</v>
      </c>
      <c r="AL116" s="27" t="s">
        <v>60</v>
      </c>
      <c r="AM116" s="27" t="s">
        <v>60</v>
      </c>
      <c r="AN116" s="27" t="s">
        <v>60</v>
      </c>
      <c r="AO116" s="27" t="s">
        <v>60</v>
      </c>
      <c r="AP116" s="27" t="s">
        <v>60</v>
      </c>
      <c r="AQ116" s="27" t="s">
        <v>60</v>
      </c>
      <c r="AR116" s="27" t="s">
        <v>60</v>
      </c>
      <c r="AS116" s="32">
        <v>7.0941040800000001</v>
      </c>
      <c r="AT116" s="32">
        <v>5.8113636</v>
      </c>
      <c r="AU116" s="32">
        <v>14.8449273</v>
      </c>
      <c r="AV116" s="32">
        <v>8.1773869099999992</v>
      </c>
      <c r="AW116" s="32">
        <v>20</v>
      </c>
      <c r="AX116" s="32">
        <v>0</v>
      </c>
      <c r="AY116" s="32">
        <v>0</v>
      </c>
      <c r="AZ116" s="32">
        <v>0</v>
      </c>
      <c r="BA116" s="32">
        <v>0</v>
      </c>
      <c r="BB116" s="32">
        <v>1</v>
      </c>
      <c r="BC116" s="32">
        <v>0</v>
      </c>
      <c r="BD116" s="52" t="s">
        <v>60</v>
      </c>
      <c r="BE116" s="27"/>
      <c r="BF116" s="28"/>
    </row>
    <row r="117" spans="1:58" x14ac:dyDescent="0.25">
      <c r="A117" s="29"/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</row>
    <row r="118" spans="1:58" x14ac:dyDescent="0.25">
      <c r="A118" s="29"/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</row>
    <row r="119" spans="1:58" x14ac:dyDescent="0.25">
      <c r="A119" s="29"/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</row>
    <row r="120" spans="1:58" x14ac:dyDescent="0.25">
      <c r="A120" s="29"/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</row>
    <row r="121" spans="1:58" x14ac:dyDescent="0.25">
      <c r="A121" s="29"/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</row>
    <row r="122" spans="1:58" x14ac:dyDescent="0.25">
      <c r="A122" s="29"/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</row>
    <row r="123" spans="1:58" x14ac:dyDescent="0.25">
      <c r="A123" s="29"/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</row>
    <row r="124" spans="1:58" x14ac:dyDescent="0.25">
      <c r="A124" s="29"/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</row>
    <row r="125" spans="1:58" x14ac:dyDescent="0.25">
      <c r="A125" s="29"/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</row>
    <row r="126" spans="1:58" x14ac:dyDescent="0.25">
      <c r="A126" s="29"/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</row>
    <row r="127" spans="1:58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</row>
    <row r="128" spans="1:58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</row>
    <row r="129" spans="1:58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</row>
    <row r="130" spans="1:58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</row>
    <row r="131" spans="1:58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</row>
    <row r="132" spans="1:58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</row>
    <row r="133" spans="1:58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</row>
    <row r="134" spans="1:58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</row>
    <row r="135" spans="1:58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</row>
    <row r="136" spans="1:58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</row>
    <row r="137" spans="1:58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</row>
    <row r="138" spans="1:58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</row>
    <row r="139" spans="1:58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</row>
    <row r="140" spans="1:58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</row>
    <row r="141" spans="1:58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</row>
    <row r="142" spans="1:58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</row>
    <row r="143" spans="1:58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</row>
    <row r="144" spans="1:58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</row>
    <row r="145" spans="1:58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</row>
    <row r="146" spans="1:58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</row>
    <row r="147" spans="1:58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</row>
    <row r="148" spans="1:58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</row>
    <row r="149" spans="1:58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</row>
    <row r="150" spans="1:58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</row>
    <row r="151" spans="1:58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</row>
    <row r="152" spans="1:58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</row>
    <row r="153" spans="1:58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</row>
    <row r="154" spans="1:58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</row>
    <row r="155" spans="1:58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</row>
    <row r="156" spans="1:58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</row>
    <row r="157" spans="1:58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</row>
    <row r="158" spans="1:58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</row>
    <row r="159" spans="1:58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</row>
    <row r="160" spans="1:58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</row>
    <row r="161" spans="1:58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</row>
    <row r="162" spans="1:58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</row>
    <row r="163" spans="1:58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</row>
    <row r="164" spans="1:58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</row>
    <row r="165" spans="1:58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</row>
    <row r="166" spans="1:58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</row>
    <row r="167" spans="1:58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</row>
    <row r="168" spans="1:58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</row>
    <row r="169" spans="1:58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</row>
    <row r="170" spans="1:58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</row>
    <row r="171" spans="1:58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</row>
    <row r="172" spans="1:58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</row>
    <row r="173" spans="1:58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</row>
    <row r="174" spans="1:58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</row>
    <row r="175" spans="1:58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</row>
    <row r="176" spans="1:58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</row>
    <row r="177" spans="1:58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</row>
    <row r="178" spans="1:58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</row>
    <row r="179" spans="1:58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</row>
    <row r="180" spans="1:58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</row>
    <row r="181" spans="1:58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</row>
    <row r="182" spans="1:58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</row>
    <row r="183" spans="1:58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</row>
    <row r="184" spans="1:58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</row>
    <row r="185" spans="1:58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</row>
    <row r="186" spans="1:58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</row>
    <row r="187" spans="1:58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</row>
    <row r="188" spans="1:58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</row>
    <row r="189" spans="1:58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</row>
    <row r="190" spans="1:58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</row>
    <row r="191" spans="1:58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</row>
    <row r="192" spans="1:58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</row>
    <row r="193" spans="1:58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</row>
    <row r="194" spans="1:58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</row>
    <row r="195" spans="1:58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</row>
    <row r="196" spans="1:58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</row>
    <row r="197" spans="1:58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</row>
    <row r="198" spans="1:58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</row>
    <row r="199" spans="1:58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</row>
    <row r="200" spans="1:58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</row>
    <row r="201" spans="1:58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</row>
    <row r="202" spans="1:58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</row>
    <row r="203" spans="1:58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</row>
    <row r="204" spans="1:58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</row>
    <row r="205" spans="1:58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</row>
    <row r="206" spans="1:58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</row>
    <row r="207" spans="1:58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</row>
    <row r="208" spans="1:58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</row>
    <row r="209" spans="1:58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</row>
    <row r="210" spans="1:58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</row>
    <row r="211" spans="1:58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</row>
    <row r="212" spans="1:58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</row>
    <row r="213" spans="1:58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</row>
    <row r="214" spans="1:58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</row>
    <row r="215" spans="1:5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</row>
    <row r="216" spans="1:5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</row>
    <row r="217" spans="1:5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</row>
    <row r="218" spans="1:5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</row>
    <row r="219" spans="1:5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</row>
    <row r="220" spans="1:5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</row>
    <row r="221" spans="1:5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</row>
    <row r="222" spans="1:5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</row>
    <row r="223" spans="1:5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</row>
    <row r="224" spans="1:5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</row>
    <row r="225" spans="1:58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</row>
    <row r="226" spans="1:58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</row>
    <row r="227" spans="1:58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</row>
    <row r="228" spans="1:58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</row>
    <row r="229" spans="1:5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</row>
    <row r="230" spans="1:5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</row>
    <row r="231" spans="1:5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</row>
    <row r="232" spans="1:5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</row>
    <row r="233" spans="1:5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</row>
    <row r="234" spans="1:5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</row>
    <row r="235" spans="1:5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</row>
    <row r="236" spans="1:5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</row>
    <row r="237" spans="1:5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</row>
    <row r="238" spans="1:5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</row>
    <row r="239" spans="1:5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</row>
    <row r="240" spans="1:5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</row>
    <row r="241" spans="1:58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</row>
    <row r="242" spans="1:58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</row>
    <row r="243" spans="1:58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</row>
    <row r="244" spans="1:58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</row>
    <row r="245" spans="1:58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</row>
    <row r="246" spans="1:58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</row>
    <row r="247" spans="1:58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</row>
    <row r="248" spans="1:58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</row>
    <row r="249" spans="1:58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</row>
    <row r="250" spans="1:58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</row>
    <row r="251" spans="1:58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</row>
    <row r="252" spans="1:58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</row>
    <row r="253" spans="1:58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</row>
    <row r="254" spans="1:58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</row>
    <row r="255" spans="1:58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</row>
    <row r="256" spans="1:58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</row>
    <row r="257" spans="1:58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</row>
    <row r="258" spans="1:58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</row>
    <row r="259" spans="1:58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</row>
    <row r="260" spans="1:58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</row>
    <row r="261" spans="1:58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</row>
    <row r="262" spans="1:58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</row>
    <row r="263" spans="1:58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</row>
    <row r="264" spans="1:58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</row>
    <row r="265" spans="1:58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</row>
    <row r="266" spans="1:58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</row>
    <row r="267" spans="1:58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</row>
    <row r="268" spans="1:58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</row>
    <row r="269" spans="1:58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</row>
    <row r="270" spans="1:58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</row>
    <row r="271" spans="1:58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</row>
    <row r="272" spans="1:58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</row>
    <row r="273" spans="1:58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</row>
    <row r="274" spans="1:58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</row>
    <row r="275" spans="1:58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</row>
    <row r="276" spans="1:58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</row>
    <row r="277" spans="1:58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</row>
    <row r="278" spans="1:58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</row>
    <row r="279" spans="1:58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</row>
    <row r="280" spans="1:58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</row>
    <row r="281" spans="1:58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</row>
    <row r="282" spans="1:58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</row>
    <row r="283" spans="1:58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</row>
    <row r="284" spans="1:58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</row>
    <row r="285" spans="1:58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</row>
    <row r="286" spans="1:58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</row>
    <row r="287" spans="1:58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</row>
    <row r="288" spans="1:58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</row>
    <row r="289" spans="1:58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</row>
    <row r="290" spans="1:58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</row>
    <row r="291" spans="1:58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</row>
    <row r="292" spans="1:58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</row>
    <row r="293" spans="1:58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</row>
    <row r="294" spans="1:58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</row>
    <row r="295" spans="1:58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</row>
    <row r="296" spans="1:58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</row>
    <row r="297" spans="1:58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</row>
    <row r="298" spans="1:58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</row>
    <row r="299" spans="1:58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</row>
    <row r="300" spans="1:58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</row>
    <row r="301" spans="1:58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</row>
    <row r="302" spans="1:58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</row>
    <row r="303" spans="1:58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</row>
    <row r="304" spans="1:58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</row>
    <row r="305" spans="1:58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</row>
    <row r="306" spans="1:58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</row>
    <row r="307" spans="1:58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</row>
    <row r="308" spans="1:58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</row>
    <row r="309" spans="1:58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</row>
    <row r="310" spans="1:58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</row>
    <row r="311" spans="1:58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</row>
    <row r="312" spans="1:58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</row>
    <row r="313" spans="1:58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</row>
    <row r="314" spans="1:58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</row>
    <row r="315" spans="1:58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</row>
    <row r="316" spans="1:58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</row>
  </sheetData>
  <sheetProtection sheet="1" objects="1" scenarios="1"/>
  <mergeCells count="2">
    <mergeCell ref="A1:B1"/>
    <mergeCell ref="A2:B2"/>
  </mergeCells>
  <hyperlinks>
    <hyperlink ref="A1" location="'TqRsDg_Per1'!A1" display="'TqRsDg_Per1'!A1"/>
  </hyperlink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I11"/>
  <sheetViews>
    <sheetView workbookViewId="0"/>
  </sheetViews>
  <sheetFormatPr defaultRowHeight="15" x14ac:dyDescent="0.25"/>
  <cols>
    <col min="1" max="1" width="31.5703125" style="60" customWidth="1"/>
    <col min="2" max="2" width="50.7109375" style="60" bestFit="1" customWidth="1"/>
    <col min="3" max="3" width="19.140625" style="60" customWidth="1"/>
    <col min="4" max="16384" width="9.140625" style="60"/>
  </cols>
  <sheetData>
    <row r="1" spans="1:9" x14ac:dyDescent="0.25">
      <c r="A1" s="77" t="s">
        <v>173</v>
      </c>
      <c r="B1" s="78">
        <f>DATE(2016,9,30)</f>
        <v>42643</v>
      </c>
      <c r="C1" s="79"/>
      <c r="D1" s="79"/>
      <c r="E1" s="79"/>
      <c r="F1" s="79"/>
      <c r="G1" s="79"/>
      <c r="H1" s="79"/>
      <c r="I1" s="79"/>
    </row>
    <row r="2" spans="1:9" x14ac:dyDescent="0.25">
      <c r="A2" s="80" t="s">
        <v>174</v>
      </c>
      <c r="B2" s="81" t="s">
        <v>211</v>
      </c>
      <c r="C2" s="80" t="s">
        <v>175</v>
      </c>
      <c r="D2" s="185" t="s">
        <v>333</v>
      </c>
      <c r="E2" s="186"/>
      <c r="F2" s="186"/>
      <c r="G2" s="186"/>
      <c r="H2" s="186"/>
      <c r="I2" s="187"/>
    </row>
    <row r="3" spans="1:9" x14ac:dyDescent="0.25">
      <c r="A3" s="80" t="s">
        <v>177</v>
      </c>
      <c r="B3" s="82" t="s">
        <v>336</v>
      </c>
      <c r="C3" s="80" t="s">
        <v>178</v>
      </c>
      <c r="D3" s="185" t="s">
        <v>334</v>
      </c>
      <c r="E3" s="186"/>
      <c r="F3" s="186"/>
      <c r="G3" s="186"/>
      <c r="H3" s="186"/>
      <c r="I3" s="187"/>
    </row>
    <row r="4" spans="1:9" x14ac:dyDescent="0.25">
      <c r="A4" s="188" t="s">
        <v>179</v>
      </c>
      <c r="B4" s="83" t="s">
        <v>180</v>
      </c>
      <c r="C4" s="83" t="s">
        <v>181</v>
      </c>
      <c r="D4" s="83" t="s">
        <v>182</v>
      </c>
      <c r="E4" s="83" t="s">
        <v>183</v>
      </c>
      <c r="F4" s="84" t="s">
        <v>184</v>
      </c>
      <c r="G4" s="84" t="s">
        <v>185</v>
      </c>
      <c r="H4" s="84" t="s">
        <v>186</v>
      </c>
      <c r="I4" s="84" t="s">
        <v>187</v>
      </c>
    </row>
    <row r="5" spans="1:9" x14ac:dyDescent="0.25">
      <c r="A5" s="189"/>
      <c r="B5" s="113">
        <v>0.98270000000000002</v>
      </c>
      <c r="C5" s="114">
        <v>0.97560000000000002</v>
      </c>
      <c r="D5" s="113">
        <v>0.97770000000000001</v>
      </c>
      <c r="E5" s="113">
        <v>0.97719999999999996</v>
      </c>
      <c r="F5" s="113">
        <v>0.97499999999999998</v>
      </c>
      <c r="G5" s="84">
        <v>113</v>
      </c>
      <c r="H5" s="84">
        <v>137</v>
      </c>
      <c r="I5" s="84">
        <v>0</v>
      </c>
    </row>
    <row r="6" spans="1:9" x14ac:dyDescent="0.25">
      <c r="A6" s="85" t="s">
        <v>188</v>
      </c>
      <c r="B6" s="182" t="s">
        <v>365</v>
      </c>
      <c r="C6" s="183"/>
      <c r="D6" s="183"/>
      <c r="E6" s="183"/>
      <c r="F6" s="183"/>
      <c r="G6" s="183"/>
      <c r="H6" s="183"/>
      <c r="I6" s="184"/>
    </row>
    <row r="7" spans="1:9" x14ac:dyDescent="0.25">
      <c r="A7" s="85" t="s">
        <v>189</v>
      </c>
      <c r="B7" s="195" t="s">
        <v>367</v>
      </c>
      <c r="C7" s="196"/>
      <c r="D7" s="196"/>
      <c r="E7" s="196"/>
      <c r="F7" s="196"/>
      <c r="G7" s="196"/>
      <c r="H7" s="196"/>
      <c r="I7" s="197"/>
    </row>
    <row r="8" spans="1:9" ht="15" customHeight="1" x14ac:dyDescent="0.25">
      <c r="A8" s="85" t="s">
        <v>190</v>
      </c>
      <c r="B8" s="182" t="s">
        <v>176</v>
      </c>
      <c r="C8" s="183"/>
      <c r="D8" s="183"/>
      <c r="E8" s="183"/>
      <c r="F8" s="183" t="s">
        <v>176</v>
      </c>
      <c r="G8" s="183"/>
      <c r="H8" s="183"/>
      <c r="I8" s="184"/>
    </row>
    <row r="9" spans="1:9" ht="15" customHeight="1" x14ac:dyDescent="0.25">
      <c r="A9" s="85" t="s">
        <v>191</v>
      </c>
      <c r="B9" s="182" t="s">
        <v>176</v>
      </c>
      <c r="C9" s="183"/>
      <c r="D9" s="183"/>
      <c r="E9" s="183"/>
      <c r="F9" s="183"/>
      <c r="G9" s="183"/>
      <c r="H9" s="183"/>
      <c r="I9" s="184"/>
    </row>
    <row r="10" spans="1:9" x14ac:dyDescent="0.25">
      <c r="A10" s="85" t="s">
        <v>192</v>
      </c>
      <c r="B10" s="182" t="s">
        <v>366</v>
      </c>
      <c r="C10" s="183"/>
      <c r="D10" s="183"/>
      <c r="E10" s="183"/>
      <c r="F10" s="183"/>
      <c r="G10" s="183"/>
      <c r="H10" s="183"/>
      <c r="I10" s="184"/>
    </row>
    <row r="11" spans="1:9" x14ac:dyDescent="0.25">
      <c r="B11" s="60" t="s">
        <v>193</v>
      </c>
    </row>
  </sheetData>
  <mergeCells count="8">
    <mergeCell ref="B10:I10"/>
    <mergeCell ref="D2:I2"/>
    <mergeCell ref="D3:I3"/>
    <mergeCell ref="A4:A5"/>
    <mergeCell ref="B6:I6"/>
    <mergeCell ref="B7:I7"/>
    <mergeCell ref="B8:I8"/>
    <mergeCell ref="B9:I9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G13"/>
  <sheetViews>
    <sheetView workbookViewId="0"/>
  </sheetViews>
  <sheetFormatPr defaultRowHeight="15" x14ac:dyDescent="0.25"/>
  <cols>
    <col min="1" max="1" width="7.42578125" style="60" bestFit="1" customWidth="1"/>
    <col min="2" max="2" width="9.140625" style="60"/>
    <col min="3" max="3" width="21.7109375" style="60" bestFit="1" customWidth="1"/>
    <col min="4" max="4" width="56.42578125" style="60" customWidth="1"/>
    <col min="5" max="5" width="32.5703125" style="60" customWidth="1"/>
    <col min="6" max="6" width="7" style="60" bestFit="1" customWidth="1"/>
    <col min="7" max="7" width="10.85546875" style="60" bestFit="1" customWidth="1"/>
    <col min="8" max="16384" width="9.140625" style="60"/>
  </cols>
  <sheetData>
    <row r="1" spans="1:7" x14ac:dyDescent="0.25">
      <c r="A1" s="102" t="s">
        <v>206</v>
      </c>
      <c r="B1" s="102" t="s">
        <v>207</v>
      </c>
      <c r="C1" s="104" t="s">
        <v>208</v>
      </c>
      <c r="D1" s="103" t="s">
        <v>209</v>
      </c>
      <c r="E1" s="103" t="s">
        <v>210</v>
      </c>
    </row>
    <row r="2" spans="1:7" ht="15" customHeight="1" x14ac:dyDescent="0.25">
      <c r="A2" s="60">
        <v>1</v>
      </c>
      <c r="B2" s="60">
        <v>13516</v>
      </c>
      <c r="C2" s="60" t="s">
        <v>212</v>
      </c>
      <c r="D2" s="76" t="s">
        <v>176</v>
      </c>
      <c r="E2" s="76" t="s">
        <v>176</v>
      </c>
      <c r="F2" s="76"/>
      <c r="G2" s="76"/>
    </row>
    <row r="3" spans="1:7" ht="15" customHeight="1" x14ac:dyDescent="0.25">
      <c r="A3" s="60">
        <v>2</v>
      </c>
      <c r="B3" s="60">
        <v>9290</v>
      </c>
      <c r="C3" s="107" t="s">
        <v>336</v>
      </c>
      <c r="D3" s="111" t="s">
        <v>337</v>
      </c>
      <c r="E3" s="117" t="s">
        <v>358</v>
      </c>
    </row>
    <row r="4" spans="1:7" ht="15" customHeight="1" x14ac:dyDescent="0.25">
      <c r="A4" s="60">
        <v>3</v>
      </c>
      <c r="B4" s="60">
        <v>9290</v>
      </c>
      <c r="C4" s="107" t="s">
        <v>336</v>
      </c>
      <c r="D4" s="116" t="s">
        <v>357</v>
      </c>
      <c r="E4" s="117" t="s">
        <v>359</v>
      </c>
    </row>
    <row r="13" spans="1:7" ht="19.5" customHeight="1" x14ac:dyDescent="0.25"/>
  </sheetData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2:G19"/>
  <sheetViews>
    <sheetView workbookViewId="0"/>
  </sheetViews>
  <sheetFormatPr defaultRowHeight="15" x14ac:dyDescent="0.25"/>
  <cols>
    <col min="1" max="1" width="26" style="60" bestFit="1" customWidth="1"/>
    <col min="2" max="2" width="27.85546875" style="60" bestFit="1" customWidth="1"/>
    <col min="3" max="3" width="22.7109375" style="60" bestFit="1" customWidth="1"/>
    <col min="4" max="4" width="22.7109375" style="60" customWidth="1"/>
    <col min="5" max="5" width="19.28515625" style="60" bestFit="1" customWidth="1"/>
    <col min="6" max="6" width="20.28515625" style="60" bestFit="1" customWidth="1"/>
    <col min="7" max="7" width="21.85546875" style="60" bestFit="1" customWidth="1"/>
    <col min="8" max="8" width="22.28515625" style="60" bestFit="1" customWidth="1"/>
    <col min="9" max="9" width="22.28515625" style="60" customWidth="1"/>
    <col min="10" max="10" width="20.85546875" style="60" bestFit="1" customWidth="1"/>
    <col min="11" max="11" width="16.7109375" style="60" bestFit="1" customWidth="1"/>
    <col min="12" max="12" width="17.42578125" style="60" bestFit="1" customWidth="1"/>
    <col min="13" max="13" width="17.5703125" style="60" bestFit="1" customWidth="1"/>
    <col min="14" max="14" width="21.5703125" style="60" bestFit="1" customWidth="1"/>
    <col min="15" max="16384" width="9.140625" style="60"/>
  </cols>
  <sheetData>
    <row r="2" spans="1:7" ht="15.75" thickBot="1" x14ac:dyDescent="0.3"/>
    <row r="3" spans="1:7" ht="15.75" thickBot="1" x14ac:dyDescent="0.3">
      <c r="A3" s="86" t="s">
        <v>194</v>
      </c>
      <c r="B3" s="87" t="s">
        <v>211</v>
      </c>
      <c r="E3" s="86" t="s">
        <v>195</v>
      </c>
      <c r="F3" s="134" t="s">
        <v>333</v>
      </c>
    </row>
    <row r="4" spans="1:7" x14ac:dyDescent="0.25">
      <c r="A4" s="190" t="s">
        <v>196</v>
      </c>
      <c r="B4" s="128" t="s">
        <v>197</v>
      </c>
      <c r="C4" s="126">
        <v>1484</v>
      </c>
      <c r="D4" s="120"/>
    </row>
    <row r="5" spans="1:7" ht="15.75" thickBot="1" x14ac:dyDescent="0.3">
      <c r="A5" s="191"/>
      <c r="B5" s="129" t="s">
        <v>198</v>
      </c>
      <c r="C5" s="127">
        <v>2105</v>
      </c>
      <c r="D5" s="91"/>
      <c r="F5" s="3"/>
    </row>
    <row r="6" spans="1:7" ht="15.75" thickBot="1" x14ac:dyDescent="0.3">
      <c r="A6" s="91"/>
      <c r="B6" s="91"/>
      <c r="C6" s="91"/>
      <c r="D6" s="91"/>
    </row>
    <row r="7" spans="1:7" ht="15.75" thickBot="1" x14ac:dyDescent="0.3">
      <c r="A7" s="92" t="s">
        <v>199</v>
      </c>
      <c r="B7" s="93">
        <v>2</v>
      </c>
      <c r="G7" s="94"/>
    </row>
    <row r="8" spans="1:7" x14ac:dyDescent="0.25">
      <c r="A8" s="95" t="s">
        <v>200</v>
      </c>
      <c r="B8" s="96">
        <v>1</v>
      </c>
      <c r="C8" s="192" t="s">
        <v>53</v>
      </c>
      <c r="D8" s="91"/>
      <c r="G8" s="94"/>
    </row>
    <row r="9" spans="1:7" ht="15.75" thickBot="1" x14ac:dyDescent="0.3">
      <c r="A9" s="97" t="s">
        <v>201</v>
      </c>
      <c r="B9" s="194" t="s">
        <v>364</v>
      </c>
      <c r="C9" s="122" t="s">
        <v>214</v>
      </c>
      <c r="D9" s="91"/>
      <c r="F9" s="3"/>
      <c r="G9" s="94"/>
    </row>
    <row r="10" spans="1:7" x14ac:dyDescent="0.25">
      <c r="D10" s="91"/>
      <c r="F10" s="98"/>
    </row>
    <row r="11" spans="1:7" ht="15.75" thickBot="1" x14ac:dyDescent="0.3">
      <c r="D11" s="91"/>
    </row>
    <row r="12" spans="1:7" ht="15.75" thickBot="1" x14ac:dyDescent="0.3">
      <c r="A12" s="133"/>
      <c r="B12" s="193" t="s">
        <v>202</v>
      </c>
      <c r="C12" s="193" t="s">
        <v>53</v>
      </c>
      <c r="D12" s="91"/>
    </row>
    <row r="13" spans="1:7" x14ac:dyDescent="0.25">
      <c r="A13" s="130" t="s">
        <v>203</v>
      </c>
      <c r="B13" s="131">
        <v>1066</v>
      </c>
      <c r="C13" s="132">
        <v>856</v>
      </c>
      <c r="D13" s="121"/>
      <c r="F13" s="3"/>
    </row>
    <row r="14" spans="1:7" x14ac:dyDescent="0.25">
      <c r="A14" s="95" t="s">
        <v>204</v>
      </c>
      <c r="B14" s="108">
        <v>40</v>
      </c>
      <c r="C14" s="123">
        <v>40</v>
      </c>
      <c r="D14" s="121"/>
      <c r="F14" s="3"/>
    </row>
    <row r="15" spans="1:7" ht="15.75" thickBot="1" x14ac:dyDescent="0.3">
      <c r="A15" s="97" t="s">
        <v>205</v>
      </c>
      <c r="B15" s="124">
        <v>76</v>
      </c>
      <c r="C15" s="125">
        <v>76</v>
      </c>
      <c r="D15" s="121"/>
      <c r="F15" s="3"/>
    </row>
    <row r="16" spans="1:7" ht="15.75" thickBot="1" x14ac:dyDescent="0.3">
      <c r="C16" s="98"/>
      <c r="D16" s="98"/>
    </row>
    <row r="17" spans="1:5" x14ac:dyDescent="0.25">
      <c r="A17" s="190" t="s">
        <v>196</v>
      </c>
      <c r="B17" s="88" t="s">
        <v>197</v>
      </c>
      <c r="C17" s="105">
        <v>1484</v>
      </c>
      <c r="D17" s="120"/>
      <c r="E17" s="99"/>
    </row>
    <row r="18" spans="1:5" ht="15.75" thickBot="1" x14ac:dyDescent="0.3">
      <c r="A18" s="191"/>
      <c r="B18" s="89" t="s">
        <v>198</v>
      </c>
      <c r="C18" s="90">
        <v>2105</v>
      </c>
      <c r="D18" s="91"/>
    </row>
    <row r="19" spans="1:5" s="100" customFormat="1" ht="3" customHeight="1" x14ac:dyDescent="0.25">
      <c r="A19" s="99"/>
      <c r="C19" s="101"/>
      <c r="D19" s="101"/>
      <c r="E19" s="60"/>
    </row>
  </sheetData>
  <mergeCells count="2">
    <mergeCell ref="A4:A5"/>
    <mergeCell ref="A17:A18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51" t="s">
        <v>0</v>
      </c>
      <c r="B5" s="151"/>
      <c r="C5" s="151"/>
      <c r="D5" s="151"/>
      <c r="E5" s="151"/>
    </row>
    <row r="6" spans="1:5" x14ac:dyDescent="0.25">
      <c r="A6" s="1"/>
      <c r="B6" s="1"/>
      <c r="C6" s="1"/>
      <c r="D6" s="1"/>
      <c r="E6" s="1"/>
    </row>
    <row r="7" spans="1:5" x14ac:dyDescent="0.25">
      <c r="A7" s="152" t="s">
        <v>129</v>
      </c>
      <c r="B7" s="152"/>
      <c r="C7" s="152"/>
      <c r="D7" s="152"/>
      <c r="E7" s="152"/>
    </row>
    <row r="8" spans="1:5" x14ac:dyDescent="0.25">
      <c r="A8" s="1"/>
      <c r="B8" s="1"/>
      <c r="C8" s="1"/>
      <c r="D8" s="1"/>
      <c r="E8" s="1"/>
    </row>
    <row r="9" spans="1:5" x14ac:dyDescent="0.25">
      <c r="A9" s="112" t="s">
        <v>338</v>
      </c>
      <c r="B9" s="112" t="s">
        <v>339</v>
      </c>
      <c r="C9" s="112" t="s">
        <v>340</v>
      </c>
      <c r="D9" s="112" t="s">
        <v>54</v>
      </c>
      <c r="E9" s="112" t="s">
        <v>55</v>
      </c>
    </row>
    <row r="10" spans="1:5" x14ac:dyDescent="0.25">
      <c r="A10" s="76"/>
      <c r="B10" s="76"/>
      <c r="C10" s="76"/>
      <c r="D10" s="76"/>
      <c r="E10" s="76"/>
    </row>
    <row r="11" spans="1:5" x14ac:dyDescent="0.25">
      <c r="A11" s="76"/>
      <c r="B11" s="76"/>
      <c r="C11" s="76"/>
      <c r="D11" s="76"/>
      <c r="E11" s="76"/>
    </row>
    <row r="12" spans="1:5" x14ac:dyDescent="0.25">
      <c r="A12" s="76"/>
      <c r="B12" s="76"/>
      <c r="C12" s="76"/>
      <c r="D12" s="76"/>
      <c r="E12" s="76"/>
    </row>
    <row r="13" spans="1:5" x14ac:dyDescent="0.25">
      <c r="A13" s="76"/>
      <c r="B13" s="76"/>
      <c r="C13" s="76"/>
      <c r="D13" s="76"/>
      <c r="E13" s="76"/>
    </row>
    <row r="14" spans="1:5" x14ac:dyDescent="0.25">
      <c r="A14" s="76"/>
      <c r="B14" s="76"/>
      <c r="C14" s="76"/>
      <c r="D14" s="76"/>
      <c r="E14" s="76"/>
    </row>
    <row r="15" spans="1:5" x14ac:dyDescent="0.25">
      <c r="A15" s="76"/>
      <c r="B15" s="76"/>
      <c r="C15" s="76"/>
      <c r="D15" s="76"/>
      <c r="E15" s="76"/>
    </row>
    <row r="16" spans="1:5" x14ac:dyDescent="0.25">
      <c r="A16" s="76"/>
      <c r="B16" s="76"/>
      <c r="C16" s="76"/>
      <c r="D16" s="76"/>
      <c r="E16" s="76"/>
    </row>
    <row r="17" spans="1:5" x14ac:dyDescent="0.25">
      <c r="A17" s="76"/>
      <c r="B17" s="76"/>
      <c r="C17" s="76"/>
      <c r="D17" s="76"/>
      <c r="E17" s="76"/>
    </row>
    <row r="18" spans="1:5" x14ac:dyDescent="0.25">
      <c r="A18" s="76"/>
      <c r="B18" s="76"/>
      <c r="C18" s="76"/>
      <c r="D18" s="76"/>
      <c r="E18" s="76"/>
    </row>
    <row r="19" spans="1:5" x14ac:dyDescent="0.25">
      <c r="A19" s="76"/>
      <c r="B19" s="76"/>
      <c r="C19" s="76"/>
      <c r="D19" s="76"/>
      <c r="E19" s="76"/>
    </row>
    <row r="20" spans="1:5" x14ac:dyDescent="0.25">
      <c r="A20" s="76"/>
      <c r="B20" s="76"/>
      <c r="C20" s="76"/>
      <c r="D20" s="76"/>
      <c r="E20" s="76"/>
    </row>
    <row r="21" spans="1:5" x14ac:dyDescent="0.25">
      <c r="A21" s="76"/>
      <c r="B21" s="76"/>
      <c r="C21" s="76"/>
      <c r="D21" s="76"/>
      <c r="E21" s="76"/>
    </row>
    <row r="22" spans="1:5" x14ac:dyDescent="0.25">
      <c r="A22" s="76"/>
      <c r="B22" s="76"/>
      <c r="C22" s="76"/>
      <c r="D22" s="76"/>
      <c r="E22" s="76"/>
    </row>
    <row r="23" spans="1:5" x14ac:dyDescent="0.25">
      <c r="A23" s="76"/>
      <c r="B23" s="76"/>
      <c r="C23" s="76"/>
      <c r="D23" s="76"/>
      <c r="E23" s="76"/>
    </row>
    <row r="24" spans="1:5" x14ac:dyDescent="0.25">
      <c r="A24" s="76"/>
      <c r="B24" s="76"/>
      <c r="C24" s="76"/>
      <c r="D24" s="76"/>
      <c r="E24" s="76"/>
    </row>
    <row r="25" spans="1:5" x14ac:dyDescent="0.25">
      <c r="A25" s="76"/>
      <c r="B25" s="76"/>
      <c r="C25" s="76"/>
      <c r="D25" s="76"/>
      <c r="E25" s="76"/>
    </row>
    <row r="26" spans="1:5" x14ac:dyDescent="0.25">
      <c r="A26" s="76"/>
      <c r="B26" s="76"/>
      <c r="C26" s="76"/>
      <c r="D26" s="76"/>
      <c r="E26" s="76"/>
    </row>
    <row r="27" spans="1:5" x14ac:dyDescent="0.25">
      <c r="A27" s="76"/>
      <c r="B27" s="76"/>
      <c r="C27" s="76"/>
      <c r="D27" s="76"/>
      <c r="E27" s="76"/>
    </row>
    <row r="28" spans="1:5" x14ac:dyDescent="0.25">
      <c r="A28" s="76"/>
      <c r="B28" s="76"/>
      <c r="C28" s="76"/>
      <c r="D28" s="76"/>
      <c r="E28" s="76"/>
    </row>
    <row r="29" spans="1:5" x14ac:dyDescent="0.25">
      <c r="A29" s="76"/>
      <c r="B29" s="76"/>
      <c r="C29" s="76"/>
      <c r="D29" s="76"/>
      <c r="E29" s="76"/>
    </row>
    <row r="30" spans="1:5" x14ac:dyDescent="0.25">
      <c r="A30" s="76"/>
      <c r="B30" s="76"/>
      <c r="C30" s="76"/>
      <c r="D30" s="76"/>
      <c r="E30" s="76"/>
    </row>
    <row r="31" spans="1:5" x14ac:dyDescent="0.25">
      <c r="A31" s="76"/>
      <c r="B31" s="76"/>
      <c r="C31" s="76"/>
      <c r="D31" s="76"/>
      <c r="E31" s="76"/>
    </row>
    <row r="32" spans="1:5" x14ac:dyDescent="0.25">
      <c r="A32" s="76"/>
      <c r="B32" s="76"/>
      <c r="C32" s="76"/>
      <c r="D32" s="76"/>
      <c r="E32" s="76"/>
    </row>
    <row r="33" spans="1:5" x14ac:dyDescent="0.25">
      <c r="A33" s="76"/>
      <c r="B33" s="76"/>
      <c r="C33" s="76"/>
      <c r="D33" s="76"/>
      <c r="E33" s="76"/>
    </row>
    <row r="34" spans="1:5" x14ac:dyDescent="0.25">
      <c r="A34" s="76"/>
      <c r="B34" s="76"/>
      <c r="C34" s="76"/>
      <c r="D34" s="76"/>
      <c r="E34" s="76"/>
    </row>
    <row r="35" spans="1:5" x14ac:dyDescent="0.25">
      <c r="A35" s="76"/>
      <c r="B35" s="76"/>
      <c r="C35" s="76"/>
      <c r="D35" s="76"/>
      <c r="E35" s="76"/>
    </row>
    <row r="36" spans="1:5" x14ac:dyDescent="0.25">
      <c r="A36" s="76"/>
      <c r="B36" s="76"/>
      <c r="C36" s="76"/>
      <c r="D36" s="76"/>
      <c r="E36" s="76"/>
    </row>
    <row r="37" spans="1:5" x14ac:dyDescent="0.25">
      <c r="A37" s="76"/>
      <c r="B37" s="76"/>
      <c r="C37" s="76"/>
      <c r="D37" s="76"/>
      <c r="E37" s="76"/>
    </row>
    <row r="38" spans="1:5" x14ac:dyDescent="0.25">
      <c r="A38" s="76"/>
      <c r="B38" s="76"/>
      <c r="C38" s="76"/>
      <c r="D38" s="76"/>
      <c r="E38" s="76"/>
    </row>
    <row r="39" spans="1:5" x14ac:dyDescent="0.25">
      <c r="A39" s="76"/>
      <c r="B39" s="76"/>
      <c r="C39" s="76"/>
      <c r="D39" s="76"/>
      <c r="E39" s="76"/>
    </row>
    <row r="40" spans="1:5" x14ac:dyDescent="0.25">
      <c r="A40" s="76"/>
      <c r="B40" s="76"/>
      <c r="C40" s="76"/>
      <c r="D40" s="76"/>
      <c r="E40" s="76"/>
    </row>
    <row r="41" spans="1:5" x14ac:dyDescent="0.25">
      <c r="A41" s="76"/>
      <c r="B41" s="76"/>
      <c r="C41" s="76"/>
      <c r="D41" s="76"/>
      <c r="E41" s="76"/>
    </row>
    <row r="42" spans="1:5" x14ac:dyDescent="0.25">
      <c r="A42" s="76"/>
      <c r="B42" s="76"/>
      <c r="C42" s="76"/>
      <c r="D42" s="76"/>
      <c r="E42" s="76"/>
    </row>
    <row r="43" spans="1:5" x14ac:dyDescent="0.25">
      <c r="A43" s="76"/>
      <c r="B43" s="76"/>
      <c r="C43" s="76"/>
      <c r="D43" s="76"/>
      <c r="E43" s="76"/>
    </row>
    <row r="44" spans="1:5" x14ac:dyDescent="0.25">
      <c r="A44" s="76"/>
      <c r="B44" s="76"/>
      <c r="C44" s="76"/>
      <c r="D44" s="76"/>
      <c r="E44" s="76"/>
    </row>
    <row r="45" spans="1:5" x14ac:dyDescent="0.25">
      <c r="A45" s="76"/>
      <c r="B45" s="76"/>
      <c r="C45" s="76"/>
      <c r="D45" s="76"/>
      <c r="E45" s="76"/>
    </row>
    <row r="46" spans="1:5" x14ac:dyDescent="0.25">
      <c r="A46" s="76"/>
      <c r="B46" s="76"/>
      <c r="C46" s="76"/>
      <c r="D46" s="76"/>
      <c r="E46" s="76"/>
    </row>
    <row r="47" spans="1:5" x14ac:dyDescent="0.25">
      <c r="A47" s="76"/>
      <c r="B47" s="76"/>
      <c r="C47" s="76"/>
      <c r="D47" s="76"/>
      <c r="E47" s="76"/>
    </row>
    <row r="48" spans="1:5" x14ac:dyDescent="0.25">
      <c r="A48" s="76"/>
      <c r="B48" s="76"/>
      <c r="C48" s="76"/>
      <c r="D48" s="76"/>
      <c r="E48" s="76"/>
    </row>
    <row r="49" spans="1:5" x14ac:dyDescent="0.25">
      <c r="A49" s="76"/>
      <c r="B49" s="76"/>
      <c r="C49" s="76"/>
      <c r="D49" s="76"/>
      <c r="E49" s="76"/>
    </row>
    <row r="50" spans="1:5" x14ac:dyDescent="0.25">
      <c r="A50" s="76"/>
      <c r="B50" s="76"/>
      <c r="C50" s="76"/>
      <c r="D50" s="76"/>
      <c r="E50" s="76"/>
    </row>
    <row r="51" spans="1:5" x14ac:dyDescent="0.25">
      <c r="A51" s="76"/>
      <c r="B51" s="76"/>
      <c r="C51" s="76"/>
      <c r="D51" s="76"/>
      <c r="E51" s="76"/>
    </row>
    <row r="52" spans="1:5" x14ac:dyDescent="0.25">
      <c r="A52" s="76"/>
      <c r="B52" s="76"/>
      <c r="C52" s="76"/>
      <c r="D52" s="76"/>
      <c r="E52" s="76"/>
    </row>
    <row r="53" spans="1:5" x14ac:dyDescent="0.25">
      <c r="A53" s="76"/>
      <c r="B53" s="76"/>
      <c r="C53" s="76"/>
      <c r="D53" s="76"/>
      <c r="E53" s="76"/>
    </row>
    <row r="54" spans="1:5" x14ac:dyDescent="0.25">
      <c r="A54" s="76"/>
      <c r="B54" s="76"/>
      <c r="C54" s="76"/>
      <c r="D54" s="76"/>
      <c r="E54" s="76"/>
    </row>
    <row r="55" spans="1:5" x14ac:dyDescent="0.25">
      <c r="A55" s="76"/>
      <c r="B55" s="76"/>
      <c r="C55" s="76"/>
      <c r="D55" s="76"/>
      <c r="E55" s="76"/>
    </row>
    <row r="56" spans="1:5" x14ac:dyDescent="0.25">
      <c r="A56" s="76"/>
      <c r="B56" s="76"/>
      <c r="C56" s="76"/>
      <c r="D56" s="76"/>
      <c r="E56" s="76"/>
    </row>
    <row r="57" spans="1:5" x14ac:dyDescent="0.25">
      <c r="A57" s="76"/>
      <c r="B57" s="76"/>
      <c r="C57" s="76"/>
      <c r="D57" s="76"/>
      <c r="E57" s="76"/>
    </row>
    <row r="58" spans="1:5" x14ac:dyDescent="0.25">
      <c r="A58" s="76"/>
      <c r="B58" s="76"/>
      <c r="C58" s="76"/>
      <c r="D58" s="76"/>
      <c r="E58" s="76"/>
    </row>
    <row r="59" spans="1:5" x14ac:dyDescent="0.25">
      <c r="A59" s="76"/>
      <c r="B59" s="76"/>
      <c r="C59" s="76"/>
      <c r="D59" s="76"/>
      <c r="E59" s="76"/>
    </row>
    <row r="60" spans="1:5" x14ac:dyDescent="0.25">
      <c r="A60" s="76"/>
      <c r="B60" s="76"/>
      <c r="C60" s="76"/>
      <c r="D60" s="76"/>
      <c r="E60" s="76"/>
    </row>
    <row r="61" spans="1:5" x14ac:dyDescent="0.25">
      <c r="A61" s="76"/>
      <c r="B61" s="76"/>
      <c r="C61" s="76"/>
      <c r="D61" s="76"/>
      <c r="E61" s="76"/>
    </row>
    <row r="62" spans="1:5" x14ac:dyDescent="0.25">
      <c r="A62" s="76"/>
      <c r="B62" s="76"/>
      <c r="C62" s="76"/>
      <c r="D62" s="76"/>
      <c r="E62" s="76"/>
    </row>
    <row r="63" spans="1:5" x14ac:dyDescent="0.25">
      <c r="A63" s="76"/>
      <c r="B63" s="76"/>
      <c r="C63" s="76"/>
      <c r="D63" s="76"/>
      <c r="E63" s="76"/>
    </row>
    <row r="64" spans="1:5" x14ac:dyDescent="0.25">
      <c r="A64" s="76"/>
      <c r="B64" s="76"/>
      <c r="C64" s="76"/>
      <c r="D64" s="76"/>
      <c r="E64" s="76"/>
    </row>
    <row r="65" spans="1:5" x14ac:dyDescent="0.25">
      <c r="A65" s="76"/>
      <c r="B65" s="76"/>
      <c r="C65" s="76"/>
      <c r="D65" s="76"/>
      <c r="E65" s="76"/>
    </row>
    <row r="66" spans="1:5" x14ac:dyDescent="0.25">
      <c r="A66" s="76"/>
      <c r="B66" s="76"/>
      <c r="C66" s="76"/>
      <c r="D66" s="76"/>
      <c r="E66" s="76"/>
    </row>
    <row r="67" spans="1:5" x14ac:dyDescent="0.25">
      <c r="A67" s="76"/>
      <c r="B67" s="76"/>
      <c r="C67" s="76"/>
      <c r="D67" s="76"/>
      <c r="E67" s="76"/>
    </row>
    <row r="68" spans="1:5" x14ac:dyDescent="0.25">
      <c r="A68" s="76"/>
      <c r="B68" s="76"/>
      <c r="C68" s="76"/>
      <c r="D68" s="76"/>
      <c r="E68" s="76"/>
    </row>
    <row r="69" spans="1:5" x14ac:dyDescent="0.25">
      <c r="A69" s="76"/>
      <c r="B69" s="76"/>
      <c r="C69" s="76"/>
      <c r="D69" s="76"/>
      <c r="E69" s="76"/>
    </row>
    <row r="70" spans="1:5" x14ac:dyDescent="0.25">
      <c r="A70" s="76"/>
      <c r="B70" s="76"/>
      <c r="C70" s="76"/>
      <c r="D70" s="76"/>
      <c r="E70" s="76"/>
    </row>
    <row r="71" spans="1:5" x14ac:dyDescent="0.25">
      <c r="A71" s="76"/>
      <c r="B71" s="76"/>
      <c r="C71" s="76"/>
      <c r="D71" s="76"/>
      <c r="E71" s="76"/>
    </row>
    <row r="72" spans="1:5" x14ac:dyDescent="0.25">
      <c r="A72" s="76"/>
      <c r="B72" s="76"/>
      <c r="C72" s="76"/>
      <c r="D72" s="76"/>
      <c r="E72" s="76"/>
    </row>
    <row r="73" spans="1:5" x14ac:dyDescent="0.25">
      <c r="A73" s="76"/>
      <c r="B73" s="76"/>
      <c r="C73" s="76"/>
      <c r="D73" s="76"/>
      <c r="E73" s="76"/>
    </row>
    <row r="74" spans="1:5" x14ac:dyDescent="0.25">
      <c r="A74" s="76"/>
      <c r="B74" s="76"/>
      <c r="C74" s="76"/>
      <c r="D74" s="76"/>
      <c r="E74" s="76"/>
    </row>
    <row r="75" spans="1:5" x14ac:dyDescent="0.25">
      <c r="A75" s="76"/>
      <c r="B75" s="76"/>
      <c r="C75" s="76"/>
      <c r="D75" s="76"/>
      <c r="E75" s="76"/>
    </row>
    <row r="76" spans="1:5" x14ac:dyDescent="0.25">
      <c r="A76" s="76"/>
      <c r="B76" s="76"/>
      <c r="C76" s="76"/>
      <c r="D76" s="76"/>
      <c r="E76" s="76"/>
    </row>
    <row r="77" spans="1:5" x14ac:dyDescent="0.25">
      <c r="A77" s="76"/>
      <c r="B77" s="76"/>
      <c r="C77" s="76"/>
      <c r="D77" s="76"/>
      <c r="E77" s="76"/>
    </row>
    <row r="78" spans="1:5" x14ac:dyDescent="0.25">
      <c r="A78" s="76"/>
      <c r="B78" s="76"/>
      <c r="C78" s="76"/>
      <c r="D78" s="76"/>
      <c r="E78" s="76"/>
    </row>
    <row r="79" spans="1:5" x14ac:dyDescent="0.25">
      <c r="A79" s="76"/>
      <c r="B79" s="76"/>
      <c r="C79" s="76"/>
      <c r="D79" s="76"/>
      <c r="E79" s="76"/>
    </row>
    <row r="80" spans="1:5" x14ac:dyDescent="0.25">
      <c r="A80" s="76"/>
      <c r="B80" s="76"/>
      <c r="C80" s="76"/>
      <c r="D80" s="76"/>
      <c r="E80" s="76"/>
    </row>
    <row r="81" spans="1:5" x14ac:dyDescent="0.25">
      <c r="A81" s="76"/>
      <c r="B81" s="76"/>
      <c r="C81" s="76"/>
      <c r="D81" s="76"/>
      <c r="E81" s="76"/>
    </row>
    <row r="82" spans="1:5" x14ac:dyDescent="0.25">
      <c r="A82" s="76"/>
      <c r="B82" s="76"/>
      <c r="C82" s="76"/>
      <c r="D82" s="76"/>
      <c r="E82" s="76"/>
    </row>
    <row r="83" spans="1:5" x14ac:dyDescent="0.25">
      <c r="A83" s="76"/>
      <c r="B83" s="76"/>
      <c r="C83" s="76"/>
      <c r="D83" s="76"/>
      <c r="E83" s="76"/>
    </row>
    <row r="84" spans="1:5" x14ac:dyDescent="0.25">
      <c r="A84" s="76"/>
      <c r="B84" s="76"/>
      <c r="C84" s="76"/>
      <c r="D84" s="76"/>
      <c r="E84" s="76"/>
    </row>
    <row r="85" spans="1:5" x14ac:dyDescent="0.25">
      <c r="A85" s="76"/>
      <c r="B85" s="76"/>
      <c r="C85" s="76"/>
      <c r="D85" s="76"/>
      <c r="E85" s="76"/>
    </row>
    <row r="86" spans="1:5" x14ac:dyDescent="0.25">
      <c r="A86" s="76"/>
      <c r="B86" s="76"/>
      <c r="C86" s="76"/>
      <c r="D86" s="76"/>
      <c r="E86" s="76"/>
    </row>
    <row r="87" spans="1:5" x14ac:dyDescent="0.25">
      <c r="A87" s="76"/>
      <c r="B87" s="76"/>
      <c r="C87" s="76"/>
      <c r="D87" s="76"/>
      <c r="E87" s="76"/>
    </row>
    <row r="88" spans="1:5" x14ac:dyDescent="0.25">
      <c r="A88" s="76"/>
      <c r="B88" s="76"/>
      <c r="C88" s="76"/>
      <c r="D88" s="76"/>
      <c r="E88" s="76"/>
    </row>
    <row r="89" spans="1:5" x14ac:dyDescent="0.25">
      <c r="A89" s="76"/>
      <c r="B89" s="76"/>
      <c r="C89" s="76"/>
      <c r="D89" s="76"/>
      <c r="E89" s="76"/>
    </row>
    <row r="90" spans="1:5" x14ac:dyDescent="0.25">
      <c r="A90" s="76"/>
      <c r="B90" s="76"/>
      <c r="C90" s="76"/>
      <c r="D90" s="76"/>
      <c r="E90" s="76"/>
    </row>
    <row r="91" spans="1:5" x14ac:dyDescent="0.25">
      <c r="A91" s="76"/>
      <c r="B91" s="76"/>
      <c r="C91" s="76"/>
      <c r="D91" s="76"/>
      <c r="E91" s="76"/>
    </row>
    <row r="92" spans="1:5" x14ac:dyDescent="0.25">
      <c r="A92" s="76"/>
      <c r="B92" s="76"/>
      <c r="C92" s="76"/>
      <c r="D92" s="76"/>
      <c r="E92" s="76"/>
    </row>
    <row r="93" spans="1:5" x14ac:dyDescent="0.25">
      <c r="A93" s="76"/>
      <c r="B93" s="76"/>
      <c r="C93" s="76"/>
      <c r="D93" s="76"/>
      <c r="E93" s="76"/>
    </row>
    <row r="94" spans="1:5" x14ac:dyDescent="0.25">
      <c r="A94" s="76"/>
      <c r="B94" s="76"/>
      <c r="C94" s="76"/>
      <c r="D94" s="76"/>
      <c r="E94" s="76"/>
    </row>
    <row r="95" spans="1:5" x14ac:dyDescent="0.25">
      <c r="A95" s="76"/>
      <c r="B95" s="76"/>
      <c r="C95" s="76"/>
      <c r="D95" s="76"/>
      <c r="E95" s="76"/>
    </row>
    <row r="96" spans="1:5" x14ac:dyDescent="0.25">
      <c r="A96" s="76"/>
      <c r="B96" s="76"/>
      <c r="C96" s="76"/>
      <c r="D96" s="76"/>
      <c r="E96" s="76"/>
    </row>
    <row r="97" spans="1:5" x14ac:dyDescent="0.25">
      <c r="A97" s="76"/>
      <c r="B97" s="76"/>
      <c r="C97" s="76"/>
      <c r="D97" s="76"/>
      <c r="E97" s="76"/>
    </row>
    <row r="98" spans="1:5" x14ac:dyDescent="0.25">
      <c r="A98" s="76"/>
      <c r="B98" s="76"/>
      <c r="C98" s="76"/>
      <c r="D98" s="76"/>
      <c r="E98" s="76"/>
    </row>
    <row r="99" spans="1:5" x14ac:dyDescent="0.25">
      <c r="A99" s="76"/>
      <c r="B99" s="76"/>
      <c r="C99" s="76"/>
      <c r="D99" s="76"/>
      <c r="E99" s="76"/>
    </row>
    <row r="100" spans="1:5" x14ac:dyDescent="0.25">
      <c r="A100" s="76"/>
      <c r="B100" s="76"/>
      <c r="C100" s="76"/>
      <c r="D100" s="76"/>
      <c r="E100" s="76"/>
    </row>
    <row r="101" spans="1:5" x14ac:dyDescent="0.25">
      <c r="A101" s="76"/>
      <c r="B101" s="76"/>
      <c r="C101" s="76"/>
      <c r="D101" s="76"/>
      <c r="E101" s="76"/>
    </row>
    <row r="102" spans="1:5" x14ac:dyDescent="0.25">
      <c r="A102" s="76"/>
      <c r="B102" s="76"/>
      <c r="C102" s="76"/>
      <c r="D102" s="76"/>
      <c r="E102" s="76"/>
    </row>
    <row r="103" spans="1:5" x14ac:dyDescent="0.25">
      <c r="A103" s="76"/>
      <c r="B103" s="76"/>
      <c r="C103" s="76"/>
      <c r="D103" s="76"/>
      <c r="E103" s="76"/>
    </row>
    <row r="104" spans="1:5" x14ac:dyDescent="0.25">
      <c r="A104" s="76"/>
      <c r="B104" s="76"/>
      <c r="C104" s="76"/>
      <c r="D104" s="76"/>
      <c r="E104" s="76"/>
    </row>
    <row r="105" spans="1:5" x14ac:dyDescent="0.25">
      <c r="A105" s="76"/>
      <c r="B105" s="76"/>
      <c r="C105" s="76"/>
      <c r="D105" s="76"/>
      <c r="E105" s="76"/>
    </row>
    <row r="106" spans="1:5" x14ac:dyDescent="0.25">
      <c r="A106" s="76"/>
      <c r="B106" s="76"/>
      <c r="C106" s="76"/>
      <c r="D106" s="76"/>
      <c r="E106" s="76"/>
    </row>
    <row r="107" spans="1:5" x14ac:dyDescent="0.25">
      <c r="A107" s="76"/>
      <c r="B107" s="76"/>
      <c r="C107" s="76"/>
      <c r="D107" s="76"/>
      <c r="E107" s="76"/>
    </row>
    <row r="108" spans="1:5" x14ac:dyDescent="0.25">
      <c r="A108" s="76"/>
      <c r="B108" s="76"/>
      <c r="C108" s="76"/>
      <c r="D108" s="76"/>
      <c r="E108" s="76"/>
    </row>
    <row r="109" spans="1:5" x14ac:dyDescent="0.25">
      <c r="A109" s="76"/>
      <c r="B109" s="76"/>
      <c r="C109" s="76"/>
      <c r="D109" s="76"/>
      <c r="E109" s="76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</vt:i4>
      </vt:variant>
    </vt:vector>
  </HeadingPairs>
  <TitlesOfParts>
    <vt:vector size="17" baseType="lpstr">
      <vt:lpstr>Unit Test Information</vt:lpstr>
      <vt:lpstr>Embedded Files</vt:lpstr>
      <vt:lpstr>Module Definitions</vt:lpstr>
      <vt:lpstr>Variable Range</vt:lpstr>
      <vt:lpstr>TqRsDg_Init1</vt:lpstr>
      <vt:lpstr>TqRsDg_Init1() R</vt:lpstr>
      <vt:lpstr>TqRsDg_Per1</vt:lpstr>
      <vt:lpstr>TqRsDg_Per1() P</vt:lpstr>
      <vt:lpstr>TqRsDg_Per1() M</vt:lpstr>
      <vt:lpstr>TqRsDg_Per1() R</vt:lpstr>
      <vt:lpstr>Coverage Analysis</vt:lpstr>
      <vt:lpstr>Clarifications</vt:lpstr>
      <vt:lpstr>Metrics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NitinN1</dc:creator>
  <cp:lastModifiedBy>Priyanka Bothe</cp:lastModifiedBy>
  <dcterms:created xsi:type="dcterms:W3CDTF">2013-04-12T06:33:28Z</dcterms:created>
  <dcterms:modified xsi:type="dcterms:W3CDTF">2016-09-30T12:22:02Z</dcterms:modified>
</cp:coreProperties>
</file>