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C:\Components\PSA_CMP\PSA_CMP_EPS_TMS570\HLDD\"/>
    </mc:Choice>
  </mc:AlternateContent>
  <xr:revisionPtr revIDLastSave="0" documentId="13_ncr:80001_{57BF646A-1A93-4501-9F84-027AF62A960A}" xr6:coauthVersionLast="32" xr6:coauthVersionMax="32" xr10:uidLastSave="{00000000-0000-0000-0000-000000000000}"/>
  <bookViews>
    <workbookView xWindow="27495" yWindow="705" windowWidth="13215" windowHeight="11220" tabRatio="690" xr2:uid="{00000000-000D-0000-FFFF-FFFF00000000}"/>
  </bookViews>
  <sheets>
    <sheet name="Change Log" sheetId="7" r:id="rId1"/>
    <sheet name="Variable Dictionary" sheetId="26" r:id="rId2"/>
    <sheet name="Calibration Dictionary" sheetId="27" r:id="rId3"/>
    <sheet name="MemMap" sheetId="31" r:id="rId4"/>
    <sheet name="Global Constants" sheetId="10" r:id="rId5"/>
    <sheet name="NVM" sheetId="25" state="hidden" r:id="rId6"/>
    <sheet name="Layered Module List" sheetId="9" state="hidden" r:id="rId7"/>
    <sheet name="Template" sheetId="28" r:id="rId8"/>
    <sheet name="Help" sheetId="11" r:id="rId9"/>
    <sheet name="DataValidationLists" sheetId="30" state="hidden" r:id="rId10"/>
  </sheets>
  <externalReferences>
    <externalReference r:id="rId11"/>
  </externalReferences>
  <definedNames>
    <definedName name="_xlnm._FilterDatabase" localSheetId="2" hidden="1">'Calibration Dictionary'!$A$4:$N$1219</definedName>
    <definedName name="_xlnm._FilterDatabase" localSheetId="0" hidden="1">'Change Log'!$A$2:$D$3</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1" hidden="1">'Variable Dictionary'!$A$1:$S$5</definedName>
    <definedName name="ComponentDTCMask">'[1]Calibration Dictionary'!#REF!</definedName>
    <definedName name="ComponentFltRsp">'[1]Calibration Dictionary'!#REF!</definedName>
    <definedName name="DataFlow" localSheetId="4">'Global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DataValidationLists!$A$1:$A$205</definedName>
    <definedName name="FltRsp" localSheetId="2">'Calibration Dictionary'!#REF!</definedName>
    <definedName name="FltRsp" localSheetId="5">NVM!#REF!</definedName>
    <definedName name="FltRsp" localSheetId="1">'Variable Dictionary'!#REF!</definedName>
    <definedName name="FltRsp">#REF!</definedName>
    <definedName name="masterFddList" localSheetId="9">DataValidationLists!$A$1:$B$205</definedName>
    <definedName name="OLE_LINK11" localSheetId="2">'Calibration Dictionary'!#REF!</definedName>
    <definedName name="OLE_LINK11" localSheetId="5">NVM!#REF!</definedName>
    <definedName name="OLE_LINK11" localSheetId="1">'Variable Dictionary'!#REF!</definedName>
    <definedName name="OLE_LINK5" localSheetId="2">'Calibration Dictionary'!#REF!</definedName>
    <definedName name="OLE_LINK5" localSheetId="5">NVM!#REF!</definedName>
    <definedName name="OLE_LINK5" localSheetId="1">'Variable Dictionary'!#REF!</definedName>
    <definedName name="_xlnm.Print_Area" localSheetId="2">'Calibration Dictionary'!$A$1:$N$5</definedName>
    <definedName name="_xlnm.Print_Area" localSheetId="5">NVM!$A$1:$J$42</definedName>
    <definedName name="_xlnm.Print_Area" localSheetId="1">'Variable Dictionary'!$A$1:$P$5</definedName>
    <definedName name="_xlnm.Print_Titles" localSheetId="2">'Calibration Dictionary'!$1:$4</definedName>
    <definedName name="_xlnm.Print_Titles" localSheetId="6">'Layered Module List'!$1:$1</definedName>
    <definedName name="_xlnm.Print_Titles" localSheetId="5">NVM!$1:$4</definedName>
    <definedName name="_xlnm.Print_Titles" localSheetId="1">'Variable Dictionary'!$1:$4</definedName>
  </definedNames>
  <calcPr calcId="179017"/>
</workbook>
</file>

<file path=xl/calcChain.xml><?xml version="1.0" encoding="utf-8"?>
<calcChain xmlns="http://schemas.openxmlformats.org/spreadsheetml/2006/main">
  <c r="N753" i="27" l="1"/>
  <c r="N766" i="27"/>
  <c r="N767" i="27"/>
  <c r="N1009" i="27" l="1"/>
  <c r="N6" i="27" l="1"/>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4" i="27"/>
  <c r="N755" i="27"/>
  <c r="N756" i="27"/>
  <c r="N757" i="27"/>
  <c r="N758" i="27"/>
  <c r="N759" i="27"/>
  <c r="N760" i="27"/>
  <c r="N761" i="27"/>
  <c r="N762" i="27"/>
  <c r="N763" i="27"/>
  <c r="N764" i="27"/>
  <c r="N765"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5" i="27" l="1"/>
  <c r="K350" i="27" l="1"/>
  <c r="K348" i="27"/>
  <c r="A1" i="7" l="1"/>
  <c r="A1" i="31" s="1"/>
  <c r="A1" i="10" l="1"/>
  <c r="R3" i="27"/>
  <c r="R2" i="27"/>
  <c r="R1" i="27"/>
  <c r="A1" i="27" l="1"/>
  <c r="A1" i="26"/>
  <c r="A1"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Terry Smith</author>
    <author>Owen Tosh (nzx5jd)</author>
  </authors>
  <commentList>
    <comment ref="F4" authorId="0" shapeId="0" xr:uid="{00000000-0006-0000-0100-000001000000}">
      <text>
        <r>
          <rPr>
            <b/>
            <sz val="10"/>
            <color indexed="81"/>
            <rFont val="Tahoma"/>
            <family val="2"/>
          </rPr>
          <t>[I]nput
[O]uput
[M]oduleInternal
[D]isplay
[N]onVolatileMemory</t>
        </r>
      </text>
    </comment>
    <comment ref="H4" authorId="1" shapeId="0" xr:uid="{00000000-0006-0000-0100-000002000000}">
      <text>
        <r>
          <rPr>
            <sz val="8"/>
            <color indexed="81"/>
            <rFont val="Tahoma"/>
            <family val="2"/>
          </rPr>
          <t>1X, 1Y, 1Z, 1I, 1BS
2X, 2Y, 2Z, 2I, 2BS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Owen Tosh (nzx5jd)</author>
  </authors>
  <commentList>
    <comment ref="H4" authorId="0" shapeId="0" xr:uid="{00000000-0006-0000-0200-000001000000}">
      <text>
        <r>
          <rPr>
            <sz val="8"/>
            <color indexed="81"/>
            <rFont val="Tahoma"/>
            <family val="2"/>
          </rPr>
          <t>1X, 1Y, 1Z, 1I, 1BS
2X, 2Y, 2Z, 2I, 2BS
etc</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<sst xmlns="http://schemas.openxmlformats.org/spreadsheetml/2006/main" count="11530" uniqueCount="3724">
  <si>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</si>
  <si>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</si>
  <si>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</si>
  <si>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</si>
  <si>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</si>
  <si>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</si>
  <si>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</si>
  <si>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</si>
  <si>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</si>
  <si>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</si>
  <si>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</si>
  <si>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</si>
  <si>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</si>
  <si>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</si>
  <si>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</si>
  <si>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</si>
  <si>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</si>
  <si>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</si>
  <si>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</si>
  <si>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</si>
  <si>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</si>
  <si>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</si>
  <si>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</si>
  <si>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</si>
  <si>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</si>
  <si>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</si>
  <si>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</si>
  <si>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</si>
  <si>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</si>
  <si>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</si>
  <si>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</si>
  <si>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</si>
  <si>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</si>
  <si>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</si>
  <si>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</si>
  <si>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</si>
  <si>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</si>
  <si>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</si>
  <si>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</si>
  <si>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</si>
  <si>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</si>
  <si>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</si>
  <si>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</si>
  <si>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</si>
  <si>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</si>
  <si>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</si>
  <si>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</si>
  <si>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</si>
  <si>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</si>
  <si>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</si>
  <si>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</si>
  <si>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</si>
  <si>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</si>
  <si>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</si>
  <si>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</si>
  <si>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</si>
  <si>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</si>
  <si>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</si>
  <si>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</si>
  <si>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</si>
  <si>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</si>
  <si>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</si>
  <si>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</si>
  <si>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</si>
  <si>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</si>
  <si>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</si>
  <si>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</si>
  <si>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</si>
  <si>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</si>
  <si>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</si>
  <si>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</si>
  <si>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</si>
  <si>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</si>
  <si>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</si>
  <si>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</si>
  <si>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</si>
  <si>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</si>
  <si>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</si>
  <si>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</si>
  <si>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</si>
  <si>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</si>
  <si>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</si>
  <si>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</si>
  <si>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</si>
  <si>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</si>
  <si>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</si>
  <si>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</si>
  <si>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</si>
  <si>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</si>
  <si>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</si>
  <si>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</si>
  <si>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</si>
  <si>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</si>
  <si>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</si>
  <si>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</si>
  <si>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</si>
  <si>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</si>
  <si>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</si>
  <si>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</si>
  <si>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</si>
  <si>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</si>
  <si>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</si>
  <si>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</si>
  <si>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</si>
  <si>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</si>
  <si>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</si>
  <si>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</si>
  <si>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</si>
  <si>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</si>
  <si>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</si>
  <si>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</si>
  <si>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</si>
  <si>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</si>
  <si>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</si>
  <si>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</si>
  <si>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</si>
  <si>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</si>
  <si>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</si>
  <si>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</si>
  <si>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</si>
  <si>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</si>
  <si>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</si>
  <si>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</si>
  <si>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</si>
  <si>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</si>
  <si>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</si>
  <si>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</si>
  <si>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</si>
  <si>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</si>
  <si>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</si>
  <si>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</si>
  <si>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</si>
  <si>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</si>
  <si>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</si>
  <si>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</si>
  <si>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</si>
  <si>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</si>
  <si>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</si>
  <si>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</si>
  <si>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</si>
  <si>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</si>
  <si>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</si>
  <si>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</si>
  <si>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</si>
  <si>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</si>
  <si>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</si>
  <si>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</si>
  <si>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</si>
  <si>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</si>
  <si>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</si>
  <si>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</si>
  <si>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</si>
  <si>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</si>
  <si>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</si>
  <si>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</si>
  <si>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</si>
  <si>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</si>
  <si>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</si>
  <si>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</si>
  <si>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</si>
  <si>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</si>
  <si>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</si>
  <si>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</si>
  <si>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</si>
  <si>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</si>
  <si>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</si>
  <si>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</si>
  <si>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</si>
  <si>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</si>
  <si>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</si>
  <si>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</si>
  <si>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</si>
  <si>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</si>
  <si>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</si>
  <si>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</si>
  <si>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</si>
  <si>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</si>
  <si>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</si>
  <si>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</si>
  <si>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</si>
  <si>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</si>
  <si>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</si>
  <si>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</si>
  <si>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</si>
  <si>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</si>
  <si>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</si>
  <si>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</si>
  <si>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</si>
  <si>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</si>
  <si>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</si>
  <si>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</si>
  <si>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</si>
  <si>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</si>
  <si>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</si>
  <si>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</si>
  <si>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</si>
  <si>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</si>
  <si>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</si>
  <si>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</si>
  <si>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</si>
  <si>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</si>
  <si>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</si>
  <si>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</si>
  <si>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</si>
  <si>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</si>
  <si>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</si>
  <si>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</si>
  <si>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</si>
  <si>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</si>
  <si>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</si>
  <si>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</si>
  <si>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</si>
  <si>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</si>
  <si>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</si>
  <si>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</si>
  <si>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</si>
  <si>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</si>
  <si>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</si>
  <si>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Default Value</t>
  </si>
  <si>
    <t>Graph Settings</t>
  </si>
  <si>
    <t>SER</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</si>
  <si>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</si>
  <si>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</si>
  <si>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</si>
  <si>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</si>
  <si>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</si>
  <si>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</si>
  <si>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</si>
  <si>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</si>
  <si>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</si>
  <si>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</si>
  <si>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</si>
  <si>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FDD37B Diagnostic Manager</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</si>
  <si>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</si>
  <si>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</si>
  <si>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</si>
  <si>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</si>
  <si>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</si>
  <si>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</si>
  <si>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</si>
  <si>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</si>
  <si>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</si>
  <si>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</si>
  <si>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</si>
  <si>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</si>
  <si>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</si>
  <si>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</si>
  <si>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</si>
  <si>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</si>
  <si>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</si>
  <si>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</si>
  <si>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OT</t>
  </si>
  <si>
    <t>MtrNm</t>
  </si>
  <si>
    <t>u8p8_T</t>
  </si>
  <si>
    <t>u6p10_T</t>
  </si>
  <si>
    <t>Assist Mech Gear Ratio</t>
  </si>
  <si>
    <t>Uls</t>
  </si>
  <si>
    <t>float32</t>
  </si>
  <si>
    <t>Hz</t>
  </si>
  <si>
    <t>MtrRadpS</t>
  </si>
  <si>
    <t>kph</t>
  </si>
  <si>
    <t>HwNm</t>
  </si>
  <si>
    <t>ms</t>
  </si>
  <si>
    <t>uint16</t>
  </si>
  <si>
    <t>HwDeg</t>
  </si>
  <si>
    <t>k_HwPosAuthorityStep_Uls_f32</t>
  </si>
  <si>
    <t>k_HwPos_Authority_Step</t>
  </si>
  <si>
    <t>Cnt</t>
  </si>
  <si>
    <t>k_KinmIntDiag_Max_Rack_Limit</t>
  </si>
  <si>
    <t>mS</t>
  </si>
  <si>
    <t>k_YawRateFilt_Hz_f32</t>
  </si>
  <si>
    <t>Filter Frequency for Yaw Rate signal</t>
  </si>
  <si>
    <t>ActivePull</t>
  </si>
  <si>
    <t>k_HwTrqFilt_Hz_f32</t>
  </si>
  <si>
    <t>Filter Frequency for Handwheel Torque signal</t>
  </si>
  <si>
    <t>k_STResetHwTrq_HwNm_f32</t>
  </si>
  <si>
    <t>Hw Torque Limit at which the short term compensation will reset to zero</t>
  </si>
  <si>
    <t>k_STResetHwPos_HwDeg_f32</t>
  </si>
  <si>
    <t>Hw Position Limit at which the short term compensation will reset to zero</t>
  </si>
  <si>
    <t>k_STResetYawRate_DegpS_f32</t>
  </si>
  <si>
    <t>Yaw Rate Limit at which the short term compensation will reset to zero</t>
  </si>
  <si>
    <t>DegpS</t>
  </si>
  <si>
    <t>k_EnableHwTrqMax_HwNm_f32</t>
  </si>
  <si>
    <t>Maximum Hw Torque allowed for learning to be enabled</t>
  </si>
  <si>
    <t>k_EnableHwPosMax_HwDeg_f32</t>
  </si>
  <si>
    <t>Maximum Hw Position allowed for learning to be enabled</t>
  </si>
  <si>
    <t>k_EnableHwAuthMin_Uls_f32</t>
  </si>
  <si>
    <t>Minimum Hw Authority allowed for learning to be enabled</t>
  </si>
  <si>
    <t>Unitless</t>
  </si>
  <si>
    <t>k_EnableHwVelMax_DegpS_f32</t>
  </si>
  <si>
    <t>Maximum Hw Velocity allowed for learning to be enabled</t>
  </si>
  <si>
    <t>k_EnableVehSpdRateMax_KphpS_f32</t>
  </si>
  <si>
    <t>Maximum Vehicle Speed rate of change allowed for learning to be enabled</t>
  </si>
  <si>
    <t>KphpS</t>
  </si>
  <si>
    <t>k_EnableVehSpdMin_Kph_f32</t>
  </si>
  <si>
    <t>Minimum Vehicle Speed allowed for learning to be enabled</t>
  </si>
  <si>
    <t>Kph</t>
  </si>
  <si>
    <t>k_EnableVehSpdMax_Kph_f32</t>
  </si>
  <si>
    <t>Maximum Vehicle Speed allowed for learning to be enabled</t>
  </si>
  <si>
    <t>k_EnableYawRateMax_DegpS_f32</t>
  </si>
  <si>
    <t>Maximum Yaw Rate allowed for learning to be enabled</t>
  </si>
  <si>
    <t>k_EnableTime_mS_u32</t>
  </si>
  <si>
    <t>Time for which all of the enable criteria must be valid before learning will be enabled</t>
  </si>
  <si>
    <t>uint32</t>
  </si>
  <si>
    <t>k_STLimit_HwNm_f32</t>
  </si>
  <si>
    <t>Maximum allowed short term compensation</t>
  </si>
  <si>
    <t>k_STLearnTimeInc_Sec_f32</t>
  </si>
  <si>
    <t>Time to learn approximately 75% of a pull, in normal condition (increasing short term)</t>
  </si>
  <si>
    <t>S</t>
  </si>
  <si>
    <t>k_STLearnTimeDec_Sec_f32</t>
  </si>
  <si>
    <t>Time to learn approximately 75% of a pull, in condition where short term is opposing the driver (decreasing short term). This would normally be a shorter time than the STLearnTimeInc, to reduce the amount of time that the pull comp command opposes the driver.</t>
  </si>
  <si>
    <t>k_STOppSignTime_mS_u32</t>
  </si>
  <si>
    <t>Time the driver must be opposing the short term compensation before the system will switch to the STLearnTimeDec learning rate.</t>
  </si>
  <si>
    <t>k_STRampTime_Sec_f32</t>
  </si>
  <si>
    <t>Time over which the short term compensation will ramp down to zero in the event of a short term reset</t>
  </si>
  <si>
    <t>k_STIntInputLimit_HwNm_f32</t>
  </si>
  <si>
    <t>Value to limit the input to the short term integrator. Reduces the learning rate for higher handwheel torque inputs.</t>
  </si>
  <si>
    <t>k_STFilt_Hz_f32</t>
  </si>
  <si>
    <t>Filter on handwheel torque input to the Short Term Integrator</t>
  </si>
  <si>
    <t>k_FiltDeadband_HwNm_f32</t>
  </si>
  <si>
    <t>Deadband on input to both short and long term integrator. When hw torque is below this value, the integrator will not learn any additional compensation</t>
  </si>
  <si>
    <t>k_LTLimit_HwNm_f32</t>
  </si>
  <si>
    <t>Maximum allowed long term compensation</t>
  </si>
  <si>
    <t>k_LTLearnTime_Min_f32</t>
  </si>
  <si>
    <t>Time to learn approximately 75% of a pull into long term compensation</t>
  </si>
  <si>
    <t>k_LTFilt_Hz_f32</t>
  </si>
  <si>
    <t>Filter on handwheel torque input to the Long Term Integrator</t>
  </si>
  <si>
    <t>k_LTIntInputLimit_HwNm_f32</t>
  </si>
  <si>
    <t>Value to limit the input to the long term integrator. Reduces the learning rate for higher handwheel torque inputs.</t>
  </si>
  <si>
    <t>k_TotalLimit_HwNm_f32</t>
  </si>
  <si>
    <t>Value to limit the total output of pull comp.</t>
  </si>
  <si>
    <t>Scale factor used to convert the compensation command from handwheel torque to motor torque.</t>
  </si>
  <si>
    <t>t_VehSpdScaleTblX_Kph_u9p7[4]</t>
  </si>
  <si>
    <t>Table to scale Pull Comp command with vehicle speed</t>
  </si>
  <si>
    <t>ActivePull.1X</t>
  </si>
  <si>
    <t>{0, 30, 60, 90}</t>
  </si>
  <si>
    <t>u9p7_T</t>
  </si>
  <si>
    <t>t_VehSpdScaleTblY_Uls_u2p14[4]</t>
  </si>
  <si>
    <t>ActivePull.1Y</t>
  </si>
  <si>
    <t>{0, 0.25, 1, 1}</t>
  </si>
  <si>
    <t>u2p14_T</t>
  </si>
  <si>
    <t>k_OutputMaxRate_HwNmpS_f32</t>
  </si>
  <si>
    <t>Rate limiter on output of function, to eliminate sudden change in output</t>
  </si>
  <si>
    <t>HwNmpS</t>
  </si>
  <si>
    <t>k_VbattOVTransIntConfig_Cnt_u32</t>
  </si>
  <si>
    <t>k_VbattOVTransIntConfig_Cnt</t>
  </si>
  <si>
    <t>Adc</t>
  </si>
  <si>
    <t>k_MaxADCConvTime_uS_u16</t>
  </si>
  <si>
    <t>k_MaxADCConvTime</t>
  </si>
  <si>
    <t>uS</t>
  </si>
  <si>
    <t>t2_AsstHwtX0_HwNm_u8p8[12][20]</t>
  </si>
  <si>
    <t>Asst_t_HwtX0_HwNm</t>
  </si>
  <si>
    <t>Normal tuning assist table x-variable</t>
  </si>
  <si>
    <t>Assist</t>
  </si>
  <si>
    <t>Assist.1X</t>
  </si>
  <si>
    <t>t2_AsstHwtX1_HwNm_u8p8[12][20]</t>
  </si>
  <si>
    <t>Asst_t_HwtX1_HwNm</t>
  </si>
  <si>
    <t>WIR Active tuning assist table x-variable</t>
  </si>
  <si>
    <t>Assist.2X</t>
  </si>
  <si>
    <t>t2_AsstAsstY0_MtrNm_s4p11[12][20]</t>
  </si>
  <si>
    <t>Asst_t_AsstY0_MtrNm</t>
  </si>
  <si>
    <t>Normal tuning assist table y-variable</t>
  </si>
  <si>
    <t>Assist.1Y</t>
  </si>
  <si>
    <t>s4p11_T</t>
  </si>
  <si>
    <t>t2_AsstAsstY1_MtrNm_s4p11[12][20]</t>
  </si>
  <si>
    <t>Asst_t_AsstY1_MtrNm</t>
  </si>
  <si>
    <t>WIR Active tuning assist table y-variable</t>
  </si>
  <si>
    <t>Assist.2Y</t>
  </si>
  <si>
    <t>t_CmnVehSpd_Kph_u9p7[12]</t>
  </si>
  <si>
    <t>Cmn_t_VehSpd_Kph</t>
  </si>
  <si>
    <t>Vehicle speed 1D table for boundary lookup</t>
  </si>
  <si>
    <t>Assist.2Z, Assist.3Z</t>
  </si>
  <si>
    <t>{0, 5, 15, 30, 60, 80, 100, 120, 150, 180, 200, 220}</t>
  </si>
  <si>
    <t>t2_AsstWIRBlndX_MtrNm_u5p11[12][5]</t>
  </si>
  <si>
    <t>Asst_t_WIRBlendX_MtrNm</t>
  </si>
  <si>
    <t>WIR Blend table x-variable</t>
  </si>
  <si>
    <t>Assist.3X</t>
  </si>
  <si>
    <t>u5p11_T</t>
  </si>
  <si>
    <t>t2_AsstWIRBlendY_Uls_u2p14[12][5]</t>
  </si>
  <si>
    <t>Asst_t_WIRBlendY_Uls</t>
  </si>
  <si>
    <t>WIR Blend table y-variable</t>
  </si>
  <si>
    <t>Assist.3Y</t>
  </si>
  <si>
    <t>t_AsstThermSclX_Cnt_u16p0[2]</t>
  </si>
  <si>
    <t>Asst_t_ThermSclX_Cnt</t>
  </si>
  <si>
    <t>Duty Cycle Filter Counts</t>
  </si>
  <si>
    <t>Assist.4X</t>
  </si>
  <si>
    <t>{75, 100}</t>
  </si>
  <si>
    <t>Counts</t>
  </si>
  <si>
    <t>u16p0_T</t>
  </si>
  <si>
    <t>t_AsstThermSclY_Uls_u2p14[2]</t>
  </si>
  <si>
    <t>Asst_t_ThermSclY_Uls</t>
  </si>
  <si>
    <t>Unitless Scale Factor</t>
  </si>
  <si>
    <t>Assist.4Y</t>
  </si>
  <si>
    <t>{1, 1}</t>
  </si>
  <si>
    <t>k_AsstFWInpLimitHysComp_MtrNm_f32</t>
  </si>
  <si>
    <t>AsstFW_k_InpLimitHysComp_MtrNm</t>
  </si>
  <si>
    <t>Input limit applied to Hysteresis_Comp</t>
  </si>
  <si>
    <t>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</si>
  <si>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</si>
  <si>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</si>
  <si>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</si>
  <si>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</si>
  <si>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</si>
  <si>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</si>
  <si>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</si>
  <si>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</si>
  <si>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</si>
  <si>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</si>
  <si>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</si>
  <si>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</si>
  <si>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t_AsstFWVehSpd_Kph_u9p7[8]</t>
  </si>
  <si>
    <t>AsstFW_t_VehSpd_kph</t>
  </si>
  <si>
    <t xml:space="preserve">SF00 Common Calibrations
</t>
  </si>
  <si>
    <t>AssistFirewall.1Z, AssistFirewall.2Z</t>
  </si>
  <si>
    <t>{0, 5, 30, 60, 80, 100, 120, 150}</t>
  </si>
  <si>
    <t>t2_AsstFWUprBoundX_HwNm_s4p11[8][11]</t>
  </si>
  <si>
    <t>AsstFW_t2_UprBoundX_HwNm</t>
  </si>
  <si>
    <t>Upper boundary 2D X-table</t>
  </si>
  <si>
    <t>AssistFirewall.1X</t>
  </si>
  <si>
    <t>{{-10, -1, 0, 1, 2, 3, 4, 5 ,6, 8, 10}, {-10, -1, 0, 1, 2, 3, 4, 5 ,6, 8, 10}, {-10, -1, 0, 1, 2, 3, 4, 5 ,6, 8, 10}, {-10, -1, 0, 1, 2, 3, 4, 5 ,6, 8, 10}, {-10, -1, 0, 1, 2, 3, 4, 5 ,6, 8, 10}, {-10, -1, 0, 1, 2, 3, 4, 5 ,6, 8, 10}, {-10, -1, 0, 1, 2, 3, 4, 5 ,6, 8, 10}, {-10, -1, 0, 1, 2, 3, 4, 5 ,6, 8, 10}}</t>
  </si>
  <si>
    <t>t2_AsstFWUprBoundY_MtrNm_s4p11[8][11]</t>
  </si>
  <si>
    <t>AsstFW_t2_UprBoundY_MtrNm</t>
  </si>
  <si>
    <t>Upper boundary 2D Y-table</t>
  </si>
  <si>
    <t>AssistFirewall.1Y</t>
  </si>
  <si>
    <t>k_AsstFWPstep_Cnt_u16</t>
  </si>
  <si>
    <t>AsstFW_k_Pstep_Cnt</t>
  </si>
  <si>
    <t>Pstep/Nstep stepsize - positive direction</t>
  </si>
  <si>
    <t>k_AsstFWNstep_Cnt_u16</t>
  </si>
  <si>
    <t>AsstFW_k_Nstep_Cnt</t>
  </si>
  <si>
    <t>Pstep/Nstep stepsize - negative direction</t>
  </si>
  <si>
    <t>t_AsstFWPstepNstepThresh_Cnt_u16[2]</t>
  </si>
  <si>
    <t>AsstFW_t_PstepNstepThresh_Cnt</t>
  </si>
  <si>
    <t>Pstep/Nstep threshold values.  Two values, allows for a "hysteresis" of logic switching</t>
  </si>
  <si>
    <t>{50, 100}</t>
  </si>
  <si>
    <t>t_AsstFWDefltAssistX_HwNm_u8p8[20]</t>
  </si>
  <si>
    <t>AsstFW_t_DefltAssistX_HwNm</t>
  </si>
  <si>
    <t>Table of HwTrq values</t>
  </si>
  <si>
    <t>{0, 0.15, 0.3, 0.4, 0.6, 0.8, 1, 1.3, 1.55, 1.8, 2.05, 2.3, 2.55, 2.8, 3.05, 3.3, 3.55, 3.8, 5, 10}</t>
  </si>
  <si>
    <t>t_AsstFWDefltAssistY_MtrNm_s4p11[20]</t>
  </si>
  <si>
    <t>AsstFW_t_DefltAssistY_MtrNm</t>
  </si>
  <si>
    <t>Table of assist values for default operation</t>
  </si>
  <si>
    <t>{0, 0, 0.015, 0.028, 0.065, 0.11, 0.158, 0.24, 0.32, 0.41, 0.51, 0.62, 0.74, 0.86, 1, 1.15, 1.31, 1.47, 2.3, 5.7}</t>
  </si>
  <si>
    <t>k_RestoreThresh_MtrNm_f32</t>
  </si>
  <si>
    <t>AsstFW_k_RestoreThresh_MtrNm</t>
  </si>
  <si>
    <t>Allowable difference in torque command when function reverts from default assist table to normal operation</t>
  </si>
  <si>
    <t>Calibration to firewall limit the pull compensation command</t>
  </si>
  <si>
    <t>AstLmt_CM</t>
  </si>
  <si>
    <t>SF04B AssistSummationandLimiting</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</si>
  <si>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</si>
  <si>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</si>
  <si>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</si>
  <si>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</si>
  <si>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</si>
  <si>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</si>
  <si>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</si>
  <si>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</si>
  <si>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</si>
  <si>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</si>
  <si>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</si>
  <si>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</si>
  <si>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</si>
  <si>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</si>
  <si>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boolean</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</si>
  <si>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</si>
  <si>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</si>
  <si>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</si>
  <si>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</si>
  <si>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</si>
  <si>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</si>
  <si>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</si>
  <si>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</si>
  <si>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u11p5_T</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</si>
  <si>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</si>
  <si>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</si>
  <si>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</si>
  <si>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</si>
  <si>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</si>
  <si>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</si>
  <si>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</si>
  <si>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</si>
  <si>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</si>
  <si>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</si>
  <si>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</si>
  <si>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</si>
  <si>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</si>
  <si>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</si>
  <si>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</si>
  <si>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</si>
  <si>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</si>
  <si>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</si>
  <si>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</si>
  <si>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</si>
  <si>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</si>
  <si>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</si>
  <si>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</si>
  <si>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</si>
  <si>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HwDegpS</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</si>
  <si>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</si>
  <si>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</si>
  <si>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</si>
  <si>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</si>
  <si>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</si>
  <si>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</si>
  <si>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</si>
  <si>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</si>
  <si>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</si>
  <si>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</si>
  <si>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</si>
  <si>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</si>
  <si>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</si>
  <si>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</si>
  <si>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</si>
  <si>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</si>
  <si>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</si>
  <si>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</si>
  <si>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</si>
  <si>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</si>
  <si>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</si>
  <si>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</si>
  <si>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DegC</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</si>
  <si>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</si>
  <si>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</si>
  <si>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</si>
  <si>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</si>
  <si>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</si>
  <si>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</si>
  <si>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</si>
  <si>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</si>
  <si>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</si>
  <si>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</si>
  <si>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</si>
  <si>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</si>
  <si>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</si>
  <si>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</si>
  <si>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</si>
  <si>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</si>
  <si>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</si>
  <si>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</si>
  <si>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</si>
  <si>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</si>
  <si>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</si>
  <si>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</si>
  <si>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</si>
  <si>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</si>
  <si>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</si>
  <si>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</si>
  <si>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</si>
  <si>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</si>
  <si>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</si>
  <si>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</si>
  <si>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</si>
  <si>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</si>
  <si>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</si>
  <si>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</si>
  <si>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</si>
  <si>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</si>
  <si>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</si>
  <si>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k_MaxSwitchedVolt_Volts_f32</t>
  </si>
  <si>
    <t>Voltage transition point to switch between Switched Battery and Battery voltage</t>
  </si>
  <si>
    <t>BatteryVoltage</t>
  </si>
  <si>
    <t>Volts</t>
  </si>
  <si>
    <t>k_MaxBattVoltDiff_Volts_f32</t>
  </si>
  <si>
    <t>Voltage difference between battery and switched battery to indicate the switch is or is not closed (k_Max_Batt_Voltage_Diff)</t>
  </si>
  <si>
    <t>k_VswitchCorrLim_Cnt_Str</t>
  </si>
  <si>
    <t>{120,1,3}</t>
  </si>
  <si>
    <t>DiagSettings_Str</t>
  </si>
  <si>
    <t>k_VswitchCorrLim_Cnt_Str.Threshold</t>
  </si>
  <si>
    <t>k_Vswitch_Corrlim_ErrAcc_Thresh</t>
  </si>
  <si>
    <t>Cnts</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</si>
  <si>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</si>
  <si>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</si>
  <si>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</si>
  <si>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</si>
  <si>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</si>
  <si>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</si>
  <si>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</si>
  <si>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</si>
  <si>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</si>
  <si>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</si>
  <si>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</si>
  <si>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</si>
  <si>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</si>
  <si>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</si>
  <si>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</si>
  <si>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k_OvDetect_Volts_u10p6</t>
  </si>
  <si>
    <t>Over voltage detection threshold</t>
  </si>
  <si>
    <t>BVDiag</t>
  </si>
  <si>
    <t>u10p6_T</t>
  </si>
  <si>
    <t>k_OvNotDetect_Volts_u10p6</t>
  </si>
  <si>
    <t>Over voltage non-detection threshold</t>
  </si>
  <si>
    <t>k_OvDetect_ms_u16p0</t>
  </si>
  <si>
    <t>Overvoltage detection time</t>
  </si>
  <si>
    <t>mSec</t>
  </si>
  <si>
    <t>k_OvNotDetect_ms_u16p0</t>
  </si>
  <si>
    <t>Over voltage non-detection time</t>
  </si>
  <si>
    <t>k_LowNotDetect_Volts_u10p6</t>
  </si>
  <si>
    <t>Under voltage detection threshold</t>
  </si>
  <si>
    <t>k_LowDetect_Volts_u10p6</t>
  </si>
  <si>
    <t>Undervoltage non-detection threshold</t>
  </si>
  <si>
    <t>k_LowDetect_ms_u16p0</t>
  </si>
  <si>
    <t>Under voltage detection time</t>
  </si>
  <si>
    <t>k_LowNotDetect_ms_u16p0</t>
  </si>
  <si>
    <t>Under voltage non-detection time</t>
  </si>
  <si>
    <t>k_CurrCorrErrFiltKn</t>
  </si>
  <si>
    <t>Filter_Coeff for CurrentErr</t>
  </si>
  <si>
    <t>CmMtrCurr</t>
  </si>
  <si>
    <t>SF-01C- Current Measurement</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</si>
  <si>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</si>
  <si>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</si>
  <si>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</si>
  <si>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</si>
  <si>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</si>
  <si>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</si>
  <si>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</si>
  <si>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</si>
  <si>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</si>
  <si>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</si>
  <si>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</si>
  <si>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</si>
  <si>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</si>
  <si>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</si>
  <si>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</si>
  <si>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</si>
  <si>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k_CurrGainNumerator_Amps_f32</t>
  </si>
  <si>
    <t>k_CurrGainNumerator_Amps</t>
  </si>
  <si>
    <t>k_MaxCurrOffMtrVel_RadpS_f32</t>
  </si>
  <si>
    <t>k_MaxCurrOffMtrVel_RadpS</t>
  </si>
  <si>
    <t>k_CurrOffGainKn_Cnt_u16</t>
  </si>
  <si>
    <t>k_CurrOffGainKn</t>
  </si>
  <si>
    <t>k_NxtrSrvcPosTrajThres_HwDeg_f32</t>
  </si>
  <si>
    <t>CMS_Common</t>
  </si>
  <si>
    <t>k_NxtrSrvcPosTrajHoldTime_mS_u16</t>
  </si>
  <si>
    <t>k_NxtrSrvcHandsOnTime_mS_u16</t>
  </si>
  <si>
    <t>k_F00FHandsOnThres_HwNm_f32</t>
  </si>
  <si>
    <t>MtrNmpRadpS</t>
  </si>
  <si>
    <t>k_TempSnsrFiltDft_Cnt_lgc</t>
  </si>
  <si>
    <t>CtrlTemp</t>
  </si>
  <si>
    <t>Lgc</t>
  </si>
  <si>
    <t>NA</t>
  </si>
  <si>
    <t>k_TempSnsrLPFKn_Hz_f32</t>
  </si>
  <si>
    <t>k_TempSnsrDefVal_DegC_f32</t>
  </si>
  <si>
    <t>k_TempSensDiag_Cnt_str</t>
  </si>
  <si>
    <t>{40,2,1}</t>
  </si>
  <si>
    <t>k_TempSensDiag_Cnt_str.Threshold</t>
  </si>
  <si>
    <t>k_TempSensLowLimit_DegC_f32</t>
  </si>
  <si>
    <t>k_TempSensHighLimit_DegC_f32</t>
  </si>
  <si>
    <t>k_TempSnsrOffset_Volts_f32</t>
  </si>
  <si>
    <t>k_TempSnsrScaling_DegpVolt_f32</t>
  </si>
  <si>
    <t>DegpV</t>
  </si>
  <si>
    <t>Damp_t_MtrVelDmpX</t>
  </si>
  <si>
    <t>Table used to provide damping as a function of motor velocity</t>
  </si>
  <si>
    <t>Damping</t>
  </si>
  <si>
    <t>Damping.1X</t>
  </si>
  <si>
    <t>u12p4_T</t>
  </si>
  <si>
    <t>Damp_t_MtrVelDmpYTbl</t>
  </si>
  <si>
    <t>Damping.1Y</t>
  </si>
  <si>
    <t>k_MtrVelDampLPFKn_Hz_f32</t>
  </si>
  <si>
    <t>Damp_k_MtrVelDampLPFKn</t>
  </si>
  <si>
    <t>Calibration for LP filter</t>
  </si>
  <si>
    <t>t_HwTrqDmpTblX_HwNm_u8p8[2]</t>
  </si>
  <si>
    <t>Damp_t_HwTrqDmpX</t>
  </si>
  <si>
    <t>Table used to provide damping as a function of handwheel torque</t>
  </si>
  <si>
    <t>{8, 10}</t>
  </si>
  <si>
    <t>t_HwTrqDmpTblY_Uls_u1p15[2]</t>
  </si>
  <si>
    <t>Damp_t_HwTrqDmpY</t>
  </si>
  <si>
    <t>{1,  0}</t>
  </si>
  <si>
    <t>u1p15_T</t>
  </si>
  <si>
    <t>t_TempScaleX_DegC_s8p7[11]</t>
  </si>
  <si>
    <t>Damp_t_TempScaleX</t>
  </si>
  <si>
    <t>Table used to provide damping as a function of temperature</t>
  </si>
  <si>
    <t>{-40, -35, -30, -20, -10, 0, 10, 20, 40, 60, 90}</t>
  </si>
  <si>
    <t>s8p7_T</t>
  </si>
  <si>
    <t>t_TempScaleY_Uls_u4p12[11]</t>
  </si>
  <si>
    <t>Damp_t_TempScaleY</t>
  </si>
  <si>
    <t>{1, 1, 1, 1, 1, 1, 1, 1, 1, 1, 1}</t>
  </si>
  <si>
    <t>u4p12_T</t>
  </si>
  <si>
    <t>t_HPSscaleC1Y_Uls_u4p12[12]</t>
  </si>
  <si>
    <t>Damp_t_HPSscaleC1</t>
  </si>
  <si>
    <t>Table used to provide scale as a function of vehicle speed</t>
  </si>
  <si>
    <t>{1, 1, 1, 1, 1, 1, 1, 1, 1, 1, 1, 1}</t>
  </si>
  <si>
    <t>t_HPSscaleC2Y_Uls_u4p12[12]</t>
  </si>
  <si>
    <t>Damp_t_HPSscaleC2</t>
  </si>
  <si>
    <t>t_HPSscaleC3Y_Uls_u4p12[12]</t>
  </si>
  <si>
    <t>Damp_t_HPSscaleC3</t>
  </si>
  <si>
    <t>t_HPSscaleC4Y_Uls_u4p12[12]</t>
  </si>
  <si>
    <t>Damp_t_HPSscaleC4</t>
  </si>
  <si>
    <t>t_HPSAsstLimY_MtrNm_u4p12[12]</t>
  </si>
  <si>
    <t>Damp_t_HPSAsstLim</t>
  </si>
  <si>
    <t>Table used to provide a limit on assist as a function of vehicle speed</t>
  </si>
  <si>
    <t>{8.8, 8.8, 8.8, 8.8, 8.8, 8.8, 8.8, 8.8, 8.8, 8.8, 8.8, 8.8}</t>
  </si>
  <si>
    <t>Mtr Nm</t>
  </si>
  <si>
    <t>k_HPSOutLimit_MtrNm_f32</t>
  </si>
  <si>
    <t>Damp_k_HPSOutLimit</t>
  </si>
  <si>
    <t>Calibration for HPS Damping saturation</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</si>
  <si>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</si>
  <si>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</si>
  <si>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</si>
  <si>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</si>
  <si>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</si>
  <si>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</si>
  <si>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</si>
  <si>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</si>
  <si>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</si>
  <si>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</si>
  <si>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</si>
  <si>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</si>
  <si>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</si>
  <si>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</si>
  <si>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</si>
  <si>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</si>
  <si>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</si>
  <si>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</si>
  <si>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</si>
  <si>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</si>
  <si>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</si>
  <si>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</si>
  <si>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</si>
  <si>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</si>
  <si>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</si>
  <si>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</si>
  <si>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</si>
  <si>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</si>
  <si>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</si>
  <si>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</si>
  <si>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</si>
  <si>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</si>
  <si>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</si>
  <si>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</si>
  <si>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k_DampFWInpLimitDamp_MtrNm_f32</t>
  </si>
  <si>
    <t>DampFW_k_InpLimitDamp_MtrNm</t>
  </si>
  <si>
    <t>Input limit applied to Damping_Cmd</t>
  </si>
  <si>
    <t>DampingFirewall</t>
  </si>
  <si>
    <t>k_DampFWFWActiveLPF_Hz_f32</t>
  </si>
  <si>
    <t>DampFW_k_FWActiveLPF_Hz</t>
  </si>
  <si>
    <t>Corner frequency of low pass filter applied to DampFW_Active signal</t>
  </si>
  <si>
    <t>t_DampFWAddDampAFWX_MtrRadpS_u11p5[8]</t>
  </si>
  <si>
    <t>DampFW_t_AddDampAFWX_MtrRadpS</t>
  </si>
  <si>
    <t>Motor velocity 1D table for additional damping when Assist Firewall is active</t>
  </si>
  <si>
    <t>DampingFirewall.4X</t>
  </si>
  <si>
    <t>{0, 25, 50, 75, 100, 200, 300, 400}</t>
  </si>
  <si>
    <t>t_DampFWAddDampAFWY_MtrNm_u5p11[8]</t>
  </si>
  <si>
    <t>DampFW_t_AddDampAFWY_MtrNm</t>
  </si>
  <si>
    <t>Damping 1D table for additional damping when Assist Firewall is active</t>
  </si>
  <si>
    <t>DampingFirewall.4Y</t>
  </si>
  <si>
    <t>{0, 0, 0, 0, 0, 0, 0, 0}</t>
  </si>
  <si>
    <t>t_DampFWAddDampDFWX_MtrRadpS_u11p5[8]</t>
  </si>
  <si>
    <t>DampFW_t_AddDampDFWX_MtrRadpS</t>
  </si>
  <si>
    <t>t_DampFWAddDampDFWY_MtrNm_u5p11[8]</t>
  </si>
  <si>
    <t>DampFW_t_AddDampDFWY_MtrNm</t>
  </si>
  <si>
    <t>t_DampFWVehSpd_Kph_u9p7[8]</t>
  </si>
  <si>
    <t>DampFW_t_VehSpd_Kph</t>
  </si>
  <si>
    <t>DampingFirewall.2Z, DampingFirewall.3Z</t>
  </si>
  <si>
    <t>{0, 20, 50, 75, 100, 150, 200, 255}</t>
  </si>
  <si>
    <t>t_DampFWUprBoundX_MtrRadpS_s11p4[11]</t>
  </si>
  <si>
    <t>DampFW_t_UprBoundX_MtrRadpS</t>
  </si>
  <si>
    <t>Upper boundary 1D X-table</t>
  </si>
  <si>
    <t>DampingFirewall.2X</t>
  </si>
  <si>
    <t>{-700, -50, 0, 50, 100, 150, 200, 350, 400, 500, 700}</t>
  </si>
  <si>
    <t>DampFW_t2_UprBoundY_MtrNm</t>
  </si>
  <si>
    <t>DampingFirewall.2Y</t>
  </si>
  <si>
    <t>s7p8_T</t>
  </si>
  <si>
    <t>t_DampFWDefltDampX_MtrRadpS_u11p5[11]</t>
  </si>
  <si>
    <t>DampFW_t_DefltDampX_MtrRadpS</t>
  </si>
  <si>
    <t>{0, 10, 25, 50, 100, 150, 200, 250, 300, 350, 400}</t>
  </si>
  <si>
    <t>t_DampFWDefltDampY_MtrNm_u5p11[11]</t>
  </si>
  <si>
    <t>DampFW_t_DefltDampY_MtrNm</t>
  </si>
  <si>
    <t>{0, 0.05, 0.1, 0.15, 0.5, 1.4, 2.5, 4, 6, 10, 14}</t>
  </si>
  <si>
    <t>k_DampFWPstep_Cnt_u16</t>
  </si>
  <si>
    <t>DampFW_k_DampPstep_Cnt</t>
  </si>
  <si>
    <t>k_DampFWNstep_Cnt_u16</t>
  </si>
  <si>
    <t>DampFW_k_DampNstep_Cnt</t>
  </si>
  <si>
    <t>t_DampFWPNstepThresh_Cnt_u16[2]</t>
  </si>
  <si>
    <t>DampFW_t_DampPNThesh_Cnt</t>
  </si>
  <si>
    <t>{50,200}</t>
  </si>
  <si>
    <t>k_InrtCmp_TBarVelLPFKn_Hz_f32</t>
  </si>
  <si>
    <t>VBIC_k_TBarVelLPFiltFc_Hz</t>
  </si>
  <si>
    <t>SF14 InertiaCompensationFrequencyDependentDamping, SF14 InertiaCompensationFrequencyDependentDamping</t>
  </si>
  <si>
    <t>k_DampFWInCmpPStep_Cnt_u16</t>
  </si>
  <si>
    <t>DampFW_k_InCmpPstep_Cnt</t>
  </si>
  <si>
    <t>k_DampFWInCmpNStep_Cnt_u16</t>
  </si>
  <si>
    <t>DampFW_k_InCmpNstep_Cnt</t>
  </si>
  <si>
    <t>t_DampFWDampInrtCmpPNThesh_Cnt_u16[2]</t>
  </si>
  <si>
    <t>DampFW_t_InCmpPNThresh_Cnt</t>
  </si>
  <si>
    <t>k_DampFWErrThresh_MtrNm_f32</t>
  </si>
  <si>
    <t>DampFW_k_ErrThresh_MtrNm</t>
  </si>
  <si>
    <t>k_CmnTbarStiff_NmpDeg_f32</t>
  </si>
  <si>
    <t>Cmn_k_TbarStiff_NmpDeg</t>
  </si>
  <si>
    <t>NmpDeg</t>
  </si>
  <si>
    <t>k_CmnSysKinRatio_MtrDegpHwDeg_f32</t>
  </si>
  <si>
    <t>Cmn_k_SysKinRatio_MtrDegpHwDeg</t>
  </si>
  <si>
    <t>t_InrtCmp_TBarVel_ScaleFactorTblY_Uls_u9p7[12]</t>
  </si>
  <si>
    <t>VBIC_t_InrtCmpTbarVelSclFctr_Uls</t>
  </si>
  <si>
    <t>k_InrtCmp_MtrVel_ScaleFactor_Uls_f32</t>
  </si>
  <si>
    <t>VBIC_k_InrtCmpMtrVelSclFctr_Uls</t>
  </si>
  <si>
    <t>k_DmpGainOnThresh_KphpS_f32</t>
  </si>
  <si>
    <t>KpHpS</t>
  </si>
  <si>
    <t>k_DmpGainOffThresh_KphpS_f32</t>
  </si>
  <si>
    <t>VBIC_k_DmpGainOffThresh_KpHpS</t>
  </si>
  <si>
    <t>Vehicle deceleration rate at which gain is removed from Frequency Damping.</t>
  </si>
  <si>
    <t>k_DmpDecelGain_Uls_f32</t>
  </si>
  <si>
    <t>VBIC_k_DmpDecelGain_Uls</t>
  </si>
  <si>
    <t>Gain applied to Frequency Damping to increase output when vehicle is decelerating</t>
  </si>
  <si>
    <t>k_DmpDecelGainFSlew_UlspS_f32</t>
  </si>
  <si>
    <t>VBIC_k_DmpDecelGainFSlew_UlspS</t>
  </si>
  <si>
    <t>UlspS</t>
  </si>
  <si>
    <t>t_DmpDecelGainSlewX_MtrRadpS_u11p5[6]</t>
  </si>
  <si>
    <t>t_DmpDecelGainSlewY_UlspS_u13p3[6]</t>
  </si>
  <si>
    <t>VBIC_t_DmpDecelGainSlewY_UlspS</t>
  </si>
  <si>
    <t>u13p3_T</t>
  </si>
  <si>
    <t>t2_FDD_ADDRollingTblYM_MtrNmpRadpS_um1p17[2][10]</t>
  </si>
  <si>
    <t>VBIC_t2_DmpADDRollingY_MtrNmpRadpS</t>
  </si>
  <si>
    <t>um1p17_T</t>
  </si>
  <si>
    <t>t_FDD_ADDStaticTblY_MtrNmpRadpS_um1p17[10]</t>
  </si>
  <si>
    <t>VBIC_t_DmpADDStaticY_MtrNmpRadpS</t>
  </si>
  <si>
    <t>t_DmpFiltKpWIRBlndY_Uls_u2p14[5]</t>
  </si>
  <si>
    <t>VBIC_t_DmpWIRBlndY_Uls</t>
  </si>
  <si>
    <t>t_FDD_BlendTblY_Uls_u8p8[12]</t>
  </si>
  <si>
    <t>VBIC_t_DmpSpdBlendY_Uls</t>
  </si>
  <si>
    <t>t2_FDD_FreqTblYM_Hz_u12p4[2][12]</t>
  </si>
  <si>
    <t>VBIC_t2_DmpFiltFreq_Hz</t>
  </si>
  <si>
    <t>t_WIRBlndTblX_MtrNm_u8p8[5]</t>
  </si>
  <si>
    <t>VBIC_t_DmpWIRBlndX_MtrNm</t>
  </si>
  <si>
    <t>t_RIAstWIRBlndTblY_Uls_u2p14[5]</t>
  </si>
  <si>
    <t>t_InrtCmp_ScaleFactorTblY_Uls_u9p7[12]</t>
  </si>
  <si>
    <t>VBIC_t_InrtCmpSclFctrY_Uls</t>
  </si>
  <si>
    <t>k_InrtCmp_MtrInertia_KgmSq_f32</t>
  </si>
  <si>
    <t>VBIC_k_InrtCmpMtrInertia_KgmSq</t>
  </si>
  <si>
    <t>Motor inertia to compensate</t>
  </si>
  <si>
    <t>KgmSq</t>
  </si>
  <si>
    <t>t_FDD_AttenTblX_MtrRadpS_u12p4[2]</t>
  </si>
  <si>
    <t>VBIC_t_OutputAttenX_MtrRadpS</t>
  </si>
  <si>
    <t>t_FDD_AttenTblY_Uls_u8p8[2]</t>
  </si>
  <si>
    <t>VBIC_t_OutputAttenY_Uls</t>
  </si>
  <si>
    <t>t_DmpADDCoefX_MtrNm_u4p12[10]</t>
  </si>
  <si>
    <t>VBIC_t_DmpAddCoefX_MtrNm</t>
  </si>
  <si>
    <t>k_DampFWVBICLPF_Hz_f32</t>
  </si>
  <si>
    <t>DampFWVBIC_k_FiltKn_Hz</t>
  </si>
  <si>
    <t>Diverse vs primary error signal filter frequency</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</si>
  <si>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</si>
  <si>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</si>
  <si>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</si>
  <si>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</si>
  <si>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</si>
  <si>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</si>
  <si>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FltRsp_Str</t>
  </si>
  <si>
    <t>FULL</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</si>
  <si>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</si>
  <si>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</si>
  <si>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</si>
  <si>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</si>
  <si>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</si>
  <si>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</si>
  <si>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</si>
  <si>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k_CntlrInResist_Ohm_f32</t>
  </si>
  <si>
    <t>ElecPwr_k_CntrlInResist_Ohm</t>
  </si>
  <si>
    <t>Control module input resistance value</t>
  </si>
  <si>
    <t>ElePwr</t>
  </si>
  <si>
    <t>Ohms</t>
  </si>
  <si>
    <t>k_PstcPowerLoss_Watt_f32</t>
  </si>
  <si>
    <t>ElecPwr_k_PstcPowerLoss_Watts</t>
  </si>
  <si>
    <t>Parasitic power loss of the controller</t>
  </si>
  <si>
    <t>Watts</t>
  </si>
  <si>
    <t>k_SoftStopEOTEnable_Cnt_lgc</t>
  </si>
  <si>
    <t>k_SoftStopEOTEnable</t>
  </si>
  <si>
    <t>EOTActuatorMng</t>
  </si>
  <si>
    <t>Boolean</t>
  </si>
  <si>
    <t>k_EOTDefltPosition_HwDeg_u12p4</t>
  </si>
  <si>
    <t>k_EOTDefltPosition</t>
  </si>
  <si>
    <t>t_SpdIptTblXTbl_HwDeg_u12p4[2]</t>
  </si>
  <si>
    <t>t_SpdIptIndptTbl</t>
  </si>
  <si>
    <t>EOTActuatorMng.1X</t>
  </si>
  <si>
    <t>25, 50</t>
  </si>
  <si>
    <t>t_SpdIptTblYTbl_MtrRadpS_u12p4[2]</t>
  </si>
  <si>
    <t>t_SpdIptDpntTbl</t>
  </si>
  <si>
    <t>EOTActuatorMng.1Y</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</si>
  <si>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</si>
  <si>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</si>
  <si>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</si>
  <si>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</si>
  <si>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</si>
  <si>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</si>
  <si>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</si>
  <si>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</si>
  <si>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</si>
  <si>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</si>
  <si>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</si>
  <si>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EOTActuatorMng.2Y, EOTActuatorMng.4X</t>
  </si>
  <si>
    <t>t2_EOTEnterGainY_Uls_u1p15[4][4]</t>
  </si>
  <si>
    <t>t_EOTEnterGainY</t>
  </si>
  <si>
    <t>EOTActuatorMng.4Y</t>
  </si>
  <si>
    <t>t_EOTEnterGainVspd_Kph_u9p7[4]</t>
  </si>
  <si>
    <t>t_EOTEnterGainVspd</t>
  </si>
  <si>
    <t>EOTActuatorMng.2X, EOTActuatorMng.3X, EOTActuatorMng.4Z</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</si>
  <si>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</si>
  <si>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</si>
  <si>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</si>
  <si>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</si>
  <si>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</si>
  <si>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</si>
  <si>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</si>
  <si>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</si>
  <si>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</si>
  <si>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</si>
  <si>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</si>
  <si>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</si>
  <si>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</si>
  <si>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</si>
  <si>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EOTActuatorMng.3Y, EOTActuatorMng.5X, EOTActuatorMng.6X</t>
  </si>
  <si>
    <t>t2_EOTPosDepDmpTblY_MtrNmpRadpS_u0p16[4][2]</t>
  </si>
  <si>
    <t>t_EOTPosDepDmpYTbl</t>
  </si>
  <si>
    <t>EOTActuatorMng.5Y</t>
  </si>
  <si>
    <t>{{0, 0.001953125},{0, 0.001953125},{0, 0.001953125},{0, 0.001953125}}</t>
  </si>
  <si>
    <t>MtrNmpRadps</t>
  </si>
  <si>
    <t>u0p16_T</t>
  </si>
  <si>
    <t>t2_EOTExPosDepDmpTblY_MtrNmpRadps_u0p16[4][2]</t>
  </si>
  <si>
    <t>t_EOTExPosDepDmpTblY</t>
  </si>
  <si>
    <t>EOTActuatorMng.6Y</t>
  </si>
  <si>
    <t>{{0, 0.004},{0, 0.004},{0, 0.004},{0, 0.004}}</t>
  </si>
  <si>
    <t>t_EOTDmpVspd_Kph_u9p7[4]</t>
  </si>
  <si>
    <t>t_EOTDmpVspd</t>
  </si>
  <si>
    <t>EOTActuatorMng.5Z, EOTActuatorMng.6Z</t>
  </si>
  <si>
    <t>k_EOTImpSpdEn_Kph_u9p7</t>
  </si>
  <si>
    <t>k_EOTImpSpdEn</t>
  </si>
  <si>
    <t>k_EOTDynConf_Uls_u8p8</t>
  </si>
  <si>
    <t>k_EOTDynConf</t>
  </si>
  <si>
    <t>None</t>
  </si>
  <si>
    <t>k_ADCTrig1Offset_Cnt_s16</t>
  </si>
  <si>
    <t>k_ADCTrig1Offset</t>
  </si>
  <si>
    <t>ADC Trigger offset near midpoint of PWM duty cycle</t>
  </si>
  <si>
    <t>sint16</t>
  </si>
  <si>
    <t>k_PwmDeadBand_Cnt_u16</t>
  </si>
  <si>
    <t>k_DeadBand</t>
  </si>
  <si>
    <t>PWM Dead band in epwm high resolution counts</t>
  </si>
  <si>
    <t>k_PwmRelay_Cnt_u16</t>
  </si>
  <si>
    <t>k_Relay</t>
  </si>
  <si>
    <t>k_CalRelNum_Cnt_u8[12]</t>
  </si>
  <si>
    <t>Cal release number</t>
  </si>
  <si>
    <t>{'D','e','f','a','u','l','t',' ','C','a','l','s'}</t>
  </si>
  <si>
    <t>uint8</t>
  </si>
  <si>
    <t>Uls/ms</t>
  </si>
  <si>
    <t>k_RampDnRt_UlspmS_f32</t>
  </si>
  <si>
    <t>VehPwrMd</t>
  </si>
  <si>
    <t>k_RampUpRtLoSpd_UlspmS_f32</t>
  </si>
  <si>
    <t>t_LPFKnY_Hz_u7p9[12]</t>
  </si>
  <si>
    <t>HFA_t_LPFKnY_Hz</t>
  </si>
  <si>
    <t>Table of filter cutoff frequencies, dependent on vehicle speed.</t>
  </si>
  <si>
    <t>HighFreqAssist</t>
  </si>
  <si>
    <t>HighFreqAssist.1Y</t>
  </si>
  <si>
    <t>{8, 8, 8, 8, 8, 8, 8, 8, 8, 8, 8, 8}</t>
  </si>
  <si>
    <t>u7p9_T</t>
  </si>
  <si>
    <t>t2_TorqX0_HwNm_u5p11[12][13]</t>
  </si>
  <si>
    <t>HFA_t_TorqX0_HwNm</t>
  </si>
  <si>
    <t>Normal tuning high frequency gain table x-variable</t>
  </si>
  <si>
    <t>HighFreqAssist.4X</t>
  </si>
  <si>
    <t>t2_TorqX1_HwNm_u5p11[12][13]</t>
  </si>
  <si>
    <t>HFA_t_TorqX1_HwNm</t>
  </si>
  <si>
    <t>WIR Active tuning high frequency gain table x-variable</t>
  </si>
  <si>
    <t>HighFreqAssist.5X</t>
  </si>
  <si>
    <t>t2_GainY0_MtrNmpHwNm_u3p13[12][13]</t>
  </si>
  <si>
    <t>HFA_t_GainY0_MtrNmpHwNm</t>
  </si>
  <si>
    <t>Normal tuning high frequency gain table y-variable</t>
  </si>
  <si>
    <t>HighFreqAssist.4Y</t>
  </si>
  <si>
    <t>MtrNmpHwNm</t>
  </si>
  <si>
    <t>u3p13_T</t>
  </si>
  <si>
    <t>t2_GainY1_MtrNmpHwNm_u3p13[12][13]</t>
  </si>
  <si>
    <t>HFA_t_GainY1_MtrNmpHwNm</t>
  </si>
  <si>
    <t>WIR Active tuning high frequency gain table y-variable</t>
  </si>
  <si>
    <t>HighFreqAssist.5Y</t>
  </si>
  <si>
    <t>t2_WIRBlendX_MtrNm_u4p12[12][5]</t>
  </si>
  <si>
    <t>HFA_t_WIRBlendX_MtrNm</t>
  </si>
  <si>
    <t>HighFreqAssist.6X</t>
  </si>
  <si>
    <t>t2_WIRBlendY_Uls_u1p15[12][5]</t>
  </si>
  <si>
    <t>HFA_t_WIRBlendY_Uls</t>
  </si>
  <si>
    <t>HighFreqAssist.6Y</t>
  </si>
  <si>
    <t>k_AbsMtrVelBkt_MtrRadps_f32</t>
  </si>
  <si>
    <t>Duty_k_AbsMtrVelBkt_MtrRadps</t>
  </si>
  <si>
    <t>Specify the threshold speed for switching between stall [S] and non-stall [NS] tables</t>
  </si>
  <si>
    <t>HiLoadStall, ThrmDutyCycle</t>
  </si>
  <si>
    <t>SF17 HighLoadStallThermalManagement, SF09 ThermalDutyCycleProtection</t>
  </si>
  <si>
    <t>k_EOTThrmPrtLPFKn_Cnt_u16</t>
  </si>
  <si>
    <t>EOTThrmPrtLPFKn</t>
  </si>
  <si>
    <t>HiLoadStall</t>
  </si>
  <si>
    <t>t_EOTThrmIndptTbl_MtrNm_u8p8[4]</t>
  </si>
  <si>
    <t>t_EOTThrmIndptTbl</t>
  </si>
  <si>
    <t xml:space="preserve">Table to determine X-axis
(Filtered Modified PreLimit Torque) 
of the EOT Thermal Protection Limit Table
</t>
  </si>
  <si>
    <t>HiLoadStall.1X</t>
  </si>
  <si>
    <t>5.75, 6.22, 6.67, 7.125</t>
  </si>
  <si>
    <t>t_EOTThrmDpntTbl_MtrNm_u8p8[4]</t>
  </si>
  <si>
    <t>t_EOTThrmDpntTbl</t>
  </si>
  <si>
    <t xml:space="preserve">Table to determine Y-axis
(StallThermLmt)
of the EOT Thermal Protection Limit Table
</t>
  </si>
  <si>
    <t>HiLoadStall.1Y</t>
  </si>
  <si>
    <t>8.5, 8.0, 7.5, 7.0</t>
  </si>
  <si>
    <t>k_EOTThrmSlwLmtStp_MtrNm_f32</t>
  </si>
  <si>
    <t>k_EOTThrmSlwLmtStp</t>
  </si>
  <si>
    <t>Calibration to determine slew rate</t>
  </si>
  <si>
    <t>k_HysCmpLPAstLPFKn_Hz_f32</t>
  </si>
  <si>
    <t>HysComp_k_AsstLPFKn_Hz</t>
  </si>
  <si>
    <t>LP filter cutoff frequency   (of assist)</t>
  </si>
  <si>
    <t>HystComp</t>
  </si>
  <si>
    <t>k_HysCmpHwTrqLPFKn_Hz_f32</t>
  </si>
  <si>
    <t>HysComp_k_HwTrqLPFKn_Hz</t>
  </si>
  <si>
    <t>LP filter cutoff frequency   (of hw torque)</t>
  </si>
  <si>
    <t>k_HysFinalOutLPFKn_Hz_f32</t>
  </si>
  <si>
    <t>HysComp_k_FinalOutLPFKn_Hz</t>
  </si>
  <si>
    <t>LP filter cutoff frequency   (of output)</t>
  </si>
  <si>
    <t>k_HysRevGain_InvHwNm_f32</t>
  </si>
  <si>
    <t>HysComp_k_RevGain_InvHwNm</t>
  </si>
  <si>
    <t>Magnifies delta handwheel torque during directional changes.  Provides a tuning method affecting transition feel.  Transition "rise" is tuned via tables above.  The "fall" is tuned by this one gain value.</t>
  </si>
  <si>
    <t>InvHwNm</t>
  </si>
  <si>
    <t>k_LpFricIpLim_HwNm_u9p7</t>
  </si>
  <si>
    <t>HysComp_k_AsstInputLim_HwNm</t>
  </si>
  <si>
    <t>Upper limit of incoming Assist magnitude</t>
  </si>
  <si>
    <t>t2_HysHwTrqBlndTblX_HwNm_u4p12[12][8]</t>
  </si>
  <si>
    <t>HysComp_t2_HwTorqBlendX_HwNm</t>
  </si>
  <si>
    <t>2-point table of assist values</t>
  </si>
  <si>
    <t>HystComp.8X</t>
  </si>
  <si>
    <t>{{0,0.2,0.4,0.6,1,1.4,2,10},{0,0.2,0.4,0.6,1,1.4,2,10},{0,0.2,0.4,0.6,1,1.4,2,10},{0,0.2,0.4,0.6,1,1.4,2,10},{0,0.2,0.4,0.6,1,1.4,2,10},{0,0.2,0.4,0.6,1,1.4,2,10},{0,0.2,0.4,0.6,1,1.4,2,10},{0,0.2,0.4,0.6,1,1.4,2,10},{0,0.2,0.4,0.6,1,1.4,2,10},{0,0.2,0.4,0.6,1,1.4,2,10},{0,0.2,0.4,0.6,1,1.4,2,10},{0,0.2,0.4,0.6,1,1.4,2,10}}</t>
  </si>
  <si>
    <t>t2_HysHwTrqBlndTblY_Uls_u4p12[12][8]</t>
  </si>
  <si>
    <t>HysComp_t2_HwTorqBlendY_Uls</t>
  </si>
  <si>
    <t>2-point table for scaling output of this function to zero according to the X-values above</t>
  </si>
  <si>
    <t>HystComp.8Y</t>
  </si>
  <si>
    <t>{{1,1,1,1,1,1,1,1},{1,1,1,1,1,1,1,1},{1,1,1,1,1,1,1,1},{1,1,1,1,1,1,1,1},{1,1,1,1,1,1,1,1},{1,1,1,1,1,1,1,1},{1,1,1,1,1,1,1,1},{1,1,1,1,1,1,1,1},{1,1,1,1,1,1,1,1},{1,1,1,1,1,1,1,1},{1,1,1,1,1,1,1,1},{1,1,1,1,1,1,1,1}}</t>
  </si>
  <si>
    <t>t_HysRiseTblX_HwNm_u2p14[6]</t>
  </si>
  <si>
    <t>HysComp_t_RiseX_HwNm</t>
  </si>
  <si>
    <t>Table of handwheel torque values that track a driver's transition toward or away from cornering</t>
  </si>
  <si>
    <t>HystComp.1X</t>
  </si>
  <si>
    <t>0, 0.094773206, 0.128210527, 0.154492771, 0.181721481, 0.2</t>
  </si>
  <si>
    <t>t_HysRiseTblY_Uls_u2p14[6]</t>
  </si>
  <si>
    <t>HysComp_t_RiseY_Uls</t>
  </si>
  <si>
    <t>Table of scale factors representing the fraction of available compensation to actually apply</t>
  </si>
  <si>
    <t>HystComp.1Y</t>
  </si>
  <si>
    <t>0, 0.6015625, 0.797, 0.912, 0.981, 1</t>
  </si>
  <si>
    <t>t_EffLossTblY_Uls_u4p12[12]</t>
  </si>
  <si>
    <t>HysComp_t_EffLossY_Uls</t>
  </si>
  <si>
    <t>Table of load-dependent efficiency loss at various vehicle speeds</t>
  </si>
  <si>
    <t>HystComp.3Y</t>
  </si>
  <si>
    <t>0, 0, 0, 0, 0, 0, 0, 0, 0, 0, 0, 0</t>
  </si>
  <si>
    <t>t_EffOffTblY_HwNm_u9p7[12]</t>
  </si>
  <si>
    <t>HysComp_t_EffOffY_HwNm</t>
  </si>
  <si>
    <t>Table that offsets the efficiency loss values above</t>
  </si>
  <si>
    <t>HystComp.2Y</t>
  </si>
  <si>
    <t>k_CmnSysTrqRatio_HwNmpMtrNm_f32</t>
  </si>
  <si>
    <t>Cmn_k_SysTrqRatio_HwNmpMtrNm</t>
  </si>
  <si>
    <t>Ratio between handwheel and motor, with consideration given to load-dependent losses.  Generally set as TrqRatio = KinRatio * Efficiency.</t>
  </si>
  <si>
    <t>k_HysOutLIm_HwNm_f32</t>
  </si>
  <si>
    <t>HysComp_k_OutLim_HwNm</t>
  </si>
  <si>
    <t>Function output saturation limit</t>
  </si>
  <si>
    <t>t_HysCompCoulFricY_HwNm_u9p7[2][12]</t>
  </si>
  <si>
    <t>HysComp_t_CoulFricY_HwNm</t>
  </si>
  <si>
    <t>2-dimensional table of coulomb friction values.  Uses speed table above for x-values.  Index 0 = friction values when operating with WIR inactive.  Index 1 = tuning for WIR active</t>
  </si>
  <si>
    <t>HystComp.4Y</t>
  </si>
  <si>
    <t>t_HysCompCoulFricTempScaleX_DegC_s14p1[8]</t>
  </si>
  <si>
    <t>HysComp_t_CoulFricTempScaleX_degC</t>
  </si>
  <si>
    <t>Table of temperature values for scaling sub-function output</t>
  </si>
  <si>
    <t>HystComp.6X</t>
  </si>
  <si>
    <t>-40, -30, -20, -10, 0, 25, 50, 80</t>
  </si>
  <si>
    <t>s14p1_T</t>
  </si>
  <si>
    <t>t_HysCompCoulFricTempScaleY_HwNm_u9p7[8]</t>
  </si>
  <si>
    <t>HysComp_t_CoulFricTempScaleY_Uls</t>
  </si>
  <si>
    <t>Table of scale factors over temperature</t>
  </si>
  <si>
    <t>HystComp.6Y</t>
  </si>
  <si>
    <t>1, 1, 1, 1, 1, 1, 1, 1</t>
  </si>
  <si>
    <t>t_HysCompHysSatY_HwNm_u9p7[12]</t>
  </si>
  <si>
    <t>HysComp_t_HysSatY_HwNm</t>
  </si>
  <si>
    <t>Table of saturation values for the total available hysteresis compensation</t>
  </si>
  <si>
    <t>HystComp.7Y</t>
  </si>
  <si>
    <t>15, 15, 15, 15, 15, 15, 15, 15, 15, 15, 15, 15</t>
  </si>
  <si>
    <t>t_HysCompCoulFricWIRBlendX_MtrNm_u8p8[6]</t>
  </si>
  <si>
    <t>HysComp_t_CoulFricWIRBlendX_MtrNm</t>
  </si>
  <si>
    <t>Table of WIR function command values to blend between CoulFricY tunings</t>
  </si>
  <si>
    <t>HystComp.5X</t>
  </si>
  <si>
    <t>0, 0.2, 0.4, 0.6, 0.8, 1</t>
  </si>
  <si>
    <t>t_HysCompCoulFricWIRBlendY_Uls_u2p14[6]</t>
  </si>
  <si>
    <t>HysComp_t_CoulFricWIRBlendY_Uls</t>
  </si>
  <si>
    <t>Table of scale values to blend between CoulFricY tunings</t>
  </si>
  <si>
    <t>HystComp.5Y</t>
  </si>
  <si>
    <t>0, 0, 0, 0, 0, 0</t>
  </si>
  <si>
    <t>t_HysCompNegHysCompX_MtrNm_u8p8[8]</t>
  </si>
  <si>
    <t>HysComp_t_NegHysCompX_MtrNm</t>
  </si>
  <si>
    <t>Table of WIR command amplitude values for generating negative hysteresis compensation</t>
  </si>
  <si>
    <t>HystComp.10X</t>
  </si>
  <si>
    <t>0, 0.1, 0.2, 0.4, 0.6, 0.8, 0.9, 1</t>
  </si>
  <si>
    <t>t_HysCompNegHysCompY_HwNm_u9p7[8]</t>
  </si>
  <si>
    <t>HysComp_t_NegHysCompY_HwNm</t>
  </si>
  <si>
    <t>Table of values to subtract from available compensation, sometimes making the sub-function's output negative.</t>
  </si>
  <si>
    <t>HystComp.10Y</t>
  </si>
  <si>
    <t>0,0,0,0,0 ,0,0,0</t>
  </si>
  <si>
    <t>t_HysCompNegHysBlendX_HwNm_u9p7[5]</t>
  </si>
  <si>
    <t>HysComp_t_NegHysCompBlendX_HwNm</t>
  </si>
  <si>
    <t>Table of assist values to blend out the negative compensation factor above</t>
  </si>
  <si>
    <t>HystComp.9X</t>
  </si>
  <si>
    <t>0, 1, 2, 3, 4</t>
  </si>
  <si>
    <t>t_HysCompNegHysBlendY_Uls_u2p14[5]</t>
  </si>
  <si>
    <t>HysComp_t_NegHysCompBlendY_Uls</t>
  </si>
  <si>
    <t>Table of scale values to blend out the negative compensation factor above</t>
  </si>
  <si>
    <t>HystComp.9Y</t>
  </si>
  <si>
    <t>1, 1, 1, 1, 1</t>
  </si>
  <si>
    <t>k_GainDecSlew_UlspS_f32</t>
  </si>
  <si>
    <t>LimCon_k_EOTGainIDecSlew_UlspS</t>
  </si>
  <si>
    <t>LmtCod</t>
  </si>
  <si>
    <t>k_TorqueDecSlew_MtrNmpS_f32</t>
  </si>
  <si>
    <t>LimCon_k_LimiterDecSlew_MtrNmpS</t>
  </si>
  <si>
    <t>MtrNmpS</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</si>
  <si>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</si>
  <si>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</si>
  <si>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</si>
  <si>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</si>
  <si>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</si>
  <si>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</si>
  <si>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</si>
  <si>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</si>
  <si>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</si>
  <si>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</si>
  <si>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</si>
  <si>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k_MtrVelEOTLrn_MtrRadpS_f32</t>
  </si>
  <si>
    <t>LrnEOT_k_MtrVelEOTLrn_RadpSec</t>
  </si>
  <si>
    <t>Maximum velocity threshold to indicate (with high torque) that the end stop is detected</t>
  </si>
  <si>
    <t>LrnEOT</t>
  </si>
  <si>
    <t>k_EOTLrnTimer_mS_u16</t>
  </si>
  <si>
    <t>LrnEOT_k_EOTLrnTimer_Sec</t>
  </si>
  <si>
    <t>Minimum time required to maintain the defined condition to allow the "Found" signal to change staten</t>
  </si>
  <si>
    <t>k_AuthorityStartLrn_Uls_f32</t>
  </si>
  <si>
    <t>LrnEOT_k_AuthorityStartLrn_Percent</t>
  </si>
  <si>
    <t>Minimum level of authority used to activate the learning as well as determine Cw_Found and Ccw_Found outputs.</t>
  </si>
  <si>
    <t>k_HwTrqEOTLrn_HwNm_f32</t>
  </si>
  <si>
    <t>LrnEOT_k_HwTrqLrnLimit_HwNm</t>
  </si>
  <si>
    <t>Minimum torque applied to indicate learning to start (high torque at end of travel)</t>
  </si>
  <si>
    <t>k_MinResetAuthority_Uls_f32</t>
  </si>
  <si>
    <t>LrnEOT_k_MinResetAuth_Uls</t>
  </si>
  <si>
    <t>k_MinRackTrvl_HwDeg_f32</t>
  </si>
  <si>
    <t>LrnEOT_k_MinRackTravel_Deg</t>
  </si>
  <si>
    <t>k_MaxRackTrvl_HwDeg_f32</t>
  </si>
  <si>
    <t>LrnEOT_k_MaxRackTravel_Deg</t>
  </si>
  <si>
    <t>lgc</t>
  </si>
  <si>
    <t>k_MinTrqCmdScl_Uls_f32</t>
  </si>
  <si>
    <t>Minimum Allowable Torque Command EOL Scale Factor</t>
  </si>
  <si>
    <t>Calibration to enforce a minimum limit on the Torque Command EOL Scale Factor</t>
  </si>
  <si>
    <t>k_MaxTrqCmdScl_Uls_f32</t>
  </si>
  <si>
    <t>Maximum Allowable Torque Command EOL Scale Factor</t>
  </si>
  <si>
    <t>Calibration to enforce a maximum limit on the Torque Command EOL Scale Factor</t>
  </si>
  <si>
    <t>k_NoofPoles_Uls_f32</t>
  </si>
  <si>
    <t>k_P</t>
  </si>
  <si>
    <t>No of Poles in  a motor</t>
  </si>
  <si>
    <t>Value Respresenting the maximum motor Current Squared</t>
  </si>
  <si>
    <t>k_PIGainVspdCutoff_kph_f32</t>
  </si>
  <si>
    <t>k_PIGainVspdCutoff_kph</t>
  </si>
  <si>
    <t>MotorVelocity  xais tabel for calculating the Qaxis propotional Gain</t>
  </si>
  <si>
    <t>MtrRadpSec</t>
  </si>
  <si>
    <t>k_MtrPosComputationDelay_Sec_f32</t>
  </si>
  <si>
    <t>k_MtrPosComputationDelay_Sec</t>
  </si>
  <si>
    <t>ComputationDelay</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</si>
  <si>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</si>
  <si>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</si>
  <si>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</si>
  <si>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</si>
  <si>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</si>
  <si>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</si>
  <si>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</si>
  <si>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</si>
  <si>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</si>
  <si>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</si>
  <si>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k_MinLqRngLmt_Henry_f32</t>
  </si>
  <si>
    <t>Minimum Lq Range Limit</t>
  </si>
  <si>
    <t>Henry</t>
  </si>
  <si>
    <t>k_MaxLqRngLmt_Henry_f32</t>
  </si>
  <si>
    <t>Maximum Lq Range Limit</t>
  </si>
  <si>
    <t>k_MinLdRngLmt_Henry_f32</t>
  </si>
  <si>
    <t>Minimum Ld Range Limit</t>
  </si>
  <si>
    <t>k_MaxLdRngLmt_Henry_f32</t>
  </si>
  <si>
    <t>Maximum Ld Range Limit</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</si>
  <si>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</si>
  <si>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</si>
  <si>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</si>
  <si>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</si>
  <si>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</si>
  <si>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</si>
  <si>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</si>
  <si>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</si>
  <si>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</si>
  <si>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</si>
  <si>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</si>
  <si>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</si>
  <si>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t_KeSatTblX_Amp_u9p7[16]</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</si>
  <si>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</si>
  <si>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</si>
  <si>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</si>
  <si>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</si>
  <si>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</si>
  <si>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t_CurrParamCompDaxRef_Amp_u9p7[6]</t>
  </si>
  <si>
    <t>LdqSaturation Characteristic_Daxis (Z)</t>
  </si>
  <si>
    <t>0,25,50,75,100,125</t>
  </si>
  <si>
    <t>t_CurrParamCompQaxRef_Amp_u9p7[7]</t>
  </si>
  <si>
    <t>LdqSaturation Characteristic_Qaxis (X)</t>
  </si>
  <si>
    <t>0,25,50,75,100,125,150</t>
  </si>
  <si>
    <t>t2_CurrParamLdSatSclFac_Uls_u2p14[6][7]</t>
  </si>
  <si>
    <t>LdSaturation Characteristic (Y)</t>
  </si>
  <si>
    <t>{{1.0,1.0,0.9961,0.9883,0.9707,0.9453,0.9063},{1.0,1.0,0.9961,0.9883,0.9707,0.9453,0.9063},{1.0,1.0,0.9961,0.9883,0.9707,0.9453,0.9063},{1.0,1.0,0.9961,0.9883,0.9707,0.9453,0.9063},{1.0,1.0,0.9961,0.9883,0.9707,0.9453,0.9063},{1.0,1.0,0.9961,0.9883,0.9707,0.9453,0.9063}}</t>
  </si>
  <si>
    <t>uls</t>
  </si>
  <si>
    <t>t2_CurrParamLqSatSclFac_Uls_u2p14[6][7]</t>
  </si>
  <si>
    <t>LqSaturation Characteristic (Y)</t>
  </si>
  <si>
    <t>k_PiSamplingTs_Sec_f32</t>
  </si>
  <si>
    <t>k_Ts</t>
  </si>
  <si>
    <t>PI sampling Time</t>
  </si>
  <si>
    <t>sec</t>
  </si>
  <si>
    <t>t_CommOffsetTblX_Uls_u3p13[2]</t>
  </si>
  <si>
    <t>t_ComOffsetX</t>
  </si>
  <si>
    <t>MIOffsetXtable</t>
  </si>
  <si>
    <t>{0.6,0.95}</t>
  </si>
  <si>
    <t>t_CommOffsetTblY_Cnt_u16[2]</t>
  </si>
  <si>
    <t>t_CommOffsetTblY</t>
  </si>
  <si>
    <t>{63,0}</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</si>
  <si>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</si>
  <si>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</si>
  <si>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</si>
  <si>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</si>
  <si>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</si>
  <si>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</si>
  <si>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Rad</t>
  </si>
  <si>
    <t>6th Harmonic</t>
  </si>
  <si>
    <t>12th Harmonic</t>
  </si>
  <si>
    <t>t_MtrTrqRipQax_Amp</t>
  </si>
  <si>
    <t>QaxTbl_Zaxis</t>
  </si>
  <si>
    <t>t_MtrTrqRipDax_Amp</t>
  </si>
  <si>
    <t>DaxTbl_Xaxis</t>
  </si>
  <si>
    <t>t_MtrVelX_MtrRadpS</t>
  </si>
  <si>
    <t>Velocity table for Mag_PI</t>
  </si>
  <si>
    <t>Rev</t>
  </si>
  <si>
    <t>k_InstMtrDirHyst_Deg_f32</t>
  </si>
  <si>
    <t>InstMtrDir_Hyst</t>
  </si>
  <si>
    <t>Motor position degrees that must be detected in the opposite direction before changing the state of the instantaneous motor direction</t>
  </si>
  <si>
    <t>MtrDeg</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</si>
  <si>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</si>
  <si>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</si>
  <si>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</si>
  <si>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</si>
  <si>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</si>
  <si>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</si>
  <si>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</si>
  <si>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</si>
  <si>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</si>
  <si>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</si>
  <si>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</si>
  <si>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</si>
  <si>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</si>
  <si>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</si>
  <si>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</si>
  <si>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</si>
  <si>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</si>
  <si>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</si>
  <si>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</si>
  <si>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</si>
  <si>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</si>
  <si>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</si>
  <si>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</si>
  <si>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</si>
  <si>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</si>
  <si>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</si>
  <si>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</si>
  <si>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</si>
  <si>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</si>
  <si>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</si>
  <si>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</si>
  <si>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</si>
  <si>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</si>
  <si>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</si>
  <si>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</si>
  <si>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</si>
  <si>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</si>
  <si>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</si>
  <si>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</si>
  <si>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</si>
  <si>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k_SiLLFiltKB0_Uls_f32</t>
  </si>
  <si>
    <t>MtrTempEst</t>
  </si>
  <si>
    <t>k_SiLLFiltKB1_Uls_f32</t>
  </si>
  <si>
    <t>k_SiLLFiltKA1_Uls_f32</t>
  </si>
  <si>
    <t>k_MagLLFiltKB0_Uls_f32</t>
  </si>
  <si>
    <t>k_MagLLFiltKB1_Uls_f32</t>
  </si>
  <si>
    <t>k_MagLLFiltKA1_Uls_f32</t>
  </si>
  <si>
    <t>k_CuLLFiltKB0_Uls_f32</t>
  </si>
  <si>
    <t>k_CuLLFiltKB1_Uls_f32</t>
  </si>
  <si>
    <t>k_CuLLFiltKA1_Uls_f32</t>
  </si>
  <si>
    <t>k_AmbPwrMult_WtspAmpSq_f32</t>
  </si>
  <si>
    <t>Watts/Amp2</t>
  </si>
  <si>
    <t>k_SiAmbLPFKn_Hz_f32</t>
  </si>
  <si>
    <t>k_SiAmbMult_DegCpWatt_f32</t>
  </si>
  <si>
    <t>DegC/Watt</t>
  </si>
  <si>
    <t>k_MagAmbLPFKn_Hz_f32</t>
  </si>
  <si>
    <t>k_MagAmbMult_DegCpWatt_f32</t>
  </si>
  <si>
    <t>k_CuAmbLPFKn_Hz_f32</t>
  </si>
  <si>
    <t>k_CuAmbMult_DegCpWatt_f32</t>
  </si>
  <si>
    <t>k_SiCorrLmt_DegC_f32</t>
  </si>
  <si>
    <t>k_MagCorrLmt_DegC_f32</t>
  </si>
  <si>
    <t>k_CuCorrLmt_DegC_f32</t>
  </si>
  <si>
    <t>k_AMDampScl_NmpRadpS_f32</t>
  </si>
  <si>
    <t>Nm/rad/sec</t>
  </si>
  <si>
    <t>k_AMAmbMult_DegCpWatt_f32</t>
  </si>
  <si>
    <t>k_AMAmbLPFKn_Hz_f32</t>
  </si>
  <si>
    <t>k_TrimTempSi_DegC_f32</t>
  </si>
  <si>
    <t>k_TrimTempMag_DegC_f32</t>
  </si>
  <si>
    <t>k_TrimTempCu_DegC_f32</t>
  </si>
  <si>
    <t>k_TrimTempAM_DegC_f32</t>
  </si>
  <si>
    <t>k_EngTempScl_Uls_f32</t>
  </si>
  <si>
    <t>k_AmbTempScl_Uls_f32</t>
  </si>
  <si>
    <t>k_AMLLFiltPoleA1_Uls_f32</t>
  </si>
  <si>
    <t>k_AMLLFiltCoefB0_Uls_f32</t>
  </si>
  <si>
    <t>k_AMLLFiltCoefB1_Uls_f32</t>
  </si>
  <si>
    <t>k_AssistMechSlew_DegCpS_f32</t>
  </si>
  <si>
    <t>DegCpS</t>
  </si>
  <si>
    <t>k_WtAvgTempDFt_Cnt_lgc</t>
  </si>
  <si>
    <t>TempEst_k_WtAvgTempDft_Uls</t>
  </si>
  <si>
    <t>t_MtrVelBlendTblX_MtrRadpS_u12p4[2]</t>
  </si>
  <si>
    <t xml:space="preserve">t_N_MotorVeltBld_BkPt1,t_N_MotorVeltBld_BkPt2
</t>
  </si>
  <si>
    <t>MtrVel blend BreakPoint1,BreakPoint2</t>
  </si>
  <si>
    <t>{0, 0}</t>
  </si>
  <si>
    <t>k_GearRatio_Uls_f32</t>
  </si>
  <si>
    <t>k_MtrVelCorrLim_Cnt_Str</t>
  </si>
  <si>
    <t>{12, 3, 1}</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</si>
  <si>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</si>
  <si>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</si>
  <si>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</si>
  <si>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</si>
  <si>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</si>
  <si>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</si>
  <si>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</si>
  <si>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</si>
  <si>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</si>
  <si>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</si>
  <si>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</si>
  <si>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</si>
  <si>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</si>
  <si>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</si>
  <si>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</si>
  <si>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</si>
  <si>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</si>
  <si>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HwRadpS</t>
  </si>
  <si>
    <t>k_CPUSupplyOV_Cnt_Str</t>
  </si>
  <si>
    <t>OvrVoltMon</t>
  </si>
  <si>
    <t>{10,10,1}</t>
  </si>
  <si>
    <t>k_CPUSupplyOV_Cnt_Str.Threshold</t>
  </si>
  <si>
    <t>k_CPU_SuplOV.Thresh</t>
  </si>
  <si>
    <t>k_CPUSupplyOV_Cnt_Str.Pstep</t>
  </si>
  <si>
    <t>k_CPU_SuplOV.Pstep</t>
  </si>
  <si>
    <t>k_CPUSupplyOV_Cnt_Str.Nstep</t>
  </si>
  <si>
    <t>k_CPU_SuplOV.Nstep</t>
  </si>
  <si>
    <t>PwrLmt_t_MtrEnvTblX_MtrRadpS</t>
  </si>
  <si>
    <t>Table to determine Voltage dependent motor velocity offset</t>
  </si>
  <si>
    <t>PwrLmtFuncCr</t>
  </si>
  <si>
    <t>SF19B PowerLimitFunction</t>
  </si>
  <si>
    <t>PwrLmtFuncCr.1X</t>
  </si>
  <si>
    <t>PwrLmt_t_DLVTblY_MtrRadpS</t>
  </si>
  <si>
    <t>PwrLmtFuncCr.1Y</t>
  </si>
  <si>
    <t>PwrLmtFuncCr.2X</t>
  </si>
  <si>
    <t>{-1100, -800, -650, -550, -353.5625, -287.46875, -218.65625, -108.1875, 0, 108.1875, 218.65625, 287.46875, 353.5625, 550}</t>
  </si>
  <si>
    <t>s11p4_T</t>
  </si>
  <si>
    <t>PwrLmt_t_MtrEnvTblY_MtrNm</t>
  </si>
  <si>
    <t>PwrLmtFuncCr.2Y</t>
  </si>
  <si>
    <t>{0.720, 1.400, 1.900, 2.300, 3.500, 4.100, 4.632, 4.632, 4.632, 4.632, 3.553, 2.927, 2.200, 0}</t>
  </si>
  <si>
    <t>PwrLmt_k_KeStdTemp_VpRadpS</t>
  </si>
  <si>
    <t>minimum expected value of the Ke estimate</t>
  </si>
  <si>
    <t>VpRadpS</t>
  </si>
  <si>
    <t>PwrLmt_t_StdOpMtrEnvTblX_MtrRadpS</t>
  </si>
  <si>
    <t>PwrLmtFuncCr.4X</t>
  </si>
  <si>
    <t>{0, 68.1875,178.656,247.468,313.5625,510}</t>
  </si>
  <si>
    <t>PwrLmt_t_StdOpMtrEnvTblY_MtrNm</t>
  </si>
  <si>
    <t>PwrLmtFuncCr.4Y</t>
  </si>
  <si>
    <t>{4.632, 4.632, 3.553, 2.927, 2.200, 0.000}</t>
  </si>
  <si>
    <t>k_SpdAdjSlewInc_MtrRadpS_f32</t>
  </si>
  <si>
    <t>PwrLmt_k_SpdAdjSlewInc_MtrRadpSpL</t>
  </si>
  <si>
    <t>slew limit rate for Offset Output Velocity (max change in 2 ms)</t>
  </si>
  <si>
    <t>k_SpdAdjSlewDec_MtrRadpS_f32</t>
  </si>
  <si>
    <t>PwrLmt_k_SpdAdjSlewDec_MtrRadpSpL</t>
  </si>
  <si>
    <t>k_SpdAdjSlewEnable_Cnt_lgc</t>
  </si>
  <si>
    <t>PwrLmt_k_SpdAdjSlewEnable_Cnt</t>
  </si>
  <si>
    <t>Enable for the Offset Output Velocity Slew Rate</t>
  </si>
  <si>
    <t>k_AsstReducLPFKn_Hz_f32</t>
  </si>
  <si>
    <t>PwrLmt_k_AsstReducLPFKn_Hz</t>
  </si>
  <si>
    <t>cutoff frequency of the low pass filter for the calculated limit percentage</t>
  </si>
  <si>
    <t>k_PwrLmtMtrVelLPFKn_Hz_f32</t>
  </si>
  <si>
    <t>PwrLmt_k_MtrVelLPFKn_Hz</t>
  </si>
  <si>
    <t>cutoff frequency of the low pass filter for the motor velocity input</t>
  </si>
  <si>
    <t>PwrLmt_k_FiltAsstReducTh_Uls</t>
  </si>
  <si>
    <t>value above which a Nexteer DTC should be set</t>
  </si>
  <si>
    <t>k_LowVltAstRecTime_mS_u16</t>
  </si>
  <si>
    <t>PwrLmt_k_LowVltAstRecTime_mS</t>
  </si>
  <si>
    <t>how much time Vecu must be above the calibratable voltage threshold in order to reset output flag status</t>
  </si>
  <si>
    <t>k_LowVltAstRecTh_Volt_f32</t>
  </si>
  <si>
    <t>PwrLmt_k_LowVltAstRecTh_Volts</t>
  </si>
  <si>
    <t>value representing the voltage level at which the output flag(s) can be reset</t>
  </si>
  <si>
    <t>t_ReturnVSpdTblBS_Kph_u9p7[9]</t>
  </si>
  <si>
    <t>Rtrn_t_VSpd_Kph</t>
  </si>
  <si>
    <t>Table of Vehicle Speed Points corresponding to Return Tables</t>
  </si>
  <si>
    <t>Return</t>
  </si>
  <si>
    <t>0,3,7,12,20,30,45,60,80</t>
  </si>
  <si>
    <t>t2_ReturnPosTblXM_HwDeg_u12p4[9][16]</t>
  </si>
  <si>
    <t>Rtrn_t_BaseRtrnX_HwDeg</t>
  </si>
  <si>
    <t>Table used to provide the return as a function of absolute handwheel angle. X-axis of table</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</si>
  <si>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</si>
  <si>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t2_ReturnPosTblYM_MtrNm_u5p11[9][16]</t>
  </si>
  <si>
    <t>Rtrn_t_BaseRtrnY_MtrNm</t>
  </si>
  <si>
    <t>Table used to provide the return as a function of absolute handwheel angle. Y-Axis of table</t>
  </si>
  <si>
    <t>{{0,0,0,0,0,0,0,0,0,0,0,0,0,0,0,0}, {0,0,0,0,0,0,0,0,0,0,0,0,0,0,0,0},{0,0,0,0,0,0,0,0,0,0,0,0,0,0,0,0},{0,0,0,0,0,0,0,0,0,0,0,0,0,0,0,0},{0,0,0,0,0,0,0,0,0,0,0,0,0,0,0,0},{0,0,0,0,0,0,0,0,0,0,0,0,0,0,0,0},{0,0,0,0,0,0,0,0,0,0,0,0,0,0,0,0},{0,0,0,0,0,0,0,0,0,0,0,0,0,0,0,0},{0,0,0,0,0,0,0,0,0,0,0,0,0,0,0,0}}</t>
  </si>
  <si>
    <t>t2_ReturnSclTrqTblXM_HwNm_T_u8p8[9][8]</t>
  </si>
  <si>
    <t>Rtrn_t_TrqScaleX_HwNm</t>
  </si>
  <si>
    <t>Table used to provide the return as a function of handwheel torque</t>
  </si>
  <si>
    <t>{{0,0.5,1,2,3,4,5,10},{0,0.5,1,2,3,4,5,10},{0,0.5,1,2,3,4,5,10},{0,0.5,1,2,3,4,5,10},{0,0.5,1,2,3,4,5,10},{0,0.5,1,2,3,4,5,10},{0,0.5,1,2,3,4,5,10},{0,0.5,1,2,3,4,5,10},{0,0.5,1,2,3,4,5,10}}</t>
  </si>
  <si>
    <t>t2_ReturnSclTrqTblYM_Uls_u8p8[9][8]</t>
  </si>
  <si>
    <t>Rtrn_t_TrqScaleY_Uls</t>
  </si>
  <si>
    <t>Table used to provide the return scaled as a function of handwheel torque and vehicle speed</t>
  </si>
  <si>
    <t>{{1,1,1,1,1,1,1,1},{1,1,1,1,1,1,1,1},{1,1,1,1,1,1,1,1},{1,1,1,1,1,1,1,1},{1,1,1,1,1,1,1,1},{1,1,1,1,1,1,1,1},{1,1,1,1,1,1,1,1},{1,1,1,1,1,1,1,1},{1,1,1,1,1,1,1,1}}</t>
  </si>
  <si>
    <t>t2_ReturnSclVelTblXM_HwRadpS_T_u7p9[9][4]</t>
  </si>
  <si>
    <t>Rtrn_t_VelScaleX_HwRadpS</t>
  </si>
  <si>
    <t>Table used to provide the return as a function of handwheel velocity</t>
  </si>
  <si>
    <t>{{0,40,60,80},{0,40,60,80},{0,40,60,80},{0,40,60,80},{0,40,60,80},{0,40,60,80},{0,40,60,80},{0,40,60,80},{0,40,60,80}}</t>
  </si>
  <si>
    <t>t2_ReturnSclVelTblYM_Uls_u8p8[9][4]</t>
  </si>
  <si>
    <t>Rtrn_t_VelScaleY_Uls</t>
  </si>
  <si>
    <t>Table used to provide the return scaled as a function of handwheel velocity and vehicle speed</t>
  </si>
  <si>
    <t>{{1,1,1,1},{1,1,1,1},{1,1,1,1},{1,1,1,1},{1,1,1,1},{1,1,1,1},{1,1,1,1},{1,1,1,1},{1,1,1,1}}</t>
  </si>
  <si>
    <t>k_RtnOffsetSlew_HwDegpS_f32</t>
  </si>
  <si>
    <t>Rtrn_k_OffsetSlew_HwDegpS</t>
  </si>
  <si>
    <t>Slew rate limit cal</t>
  </si>
  <si>
    <t>k_RtnOffsetRange_HWDeg_f32</t>
  </si>
  <si>
    <t>Rtrn_k_OffsetLimit_HwDeg</t>
  </si>
  <si>
    <t>Valid offset range cal</t>
  </si>
  <si>
    <t>HWDeg</t>
  </si>
  <si>
    <t>t_ReturnTempScaleXTbl_DegC_s11p4[14]</t>
  </si>
  <si>
    <t>Rtrn_t_TempScaleX_DegC</t>
  </si>
  <si>
    <t>Table of temperature values</t>
  </si>
  <si>
    <t>-40, -35, -30, -20, -10, 0, 10, 20,30,40,50, 60,70, 90</t>
  </si>
  <si>
    <t>t_ReturnTempScaleSclYTbl_Uls_u8p8[14]</t>
  </si>
  <si>
    <t>Rtrn_t_TempScaleY_Uls</t>
  </si>
  <si>
    <t>Table of scale values, 0 to 10</t>
  </si>
  <si>
    <t>1,1,1,1,1,1,1,1,1,1,1,1,1,1</t>
  </si>
  <si>
    <t>t_HWAuthRetScl_X_Uls_u8p8[4]</t>
  </si>
  <si>
    <t>Rtrn_t_HwAuthX_Uls</t>
  </si>
  <si>
    <t>Index into Handwheel Authority Scaler Lookup Table</t>
  </si>
  <si>
    <t>0,0.5,0.75,1</t>
  </si>
  <si>
    <t>t_HWAuthRetScl_Y_Uls_u9p7[4]</t>
  </si>
  <si>
    <t>Rtrn_t_HwAuthY_Uls</t>
  </si>
  <si>
    <t>Output value from Handwheel Authority Scaler Lookup Table</t>
  </si>
  <si>
    <t>0,0,0,1</t>
  </si>
  <si>
    <t>k_RtnHWAuthSlew_UlspS_f32</t>
  </si>
  <si>
    <t>Rtrn_k_HwAuthSlew_UlspS</t>
  </si>
  <si>
    <t>k_RtnLimit_MtrNm_f32</t>
  </si>
  <si>
    <t>Rtrn_k_Limit_MtrNm</t>
  </si>
  <si>
    <t>Enforces valid range of return command. Range is symmetric.</t>
  </si>
  <si>
    <t>t_RtrnFWVehSpd_Kph_u9p7[8]</t>
  </si>
  <si>
    <t>RtrnFW_t_VehSpd_kph</t>
  </si>
  <si>
    <t>ReturnFirewall</t>
  </si>
  <si>
    <t>ReturnFirewall.1Z, ReturnFirewall.2Z</t>
  </si>
  <si>
    <t>{0, 3, 10, 20, 30, 60, 100, 255}</t>
  </si>
  <si>
    <t>t_RtrnFWUprBoundX_HwDeg_s11p4[11]</t>
  </si>
  <si>
    <t>RtrnFW_t_UprBoundX_HwDeg</t>
  </si>
  <si>
    <t>ReturnFirewall.2Z, ReturnFirewall.3Z</t>
  </si>
  <si>
    <t>{-400, -100, 0, 50, 100, 150, 200, 250, 300, 350, 400}</t>
  </si>
  <si>
    <t>t2_RtrnFWUprBoundY_MtrNm_s4p11[8][11]</t>
  </si>
  <si>
    <t>RtrnFW_t2_UprBoundY_MtrNm</t>
  </si>
  <si>
    <t>ReturnFirewall.2Y</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</si>
  <si>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</si>
  <si>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k_VehSpdSlewRate_KphpSec_f32</t>
  </si>
  <si>
    <t>SigCon_k_VehSpdSlewRate_KphpSec</t>
  </si>
  <si>
    <t>Vehicle Speed Slew Rate (kph/sec)</t>
  </si>
  <si>
    <t>SgnlCond</t>
  </si>
  <si>
    <t>KphpSec</t>
  </si>
  <si>
    <t>k_VehAccelSlewRate_KphpSecSq_f32</t>
  </si>
  <si>
    <t>SigCon_k_VehAccelSlewRate_KphpSecSq</t>
  </si>
  <si>
    <t>KphpSecSq</t>
  </si>
  <si>
    <t>t_StCmpADDFBlendX_Uls_u2p14[2]</t>
  </si>
  <si>
    <t>StCmp_t_ADDFBlendX_Uls</t>
  </si>
  <si>
    <t>Lookup table to determine X-axis of Assist Factor Compensation Blend Table</t>
  </si>
  <si>
    <t>StabilityComp</t>
  </si>
  <si>
    <t>StabilityComp.1X</t>
  </si>
  <si>
    <t>{1.0, 2.0}</t>
  </si>
  <si>
    <t>t_StCmpADDFBlendY_Uls_u2p14[2]</t>
  </si>
  <si>
    <t>StCmp_t_ADDFBlendY_Uls</t>
  </si>
  <si>
    <t>Lookup table to determine Y-axis of Assist Factor Compensation Blend Table</t>
  </si>
  <si>
    <t>StabilityComp.1Y</t>
  </si>
  <si>
    <t>{0, 1.0}</t>
  </si>
  <si>
    <t>t_StCmpBlendSpdBS_Kph_u9p7[6]</t>
  </si>
  <si>
    <t>StCmp_t_BlendSpd_Kph</t>
  </si>
  <si>
    <t>Compensator Blend table as a function of vehicle speed</t>
  </si>
  <si>
    <t>StabilityComp.2Z, StabilityComp.3Z</t>
  </si>
  <si>
    <t>{0, 10, 30, 45, 60, 80}</t>
  </si>
  <si>
    <t>t_StCmpBlend12Trq_HwNm_u8p8[5]</t>
  </si>
  <si>
    <t>StCmp_t_Blend12Trq_HwNm</t>
  </si>
  <si>
    <t>Compensator Blend table x-variable</t>
  </si>
  <si>
    <t>StabilityComp.2X, StabilityComp.3X</t>
  </si>
  <si>
    <t>{0,  2.0,  4.0, 6.0, 8.0}</t>
  </si>
  <si>
    <t>t2_StCmpBlend12TblY_Uls_u2p14[6][5]</t>
  </si>
  <si>
    <t>StCmp_t2_Blend12TblY_Uls</t>
  </si>
  <si>
    <t>Compensator Blend table y-variable</t>
  </si>
  <si>
    <t>StabilityComp.2Y</t>
  </si>
  <si>
    <t>{{0.0, 0.0, 0.0, 0.0, 0.0},{0.25, 0.25, 0.25, 0.25, 0.25},{0.5, 0.5, 0.5, 0.5, 0.5},{0.75, 0.75, 0.75, 0.75, 0.75},{1.0, 1.0, 1.0, 1.0, 1.0},{1.0, 1.0, 1.0, 1.0, 1.0}}</t>
  </si>
  <si>
    <t>t2_StCmpBlend02TblY_Uls_u2p14[6][5]</t>
  </si>
  <si>
    <t>StCmp_t2_Blend02TblY_Uls</t>
  </si>
  <si>
    <t>StabilityComp.3Y</t>
  </si>
  <si>
    <t>{{1.0, 1.0, 1.0, 1.0, 1.0},{1.0, 1.0, 1.0, 1.0, 1.0},{1.0, 1.0, 1.0, 1.0, 1.0},{1.0, 1.0, 1.0, 1.0, 1.0},{1.0, 1.0, 1.0, 1.0, 1.0},{1.0, 1.0, 1.0, 1.0, 1.0}}</t>
  </si>
  <si>
    <t>t_StCmpBlend34Trq_HwNm_u8p8[5]</t>
  </si>
  <si>
    <t>StCmp_t_Blend34Trq_HwNm</t>
  </si>
  <si>
    <t>StabilityComp.4X, StabilityComp.5X</t>
  </si>
  <si>
    <t>t2_StCmpBlend34TblY_Uls_u2p14[6][5]</t>
  </si>
  <si>
    <t>StCmp_t2_Blend34TblY_Uls</t>
  </si>
  <si>
    <t>StabilityComp.4Y</t>
  </si>
  <si>
    <t>t2_StCmpBlend04TblY_Uls_u2p14[6][5]</t>
  </si>
  <si>
    <t>StCmp_t2_Blend04TblY_Uls</t>
  </si>
  <si>
    <t>StabilityComp.5Y</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</si>
  <si>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</si>
  <si>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</si>
  <si>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</si>
  <si>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</si>
  <si>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</si>
  <si>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</si>
  <si>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</si>
  <si>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</si>
  <si>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</si>
  <si>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</si>
  <si>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</si>
  <si>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</si>
  <si>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</si>
  <si>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</si>
  <si>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</si>
  <si>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</si>
  <si>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</si>
  <si>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</si>
  <si>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</si>
  <si>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</si>
  <si>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</si>
  <si>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</si>
  <si>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</si>
  <si>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</si>
  <si>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</si>
  <si>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k_StCmpHwTrqLPFKn_Hz_f32</t>
  </si>
  <si>
    <t>StCmp_k_HwTrqLPFKn_Hz</t>
  </si>
  <si>
    <t>Low pass filter cutoff frequency for filtered handwheel torque into compensator blending lookup table</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</si>
  <si>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</si>
  <si>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</si>
  <si>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</si>
  <si>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</si>
  <si>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</si>
  <si>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</si>
  <si>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</si>
  <si>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</si>
  <si>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Count</t>
  </si>
  <si>
    <t>k_StCmpStabCmpNstep_Cnt_u16</t>
  </si>
  <si>
    <t>StCmp_k_SysCorrNstep_Cnt</t>
  </si>
  <si>
    <t>k_StCmpStabCmpPNThresh_Cnt_u16</t>
  </si>
  <si>
    <t>StCmp_k_SysCorrPNThresh_Cnt</t>
  </si>
  <si>
    <t>k_OnStateDiag_Cnt_str</t>
  </si>
  <si>
    <t>SVDiag</t>
  </si>
  <si>
    <t>{1500, 512, 1}</t>
  </si>
  <si>
    <t>k_GateDriveDiag_Cnt_str</t>
  </si>
  <si>
    <t>k_PhsReasErrorTerm_Cnt_s16</t>
  </si>
  <si>
    <t>k_PhsReasErrorTerm</t>
  </si>
  <si>
    <t>Known divergence between measured and expected</t>
  </si>
  <si>
    <t>k_ErrorFiltKn_Cnt_u16</t>
  </si>
  <si>
    <t>k_ErrorFiltKn</t>
  </si>
  <si>
    <t>Tau of error filter</t>
  </si>
  <si>
    <t>k_ErrorThresh_Cnt_u32</t>
  </si>
  <si>
    <t>k_ErrorThresh</t>
  </si>
  <si>
    <t>Error Threshold (compared to absolute sum)</t>
  </si>
  <si>
    <t>k_PhsReasEnableThresh_Cnt_u32</t>
  </si>
  <si>
    <t>k_PhsReasEnableThresh</t>
  </si>
  <si>
    <t>Threshold below which the phase reasonableness diagnostic is enabled</t>
  </si>
  <si>
    <t>k_LowResPhsReas_Cnt_str</t>
  </si>
  <si>
    <t>Fault Accumulation parameters</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</si>
  <si>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</si>
  <si>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</si>
  <si>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</si>
  <si>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</si>
  <si>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</si>
  <si>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</si>
  <si>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</si>
  <si>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</si>
  <si>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</si>
  <si>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</si>
  <si>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k_DitherLPFKn_Cnt_u16</t>
  </si>
  <si>
    <t>Filter time constant of PWM dither frequency</t>
  </si>
  <si>
    <t>SVDrvr_CM</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</si>
  <si>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</si>
  <si>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</si>
  <si>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</si>
  <si>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</si>
  <si>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</si>
  <si>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</si>
  <si>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</si>
  <si>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</si>
  <si>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</si>
  <si>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</si>
  <si>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</si>
  <si>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</si>
  <si>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</si>
  <si>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Independent variable - Temperature</t>
  </si>
  <si>
    <t>ThrmDutyCycle.1X, ThrmDutyCycle.2X, ThrmDutyCycle.3X, ThrmDutyCycle.4X, ThrmDutyCycle.5X, ThrmDutyCycle.6X, ThrmDutyCycle.7X, ThrmDutyCycle.8X, ThrmDutyCycle.9X, ThrmDutyCycle.10X, ThrmDutyCycle.11X, ThrmDutyCycle.12X, ThrmDutyCycle.13X, ThrmDutyCycle.14X</t>
  </si>
  <si>
    <t>{-40, 0, 83, 84, 85}</t>
  </si>
  <si>
    <t>s15p0_T</t>
  </si>
  <si>
    <t>t_Mult1NSTblY_Uls_u3p13[5]</t>
  </si>
  <si>
    <t>Duty_t_Mult1NSTblY_Uls</t>
  </si>
  <si>
    <t>Dependent variable - scale factor  for the load</t>
  </si>
  <si>
    <t>ThrmDutyCycle.1Y</t>
  </si>
  <si>
    <t>{0.0155029, 0.0155029, 0.0155029, 0.198975, 0.198975}</t>
  </si>
  <si>
    <t>t_Mult2NSTblY_Uls_u3p13[5]</t>
  </si>
  <si>
    <t>Duty_t_Mult2NSTblY_Uls</t>
  </si>
  <si>
    <t>ThrmDutyCycle.2Y</t>
  </si>
  <si>
    <t>{0.019409, 0.019409, 0.019409, 0.034302, 0.034302}</t>
  </si>
  <si>
    <t>t_Mult3NSTblY_Uls_u3p13[5]</t>
  </si>
  <si>
    <t>Duty_t_Mult3NSTblY_Uls</t>
  </si>
  <si>
    <t>ThrmDutyCycle.3Y</t>
  </si>
  <si>
    <t>{0.024292, 0.024292, 0.024292, 0.1564941, 0.1564941}</t>
  </si>
  <si>
    <t>t_Mult4NSTblY_Uls_u3p13[5]</t>
  </si>
  <si>
    <t>Duty_t_Mult4NSTblY_Uls</t>
  </si>
  <si>
    <t>ThrmDutyCycle.4Y</t>
  </si>
  <si>
    <t>{0.000122, 0.000122, 0.000122, 0.000122, 0.000122}</t>
  </si>
  <si>
    <t>t_Mult5NSTblY_Uls_u3p13[5]</t>
  </si>
  <si>
    <t>Duty_t_Mult5NSTblY_Uls</t>
  </si>
  <si>
    <t>ThrmDutyCycle.5Y</t>
  </si>
  <si>
    <t>{0.121826, 0.121826, 0.121826, 1.16394, 1.16394}</t>
  </si>
  <si>
    <t>t_Mult6NSTblY_Uls_u3p13[5]</t>
  </si>
  <si>
    <t>Duty_t_Mult6NSTblY_Uls</t>
  </si>
  <si>
    <t>ThrmDutyCycle.6Y</t>
  </si>
  <si>
    <t>t_Mult1STblY_Uls_u3p13[5]</t>
  </si>
  <si>
    <t>Duty_t_Mult1STblY_Uls</t>
  </si>
  <si>
    <t>ThrmDutyCycle.7Y</t>
  </si>
  <si>
    <t>{0.016235, 0.016235, 0.016235, 0.021973, 0.021973}</t>
  </si>
  <si>
    <t>t_Mult2STblY_Uls_u3p13[5]</t>
  </si>
  <si>
    <t>Duty_t_Mult2STblY_Uls</t>
  </si>
  <si>
    <t>ThrmDutyCycle.8Y</t>
  </si>
  <si>
    <t>{0.020386, 0.020386, 0.020386, 0.037842, 0.037842}</t>
  </si>
  <si>
    <t>t_Mult3STblY_Uls_u3p13[5]</t>
  </si>
  <si>
    <t>Duty_t_Mult3STblY_Uls</t>
  </si>
  <si>
    <t>ThrmDutyCycle.9Y</t>
  </si>
  <si>
    <t>{0.025635, 0.025635, 0.025635, 0.208374, 0.208374}</t>
  </si>
  <si>
    <t>t_Mult4STblY_Uls_u3p13[5]</t>
  </si>
  <si>
    <t>Duty_t_Mult4STblY_Uls</t>
  </si>
  <si>
    <t>ThrmDutyCycle.10Y</t>
  </si>
  <si>
    <t>t_Mult5STblY_Uls_u3p13[5]</t>
  </si>
  <si>
    <t>Duty_t_Mult5STblY_Uls</t>
  </si>
  <si>
    <t>ThrmDutyCycle.11Y</t>
  </si>
  <si>
    <t>t_Mult6STblY_Uls_u3p13[5]</t>
  </si>
  <si>
    <t>Duty_t_Mult6STblY_Uls</t>
  </si>
  <si>
    <t>ThrmDutyCycle.12Y</t>
  </si>
  <si>
    <t>t_LastTblValNS_MtrNm_u9p7[5]</t>
  </si>
  <si>
    <t>Duty_t_LastTblValNS_MtrNm</t>
  </si>
  <si>
    <t>ThrmDutyCycle.13Y</t>
  </si>
  <si>
    <t>{1, 1, 1, 0.34375, 0.34375}</t>
  </si>
  <si>
    <t>t_LastTblValS_MtrNm_u9p7[5]</t>
  </si>
  <si>
    <t>Duty_t_LastTblValS_MtrNm</t>
  </si>
  <si>
    <t>ThrmDutyCycle.14Y</t>
  </si>
  <si>
    <t>{0.96875, 0.96875, 0.96875, 0.3125, 0.3125}</t>
  </si>
  <si>
    <t>k_TrqCmdSlewDown_MtrNm_u9p7</t>
  </si>
  <si>
    <t>Duty_k_TrqCmdSlewDown_MtrNm</t>
  </si>
  <si>
    <t>Step change in torque during recovery</t>
  </si>
  <si>
    <t>k_TrqCmdSlewUp_MtrNm_u9p7</t>
  </si>
  <si>
    <t>Duty_k_TrqCmdSlewUp_MtrNm</t>
  </si>
  <si>
    <t>Step change in torque during decay</t>
  </si>
  <si>
    <t>k_SlowFltTempSlc_Cnt_lgc</t>
  </si>
  <si>
    <t>Duty_k_SlowFltTempSlc_b</t>
  </si>
  <si>
    <t>Boolean for temperature selection</t>
  </si>
  <si>
    <t>Unsigned Variable X
Number of Points:  5
X Table:  Dependent variable - Temperature</t>
  </si>
  <si>
    <t>ThrmDutyCycle.15X</t>
  </si>
  <si>
    <t>{122, 123, 125, 127}</t>
  </si>
  <si>
    <t>Unsigned Variable Y
Number of Points:  5
X Table:  Dependent variable motor torque limit in Nm</t>
  </si>
  <si>
    <t>ThrmDutyCycle.15Y</t>
  </si>
  <si>
    <t>{2.703125, 2.242188, 1.828125, 0}</t>
  </si>
  <si>
    <t>k_AbsTmpTrqSlewLmt_MtrNm_f32</t>
  </si>
  <si>
    <t>Duty_k_AbsTmpTrqSlewLmt_MtrNm</t>
  </si>
  <si>
    <t>Step change in torque during recovery and decay in the Absolute Temperature Limiting Table</t>
  </si>
  <si>
    <t>k_MultTempSlc_Cnt_lgc</t>
  </si>
  <si>
    <t>Duty_k_MultTempSlc_b</t>
  </si>
  <si>
    <t>k_AbsTempDiag_Cnt_str</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</si>
  <si>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</si>
  <si>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</si>
  <si>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</si>
  <si>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</si>
  <si>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</si>
  <si>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</si>
  <si>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</si>
  <si>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</si>
  <si>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</si>
  <si>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k_DutyCycFltTrshld_Uls_u16p0</t>
  </si>
  <si>
    <t>Duty_k_DutyCycFltTrshld_Uls</t>
  </si>
  <si>
    <t>Calibration defining the threshold to set or clear the thermal limit flag</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</si>
  <si>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</si>
  <si>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</si>
  <si>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</si>
  <si>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</si>
  <si>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</si>
  <si>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</si>
  <si>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</si>
  <si>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</si>
  <si>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k_DefaultIgnOffTime_Sec_f32</t>
  </si>
  <si>
    <t>k_TmprlMonPstepNstep_Cnt_str.Threshold</t>
  </si>
  <si>
    <t>k_TMFRunDiag.Threshold</t>
  </si>
  <si>
    <t>TmprlMon</t>
  </si>
  <si>
    <t>k_TmprlMonPstepNstep_Cnt_str.Pstep</t>
  </si>
  <si>
    <t>k_TMFRunDiag.Pstep</t>
  </si>
  <si>
    <t>k_TmprlMonPstepNstep_Cnt_str.Nstep</t>
  </si>
  <si>
    <t>k_TMFRunDiag.Nstep</t>
  </si>
  <si>
    <t>k_TmprlMonPstepNstep_Cnt_str</t>
  </si>
  <si>
    <t>{20,10,5}</t>
  </si>
  <si>
    <t>k_FlashECCDiag_Cnt_str</t>
  </si>
  <si>
    <t>TMS570_uDiag</t>
  </si>
  <si>
    <t>{100, 5, 1}</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</si>
  <si>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</si>
  <si>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</si>
  <si>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</si>
  <si>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</si>
  <si>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</si>
  <si>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</si>
  <si>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</si>
  <si>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</si>
  <si>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</si>
  <si>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</si>
  <si>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</si>
  <si>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</si>
  <si>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TqRsDg</t>
  </si>
  <si>
    <t>Low pass filter cutoff frequency applied to Abs(Mtr Volt Cmd error).  When filter output crosses a threshold, P/N counter begins counting upward</t>
  </si>
  <si>
    <t>k_TunSelHwTrqLPFKn_Hz_f32</t>
  </si>
  <si>
    <t>TunSel_k_HwTrqLPFKn_Hz</t>
  </si>
  <si>
    <t>Low pass filter cutoff frequency</t>
  </si>
  <si>
    <t>TuningSelAuth</t>
  </si>
  <si>
    <t>k_TunSelVehSpdThresh_Kph_f32</t>
  </si>
  <si>
    <t>TunsSel_k_VehSpdThresh_Kph</t>
  </si>
  <si>
    <t>Vehicle speed threshold value</t>
  </si>
  <si>
    <t>k_PosMaxOfstOne_HwDeg_u12p4</t>
  </si>
  <si>
    <t>VSpdLim_k_PosMaxOfstOne_HwDeg</t>
  </si>
  <si>
    <t>VehSpdLmt</t>
  </si>
  <si>
    <t>k_PosMaxOfstTwo_HwDeg_u12p4</t>
  </si>
  <si>
    <t>VSpdLim_k_PosMaxOfstTwo_HwDeg</t>
  </si>
  <si>
    <t>t_MaxAsstTblX_Kph_u9p7[5]</t>
  </si>
  <si>
    <t>VSpdLim_t_MaxAsstIndpt_kph</t>
  </si>
  <si>
    <t>VehSpdLmt.1X</t>
  </si>
  <si>
    <t>0, 25, 50, 65, 75</t>
  </si>
  <si>
    <t>t_MaxAsstTblY_MtrNm_u5p11[5]</t>
  </si>
  <si>
    <t>VSpdLim_t_MaxAsstDpnt_MtrNm</t>
  </si>
  <si>
    <t>VehSpdLmt.1Y</t>
  </si>
  <si>
    <t>8.8,8.8,8.8,8.8,8.8</t>
  </si>
  <si>
    <t>Deg</t>
  </si>
  <si>
    <t>{0, 0, 0, 0, 0, 0}</t>
  </si>
  <si>
    <t>Unknown</t>
  </si>
  <si>
    <t>sint8</t>
  </si>
  <si>
    <t>HwDegpSec</t>
  </si>
  <si>
    <t>StaMd</t>
  </si>
  <si>
    <t>#pragma DATA_SECTION(k_TunSet&lt;TUNINGINDEX_Y&gt;_Cnt_Str, ".TunSet&lt;TUNINGINDEX_Y&gt;CalSeg");
CONST(TUNING_Y_Str, CAL_CONST)k_TunSet&lt;TUNINGINDEX_Y&gt;_Cnt_Str = { &lt;VALUELIST&gt; };</t>
  </si>
  <si>
    <t>#define &lt;ROOTNAME&gt;&lt;TAB&gt;TunSet_Ptr_Str-&gt;&lt;ROOTNAME&gt;</t>
  </si>
  <si>
    <t>k_TunSet&lt;TUNINGINDEX_Y&gt;_Cnt_Str.&lt;ROOTNAME&gt;</t>
  </si>
  <si>
    <t>{{0,0.1015625,0.20703125,0.24609375,0.2890625,0.3359375,0.3828125,0.4296875,0.48046875,0.5234375,0.5703125,0.62109375},{0,0.1015625,0.3046875,0.39453125,0.48046875,0.578125,0.66796875,0.765625,0.859375,0.94921875,1.04296875,1.1328125},{0,0.19921875,0.3125,0.44140625,0.56640625,0.6875,0.80078125,0.9296875,1.0390625,1.16015625,1.2890625,1.40625},{0,0.19921875,0.3125,0.4296875,0.5703125,0.67578125,0.80078125,0.92578125,1.0390625,1.16796875,1.2890625,1.40625},{0,0.19921875,0.3125,0.43359375,0.55859375,0.69140625,0.80859375,0.9296875,1.04296875,1.171875,1.2890625,1.40234375},{0,0.19921875,0.30859375,0.43359375,0.54296875,0.6796875,0.8046875,0.921875,1.04296875,1.171875,1.3046875,1.4296875},{0,0.19921875,0.3125,0.4140625,0.5546875,0.68359375,0.80078125,0.93359375,1.0546875,1.171875,1.296875,1.4296875},{0,0.19921875,0.390625,0.5078125,0.63671875,0.7578125,0.89453125,1.01953125,1.13671875,1.265625,1.38671875,1.515625},{0,0.19921875,0.390625,0.5078125,0.640625,0.765625,0.90625,1.015625,1.16015625,1.27734375,1.40625,1.546875},{0,0.19921875,0.390625,0.5078125,0.640625,0.765625,0.90625,1.015625,1.16015625,1.27734375,1.40625,1.546875},{0,0.19921875,0.390625,0.5078125,0.640625,0.765625,0.90625,1.015625,1.16015625,1.27734375,1.40625,1.546875},{0,0.19921875,0.390625,0.5078125,0.640625,0.765625,0.90625,1.015625,1.16015625,1.27734375,1.40625,1.546875}}</t>
  </si>
  <si>
    <t>{{0,0,0.0234375,0.03515625,0.05078125,0.0703125,0.09375,0.12109375,0.15234375,0.18359375,0.21875,0.26171875},{0,0,0.03125,0.05078125,0.07421875,0.10546875,0.140625,0.18359375,0.23046875,0.28125,0.33984375,0.40234375},{0,0,0.015625,0.0390625,0.06640625,0.09765625,0.1328125,0.17578125,0.21875,0.26953125,0.328125,0.38671875},{0,0,0.015625,0.03515625,0.0625,0.0859375,0.1171875,0.15234375,0.1875,0.23046875,0.2734375,0.3203125},{0,0,0.015625,0.03515625,0.05859375,0.0859375,0.11328125,0.14453125,0.17578125,0.21484375,0.25390625,0.29296875},{0,0,0.015625,0.03515625,0.0546875,0.08203125,0.109375,0.13671875,0.16796875,0.203125,0.2421875,0.28125},{0,0,0.015625,0.03125,0.0546875,0.078125,0.1015625,0.12890625,0.15625,0.18359375,0.21484375,0.25},{0,0,0.0234375,0.0390625,0.05859375,0.078125,0.1015625,0.125,0.1484375,0.17578125,0.203125,0.234375},{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t>
  </si>
  <si>
    <t>{{0, 0.25, 0.5, 0.75, 1.1},{0, 0.25, 0.5, 0.75, 1.1},{0, 0.25, 0.5, 0.75, 1.1},{0, 0.25, 0.5, 0.75, 1.1},{0, 0.25, 0.5, 0.75, 1.1},{0, 0.25, 0.5, 0.75, 1.1},{0, 0.25, 0.5, 0.75, 1.1},{0, 0.25, 0.5, 0.75, 1.1},{0, 0.25, 0.5, 0.75, 1.1},{0, 0.25, 0.5, 0.75, 1.1},{0, 0.25, 0.5, 0.75, 1.1},{0, 0.25, 0.5, 0.75, 1.1}}</t>
  </si>
  <si>
    <t>{{0, 0, 0.5, 0.9, 1},{0, 0, 0.5, 0.9, 1},{0, 0, 0.5, 0.9, 1},{0, 0, 0.5, 0.9, 1},{0, 0, 0.5, 0.9, 1},{0, 0, 0.5, 0.9, 1},{0, 0, 0.5, 0.9, 1},{0, 0, 0.5, 0.9, 1},{0, 0, 0.5, 0.9, 1},{0, 0, 0.5, 0.9, 1},{0, 0, 0.5, 0.9, 1},{0, 0, 0.5, 0.9, 1}}</t>
  </si>
  <si>
    <t>{{0,0.25,0.5,0.75,1,1.25,1.5,2,4,6,7.5,7.75,8},{0,0.25,0.5,0.75,1,1.25,1.5,2,4,6,7.5,7.75,8},{0,0.25,0.5,0.75,1,1.25,1.5,2,4,6,7.5,7.75,8},{0,0.25,0.5,0.75,1,1.25,1.5,2,4,6,7.5,7.75,8},{0,0.25,0.5,0.75,1,1.25,1.5,2,4,6,7.5,7.75,8},{0,0.25,0.5,0.75,1,1.25,1.5,2,4,6,7.5,7.75,8},{0,0.25,0.5,0.75,1,1.25,1.5,2,4,6,7.5,7.75,8},{0,0.25,0.5,0.75,1,1.25,1.5,2,4,6,7.5,7.75,8},{0,0.25,0.5,0.75,1,1.25,1.5,2,4,6,7.5,7.75,8},{0,0.25,0.5,0.75,1,1.25,1.5,2,4,6,7.5,7.75,8},{0,0.25,0.5,0.75,1,1.25,1.5,2,4,6,7.5,7.75,8},{0,0.25,0.5,0.75,1,1.25,1.5,2,4,6,7.5,7.75,8}}</t>
  </si>
  <si>
    <t>{{0.25,0.2,0.13,0.08,0.04,0.01,0,0,0,0,0,0,0},{0.25,0.2,0.13,0.08,0.04,0.01,0,0,0,0,0,0,0},{0.25,0.2,0.13,0.08,0.04,0.01,0,0,0,0,0,0,0},{0.25,0.2,0.13,0.08,0.04,0.01,0,0,0,0,0,0,0},{0.25,0.2,0.13,0.08,0.04,0.01,0,0,0,0,0,0,0},{0.25,0.2,0.13,0.08,0.04,0.01,0,0,0,0,0,0,0},{0.25,0.2,0.13,0.08,0.04,0.01,0,0,0,0,0,0,0},{0.25,0.2,0.13,0.08,0.04,0.01,0,0,0,0,0,0,0},{0.25,0.2,0.13,0.08,0.04,0.01,0,0,0,0,0,0,0},{0.25,0.2,0.13,0.08,0.04,0.01,0,0,0,0,0,0,0},{0.25,0.2,0.13,0.08,0.04,0.01,0,0,0,0,0,0,0},{0.25,0.2,0.13,0.08,0.04,0.01,0,0,0,0,0,0,0}}</t>
  </si>
  <si>
    <t>{{0,0.25,0.5,0.75,1},{0,0.25,0.5,0.75,1},{0,0.25,0.5,0.75,1},{0,0.25,0.5,0.75,1},{0,0.25,0.5,0.75,1},{0,0.25,0.5,0.75,1},{0,0.25,0.5,0.75,1},{0,0.25,0.5,0.75,1},{0,0.25,0.5,0.75,1},{0,0.25,0.5,0.75,1},{0,0.25,0.5,0.75,1},{0,0.25,0.5,0.75,1}}</t>
  </si>
  <si>
    <t>{{0,0,0,0,0},{0,0,0,0,0},{0,0,0,0,0},{0,0,0,0,0},{0,0,0,0,0},{0,0,0,0,0},{0,0,0,0,0},{0,0,0,0,0},{0,0,0,0,0},{0,0,0,0,0},{0,0,0,0,0},{0,0,0,0,0}}</t>
  </si>
  <si>
    <t>{{0,0,0,0,0,0,0,0,0,0,0,0},{0,0,0,0,0,0,0,0,0,0,0,0}}</t>
  </si>
  <si>
    <t>k_SrvcHwTrqLimit_HwNm_f32</t>
  </si>
  <si>
    <t>Handwheel torque limit for CMS</t>
  </si>
  <si>
    <t>k_SrvcVehSpdLimit_Kph_f32</t>
  </si>
  <si>
    <t>Vehicle speed limit for CMS</t>
  </si>
  <si>
    <t>FDD08B BatterySwitchedVoltage, FDD08B BatterySwitchedVoltage</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</si>
  <si>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</si>
  <si>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</si>
  <si>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</si>
  <si>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</si>
  <si>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</si>
  <si>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</si>
  <si>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</si>
  <si>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</si>
  <si>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</si>
  <si>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</si>
  <si>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</si>
  <si>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</si>
  <si>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</si>
  <si>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</si>
  <si>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</si>
  <si>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</si>
  <si>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</si>
  <si>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</si>
  <si>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</si>
  <si>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</si>
  <si>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</si>
  <si>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</si>
  <si>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</si>
  <si>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</si>
  <si>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</si>
  <si>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</si>
  <si>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</si>
  <si>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</si>
  <si>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</si>
  <si>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</si>
  <si>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</si>
  <si>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</si>
  <si>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</si>
  <si>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</si>
  <si>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</si>
  <si>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</si>
  <si>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</si>
  <si>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</si>
  <si>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</si>
  <si>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</si>
  <si>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</si>
  <si>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</si>
  <si>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</si>
  <si>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</si>
  <si>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</si>
  <si>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</si>
  <si>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</si>
  <si>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</si>
  <si>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k_EOTDmpFWInputLim_MtrNm_f32</t>
  </si>
  <si>
    <t>EOTDmpFW_k_InputLim_MtrNm</t>
  </si>
  <si>
    <t>EtDmpFw</t>
  </si>
  <si>
    <t>t_EOTDmpFWActiveBoundX_MtrRadpS_s11p4[5]</t>
  </si>
  <si>
    <t>EOTDmpFW_t_ActiveBoundX_MtrRadpS</t>
  </si>
  <si>
    <t>{-700, -5, 10, 50, 700}</t>
  </si>
  <si>
    <t>t2_EOTDmpFWActiveBoundY_MtrNm_s7p8[4][5]</t>
  </si>
  <si>
    <t>EOTDmpFW_t2_ActiveBoundY_MtrNm</t>
  </si>
  <si>
    <t>{{8.8,8.8,8.8,8.8,8.8},{8.8,8.8,8.8,8.8,8.8},{8.8,8.8,8.8,8.8,8.8},{8.8,8.8,8.8,8.8,8.8}}</t>
  </si>
  <si>
    <t>k_EOTDmpFWInactiveLim_MtrNm_f32</t>
  </si>
  <si>
    <t>EOTDmpFW_k_InactiveLim_MtrNm</t>
  </si>
  <si>
    <t>t_EOTDmpFWVehSpd_Kph_u9p7[4]</t>
  </si>
  <si>
    <t>EOTDmpFW_t_VehSpd_Kph</t>
  </si>
  <si>
    <t>{0, 20, 40, 60}</t>
  </si>
  <si>
    <t>k_Harmonic6thElec_Uls_f32</t>
  </si>
  <si>
    <t>k_HarmonicElec_6th</t>
  </si>
  <si>
    <t>k_Harmonic12thElec_Uls_f32</t>
  </si>
  <si>
    <t>k_Harmonic12thElec</t>
  </si>
  <si>
    <t>k_Harmonic18thElec_Uls_f32</t>
  </si>
  <si>
    <t>k_Harmonic18thElec</t>
  </si>
  <si>
    <t>18th Harmonic</t>
  </si>
  <si>
    <t>t2_MtrTrqCancPIMagRP_Uls</t>
  </si>
  <si>
    <t>t2_MtrTrqCancPIPhRP_Rev</t>
  </si>
  <si>
    <t>k_StaMdsSysCDiag_Cnt_str</t>
  </si>
  <si>
    <t>{21,10,1}</t>
  </si>
  <si>
    <t>k_StaMdsSysCDiag_Cnt_str.Threshold</t>
  </si>
  <si>
    <t>k_SysCStatesModesThresh_Cnts</t>
  </si>
  <si>
    <t>k_StaMdsSysCDiag_Cnt_str.PStep</t>
  </si>
  <si>
    <t>k_SysCStatesModesPStep_Cnts</t>
  </si>
  <si>
    <t>k_StaMdsSysCDiag_Cnt_str.NStep</t>
  </si>
  <si>
    <t>k_SysCStatesModesNStep_Cnts</t>
  </si>
  <si>
    <t>BatteryVoltage, BkCpPc</t>
  </si>
  <si>
    <t>EOTActuatorMng, EtDmpFw</t>
  </si>
  <si>
    <t>SF18 EndofTravelActuatorManagement, SF27 EOTDampingFirewall</t>
  </si>
  <si>
    <t>MtrVel, MtrVel_Digi</t>
  </si>
  <si>
    <t>FDD02B MotorVelocity, FDD02B MotorVelocity</t>
  </si>
  <si>
    <t>None, None</t>
  </si>
  <si>
    <t>DigMSB</t>
  </si>
  <si>
    <t>k_SPI50UOff_Cnt_u16</t>
  </si>
  <si>
    <t>k_SPI50UOff_Cnts</t>
  </si>
  <si>
    <t>k_SPI1mOff_Cnt_u16</t>
  </si>
  <si>
    <t>k_SPI1mOff_Cnts</t>
  </si>
  <si>
    <t>k_DefaultVehSpd_Kph_f32</t>
  </si>
  <si>
    <t>Default vehicle speed</t>
  </si>
  <si>
    <t>SrlComInput</t>
  </si>
  <si>
    <t>SrlComOutput</t>
  </si>
  <si>
    <t>Step size to increment the output HW_Authority to the required target authority.</t>
  </si>
  <si>
    <t>k_MaxSwitchedVolt_Volts</t>
  </si>
  <si>
    <t>VBIC_k_DmpGainOnThresh_KphpS</t>
  </si>
  <si>
    <t>VBIC_t_DmpDecelGainSlewX_MtrRapds</t>
  </si>
  <si>
    <t>k_GearRatio</t>
  </si>
  <si>
    <t>MtrVel, AbsHwPos_TcI2cVd, MtrVel_Digi</t>
  </si>
  <si>
    <t>FDD02B MotorVelocity, FDD05G I2CAbsoluteHandwheelPositionFunction, FDD02B MotorVelocity</t>
  </si>
  <si>
    <t>k_UseTurnsCntr_Cnt_lgc</t>
  </si>
  <si>
    <t>K_TurnsCntr_Use</t>
  </si>
  <si>
    <t>Calibration identifying if Turns Counter is used or I2C sensor is used in the hw position calculation.</t>
  </si>
  <si>
    <t>AbsHwPos_TcI2cVd</t>
  </si>
  <si>
    <t>k_HwPosOutputLPFCoeffFc_Hz_f32</t>
  </si>
  <si>
    <t>k_HwPosOutput_LPF_Coeff_Fc</t>
  </si>
  <si>
    <t>Numerator of the output smoothing  Low Pass filter coefficient representing the cut-off frequency.  Denominator is fixed</t>
  </si>
  <si>
    <t>k_HwPosOutputLPFError_HwDeg_f32</t>
  </si>
  <si>
    <t>k_ HwPosOutput _LPF_Error</t>
  </si>
  <si>
    <t>Convergence error to disable the output smoothing LPF.</t>
  </si>
  <si>
    <t>k_TurnsCntrAuthority_Uls_f32</t>
  </si>
  <si>
    <t>k_TurnsCntr_Authority</t>
  </si>
  <si>
    <t>Authority allowed for handwheel position  computed using Turns Counter. (This cal provided to offer design flexibility)</t>
  </si>
  <si>
    <t>k_I2CHwAuthority_Uls_f32</t>
  </si>
  <si>
    <t>k_I2C_HwAuthority</t>
  </si>
  <si>
    <t>Authority allowed for handwheel position  computed by the I2C sensor.</t>
  </si>
  <si>
    <t>k_MaxVehCntrOffDiff_HwDeg_f32</t>
  </si>
  <si>
    <t>k_Max_VehCntrOff_Diff</t>
  </si>
  <si>
    <t>Difference between previous and new veh cntr offset exceeding which the EEPROM value is updated.</t>
  </si>
  <si>
    <t>k_KinmIntDiagMaxRackLimit_HwDeg_f32</t>
  </si>
  <si>
    <t>Total rack travel for a program (travel stop to travel stop) with additional tolerance factor (50%)</t>
  </si>
  <si>
    <t>k_HWAtoMtrADiffLimit_HwDeg_f32</t>
  </si>
  <si>
    <t>k_HWAtoMtrADiff_Limit</t>
  </si>
  <si>
    <t>Maximum allowed difference between hw angle derived from I2C and mtr pos exceeding which correlation fault is set.</t>
  </si>
  <si>
    <t>k_HwAtoMtrAError_str</t>
  </si>
  <si>
    <t>{200, 4, 1}</t>
  </si>
  <si>
    <t>k_HwAtoMtrAError_str.Threshold</t>
  </si>
  <si>
    <t>k_HwAtoMtrA_Error_Thresh</t>
  </si>
  <si>
    <t>HwAtoMtrA NTC: Error threshold</t>
  </si>
  <si>
    <t>k_HwAtoMtrAError_str.PStep</t>
  </si>
  <si>
    <t>k_HwAtoMtrA_Error_Pstep</t>
  </si>
  <si>
    <t>HwAtoMtrA NTC: Error Accumulator P-step</t>
  </si>
  <si>
    <t>k_HwAtoMtrAError_str.NStep</t>
  </si>
  <si>
    <t>k_HwAtoMtrA_Error_Nstep</t>
  </si>
  <si>
    <t>HwAtoMtrA NTC: Error accumulator N-Step</t>
  </si>
  <si>
    <t>k_VehCntrOffValidLimit_HwDeg_f32</t>
  </si>
  <si>
    <t>k_VehCntrOff_ValidLimit</t>
  </si>
  <si>
    <t>k_LoSpdVDAuthority_Uls_f32</t>
  </si>
  <si>
    <t>k_HiSpdVDAuthority_Uls_f32</t>
  </si>
  <si>
    <t>FDD05G I2CAbsoluteHandwheelPositionFunction, FDD05G I2CAbsoluteHandwheelPositionFunction</t>
  </si>
  <si>
    <t>Authority value vested in the Low Speed VD  provided hw position.</t>
  </si>
  <si>
    <t>Authority value vested in the High Speed VD  provided hw position.</t>
  </si>
  <si>
    <t>Kinematic ratio between handwheel and motor</t>
  </si>
  <si>
    <t>VehDyn</t>
  </si>
  <si>
    <t>k_AutoCntrPinTrqLPFCoeffKn_Hz_f32</t>
  </si>
  <si>
    <t>Numerator of the Low Pass filter coefficient representing the cut-off frequency of Filter for pinion torque .</t>
  </si>
  <si>
    <t>k_AutoCntrLoSpdTimer1MtrVel_MtrRadpS_f32</t>
  </si>
  <si>
    <t>Motor Velocity threshold for low vehicle speed autocentering enable criteria</t>
  </si>
  <si>
    <t>k_AutoCntrLoSpdTimer1VehSpd_kph_f32</t>
  </si>
  <si>
    <t>Vehicle Speed  threshold for low vehicle speed autocentering enable criteria</t>
  </si>
  <si>
    <t>k_AutoCntrLoSpdTimer1PinTrq_HwNm_f32</t>
  </si>
  <si>
    <t>Pinion Torque threshold for low vehicle speed autocentering enable criteria</t>
  </si>
  <si>
    <t>k_AutoCntrLoSpdTimer1_mS_u16</t>
  </si>
  <si>
    <t>Time duration for which Enable criteria must be present to enable filter one for low speed autocentering (Timer 1)</t>
  </si>
  <si>
    <t>k_AutoCntrLoSpdFilt1Kn_Hz_f32</t>
  </si>
  <si>
    <t xml:space="preserve">Numerator of the Low Pass filter coefficient representing the cut-off frequency of Filter One for low speed autocentering .  
</t>
  </si>
  <si>
    <t>k_AutoCntrLoSpdCntrWindow_HwDeg_f32</t>
  </si>
  <si>
    <t>Cntr Window in which motor position should  be for low speed autocentering</t>
  </si>
  <si>
    <t>k_AutoCntrLoSpdFilt2Kn_Hz_f32</t>
  </si>
  <si>
    <t xml:space="preserve">Numerator of the Low Pass filter coefficient representing the cut-off frequency of Filter Two for low speed autocentering .  
</t>
  </si>
  <si>
    <t>k_AutoCntrLoSpdTimer2_mS_u16</t>
  </si>
  <si>
    <t>Time threshold for which enable conditions must be present to use low speed autocentering result (Timer 2)</t>
  </si>
  <si>
    <t>k_AutoCntrHiSpdTimer1MtrVel_MtrRadpS_f32</t>
  </si>
  <si>
    <t>Motor Velocity threshold for high vehicle speed autocentering enable criteria</t>
  </si>
  <si>
    <t>k_AutoCntrHiSpdTimer1VehSpd_kph_f32</t>
  </si>
  <si>
    <t>Vehicle Speed  threshold for high vehicle speed autocentering enable criteria</t>
  </si>
  <si>
    <t>k_AutoCntrHiSpdTimer1PinTrq_HwNm_f32</t>
  </si>
  <si>
    <t>Pinion Torque threshold for high vehicle speed autocentering enable criteria</t>
  </si>
  <si>
    <t>k_AutoCntrHiSpdTimer1_mS_u16</t>
  </si>
  <si>
    <t>Time duration for which Enable criteria must be present to enable filter one for high speed autocentering (Timer 1)</t>
  </si>
  <si>
    <t>k_AutoCntrHiSpdFilt1Kn_Hz_f32</t>
  </si>
  <si>
    <t>VehDyn_k_AutoCntrHiSpdFilt1Kn_Hz</t>
  </si>
  <si>
    <t>k_AutoCntrHiSpdCntrWindow_HwDeg_f32</t>
  </si>
  <si>
    <t>Cntr Window in which motor position should  be for high speed autocentering</t>
  </si>
  <si>
    <t>k_AutoCntrHiSpdFilt2Kn_Hz_f32</t>
  </si>
  <si>
    <t>k_AutoCntrHiSpdTimer2_mS_u16</t>
  </si>
  <si>
    <t>Time threshold for which enable conditions must be present to use high speed autocentering result (Timer 2)</t>
  </si>
  <si>
    <t>k_AutoCntrHiSpdTimer4MtrVel_MtrRadpS_f32</t>
  </si>
  <si>
    <t>Motor Velocity  threshold for final enable criteria for high speed autocentering</t>
  </si>
  <si>
    <t>k_AutoCntrHiSpdTimer4VehSpd_kph_f32</t>
  </si>
  <si>
    <t>Vehicle Speed  threshold for final enable criteria for high speed autocentering</t>
  </si>
  <si>
    <t>k_AutoCntrHiSpdTimer4PinTrq_HwNm_f32</t>
  </si>
  <si>
    <t>Pinion Torque threshold for final enable criteria for high speed autocentering</t>
  </si>
  <si>
    <t>k_AutoCntrHiSpdTimer4CntrWindow_HwDeg_f32</t>
  </si>
  <si>
    <t>Cntr Window in which motor position should  be for high speed autocentering for the Timer 4 criteria</t>
  </si>
  <si>
    <t>k_AutoCntrHiSpdTimer4_mS_u16</t>
  </si>
  <si>
    <t>Time threshold for which enable conditions must be present to use low speed autocentering result</t>
  </si>
  <si>
    <t>ComplErr_t_MtrPosNonLinComplDepTbl_HwDegpMtrNm</t>
  </si>
  <si>
    <t>ComplErr_t_MtrPosNonLinComplIndTbl_MtrNm</t>
  </si>
  <si>
    <t>ComplErr</t>
  </si>
  <si>
    <t>HwDegpMtrNm</t>
  </si>
  <si>
    <t>{0, 0.5, 1.5, 3, 5, 8}</t>
  </si>
  <si>
    <t>t_CompErrMtrPosNonLinComplDepTbl_HwDegpMtrNm_u8p8[6]</t>
  </si>
  <si>
    <t>t_ComplErrMtrPosNonLinComplIndTbl_MtrNm_u5p11[6]</t>
  </si>
  <si>
    <t>SF41 Compliance Error</t>
  </si>
  <si>
    <t>{{0, 30, 60, 90},{0, 30, 60, 90},{0, 30, 60, 90},{0, 30, 60, 90}}</t>
  </si>
  <si>
    <t>{{0, 0.33, 0.66, 1},{0, 0.33, 0.66, 1},{0, 0.33, 0.66, 1},{0, 0.33, 0.66, 1}}</t>
  </si>
  <si>
    <t>k_LRPRCommOffsetMargin_Uls_f32</t>
  </si>
  <si>
    <t>k_LowResPhsReas_CommOffsetMargin</t>
  </si>
  <si>
    <t>t_AbsCtrlTmpTblX_DegC_s15p0[4]</t>
  </si>
  <si>
    <t>Duty_t_AbsCtrlTmpTblX_DegC</t>
  </si>
  <si>
    <t>t_AbsCtrlTmpTblY_MtrNm_u9p7[4]</t>
  </si>
  <si>
    <t>Duty_t_AbsCtrlTmpTblY_MtrNm</t>
  </si>
  <si>
    <t>t_AbsCuTmpTblX_DegC_s15p0[4]</t>
  </si>
  <si>
    <t>Duty_t_AbsCuTmpTblX_DegC</t>
  </si>
  <si>
    <t>t_AbsCuTmpTblY_MtrNm_u9p7[4]</t>
  </si>
  <si>
    <t>Duty_t_AbsCuTmpTblY_MtrNm</t>
  </si>
  <si>
    <t>FDD04D AnalogPressureMeasurement</t>
  </si>
  <si>
    <t>CF11 BMW_TJA_Damping</t>
  </si>
  <si>
    <t>HS33 CoilPIControl</t>
  </si>
  <si>
    <t>CF09 GMOverlayStateHandler</t>
  </si>
  <si>
    <t>CF10 GMTorqueArbitrator</t>
  </si>
  <si>
    <t>HS09 ThermalManagement</t>
  </si>
  <si>
    <t>{140, 2, 1}</t>
  </si>
  <si>
    <t>TempEst_k_TempSnsrFiltDft_Cnt</t>
  </si>
  <si>
    <t>Flag indicating whether software low pass filter should be defeated or bypassed</t>
  </si>
  <si>
    <t>TempEst_k_TempSnsrLPFKn_Hz</t>
  </si>
  <si>
    <t>Cutoff frequency for software low pass filter</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</si>
  <si>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</si>
  <si>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</si>
  <si>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</si>
  <si>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</si>
  <si>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</si>
  <si>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</si>
  <si>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</si>
  <si>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</si>
  <si>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TempEst_k_SiLLFiltKB0_Uls</t>
  </si>
  <si>
    <t>TempEst_k_SiLLFiltKB1_Uls</t>
  </si>
  <si>
    <t>TempEst_k_SiLLFiltKA1_Uls</t>
  </si>
  <si>
    <t>TempEst_k_MagLLFiltKB0_Uls</t>
  </si>
  <si>
    <t>TempEst_k_MagLLFiltKB1_Uls</t>
  </si>
  <si>
    <t>TempEst_k_MagLLFiltKA1_Uls</t>
  </si>
  <si>
    <t>TempEst_k_CuLLFiltKB0_Uls</t>
  </si>
  <si>
    <t>TempEst_k_CuLLFiltKB1_Uls</t>
  </si>
  <si>
    <t>TempEst_k_CuLLFiltKA1_Uls</t>
  </si>
  <si>
    <t>TempEst_k_AmbPwrMult_WtspAmpSq</t>
  </si>
  <si>
    <t>TempEst_k_SiAmbLPFKn_Hz</t>
  </si>
  <si>
    <t>TempEst_k_SiAmbMult_DegCpWatt</t>
  </si>
  <si>
    <t>TempEst_k_MagAmbLPFKn_Hz</t>
  </si>
  <si>
    <t>TempEst_k_MagAmbMult_DegCpWatt</t>
  </si>
  <si>
    <t>TempEst_k_CuAmbLPFKn_Hz</t>
  </si>
  <si>
    <t>TempEst_k_CuAmbMult_DegCpWatt</t>
  </si>
  <si>
    <t>TempEst_k_SiCorrLmt_DegC</t>
  </si>
  <si>
    <t>TempEst_k_MagCorrLmt_DegC</t>
  </si>
  <si>
    <t>TempEst_k_CuCorrLmt_DegC</t>
  </si>
  <si>
    <t>TempEst_k_AMDampScl_NmpRadpS</t>
  </si>
  <si>
    <t>TempEst_k_AMAmbMult_DegCpWatt</t>
  </si>
  <si>
    <t>TempEst_k_AMAmbLPFKn_Hz</t>
  </si>
  <si>
    <t>TempEst_k_TrimTempSi_DegC</t>
  </si>
  <si>
    <t>TempEst_k_TrimTempMag_DegC</t>
  </si>
  <si>
    <t>TempEst_k_TrimTempCu_DegC</t>
  </si>
  <si>
    <t>TempEst_k_TrimTempAM_DegC</t>
  </si>
  <si>
    <t>TempEst_k_EngTempScl_Uls</t>
  </si>
  <si>
    <t>TempEst_k_AmbTempScl_Uls</t>
  </si>
  <si>
    <t>TempEst_k_AMLLFiltKA1_Uls</t>
  </si>
  <si>
    <t>TempEst_k_AMLLFiltKB0_Uls</t>
  </si>
  <si>
    <t>TempEst_k_AMLLFiltKB1_Uls</t>
  </si>
  <si>
    <t>TempEst_k_AssistMechSlew_DegCpS</t>
  </si>
  <si>
    <t>k_CurrCorrErrFiltFc_Hz_f32</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</si>
  <si>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</si>
  <si>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</si>
  <si>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</si>
  <si>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</si>
  <si>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</si>
  <si>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</si>
  <si>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</si>
  <si>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</si>
  <si>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</si>
  <si>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</si>
  <si>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</si>
  <si>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</si>
  <si>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t2_MtrVelDmpTblX_MtrRadpS_u12p4[12][13]</t>
  </si>
  <si>
    <t>t2_MtrVelDmpTblY_MtrNm_u5p11[12][13]</t>
  </si>
  <si>
    <t>k_DmpBoundLPFKn_Hz_f32</t>
  </si>
  <si>
    <t>DampFW_k_DmpBoundLPFKn_Hz</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</si>
  <si>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</si>
  <si>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</si>
  <si>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</si>
  <si>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</si>
  <si>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</si>
  <si>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</si>
  <si>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</si>
  <si>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</si>
  <si>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</si>
  <si>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</si>
  <si>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k_AMCorrLmt_DegC_f32</t>
  </si>
  <si>
    <t>TempEst_k_AMCorrLmt_DegC</t>
  </si>
  <si>
    <t>k_AMDefaultTemp_DegC_f32</t>
  </si>
  <si>
    <t>TempEst_k_AMDefaultTemp_DegC</t>
  </si>
  <si>
    <t>k_PWMBaseFrequency_Hz_u16</t>
  </si>
  <si>
    <t>k_PWMBaseFrequency_Hz</t>
  </si>
  <si>
    <t>Motor Control ISR Trigger rate</t>
  </si>
  <si>
    <t>{{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t>
  </si>
  <si>
    <t>{{0,0,0,0,0,0,0,0,0,0,0,0,0},{0,0,0,0,0,0,0,0,0,0,0,0,0},{0,0,0,0,0,0,0,0,0,0,0,0,0},{0,0,0,0,0,0,0,0,0,0,0,0,0},{4.72862E-06,0.000112305,0.000497601,0.001303225,0.003227861,0.006733764,0.011729028,0.017516747,0.024461291,0.032580633,0.052235875,0.083377663,0.148226957},{0.000486471,0.002683176,0.006562175,0.0123626,0.023575163,0.041301363,0.064455533,0.089909836,0.119413028,0.153038774,0.232215934,0.354221553,0.601993991},{0.00237325,0.012012076,0.02659086,0.045522684,0.077527555,0.122334762,0.175664812,0.230589844,0.291299003,0.357935954,0.508131234,0.728886973,1.157132994},{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</si>
  <si>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</si>
  <si>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</si>
  <si>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</si>
  <si>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</si>
  <si>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</si>
  <si>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</si>
  <si>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k_MSALowNotDetect_Volts_u10p6</t>
  </si>
  <si>
    <t>k_MSALowDetect_Volts_u10p6</t>
  </si>
  <si>
    <t>k_MSALowDetect_ms_u16p0</t>
  </si>
  <si>
    <t>k_MSALowNotDetect_ms_u16p0</t>
  </si>
  <si>
    <t>k_BattDiagUvMin_Volt_u10p6</t>
  </si>
  <si>
    <t>Under Volt Min</t>
  </si>
  <si>
    <t>k_UvNotDetect_ms_u16p0</t>
  </si>
  <si>
    <t>UnderVolt non detection time</t>
  </si>
  <si>
    <t>k_UvDetect_ms_u16p0</t>
  </si>
  <si>
    <t>UnderVolt detection time</t>
  </si>
  <si>
    <t>k_BattUvRecMax_Volt_u10p6</t>
  </si>
  <si>
    <t>k_BattDiagUvMax_Volt_u10p6</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</si>
  <si>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</si>
  <si>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</si>
  <si>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</si>
  <si>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</si>
  <si>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</si>
  <si>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</si>
  <si>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</si>
  <si>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</si>
  <si>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</si>
  <si>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</si>
  <si>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</si>
  <si>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</si>
  <si>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</si>
  <si>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</si>
  <si>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</si>
  <si>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</si>
  <si>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</si>
  <si>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</si>
  <si>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</si>
  <si>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</si>
  <si>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Duty_k_DefIgnOffTime_Sec</t>
  </si>
  <si>
    <t>k_IgnOffCntrEnb_Cnt_lgc</t>
  </si>
  <si>
    <t>Duty_k_IgnOffCntrEnb_Cnt</t>
  </si>
  <si>
    <t>k_IgnOffMsgWaitTime_Sec_f32</t>
  </si>
  <si>
    <t>Duty_k_IgnOffMsgWaitTime_Sec</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</si>
  <si>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</si>
  <si>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</si>
  <si>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</si>
  <si>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</si>
  <si>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</si>
  <si>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</si>
  <si>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</si>
  <si>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</si>
  <si>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</si>
  <si>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</si>
  <si>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</si>
  <si>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</si>
  <si>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</si>
  <si>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</si>
  <si>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</si>
  <si>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</si>
  <si>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</si>
  <si>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k_CurrDiagLambdaMinMax_Volt_f32</t>
  </si>
  <si>
    <t>CurrReas_k_LambdaMinMax_Volt</t>
  </si>
  <si>
    <t>t_LatchFaults_Cnt_str[8]</t>
  </si>
  <si>
    <t>{{0x000,{65535,1,1}},{0x000,{65535,1,1}},{0x000,{65535,1,1}},{0x000,{65535,1,1}},{0x000,{65535,1,1}},{0x000,{65535,1,1}},{0x000,{65535,1,1}},{0x000,{65535,1,1}}}</t>
  </si>
  <si>
    <t>NTCLatch_Str</t>
  </si>
  <si>
    <t>t_LatchFaults_Cnt_str[8].NTC</t>
  </si>
  <si>
    <t>t_LatchFaults_Cnt_str[8].DiagSettings.Threshold</t>
  </si>
  <si>
    <t>t_LatchFaults_Cnt_str[8].DiagSettings.Pstep</t>
  </si>
  <si>
    <t>t_LatchFaults_Cnt_str[8].DiagSettings.Nstep</t>
  </si>
  <si>
    <t>k_EOTOriginalImpactandSoftEnd_Cnt_lgc</t>
  </si>
  <si>
    <t>k_EOTActuatorMgt_RunEOTOrigImpactAndSoftEndStop_lgc</t>
  </si>
  <si>
    <t>k_EOTPosDepDempFinalSlew_MtrNmpS_T_f32</t>
  </si>
  <si>
    <t>k_EOTActuatorMgt_EOTPosDepDmpSlew_MtrNmpS</t>
  </si>
  <si>
    <t>FDD13B HwPwUpSeq</t>
  </si>
  <si>
    <t>SFD20 ParkAsstManufacturingServices</t>
  </si>
  <si>
    <t>TCONF_EM_DEF</t>
  </si>
  <si>
    <t>NTC 120</t>
  </si>
  <si>
    <t>NTC 121</t>
  </si>
  <si>
    <t>NTC 128</t>
  </si>
  <si>
    <t>NTC 129</t>
  </si>
  <si>
    <t>NTC 12C</t>
  </si>
  <si>
    <t>TCONF_VVH_ABS_DEF</t>
  </si>
  <si>
    <t>NTC 130</t>
  </si>
  <si>
    <t>NTC 131</t>
  </si>
  <si>
    <t>NTC 132</t>
  </si>
  <si>
    <t>NTC 133</t>
  </si>
  <si>
    <t>NTC 134</t>
  </si>
  <si>
    <t>TCONF_BSI_DEF</t>
  </si>
  <si>
    <t>NTC 138</t>
  </si>
  <si>
    <t>NTC 139</t>
  </si>
  <si>
    <t>k_ATermTimeout_mS_u16</t>
  </si>
  <si>
    <t>k_CTermIgnOffTimeout_mS_u16</t>
  </si>
  <si>
    <t>k_CTermIgnOnTimeout_mS_u16</t>
  </si>
  <si>
    <t>k_CTermVehSpdInvalidTimeout_mS_u16</t>
  </si>
  <si>
    <t>k_VehSpdThresh_Kph_f32</t>
  </si>
  <si>
    <t>k_VehSpdResetThresh_Kph_f32</t>
  </si>
  <si>
    <t>k_HwTrqResetThresh_Kph_f32</t>
  </si>
  <si>
    <t>DiagSvc</t>
  </si>
  <si>
    <t>k_ISDYN2CMMMsgLenInvalidThresh_Cnt_u16</t>
  </si>
  <si>
    <t>k_ISDYN2CMMMsgLenValidThresh_Cnt_u16</t>
  </si>
  <si>
    <t>k_EtatMTSigInvalidThresh_Cnt_u16</t>
  </si>
  <si>
    <t>k_EtatMTSigValidThresh_Cnt_u16</t>
  </si>
  <si>
    <t>k_ISDYNABRMsgLenInvalidThresh_Cnt_u16</t>
  </si>
  <si>
    <t>k_ISDYNABRMsgLenValidThresh_Cnt_u16</t>
  </si>
  <si>
    <t>k_ISDYNABRChkSumInvalidThresh_Cnt_u16</t>
  </si>
  <si>
    <t>k_ISDYNABRChkSumValidThresh_Cnt_u16</t>
  </si>
  <si>
    <t>k_ISDYNABRMsgCountInvalidThresh_Cnt_u16</t>
  </si>
  <si>
    <t>k_ISDYNABRMsgCountValidThresh_Cnt_u16</t>
  </si>
  <si>
    <t>k_VitesseVehiculeRouesSigInvalidThresh_Cnt_u16</t>
  </si>
  <si>
    <t>k_VitesseVehiculeRouesSigValidThresh_Cnt_u16</t>
  </si>
  <si>
    <t>IoHwAbstractionUsr</t>
  </si>
  <si>
    <t>Maximum handwheel torque at which to perform a reset</t>
  </si>
  <si>
    <t>Maximum vehicle speed at which to perform a reset</t>
  </si>
  <si>
    <t>k_CMSGotoPosPol_Cnt_s08</t>
  </si>
  <si>
    <t>cnt</t>
  </si>
  <si>
    <t>k_IgnOnTimeout_mS_u16</t>
  </si>
  <si>
    <t>NetOn</t>
  </si>
  <si>
    <t>k_BattOvHi_Volt_f32</t>
  </si>
  <si>
    <t>Batt_OvHi</t>
  </si>
  <si>
    <t>BattOk</t>
  </si>
  <si>
    <t>k_BattOvLo_Volt_f32</t>
  </si>
  <si>
    <t>Batt_OvLo</t>
  </si>
  <si>
    <t>k_BattUvHi_Volt_f32</t>
  </si>
  <si>
    <t>Batt_UvHi</t>
  </si>
  <si>
    <t>k_BattUvLo_Volt_f32</t>
  </si>
  <si>
    <t>Batt_UvLo</t>
  </si>
  <si>
    <t>k_ISDATDIRASentTimeout_mS_u16</t>
  </si>
  <si>
    <t>NTC 101</t>
  </si>
  <si>
    <t>k_ISDATDIRASentDiag_Cnt_str</t>
  </si>
  <si>
    <t>{255,42,13}</t>
  </si>
  <si>
    <t>k_ETATSECUANGLECOLSigTimeout_mS_u16</t>
  </si>
  <si>
    <t>CanSMBorTimeTxEnsured</t>
  </si>
  <si>
    <t>ES34C NhetTimer_for_Brush</t>
  </si>
  <si>
    <t>SF43 TorqueOscillation</t>
  </si>
  <si>
    <t>SF44 HandsOnWheelDetect</t>
  </si>
  <si>
    <t>k_Die1RPMMode_Cnt_u08</t>
  </si>
  <si>
    <t>DigMSBA1331_k_Die1RPMMode_Cnt_u8</t>
  </si>
  <si>
    <t>k_Die2RPMMode_Cnt_u08</t>
  </si>
  <si>
    <t>DigMSBA1331_k_Die2RPMMode_Cnt_u8</t>
  </si>
  <si>
    <t>k_DigMSBParity_Cnt_str</t>
  </si>
  <si>
    <t>{256,4,1}</t>
  </si>
  <si>
    <t>k_DigMSBParity_Cnt_str.Threshold</t>
  </si>
  <si>
    <t>k_DigMSBParity_Cnt_str.Pstep</t>
  </si>
  <si>
    <t>k_DigMSBParity_Cnt_str.Nstep</t>
  </si>
  <si>
    <t>k_DigMSBTCRunTimeParity_Cnt_str</t>
  </si>
  <si>
    <t>k_DigMSBTCRunTimeParity_Cnt_str.Threshold</t>
  </si>
  <si>
    <t>k_DigMSBTCRunTimeParity_Cnt_str.Pstep</t>
  </si>
  <si>
    <t>k_DigMSBTCRunTimeParity_Cnt_str.Nstep</t>
  </si>
  <si>
    <t>k_ErrorRegTCAcc_Cnt_str</t>
  </si>
  <si>
    <t>k_ErrorRegTCAcc_Cnt_str.Threshold</t>
  </si>
  <si>
    <t>k_ErrorRegTCAcc_Cnt_str.Pstep</t>
  </si>
  <si>
    <t>k_ErrorRegTCAcc_Cnt_str.Nstep</t>
  </si>
  <si>
    <t>k_MtrPos1vsMtrPos2Diag_Cnt_str</t>
  </si>
  <si>
    <t>k_MtrPos1vsMtrPos2Diag_Cnt_str.Threshold</t>
  </si>
  <si>
    <t>k_MtrPos1vsMtrPos2Diag_Cnt_str.Pstep</t>
  </si>
  <si>
    <t>k_MtrPos1vsMtrPos2Diag_Cnt_str.Nstep</t>
  </si>
  <si>
    <t>k_Die1vsDie2TrnsCntrThresh_Deg_f32</t>
  </si>
  <si>
    <t>DigMSBA1331_k_Die1vsDie2TrnsCntrThresh_DegM_p13</t>
  </si>
  <si>
    <t>k_Die2Offset_Rev_u3p13</t>
  </si>
  <si>
    <t>DigMSBA1331_k_Die2Offset_RevM_p13</t>
  </si>
  <si>
    <t>k_MtrPos1vsMtrPos2Thresh_Rev_u3p13</t>
  </si>
  <si>
    <t>DigMSBA1331_k_MtrPos1vsMtrPos2Thresh_RevE_p13</t>
  </si>
  <si>
    <t>k_DigMSBErrorRegGenMask_Cnt_u08</t>
  </si>
  <si>
    <t>DigMSBA1331_k_ErrorRegGenMask_Cnt_u8</t>
  </si>
  <si>
    <t>k_ErrorRegTCMask_Cnt_u08</t>
  </si>
  <si>
    <t>DigMSBA1331_k_ErrorRegTCMask_Cnt_u8</t>
  </si>
  <si>
    <t>k_ErrorRegVehMask_Cnt_u08</t>
  </si>
  <si>
    <t>DigMSBA1331_k_ErrorRegVehMask_Cnt_u8</t>
  </si>
  <si>
    <t>k_TurnsCntrOffset_Rev_f32</t>
  </si>
  <si>
    <t>DigMSBA1331_k_TurnsCntrOffset_RevM_p13</t>
  </si>
  <si>
    <t>{{120,0},{120,0},{120,0},{120,0}}</t>
  </si>
  <si>
    <t>k_SENTSyncTrgMin_Cnt_u32</t>
  </si>
  <si>
    <t>k_MaxSyncMin_Cnts</t>
  </si>
  <si>
    <t>k_VrefMax_Volt_f32</t>
  </si>
  <si>
    <t>k_VrefMax</t>
  </si>
  <si>
    <t>k_VrefMin_Volt_f32</t>
  </si>
  <si>
    <t>k_VrefMin</t>
  </si>
  <si>
    <t>k_VrefDiag_Cnt_str</t>
  </si>
  <si>
    <t>k_VrefDiag_Cnt_str.Threshold</t>
  </si>
  <si>
    <t>k_VRefOORThreshold</t>
  </si>
  <si>
    <t>k_VrefDiag_Cnt_str.Pstep</t>
  </si>
  <si>
    <t>k_VRefOORPstep</t>
  </si>
  <si>
    <t>k_VrefDiag_Cnt_str.Nstep</t>
  </si>
  <si>
    <t>k_VRefOORNstep</t>
  </si>
  <si>
    <t>k_TempSensorScale_Uls_f32</t>
  </si>
  <si>
    <t>TempSensor Scaling</t>
  </si>
  <si>
    <t>k_TempSensorOffset_Volt_f32</t>
  </si>
  <si>
    <t>TempSensor Offset</t>
  </si>
  <si>
    <t>k_VbattScale_Uls_f32</t>
  </si>
  <si>
    <t>Vbatt Scaling</t>
  </si>
  <si>
    <t>k_VswitchScale_Uls_f32</t>
  </si>
  <si>
    <t>Vswitch Scaling</t>
  </si>
  <si>
    <t>k_VrefScale_Uls_f32</t>
  </si>
  <si>
    <t>Vref Scaling</t>
  </si>
  <si>
    <t>k_VerifyPwrDiscCloseDiag_Cnt_str</t>
  </si>
  <si>
    <t>{200,4,2}</t>
  </si>
  <si>
    <t>k_MtrCurrOffLoComOff_Cnt_u16</t>
  </si>
  <si>
    <t>k_CurrOffNoofAvg_Cnt_u16</t>
  </si>
  <si>
    <t>k_CurrOffNoofAvg_Cnt</t>
  </si>
  <si>
    <t>SF46 GrossCrossCheckDiag</t>
  </si>
  <si>
    <t>SrlComDriver</t>
  </si>
  <si>
    <t>Maximum valid range of the veh cntr offset retrieved from EEPROM</t>
  </si>
  <si>
    <t>k_MinSensorlessAuthority_Uls_f32</t>
  </si>
  <si>
    <t>k_Min_SensorlessAuthority</t>
  </si>
  <si>
    <t>Minimum authority allowed to use  handwheel position  computed using Sensorless algorithms</t>
  </si>
  <si>
    <t>k_MaxSensorlessAuthority_Uls_f32</t>
  </si>
  <si>
    <t>K_Max_SensorlessAuthority</t>
  </si>
  <si>
    <t>Maximum authority allowed to use  handwheel position  computed using Sensorless algorithms</t>
  </si>
  <si>
    <t>k_SLPEnableBFCheck_Cnt_lgc</t>
  </si>
  <si>
    <t>enables stored last position check against the BF diagnostic</t>
  </si>
  <si>
    <t>k_SLPHwAuthority_Uls_f32</t>
  </si>
  <si>
    <t>Authority provided when stored last position is known</t>
  </si>
  <si>
    <t>k_TravelXCDeadband_Uls_f32</t>
  </si>
  <si>
    <t>Deadband within which travel exclusion is considered solved</t>
  </si>
  <si>
    <t>k_TravelXCHwAuthority_Uls_f32</t>
  </si>
  <si>
    <t>Authority provided when travel exclusion learns</t>
  </si>
  <si>
    <t>k_SLPMinHwAuthToStoreHwPos_Uls_f32</t>
  </si>
  <si>
    <t>Min hw authority with which the handwheel position will be stored on shutdown</t>
  </si>
  <si>
    <t>k_SupplierCode_Cnt_u16</t>
  </si>
  <si>
    <t>DID F080</t>
  </si>
  <si>
    <t>k_SoftwareVersion_Cnt_u08</t>
  </si>
  <si>
    <t>k_SoftwareEdition_Cnt_u08</t>
  </si>
  <si>
    <t>k_CalibrationVersion_Cnt_u08</t>
  </si>
  <si>
    <t>k_CalibrationEdition_Cnt_u08</t>
  </si>
  <si>
    <t>k_NBRPARAMFLT_Cnt_u08</t>
  </si>
  <si>
    <t>t_F080Reseved_Cnt_u08[4]</t>
  </si>
  <si>
    <t>{255,255,255,255}</t>
  </si>
  <si>
    <t>Special Memoy Mapping</t>
  </si>
  <si>
    <t>SupplierCode</t>
  </si>
  <si>
    <t>SoftwareVersion</t>
  </si>
  <si>
    <t>SoftwareEdition</t>
  </si>
  <si>
    <t>CalibrationVersion</t>
  </si>
  <si>
    <t>CalibrationEdition</t>
  </si>
  <si>
    <t>NBRPARAMFLT</t>
  </si>
  <si>
    <t>F080Reserved</t>
  </si>
  <si>
    <t>k_PrkAstHwTrqLPFKn_Hz_f32</t>
  </si>
  <si>
    <t>PosServo</t>
  </si>
  <si>
    <t>k_PrkAstEnableRate_pSec_f32</t>
  </si>
  <si>
    <t>Enable rate</t>
  </si>
  <si>
    <t>pSec</t>
  </si>
  <si>
    <t>t_PrkAstDisableRateX_HwNm_u11p5[6]</t>
  </si>
  <si>
    <t>PosServo.1X</t>
  </si>
  <si>
    <t>{0.0, 1.0, 2.0, 3.0, 4.0, 7.0}</t>
  </si>
  <si>
    <t>t_PrkAstDisableRateY_pSec_u12p4[6]</t>
  </si>
  <si>
    <t>PosServo.1Y</t>
  </si>
  <si>
    <t>{0.3, 0.4, 0.5, 1.0, 2.0, 5.0}</t>
  </si>
  <si>
    <t>t_PrkAstSmoothX_Uls_u6p10[10]</t>
  </si>
  <si>
    <t>PosServo.2X</t>
  </si>
  <si>
    <t>{0.0, 0.1, 0.2, 0.3, 0.4, 0.6, 0.7, 0.8, 0.9, 1.0}</t>
  </si>
  <si>
    <t>t_PrkAstSmoothY_Uls_u6p10[10]</t>
  </si>
  <si>
    <t>PosServo.2Y</t>
  </si>
  <si>
    <t>{0.000, 0.024, 0.095, 0.206, 0.345, 0.655, 0.794, 0.905, 0.976, 1.000}</t>
  </si>
  <si>
    <t>k_PrkAstHwaLPFKn_Hz_f32</t>
  </si>
  <si>
    <t>PosServo.3Z, PosServo.4X, PosServo.5X, PosServo.6X, PosServo.7X</t>
  </si>
  <si>
    <t>PosServo.3X</t>
  </si>
  <si>
    <t>PosServo.3Y</t>
  </si>
  <si>
    <t>PosServo.4Y</t>
  </si>
  <si>
    <t>MtrNmpHwDegS</t>
  </si>
  <si>
    <t>PosServo.5Y</t>
  </si>
  <si>
    <t>PosServo.6Y</t>
  </si>
  <si>
    <t>MtrNmmSpHwDeg</t>
  </si>
  <si>
    <t>k_PrkAstDTermKn_Hz_f32</t>
  </si>
  <si>
    <t>t_PrkAstDmpTrqX_MtrRadpS_u11p5[13]</t>
  </si>
  <si>
    <t>PosServo.7X</t>
  </si>
  <si>
    <t>{0,50,100,167.5625,175.9375,188.5,201.0625,217.8125,230.375,259.6875,335.125,377,418.875}</t>
  </si>
  <si>
    <t>PosServo.7Y</t>
  </si>
  <si>
    <t>t_PosSrvoMaxCmdX_Kph_u9p7[4]</t>
  </si>
  <si>
    <t>PosServo.8X</t>
  </si>
  <si>
    <t>t_PosSrvoMaxCmdY_MtrNm_u5p11[4]</t>
  </si>
  <si>
    <t>PosServo.8Y</t>
  </si>
  <si>
    <t>{8.8, 8.8, 8.8, 8.8}</t>
  </si>
  <si>
    <t>k_ISDATBSI432MsgLenInvalidThresh_Cnt_u16</t>
  </si>
  <si>
    <t>k_ISDATBSI432MsgLenValidThresh_Cnt_u16</t>
  </si>
  <si>
    <t>k_ISDYNAASMsgLenInvalidThresh_Cnt_u16</t>
  </si>
  <si>
    <t>NTC 148</t>
  </si>
  <si>
    <t>k_ISDYNAASMsgLenValidThresh_Cnt_u16</t>
  </si>
  <si>
    <t>TCONF_AAS_DEF</t>
  </si>
  <si>
    <t>NTC 149</t>
  </si>
  <si>
    <t>k_ISDYNAASChkSumInvalidThresh_Cnt_u16</t>
  </si>
  <si>
    <t>NTC 14A</t>
  </si>
  <si>
    <t>k_ISDYNAASChkSumValidThresh_Cnt_u16</t>
  </si>
  <si>
    <t>k_ISDYNAASMsgCountInvalidThresh_Cnt_u16</t>
  </si>
  <si>
    <t>NTC 14B</t>
  </si>
  <si>
    <t>k_ISDYNAASMsgCountValidThresh_Cnt_u16</t>
  </si>
  <si>
    <t>k_CONSANGLECPKSigValidThresh_Cnt_u16</t>
  </si>
  <si>
    <t>NTC 14C</t>
  </si>
  <si>
    <t>k_CONSANGLECPKSigInvalidThresh_Cnt_u16</t>
  </si>
  <si>
    <t>k_DMDFCTCPKSigValidThresh_Cnt_u16</t>
  </si>
  <si>
    <t>NTC 14D</t>
  </si>
  <si>
    <t>k_DMDFCTCPKSigInvalidThresh_Cnt_u16</t>
  </si>
  <si>
    <t>k_DMDRELAXECPKSigValidThresh_Cnt_u16</t>
  </si>
  <si>
    <t>NTC 14E</t>
  </si>
  <si>
    <t>k_DMDRELAXECPKSigInvalidThresh_Cnt_u16</t>
  </si>
  <si>
    <t>k_ISDYNVOLMsgLenInvalidThresh_Cnt_u16</t>
  </si>
  <si>
    <t>NTC 150</t>
  </si>
  <si>
    <t>k_ISDYNVOLMsgLenValidThresh_Cnt_u16</t>
  </si>
  <si>
    <t>TCONF_AGL_VOLANT_DEF</t>
  </si>
  <si>
    <t>NTC 151</t>
  </si>
  <si>
    <t>k_ISDYNVOLChkSumInvalidThresh_Cnt_u16</t>
  </si>
  <si>
    <t>NTC 152</t>
  </si>
  <si>
    <t>k_ISDYNVOLChkSumValidThresh_Cnt_u16</t>
  </si>
  <si>
    <t>k_ISDYNVOLMsgCountInvalidThresh_Cnt_u16</t>
  </si>
  <si>
    <t>NTC 153</t>
  </si>
  <si>
    <t>k_ISDYNVOLMsgCountValidThresh_Cnt_u16</t>
  </si>
  <si>
    <t>k_ANGLEVOLANTSigValidThresh_Cnt_u16</t>
  </si>
  <si>
    <t>NTC 154</t>
  </si>
  <si>
    <t>k_ANGLEVOLANTSigInvalidThresh_Cnt_u16</t>
  </si>
  <si>
    <t>k_VITESSEROTVOLANTSigValidThresh_Cnt_u16</t>
  </si>
  <si>
    <t>NTC 155</t>
  </si>
  <si>
    <t>k_VITESSEROTVOLANTSigInvalidThresh_Cnt_u16</t>
  </si>
  <si>
    <t>k_ISDATBSI412MsgLenInvalidThresh_Cnt_u16</t>
  </si>
  <si>
    <t>NTC 158</t>
  </si>
  <si>
    <t>k_ISDATBSI412MsgLenValidThresh_Cnt_u16</t>
  </si>
  <si>
    <t>NTC 159</t>
  </si>
  <si>
    <t>CF08C ChryslerHalFwithTorqueOverlayFunction</t>
  </si>
  <si>
    <t>CF08B ChryslerStabilityControlTorqueOverlayFunction</t>
  </si>
  <si>
    <t>CF08A ChryslerPark AssistwithTorqueOverlayFunction</t>
  </si>
  <si>
    <t>SF08C ElectricPowerConsumption_Brush</t>
  </si>
  <si>
    <t>SF42 VehCentrDtmnByMotPosn</t>
  </si>
  <si>
    <t>k_ISDYNCMM208MsgLenInvalidThresh_Cnt_u16</t>
  </si>
  <si>
    <t>k_ISDYNCMM208MsgLenValidThresh_Cnt_u16</t>
  </si>
  <si>
    <t>k_ISDATBSI3F2MsgLenValidThresh_Cnt_u16</t>
  </si>
  <si>
    <t>NTC 140</t>
  </si>
  <si>
    <t>k_ISDATBSI3F2MsgLenInvalidThresh_Cnt_u16</t>
  </si>
  <si>
    <t>NTC 141</t>
  </si>
  <si>
    <t>k_PowerCutVehSpdLowThresh_Kph_f32</t>
  </si>
  <si>
    <t>NTC 146</t>
  </si>
  <si>
    <t>k_PowerCutVehSpdLowTimeout_mS_u16</t>
  </si>
  <si>
    <t>k_PowerCutVehSpdHighThresh_Kph_f32</t>
  </si>
  <si>
    <t>k_ISDAT4V2BSI552MsgLenValidThresh_Cnt_u16</t>
  </si>
  <si>
    <t>NTC 160</t>
  </si>
  <si>
    <t>k_ISDAT4V2BSI552MsgLenInvalidThresh_Cnt_u16</t>
  </si>
  <si>
    <t>NTC 161</t>
  </si>
  <si>
    <t>k_CptTemporelSigValidThresh_Cnt_u16</t>
  </si>
  <si>
    <t>NTC 164</t>
  </si>
  <si>
    <t>k_ComputerRazGCTSigValidThresh_Cnt_u16</t>
  </si>
  <si>
    <t>NTC 165</t>
  </si>
  <si>
    <t>k_ISDYNCMM388MsgLenValidThresh_Cnt_u16</t>
  </si>
  <si>
    <t>NTC 168</t>
  </si>
  <si>
    <t>k_ISDYNCMM388MsgLenInvalidThresh_Cnt_u16</t>
  </si>
  <si>
    <t>k_CMM388MsgTimeout_mS_u16</t>
  </si>
  <si>
    <t>TCONF_VVH_CMM_DEF</t>
  </si>
  <si>
    <t>NTC 169 16C</t>
  </si>
  <si>
    <t>NTC 169</t>
  </si>
  <si>
    <t>k_VitesseVehicleBVSigValidThresh_Cnt_u16</t>
  </si>
  <si>
    <t>NTC 16C</t>
  </si>
  <si>
    <t>k_VitesseVehicleBVSigInvalidThresh_Cnt_u16</t>
  </si>
  <si>
    <t>k_VitesseVehicleBVRampValidThresh_Cnt_u16</t>
  </si>
  <si>
    <t>NTC 16D</t>
  </si>
  <si>
    <t>k_VariantCodingIDTLC_Cnt_u08</t>
  </si>
  <si>
    <t>ID_TLC</t>
  </si>
  <si>
    <t>DID 2100</t>
  </si>
  <si>
    <t>k_VariantCodingSTTPO_Cnt_u08</t>
  </si>
  <si>
    <t>STT_PO</t>
  </si>
  <si>
    <t>k_VariantCodingCPKPO_Cnt_u08</t>
  </si>
  <si>
    <t>CPK_PO</t>
  </si>
  <si>
    <t>k_VariantCodingCAVPO_Cnt_u08</t>
  </si>
  <si>
    <t>CAV_PO</t>
  </si>
  <si>
    <t>k_VariantCodingCPO_Cnt_u16</t>
  </si>
  <si>
    <t>C_PO</t>
  </si>
  <si>
    <t>k_VariantCodingMPO_Cnt_u32</t>
  </si>
  <si>
    <t>M_PO</t>
  </si>
  <si>
    <t>k_VariantCodingBVPO_Cnt_u16</t>
  </si>
  <si>
    <t>BV_PO</t>
  </si>
  <si>
    <t>k_VariantCodingPPO_Cnt_u32</t>
  </si>
  <si>
    <t>P_PO</t>
  </si>
  <si>
    <t>k_TuningSelectTable_Cnt_str[128]</t>
  </si>
  <si>
    <t>DID 2101</t>
  </si>
  <si>
    <t>{{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t>
  </si>
  <si>
    <t>TuningSelectTableType_Str</t>
  </si>
  <si>
    <t>k_NonDefaultCalset_Cnt_lgc</t>
  </si>
  <si>
    <t>Non_Default_Calset</t>
  </si>
  <si>
    <t>NTC 1F5</t>
  </si>
  <si>
    <t>k_STTdEntryThresh_Kph_f32</t>
  </si>
  <si>
    <t>VehSpd_STTdEnteryThresh</t>
  </si>
  <si>
    <t>k_STTdRampDownRate_UlspmS_f32</t>
  </si>
  <si>
    <t>k_STTdExitThresh_Kph_f32</t>
  </si>
  <si>
    <t>VehSpd_STTdExitThresh</t>
  </si>
  <si>
    <t>k_STTdRampUpRate_UlspmS_f32</t>
  </si>
  <si>
    <t>k_LVCDetect_Volts_u10p6</t>
  </si>
  <si>
    <t>Low voltage during cranking detection threshold</t>
  </si>
  <si>
    <t>CustBattDiag</t>
  </si>
  <si>
    <t>k_LVCNotDetect_Volts_u10p6</t>
  </si>
  <si>
    <t>Low voltage during cranking non-detection threshold</t>
  </si>
  <si>
    <t>k_LVHSDetect_Volts_u10p6</t>
  </si>
  <si>
    <t>Low voltage at high speed detection threshold</t>
  </si>
  <si>
    <t>k_LVHSNotDetect_Volts_u10p6</t>
  </si>
  <si>
    <t>Low voltage at high speed non-detection threshold</t>
  </si>
  <si>
    <t>k_LVLSDetect_Volts_u10p6</t>
  </si>
  <si>
    <t>Low voltage at low speed detection threshold</t>
  </si>
  <si>
    <t>k_LVLSNotDetect_Volts_u10p6</t>
  </si>
  <si>
    <t>Low voltage at low speed non-detection threshold</t>
  </si>
  <si>
    <t>k_UVDetect_Volts_u10p6</t>
  </si>
  <si>
    <t>k_UVNotDetect_Volts_u10p6</t>
  </si>
  <si>
    <t>Under voltage non-detection threshold</t>
  </si>
  <si>
    <t>k_LVSMDetect_Volts_u10p6</t>
  </si>
  <si>
    <t>Low voltage stop mode detection threshold</t>
  </si>
  <si>
    <t>k_LVSMNotDetect_Volts_u10p6</t>
  </si>
  <si>
    <t>Low voltage stop mode non-detection threshold</t>
  </si>
  <si>
    <t>k_LVCDetect_ms_u16p0</t>
  </si>
  <si>
    <t>Low voltage during cranking detection time</t>
  </si>
  <si>
    <t>k_LVCNotDetect_ms_u16p0</t>
  </si>
  <si>
    <t>Low voltage during cranking non-detection time</t>
  </si>
  <si>
    <t>k_LVHSDetect_ms_u16p0</t>
  </si>
  <si>
    <t>Low voltage at high speed detection time</t>
  </si>
  <si>
    <t>k_LVHSNotDetect_ms_u16p0</t>
  </si>
  <si>
    <t>Low voltage at high speed non-detection time</t>
  </si>
  <si>
    <t>k_LVLSDetect_ms_u16p0</t>
  </si>
  <si>
    <t>Low voltage at low speed detection time</t>
  </si>
  <si>
    <t>k_LVLSNotDetect_ms_u16p0</t>
  </si>
  <si>
    <t>Low voltage at low speed non-detection time</t>
  </si>
  <si>
    <t>k_LVSMDetect_ms_u16p0</t>
  </si>
  <si>
    <t>Low voltage stop mode detection time</t>
  </si>
  <si>
    <t>k_LVSMNotDetect_ms_u16p0</t>
  </si>
  <si>
    <t>Low voltage stop mode non-detection time</t>
  </si>
  <si>
    <t>Over voltage detection time</t>
  </si>
  <si>
    <t>k_LOIDetect_ms_u16p0</t>
  </si>
  <si>
    <t>Loss of ignition detection time</t>
  </si>
  <si>
    <t>k_LOINotDetect_ms_u16p0</t>
  </si>
  <si>
    <t>Loss of ignition non-detection time</t>
  </si>
  <si>
    <t>k_CustBattDiaghispd_kph_f32</t>
  </si>
  <si>
    <t>High speed threshold</t>
  </si>
  <si>
    <t>k_CustBattDiagLOIspd_kph_f32</t>
  </si>
  <si>
    <t>Loss of ignition threshold</t>
  </si>
  <si>
    <t>k_CustBattDiaglospd_kph_f32</t>
  </si>
  <si>
    <t>Low speed threshold</t>
  </si>
  <si>
    <t>k_DiagMuxOnAbsentTimeout_mS_u16</t>
  </si>
  <si>
    <t>DiagOn</t>
  </si>
  <si>
    <t>CF13 PSA_StateHandler</t>
  </si>
  <si>
    <t>CF14 PSA_TorqueArbitrator</t>
  </si>
  <si>
    <t>ES34D ePWM Subsystem</t>
  </si>
  <si>
    <t>ES35A HwTqMeasSent</t>
  </si>
  <si>
    <t>ES53A AnalogMSBSignalInterface</t>
  </si>
  <si>
    <t>ES54A AnaMSBArbitration</t>
  </si>
  <si>
    <t>ES55A AnaMSBCorrelation</t>
  </si>
  <si>
    <t>FDD10B StatesandModes</t>
  </si>
  <si>
    <t>FDD33F ADCUseandConfiguration</t>
  </si>
  <si>
    <t>SF33A SignalConditioning</t>
  </si>
  <si>
    <t>SF48A TorqueLossofAssist</t>
  </si>
  <si>
    <t>SF49A LOAManager</t>
  </si>
  <si>
    <t>SF50A TransitionalDamping</t>
  </si>
  <si>
    <t>k_JDD2010Selected_Cnt_lgc</t>
  </si>
  <si>
    <t>ES54B DigMSBArbitration</t>
  </si>
  <si>
    <t>SER, SER, SER, SER, SER</t>
  </si>
  <si>
    <t>k_ISDYNCMM208MsgTimeValidThresh_Cnt_u16</t>
  </si>
  <si>
    <t>k_ISDYN2CMMMsgTimeValidThresh_Cnt_u16</t>
  </si>
  <si>
    <t>k_ISDYNABRMsgTimeValidThresh_Cnt_u16</t>
  </si>
  <si>
    <t>k_ISDATBSI432MsgTimeValidThresh_Cnt_u16</t>
  </si>
  <si>
    <t>k_ISDATBSI3F2MsgTimeValidThresh_Cnt_u16</t>
  </si>
  <si>
    <t>k_ISDYNAASMsgTimeValidThresh_Cnt_u16</t>
  </si>
  <si>
    <t>k_ISDYNVOLMsgTimeValidThresh_Cnt_u16</t>
  </si>
  <si>
    <t>k_ISDATBSI412MsgTimeValidThresh_Cnt_u16</t>
  </si>
  <si>
    <t>k_ISDAT4V2BSI552MsgTimeValidThresh_Cnt_u16</t>
  </si>
  <si>
    <t>k_ISDYNCMM388MsgTimeValidThresh_Cnt_u16</t>
  </si>
  <si>
    <t>k_CONSANGLECPKMin_HwDeg_f32</t>
  </si>
  <si>
    <t>k_CONSANGLECPKMax_HwDeg_f32</t>
  </si>
  <si>
    <t>k_DMDFCTCPKValidCount_Cnt_u16</t>
  </si>
  <si>
    <t>CMS_PSA</t>
  </si>
  <si>
    <t>CMS</t>
  </si>
  <si>
    <t>Stall Limit to detect obstacle</t>
  </si>
  <si>
    <t>PSATA Enable Rate Upper Limit (Costant step size when increasing, Upper limit)</t>
  </si>
  <si>
    <t>PSATA</t>
  </si>
  <si>
    <t>DisableRate, Lower limit</t>
  </si>
  <si>
    <t>PosServo TrqFilter Cutofffreq</t>
  </si>
  <si>
    <t>PosServo Safety Regulation (Calibration of Safety for Maximum PosServo Command)</t>
  </si>
  <si>
    <t>Calibration of Safety for Maximum Vehicle Speed</t>
  </si>
  <si>
    <t>Disable Rate X</t>
  </si>
  <si>
    <t>{0,1,2,3,4,7}</t>
  </si>
  <si>
    <t>Disable Rate Y</t>
  </si>
  <si>
    <t>{0.3125,0.40625,1,1,2,5}</t>
  </si>
  <si>
    <t>Smoothing X axis</t>
  </si>
  <si>
    <t>Smoothing Y axis</t>
  </si>
  <si>
    <t>ES35B Nhet1CfgAndUse</t>
  </si>
  <si>
    <t>ES36A PhaseFdbkMeas</t>
  </si>
  <si>
    <t>ES58A MtrPos3SinCos</t>
  </si>
  <si>
    <t>k_HwTqMgnThd_HwNm_f32</t>
  </si>
  <si>
    <t>Threshold that the magnitude of handwheel torque must be under to accept the serial handwheel angle valid as valid.</t>
  </si>
  <si>
    <t>k_SrlHwAgVldTiThd_mS_u32</t>
  </si>
  <si>
    <t>Time that handwheel angle must be zero before serial handwheel angle is used as component output.</t>
  </si>
  <si>
    <t>ES11C Power Disconnect - Dual Inverter</t>
  </si>
  <si>
    <t>ES55B MotAgCorrln</t>
  </si>
  <si>
    <t>ES62A MotPosnCmp</t>
  </si>
  <si>
    <t>ES13C HwPwrUpSeq</t>
  </si>
  <si>
    <t>CF015A HaitecTrqCmd</t>
  </si>
  <si>
    <t>ES19D TmplMonrDualIvtr</t>
  </si>
  <si>
    <t>SF002B CtrldVelRtn</t>
  </si>
  <si>
    <t>SF052A SnsrOffsCorrn</t>
  </si>
  <si>
    <t>TCONF_CPT_DEF</t>
  </si>
  <si>
    <t>k_LVNDetect_Volts_u10p6</t>
  </si>
  <si>
    <t>Engine normal low voltage threshold</t>
  </si>
  <si>
    <t>k_LVNNotDetect_Volts_u10p6</t>
  </si>
  <si>
    <t>Engine normal low voltage recover</t>
  </si>
  <si>
    <t>k_LVNDetect_ms_u16p0</t>
  </si>
  <si>
    <t>Engine normal low voltage detection time</t>
  </si>
  <si>
    <t>k_LVNNotDetect_ms_u16p0</t>
  </si>
  <si>
    <t>Engine normal low voltage non-detection time</t>
  </si>
  <si>
    <t>ES56A HwTrqArbn</t>
  </si>
  <si>
    <t>ES56B HwTqArbn</t>
  </si>
  <si>
    <t>SF51 SnsrOffsLrng</t>
  </si>
  <si>
    <t>CF021A FordTqLoaWarn</t>
  </si>
  <si>
    <t>ES57B HwTqCorrln</t>
  </si>
  <si>
    <t>CF019 BrnwRtnArbn</t>
  </si>
  <si>
    <t>CF020A BmwHaptcFb</t>
  </si>
  <si>
    <t>WH</t>
  </si>
  <si>
    <t>k_VehDyn_TravelXCDeadbandTolr_Uls_f32</t>
  </si>
  <si>
    <t>Deadband Tolerance within which travel exclusion is considered solved</t>
  </si>
  <si>
    <t>k_VehDyn_ErrTolr_HwDeg_f32</t>
  </si>
  <si>
    <t>Error Tolerance</t>
  </si>
  <si>
    <t>k_VehDyn_SmoothCoeff_Uls_f32</t>
  </si>
  <si>
    <t>Smooth Coefficient</t>
  </si>
  <si>
    <t>k_VitesseVehicleBVSpeedPassThresh_kph_f32</t>
  </si>
  <si>
    <t>CF22 ChanganOvrlStMgr</t>
  </si>
  <si>
    <t>CF23 ChanganTqArbn</t>
  </si>
  <si>
    <t>k_VariantCodingLXAPO_Cnt_u08</t>
  </si>
  <si>
    <t>k_VariantCodingMultiModePO_Cnt_u08</t>
  </si>
  <si>
    <t>CF13B PSAStateHandler</t>
  </si>
  <si>
    <t>ES20D DigColPs</t>
  </si>
  <si>
    <t>k_DateValidThresh_Cnt_u16</t>
  </si>
  <si>
    <t>NTC 166</t>
  </si>
  <si>
    <t>k_DMDRelaxeConsistentThresh_Cnt_u16</t>
  </si>
  <si>
    <t>Demande relaxe CPK consistent thresh</t>
  </si>
  <si>
    <t>CF12 GMStartStop</t>
  </si>
  <si>
    <t>ES33H ADCConfigurationAndUse_Family38</t>
  </si>
  <si>
    <t>ES59A BattVltgCorrln</t>
  </si>
  <si>
    <t>ES055C DualMotPosnCorrln</t>
  </si>
  <si>
    <t>ES054D DualMotPosnArbn</t>
  </si>
  <si>
    <t>ES057C HwTqCorrln</t>
  </si>
  <si>
    <t>ES056C HwTqArbn</t>
  </si>
  <si>
    <t>ES060B MotPosn1Meas</t>
  </si>
  <si>
    <t>ES061B MotPosn2Meas</t>
  </si>
  <si>
    <t>CF024A PSADMQ</t>
  </si>
  <si>
    <t>ES011E PwrDiscnctCfgC</t>
  </si>
  <si>
    <t>k_AccelLatInvalidityThresh_Cnt_u16</t>
  </si>
  <si>
    <t>Lat Accel validity output</t>
  </si>
  <si>
    <t>k_AccelLatValidityThresh_Cnt_u16</t>
  </si>
  <si>
    <t>k_ISDYNCDS34DMsgLenInvalidThresh_Cnt_u16</t>
  </si>
  <si>
    <t>NTC 170</t>
  </si>
  <si>
    <t>k_ISDYNCDS34DMsgLenValidThresh_Cnt_u16</t>
  </si>
  <si>
    <t>k_CDS34DMsgTimeout_mS_u16</t>
  </si>
  <si>
    <t>TCONF_LKA_DEF</t>
  </si>
  <si>
    <t>NTC 171</t>
  </si>
  <si>
    <t>k_ISDYNCDS34DMsgTimeValidThresh_Cnt_u16</t>
  </si>
  <si>
    <t>k_ISDATABR50DMsgTimeValidCount_Cnt_u16</t>
  </si>
  <si>
    <t>NTC 179</t>
  </si>
  <si>
    <t>k_ISDYN2FRE3CDMsgLenInvalidThresh_Cnt_u16</t>
  </si>
  <si>
    <t>NTC 190</t>
  </si>
  <si>
    <t>k_ISDYN2FRE3CDMsgLenValidThresh_Cnt_u16</t>
  </si>
  <si>
    <t>k_ISDYN2FRE3CDMsgTimeValidThresh_Cnt_u16</t>
  </si>
  <si>
    <t>NTC 191</t>
  </si>
  <si>
    <t>k_AccelLatValidThresh_Cnt_u16</t>
  </si>
  <si>
    <t>NTC 194</t>
  </si>
  <si>
    <t>SER, SER</t>
  </si>
  <si>
    <t>Updated for latest SrlCom (NTCs for msgs 50d, 3cd &amp; 34d)</t>
  </si>
  <si>
    <t>k_AccelLatInvalidThresh_Cnt_u16</t>
  </si>
  <si>
    <t>k_LKATrqFactReqInvalidThresh_Cnt_u16</t>
  </si>
  <si>
    <t>NTC 144</t>
  </si>
  <si>
    <t>k_LKATrqFactReqValidThresh_Cnt_u16</t>
  </si>
  <si>
    <t>k_ColumnAngleSetpointInvalidThresh_Cnt_u16</t>
  </si>
  <si>
    <t>NTC 147</t>
  </si>
  <si>
    <t>k_ColumnAngleSetpointValidThresh_Cnt_u16</t>
  </si>
  <si>
    <t>NTC147</t>
  </si>
  <si>
    <t>k_ColumnAngleSetpointLimit_HwDeg_f32</t>
  </si>
  <si>
    <t>Updates for LXA signals in msg 3f2</t>
  </si>
  <si>
    <t>Initial Version based on BMPV version 41</t>
  </si>
  <si>
    <t>k_MultimodeValidCountThresh_Cnt_u16</t>
  </si>
  <si>
    <t>Multimode Validity check</t>
  </si>
  <si>
    <t>k_MultimodeInvalidCountThresh_Cnt_u16</t>
  </si>
  <si>
    <t>Updates for multimode in msg 412</t>
  </si>
  <si>
    <t>k_TunSel_HwVelThresh_HwRadpS_f32</t>
  </si>
  <si>
    <t>Tuning Select Handwheel Velocity Threshold</t>
  </si>
  <si>
    <t>t_TunSel_HwTrqThX_Kph_u9p7[5]</t>
  </si>
  <si>
    <t>t_TunSel_HwTrqThX_Kph_u9p7</t>
  </si>
  <si>
    <t>Tuning Select Handwheel Torque Threshold table X</t>
  </si>
  <si>
    <t>{50, 100, 150, 200, 250}</t>
  </si>
  <si>
    <t>t_TunSel_HwTrqThY_HwNm_u4p12[5]</t>
  </si>
  <si>
    <t>t_TunSel_HwTrqThY_HwNm_u4p12</t>
  </si>
  <si>
    <t>Tuning Select Handwheel Torque Threshold tabe Y</t>
  </si>
  <si>
    <t>{1, 1, 1, 1, 1}</t>
  </si>
  <si>
    <t>Integrated version 5.1.0_no_utp of tuning select authority (sf23)</t>
  </si>
  <si>
    <t>Integrated version 1.1.0_0_NoUTP of PSADMQ (CF24)</t>
  </si>
  <si>
    <t>k_HwTqCor_Ch1CMCLPFFc_Hz_f32</t>
  </si>
  <si>
    <t>Channel 1 Common Mode Compensation Low Pass Filter Cutoff Frequency</t>
  </si>
  <si>
    <t>HwTqCorrln_2TqADAS</t>
  </si>
  <si>
    <t>k_HwTqCor_Ch1CMCLPFOpLim_HwNm_f32</t>
  </si>
  <si>
    <t>Channel 1 Common Mode Compensation Low Pass Filter Output Limit</t>
  </si>
  <si>
    <t>k_HwTqCor_Ch1ImdtCorrlnChkFailThd_HwNm_f32</t>
  </si>
  <si>
    <t>Channel 1 Immediate Correlation Check Fail Threshold</t>
  </si>
  <si>
    <t>k_HwTqCor_Ch1ImdtCorrlnChkPassThd_HwNm_f32</t>
  </si>
  <si>
    <t>Channel 1 Immediate Correlation Check Pass Threshold</t>
  </si>
  <si>
    <t>k_HwTqCor_Ch1SSLPFFc_Hz_f32</t>
  </si>
  <si>
    <t>Channel 1 Steady State Low Pass Filter Cutoff Frequency</t>
  </si>
  <si>
    <t>k_HwTqCor_Ch1SSOpClrFltThd_HwNm_f32</t>
  </si>
  <si>
    <t>Channel 1 Steady State Output Clear Fault Threshold</t>
  </si>
  <si>
    <t>k_HwTqCor_Ch1SSOpSetFltThd_HwNm_f32</t>
  </si>
  <si>
    <t>Channel 1 Steady State Output Set Fault Threshold</t>
  </si>
  <si>
    <t>k_HwTqCor_Ch1TqSumLim_HwNm_f32</t>
  </si>
  <si>
    <t>Channel 1 Torque Sum Limit</t>
  </si>
  <si>
    <t>k_HwTqCor_Ch1TraSumOpClrFltThd_HwNm_f32</t>
  </si>
  <si>
    <t>Channel 1 Transient Output Clear Fault Threshold</t>
  </si>
  <si>
    <t>k_HwTqCor_Ch1TraSumOpSetFltThd_HwNm_f32</t>
  </si>
  <si>
    <t>Channel 1 Transient Output Set Fault Threshold</t>
  </si>
  <si>
    <t>k_HwTqCor_Ch1CMCLPFActvnThd_HwNm_f32</t>
  </si>
  <si>
    <t>Channel 1 Common Mode Compensation Low Pass Filter Activation Threshold</t>
  </si>
  <si>
    <t>t_HwTqCor_Ch1TraLPFDepAxis_Hz_u7p9[17]</t>
  </si>
  <si>
    <t>t_HwTqCor_Ch1TraLPFDepAxis_Hz_u7p9</t>
  </si>
  <si>
    <t>Channel 1 Transient Low Pass Filter Dependent Axis</t>
  </si>
  <si>
    <t>t_HwTqCor_Ch1TraLPFIndAxis_HwNm_u6p10[17]</t>
  </si>
  <si>
    <t>t_HwTqCor_Ch1TraLPFIndAxis_HwNm_u6p10</t>
  </si>
  <si>
    <t>{0,0.8704144,1.738175,2.60859,3.479004,4.346765,5.217179,6.087593,6.955354,7.825769,8.696183,9.563944,10.43436,11.30477,12.17519,13.04295,13.91336}</t>
  </si>
  <si>
    <t>Integrated version 1.0.1_0_NoUTP of HwTrqCorrln (ES057C)</t>
  </si>
  <si>
    <t>{34.05611,34.05611,34.05611,34.05611,19.44378,12.11994,8.983818,7.178144,5.993545,5.148004,4.514262,4.022228,3.626641,3.302396,3.031686,2.802849,2.605716}</t>
  </si>
  <si>
    <t>Integrated version 1.0.1_0_NoUTP of HwTqArbn (ES056C)</t>
  </si>
  <si>
    <t>k_HwTqArb_HwTqCh1MaxOfstTrm_HwNm_f32</t>
  </si>
  <si>
    <t>k_HwTqArbn_HwTqCh1MaxOfstTrm_HwNm_f32</t>
  </si>
  <si>
    <t>Handwheel Torque Ch1 Analog Maximum Trim Value</t>
  </si>
  <si>
    <t>HwTqArbn_2TqADAS</t>
  </si>
  <si>
    <t>k_TrqLOA_AbsAssistThreshold_MtrNm_f32</t>
  </si>
  <si>
    <t>Assist threshold value used for torque-velocity based qudrant detect</t>
  </si>
  <si>
    <t>TrqLOA</t>
  </si>
  <si>
    <t>k_TrqLOA_AbsVelThreshold_MtrRadpS_f32</t>
  </si>
  <si>
    <t>Veloctiy threshold value used for torque-velocity based qudrant detect</t>
  </si>
  <si>
    <t>k_TrqLOA_DiffScaleRateLimiterFalling_UlspS_f32</t>
  </si>
  <si>
    <t>Lower limit on the rate of change of DiffScale</t>
  </si>
  <si>
    <t>k_TrqLOA_DiffScaleRateLimiterRising_UlspS_f32</t>
  </si>
  <si>
    <t>Upper limit on the rate of change of DiffScale</t>
  </si>
  <si>
    <t>k_TrqLOA_FallingRampRate_UlspS_f32</t>
  </si>
  <si>
    <t>Lower limit on the rate of change of torque-velocity quadrant based scale factor</t>
  </si>
  <si>
    <t>k_TrqLOA_LPF_Hz_f32</t>
  </si>
  <si>
    <t>Low-pass filter cut-off frequency. The estimated lateral acceleration is filter before calculating its difference with the measured lateral acceleration</t>
  </si>
  <si>
    <t>k_TrqLOA_LatAccConversionFactor_Uls_f32</t>
  </si>
  <si>
    <t>A conversion factor to convert lateral acceleration units to m/s^2, if need be</t>
  </si>
  <si>
    <t>k_TrqLOA_LimOutput_MtrNm_f32</t>
  </si>
  <si>
    <t>Limit on the output command of TrqLOA function</t>
  </si>
  <si>
    <t>k_TrqLOA_MaxScaleFactor_Uls_f32</t>
  </si>
  <si>
    <t>Maximum allowed value of torque-velocity quadrant based scale factor</t>
  </si>
  <si>
    <t>k_TrqLOA_MinScaleFactor_Uls_f32</t>
  </si>
  <si>
    <t>Minimum allowed value of torque-velocity quadrant based scale factor</t>
  </si>
  <si>
    <t>k_TrqLOA_NomDrvTrq_MtrNm_f32</t>
  </si>
  <si>
    <t>The assist is applied only if it exceeds certain amount of torque- a deadzone. This cal defines absolute limit of the deadzone</t>
  </si>
  <si>
    <t>k_TrqLOA_RisingRampRate_UlspS_f32</t>
  </si>
  <si>
    <t>Upper limit on the rate of change of torque-velocity quadrant based sc' ...
  'ale factor</t>
  </si>
  <si>
    <t>k_TrqLOA_SteerRatio_Uls_f32</t>
  </si>
  <si>
    <t>Steer Ratio is the ratio of Handwheel/Steering angle to tire angle</t>
  </si>
  <si>
    <t>k_TrqLOA_UndersteerGrad_RadpG_f32</t>
  </si>
  <si>
    <t>k_TrqLOA_UndersteerGrad_RadpGrvy_f32</t>
  </si>
  <si>
    <t>Understeer gradient indicates understeer angle of a vehicle per g of lateral acceleration</t>
  </si>
  <si>
    <t>RadpG</t>
  </si>
  <si>
    <t>k_TrqLOA_UseVehWhlBasCal_Cnt_lgc</t>
  </si>
  <si>
    <t>Use Vehicle Wheelbase Cal</t>
  </si>
  <si>
    <t>t_TrqLOA_DiffGainX_G_u2p14[4]</t>
  </si>
  <si>
    <t>t_TrqLOA_DiffGainX_Grvy_u2p14</t>
  </si>
  <si>
    <t>X table of lateral acceleration difference for DiffGain calculation</t>
  </si>
  <si>
    <t>{0,0.14, 0.32, 1}</t>
  </si>
  <si>
    <t>G</t>
  </si>
  <si>
    <t>t2_TrqLOA_DiffGainY_Uls_u1p15[8][4]</t>
  </si>
  <si>
    <t>t2_TrqLOA_DiffGainY_Uls_u1p15</t>
  </si>
  <si>
    <t>Y table of scale factor for DiffGain calculation</t>
  </si>
  <si>
    <t>{{1,1,0,0},{1,1,0,0},{1,1,0,0},{1,1,0,0},{1,1,0,0},{1,1,0,0},{1,1,0,0},{1,1,0,0}}</t>
  </si>
  <si>
    <t>t_TrqLOA_HighSpeedTrqBlend_X_Kph_u10p6[5]</t>
  </si>
  <si>
    <t>t_TrqLOA_HighSpeedTrqBlendX_Kph_u10p6</t>
  </si>
  <si>
    <t>Vehicle speed table for high-speed based TLOA blending</t>
  </si>
  <si>
    <t>{5,10,30,60,100}</t>
  </si>
  <si>
    <t>t_TrqLOA_HighSpeedTrqBlend_Y_Uls_u1p15[5]</t>
  </si>
  <si>
    <t>t_TrqLOA_HighSpeedTrqBlendY_Uls_u1p15</t>
  </si>
  <si>
    <t>Blend values for high-speed based TLOA blending</t>
  </si>
  <si>
    <t>{0,1,1,1,1}</t>
  </si>
  <si>
    <t>t_TrqLOA_LatAccGain_Y_MtrNmpG_u4p12[8]</t>
  </si>
  <si>
    <t>t_TrqLOA_LatAccGainY_MtrNmpGrvy_u4p12</t>
  </si>
  <si>
    <t>Equivalent to traditional assist gain. The assist is calculated by multiplying lateral acceleration with LatAccGain</t>
  </si>
  <si>
    <t>{0,1.5, 2.421875, 1.65625, 1.203125, 0.96875, 0.859375, 0.09375}</t>
  </si>
  <si>
    <t>MtrNmpG</t>
  </si>
  <si>
    <t>t_TrqLOA_TempTrqCmdSatYTbl_MtrNm_u4p12[8]</t>
  </si>
  <si>
    <t>t_TrqLOA_TempTrqCmdSatYTbl_MtrNm_u4p12</t>
  </si>
  <si>
    <t>Limits of temporary motor torqe command as a function of vehicle speed</t>
  </si>
  <si>
    <t>{0.703125, 0.703125, 0.703125, 0.546875, 0.40625, 0.34375, 0.296875, 0.203125}</t>
  </si>
  <si>
    <t>t_TrqLOA_X_Kph_u10p6[8]</t>
  </si>
  <si>
    <t>t_TrqLOA_X_Kph_u10p6</t>
  </si>
  <si>
    <t>Vehicle speed vector; X axis</t>
  </si>
  <si>
    <t>{5, 10,20,30,40,50,60,120}</t>
  </si>
  <si>
    <t>k_Cmn_VehWhlBas_mm_f32</t>
  </si>
  <si>
    <t>mm</t>
  </si>
  <si>
    <t>Integrated version 003.0 of TrqLOA (SF048A)</t>
  </si>
  <si>
    <t>Integrated version 003.0 of LOAMgr (SF049A)</t>
  </si>
  <si>
    <t>k_LoaMgr_CurrIvtrMtgtnRate_UlspS_f32</t>
  </si>
  <si>
    <t>Current and Inverter Mitigation Rate</t>
  </si>
  <si>
    <t>LoaMgr</t>
  </si>
  <si>
    <t>k_LoaMgr_CurrIvtrMtgtnScaZeroEn_Cnt_lgc</t>
  </si>
  <si>
    <t>Current and Inverter Mitigation Scale Zero Enable</t>
  </si>
  <si>
    <t>k_LoaMgr_CurrIvtrMtgtnSca_Uls_f32</t>
  </si>
  <si>
    <t>Current and Inverter Mitigation Scale</t>
  </si>
  <si>
    <t>k_LoaMgr_FadeOutStRate_UlspS_f32</t>
  </si>
  <si>
    <t>Fade Out State Rate</t>
  </si>
  <si>
    <t>k_LoaMgr_HwTqIdptSig0TloaAvailResp_Cnt_u08</t>
  </si>
  <si>
    <t>Handwheel Torque Independent Signal 0 TLOA Available Response</t>
  </si>
  <si>
    <t>k_LoaMgr_HwTqIdptSig1NoTloaResp_Cnt_u08</t>
  </si>
  <si>
    <t>Handwheel Torque Independent Signal One and No TLOA Response</t>
  </si>
  <si>
    <t>k_LoaMgr_HwTqIdptSig1TloaAvailResp_Cnt_u08</t>
  </si>
  <si>
    <t>Handwheel Torque Independent Signal 1 TLOA Available Response</t>
  </si>
  <si>
    <t>k_LoaMgr_HwTqIdptSig2TloaDiResp_Cnt_u08</t>
  </si>
  <si>
    <t>Handwheel Torque Independent Signal 2 TLOA Disabled Response</t>
  </si>
  <si>
    <t>k_LoaMgr_HwTqIdptSig2TloaEnaResp_Cnt_u08</t>
  </si>
  <si>
    <t>Handwheel Torque Independent Signal Two TLOA Enabled Response</t>
  </si>
  <si>
    <t>k_LoaMgr_HwTqIdptSig4Resp_Cnt_u08</t>
  </si>
  <si>
    <t>Handwheel Torque Independent Signal Four Response</t>
  </si>
  <si>
    <t>k_LoaMgr_HwTqIdptSigFltThd_Cnt_u08</t>
  </si>
  <si>
    <t>Handwheel Torque Independent Signal Fault Threshlold</t>
  </si>
  <si>
    <t>k_LoaMgr_HwTqMtgtnRate_UlspS_f32</t>
  </si>
  <si>
    <t>Handwheel Torque Mitigation Rate</t>
  </si>
  <si>
    <t>k_LoaMgr_HwTqMtgtnSca_Uls_f32</t>
  </si>
  <si>
    <t>Handwheel Torque Mitigation Scale</t>
  </si>
  <si>
    <t>k_LoaMgr_IvtrIdptSig1Resp_Cnt_u08</t>
  </si>
  <si>
    <t>Inverter Independent Signal One Response</t>
  </si>
  <si>
    <t>k_LoaMgr_IvtrIdptSig2Resp_Cnt_u08</t>
  </si>
  <si>
    <t>Inverter Independent Signal Two Response</t>
  </si>
  <si>
    <t>k_LoaMgr_IvtrIdptSigFltThd_Cnt_u08</t>
  </si>
  <si>
    <t>Inverter Independent Signal Fault Threshlold</t>
  </si>
  <si>
    <t>k_LoaMgr_IvtrMtgtnRate_UlspS_f32</t>
  </si>
  <si>
    <t>Inverter Mitigation Rate</t>
  </si>
  <si>
    <t>k_LoaMgr_IvtrMtgtnScaZeroEn_Cnt_lgc</t>
  </si>
  <si>
    <t>Inverter Mitigation Scale Zero Enable</t>
  </si>
  <si>
    <t>k_LoaMgr_IvtrMtgtnSca_Uls_f32</t>
  </si>
  <si>
    <t>Inverter Mitigation Scale</t>
  </si>
  <si>
    <t>k_LoaMgr_MotAgIdptSig1NoSmaResp_Cnt_u08</t>
  </si>
  <si>
    <t>Motor Angle Independent Signal One and No SMA Respoinse</t>
  </si>
  <si>
    <t>k_LoaMgr_MotAgIdptSig2Resp_Cnt_u08</t>
  </si>
  <si>
    <t>Motor Angle Independent Signal Two Response</t>
  </si>
  <si>
    <t>k_LoaMgr_MotAgIdptSig3Resp_Cnt_u08</t>
  </si>
  <si>
    <t>Motor Angle Independent Signal Three Response</t>
  </si>
  <si>
    <t>k_LoaMgr_MotAgIdptSigFltThd_Cnt_u08</t>
  </si>
  <si>
    <t>Motor Angle Independent Signal Fault Threshlold</t>
  </si>
  <si>
    <t>k_LoaMgr_MotAgMtgtnRate_UlspS_f32</t>
  </si>
  <si>
    <t>Motor Angle Mitigation Rate</t>
  </si>
  <si>
    <t>k_LoaMgr_MotAgMtgtnScaZeroEn_Cnt_lgc</t>
  </si>
  <si>
    <t>Motor Angle Mitigation Scale Zero Enable</t>
  </si>
  <si>
    <t>k_LoaMgr_MotAgMtgtnSca_Uls_f32</t>
  </si>
  <si>
    <t>Motor Angle Mitigation Scale</t>
  </si>
  <si>
    <t>k_LoaMgr_MotAgSmaAvailResp_Cnt_u08</t>
  </si>
  <si>
    <t>Motor Angle SMA Available Response</t>
  </si>
  <si>
    <t>k_LoaMgr_MotCurrIdptSig0Resp_Cnt_u08</t>
  </si>
  <si>
    <t>Motor Current Independent Signal Zero Response</t>
  </si>
  <si>
    <t>k_LoaMgr_MotCurrIdptSig1Resp_Cnt_u08</t>
  </si>
  <si>
    <t>Motor Current Independent Signal One Response</t>
  </si>
  <si>
    <t>k_LoaMgr_MotCurrIdptSig2Resp_Cnt_u08</t>
  </si>
  <si>
    <t>Motor Current Independent Signal Two Response</t>
  </si>
  <si>
    <t>k_LoaMgr_MotCurrIdptSigFltThd_Cnt_u08</t>
  </si>
  <si>
    <t>If number of Motor Current signals drops to equal or less than this value, set an NTC</t>
  </si>
  <si>
    <t>k_LoaMgr_MotCurrMtgtnRate_UlspS_f32</t>
  </si>
  <si>
    <t>Slew rate applied to system scale factor when only Motor Current is bad</t>
  </si>
  <si>
    <t>k_LoaMgr_MotCurrMtgtnScaZeroEn_Cnt_lgc</t>
  </si>
  <si>
    <t>When true, scale factor drops instantly to zero then then slews up to a target.</t>
  </si>
  <si>
    <t>k_LoaMgr_MotCurrMtgtnSca_Uls_f32</t>
  </si>
  <si>
    <t>System Scale factor durning Motor Current Mitigation</t>
  </si>
  <si>
    <t>k_LoaMgr_RedcdStRate_UlspS_f32</t>
  </si>
  <si>
    <t>Slew rate applied to system scale factor when LoaSt is Reduced</t>
  </si>
  <si>
    <t>k_LoaMgr_RedcdStSca_Uls_f32</t>
  </si>
  <si>
    <t>System Scale factor when LoaSt is Reduced</t>
  </si>
  <si>
    <t>LOA_State_enum</t>
  </si>
  <si>
    <t>k_TrnDmp_TmrBkptOne_mS_f32</t>
  </si>
  <si>
    <t>k_TrnDmp_TmrBkptOne_mS</t>
  </si>
  <si>
    <t>TranlDampg</t>
  </si>
  <si>
    <t>k_TrnDmp_BkptTwo_mS_f32</t>
  </si>
  <si>
    <t>k_TrnDmp_BkptTwo_mS</t>
  </si>
  <si>
    <t>k_TrnDmp_RampEnd_Uls_f32</t>
  </si>
  <si>
    <t>k_TrnDmp_RampEnd_Uls</t>
  </si>
  <si>
    <t>k_TrnDmp_DampCoeff_MtrNmpRadpS_f32</t>
  </si>
  <si>
    <t>k_TrnDmp_DampCoeff_MtrNmpRadpS</t>
  </si>
  <si>
    <t>k_TrnDmp_DmpLimit_MtrNm_f32</t>
  </si>
  <si>
    <t>k_TrnDmp_DmpLimit_MtrNm</t>
  </si>
  <si>
    <t>k_TrnDmp_VelThr_MtrRadpS_f32</t>
  </si>
  <si>
    <t>k_TrnDmp_VelThr_MtrRadpS</t>
  </si>
  <si>
    <t>t_TrnDmp_VehSpdBlndY_Uls_u9p7[4]</t>
  </si>
  <si>
    <t>t_TrnDmp_VehSpdBlndY_Uls</t>
  </si>
  <si>
    <t>{1, 1, 0, 0}</t>
  </si>
  <si>
    <t>t_TrnDmp_VehSpdBlndX_Kph_u9p7[4]</t>
  </si>
  <si>
    <t>t_TrnDmp_VehSpdBlndX_Kph</t>
  </si>
  <si>
    <t>{0, 10, 20, 100}</t>
  </si>
  <si>
    <t>TranlDampg_VelTrq_MtrNm_D_f32</t>
  </si>
  <si>
    <t>TranlDampgVelTrq_MtrNm</t>
  </si>
  <si>
    <t>Single Precision Float</t>
  </si>
  <si>
    <t>TranlDampg_Trq_MtrNm_D_f32</t>
  </si>
  <si>
    <t>TranlDampgTrq_MtrNm</t>
  </si>
  <si>
    <t>TranlDampg_PPSScale_Uls_D_f32</t>
  </si>
  <si>
    <t>PPSScale_Uls</t>
  </si>
  <si>
    <t>TranlDampg_VehSpdBlnd_Uls_D_f32</t>
  </si>
  <si>
    <t>VehSpdBlnd_Uls</t>
  </si>
  <si>
    <t>TranlDampg_CRFMtrTrqCmd_MtrNm_D_f32</t>
  </si>
  <si>
    <t>CRFMtrTrqCmd_MtrNm</t>
  </si>
  <si>
    <t>TranlDampg_ElpsdTime_mS_D_f32</t>
  </si>
  <si>
    <t>TranlDampgElpsdTime_mS</t>
  </si>
  <si>
    <t>TranlDampg_VelxPosNegSign_Uls_D_s08</t>
  </si>
  <si>
    <t>VelxPosNegSign_Uls</t>
  </si>
  <si>
    <t>TranlDampg_EnableTimer_Cnt_D_lgc</t>
  </si>
  <si>
    <t>EnableTimer_Cnt</t>
  </si>
  <si>
    <t>TranlDampg_Comp_Cnt_D_lgc</t>
  </si>
  <si>
    <t>TranlDampgComp_Cnt</t>
  </si>
  <si>
    <t>TranlDampg_LastF2Fault_mS_M_u32</t>
  </si>
  <si>
    <t>LastF2Fault_mS</t>
  </si>
  <si>
    <t>TranlDampg_CompPrv_Uls_M_lgc</t>
  </si>
  <si>
    <t>TranlDampgCompPrv_Uls</t>
  </si>
  <si>
    <t>TranlDampg_DiagStsF2ActivePrev_Cnt_M_lgc</t>
  </si>
  <si>
    <t>DiagStsF2ActivePrev_Cnt</t>
  </si>
  <si>
    <t>TranlDampg_LoaStatePrev_State_M_enum</t>
  </si>
  <si>
    <t>LoaStatePrev_State</t>
  </si>
  <si>
    <t>SysState_Cnt_Enum</t>
  </si>
  <si>
    <t>SysState_Cnt</t>
  </si>
  <si>
    <t>Rte_ModeType_StaMd_Mode</t>
  </si>
  <si>
    <t>CRFMtrVel_MtrRadpS_f32</t>
  </si>
  <si>
    <t>CRFMtrVel_MtrRadpS</t>
  </si>
  <si>
    <t>p4</t>
  </si>
  <si>
    <t>HandwheelPosition_HwDeg_f32</t>
  </si>
  <si>
    <t>HandwheelPosition_HwDeg</t>
  </si>
  <si>
    <t>VehSpd_Kph_f32</t>
  </si>
  <si>
    <t>VehSpd_Kph</t>
  </si>
  <si>
    <t>p7</t>
  </si>
  <si>
    <t>SumLimTrqCmd_MtrNm_f32</t>
  </si>
  <si>
    <t>SumLimTrqCmd_MtrNm</t>
  </si>
  <si>
    <t>DiagStsF2Active_Cnt_lgc</t>
  </si>
  <si>
    <t>DiagStsF2Active_Cnt</t>
  </si>
  <si>
    <t>AssistAssyPolarity_Cnt_s08</t>
  </si>
  <si>
    <t>AssistAssyPolarity_Cnt</t>
  </si>
  <si>
    <t>LoaSt_State_Enum</t>
  </si>
  <si>
    <t>LoaSt_State</t>
  </si>
  <si>
    <t>MRFMtrTrqCmd_MtrNm_f32</t>
  </si>
  <si>
    <t>MRFMtrTrqCmd_MtrNm</t>
  </si>
  <si>
    <t>CRFMtrTrqCmd_MtrNm_f32</t>
  </si>
  <si>
    <t>CntrlDampComp_Cnt_lgc</t>
  </si>
  <si>
    <t>CntrlDampComp_Cnt</t>
  </si>
  <si>
    <t>SysC_MRFMtrTrqCmd_MtrNm_f32</t>
  </si>
  <si>
    <t>SysC_MRFMtrTrqCmd_MtrNm</t>
  </si>
  <si>
    <t>SysC_CRFMtrTrqCmd_MtrNm_f32</t>
  </si>
  <si>
    <t>SysC_CRFMtrTrqCmd_MtrNm</t>
  </si>
  <si>
    <t>TranlDampg_TmrX_mS_M_u16</t>
  </si>
  <si>
    <t>TranlDampg_TmrX_mS</t>
  </si>
  <si>
    <t>TranlDampg_TmrY_mS_M_u16</t>
  </si>
  <si>
    <t>TranlDampg_TmrY_mS</t>
  </si>
  <si>
    <t>Integrated version 2.0.0 of TranlDampg (SF050A)</t>
  </si>
  <si>
    <t>ES033J AdcConfigAndUseFamily39</t>
  </si>
  <si>
    <t>ES35C Nhet1CfgAndUse_AnaMotPsn</t>
  </si>
  <si>
    <t>k_MtrVelFiltFFKn_Hz_f32</t>
  </si>
  <si>
    <t>MtrCtrl_k_MtrVelFiltFFKn_Hz</t>
  </si>
  <si>
    <t>k_MtrVelFiltPIKn_Hz_f32</t>
  </si>
  <si>
    <t>MtrCtrl_k_MtrVelFiltPIKn_Hz</t>
  </si>
  <si>
    <t>k_MtrCtrlCurrLoopSecOrTranFcEnable_Cnt_lgc</t>
  </si>
  <si>
    <t>MtrCtrl_k_CurrLoopSecOrderTransFcnEnable_Cnt</t>
  </si>
  <si>
    <t>k_MtrCtrlFeedbackControlDisable_Cnt_lgc</t>
  </si>
  <si>
    <t>MtrCtrl_k_FeedbackControlDisable_Cnt</t>
  </si>
  <si>
    <t>k_VoltModeDynCompEnable_Cnt_lgc</t>
  </si>
  <si>
    <t>MtrCtrl_k_VoltModeDynCompEnable_Cnt</t>
  </si>
  <si>
    <t>k_MtrVoltDervFiltCoeffTimeCons_Sec_f32</t>
  </si>
  <si>
    <t>MtrCtrl_k_MtrVoltDervFiltTimeConst_Sec</t>
  </si>
  <si>
    <t>k_MtrCtrlVirualResQax_Ohm_f32</t>
  </si>
  <si>
    <t>MtrCtrl_k_MtrVirtualResQax_Ohm</t>
  </si>
  <si>
    <t>k_MtrCtrlVirualResDax_Ohm_f32</t>
  </si>
  <si>
    <t>MtrCtrl_k_MtrVirtualResDax_Ohm</t>
  </si>
  <si>
    <t>k_MtrCurrDaxMaxValScl_Per_f32</t>
  </si>
  <si>
    <t>MtrCtrl_k_MtrCurrDaxMaxValScl_Per</t>
  </si>
  <si>
    <t>k_MtrDampingRatioDax_Uls_f32</t>
  </si>
  <si>
    <t>MtrCtrl_t_MtrNaturalFreqDax_Hz</t>
  </si>
  <si>
    <t>k_MtrDampingRatioQax_Uls_f32</t>
  </si>
  <si>
    <t>MtrCtrl_k_MtrDampingRatioQax_Uls</t>
  </si>
  <si>
    <t>t_MtrBandwidthDaxY_Hz_u10p6[4]</t>
  </si>
  <si>
    <t>MtrCtrl_t_MtrBandwidthDax_Hz</t>
  </si>
  <si>
    <t>{300, 300, 300, 300}</t>
  </si>
  <si>
    <t>t_MtrBandwidthQaxY_Hz_u10p6[4]</t>
  </si>
  <si>
    <t>MtrCtrl_t_MtrBandwidthQax_Hz</t>
  </si>
  <si>
    <t>t_MtrVelCtrlGainX_MtrRadpSec_u12p4[4]</t>
  </si>
  <si>
    <t>MtrCtrl_t_MtrVelCtrlGain_MtrRadpS</t>
  </si>
  <si>
    <t>{0, 1, 5, 10}</t>
  </si>
  <si>
    <t>t_MtrNaturalFreqQaxY_Hz_u9p7[4]</t>
  </si>
  <si>
    <t>MtrCtrl_t_MtrNaturalFreqQax_Hz</t>
  </si>
  <si>
    <t>t_MtrNaturalFreqDaxY_Hz_u9p7[4]</t>
  </si>
  <si>
    <t>t_MtrTrqCmdPIY_MtrNm_u5p11[8]</t>
  </si>
  <si>
    <t>MtrCtrl_t_MtrTrqCmdPIY_MtrNm</t>
  </si>
  <si>
    <t>{0, 1,2, 2.5, 3, 4, 4.5, 5}</t>
  </si>
  <si>
    <t>t2_MtrTrqRpl18Y_MtrNm_s2p13[10][12]</t>
  </si>
  <si>
    <t>MtrCtrl_t2_MtrTrqRpl18Y_MtrNm</t>
  </si>
  <si>
    <t>{{0,0,0,0,0,0,0,0,0,0,0,0}, {0,0,0,0,0,0,0,0,0,0,0,0}, {0,0,0,0,0,0,0,0,0,0,0,0}, {0,0,0,0,0,0,0,0,0,0,0,0}, {0,0,0,0,0,0,0,0,0,0,0,0}, {0,0,0,0,0,0,0,0,0,0,0,0}, {0,0,0,0,0,0,0,0,0,0,0,0}, {0,0,0,0,0,0,0,0,0,0,0,0}, {0,0,0,0,0,0,0,0,0,0,0,0}, {0,0,0,0,0,0,0,0,0,0,0,0}}</t>
  </si>
  <si>
    <t>s2p13_T</t>
  </si>
  <si>
    <t>t2_MtrTrqRpl18X_MtrNm_s2p13[10][12]</t>
  </si>
  <si>
    <t>MtrCtrl_t2_MtrTrqRpl18X_MtrNm</t>
  </si>
  <si>
    <t>t2_MtrTrqRpl12Y_MtrNm_s2p13[10][12]</t>
  </si>
  <si>
    <t>MtrCtrl_t2_MtrTrqRpl12Y_MtrNm</t>
  </si>
  <si>
    <t>t2_MtrTrqRpl12X_MtrNm_s2p13[10][12]</t>
  </si>
  <si>
    <t>MtrCtrl_t2_MtrTrqRpl12X_MtrNm</t>
  </si>
  <si>
    <t>t2_MtrTrqRpl6X_MtrNm_s2p13[10][12]</t>
  </si>
  <si>
    <t>MtrCtrl_t2_MtrTrqRpl6X_MtrNm</t>
  </si>
  <si>
    <t>t2_MtrTrqRpl6Y_MtrNm_s2p13[10][12]</t>
  </si>
  <si>
    <t>MtrCtrl_t2_MtrTrqRpl6Y_MtrNm</t>
  </si>
  <si>
    <t>k_VoltSatDaxPolyCoeff_Uls_f32</t>
  </si>
  <si>
    <t>MtrCtrl_k_VoltSatQaxPolyCoeff_Uls</t>
  </si>
  <si>
    <t>k_VoltSatQaxPolyCoeff_Uls_f32</t>
  </si>
  <si>
    <t>MtrCtrl_k_VoltSatDaxPolyCoeff_Uls</t>
  </si>
  <si>
    <t>k_MtrCurrQaxRefModifDsb_Cnt_lgc</t>
  </si>
  <si>
    <t>MtrCtrl_k_MtrCurrQaxRefModifDsb_Cnt</t>
  </si>
  <si>
    <t>k_CLOAFdbackSignalSclFacSlew_UlspS_f32</t>
  </si>
  <si>
    <t>MtrCtrl_k_CLOASignalSclFacSlew_UlspS</t>
  </si>
  <si>
    <t>k_ILOAFdbackSignalSclFacSlew_UlspS_f32</t>
  </si>
  <si>
    <t>MtrCtrl_k_ILOASignalSclFacSlew_UlspS</t>
  </si>
  <si>
    <t>k_MtrPosComputationDelayRpl_Sec_f32</t>
  </si>
  <si>
    <t>MtrCtrl_k_MtrPosComputationDelayRpl_Sec</t>
  </si>
  <si>
    <t>k_MtrVoltQaxFiltFFKn_Hz_f32</t>
  </si>
  <si>
    <t>MtrCtrl_k_MtrVoltQaxFiltFFKn_Hz</t>
  </si>
  <si>
    <t>k_MtrVoltQaxFiltFFEnable_Cnt_lgc</t>
  </si>
  <si>
    <t>MtrCtrl_k_MtrVoltQaxFiltFFEnable_Cnt</t>
  </si>
  <si>
    <t>k_MtrVoltVecuFiltKn_Hz_f32</t>
  </si>
  <si>
    <t>MtrCtrl_k_MtrVoltVecuFiltKn_Hz</t>
  </si>
  <si>
    <t>k_MtrVoltVecuFiltEnable_Cnt_lgc</t>
  </si>
  <si>
    <t>MtrCtrl_k_MtrVoltVecuFiltEnable_Cnt</t>
  </si>
  <si>
    <t>k_MtrCurrQaxRefModifRplEn_Cnt_lgc</t>
  </si>
  <si>
    <t>MtrCtrl_k_MtrCurrQaxRefModifRplEn_Cnt</t>
  </si>
  <si>
    <t>k_MtrVoltQaxIntegLoLim_Volt_f32</t>
  </si>
  <si>
    <t>MtrCtrl_k_MtrVoltQaxIntegLoLim_Volt</t>
  </si>
  <si>
    <t>k_MtrVoltQaxIntegHiLim_Volt_f32</t>
  </si>
  <si>
    <t>MtrCtrl_k_MtrVoltQaxIntegHiLim_Volt</t>
  </si>
  <si>
    <t>k_MtrVoltDaxIntegLoLim_Volt_f32</t>
  </si>
  <si>
    <t>MtrCtrl_k_MtrVoltDaxIntegLoLim_Volt</t>
  </si>
  <si>
    <t>k_MtrVoltDaxIntegHiLim_Volt_f32</t>
  </si>
  <si>
    <t>MtrCtrl_k_MtrVoltDaxIntegHiLim_Volt</t>
  </si>
  <si>
    <t>Updated to version 18 of SF-99B</t>
  </si>
  <si>
    <t>Removed CF13B and added CF13A</t>
  </si>
  <si>
    <t>t_MtrCurrDaxRpl_Amp_u9p7[10]</t>
  </si>
  <si>
    <t>{0,10,25,50,60,75,90,100,110,125}</t>
  </si>
  <si>
    <t>t_MtrCurrQaxRpl_Amp_u9p7[12]</t>
  </si>
  <si>
    <t>{0,10,25,50,60,75,100,105,110,120,125,135}</t>
  </si>
  <si>
    <t>t_MtrVelX_MtrRadpS_T_u16[20]</t>
  </si>
  <si>
    <t>{0, 50, 100, 107, 114, 150, 303, 500, 700, 800, 1000, 1200, 1804, 2620, 2839, 3200, 3407,5101, 8492, 11100}</t>
  </si>
  <si>
    <t>t2_MtrTrqCancPIMagRP_Uls_u6p10[20][8]</t>
  </si>
  <si>
    <t>{{0,0,0,0,0,0,0,0},{0,0,0,0,0,0,0,0},{0,0,0,0,0,0,0,0},{0,0,0,0,0,0,0,0},{0,0,0,0,0,0,0,0},{0,0,0,0,0,0,0,0},{0,0,0,0,0,0,0,0},{0,0,0,0,0,0,0,0},{0,0,0,0,0,0,0,0},{0,0,0,0,0,0,0,0},{0,0,0,0,0,0,0,0},{0,0,0,0,0,0,0,0},{0,0,0,0,0,0,0,0},{0,0,0,0,0,0,0,0},{0,0,0,0,0,0,0,0},{0,0,0,0,0,0,0,0},{0,0,0,0,0,0,0,0},{0,0,0,0,0,0,0,0},{0,0,0,0,0,0,0,0},{0,0,0,0,0,0,0,0}}</t>
  </si>
  <si>
    <t>t2_MtrTrqCancPIPhRP_Rev_u0p16[20][8]</t>
  </si>
  <si>
    <t>PSAStHdlr</t>
  </si>
  <si>
    <t>Minimum handwheel confidence necessary to enable APA.</t>
  </si>
  <si>
    <t>Confirmation time to detect that handwheel torque rate exceeds a certain threshold</t>
  </si>
  <si>
    <t>Time to compute the handwheel torque rate</t>
  </si>
  <si>
    <t>Confirmation time to detect that hands are not on the wheel during Lpa activation</t>
  </si>
  <si>
    <t>Step to increment the handwheel velocity detection counter in case hands are not on the wheel</t>
  </si>
  <si>
    <t>Step to decrement the handwheel velocity detection counter in case hands are not on the wheel</t>
  </si>
  <si>
    <t>Handwheel velocity index to determine the step of the handwheel velocity detection counter in case hands are not on the wheel</t>
  </si>
  <si>
    <t>Vehicle speed index to determine the Lxa Handwheel Angle Command Saturation</t>
  </si>
  <si>
    <t>Step to decrement the handwheel angle detection counter</t>
  </si>
  <si>
    <t>Step to increment the handwheel angle detection counter</t>
  </si>
  <si>
    <t>Vehicle speed index to determine the step of the handwheel velocity detection counter in case hands are not on the wheel</t>
  </si>
  <si>
    <t>Vehicle speed index to determine the Lxa Handwheel Angle Command Rate</t>
  </si>
  <si>
    <t>Step to decrement the handwheel velocity detection counter</t>
  </si>
  <si>
    <t>Step to increment the handwheel velocity detection counter</t>
  </si>
  <si>
    <t>Handwheel velocity index to determine the step of the handwheel velocity detection counter in case hands are on the wheel</t>
  </si>
  <si>
    <t>Lxa Handwheel Torque Fault Mode</t>
  </si>
  <si>
    <t>Lxa Handwheel Velocity Fault Mode</t>
  </si>
  <si>
    <t>Lxa Output Torque Overlay Fault Mode</t>
  </si>
  <si>
    <t>Lxa Handwheel Velocity Safety Threshold Y</t>
  </si>
  <si>
    <t>{0, 30, 50, 60, 70, 100, 110, 120, 130, 140, 150, 160, 170, 180, 200}</t>
  </si>
  <si>
    <t>Lxa Output Torque Overlay Bound X</t>
  </si>
  <si>
    <t>{0, 10, 20, 30, 40, 50, 60, 70, 180, 240}</t>
  </si>
  <si>
    <t>Lxa Output Torque Overlay Bound Y</t>
  </si>
  <si>
    <t>{3, 3, 3, 3, 3, 3, 3, 3, 3, 3}</t>
  </si>
  <si>
    <t>Lxa Output Torque Overlay Safety Bound Y</t>
  </si>
  <si>
    <t>Lxa Smoothing Factor X axis</t>
  </si>
  <si>
    <t>{0, 0.1, 0.2, 0.3, 0.4, 0.6, 0.7, 0.8, 0.9, 1}</t>
  </si>
  <si>
    <t>Lxa Smoothing Factor Y axis</t>
  </si>
  <si>
    <t>{0, 0.024, 0.095, 0.206, 0.345, 0.655, 0.794, 0.905, 0.976, 1}</t>
  </si>
  <si>
    <t>Lxa Smoothing Safety Factor X axis</t>
  </si>
  <si>
    <t>Lxa Smoothing Safety Factor Y axis</t>
  </si>
  <si>
    <t>{0, 0.024, 0.024, 0.024, 0.024, 0.024, 0.024, 0.024, 0.024, 0.024}</t>
  </si>
  <si>
    <t>{0, 0.024, 0.095, 0.206, 0.35, 0.655, 0.794, 0.905, 0.976, 1}</t>
  </si>
  <si>
    <t>Updated PSATA (CF14) to version 2.0.0_0_NoUTP</t>
  </si>
  <si>
    <t>k_TunSet&lt;TUNINGINDEX_Y&gt;Per&lt;TUNINGINDEX_P&gt;_Cnt_Str.&lt;ROOTNAME&gt;</t>
  </si>
  <si>
    <t>#define &lt;ROOTNAME&gt;&lt;TAB&gt;TunPer_Ptr_Str-&gt;&lt;ROOTNAME&gt;</t>
  </si>
  <si>
    <t>0-2</t>
  </si>
  <si>
    <t>SF58 SysOutpCpby</t>
  </si>
  <si>
    <t>SF59 SysPrfmncSts</t>
  </si>
  <si>
    <t>#pragma DATA_SECTION(k_TunSet&lt;TUNINGINDEX_Y&gt;Per&lt;TUNINGINDEX_P&gt;_Cnt_Str, ".TunCal&lt;TUNINGINDEX_Y&gt;Per&lt;TUNINGINDEX_P&gt;CalSeg");
CONST(TUNING_P_Str, CAL_CONST)k_TunSet&lt;TUNINGINDEX_Y&gt;Per&lt;TUNINGINDEX_P&gt;_Cnt_Str = { &lt;VALUELIST&gt; };</t>
  </si>
  <si>
    <t>t_HOWVehSpd_Kph_u9p7[3]</t>
  </si>
  <si>
    <t>t_HOW_VehSpd_Kph_u9p7</t>
  </si>
  <si>
    <t>HOW function vehicle speed table</t>
  </si>
  <si>
    <t>HOWDetect</t>
  </si>
  <si>
    <t>{10, 50, 100}</t>
  </si>
  <si>
    <t>t_HOWHighFreqGainY_Uls_u9p7[3]</t>
  </si>
  <si>
    <t>t_HOW_HighFreqGainY_Uls_u9p7</t>
  </si>
  <si>
    <t>High Frequency Rate Table</t>
  </si>
  <si>
    <t>{17.3984375, 17.3984375, 17.3984375}</t>
  </si>
  <si>
    <t>t2_HOWHFRateX_HwNm_u8p8[3][6]</t>
  </si>
  <si>
    <t>t2_HOW_HFRateX_HwNm_u8p8</t>
  </si>
  <si>
    <t>High-Frequency Content Rate X-Table</t>
  </si>
  <si>
    <t>{ {0, 0.1015625, 0.25, 0.30078125, 0.5, 1}, {0, 0.1015625, 0.25, 0.30078125, 0.5, 1}, {0, 0.1015625, 0.25, 0.30078125, 0.5, 1} }</t>
  </si>
  <si>
    <t>t2_HOWHFRateY_UlspS_s7p8[3][6]</t>
  </si>
  <si>
    <t>t2_HOW_HFRateY_UlspS_s7p8</t>
  </si>
  <si>
    <t>High-Frequency Content Rate Y-Table</t>
  </si>
  <si>
    <t>{ {-5, -1, 0, 0, 20, 20}, {-5, -1, 0, 0, 20, 20}, {-5, -1, 0, 0, 20, 20} }</t>
  </si>
  <si>
    <t>t2_HOWLFRateX_HwNm_u8p8[3][5]</t>
  </si>
  <si>
    <t>t2_HOW_LFRateX_HwNm_u8p8</t>
  </si>
  <si>
    <t>Low-Frequency Content Rate X-Table</t>
  </si>
  <si>
    <t>{ {0, 0.07421875, 0.19921875, 0.25, 1}, {0, 0.07421875, 0.19921875, 0.25, 1}, {0, 0.07421875, 0.19921875, 0.25, 1} }</t>
  </si>
  <si>
    <t>t2_HOWLFRateY_UlspS_s7p8[3][5]</t>
  </si>
  <si>
    <t>t2_HOW_LFRateY_UlspS_s7p8</t>
  </si>
  <si>
    <t>Low-Frequency Torque Rate Y Table</t>
  </si>
  <si>
    <t>t_HOWStateThresholds_Uls_u8p8[7]</t>
  </si>
  <si>
    <t>t_HOW_StateThresholds_Uls_u8p8</t>
  </si>
  <si>
    <t>Conversion levels from HOW Estimate to HOW State</t>
  </si>
  <si>
    <t>{0, 0.05859375, 0.25, 0.3515625, 0.6484375, 0.75, 0.94140625}</t>
  </si>
  <si>
    <t>k_HOWTrqInitLPFKn_Hz_f32</t>
  </si>
  <si>
    <t>k_HOW_TrqInitLPFKn_Hz_f32</t>
  </si>
  <si>
    <t>Low-Pass Filter Corner Frequency of initial filter</t>
  </si>
  <si>
    <t>k_HOWTrqHPFKn_Hz_f32</t>
  </si>
  <si>
    <t>k_HOW_TrqHPFKn_Hz_f32</t>
  </si>
  <si>
    <t>High-Pass Filter Corner Frequency of high-frequency Torque calculation</t>
  </si>
  <si>
    <t>k_HOWTrqFinalLPFKn_Hz_f32</t>
  </si>
  <si>
    <t>k_HOW_TrqFinalLPFKn_Hz_f32</t>
  </si>
  <si>
    <t>Low-Pass Filter Corner Frequency on final processing of high-frequency torque calculation</t>
  </si>
  <si>
    <t>k_HOWSlewRate_HwNmpS_f32</t>
  </si>
  <si>
    <t>k_HOW_SlewRate_HwNmpS_f32</t>
  </si>
  <si>
    <t>Rate limit on change in HOW Estimate</t>
  </si>
  <si>
    <t>k_HOWDecaySF_Uls_f32</t>
  </si>
  <si>
    <t>k_HOW_DecaySF_Uls_f32</t>
  </si>
  <si>
    <t>Pecentage of previous HOW Estimate to use in current calculation</t>
  </si>
  <si>
    <t>k_HOWEstLPFKn_Hz_f32</t>
  </si>
  <si>
    <t>k_HOW_EstLPFKn_Hz_f32</t>
  </si>
  <si>
    <t>Low-Pass Filter Corner Frequency for HOW_Estimate</t>
  </si>
  <si>
    <t>k_HOWMinVehSpd_Kph_f32</t>
  </si>
  <si>
    <t>k_HOW_MinVehSpd_Kph_f32</t>
  </si>
  <si>
    <t>Minimum vehicle speed to attempt to estimate Hands On/Off</t>
  </si>
  <si>
    <t>k_HOWStateLPFKn_Hz_f32</t>
  </si>
  <si>
    <t>k_HOW_StateLPFKn_Hz_f32</t>
  </si>
  <si>
    <t>Low-Pass Filter Corner Frequency on HOW State, prior to enumeration</t>
  </si>
  <si>
    <t>{ {-2, -0.5, 0, 0, 90}, {-2, -0.5, 0, 0, 90}, {-2, -0.5, 0, 0, 90} }</t>
  </si>
  <si>
    <t>Integrated version 2.0.0_0_NoUTP of SF-44(HOWDetect)</t>
  </si>
  <si>
    <t>Integrated version 7.2_NoUTP, 10C.0, 1.1.0_0NoUTP, 001.28, 0.0.3_0_NoUTP, 0.0.3_0_NoUTP of SF04B, CMS_Common, SF25C, ES37B, ES35B, ES36B, ES34E. Removed ES34B, SF26 and ES25A</t>
  </si>
  <si>
    <t>ePWM, ePWM_Up</t>
  </si>
  <si>
    <t>FDD34B NHETFunction, ES34E ePWM Subsystem_v0.0.1</t>
  </si>
  <si>
    <t>k_SumLim_CmdSftyLimr_MtrNm_f32</t>
  </si>
  <si>
    <t>SumLim_k_CmdSftyLimr_MtrNm_f32</t>
  </si>
  <si>
    <t>k_SumLim_LrnPnCtrDebounce_Cnt_str</t>
  </si>
  <si>
    <t>SumLim_k_LrnPnCtrDebounce_Cnt</t>
  </si>
  <si>
    <t>Cross Check PN counter Calibration</t>
  </si>
  <si>
    <t>{40, 5, 3}</t>
  </si>
  <si>
    <t>k_SumLim_LrnPnCtrDebounce_Cnt_str.Threshold</t>
  </si>
  <si>
    <t>k_SumLim_LrnPnCtrDebounce_Cnt_str.PStep</t>
  </si>
  <si>
    <t>k_SumLim_LrnPnCtrDebounce_Cnt_str.Nstep</t>
  </si>
  <si>
    <t>k_FreezeMECFD1BEnable_Cnt_lgc</t>
  </si>
  <si>
    <t>k_VehSpdZeroCheckEnable_Cnt_lgc</t>
  </si>
  <si>
    <t>k_VehSpdZeroThreshold_Kph_f32</t>
  </si>
  <si>
    <t>k_CyberSecNexteerCheckEnable_Cnt_lgc</t>
  </si>
  <si>
    <t>k_TSPstep_Cnt_u08</t>
  </si>
  <si>
    <t>k_TSPstep_Cnts</t>
  </si>
  <si>
    <t>Torque Sensor P Step</t>
  </si>
  <si>
    <t>k_TSNstep_Cnt_u08</t>
  </si>
  <si>
    <t>k_TSNstep_Cnts</t>
  </si>
  <si>
    <t>Torque Sensor N Step</t>
  </si>
  <si>
    <t>ES35D Nhet1CfgAndUse</t>
  </si>
  <si>
    <t>CF08D FcaOvrlStHdlr</t>
  </si>
  <si>
    <t>CF09B GmAtnmsCmdStMac</t>
  </si>
  <si>
    <t>CF10B GmTqOvrlCndg</t>
  </si>
  <si>
    <t>CF029A FordTSC</t>
  </si>
  <si>
    <t>CF030A GmHwAgCmdArbn</t>
  </si>
  <si>
    <t>SF05H AbsHwPosScomOvlDi</t>
  </si>
  <si>
    <t>ES05J I2CAbsoluteHandwheelPositionFunction I2C Init</t>
  </si>
  <si>
    <t>SF32 EndOfLineTorqueScaling</t>
  </si>
  <si>
    <t>SF063A ImcSigArbn</t>
  </si>
  <si>
    <t>SF061A SteerMod</t>
  </si>
  <si>
    <t>SF064A EcuCrossChk</t>
  </si>
  <si>
    <t>ES011D PwrDiscnctCfgA</t>
  </si>
  <si>
    <t>ES073A ImcArbr</t>
  </si>
  <si>
    <t>SF062A DualCtrlrOutpMgr</t>
  </si>
  <si>
    <t>ES020E DualSpurDigHwAg</t>
  </si>
  <si>
    <t>CF028A SpdDptLatCtrl</t>
  </si>
  <si>
    <t>ES70A EcuIdn</t>
  </si>
  <si>
    <t>ES020F TurnsCntrEnhdSpiDiag</t>
  </si>
  <si>
    <t>SF057A CustRqrdDampg</t>
  </si>
  <si>
    <t>CF05B FcaTqArbn</t>
  </si>
  <si>
    <t>SF020B PosnTrakgServo</t>
  </si>
  <si>
    <t>CF031A FordFctCtrl</t>
  </si>
  <si>
    <t>ES71A Sci</t>
  </si>
  <si>
    <t>{50,100}</t>
  </si>
  <si>
    <t>t2_DampFWUprBoundY_MtrNm_s7p8[8][11]</t>
  </si>
  <si>
    <t>{{16, 16, 16, 16, 16, 16, 16, 16, 16, 16, 16}, {16, 16, 16, 16, 16, 16, 16, 16, 16, 16, 16}, {16, 16, 16, 16, 16, 16, 16, 16, 16, 16, 16}, {16, 16, 16, 16, 16, 16, 16, 16, 16, 16, 16}, {16, 16, 16, 16, 16, 16, 16, 16, 16, 16, 16}, {16, 16, 16, 16, 16, 16, 16, 16, 16, 16, 16}, {16, 16, 16, 16, 16, 16, 16, 16, 16, 16, 16}, {16, 16, 16, 16, 16, 16, 16, 16, 16, 16, 16}}</t>
  </si>
  <si>
    <t>{0, 0.5, 1, 1.5, 2, 2.5, 3, 3.5, 4, 4.5}</t>
  </si>
  <si>
    <t>{0, 20, 50, 100, 200, 400}</t>
  </si>
  <si>
    <t>{4500, 4500, 4500, 4500, 4500, 4500}</t>
  </si>
  <si>
    <t>{0.005, 0.005, 0.005, 0.005, 0.005, 0.005, 0.005, 0.005, 0.005, 0.005}</t>
  </si>
  <si>
    <t>{62.8125, 586.438}</t>
  </si>
  <si>
    <t>{1,1}</t>
  </si>
  <si>
    <t>{1, 1, 0.3, 0.2, 0.1, 0, 0, 0, 0, 0, 0, 0}</t>
  </si>
  <si>
    <t>{0.05078125, 0.10546875, 0.15625, 0.20703125, 0.2578125}</t>
  </si>
  <si>
    <t>{{0.005, 0.005,0.005, 0.005,0.005, 0.005,0.005, 0.005,0.005, 0.005},{0.005, 0.005,0.005, 0.005,0.005, 0.005,0.005, 0.005,0.005, 0.005}}</t>
  </si>
  <si>
    <t>{{15, 15, 15, 15, 15, 15, 15, 15, 15, 15, 15, 15}, {15, 15, 15, 15, 15, 15, 15, 15, 15, 15, 15, 15}}</t>
  </si>
  <si>
    <t>Updated to version 14 of Damping firewall (SF35)</t>
  </si>
  <si>
    <t>Updates for Srlcominput</t>
  </si>
  <si>
    <t>k_ISDATABR50DMsgLenValidThresh_Cnt_u16</t>
  </si>
  <si>
    <t>k_ISDATABR50DMsgLenInvalidThresh_Cnt_u16</t>
  </si>
  <si>
    <t>{25, 25, 25, 25, 25, 20, 18, 16, 15, 14, 13, 12, 11, 10, 9}</t>
  </si>
  <si>
    <t>Updates for CF14 v2.2</t>
  </si>
  <si>
    <t>Assist, Damping, DampingFirewall, FrqDepDmpnInrtCmp, HighFreqAssist, HystComp</t>
  </si>
  <si>
    <t>SF00 Common Calibrations, SF00 Common Calibrations, SF00 CommonCalibrations, None, SF00 Common Calibrations, SF00 Common Calibrations</t>
  </si>
  <si>
    <t>ePWM, Nhet1CfgAndUse, Nhet1CfgAndUse_35D</t>
  </si>
  <si>
    <t>FDD34B NHETFunction, ES35D Nhet1CfgAndUse, ES35D Nhet1CfgAndUse</t>
  </si>
  <si>
    <t>DampingFirewall, FrqDepDmpnInrtCmp</t>
  </si>
  <si>
    <t>SF00 CommonCalibrations, None</t>
  </si>
  <si>
    <t>SF99B MotorControl, SF99B MotorControl</t>
  </si>
  <si>
    <t>SF99 MotorControl, SF99 MotorControl</t>
  </si>
  <si>
    <t>FDD15D SineVoltageGenerationDrive, FDD15D SineVoltageGenerationDrive</t>
  </si>
  <si>
    <t>FDD15D SineVoltageGenerationDrive, FDD15D SineVoltageGenerationDrive, FDD49 SineVoltageGenerationDiagnostics</t>
  </si>
  <si>
    <t>Nhet1CfgAndUse, Nhet1CfgAndUse_35D</t>
  </si>
  <si>
    <t>ES35D Nhet1CfgAndUse, ES35D Nhet1CfgAndUse</t>
  </si>
  <si>
    <t>Time to confirm dynamic error</t>
  </si>
  <si>
    <t>{50, 2, 1}</t>
  </si>
  <si>
    <t>{0, 0, 0}</t>
  </si>
  <si>
    <t>{65535, 65535, 65535}</t>
  </si>
  <si>
    <t>Threshold</t>
  </si>
  <si>
    <t>P step</t>
  </si>
  <si>
    <t>N Step</t>
  </si>
  <si>
    <t>Timer to exit keep transition cause</t>
  </si>
  <si>
    <t>Dynamic Handwheel Threshold error to set a Static Error</t>
  </si>
  <si>
    <t>Time to confirm no allow HwTrq</t>
  </si>
  <si>
    <t>HwTrq filter</t>
  </si>
  <si>
    <t>Time to confirm static error</t>
  </si>
  <si>
    <t>k_CDS50DMsgTimeout_mS_u16</t>
  </si>
  <si>
    <t>TCONF_ABR_DEF</t>
  </si>
  <si>
    <t>k_LKAStateInvalidThresh_Cnt_u16</t>
  </si>
  <si>
    <t>k_LKAStateValidThresh_Cnt_u16</t>
  </si>
  <si>
    <t>AR</t>
  </si>
  <si>
    <t>SF99B MotorControl</t>
  </si>
  <si>
    <t>SF056A DrvrTqEstimn</t>
  </si>
  <si>
    <t>CF034A GmPwrpkSrvDataRcvry</t>
  </si>
  <si>
    <t>RK</t>
  </si>
  <si>
    <t>DiagSvc, FaultLog, SrlComDriver, SrlComInput, SrlComOutput</t>
  </si>
  <si>
    <t>NonComponent, MtrCtrl_CM</t>
  </si>
  <si>
    <t>NonComponent, MtrCtrl_CM, SVDiag</t>
  </si>
  <si>
    <t>k_DualEcuSignalSclFacSlew_UlspS_f32</t>
  </si>
  <si>
    <t>MtrCtrl_k_DualEcuSignalSclFacSlew_UlspS</t>
  </si>
  <si>
    <t>MtrCtrl_CM</t>
  </si>
  <si>
    <t>k_PsaAgAn_AbsHwPosLvl1_HwDeg_f32</t>
  </si>
  <si>
    <t>Handwheel Position Level 1</t>
  </si>
  <si>
    <t>PsaAgArbn</t>
  </si>
  <si>
    <t>k_PsaAgAn_AbsHwPosLvl2_HwDeg_f32</t>
  </si>
  <si>
    <t>Handwheel Position Level 2</t>
  </si>
  <si>
    <t>k_PsaAgAn_DiagPrec_HwDeg_f32</t>
  </si>
  <si>
    <t>Diag Precision</t>
  </si>
  <si>
    <t>k_PsaAgAn_EpsPrecision_HwDeg_f32</t>
  </si>
  <si>
    <t>EPS Precision</t>
  </si>
  <si>
    <t>k_PsaAgAn_HwTrqFilt_Hz_f32</t>
  </si>
  <si>
    <t>Handwheel Torque Filter</t>
  </si>
  <si>
    <t>k_PsaAgAn_MinPrecFail_HwDeg_f32</t>
  </si>
  <si>
    <t>Minimum Precision Failure</t>
  </si>
  <si>
    <t>k_PsaAgAn_MtrVelFilt_Hz_f32</t>
  </si>
  <si>
    <t>Motor Velocity Filter</t>
  </si>
  <si>
    <t>k_PsaAgAn_OffsetPolarity_HwDeg_f32</t>
  </si>
  <si>
    <t>Offset Polarity</t>
  </si>
  <si>
    <t>k_PsaAgAn_PinionTrqFilt_Hz_f32</t>
  </si>
  <si>
    <t>Pinion Torque Filter</t>
  </si>
  <si>
    <t>k_PsaAgAn_VehCondMaxHwTrq_HwNm_f32</t>
  </si>
  <si>
    <t>Maximum Handwheel Torque</t>
  </si>
  <si>
    <t>k_PsaAgAn_VehCondMaxMtrVel_MtrRadpS_f32</t>
  </si>
  <si>
    <t>Maximum Motor Velocity</t>
  </si>
  <si>
    <t>k_PsaAgAn_VehCondMaxPinTrq_HwNm_f32</t>
  </si>
  <si>
    <t>Maximum Pinion Torque</t>
  </si>
  <si>
    <t>k_PsaAgAn_VehCondMaxVehSpd_Kph_f32</t>
  </si>
  <si>
    <t>Maximum Vehicle Speed</t>
  </si>
  <si>
    <t>k_PsaAgAn_VehCondMinTi_mS_u32</t>
  </si>
  <si>
    <t>Minimum Time</t>
  </si>
  <si>
    <t>t_PsaAgAn_AbsltHwAuthy_Uls_u1p15</t>
  </si>
  <si>
    <t>Absolute Handwheel Authority</t>
  </si>
  <si>
    <t>t_PsaAgAn_AbsltHwPosn_HwDeg_u16p0</t>
  </si>
  <si>
    <t>Absolute Handwheel Position</t>
  </si>
  <si>
    <t>PN counter Calibration in case the hand wheel torque rate cross the limit</t>
  </si>
  <si>
    <t>{120, 1, 1}</t>
  </si>
  <si>
    <t>A NTC will be set if the handwheel torque rate exceed the safety threshold</t>
  </si>
  <si>
    <t>k_ISDATBSI572MsgTimeValidThresh_Cnt_u16</t>
  </si>
  <si>
    <t>k_ConfigVhlSigValidThresh_Cnt_u16</t>
  </si>
  <si>
    <t>k_ConfigVhlSigInvalidThresh_Cnt_u16</t>
  </si>
  <si>
    <t>k_ISDATBSI572MsgCntrThresh_Cnt_u16</t>
  </si>
  <si>
    <t>k_ISDATBSI572MsgLenValidThresh_Cnt_u16</t>
  </si>
  <si>
    <t>k_PROTOHS1DYNUCF5CDMsgTimeValidThresh_Cnt_u16</t>
  </si>
  <si>
    <t>k_PROTOHS1DYNUCF5CDMsgChkSumInvalid_Cnt_u16</t>
  </si>
  <si>
    <t>k_PROTOHS1DYNUCF5CDMsgChkSumValidThresh_Cnt_u16</t>
  </si>
  <si>
    <t>k_ROTOHS1DYNUCF5CDMsgCountValidThresh_Cnt_u16</t>
  </si>
  <si>
    <t>k_PROTOHS1DYNUCF5CDMsgCountInvalidThresh_Cnt_u16</t>
  </si>
  <si>
    <t>k_ROTOHS1DYNUCF5CDOffsetSigValidThresh_Cnt_u16</t>
  </si>
  <si>
    <t>k_PROTOHS1DYNUCF5CDOffsetSigInvalidThresh_Cnt_u16</t>
  </si>
  <si>
    <t>k_PrecisionOffsetValidThresh_Cnt_u16</t>
  </si>
  <si>
    <t>k_PrecisionOffsetInvalidThresh_Cnt_u16</t>
  </si>
  <si>
    <t>k_OffsetDataConsistentThresh_Cnt_u16</t>
  </si>
  <si>
    <t>k_OffsetDataInconsistentThresh_Cnt_u16</t>
  </si>
  <si>
    <t>k_PROTOHS1DYNUCF5CDMsgLenValidThresh_Cnt_u16</t>
  </si>
  <si>
    <t>k_PROTOHS1DYNUCF5CDMsgLenInvalidThresh_Cnt_u16</t>
  </si>
  <si>
    <t>k_ISDATBSI572MsgLenInvalidThresh_Cnt_u16</t>
  </si>
  <si>
    <t>CF039A PsaAgArbn</t>
  </si>
  <si>
    <t>0-4</t>
  </si>
  <si>
    <t>NTC 180</t>
  </si>
  <si>
    <t>Config vehicle value update</t>
  </si>
  <si>
    <t>NTC 181</t>
  </si>
  <si>
    <t>NTC 171, NTC 141</t>
  </si>
  <si>
    <t>NTC 18E</t>
  </si>
  <si>
    <t>NTC 18D</t>
  </si>
  <si>
    <t>NTC 18A</t>
  </si>
  <si>
    <t>NTC 18B</t>
  </si>
  <si>
    <t>NTC 188</t>
  </si>
  <si>
    <t>NTC 189</t>
  </si>
  <si>
    <t>NTC 18C</t>
  </si>
  <si>
    <t>CF035A BmwFctDiMgr</t>
  </si>
  <si>
    <t>CF034B GmPwrpkSrvDataRcvry</t>
  </si>
  <si>
    <t>k_PsaAgAn_EpsPrec_HwDeg_f32</t>
  </si>
  <si>
    <t>t_PsaAgAn_AbsltHwAuthyY_Uls_u1p15[4]</t>
  </si>
  <si>
    <t>t_PsaAgAn_AbsltHwPosnPrecX_HwDeg_u16p0[4]</t>
  </si>
  <si>
    <t>{0, 10, 25, 1630}</t>
  </si>
  <si>
    <t>k_PsaAgAn_OffsDataInitMaxOffs_HwDeg_f32</t>
  </si>
  <si>
    <t>Default Min Offset Value</t>
  </si>
  <si>
    <t>k_PsaAgAn_OffsDataInitMinOffs_HwDeg_f32</t>
  </si>
  <si>
    <t>k_PsaAgAn_OffsDataInitMaxSrc_Cnt_u08</t>
  </si>
  <si>
    <t>Default Max Source Value</t>
  </si>
  <si>
    <t>k_PsaAgAn_OffsDataInitMinSrc_Cnt_u08</t>
  </si>
  <si>
    <t>Default Min Source Value</t>
  </si>
  <si>
    <t>HystComp, PsaAgArbn</t>
  </si>
  <si>
    <t>SF00 Common Calibrations, CF039A PsaAgArbn</t>
  </si>
  <si>
    <t>k_CBDiagc_OverVltgDetd_Volt_u10p6</t>
  </si>
  <si>
    <t>k_CBDiagc_OverVltgNotDetd_Volt_u10p6</t>
  </si>
  <si>
    <t>k_CBDiagc_UnderVltgDetd_mS_u16p0</t>
  </si>
  <si>
    <t>k_CBDiagc_UnderVltgNotDetd_mS_u16p0</t>
  </si>
  <si>
    <t>k_CBDiagc_OverVltgDetd_mS_u16p0</t>
  </si>
  <si>
    <t>k_CBDiagc_OverVltgNotDetd_mS_u16p0</t>
  </si>
  <si>
    <t>k_BusOffTimeout_mS_u16</t>
  </si>
  <si>
    <t>&lt;TUNINGINDEX_Y N&gt;&lt;TUNINGINDEX_P A&gt;</t>
  </si>
  <si>
    <t>CF032A DflzOvrlStMgr</t>
  </si>
  <si>
    <t>CF033A DflzTqArbn</t>
  </si>
  <si>
    <t xml:space="preserve">Changes for VC1, update of AbsHwPos_TcI2cVd, FrqDepDmpnInrtCmp, MtrCtrl_CM, PsaAgArbn, PSAStHdlr, PSATA, TMS570_Startup, TMS570_uDiag, TqRsDg, SrlComDriver, SrlComInput, SrlComOutput, Update for VC1. Some params moved from TuningSet to Personality.Fix of Perso parameter and update of CF039A. </t>
  </si>
  <si>
    <t>Serial com cal updates.</t>
  </si>
  <si>
    <t>CF040A BmwTqOvrlCdng</t>
  </si>
  <si>
    <t>CF04B FordArbLmt</t>
  </si>
  <si>
    <t>CF041A HaitecOvrlStMgr</t>
  </si>
  <si>
    <t>SF042 Integration</t>
  </si>
  <si>
    <t>k_Cmn_SysTrqRatio_HwNmpMtrNm_f32</t>
  </si>
  <si>
    <t>CF025A GmFctDiArbn</t>
  </si>
  <si>
    <t>CF042A HaitecTqArbn</t>
  </si>
  <si>
    <t>ES73B ImcArbr</t>
  </si>
  <si>
    <t>FDD1C CmMtrCurr</t>
  </si>
  <si>
    <t>SF19B PwrLmtFuncCr</t>
  </si>
  <si>
    <t>SF34B AssistSummation</t>
  </si>
  <si>
    <t>SF34B AstPathSum</t>
  </si>
  <si>
    <t>SF35B DampingSummation</t>
  </si>
  <si>
    <t>SF35B DampgPathSum</t>
  </si>
  <si>
    <t xml:space="preserve">NM100A MotVelCtrl </t>
  </si>
  <si>
    <t>k_PsaSH_ApaAssiStallLim_MtrNm_f32</t>
  </si>
  <si>
    <t>k_PsaSH_ApaDynErr_Cnt_str</t>
  </si>
  <si>
    <t>k_PsaSH_ApaDynErr_Cnt_str.Threshold</t>
  </si>
  <si>
    <t>k_PsaSH_ApaDynErr_Cnt_str.PStep</t>
  </si>
  <si>
    <t>k_PsaSH_ApaDynErr_Cnt_str.NStep</t>
  </si>
  <si>
    <t>k_PsaSH_ApaDynHwThd_HwDeg_u16</t>
  </si>
  <si>
    <t>Dynamic Handwheel Threshold error to set a Dynamic Error</t>
  </si>
  <si>
    <t>k_PsaSH_ApaExitCtrlProgsTi_mS_u16</t>
  </si>
  <si>
    <t>k_PsaSH_ApaStatHwThd_HwDeg_u16</t>
  </si>
  <si>
    <t>k_PsaSH_ApaHwAuthority_Uls_f32</t>
  </si>
  <si>
    <t>k_PsaSH_ApaHwTrqMax_HwNm_f32</t>
  </si>
  <si>
    <t>Maximum handwheel torque to exit APA</t>
  </si>
  <si>
    <t>k_PsaSH_ApaHwTrqMaxTi_mS_u32</t>
  </si>
  <si>
    <t>Time to confirm exiit APA by HwTrq</t>
  </si>
  <si>
    <t>k_PsaSH_ApaHwTrqMin_HwNm_f32</t>
  </si>
  <si>
    <t>Minimum handwheel torque to enable APA</t>
  </si>
  <si>
    <t>k_PsaSH_ApaHwTrqMinTi_mS_u32</t>
  </si>
  <si>
    <t>k_PsaSH_ApaMaxHwTrqFilt_Hz_f32</t>
  </si>
  <si>
    <t>k_PsaSH_ApaStatErr_Cnt_str</t>
  </si>
  <si>
    <t>{100, 2, 1}</t>
  </si>
  <si>
    <t>k_PsaSH_ApaStatErr_Cnt_str.PStep</t>
  </si>
  <si>
    <t>k_PsaSH_ApaStatErr_Cnt_str.NStep</t>
  </si>
  <si>
    <t>k_PsaSH_ApaThemLimPerc_Uls_f32</t>
  </si>
  <si>
    <t>APA Thermal Limit Percentage</t>
  </si>
  <si>
    <t>k_PsaSH_ApaVehSpd_Kph_f32</t>
  </si>
  <si>
    <t>Automatic Parking Assist Vehicle Speed</t>
  </si>
  <si>
    <t>k_PsaSH_LxaDrvrAbsntDetnTi_Sec_f32</t>
  </si>
  <si>
    <t>Confirmation time to detect that hands are not the wheel during LXA activation</t>
  </si>
  <si>
    <t>k_PsaSH_LxaDrvrIntvtWarnTi_Sec_f32</t>
  </si>
  <si>
    <t>Confirmation time to stop LXA function due to the driver not holding the steering wheel</t>
  </si>
  <si>
    <t>k_PsaSH_LxaHwAuthy_Uls_f32</t>
  </si>
  <si>
    <t>Minimum handwheel confidence necessary to enable LXA.</t>
  </si>
  <si>
    <t>k_PsaSH_LxaMaxHwTrq_HwNm_f32</t>
  </si>
  <si>
    <t>Maximum handwheel torque for activation of LXA</t>
  </si>
  <si>
    <t>k_PsaSH_LxaHwAgDetnCnt_Cnt_u16</t>
  </si>
  <si>
    <t>LXA Handwheel angle Confirmation count</t>
  </si>
  <si>
    <t>k_PsaSH_LxaHwVelDetnCnt_Cnt_u16</t>
  </si>
  <si>
    <t>LXA Handwheel velocity Confirmation count</t>
  </si>
  <si>
    <t>k_PsaSH_LxaHwTrqDetnTi_Sec_f32</t>
  </si>
  <si>
    <t>LXA Handwheel Torque Confirmation Time</t>
  </si>
  <si>
    <t>k_PsaSH_LxaHwTrqRateThd_HwNmpS_f32</t>
  </si>
  <si>
    <t>k_PsaSH_LxaHwTrqRateDetnTi_Sec_f32</t>
  </si>
  <si>
    <t>k_PsaSH_LxaHwTrqRateTi_Hz_f32</t>
  </si>
  <si>
    <t>k_PsaSH_LxaVehSpdMin_Kph_f32</t>
  </si>
  <si>
    <t>Minimum threshold of the vehicle speed at which the LXA can be activated</t>
  </si>
  <si>
    <t>t_PsaSH_LxaDrvrAbsntDetnTiX_Kph_u9p7[10]</t>
  </si>
  <si>
    <t>t_PsaSH_LxaDrvrAbsntDetnTiX_Kph_u9p7</t>
  </si>
  <si>
    <t>Vehicle speed index to determine the confirmation time to detect thathands are not on the wheel during Lpa activation</t>
  </si>
  <si>
    <t>{0, 10, 20, 30, 40, 50, 60, 70, 100, 240}</t>
  </si>
  <si>
    <t>t_PsaSH_LxaDrvrAbsntDetnTiY_Sec_u9p7[10]</t>
  </si>
  <si>
    <t>t_PsaSH_LxaDrvrAbsntDetnTiY_Sec_u9p7</t>
  </si>
  <si>
    <t>{60, 50, 40, 30, 20, 18, 16, 14, 10, 8}</t>
  </si>
  <si>
    <t>t2_PsaSH_LxaDrvrAbsntHwVelDetnCntrPStepY_Cnt_u16[9][8]</t>
  </si>
  <si>
    <t>t2_PsaSH_LxaDrvrAbsntHwVelDetnCntrPStepY_Cnt_u16</t>
  </si>
  <si>
    <t>{{2, 2, 2, 2, 2, 2, 2, 2}, {2, 2, 2, 2, 2, 2, 2, 2}, {2, 2, 2, 2, 2, 2, 2, 2}, {2, 2, 2, 2, 2, 2, 2, 2}, {2, 2, 2, 2, 2, 2, 2, 2}, {2, 2, 2, 2, 2, 2, 2, 2}, {2, 2, 2, 2, 2, 2, 2, 2}, {2, 2, 2, 2, 2, 2, 2, 2}, {2, 2, 2, 2, 2, 2, 2, 2}}</t>
  </si>
  <si>
    <t>t2_PsaSH_LxaDrvrAbsntHwVelDetnCntrNStepY_Cnt_u16[9][8]</t>
  </si>
  <si>
    <t>t2_PsaSH_LxaDrvrAbsntHwVelDetnCntrNStepY_Cnt_u16</t>
  </si>
  <si>
    <t>t2_PsaSH_LxaDrvrAbsntHwVelDetnCntrStepX_HwRadpS_u5p11[9][8]</t>
  </si>
  <si>
    <t>t2_PsaSH_LxaDrvrAbsntHwVelDetnCntrStepX_HwRadpS_u5p11</t>
  </si>
  <si>
    <t>{{0, 5, 10, 15, 20, 23, 26, 29}, {0, 5, 10, 15, 20, 23, 26, 29}, {0, 5, 10, 15, 20, 23, 26, 29}, {0, 5, 10, 15, 20, 23, 26, 29}, {0, 5, 10, 15, 20, 23, 26, 29}, {0, 5, 10, 15, 20, 23, 26, 29}, {0, 5, 10, 15, 20, 23, 26, 29}, {0, 5, 10, 15, 20, 23, 26, 29}, {0, 5, 10, 15, 20, 23, 26, 29}}</t>
  </si>
  <si>
    <t>t_PsaSH_LxaDrvrAbsntHwVelThdX_Kph_u9p7[15]</t>
  </si>
  <si>
    <t>t_PsaSH_LxaDrvrAbsntHwVelThdX_Kph_u9p7</t>
  </si>
  <si>
    <t>Vehicle speed index to determine handwheel velocity threshold for LXAactivation when hands not on wheel</t>
  </si>
  <si>
    <t>{0, 40, 50, 60, 70, 100, 110, 120, 130, 140, 150, 160, 170, 180, 200}</t>
  </si>
  <si>
    <t>t_PsaSH_LxaDrvrAbsntHwVelThdY_HwRadpS_u7p9[15]</t>
  </si>
  <si>
    <t>t_PsaSH_LxaDrvrAbsntHwVelThdY_HwRadpS_u7p9</t>
  </si>
  <si>
    <t>Handwheel Velocity Threshold for LXA Activation when hands  are not on the wheel.</t>
  </si>
  <si>
    <t>{25, 24, 23, 22, 21, 20, 18, 16, 15, 14, 13, 12, 11, 10, 9}</t>
  </si>
  <si>
    <t>t_PsaSH_LxaHwAgCmdSatnX_Kph_u9p7[15]</t>
  </si>
  <si>
    <t>t_PsaSH_LxaHwAgCmdSatnX_Kph_u9p7</t>
  </si>
  <si>
    <t>t_PsaSH_LxaHwAgCmdSatnY_HwDeg_u16[15]</t>
  </si>
  <si>
    <t>t_PsaSH_LxaHwAgCmdSatnY_HwDeg_u16</t>
  </si>
  <si>
    <t>LXA Handwheel Angle Command Saturation</t>
  </si>
  <si>
    <t>{100, 100, 100, 100, 100, 100, 100, 100, 100, 100, 100, 100, 100, 100, 100}</t>
  </si>
  <si>
    <t>t2_PsaSH_LxaHwAgDetnCntrNStepY_Cnt_u16[9][8]</t>
  </si>
  <si>
    <t>t2_PsaSH_LxaHwAgDetnCntrNStepY_Cnt_u16</t>
  </si>
  <si>
    <t>t2_PsaSH_LxaHwAgDetnCntrPStepY_Cnt_u16[9][8]</t>
  </si>
  <si>
    <t>t2_PsaSH_LxaHwAgDetnCntrPStepY_Cnt_u16</t>
  </si>
  <si>
    <t>t2_PsaSH_LxaHwAgDetnCntrStepX_HwDeg_u11p5[9][8]</t>
  </si>
  <si>
    <t>t2_PsaSH_LxaHwAgDetnCntrStepX_HwDeg_u11p5</t>
  </si>
  <si>
    <t>{{0, 100, 300, 500, 700, 900, 1100, 1300}, {0, 100, 300, 500, 700, 900, 1100, 1300}, {0, 100, 300, 500, 700, 900, 1100, 1300}, {0, 100, 300, 500, 700, 900, 1100, 1300}, {0, 100, 300, 500, 700, 900, 1100, 1300}, {0, 100, 300, 500, 700, 900, 1100, 1300}, {0, 100, 300, 500, 700, 900, 1100, 1300}, {0, 100, 300, 500, 700, 900, 1100, 1300}, {0, 100, 300, 500, 700, 900, 1100, 1300}}</t>
  </si>
  <si>
    <t>t_PsaSH_LxaHwAgCmdRateX_Kph_u9p7[15]</t>
  </si>
  <si>
    <t>t_PsaSH_LxaHwAgCmdRateX_Kph_u9p7</t>
  </si>
  <si>
    <t>t_PsaSH_LxaHwAgCmdRateY_HwDegpS_u11p5[15]</t>
  </si>
  <si>
    <t>t_PsaSH_LxaHwAgCmdRateY_HwDegpS_u11p5</t>
  </si>
  <si>
    <t>LXA handwheel angle command rate</t>
  </si>
  <si>
    <t>{0.1, 0.1, 0.1, 0.1, 0.1, 0.1, 0.1, 0.1, 0.1, 0.1, 0.1, 0.1, 0.1, 0.1, 0.1}</t>
  </si>
  <si>
    <t>t_PsaSH_LxaHwAgThdX_Kph_u9p7[15]</t>
  </si>
  <si>
    <t>t_PsaSH_LxaHwAgThdX_Kph_u9p7</t>
  </si>
  <si>
    <t>Vehicle speed index to determine Handwheel Angle Threshold for LXA Activation</t>
  </si>
  <si>
    <t>t_PsaSH_LxaHwAgThdY_HwDeg_u16[15]</t>
  </si>
  <si>
    <t>t_PsaSH_LxaHwAgThdY_HwDeg_u16</t>
  </si>
  <si>
    <t>Handwheel Angle Threshold for LXA Activation</t>
  </si>
  <si>
    <t>t2_PsaSH_LxaHwVelDetnCntrNStepY_Cnt_u16[9][8]</t>
  </si>
  <si>
    <t>t2_PsaSH_LxaHwVelDetnCntrNStepY_Cnt_u16</t>
  </si>
  <si>
    <t>t2_PsaSH_LxaHwVelDetnCntrPStepY_Cnt_u16[9][8]</t>
  </si>
  <si>
    <t>t2_PsaSH_LxaHwVelDetnCntrPStepY_Cnt_u16</t>
  </si>
  <si>
    <t>t2_PsaSH_LxaHwVelDetnCntrStepX_HwRadpS_u5p11[9][8]</t>
  </si>
  <si>
    <t>t2_PsaSH_LxaHwVelDetnCntrStepX_HwRadpS_u5p11</t>
  </si>
  <si>
    <t>t_PsaSH_LxaVehSpdBndTbl_Kph_u9p7[9]</t>
  </si>
  <si>
    <t>t_PsaSH_LxaVehSpdBndTbl_Kph_u9p7</t>
  </si>
  <si>
    <t>Vehicle Speed Boundary Table</t>
  </si>
  <si>
    <t>{0, 25, 50, 75, 100, 125, 150, 175, 200}</t>
  </si>
  <si>
    <t>k_PsaSH_LxaDrvrIntvDetnThd_Uls_s08</t>
  </si>
  <si>
    <t>LXA driver intervention detection threshold</t>
  </si>
  <si>
    <t>k_PsaTA_APAEnableRate_UlspS_f32</t>
  </si>
  <si>
    <t>k_PsaTA_DisableRate_UlspS_f32</t>
  </si>
  <si>
    <t>k_PsaTA_FilterCutOff_Hz_f32</t>
  </si>
  <si>
    <t>k_PsaTA_LxaDiTranTi_Sec_f32</t>
  </si>
  <si>
    <t>k_PsaTA_LxaHwTrqFltMode_Cnt_str</t>
  </si>
  <si>
    <t>k_PsaTA_LxaHwTrqFltMode_Cnt_str.Pstep</t>
  </si>
  <si>
    <t>k_PsaTA_LxaHwTrqFltMode_Cnt_str.Nstep</t>
  </si>
  <si>
    <t>k_PsaTA_LxaHwVelFltMode_Cnt_str</t>
  </si>
  <si>
    <t>k_PsaTA_LxaHwVelFltMode_Cnt_str.Pstep</t>
  </si>
  <si>
    <t>k_PsaTA_LxaHwVelFltMode_Cnt_str.Nstep</t>
  </si>
  <si>
    <t>k_PsaTA_LxaMaxRate_UlspS_f32</t>
  </si>
  <si>
    <t>k_PsaTA_LxaOpTrqOvFltMode_Cnt_str</t>
  </si>
  <si>
    <t>k_PsaTA_LxaOpTrqOvFltMode_Cnt_str.Pstep</t>
  </si>
  <si>
    <t>k_PsaTA_LxaOpTrqOvFltMode_Cnt_str.Nstep</t>
  </si>
  <si>
    <t>k_PsaTA_LxaSftyMaxHwTorque_HwNm_f32</t>
  </si>
  <si>
    <t>k_PsaTA_MaxPosServoCmdSafety_MtrNm_f32</t>
  </si>
  <si>
    <t>k_PsaTA_MaxVehicleSpeedSafety_Kph_f32</t>
  </si>
  <si>
    <t>t_PsaTA_DisableRateX_HwNm_u11p5[6]</t>
  </si>
  <si>
    <t>t_PsaTA_DisableRateX_HwNm_u11p5</t>
  </si>
  <si>
    <t>t_PsaTA_DisableRateY_UlspS_u11p5[6]</t>
  </si>
  <si>
    <t>t_PsaTA_DisableRateY_UlspS_u11p5</t>
  </si>
  <si>
    <t>t_PsaTA_SmoothingX_Uls_u6p10[10]</t>
  </si>
  <si>
    <t>t_PsaTA_SmoothingX_Uls_u6p10</t>
  </si>
  <si>
    <t>t_PsaTA_SmoothingY_Uls_u6p10[10]</t>
  </si>
  <si>
    <t>t_PsaTA_SmoothingY_Uls_u6p10</t>
  </si>
  <si>
    <t>t_PsaTA_LxaHwVelSftyThdY_HwRadpS_u7p9[15]</t>
  </si>
  <si>
    <t>t_PsaTA_LxaHwVelSftyThdY_HwRadpS_u7p9</t>
  </si>
  <si>
    <t>t_PsaTA_LxaHwVelSftyThdX_Kph_u9p7[15]</t>
  </si>
  <si>
    <t>t_PsaTA_LxaHwVelSftyThdX_Kph_u9p7</t>
  </si>
  <si>
    <t>t_PsaTA_LxaOpTrqOvBndX_Kph_u9p7[10]</t>
  </si>
  <si>
    <t>t_PsaTA_LxaOpTrqOvBndX_Kph_u9p7</t>
  </si>
  <si>
    <t>t_PsaTA_LxaOpTrqOvBndY_MtrNm_u4p12[10]</t>
  </si>
  <si>
    <t>t_PsaTA_LxaOpTrqOvBndY_MtrNm_u4p12</t>
  </si>
  <si>
    <t>t_PsaTA_LxaOpTrqOvSftyBndY_MtrNm_u4p12[10]</t>
  </si>
  <si>
    <t>t_PsaTA_LxaOpTrqOvSftyBndY_MtrNm_u4p12</t>
  </si>
  <si>
    <t>t_PsaTA_LxaSmotngFactorX_Uls_u6p10[10]</t>
  </si>
  <si>
    <t>t_PsaTA_LxaSmotngFactorX_Uls_u6p10</t>
  </si>
  <si>
    <t>t_PsaTA_LxaSmotngFactorY_Uls_u6p10[10]</t>
  </si>
  <si>
    <t>t_PsaTA_LxaSmotngFactorY_Uls_u6p10</t>
  </si>
  <si>
    <t>t_PsaTA_LxaSmotngSftyFactorX_Kph_u9p7[10]</t>
  </si>
  <si>
    <t>t_PsaTA_LxaSmotngSftyFactorX_Kph_u9p7</t>
  </si>
  <si>
    <t>t_PsaTA_LxaSmotngSftyFactorY_Uls_u6p10[10]</t>
  </si>
  <si>
    <t>t_PsaTA_LxaSmotngSftyFactorY_Uls_u6p10</t>
  </si>
  <si>
    <t>k_PsaTA_LxaHwTrqRateFltMode_Cnt_str</t>
  </si>
  <si>
    <t>k_PsaTA_LxaHwTrqRateFltMode_Cnt_str.Pstep</t>
  </si>
  <si>
    <t>k_PsaTA_LxaHwTrqRateFltMode_Cnt_str.Nstep</t>
  </si>
  <si>
    <t>k_PsaTA_LxaHwTrqRateSftyThd_HwNmpS_f32</t>
  </si>
  <si>
    <t>k_PsaTA_ApaPosServFltMode_Cnt_str</t>
  </si>
  <si>
    <t>k_DmdDelestDaValidThresh_Uls_u16</t>
  </si>
  <si>
    <t>k_AUTORARRETMOTDAHwTrqThresh_HwNm_f32</t>
  </si>
  <si>
    <t>k_AUTORARRETMOTDAHwVelThresh_HwRadpS_f32</t>
  </si>
  <si>
    <t>k_AUTORARRETMOTDAHwPosThresh_HwDeg_f32</t>
  </si>
  <si>
    <t>k_AUTORARRETMOTDAValidThresh_mS_u16</t>
  </si>
  <si>
    <t>k_DDEREDEMDAHwTrqThresh_HwNm_f32</t>
  </si>
  <si>
    <t>k_DDEREDEMDAVehSpdThresh_Kph_f32</t>
  </si>
  <si>
    <t>k_DDEREDEMDAHwVelThresh_HwRadpS_f32</t>
  </si>
  <si>
    <t>k_STTdMinHwAuthority_Uls_f32</t>
  </si>
  <si>
    <t>k_DmdDelestVldTimeout_mS_u16</t>
  </si>
  <si>
    <t>STTd update (EA3#13267) SCIR Revision 3C
Updated default value for k_CDS34DMsgTimeout_mS_u16 (EA3#17852)</t>
  </si>
  <si>
    <t>k_DDEREDEMDAHwPosThresh_HwDeg_f32</t>
  </si>
  <si>
    <t>Integration of CMP_04.03.00. SCIR 2H</t>
  </si>
  <si>
    <t>Calibration parameters moved to the right memory zones (OEM visibility, Cal/TuningSet/Personality) (EA3#18194)</t>
  </si>
  <si>
    <t>CF098A SgmwTrqOvrlStMgr</t>
  </si>
  <si>
    <t>MB</t>
  </si>
  <si>
    <t>t2_PsaDSG_DampgCmdFacHwTqX_HwNm_u4p12[4][12]</t>
  </si>
  <si>
    <t>t2_PsaDSG_DampgCmdFacHwTqX_HwNm_u4p12</t>
  </si>
  <si>
    <t>Damping Command Factor Handwheel Torque X</t>
  </si>
  <si>
    <t>PSADSG</t>
  </si>
  <si>
    <t>CF096A PSADSG</t>
  </si>
  <si>
    <t>{{1, 1, 1, 1, 1, 1, 1, 1, 1, 1, 1, 1}, {1, 1, 1, 1, 1, 1, 1, 1, 1, 1, 1, 1}, {1, 1, 1, 1, 1, 1, 1, 1, 1, 1, 1, 1}, {1, 1, 1, 1, 1, 1, 1, 1, 1, 1, 1, 1}}</t>
  </si>
  <si>
    <t>t2_PsaDSG_DampgCmdFacY_Uls_u1p15[4][12]</t>
  </si>
  <si>
    <t>t2_PsaDSG_DampgCmdFacY_Uls_u1p15</t>
  </si>
  <si>
    <t>Damping Command Factor Y</t>
  </si>
  <si>
    <t>t_PsaDSG_DampgCmdFacVehSpdBndTbl_Kph_u9p7[4]</t>
  </si>
  <si>
    <t>t_PsaDSG_DampgCmdFacVehSpdBndTbl_Kph_u9p7</t>
  </si>
  <si>
    <t>Damping Command Factor Vehicle Speed Boundary Table</t>
  </si>
  <si>
    <t>{0, 50, 150, 250}</t>
  </si>
  <si>
    <t>k_PsaSH_ApaStatErr_Cnt_str.Threshold</t>
  </si>
  <si>
    <t>k_PsaSH_ApaStatErr_Cnt_str.Pstep</t>
  </si>
  <si>
    <t>k_PsaSH_LxaCorrnFacReqRate_UlspS_f32</t>
  </si>
  <si>
    <t>Lxa Corrcetion Factor Request Rate</t>
  </si>
  <si>
    <t>t2_PsaSH_LxaHwVelThdX_Kph_u9p7[8][9]</t>
  </si>
  <si>
    <t>t2_PsaSH_LxaHwVelThdX_Kph_u9p7</t>
  </si>
  <si>
    <t>X axis of the bilinear table in order to define the handwheel velocity threshold to disable Lxa function</t>
  </si>
  <si>
    <t>{{0, 40, 60, 80, 100, 120, 140, 160, 200}, {0, 40, 60, 80, 100, 120, 140, 160, 200}, {0, 40, 60, 80, 100, 120, 140, 160, 200}, {0, 40, 60, 80, 100, 120, 140, 160, 200}, {0, 40, 60, 80, 100, 120, 140, 160, 200}, {0, 40, 60, 80, 100, 120, 140, 160, 200}, {0, 40, 60, 80, 100, 120, 140, 160, 200}, {0, 40, 60, 80, 100, 120, 140, 160, 200}}</t>
  </si>
  <si>
    <t>t2_PsaSH_LxaHwVelThdY_HwRadpS_u7p9[8][9]</t>
  </si>
  <si>
    <t>t2_PsaSH_LxaHwVelThdY_HwRadpS_u7p9</t>
  </si>
  <si>
    <t>Lxa handwheel velocity threshold to disable Lxa</t>
  </si>
  <si>
    <t>{{25, 24, 23, 22, 21, 20, 18, 16, 15}, {25, 24, 23, 22, 21, 20, 18, 16, 15}, {25, 24, 23, 22, 21, 20, 18, 16, 15}, {25, 24, 23, 22, 21, 20, 18, 16, 15}, {25, 24, 23, 22, 21, 20, 18, 16, 15}, {25, 24, 23, 22, 21, 20, 18, 16, 15}, {25, 24, 23, 22, 21, 20, 18, 16, 15}, {25, 24, 23, 22, 21, 20, 18, 16, 15}}</t>
  </si>
  <si>
    <t>t_PsaSH_LxaHwTqBndTbl_HwNm_u5p11[8]</t>
  </si>
  <si>
    <t>t_PsaSH_LxaHwTqBndTbl_HwNm_u5p11</t>
  </si>
  <si>
    <t>Lxa Handwheel Torque Boundary Table</t>
  </si>
  <si>
    <t>{0, 0.601, 1, 1.199, 1.601, 2, 2.699, 10}</t>
  </si>
  <si>
    <t>t_PsaSH_LxaInactvRstTmrX_Kph_u9p7[3]</t>
  </si>
  <si>
    <t>t_PsaSH_LxaInactvRstTmrX_Kph_u9p7</t>
  </si>
  <si>
    <t>The Time to reset the Lxa Inactive on Driver Behavior signal</t>
  </si>
  <si>
    <t>{0, 10, 20}</t>
  </si>
  <si>
    <t>t_PsaSH_LxaInactvRstTmrY_Sec_u7p9[3]</t>
  </si>
  <si>
    <t>t_PsaSH_LxaInactvRstTmrY_Sec_u7p9</t>
  </si>
  <si>
    <t>{20, 15, 10}</t>
  </si>
  <si>
    <t>k_PsaTA_ApaPosServFltMode_Cnt_str.Threshold</t>
  </si>
  <si>
    <t>k_PsaTA_ApaPosServFltMode_Cnt_str.Pstep</t>
  </si>
  <si>
    <t>k_PsaTA_ApaPosServFltMode_Cnt_str.Nstep</t>
  </si>
  <si>
    <t>k_PsaTA_ApaPosnServoTran_Uls_f32</t>
  </si>
  <si>
    <t>Define the dead zone before applying the Apa smooting factor</t>
  </si>
  <si>
    <t>k_PsaTA_LxaHwTrqFltMode_Cnt_str.Threshold</t>
  </si>
  <si>
    <t>k_PsaTA_LxaHwTrqRateFltMode_Cnt_str.Threshold</t>
  </si>
  <si>
    <t>k_PsaTA_LxaHwVelFltMode_Cnt_str.Threshold</t>
  </si>
  <si>
    <t>k_PsaTA_LxaOpTrqOvFltMode_Cnt_str.Threshold</t>
  </si>
  <si>
    <t>PN counter Calibration in case the torque overlay cross the limit</t>
  </si>
  <si>
    <t>k_PsaTA_LxaPosnServoTran_Uls_f32</t>
  </si>
  <si>
    <t>Define the dead zone before applying the Lxa smooting factor</t>
  </si>
  <si>
    <t>{10, 1, 1}</t>
  </si>
  <si>
    <t>Maximum Smooth Rate During LXA Regulation</t>
  </si>
  <si>
    <t>PosServo PN counter Calibration</t>
  </si>
  <si>
    <t>Trantion time from enable to disable</t>
  </si>
  <si>
    <t>Maximum safety handwheel torque for activation of LXA</t>
  </si>
  <si>
    <t xml:space="preserve">Lxa Handwheel Velocity Safety Threshold X </t>
  </si>
  <si>
    <t>k_PosSrvo_PidLim_MtrNm_f32</t>
  </si>
  <si>
    <t>Limit the PID controler output (upper)</t>
  </si>
  <si>
    <t>t2_PrkAstPGainX_HwDeg_u12p4[9][7]</t>
  </si>
  <si>
    <t>t2_PosSrvo_PGainX_HwDeg_u12p4</t>
  </si>
  <si>
    <t>P gain for PID controler</t>
  </si>
  <si>
    <t>{{0, 0, 0, 0, 0, 0, 0}, {2, 2, 2, 2, 2, 2, 2}, {4, 4, 4, 4, 4, 4, 4}, {8, 8, 8, 8, 8, 8, 8}, {20, 20, 20, 20, 20, 20, 20}, {25, 25, 25, 25, 25, 25, 25}, {30, 30, 30, 30, 30, 30, 30}, {40, 40, 40, 40, 40, 40, 40}, {50, 50, 50, 50, 50, 50, 50}}</t>
  </si>
  <si>
    <t>k_PosSrvo_DTerm_Hz_f32</t>
  </si>
  <si>
    <t>Cut-off frequency for LPF for D-Term internal signal</t>
  </si>
  <si>
    <t>k_PosSrvo_EnaRate_UlspS_f32</t>
  </si>
  <si>
    <t>k_PosSrvo_HwTqFilFrq_Hz_f32</t>
  </si>
  <si>
    <t>Handwheel Torque Filter Frequency</t>
  </si>
  <si>
    <t>k_PosSrvo_TarHwTqFilFrq_Hz_f32</t>
  </si>
  <si>
    <t>Target Handwheel Torque Filter Frequency</t>
  </si>
  <si>
    <t>t_PrkAstITermAWLmtY_MtrNm_u9p7[9]</t>
  </si>
  <si>
    <t>t_PosSrvo_AntiWdupY_MtrNm_u9p7</t>
  </si>
  <si>
    <t>The Y table for Anti Windup of the integrator PID controler</t>
  </si>
  <si>
    <t>{2, 1.5, 1, 0.8, 0.7, 0.5, 0.3, 0.2, 0.1}</t>
  </si>
  <si>
    <t>t_PosSrvo_DampgTqX_MtrRadpS_u11p5</t>
  </si>
  <si>
    <t>The X table for Torque Damping</t>
  </si>
  <si>
    <t>t_PrkAstDGainY_MtrNmmSpHwDeg_u7p9[9]</t>
  </si>
  <si>
    <t>t_PosSrvo_DGainY_MtrNmpHwDegpmS_u7p9</t>
  </si>
  <si>
    <t>The derivative part''s gain of the PID controller</t>
  </si>
  <si>
    <t>{0.6, 0.6, 0.6, 0.6, 0.6, 0.6, 0.6, 0.6, 0.6}</t>
  </si>
  <si>
    <t>t_PosSrvo_DiRateX_HwNm_u11p5</t>
  </si>
  <si>
    <t>t_PosSrvo_DiRateY_UlspS_u12p4</t>
  </si>
  <si>
    <t>t_HwaRateLimit_HwDegpSec_u12p4[9]</t>
  </si>
  <si>
    <t>t_PosSrvo_HwAgRateLimY_HwDegpS_u12p4</t>
  </si>
  <si>
    <t>Handwheel Angle Rate Limit Y</t>
  </si>
  <si>
    <t>{600, 600, 600, 600, 600, 600, 600, 600, 600}</t>
  </si>
  <si>
    <t>t_PrkAstIGainY_MtrNmpHwDegS_u2p14[9]</t>
  </si>
  <si>
    <t>t_PosSrvo_IGainY_MtrNmpHwDegS_u2p14</t>
  </si>
  <si>
    <t>The Y table for I part of PID controler</t>
  </si>
  <si>
    <t>{0.3, 0.3, 0.3, 0.3, 0.3, 0.3, 0.3, 0.3, 0.3}</t>
  </si>
  <si>
    <t>t_PosSrvo_MaxCmdX_Kph_u9p7</t>
  </si>
  <si>
    <t>X table for interpolation determining the Servo Command limit</t>
  </si>
  <si>
    <t>{0, 2, 5, 10}</t>
  </si>
  <si>
    <t>t_PosSrvo_MaxCmdY_MtrNm_u5p11</t>
  </si>
  <si>
    <t>The X table for Vehicle Speed Limit</t>
  </si>
  <si>
    <t>t_PosSrvo_SmotngX_Uls_u6p10</t>
  </si>
  <si>
    <t>Smoothing X</t>
  </si>
  <si>
    <t>t_PosSrvo_SmotngY_Uls_u6p10</t>
  </si>
  <si>
    <t>Smoothing Y</t>
  </si>
  <si>
    <t>t_PrkAstVehSpdBS_Kph_u9p7[9]</t>
  </si>
  <si>
    <t>t_PosSrvo_VehSpdTblX_Kph_u9p7</t>
  </si>
  <si>
    <t>Table used for Vehicle Speed interpolation for PID controler</t>
  </si>
  <si>
    <t>{0, 2, 5, 6, 8, 10, 15, 20, 35}</t>
  </si>
  <si>
    <t>t2_PrkAstDmpTrqY_MtrNm_u4p12[9][13]</t>
  </si>
  <si>
    <t>t2_PosSrvo_DampgTqY_MtrNm_u4p12</t>
  </si>
  <si>
    <t>The Y table for Torque Damping</t>
  </si>
  <si>
    <t>{{0,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 {0, 0.35, 0.7, 1.1729, 1.2443, 1.3654, 1.5075, 1.6995, 1.8543, 2.1928, 2.9626, 3.3392, 3.6821}}</t>
  </si>
  <si>
    <t>t2_PrkAstPGainY_MtrNm_u9p7[9][7]</t>
  </si>
  <si>
    <t>t2_PosSrvo_PGainY_MtrNm_u9p7</t>
  </si>
  <si>
    <t>The Y table for P part of PID controler</t>
  </si>
  <si>
    <t>{{0, 0.09, 0.25, 0.74, 2.8, 3.2, 3.257}, {0, 0.09, 0.25, 0.74, 2.8, 3.2, 3.257}, {0, 0.09, 0.25, 0.74, 2.8, 3.2, 3.257}, {0, 0.09, 0.25, 0.74, 2.8, 3.2, 3.257}, {0, 0.09, 0.25, 0.74, 2.8, 3.2, 3.257}, {0, 0.09, 0.25, 0.74, 2.8, 3.2, 3.257}, {0, 0.09, 0.25, 0.74, 2.8, 3.2, 3.257}, {0, 0.09, 0.25, 0.74, 2.8, 3.2, 3.257}, {0, 0.09, 0.25, 0.74, 2.8, 3.2, 3.257}}</t>
  </si>
  <si>
    <t>CF099A SgmwTrqOvrlArbr</t>
  </si>
  <si>
    <t>k_STResetLatAcc_MpSecSq_f32</t>
  </si>
  <si>
    <t>k_PullCmp_STResetLatAcc_MpSecSq_f32</t>
  </si>
  <si>
    <t>Estimated Latera Accereleration Limit at which the short term compensation will reset to zero</t>
  </si>
  <si>
    <t>MpSecSq</t>
  </si>
  <si>
    <t>k_EnableLatAccMax_MpSecSq_f32</t>
  </si>
  <si>
    <t>k_PullCmp_EnableLatAccMax_MpSecSq_f32</t>
  </si>
  <si>
    <t>Maximum Estimated Lateral Acceleration allowed for learning to be enabled</t>
  </si>
  <si>
    <t>k_HwNmToMtrNm_MtrNmpHwNm_f32</t>
  </si>
  <si>
    <t>k_PullCmp_HwNmToMtrNm_MtrNmpHwNm_f32</t>
  </si>
  <si>
    <t>k_PullCmp_LTIntgtrStCorrnGain_Uls_f32</t>
  </si>
  <si>
    <t>Pull Compensation Long Term Integrator State Correction Gain</t>
  </si>
  <si>
    <t>k_PullCmp_STIntgtrStCorrnGain_Uls_f32</t>
  </si>
  <si>
    <t>Pull Compensation Short Term Integrator State Correction Gain</t>
  </si>
  <si>
    <t>k_PullCmp_HwTrqFilt_Hz_f32</t>
  </si>
  <si>
    <t>k_PullCmp_YawRateFilt_Hz_f32</t>
  </si>
  <si>
    <t>k_PullCmp_STResetHwTrq_HwNm_f32</t>
  </si>
  <si>
    <t>k_PullCmp_STResetHwPos_HwDeg_f32</t>
  </si>
  <si>
    <t>k_PullCmp_STResetYawRate_VehDegpS_f32</t>
  </si>
  <si>
    <t>k_PullCmp_EnableHwTrqMax_HwNm_f32</t>
  </si>
  <si>
    <t>k_PullCmp_EnableHwPosMax_HwDeg_f32</t>
  </si>
  <si>
    <t>k_PullCmp_EnableHwAuthMin_Uls_f32</t>
  </si>
  <si>
    <t>k_PullCmp_EnableHwVelMax_HwDegpS_f32</t>
  </si>
  <si>
    <t>k_PullCmp_EnableVehSpdRateMax_KphpS_f32</t>
  </si>
  <si>
    <t>k_PullCmp_EnableVehSpdMin_Kph_f32</t>
  </si>
  <si>
    <t>k_PullCmp_EnableVehSpdMax_Kph_f32</t>
  </si>
  <si>
    <t>k_PullCmp_EnableYawRateMax_VehDegpS_f32</t>
  </si>
  <si>
    <t>k_PullCmp_EnableTime_mS_u32</t>
  </si>
  <si>
    <t>k_PullCmp_STLimit_HwNm_f32</t>
  </si>
  <si>
    <t>k_PullCmp_STLearnTimeInc_Sec_f32</t>
  </si>
  <si>
    <t>k_PullCmp_STLearnTimeDec_Sec_f32</t>
  </si>
  <si>
    <t>k_PullCmp_STOppSignTime_mS_u32</t>
  </si>
  <si>
    <t>k_PullCmp_STRampTime_Sec_f32</t>
  </si>
  <si>
    <t>k_PullCmp_STIntInputLimit_HwNm_f32</t>
  </si>
  <si>
    <t>k_PullCmp_STFilt_Hz_f32</t>
  </si>
  <si>
    <t>k_PullCmp_FiltDeadband_HwNm_f32</t>
  </si>
  <si>
    <t>k_PullCmp_LTLimit_HwNm_f32</t>
  </si>
  <si>
    <t>k_PullCmp_LTLearnTime_Min_f32</t>
  </si>
  <si>
    <t>k_PullCmp_LTFilt_Hz_f32</t>
  </si>
  <si>
    <t>k_PullCmp_LTIntInputLimit_HwNm_f32</t>
  </si>
  <si>
    <t>k_PullCmp_TotalLimit_HwNm_f32</t>
  </si>
  <si>
    <t>t_PullCmp_VehSpdScaleTblX_Kph_u9p7[4]</t>
  </si>
  <si>
    <t>t_PullCmp_VehSpdScaleTblY_Uls_u2p14[4]</t>
  </si>
  <si>
    <t>k_PullCmp_OutputMaxRate_HwNmpS_f32</t>
  </si>
  <si>
    <t>k_VehDyn_NVMTestValHwPosValid_Cnt_lgc</t>
  </si>
  <si>
    <t>Test Value of NVM Handwheel Position Valid</t>
  </si>
  <si>
    <t>k_VehDyn_NVMTestValHwPos_HwDeg_f32</t>
  </si>
  <si>
    <t>Test Value of NVM Handwheel Position</t>
  </si>
  <si>
    <t>k_VehDyn_SerlCommSyncnHwAgLpFil_Hz_f32</t>
  </si>
  <si>
    <t>Cut-off frequency for LP filter for Serial Communication Handwheel Angle</t>
  </si>
  <si>
    <t>k_VehDyn_SerlCommSyncnKeepRecOffs_Cnt_lgc</t>
  </si>
  <si>
    <t>Define whether use recorded offset in case of large difference between Offset Runtime and Used Offset</t>
  </si>
  <si>
    <t>k_VehDyn_SerlCommSyncnMaxMotHwTqThd_HwNm_f32</t>
  </si>
  <si>
    <t>Threshold to determine if Synchronization method for Serial Communication Handwheel angle should be used</t>
  </si>
  <si>
    <t>k_VehDyn_SerlCommSyncnMaxMotVelThd_MtrRadpS_f32</t>
  </si>
  <si>
    <t>k_VehDyn_SerlCommSyncnMaxOffsRng_HwDeg_f32</t>
  </si>
  <si>
    <t>Determine if the offset shift is large enough to set the NTC</t>
  </si>
  <si>
    <t>k_VehDyn_SerlCommSyncnMaxPinionTqThd_HwNm_f32</t>
  </si>
  <si>
    <t>k_VehDyn_SerlCommSyncnTmrThd_mS_u16</t>
  </si>
  <si>
    <t>Time threshold for checking the vehicle conditions</t>
  </si>
  <si>
    <t>k_VehDyn_SerlCommSyncnUseSyncnMethod_Cnt_lgc</t>
  </si>
  <si>
    <t>Define whether use the Synchronization method or Pass Through method</t>
  </si>
  <si>
    <t>k_VehDyn_AutoCntrLoSpdTimer1MtrVel_MtrRadpS_f32</t>
  </si>
  <si>
    <t>k_VehDyn_AutoCntrLoSpdTimer1VehSpd_Kph_f32</t>
  </si>
  <si>
    <t>k_VehDyn_AutoCntrLoSpdTimer1PinTrq_HwNm_f32</t>
  </si>
  <si>
    <t>k_VehDyn_AutoCntrLoSpdTimer1_mS_u16</t>
  </si>
  <si>
    <t>k_VehDyn_AutoCntrLoSpdFilt1Kn_Hz_f32</t>
  </si>
  <si>
    <t>k_VehDyn_AutoCntrLoSpdCntrWindow_HwDeg_f32</t>
  </si>
  <si>
    <t>k_VehDyn_AutoCntrLoSpdFilt2Kn_Hz_f32</t>
  </si>
  <si>
    <t>k_VehDyn_AutoCntrLoSpdTimer2_mS_u16</t>
  </si>
  <si>
    <t>k_VehDyn_AutoCntrHiSpdTimer1MtrVel_MtrRadpS_f32</t>
  </si>
  <si>
    <t>k_VehDyn_AutoCntrHiSpdTimer1VehSpd_Kph_f32</t>
  </si>
  <si>
    <t>k_VehDyn_AutoCntrHiSpdTimer1PinTrq_HwNm_f32</t>
  </si>
  <si>
    <t>k_VehDyn_AutoCntrHiSpdTimer1_mS_u16</t>
  </si>
  <si>
    <t>k_VehDyn_AutoCntrHiSpdCntrWindow_HwDeg_f32</t>
  </si>
  <si>
    <t>k_VehDyn_AutoCntrHiSpdFilt2Kn_Hz_f32</t>
  </si>
  <si>
    <t>k_VehDyn_AutoCntrHiSpdTimer2_mS_u16</t>
  </si>
  <si>
    <t>k_VehDyn_AutoCntrHiSpdTimer4MtrVel_MtrRadpS_f32</t>
  </si>
  <si>
    <t>k_VehDyn_AutoCntrHiSpdTimer4VehSpd_Kph_f32</t>
  </si>
  <si>
    <t>k_VehDyn_AutoCntrHiSpdTimer4PinTrq_HwNm_f32</t>
  </si>
  <si>
    <t>k_VehDyn_AutoCntrHiSpdTimer4CntrWindow_HwDeg_f32</t>
  </si>
  <si>
    <t>k_VehDyn_AutoCntrHiSpdTimer4_mS_u16</t>
  </si>
  <si>
    <t>k_VehDyn_LoSpdVDAuthority_Uls_f32</t>
  </si>
  <si>
    <t>k_VehDyn_HiSpdVDAuthority_Uls_f32</t>
  </si>
  <si>
    <t>k_VehDyn_SLPEnableBFCheck_Cnt_lgc</t>
  </si>
  <si>
    <t>k_VehDyn_SLPHwAuthority_Uls_f32</t>
  </si>
  <si>
    <t>k_VehDyn_TravelXCDeadband_Uls_f32</t>
  </si>
  <si>
    <t>k_VehDyn_TravelXCHwAuthority_Uls_f32</t>
  </si>
  <si>
    <t>k_VehDyn_SLPMinHwAuthToStoreHwPos_Uls_f32</t>
  </si>
  <si>
    <t>k_VehDyn_HwTqMgnThd_HwNm_f32</t>
  </si>
  <si>
    <t>k_VehDyn_SrlHwAgVldTiThd_mS_u32</t>
  </si>
  <si>
    <t>k_EscActvVBattMin_Volt_f32</t>
  </si>
  <si>
    <t>DemIf</t>
  </si>
  <si>
    <t>k_EscActvVBattMax_Volt_f32</t>
  </si>
  <si>
    <t>k_EscActvTimeout_mS_u16</t>
  </si>
  <si>
    <t>k_BsiActvVBattMin_Volt_f32</t>
  </si>
  <si>
    <t>k_BsiActvVBattMax_Volt_f32</t>
  </si>
  <si>
    <t>k_BsiActvTimeout_mS_u16</t>
  </si>
  <si>
    <t>k_CavActvVBattMin_Volt_f32</t>
  </si>
  <si>
    <t>k_CavActvVBattMax_Volt_f32</t>
  </si>
  <si>
    <t>k_CavActvTimeout_mS_u16</t>
  </si>
  <si>
    <t>k_AasActvVBattMin_Volt_f32</t>
  </si>
  <si>
    <t>k_AasActvVBattMax_Volt_f32</t>
  </si>
  <si>
    <t>k_AasActvTimeout_mS_u16</t>
  </si>
  <si>
    <t>k_CmmActvVBattMin_Volt_f32</t>
  </si>
  <si>
    <t>k_CmmActvVBattMax_Volt_f32</t>
  </si>
  <si>
    <t>k_CmmActvTimeout_mS_u16</t>
  </si>
  <si>
    <t>Component integration for VC2 sprint 2
Initial Version of CF96A PSADSG integration
Update of CF14 and CF14 - LXA CPK fix
Update of SF20 rev. 005.1
Update of SF13 6.5.1
Update of SF 42 9.0.0</t>
  </si>
  <si>
    <t>CTC Inhibition EA3#13329</t>
  </si>
  <si>
    <t>k_Aas2EBMsgTimeout_mS_u16</t>
  </si>
  <si>
    <t>k_Bsi3F2MsgTimeout_mS_u16</t>
  </si>
  <si>
    <t>k_Bsi412MsgTimeout_mS_u16</t>
  </si>
  <si>
    <t>k_Bsi432MsgTimeout_mS_u16</t>
  </si>
  <si>
    <t>k_Bsi552MsgTimeout_mS_u16</t>
  </si>
  <si>
    <t>k_Bsi572MsgTimeout_mS_u16</t>
  </si>
  <si>
    <t>k_Cav305MsgTimeout_mS_u16</t>
  </si>
  <si>
    <t>k_ComputerRazGCTSigInvalidTimeout_mS_u16</t>
  </si>
  <si>
    <t>k_CptTemporelSigInvalidTimeout_mS_u16</t>
  </si>
  <si>
    <t>k_DateValidSigInvalidTimeout_mS_u16</t>
  </si>
  <si>
    <t>k_Emn208MsgTimeout_mS_u16</t>
  </si>
  <si>
    <t>k_Emn348MsgTimeout_mS_u16</t>
  </si>
  <si>
    <t>k_Esc38DMsgTimeout_mS_u16</t>
  </si>
  <si>
    <t>k_Esc3CDMsgTimeout_mS_u16</t>
  </si>
  <si>
    <t>k_Esc5CDMsgTimeout_mS_u16</t>
  </si>
  <si>
    <t>TCONF_OFFSET_DEF</t>
  </si>
  <si>
    <t xml:space="preserve">Removed Node Absent NTCs EA3#19032
CpkOk driven by NTCs. EA3#18158 
Clean up in SrlCom calibration. EA3#19033 </t>
  </si>
  <si>
    <t>PSA Turns Couter Spec Update V3.1 (CF39) EA3#18159</t>
  </si>
  <si>
    <t>k_OffsetValidThresh_Cnt_u16</t>
  </si>
  <si>
    <t>NTC 18F</t>
  </si>
  <si>
    <t>k_OffsetInvalidThresh_Cnt_u16</t>
  </si>
  <si>
    <t>CF098B SgmwTrqOvrlStMgr</t>
  </si>
  <si>
    <t>CF099B SgmwTrqOvrlArbr</t>
  </si>
  <si>
    <t>Calibration zone fixes - EA3#18797, EA3#18760, EA3#19447</t>
  </si>
  <si>
    <t>ES34E ePWM Subsystem</t>
  </si>
  <si>
    <t>Merged with PSATA 5.1.0 DD</t>
  </si>
  <si>
    <t>k_LoaMgr_SnsrlsMotAgAvail_Cnt_lgc</t>
  </si>
  <si>
    <t>The calibration that influences MotAgResp when MotPosnActvMin is different that 2 or 3. When True MotAgResp is set to proper calibration.</t>
  </si>
  <si>
    <t>Merged with SF49 4.3.0 and ES49 008.0 DDs</t>
  </si>
  <si>
    <t>k_DiagHandwheelAuthority_Uls_f32</t>
  </si>
  <si>
    <t>Added calib param for UDS$22 DID D40D EA3#19511
ID_TLC default value set to 3 EA3#19446</t>
  </si>
  <si>
    <t>Added k_VehSpdInit_Kph_f32 calibration in SrlComInput EA3#19911</t>
  </si>
  <si>
    <t>k_VehSpdInit_Kph_f32</t>
  </si>
  <si>
    <t>Init vehicle speed</t>
  </si>
  <si>
    <t>Clean up in SrlComInput (3 unused calibs removed) EA3#20171</t>
  </si>
  <si>
    <t>CF102A FordSteerDataColl</t>
  </si>
  <si>
    <t>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</si>
  <si>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SER, SER, SER, SER, SER, SER, SER, SER, SER, SER, SER, SER, SER, SER, SER, SER, SER, SER, SER, SER</t>
  </si>
  <si>
    <t>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t>
  </si>
  <si>
    <t>k_PsaSH_LxaCorrnFacThd_Uls_f32</t>
  </si>
  <si>
    <t>Threshold for the Lxa Correction factor to stop Lxa regulation</t>
  </si>
  <si>
    <t>t_PsaSH_ApaHwAgCmdRateX_Kph_u9p7[15]</t>
  </si>
  <si>
    <t>t_PsaSH_ApaHwAgCmdRateX_Kph_u9p7</t>
  </si>
  <si>
    <t>t_PsaSH_ApaHwAgCmdRateY_HwDegpS_u11p5[15]</t>
  </si>
  <si>
    <t>t_PsaSH_ApaHwAgCmdRateY_HwDegpS_u11p5</t>
  </si>
  <si>
    <t>LXA handwheel angle command rate'</t>
  </si>
  <si>
    <t>CF13 8.3.0 integration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</si>
</sst>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18"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
      <sz val="10"/>
      <name val="Arial"/>
      <family val="2"/>
      <charset val="238"/>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6">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305">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3" fillId="0" borderId="17" xfId="0" applyFont="1" applyFill="1" applyBorder="1" applyAlignment="1">
      <alignment horizontal="center" vertical="top"/>
    </xf>
    <xf numFmtId="0" fontId="3" fillId="0" borderId="0" xfId="0" applyFont="1" applyFill="1" applyBorder="1" applyAlignment="1">
      <alignment horizontal="center" vertical="top"/>
    </xf>
    <xf numFmtId="0" fontId="3" fillId="0" borderId="18" xfId="0" applyFont="1" applyFill="1" applyBorder="1" applyAlignment="1">
      <alignment horizontal="center" vertical="top"/>
    </xf>
    <xf numFmtId="0" fontId="6" fillId="0" borderId="17" xfId="0" applyFont="1" applyFill="1" applyBorder="1" applyAlignment="1">
      <alignment horizontal="center" vertical="top"/>
    </xf>
    <xf numFmtId="0" fontId="6" fillId="0" borderId="0" xfId="0" applyFont="1" applyFill="1" applyBorder="1" applyAlignment="1">
      <alignment horizontal="center" vertical="top"/>
    </xf>
    <xf numFmtId="0" fontId="6" fillId="0" borderId="18" xfId="0" applyFont="1" applyFill="1" applyBorder="1" applyAlignment="1">
      <alignment horizontal="center" vertical="top"/>
    </xf>
    <xf numFmtId="0" fontId="8" fillId="0" borderId="17" xfId="0" applyFont="1" applyFill="1" applyBorder="1" applyAlignment="1">
      <alignment horizontal="center" vertical="top"/>
    </xf>
    <xf numFmtId="0" fontId="8" fillId="0" borderId="0" xfId="0" applyFont="1" applyFill="1" applyBorder="1" applyAlignment="1">
      <alignment horizontal="center" vertical="top"/>
    </xf>
    <xf numFmtId="0" fontId="8" fillId="0" borderId="18" xfId="0" applyFont="1" applyFill="1" applyBorder="1" applyAlignment="1">
      <alignment horizontal="center" vertical="top"/>
    </xf>
    <xf numFmtId="0" fontId="2" fillId="3" borderId="19" xfId="0" applyFont="1" applyFill="1" applyBorder="1" applyAlignment="1">
      <alignment horizontal="center"/>
    </xf>
    <xf numFmtId="0" fontId="10" fillId="0" borderId="0" xfId="0" applyFont="1" applyFill="1" applyBorder="1" applyAlignment="1">
      <alignment horizontal="center" vertical="top"/>
    </xf>
    <xf numFmtId="0" fontId="6" fillId="0" borderId="20" xfId="0" applyFont="1" applyFill="1" applyBorder="1" applyAlignment="1">
      <alignment horizontal="center" vertical="top"/>
    </xf>
    <xf numFmtId="0" fontId="6" fillId="0" borderId="21" xfId="0" applyFont="1" applyFill="1" applyBorder="1" applyAlignment="1">
      <alignment horizontal="center" vertical="top"/>
    </xf>
    <xf numFmtId="0" fontId="6" fillId="0" borderId="22"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7" xfId="0" applyFont="1" applyFill="1" applyBorder="1" applyAlignment="1">
      <alignment horizontal="center"/>
    </xf>
    <xf numFmtId="0" fontId="6" fillId="0" borderId="0" xfId="0" applyFont="1" applyFill="1" applyBorder="1" applyAlignment="1">
      <alignment horizontal="center"/>
    </xf>
    <xf numFmtId="0" fontId="6" fillId="0" borderId="18" xfId="0" applyFont="1" applyFill="1" applyBorder="1" applyAlignment="1">
      <alignment horizontal="center"/>
    </xf>
    <xf numFmtId="0" fontId="6" fillId="0" borderId="23" xfId="0" applyFont="1" applyFill="1" applyBorder="1" applyAlignment="1">
      <alignment horizontal="center"/>
    </xf>
    <xf numFmtId="0" fontId="6" fillId="0" borderId="24" xfId="0" applyFont="1" applyFill="1" applyBorder="1" applyAlignment="1">
      <alignment horizontal="center"/>
    </xf>
    <xf numFmtId="0" fontId="6" fillId="0" borderId="25" xfId="0" applyFont="1" applyFill="1" applyBorder="1" applyAlignment="1">
      <alignment horizontal="center"/>
    </xf>
    <xf numFmtId="0" fontId="4" fillId="3" borderId="26" xfId="0" applyFont="1" applyFill="1" applyBorder="1" applyAlignment="1">
      <alignment horizontal="center"/>
    </xf>
    <xf numFmtId="0" fontId="3" fillId="0" borderId="27" xfId="0" applyFont="1" applyFill="1" applyBorder="1" applyAlignment="1">
      <alignment horizontal="center" wrapText="1"/>
    </xf>
    <xf numFmtId="0" fontId="3"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36"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37" xfId="0" applyNumberFormat="1" applyFont="1" applyFill="1" applyBorder="1" applyAlignment="1">
      <alignment horizontal="center" textRotation="90"/>
    </xf>
    <xf numFmtId="0" fontId="6"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6" fillId="0" borderId="43" xfId="0" applyFont="1" applyFill="1" applyBorder="1" applyAlignment="1">
      <alignment horizontal="center" textRotation="90"/>
    </xf>
    <xf numFmtId="0" fontId="3" fillId="0" borderId="24"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26" xfId="2" applyFont="1" applyFill="1" applyBorder="1" applyAlignment="1">
      <alignment horizontal="center"/>
    </xf>
    <xf numFmtId="0" fontId="4" fillId="3" borderId="44"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3" fillId="0" borderId="19" xfId="2" applyFont="1" applyBorder="1" applyAlignment="1">
      <alignment wrapText="1"/>
    </xf>
    <xf numFmtId="0" fontId="3" fillId="0" borderId="45" xfId="2" applyFont="1" applyBorder="1" applyAlignment="1">
      <alignment wrapText="1"/>
    </xf>
    <xf numFmtId="0" fontId="3" fillId="0" borderId="45" xfId="2" applyFont="1" applyBorder="1" applyAlignment="1">
      <alignment horizontal="center" wrapText="1"/>
    </xf>
    <xf numFmtId="0" fontId="3" fillId="0" borderId="44" xfId="2" applyFont="1" applyBorder="1" applyAlignment="1">
      <alignment horizontal="center" wrapText="1"/>
    </xf>
    <xf numFmtId="0" fontId="3" fillId="0" borderId="45" xfId="2" applyFont="1" applyBorder="1" applyAlignment="1">
      <alignment horizontal="center" vertical="top" wrapText="1"/>
    </xf>
    <xf numFmtId="0" fontId="3" fillId="0" borderId="45" xfId="2" applyNumberFormat="1" applyFont="1" applyBorder="1" applyAlignment="1">
      <alignment horizontal="center" wrapText="1"/>
    </xf>
    <xf numFmtId="0" fontId="1" fillId="0" borderId="46" xfId="2" applyFont="1" applyBorder="1"/>
    <xf numFmtId="0" fontId="1" fillId="0" borderId="47" xfId="2" applyFont="1" applyBorder="1"/>
    <xf numFmtId="0" fontId="1" fillId="0" borderId="46" xfId="2" applyFont="1" applyBorder="1" applyAlignment="1">
      <alignment horizontal="center"/>
    </xf>
    <xf numFmtId="0" fontId="1" fillId="0" borderId="47"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0" xfId="0" applyFont="1" applyFill="1" applyBorder="1" applyAlignment="1">
      <alignment horizontal="right" vertical="top"/>
    </xf>
    <xf numFmtId="0" fontId="3" fillId="0" borderId="11" xfId="2" applyFont="1" applyBorder="1" applyAlignment="1">
      <alignment wrapText="1"/>
    </xf>
    <xf numFmtId="0" fontId="3" fillId="0" borderId="21"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28"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18" xfId="2" applyFont="1" applyBorder="1" applyAlignment="1">
      <alignment horizontal="center" wrapText="1"/>
    </xf>
    <xf numFmtId="0" fontId="3" fillId="0" borderId="14" xfId="2" applyFont="1" applyBorder="1" applyAlignment="1">
      <alignment horizontal="center" wrapText="1"/>
    </xf>
    <xf numFmtId="0" fontId="3" fillId="0" borderId="24" xfId="2" applyFont="1" applyBorder="1" applyAlignment="1">
      <alignment horizontal="center" wrapText="1"/>
    </xf>
    <xf numFmtId="0" fontId="3" fillId="0" borderId="15" xfId="2" applyFont="1" applyBorder="1" applyAlignment="1">
      <alignment horizontal="center" wrapText="1"/>
    </xf>
    <xf numFmtId="0" fontId="3" fillId="0" borderId="27" xfId="2" applyFont="1" applyBorder="1" applyAlignment="1">
      <alignment horizontal="center" wrapText="1"/>
    </xf>
    <xf numFmtId="0" fontId="3" fillId="0" borderId="48" xfId="2" applyFont="1" applyBorder="1" applyAlignment="1">
      <alignment horizontal="center" wrapText="1"/>
    </xf>
    <xf numFmtId="0" fontId="3" fillId="0" borderId="49" xfId="2" applyNumberFormat="1" applyFont="1" applyBorder="1" applyAlignment="1">
      <alignment horizontal="center" wrapText="1"/>
    </xf>
    <xf numFmtId="0" fontId="3" fillId="0" borderId="25" xfId="2" applyFont="1" applyBorder="1" applyAlignment="1">
      <alignment horizontal="center" wrapText="1"/>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24"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1" fillId="0" borderId="55" xfId="0" applyFont="1" applyFill="1" applyBorder="1" applyAlignment="1">
      <alignment vertical="center" wrapText="1"/>
    </xf>
    <xf numFmtId="0" fontId="1" fillId="0" borderId="51" xfId="0" applyFont="1" applyFill="1" applyBorder="1" applyAlignment="1">
      <alignment vertical="center" wrapText="1"/>
    </xf>
    <xf numFmtId="0" fontId="1" fillId="0" borderId="50"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55" xfId="0" applyFont="1" applyFill="1" applyBorder="1" applyAlignment="1">
      <alignment vertical="center"/>
    </xf>
    <xf numFmtId="0" fontId="1" fillId="0" borderId="56" xfId="0" applyFont="1" applyFill="1" applyBorder="1" applyAlignment="1">
      <alignment vertical="center"/>
    </xf>
    <xf numFmtId="0" fontId="1" fillId="0" borderId="56" xfId="0" applyFont="1" applyFill="1" applyBorder="1" applyAlignment="1">
      <alignment vertical="center" wrapText="1"/>
    </xf>
    <xf numFmtId="0" fontId="1" fillId="0" borderId="57" xfId="0" applyFont="1" applyFill="1" applyBorder="1" applyAlignment="1">
      <alignment vertical="center"/>
    </xf>
    <xf numFmtId="6" fontId="1" fillId="0" borderId="54" xfId="0" applyNumberFormat="1" applyFont="1" applyFill="1" applyBorder="1" applyAlignment="1">
      <alignment horizontal="center" vertical="center" wrapText="1"/>
    </xf>
    <xf numFmtId="0" fontId="8" fillId="0" borderId="51" xfId="0" applyFont="1" applyFill="1" applyBorder="1" applyAlignment="1">
      <alignment vertical="center" wrapText="1"/>
    </xf>
    <xf numFmtId="0" fontId="1" fillId="0" borderId="2" xfId="0" applyFont="1" applyFill="1" applyBorder="1" applyAlignment="1">
      <alignment vertical="center"/>
    </xf>
    <xf numFmtId="0" fontId="3" fillId="0" borderId="55" xfId="0" applyFont="1" applyFill="1" applyBorder="1" applyAlignment="1">
      <alignment vertical="center"/>
    </xf>
    <xf numFmtId="0" fontId="1" fillId="0" borderId="55" xfId="0" applyFont="1" applyFill="1" applyBorder="1" applyAlignment="1">
      <alignment horizontal="center" vertical="center" wrapText="1"/>
    </xf>
    <xf numFmtId="0" fontId="1" fillId="0" borderId="50" xfId="0" applyFont="1" applyFill="1" applyBorder="1" applyAlignment="1">
      <alignment vertical="center"/>
    </xf>
    <xf numFmtId="0" fontId="1" fillId="0" borderId="53" xfId="0" applyFont="1" applyFill="1" applyBorder="1" applyAlignment="1">
      <alignment vertical="center"/>
    </xf>
    <xf numFmtId="0" fontId="1" fillId="0" borderId="54" xfId="0" applyNumberFormat="1" applyFont="1" applyFill="1" applyBorder="1" applyAlignment="1">
      <alignment horizontal="center" vertical="center" wrapText="1"/>
    </xf>
    <xf numFmtId="0" fontId="3" fillId="0" borderId="57" xfId="0" applyFont="1" applyFill="1" applyBorder="1" applyAlignment="1">
      <alignment vertical="center" wrapText="1"/>
    </xf>
    <xf numFmtId="0" fontId="1" fillId="0" borderId="54" xfId="0" quotePrefix="1" applyFont="1" applyFill="1" applyBorder="1" applyAlignment="1">
      <alignment horizontal="center" vertical="center" wrapText="1"/>
    </xf>
    <xf numFmtId="0" fontId="13" fillId="0" borderId="56" xfId="0" applyFont="1" applyFill="1" applyBorder="1" applyAlignment="1">
      <alignment vertical="center" wrapText="1"/>
    </xf>
    <xf numFmtId="0" fontId="9" fillId="0" borderId="56" xfId="0" applyFont="1" applyFill="1" applyBorder="1" applyAlignment="1">
      <alignment vertical="center"/>
    </xf>
    <xf numFmtId="0" fontId="3" fillId="0" borderId="56" xfId="0" applyFont="1" applyFill="1" applyBorder="1" applyAlignment="1">
      <alignment vertical="center"/>
    </xf>
    <xf numFmtId="0" fontId="8" fillId="0" borderId="50" xfId="0" applyFont="1" applyFill="1" applyBorder="1" applyAlignment="1">
      <alignment horizontal="center" vertical="center" wrapText="1"/>
    </xf>
    <xf numFmtId="0" fontId="3" fillId="0" borderId="58" xfId="2" applyFont="1" applyBorder="1" applyAlignment="1">
      <alignment horizontal="center" wrapText="1"/>
    </xf>
    <xf numFmtId="0" fontId="7" fillId="2" borderId="20" xfId="2" applyFont="1" applyFill="1" applyBorder="1" applyAlignment="1">
      <alignment horizontal="left"/>
    </xf>
    <xf numFmtId="0" fontId="7" fillId="2" borderId="21" xfId="2" applyFont="1" applyFill="1" applyBorder="1" applyAlignment="1">
      <alignment horizontal="left"/>
    </xf>
    <xf numFmtId="0" fontId="1" fillId="2" borderId="21" xfId="2" applyFont="1" applyFill="1" applyBorder="1" applyAlignment="1">
      <alignment wrapText="1"/>
    </xf>
    <xf numFmtId="0" fontId="1" fillId="2" borderId="21" xfId="2" applyFont="1" applyFill="1" applyBorder="1" applyAlignment="1">
      <alignment horizontal="center" wrapText="1"/>
    </xf>
    <xf numFmtId="0" fontId="1" fillId="2" borderId="21" xfId="2" applyFont="1" applyFill="1" applyBorder="1" applyAlignment="1">
      <alignment horizontal="center"/>
    </xf>
    <xf numFmtId="0" fontId="1" fillId="2" borderId="21" xfId="2" applyNumberFormat="1" applyFont="1" applyFill="1" applyBorder="1" applyAlignment="1">
      <alignment horizontal="center"/>
    </xf>
    <xf numFmtId="0" fontId="1" fillId="0" borderId="54" xfId="2" applyFont="1" applyBorder="1" applyAlignment="1" applyProtection="1">
      <alignment horizontal="left" vertical="top" wrapText="1"/>
      <protection locked="0"/>
    </xf>
    <xf numFmtId="0" fontId="1" fillId="0" borderId="51" xfId="2" applyFont="1" applyBorder="1" applyAlignment="1" applyProtection="1">
      <alignment horizontal="left" vertical="top" wrapText="1"/>
      <protection locked="0"/>
    </xf>
    <xf numFmtId="0" fontId="4" fillId="0" borderId="51" xfId="2" applyFont="1" applyBorder="1" applyAlignment="1" applyProtection="1">
      <alignment horizontal="left" vertical="top" wrapText="1"/>
      <protection locked="0"/>
    </xf>
    <xf numFmtId="0" fontId="4" fillId="0" borderId="51" xfId="2" applyNumberFormat="1" applyFont="1" applyBorder="1" applyAlignment="1" applyProtection="1">
      <alignment horizontal="left" vertical="top" wrapText="1"/>
      <protection locked="0"/>
    </xf>
    <xf numFmtId="0" fontId="4" fillId="0" borderId="62" xfId="2" applyFont="1" applyBorder="1" applyAlignment="1" applyProtection="1">
      <alignment horizontal="left" vertical="top" wrapText="1"/>
      <protection locked="0"/>
    </xf>
    <xf numFmtId="0" fontId="1" fillId="0" borderId="63" xfId="2" applyFont="1" applyBorder="1" applyAlignment="1" applyProtection="1">
      <alignment horizontal="left" vertical="top" wrapText="1"/>
      <protection locked="0"/>
    </xf>
    <xf numFmtId="0" fontId="1" fillId="0" borderId="64" xfId="2" applyFont="1" applyBorder="1" applyAlignment="1" applyProtection="1">
      <alignment horizontal="left" vertical="top" wrapText="1"/>
      <protection locked="0"/>
    </xf>
    <xf numFmtId="0" fontId="4" fillId="0" borderId="64" xfId="2" applyFont="1" applyBorder="1" applyAlignment="1" applyProtection="1">
      <alignment horizontal="left" vertical="top" wrapText="1"/>
      <protection locked="0"/>
    </xf>
    <xf numFmtId="0" fontId="4" fillId="0" borderId="64" xfId="2" applyNumberFormat="1" applyFont="1" applyBorder="1" applyAlignment="1" applyProtection="1">
      <alignment horizontal="left" vertical="top" wrapText="1"/>
      <protection locked="0"/>
    </xf>
    <xf numFmtId="0" fontId="4" fillId="0" borderId="65" xfId="2" applyFont="1" applyBorder="1" applyAlignment="1" applyProtection="1">
      <alignment horizontal="left" vertical="top" wrapText="1"/>
      <protection locked="0"/>
    </xf>
    <xf numFmtId="49" fontId="4" fillId="0" borderId="0" xfId="0" applyNumberFormat="1" applyFont="1" applyFill="1" applyBorder="1" applyAlignment="1" applyProtection="1">
      <alignment vertical="top"/>
      <protection locked="0"/>
    </xf>
    <xf numFmtId="0" fontId="4" fillId="0" borderId="2" xfId="0" applyFont="1" applyBorder="1" applyAlignment="1">
      <alignment horizontal="center" vertical="center"/>
    </xf>
    <xf numFmtId="0" fontId="4" fillId="0" borderId="2" xfId="0" applyFont="1" applyBorder="1" applyAlignment="1">
      <alignment vertical="center" wrapText="1"/>
    </xf>
    <xf numFmtId="0" fontId="1" fillId="0" borderId="6" xfId="2" applyFont="1" applyBorder="1" applyAlignment="1" applyProtection="1">
      <alignment vertical="center" wrapText="1"/>
      <protection locked="0"/>
    </xf>
    <xf numFmtId="0" fontId="3" fillId="0" borderId="19" xfId="2" applyFont="1" applyBorder="1" applyAlignment="1">
      <alignment horizontal="center" wrapText="1"/>
    </xf>
    <xf numFmtId="0" fontId="3" fillId="0" borderId="10" xfId="2" applyFont="1" applyBorder="1" applyAlignment="1">
      <alignment horizontal="center" wrapText="1"/>
    </xf>
    <xf numFmtId="0" fontId="4" fillId="0" borderId="0" xfId="2" applyFont="1" applyFill="1" applyAlignment="1" applyProtection="1">
      <alignment horizontal="left"/>
      <protection locked="0"/>
    </xf>
    <xf numFmtId="0" fontId="4" fillId="0" borderId="0" xfId="2" applyFill="1" applyProtection="1">
      <protection locked="0"/>
    </xf>
    <xf numFmtId="0" fontId="17" fillId="0" borderId="0" xfId="0" applyFont="1"/>
    <xf numFmtId="0" fontId="1" fillId="0" borderId="54" xfId="2" applyFont="1" applyFill="1" applyBorder="1" applyAlignment="1" applyProtection="1">
      <alignment horizontal="left" vertical="center" wrapText="1"/>
      <protection locked="0"/>
    </xf>
    <xf numFmtId="0" fontId="1" fillId="0" borderId="6" xfId="2" applyFont="1" applyFill="1" applyBorder="1" applyAlignment="1" applyProtection="1">
      <alignment vertical="center" wrapText="1"/>
      <protection locked="0"/>
    </xf>
    <xf numFmtId="0" fontId="1" fillId="0" borderId="53" xfId="2" applyFont="1" applyFill="1" applyBorder="1" applyAlignment="1" applyProtection="1">
      <alignment vertical="center"/>
      <protection locked="0"/>
    </xf>
    <xf numFmtId="0" fontId="1" fillId="0" borderId="51" xfId="2" applyFont="1" applyFill="1" applyBorder="1" applyAlignment="1" applyProtection="1">
      <alignment vertical="center" wrapText="1"/>
      <protection locked="0"/>
    </xf>
    <xf numFmtId="0" fontId="1" fillId="0" borderId="51" xfId="2" applyFont="1" applyFill="1" applyBorder="1" applyAlignment="1" applyProtection="1">
      <alignment horizontal="center" vertical="center" wrapText="1"/>
      <protection locked="0"/>
    </xf>
    <xf numFmtId="0" fontId="1" fillId="0" borderId="50" xfId="2" applyFont="1" applyFill="1" applyBorder="1" applyAlignment="1" applyProtection="1">
      <alignment horizontal="center" vertical="center" wrapText="1"/>
      <protection locked="0"/>
    </xf>
    <xf numFmtId="0" fontId="1" fillId="0" borderId="52" xfId="2" applyFont="1" applyFill="1" applyBorder="1" applyAlignment="1" applyProtection="1">
      <alignment horizontal="center" vertical="center"/>
      <protection locked="0"/>
    </xf>
    <xf numFmtId="0" fontId="1" fillId="0" borderId="3" xfId="2" applyFont="1" applyFill="1" applyBorder="1" applyAlignment="1" applyProtection="1">
      <alignment horizontal="center" vertical="center"/>
      <protection locked="0"/>
    </xf>
    <xf numFmtId="0" fontId="4" fillId="0" borderId="0" xfId="2" applyFont="1" applyFill="1" applyAlignment="1">
      <alignment horizontal="left"/>
    </xf>
    <xf numFmtId="0" fontId="4" fillId="0" borderId="0" xfId="2" applyFill="1"/>
    <xf numFmtId="0" fontId="1" fillId="0" borderId="53" xfId="2" applyFont="1" applyFill="1" applyBorder="1" applyAlignment="1" applyProtection="1">
      <alignment wrapText="1"/>
      <protection locked="0"/>
    </xf>
    <xf numFmtId="0" fontId="1" fillId="0" borderId="51" xfId="2" applyFont="1" applyFill="1" applyBorder="1" applyAlignment="1" applyProtection="1">
      <alignment vertical="top" wrapText="1"/>
      <protection locked="0"/>
    </xf>
    <xf numFmtId="0" fontId="1" fillId="0" borderId="6" xfId="2" applyFont="1" applyFill="1" applyBorder="1" applyAlignment="1" applyProtection="1">
      <alignment vertical="center"/>
      <protection locked="0"/>
    </xf>
    <xf numFmtId="0" fontId="1" fillId="0" borderId="53" xfId="2" applyFont="1" applyFill="1" applyBorder="1" applyAlignment="1" applyProtection="1">
      <alignment vertical="center" wrapText="1"/>
      <protection locked="0"/>
    </xf>
    <xf numFmtId="0" fontId="1" fillId="0" borderId="53" xfId="2" applyFont="1" applyFill="1" applyBorder="1" applyProtection="1">
      <protection locked="0"/>
    </xf>
    <xf numFmtId="0" fontId="17" fillId="0" borderId="2" xfId="0" applyFont="1" applyBorder="1" applyAlignment="1">
      <alignment horizontal="center" vertical="center"/>
    </xf>
    <xf numFmtId="0" fontId="17" fillId="0" borderId="2" xfId="0" applyFont="1" applyBorder="1" applyAlignment="1">
      <alignment wrapText="1"/>
    </xf>
    <xf numFmtId="0" fontId="0" fillId="0" borderId="2" xfId="0" applyBorder="1" applyAlignment="1">
      <alignment wrapText="1"/>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5" fillId="8" borderId="14" xfId="0" applyFont="1" applyFill="1" applyBorder="1" applyAlignment="1" applyProtection="1">
      <alignment horizontal="center" vertical="center" wrapText="1"/>
      <protection locked="0"/>
    </xf>
    <xf numFmtId="0" fontId="5" fillId="8" borderId="24" xfId="0" applyFont="1" applyFill="1" applyBorder="1" applyAlignment="1" applyProtection="1">
      <alignment horizontal="center" vertical="center" wrapText="1"/>
      <protection locked="0"/>
    </xf>
    <xf numFmtId="0" fontId="3" fillId="0" borderId="59" xfId="2" applyFont="1" applyBorder="1" applyAlignment="1">
      <alignment horizontal="center" wrapText="1"/>
    </xf>
    <xf numFmtId="0" fontId="3" fillId="0" borderId="60" xfId="2" applyFont="1" applyBorder="1" applyAlignment="1">
      <alignment horizontal="center" wrapText="1"/>
    </xf>
    <xf numFmtId="0" fontId="5" fillId="8" borderId="14" xfId="2" applyFont="1" applyFill="1" applyBorder="1" applyAlignment="1">
      <alignment horizontal="center" vertical="center" wrapText="1"/>
    </xf>
    <xf numFmtId="0" fontId="5" fillId="8" borderId="24" xfId="2" applyFont="1" applyFill="1" applyBorder="1" applyAlignment="1">
      <alignment horizontal="center" vertical="center" wrapText="1"/>
    </xf>
    <xf numFmtId="0" fontId="2" fillId="3" borderId="61" xfId="2" applyFont="1" applyFill="1" applyBorder="1" applyAlignment="1">
      <alignment horizontal="center" wrapText="1"/>
    </xf>
    <xf numFmtId="0" fontId="2" fillId="3" borderId="26" xfId="2" applyFont="1" applyFill="1" applyBorder="1" applyAlignment="1">
      <alignment horizontal="center" wrapText="1"/>
    </xf>
    <xf numFmtId="0" fontId="2" fillId="3" borderId="44" xfId="2" applyFont="1" applyFill="1" applyBorder="1" applyAlignment="1">
      <alignment horizontal="center" wrapText="1"/>
    </xf>
    <xf numFmtId="0" fontId="5" fillId="8" borderId="30"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19" xfId="2" applyFont="1" applyFill="1" applyBorder="1" applyAlignment="1">
      <alignment horizontal="center"/>
    </xf>
    <xf numFmtId="0" fontId="2" fillId="3" borderId="26" xfId="2" applyFont="1" applyFill="1" applyBorder="1" applyAlignment="1">
      <alignment horizontal="center"/>
    </xf>
    <xf numFmtId="0" fontId="2" fillId="3" borderId="44" xfId="2" applyFont="1" applyFill="1" applyBorder="1" applyAlignment="1">
      <alignment horizontal="center"/>
    </xf>
    <xf numFmtId="0" fontId="2" fillId="3" borderId="19" xfId="2" applyFont="1" applyFill="1" applyBorder="1" applyAlignment="1">
      <alignment horizontal="center" wrapText="1"/>
    </xf>
    <xf numFmtId="0" fontId="5" fillId="8" borderId="14" xfId="0" applyFont="1" applyFill="1" applyBorder="1" applyAlignment="1">
      <alignment horizontal="center" vertical="center"/>
    </xf>
    <xf numFmtId="0" fontId="5" fillId="8" borderId="24" xfId="0" applyFont="1" applyFill="1" applyBorder="1" applyAlignment="1">
      <alignment horizontal="center" vertical="center"/>
    </xf>
    <xf numFmtId="0" fontId="2" fillId="3" borderId="61" xfId="0" applyFont="1" applyFill="1" applyBorder="1" applyAlignment="1">
      <alignment horizontal="center" wrapText="1"/>
    </xf>
    <xf numFmtId="0" fontId="4" fillId="3" borderId="26" xfId="0" applyFont="1" applyFill="1" applyBorder="1" applyAlignment="1">
      <alignment horizontal="center"/>
    </xf>
    <xf numFmtId="0" fontId="2" fillId="3" borderId="19" xfId="0" applyFont="1" applyFill="1" applyBorder="1" applyAlignment="1">
      <alignment horizontal="center"/>
    </xf>
    <xf numFmtId="0" fontId="6" fillId="3" borderId="26" xfId="0" applyFont="1" applyFill="1" applyBorder="1" applyAlignment="1">
      <alignment horizontal="center"/>
    </xf>
    <xf numFmtId="0" fontId="6" fillId="3" borderId="44" xfId="0" applyFont="1" applyFill="1" applyBorder="1" applyAlignment="1">
      <alignment horizontal="center"/>
    </xf>
    <xf numFmtId="0" fontId="3" fillId="4" borderId="19" xfId="0" applyFont="1" applyFill="1" applyBorder="1" applyAlignment="1">
      <alignment horizontal="center"/>
    </xf>
    <xf numFmtId="0" fontId="6" fillId="4" borderId="26" xfId="0" applyFont="1" applyFill="1" applyBorder="1" applyAlignment="1">
      <alignment horizontal="center"/>
    </xf>
    <xf numFmtId="0" fontId="6" fillId="4" borderId="44" xfId="0" applyFont="1" applyFill="1" applyBorder="1" applyAlignment="1">
      <alignment horizontal="center"/>
    </xf>
    <xf numFmtId="0" fontId="3" fillId="6" borderId="19" xfId="0" applyFont="1" applyFill="1" applyBorder="1" applyAlignment="1">
      <alignment horizontal="center"/>
    </xf>
    <xf numFmtId="0" fontId="6" fillId="6" borderId="26" xfId="0" applyFont="1" applyFill="1" applyBorder="1" applyAlignment="1">
      <alignment horizontal="center"/>
    </xf>
    <xf numFmtId="0" fontId="6" fillId="6" borderId="44" xfId="0" applyFont="1" applyFill="1" applyBorder="1" applyAlignment="1">
      <alignment horizontal="center"/>
    </xf>
    <xf numFmtId="0" fontId="3" fillId="9" borderId="19" xfId="0" applyFont="1" applyFill="1" applyBorder="1" applyAlignment="1">
      <alignment horizontal="center"/>
    </xf>
    <xf numFmtId="0" fontId="6" fillId="9" borderId="26" xfId="0" applyFont="1" applyFill="1" applyBorder="1" applyAlignment="1">
      <alignment horizontal="center"/>
    </xf>
    <xf numFmtId="0" fontId="6" fillId="9" borderId="44" xfId="0" applyFont="1" applyFill="1" applyBorder="1" applyAlignment="1">
      <alignment horizontal="center"/>
    </xf>
    <xf numFmtId="0" fontId="3" fillId="7" borderId="19" xfId="0" applyFont="1" applyFill="1" applyBorder="1" applyAlignment="1">
      <alignment horizontal="center"/>
    </xf>
    <xf numFmtId="0" fontId="6" fillId="7" borderId="26" xfId="0" applyFont="1" applyFill="1" applyBorder="1" applyAlignment="1">
      <alignment horizontal="center"/>
    </xf>
    <xf numFmtId="0" fontId="6" fillId="7" borderId="44" xfId="0" applyFont="1" applyFill="1" applyBorder="1" applyAlignment="1">
      <alignment horizontal="center"/>
    </xf>
    <xf numFmtId="0" fontId="5" fillId="8" borderId="23" xfId="2" applyFont="1" applyFill="1" applyBorder="1" applyAlignment="1">
      <alignment horizontal="center" vertical="center" wrapText="1"/>
    </xf>
    <xf numFmtId="0" fontId="4" fillId="3" borderId="26" xfId="2" applyFont="1" applyFill="1" applyBorder="1" applyAlignment="1">
      <alignment horizontal="center"/>
    </xf>
    <xf numFmtId="0" fontId="4" fillId="0" borderId="26" xfId="2" applyBorder="1"/>
    <xf numFmtId="0" fontId="4" fillId="0" borderId="44" xfId="2" applyBorder="1"/>
    <xf numFmtId="0" fontId="3" fillId="0" borderId="19" xfId="2" applyFont="1" applyBorder="1" applyAlignment="1">
      <alignment horizontal="center" wrapText="1"/>
    </xf>
    <xf numFmtId="0" fontId="3" fillId="0" borderId="26" xfId="2" applyFont="1" applyBorder="1" applyAlignment="1">
      <alignment horizontal="center" wrapText="1"/>
    </xf>
    <xf numFmtId="0" fontId="4" fillId="0" borderId="0" xfId="0" applyFont="1" applyFill="1" applyBorder="1" applyAlignment="1" applyProtection="1">
      <alignment vertical="top" wrapText="1"/>
      <protection locked="0"/>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11" fontId="1" fillId="0" borderId="54" xfId="2" applyNumberFormat="1" applyFont="1" applyFill="1" applyBorder="1" applyAlignment="1" applyProtection="1">
      <alignment horizontal="left" vertical="center" wrapText="1"/>
      <protection locked="0"/>
    </xf>
    <xf numFmtId="0" fontId="1" fillId="0" borderId="6" xfId="2" applyFont="1" applyFill="1" applyBorder="1" applyAlignment="1" applyProtection="1">
      <alignment wrapText="1"/>
      <protection locked="0"/>
    </xf>
    <xf numFmtId="0" fontId="1" fillId="0" borderId="2" xfId="2" applyFont="1" applyFill="1" applyBorder="1" applyAlignment="1" applyProtection="1">
      <alignment vertical="center" wrapText="1"/>
      <protection locked="0"/>
    </xf>
    <xf numFmtId="0" fontId="1" fillId="0" borderId="2" xfId="2" applyFont="1" applyFill="1" applyBorder="1" applyAlignment="1" applyProtection="1">
      <alignment vertical="center"/>
      <protection locked="0"/>
    </xf>
    <xf numFmtId="0" fontId="4" fillId="0" borderId="51" xfId="2" applyFont="1" applyFill="1" applyBorder="1" applyAlignment="1" applyProtection="1">
      <alignment wrapText="1"/>
      <protection locked="0"/>
    </xf>
    <xf numFmtId="0" fontId="4" fillId="0" borderId="51" xfId="2" applyFont="1" applyFill="1" applyBorder="1" applyAlignment="1" applyProtection="1">
      <protection locked="0"/>
    </xf>
    <xf numFmtId="0" fontId="4" fillId="0" borderId="51" xfId="2" applyFont="1" applyFill="1" applyBorder="1" applyAlignment="1" applyProtection="1">
      <alignment horizontal="center" wrapText="1"/>
      <protection locked="0"/>
    </xf>
    <xf numFmtId="0" fontId="1" fillId="0" borderId="2" xfId="2" applyFont="1" applyFill="1" applyBorder="1" applyAlignment="1" applyProtection="1">
      <alignment horizontal="center" vertical="center" wrapText="1"/>
      <protection locked="0"/>
    </xf>
    <xf numFmtId="0" fontId="4" fillId="0" borderId="50" xfId="2" applyFont="1" applyFill="1" applyBorder="1" applyAlignment="1" applyProtection="1">
      <alignment horizontal="center" wrapText="1"/>
      <protection locked="0"/>
    </xf>
    <xf numFmtId="0" fontId="4" fillId="0" borderId="54" xfId="2" applyFont="1" applyFill="1" applyBorder="1" applyAlignment="1" applyProtection="1">
      <alignment horizontal="left" wrapText="1"/>
      <protection locked="0"/>
    </xf>
    <xf numFmtId="0" fontId="1" fillId="0" borderId="2" xfId="2" applyFont="1" applyFill="1" applyBorder="1" applyAlignment="1" applyProtection="1">
      <alignment horizontal="left" vertical="center" wrapText="1"/>
      <protection locked="0"/>
    </xf>
    <xf numFmtId="0" fontId="4" fillId="0" borderId="52" xfId="2" applyFont="1" applyFill="1" applyBorder="1" applyAlignment="1" applyProtection="1">
      <alignment horizontal="center"/>
      <protection locked="0"/>
    </xf>
    <xf numFmtId="0" fontId="1" fillId="0" borderId="2" xfId="2" applyFont="1" applyFill="1" applyBorder="1" applyAlignment="1" applyProtection="1">
      <alignment horizontal="center" vertical="center"/>
      <protection locked="0"/>
    </xf>
    <xf numFmtId="0" fontId="4" fillId="0" borderId="52" xfId="2" applyNumberFormat="1" applyFont="1" applyFill="1" applyBorder="1" applyAlignment="1" applyProtection="1">
      <alignment horizontal="center"/>
      <protection locked="0"/>
    </xf>
  </cellXfs>
  <cellStyles count="3">
    <cellStyle name="Heading" xfId="1" xr:uid="{00000000-0005-0000-0000-000000000000}"/>
    <cellStyle name="Normal" xfId="0" builtinId="0"/>
    <cellStyle name="Normal 2" xfId="2" xr:uid="{00000000-0005-0000-0000-000002000000}"/>
  </cellStyles>
  <dxfs count="176">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a16="http://schemas.microsoft.com/office/drawing/2014/main" id="{00000000-0008-0000-0600-00001A0C0000}"/>
            </a:ext>
          </a:extLst>
        </xdr:cNvPr>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asterFddList" refreshOnLoad="1" connectionId="1" xr16:uid="{00000000-0016-0000-09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41"/>
  <sheetViews>
    <sheetView tabSelected="1" zoomScale="80" zoomScaleNormal="80" workbookViewId="0">
      <selection activeCell="L18" sqref="L18"/>
    </sheetView>
  </sheetViews>
  <sheetFormatPr defaultRowHeight="12.75" x14ac:dyDescent="0.2"/>
  <cols>
    <col min="2" max="2" width="9.140625" bestFit="1" customWidth="1"/>
    <col min="3" max="3" width="14.7109375" customWidth="1"/>
    <col min="4" max="4" width="68.28515625" style="4" customWidth="1"/>
    <col min="8" max="8" width="10.42578125" bestFit="1" customWidth="1"/>
  </cols>
  <sheetData>
    <row r="1" spans="1:14" ht="18.75" thickBot="1" x14ac:dyDescent="0.25">
      <c r="A1" s="244" t="str">
        <f>"PSA BMPV - Rev " &amp; INDEX(A:A,MATCH(9.99999999999999E+307,A:A))</f>
        <v>PSA BMPV - Rev 37</v>
      </c>
      <c r="B1" s="245"/>
      <c r="C1" s="245"/>
      <c r="D1" s="245"/>
      <c r="E1" s="160" t="s">
        <v>149</v>
      </c>
      <c r="F1" s="116"/>
      <c r="G1" s="116"/>
      <c r="H1" s="116"/>
      <c r="I1" s="116"/>
      <c r="J1" s="116"/>
      <c r="K1" s="116"/>
      <c r="L1" s="116"/>
      <c r="M1" s="116"/>
      <c r="N1" s="116"/>
    </row>
    <row r="2" spans="1:14" x14ac:dyDescent="0.2">
      <c r="A2" s="5" t="s">
        <v>47</v>
      </c>
      <c r="B2" s="5" t="s">
        <v>48</v>
      </c>
      <c r="C2" s="5" t="s">
        <v>49</v>
      </c>
      <c r="D2" s="3" t="s">
        <v>50</v>
      </c>
      <c r="G2" s="137" t="s">
        <v>146</v>
      </c>
      <c r="H2" t="s">
        <v>145</v>
      </c>
    </row>
    <row r="3" spans="1:14" x14ac:dyDescent="0.2">
      <c r="A3" s="172">
        <v>1</v>
      </c>
      <c r="B3" s="172" t="s">
        <v>251</v>
      </c>
      <c r="C3" s="173">
        <v>42534</v>
      </c>
      <c r="D3" s="174" t="s">
        <v>2616</v>
      </c>
    </row>
    <row r="4" spans="1:14" x14ac:dyDescent="0.2">
      <c r="A4" s="172">
        <v>2</v>
      </c>
      <c r="B4" s="215" t="s">
        <v>2556</v>
      </c>
      <c r="C4" s="173">
        <v>42529</v>
      </c>
      <c r="D4" s="216" t="s">
        <v>2605</v>
      </c>
    </row>
    <row r="5" spans="1:14" x14ac:dyDescent="0.2">
      <c r="A5" s="172">
        <v>3</v>
      </c>
      <c r="B5" s="172" t="s">
        <v>2556</v>
      </c>
      <c r="C5" s="173">
        <v>42534</v>
      </c>
      <c r="D5" s="174" t="s">
        <v>2615</v>
      </c>
    </row>
    <row r="6" spans="1:14" x14ac:dyDescent="0.2">
      <c r="A6" s="172">
        <v>4</v>
      </c>
      <c r="B6" s="172" t="s">
        <v>2556</v>
      </c>
      <c r="C6" s="173">
        <v>42535</v>
      </c>
      <c r="D6" s="174" t="s">
        <v>2620</v>
      </c>
    </row>
    <row r="7" spans="1:14" x14ac:dyDescent="0.2">
      <c r="A7" s="172">
        <v>5</v>
      </c>
      <c r="B7" s="172" t="s">
        <v>2556</v>
      </c>
      <c r="C7" s="173">
        <v>42536</v>
      </c>
      <c r="D7" s="174" t="s">
        <v>2631</v>
      </c>
    </row>
    <row r="8" spans="1:14" x14ac:dyDescent="0.2">
      <c r="A8" s="172">
        <v>6</v>
      </c>
      <c r="B8" s="172" t="s">
        <v>2556</v>
      </c>
      <c r="C8" s="173">
        <v>42537</v>
      </c>
      <c r="D8" s="174" t="s">
        <v>2632</v>
      </c>
    </row>
    <row r="9" spans="1:14" x14ac:dyDescent="0.2">
      <c r="A9" s="172">
        <v>7</v>
      </c>
      <c r="B9" s="172" t="s">
        <v>2556</v>
      </c>
      <c r="C9" s="173">
        <v>42538</v>
      </c>
      <c r="D9" s="174" t="s">
        <v>2662</v>
      </c>
    </row>
    <row r="10" spans="1:14" x14ac:dyDescent="0.2">
      <c r="A10" s="172">
        <v>8</v>
      </c>
      <c r="B10" s="172" t="s">
        <v>2556</v>
      </c>
      <c r="C10" s="173">
        <v>42541</v>
      </c>
      <c r="D10" s="174" t="s">
        <v>2664</v>
      </c>
    </row>
    <row r="11" spans="1:14" x14ac:dyDescent="0.2">
      <c r="A11" s="172">
        <v>9</v>
      </c>
      <c r="B11" s="172" t="s">
        <v>2556</v>
      </c>
      <c r="C11" s="173">
        <v>42541</v>
      </c>
      <c r="D11" s="174" t="s">
        <v>2734</v>
      </c>
    </row>
    <row r="12" spans="1:14" x14ac:dyDescent="0.2">
      <c r="A12" s="172">
        <v>10</v>
      </c>
      <c r="B12" s="172" t="s">
        <v>2556</v>
      </c>
      <c r="C12" s="173">
        <v>42542</v>
      </c>
      <c r="D12" s="174" t="s">
        <v>2735</v>
      </c>
    </row>
    <row r="13" spans="1:14" x14ac:dyDescent="0.2">
      <c r="A13" s="172">
        <v>11</v>
      </c>
      <c r="B13" s="172" t="s">
        <v>2556</v>
      </c>
      <c r="C13" s="173">
        <v>42542</v>
      </c>
      <c r="D13" s="174" t="s">
        <v>2888</v>
      </c>
    </row>
    <row r="14" spans="1:14" x14ac:dyDescent="0.2">
      <c r="A14" s="172">
        <v>12</v>
      </c>
      <c r="B14" s="172" t="s">
        <v>2556</v>
      </c>
      <c r="C14" s="173">
        <v>42543</v>
      </c>
      <c r="D14" s="174" t="s">
        <v>2971</v>
      </c>
    </row>
    <row r="15" spans="1:14" x14ac:dyDescent="0.2">
      <c r="A15" s="172">
        <v>13</v>
      </c>
      <c r="B15" s="172" t="s">
        <v>2556</v>
      </c>
      <c r="C15" s="173">
        <v>42545</v>
      </c>
      <c r="D15" s="174" t="s">
        <v>2972</v>
      </c>
    </row>
    <row r="16" spans="1:14" x14ac:dyDescent="0.2">
      <c r="A16" s="172">
        <v>14</v>
      </c>
      <c r="B16" s="172" t="s">
        <v>2556</v>
      </c>
      <c r="C16" s="173">
        <v>42548</v>
      </c>
      <c r="D16" s="174" t="s">
        <v>3016</v>
      </c>
    </row>
    <row r="17" spans="1:8" x14ac:dyDescent="0.2">
      <c r="A17" s="172">
        <v>15</v>
      </c>
      <c r="B17" s="172" t="s">
        <v>2556</v>
      </c>
      <c r="C17" s="173">
        <v>42550</v>
      </c>
      <c r="D17" s="216" t="s">
        <v>3076</v>
      </c>
    </row>
    <row r="18" spans="1:8" ht="38.25" x14ac:dyDescent="0.2">
      <c r="A18" s="172">
        <v>16</v>
      </c>
      <c r="B18" s="172" t="s">
        <v>2556</v>
      </c>
      <c r="C18" s="173">
        <v>42558</v>
      </c>
      <c r="D18" s="216" t="s">
        <v>3077</v>
      </c>
      <c r="H18" s="222"/>
    </row>
    <row r="19" spans="1:8" x14ac:dyDescent="0.2">
      <c r="A19" s="172">
        <v>17</v>
      </c>
      <c r="B19" s="172" t="s">
        <v>2556</v>
      </c>
      <c r="C19" s="173">
        <v>42685</v>
      </c>
      <c r="D19" s="216" t="s">
        <v>3136</v>
      </c>
    </row>
    <row r="20" spans="1:8" x14ac:dyDescent="0.2">
      <c r="A20" s="172">
        <v>18</v>
      </c>
      <c r="B20" s="172" t="s">
        <v>2556</v>
      </c>
      <c r="C20" s="173">
        <v>42690</v>
      </c>
      <c r="D20" s="216" t="s">
        <v>3137</v>
      </c>
    </row>
    <row r="21" spans="1:8" x14ac:dyDescent="0.2">
      <c r="A21" s="172">
        <v>19</v>
      </c>
      <c r="B21" s="172" t="s">
        <v>2556</v>
      </c>
      <c r="C21" s="173">
        <v>42690</v>
      </c>
      <c r="D21" s="216" t="s">
        <v>3141</v>
      </c>
    </row>
    <row r="22" spans="1:8" x14ac:dyDescent="0.2">
      <c r="A22" s="172">
        <v>20</v>
      </c>
      <c r="B22" s="172" t="s">
        <v>3170</v>
      </c>
      <c r="C22" s="173">
        <v>42723</v>
      </c>
      <c r="D22" s="216" t="s">
        <v>3137</v>
      </c>
    </row>
    <row r="23" spans="1:8" ht="63.75" x14ac:dyDescent="0.2">
      <c r="A23" s="172">
        <v>21</v>
      </c>
      <c r="B23" s="172" t="s">
        <v>3174</v>
      </c>
      <c r="C23" s="173">
        <v>42801</v>
      </c>
      <c r="D23" s="216" t="s">
        <v>3274</v>
      </c>
    </row>
    <row r="24" spans="1:8" x14ac:dyDescent="0.2">
      <c r="A24" s="172">
        <v>22</v>
      </c>
      <c r="B24" s="172" t="s">
        <v>3170</v>
      </c>
      <c r="C24" s="173">
        <v>42825</v>
      </c>
      <c r="D24" s="216" t="s">
        <v>3275</v>
      </c>
    </row>
    <row r="25" spans="1:8" x14ac:dyDescent="0.2">
      <c r="A25" s="172">
        <v>23</v>
      </c>
      <c r="B25" s="172" t="s">
        <v>3170</v>
      </c>
      <c r="C25" s="173">
        <v>42881</v>
      </c>
      <c r="D25" s="216" t="s">
        <v>3279</v>
      </c>
    </row>
    <row r="26" spans="1:8" x14ac:dyDescent="0.2">
      <c r="A26" s="172">
        <v>24</v>
      </c>
      <c r="B26" s="172" t="s">
        <v>3174</v>
      </c>
      <c r="C26" s="173">
        <v>43084</v>
      </c>
      <c r="D26" s="216" t="s">
        <v>3456</v>
      </c>
    </row>
    <row r="27" spans="1:8" ht="25.5" x14ac:dyDescent="0.2">
      <c r="A27" s="172">
        <v>25</v>
      </c>
      <c r="B27" s="172" t="s">
        <v>3174</v>
      </c>
      <c r="C27" s="173">
        <v>43137</v>
      </c>
      <c r="D27" s="216" t="s">
        <v>3454</v>
      </c>
    </row>
    <row r="28" spans="1:8" ht="25.5" x14ac:dyDescent="0.2">
      <c r="A28" s="172">
        <v>26</v>
      </c>
      <c r="B28" s="172" t="s">
        <v>3174</v>
      </c>
      <c r="C28" s="173">
        <v>43141</v>
      </c>
      <c r="D28" s="216" t="s">
        <v>3457</v>
      </c>
    </row>
    <row r="29" spans="1:8" ht="76.5" x14ac:dyDescent="0.2">
      <c r="A29" s="172">
        <v>27</v>
      </c>
      <c r="B29" s="172" t="s">
        <v>3459</v>
      </c>
      <c r="C29" s="173">
        <v>43171</v>
      </c>
      <c r="D29" s="3" t="s">
        <v>3675</v>
      </c>
    </row>
    <row r="30" spans="1:8" x14ac:dyDescent="0.2">
      <c r="A30" s="172">
        <v>28</v>
      </c>
      <c r="B30" s="172" t="s">
        <v>3174</v>
      </c>
      <c r="C30" s="173">
        <v>43178</v>
      </c>
      <c r="D30" s="3" t="s">
        <v>3676</v>
      </c>
    </row>
    <row r="31" spans="1:8" ht="38.25" x14ac:dyDescent="0.2">
      <c r="A31" s="172">
        <v>29</v>
      </c>
      <c r="B31" s="172" t="s">
        <v>3174</v>
      </c>
      <c r="C31" s="173">
        <v>43180</v>
      </c>
      <c r="D31" s="3" t="s">
        <v>3693</v>
      </c>
    </row>
    <row r="32" spans="1:8" x14ac:dyDescent="0.2">
      <c r="A32" s="172">
        <v>30</v>
      </c>
      <c r="B32" s="172" t="s">
        <v>3174</v>
      </c>
      <c r="C32" s="173">
        <v>43181</v>
      </c>
      <c r="D32" s="3" t="s">
        <v>3694</v>
      </c>
    </row>
    <row r="33" spans="1:4" x14ac:dyDescent="0.2">
      <c r="A33" s="172">
        <v>31</v>
      </c>
      <c r="B33" s="238" t="s">
        <v>3459</v>
      </c>
      <c r="C33" s="173">
        <v>43207</v>
      </c>
      <c r="D33" s="239" t="s">
        <v>3700</v>
      </c>
    </row>
    <row r="34" spans="1:4" x14ac:dyDescent="0.2">
      <c r="A34" s="172">
        <v>32</v>
      </c>
      <c r="B34" s="238" t="s">
        <v>3459</v>
      </c>
      <c r="C34" s="173">
        <v>43215</v>
      </c>
      <c r="D34" s="239" t="s">
        <v>3702</v>
      </c>
    </row>
    <row r="35" spans="1:4" x14ac:dyDescent="0.2">
      <c r="A35" s="172">
        <v>33</v>
      </c>
      <c r="B35" s="172" t="s">
        <v>3459</v>
      </c>
      <c r="C35" s="173">
        <v>43217</v>
      </c>
      <c r="D35" s="3" t="s">
        <v>3705</v>
      </c>
    </row>
    <row r="36" spans="1:4" ht="25.5" x14ac:dyDescent="0.2">
      <c r="A36" s="241">
        <v>34</v>
      </c>
      <c r="B36" s="241" t="s">
        <v>3174</v>
      </c>
      <c r="C36" s="242">
        <v>43218</v>
      </c>
      <c r="D36" s="240" t="s">
        <v>3707</v>
      </c>
    </row>
    <row r="37" spans="1:4" x14ac:dyDescent="0.2">
      <c r="A37" s="172">
        <v>35</v>
      </c>
      <c r="B37" s="172" t="s">
        <v>3174</v>
      </c>
      <c r="C37" s="173">
        <v>43234</v>
      </c>
      <c r="D37" s="243" t="s">
        <v>3708</v>
      </c>
    </row>
    <row r="38" spans="1:4" x14ac:dyDescent="0.2">
      <c r="A38" s="172">
        <v>36</v>
      </c>
      <c r="B38" s="172" t="s">
        <v>3174</v>
      </c>
      <c r="C38" s="173">
        <v>43257</v>
      </c>
      <c r="D38" s="3" t="s">
        <v>3711</v>
      </c>
    </row>
    <row r="39" spans="1:4" x14ac:dyDescent="0.2">
      <c r="A39" s="172">
        <v>37</v>
      </c>
      <c r="B39" s="238" t="s">
        <v>3174</v>
      </c>
      <c r="C39" s="173">
        <v>43298</v>
      </c>
      <c r="D39" s="239" t="s">
        <v>3723</v>
      </c>
    </row>
    <row r="40" spans="1:4" x14ac:dyDescent="0.2">
      <c r="A40" s="172"/>
      <c r="B40" s="172"/>
      <c r="C40" s="173"/>
      <c r="D40" s="3"/>
    </row>
    <row r="41" spans="1:4" x14ac:dyDescent="0.2">
      <c r="A41" s="172"/>
      <c r="B41" s="172"/>
      <c r="C41" s="173"/>
      <c r="D41" s="3"/>
    </row>
  </sheetData>
  <autoFilter ref="A2:D3" xr:uid="{00000000-0009-0000-0000-000000000000}"/>
  <mergeCells count="1">
    <mergeCell ref="A1:D1"/>
  </mergeCells>
  <phoneticPr fontId="0" type="noConversion"/>
  <dataValidations count="1">
    <dataValidation type="list" allowBlank="1" showInputMessage="1" showErrorMessage="1" sqref="H2" xr:uid="{00000000-0002-0000-0000-000000000000}">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W33"/>
  <sheetViews>
    <sheetView zoomScale="80" zoomScaleNormal="80" workbookViewId="0">
      <selection sqref="A1:P1"/>
    </sheetView>
  </sheetViews>
  <sheetFormatPr defaultColWidth="9.140625" defaultRowHeight="12.75" x14ac:dyDescent="0.2"/>
  <cols>
    <col min="1" max="1" width="28.7109375" style="155" customWidth="1"/>
    <col min="2" max="2" width="29.85546875" style="155" customWidth="1"/>
    <col min="3" max="3" width="17.85546875" style="155" customWidth="1"/>
    <col min="4" max="4" width="29.85546875" style="155" customWidth="1"/>
    <col min="5" max="5" width="20.42578125" style="156" customWidth="1"/>
    <col min="6" max="6" width="7.140625" style="157" bestFit="1" customWidth="1"/>
    <col min="7" max="7" width="5.7109375" style="157" bestFit="1" customWidth="1"/>
    <col min="8" max="8" width="9.140625" style="158" bestFit="1" customWidth="1"/>
    <col min="9" max="9" width="18.5703125" style="158" customWidth="1"/>
    <col min="10" max="10" width="24.85546875" style="158" bestFit="1" customWidth="1"/>
    <col min="11" max="11" width="24.28515625" style="159" bestFit="1" customWidth="1"/>
    <col min="12" max="12" width="21.7109375" style="158" bestFit="1" customWidth="1"/>
    <col min="13" max="13" width="15.140625" style="158" bestFit="1" customWidth="1"/>
    <col min="14" max="14" width="14.85546875" style="158" bestFit="1" customWidth="1"/>
    <col min="15" max="15" width="15.7109375" style="158" bestFit="1" customWidth="1"/>
    <col min="16" max="16" width="17.42578125" style="158" bestFit="1" customWidth="1"/>
    <col min="17" max="17" width="36.85546875" style="153" bestFit="1" customWidth="1"/>
    <col min="18" max="18" width="4.5703125" style="153" customWidth="1"/>
    <col min="19" max="19" width="2.5703125" style="154" bestFit="1" customWidth="1"/>
    <col min="20" max="20" width="2.42578125" style="154" bestFit="1" customWidth="1"/>
    <col min="21" max="21" width="2.5703125" style="154" bestFit="1" customWidth="1"/>
    <col min="22" max="23" width="2.28515625" style="154" bestFit="1" customWidth="1"/>
    <col min="24" max="16384" width="9.140625" style="154"/>
  </cols>
  <sheetData>
    <row r="1" spans="1:23" s="105" customFormat="1" ht="29.25" customHeight="1" thickBot="1" x14ac:dyDescent="0.25">
      <c r="A1" s="248" t="str">
        <f>'Change Log'!A1:D1</f>
        <v>PSA BMPV - Rev 37</v>
      </c>
      <c r="B1" s="249"/>
      <c r="C1" s="249"/>
      <c r="D1" s="249"/>
      <c r="E1" s="249"/>
      <c r="F1" s="249"/>
      <c r="G1" s="249"/>
      <c r="H1" s="249"/>
      <c r="I1" s="249"/>
      <c r="J1" s="249"/>
      <c r="K1" s="249"/>
      <c r="L1" s="249"/>
      <c r="M1" s="249"/>
      <c r="N1" s="249"/>
      <c r="O1" s="249"/>
      <c r="P1" s="249"/>
      <c r="Q1" s="103"/>
      <c r="R1" s="103"/>
      <c r="S1" s="104" t="s">
        <v>136</v>
      </c>
      <c r="T1" s="104" t="s">
        <v>138</v>
      </c>
      <c r="U1" s="104" t="s">
        <v>139</v>
      </c>
      <c r="V1" s="104" t="s">
        <v>141</v>
      </c>
      <c r="W1" s="104" t="s">
        <v>82</v>
      </c>
    </row>
    <row r="2" spans="1:23" s="105" customFormat="1" ht="13.5" thickBot="1" x14ac:dyDescent="0.25">
      <c r="A2" s="250" t="s">
        <v>137</v>
      </c>
      <c r="B2" s="251"/>
      <c r="C2" s="251"/>
      <c r="D2" s="251"/>
      <c r="E2" s="251"/>
      <c r="F2" s="251"/>
      <c r="G2" s="251"/>
      <c r="H2" s="251"/>
      <c r="I2" s="251"/>
      <c r="J2" s="251"/>
      <c r="K2" s="251"/>
      <c r="L2" s="251"/>
      <c r="M2" s="251"/>
      <c r="N2" s="251"/>
      <c r="O2" s="251"/>
      <c r="P2" s="252"/>
      <c r="Q2" s="108"/>
      <c r="R2" s="108"/>
      <c r="S2" s="104" t="s">
        <v>81</v>
      </c>
      <c r="T2" s="104" t="s">
        <v>82</v>
      </c>
      <c r="U2" s="104"/>
    </row>
    <row r="3" spans="1:23" s="105" customFormat="1" x14ac:dyDescent="0.2">
      <c r="A3" s="138"/>
      <c r="B3" s="139"/>
      <c r="C3" s="139"/>
      <c r="D3" s="139"/>
      <c r="E3" s="140"/>
      <c r="F3" s="141"/>
      <c r="G3" s="142"/>
      <c r="H3" s="141"/>
      <c r="I3" s="143"/>
      <c r="J3" s="246" t="s">
        <v>83</v>
      </c>
      <c r="K3" s="247"/>
      <c r="L3" s="144"/>
      <c r="M3" s="144"/>
      <c r="N3" s="144"/>
      <c r="O3" s="145"/>
      <c r="P3" s="145"/>
      <c r="Q3" s="109"/>
      <c r="R3" s="109"/>
      <c r="S3" s="104"/>
    </row>
    <row r="4" spans="1:23" s="105" customFormat="1" ht="23.25" thickBot="1" x14ac:dyDescent="0.25">
      <c r="A4" s="146" t="s">
        <v>140</v>
      </c>
      <c r="B4" s="147" t="s">
        <v>132</v>
      </c>
      <c r="C4" s="148" t="s">
        <v>94</v>
      </c>
      <c r="D4" s="147" t="s">
        <v>151</v>
      </c>
      <c r="E4" s="148" t="s">
        <v>57</v>
      </c>
      <c r="F4" s="148" t="s">
        <v>161</v>
      </c>
      <c r="G4" s="149" t="s">
        <v>133</v>
      </c>
      <c r="H4" s="148" t="s">
        <v>219</v>
      </c>
      <c r="I4" s="197" t="s">
        <v>147</v>
      </c>
      <c r="J4" s="150" t="s">
        <v>134</v>
      </c>
      <c r="K4" s="151" t="s">
        <v>135</v>
      </c>
      <c r="L4" s="148" t="s">
        <v>51</v>
      </c>
      <c r="M4" s="148" t="s">
        <v>148</v>
      </c>
      <c r="N4" s="148" t="s">
        <v>52</v>
      </c>
      <c r="O4" s="152" t="s">
        <v>90</v>
      </c>
      <c r="P4" s="145" t="s">
        <v>85</v>
      </c>
      <c r="Q4" s="108"/>
      <c r="R4" s="108"/>
      <c r="S4" s="110"/>
    </row>
    <row r="5" spans="1:23" s="105" customFormat="1" ht="15" customHeight="1" x14ac:dyDescent="0.2">
      <c r="A5" s="198" t="s">
        <v>142</v>
      </c>
      <c r="B5" s="199"/>
      <c r="C5" s="199"/>
      <c r="D5" s="199"/>
      <c r="E5" s="200"/>
      <c r="F5" s="201"/>
      <c r="G5" s="201"/>
      <c r="H5" s="202"/>
      <c r="I5" s="202"/>
      <c r="J5" s="202"/>
      <c r="K5" s="203"/>
      <c r="L5" s="202"/>
      <c r="M5" s="202"/>
      <c r="N5" s="202"/>
      <c r="O5" s="202"/>
      <c r="P5" s="202"/>
      <c r="Q5" s="108"/>
      <c r="R5" s="108"/>
    </row>
    <row r="6" spans="1:23" x14ac:dyDescent="0.2">
      <c r="A6" s="209" t="s">
        <v>2829</v>
      </c>
      <c r="B6" s="210" t="s">
        <v>2830</v>
      </c>
      <c r="C6" s="210" t="s">
        <v>2812</v>
      </c>
      <c r="D6" s="210" t="s">
        <v>2493</v>
      </c>
      <c r="E6" s="211"/>
      <c r="F6" s="211" t="s">
        <v>141</v>
      </c>
      <c r="G6" s="211" t="s">
        <v>82</v>
      </c>
      <c r="H6" s="211"/>
      <c r="I6" s="211">
        <v>0</v>
      </c>
      <c r="J6" s="211">
        <v>0</v>
      </c>
      <c r="K6" s="212">
        <v>2200</v>
      </c>
      <c r="L6" s="211" t="s">
        <v>2831</v>
      </c>
      <c r="M6" s="211"/>
      <c r="N6" s="211" t="s">
        <v>252</v>
      </c>
      <c r="O6" s="211" t="s">
        <v>257</v>
      </c>
      <c r="P6" s="213"/>
    </row>
    <row r="7" spans="1:23" x14ac:dyDescent="0.2">
      <c r="A7" s="209" t="s">
        <v>2832</v>
      </c>
      <c r="B7" s="210" t="s">
        <v>2833</v>
      </c>
      <c r="C7" s="210" t="s">
        <v>2812</v>
      </c>
      <c r="D7" s="210" t="s">
        <v>2493</v>
      </c>
      <c r="E7" s="211"/>
      <c r="F7" s="211" t="s">
        <v>141</v>
      </c>
      <c r="G7" s="211" t="s">
        <v>82</v>
      </c>
      <c r="H7" s="211"/>
      <c r="I7" s="211">
        <v>0</v>
      </c>
      <c r="J7" s="211">
        <v>0</v>
      </c>
      <c r="K7" s="212">
        <v>5.75</v>
      </c>
      <c r="L7" s="211" t="s">
        <v>2831</v>
      </c>
      <c r="M7" s="211"/>
      <c r="N7" s="211" t="s">
        <v>252</v>
      </c>
      <c r="O7" s="211" t="s">
        <v>257</v>
      </c>
      <c r="P7" s="213"/>
    </row>
    <row r="8" spans="1:23" x14ac:dyDescent="0.2">
      <c r="A8" s="209" t="s">
        <v>2834</v>
      </c>
      <c r="B8" s="210" t="s">
        <v>2835</v>
      </c>
      <c r="C8" s="210" t="s">
        <v>2812</v>
      </c>
      <c r="D8" s="210" t="s">
        <v>2493</v>
      </c>
      <c r="E8" s="211"/>
      <c r="F8" s="211" t="s">
        <v>141</v>
      </c>
      <c r="G8" s="211" t="s">
        <v>82</v>
      </c>
      <c r="H8" s="211"/>
      <c r="I8" s="211">
        <v>0</v>
      </c>
      <c r="J8" s="211">
        <v>0</v>
      </c>
      <c r="K8" s="212">
        <v>1</v>
      </c>
      <c r="L8" s="211">
        <v>1</v>
      </c>
      <c r="M8" s="211"/>
      <c r="N8" s="211" t="s">
        <v>638</v>
      </c>
      <c r="O8" s="211" t="s">
        <v>257</v>
      </c>
      <c r="P8" s="213"/>
    </row>
    <row r="9" spans="1:23" x14ac:dyDescent="0.2">
      <c r="A9" s="209" t="s">
        <v>2836</v>
      </c>
      <c r="B9" s="210" t="s">
        <v>2837</v>
      </c>
      <c r="C9" s="210" t="s">
        <v>2812</v>
      </c>
      <c r="D9" s="210" t="s">
        <v>2493</v>
      </c>
      <c r="E9" s="211"/>
      <c r="F9" s="211" t="s">
        <v>141</v>
      </c>
      <c r="G9" s="211" t="s">
        <v>82</v>
      </c>
      <c r="H9" s="211"/>
      <c r="I9" s="211">
        <v>0</v>
      </c>
      <c r="J9" s="211">
        <v>0</v>
      </c>
      <c r="K9" s="212">
        <v>1</v>
      </c>
      <c r="L9" s="211">
        <v>1</v>
      </c>
      <c r="M9" s="211"/>
      <c r="N9" s="211" t="s">
        <v>638</v>
      </c>
      <c r="O9" s="211" t="s">
        <v>257</v>
      </c>
      <c r="P9" s="213"/>
    </row>
    <row r="10" spans="1:23" ht="22.5" x14ac:dyDescent="0.2">
      <c r="A10" s="209" t="s">
        <v>2838</v>
      </c>
      <c r="B10" s="210" t="s">
        <v>2839</v>
      </c>
      <c r="C10" s="210" t="s">
        <v>2812</v>
      </c>
      <c r="D10" s="210" t="s">
        <v>2493</v>
      </c>
      <c r="E10" s="211"/>
      <c r="F10" s="211" t="s">
        <v>141</v>
      </c>
      <c r="G10" s="211" t="s">
        <v>82</v>
      </c>
      <c r="H10" s="211"/>
      <c r="I10" s="211">
        <v>0</v>
      </c>
      <c r="J10" s="211">
        <v>-8.8000000000000007</v>
      </c>
      <c r="K10" s="212">
        <v>8.8000000000000007</v>
      </c>
      <c r="L10" s="211" t="s">
        <v>2831</v>
      </c>
      <c r="M10" s="211"/>
      <c r="N10" s="211" t="s">
        <v>252</v>
      </c>
      <c r="O10" s="211" t="s">
        <v>257</v>
      </c>
      <c r="P10" s="213"/>
    </row>
    <row r="11" spans="1:23" x14ac:dyDescent="0.2">
      <c r="A11" s="209" t="s">
        <v>2840</v>
      </c>
      <c r="B11" s="210" t="s">
        <v>2841</v>
      </c>
      <c r="C11" s="210" t="s">
        <v>2812</v>
      </c>
      <c r="D11" s="210" t="s">
        <v>2493</v>
      </c>
      <c r="E11" s="211"/>
      <c r="F11" s="211" t="s">
        <v>141</v>
      </c>
      <c r="G11" s="211" t="s">
        <v>82</v>
      </c>
      <c r="H11" s="211"/>
      <c r="I11" s="211">
        <v>0</v>
      </c>
      <c r="J11" s="211">
        <v>0</v>
      </c>
      <c r="K11" s="212">
        <v>1000</v>
      </c>
      <c r="L11" s="211">
        <v>1</v>
      </c>
      <c r="M11" s="211"/>
      <c r="N11" s="211" t="s">
        <v>269</v>
      </c>
      <c r="O11" s="211" t="s">
        <v>257</v>
      </c>
      <c r="P11" s="213"/>
    </row>
    <row r="12" spans="1:23" ht="22.5" x14ac:dyDescent="0.2">
      <c r="A12" s="209" t="s">
        <v>2842</v>
      </c>
      <c r="B12" s="210" t="s">
        <v>2843</v>
      </c>
      <c r="C12" s="210" t="s">
        <v>2812</v>
      </c>
      <c r="D12" s="210" t="s">
        <v>2493</v>
      </c>
      <c r="E12" s="211"/>
      <c r="F12" s="211" t="s">
        <v>141</v>
      </c>
      <c r="G12" s="211" t="s">
        <v>82</v>
      </c>
      <c r="H12" s="211"/>
      <c r="I12" s="211">
        <v>0</v>
      </c>
      <c r="J12" s="211">
        <v>-1</v>
      </c>
      <c r="K12" s="212">
        <v>1</v>
      </c>
      <c r="L12" s="211">
        <v>1</v>
      </c>
      <c r="M12" s="211"/>
      <c r="N12" s="211" t="s">
        <v>638</v>
      </c>
      <c r="O12" s="211" t="s">
        <v>1738</v>
      </c>
      <c r="P12" s="213"/>
    </row>
    <row r="13" spans="1:23" x14ac:dyDescent="0.2">
      <c r="A13" s="209" t="s">
        <v>2844</v>
      </c>
      <c r="B13" s="210" t="s">
        <v>2845</v>
      </c>
      <c r="C13" s="210" t="s">
        <v>2812</v>
      </c>
      <c r="D13" s="210" t="s">
        <v>2493</v>
      </c>
      <c r="E13" s="211"/>
      <c r="F13" s="211" t="s">
        <v>141</v>
      </c>
      <c r="G13" s="211" t="s">
        <v>82</v>
      </c>
      <c r="H13" s="211"/>
      <c r="I13" s="211" t="b">
        <v>0</v>
      </c>
      <c r="J13" s="211" t="b">
        <v>0</v>
      </c>
      <c r="K13" s="212" t="b">
        <v>1</v>
      </c>
      <c r="L13" s="211">
        <v>1</v>
      </c>
      <c r="M13" s="211"/>
      <c r="N13" s="211" t="s">
        <v>1133</v>
      </c>
      <c r="O13" s="211" t="s">
        <v>462</v>
      </c>
      <c r="P13" s="213"/>
    </row>
    <row r="14" spans="1:23" x14ac:dyDescent="0.2">
      <c r="A14" s="209" t="s">
        <v>2846</v>
      </c>
      <c r="B14" s="210" t="s">
        <v>2847</v>
      </c>
      <c r="C14" s="210" t="s">
        <v>2812</v>
      </c>
      <c r="D14" s="210" t="s">
        <v>2493</v>
      </c>
      <c r="E14" s="211"/>
      <c r="F14" s="211" t="s">
        <v>141</v>
      </c>
      <c r="G14" s="211" t="s">
        <v>82</v>
      </c>
      <c r="H14" s="211"/>
      <c r="I14" s="211" t="b">
        <v>0</v>
      </c>
      <c r="J14" s="211" t="b">
        <v>0</v>
      </c>
      <c r="K14" s="212" t="b">
        <v>1</v>
      </c>
      <c r="L14" s="211">
        <v>1</v>
      </c>
      <c r="M14" s="211"/>
      <c r="N14" s="211" t="s">
        <v>1133</v>
      </c>
      <c r="O14" s="211" t="s">
        <v>462</v>
      </c>
      <c r="P14" s="213"/>
    </row>
    <row r="15" spans="1:23" x14ac:dyDescent="0.2">
      <c r="A15" s="209" t="s">
        <v>2848</v>
      </c>
      <c r="B15" s="210" t="s">
        <v>2849</v>
      </c>
      <c r="C15" s="210" t="s">
        <v>2812</v>
      </c>
      <c r="D15" s="210" t="s">
        <v>2493</v>
      </c>
      <c r="E15" s="211"/>
      <c r="F15" s="211" t="s">
        <v>139</v>
      </c>
      <c r="G15" s="211" t="s">
        <v>82</v>
      </c>
      <c r="H15" s="211"/>
      <c r="I15" s="211">
        <v>0</v>
      </c>
      <c r="J15" s="211">
        <v>0</v>
      </c>
      <c r="K15" s="212">
        <v>1000</v>
      </c>
      <c r="L15" s="211">
        <v>1</v>
      </c>
      <c r="M15" s="211"/>
      <c r="N15" s="211" t="s">
        <v>269</v>
      </c>
      <c r="O15" s="211" t="s">
        <v>303</v>
      </c>
      <c r="P15" s="213"/>
    </row>
    <row r="16" spans="1:23" x14ac:dyDescent="0.2">
      <c r="A16" s="209" t="s">
        <v>2850</v>
      </c>
      <c r="B16" s="210" t="s">
        <v>2851</v>
      </c>
      <c r="C16" s="210" t="s">
        <v>2812</v>
      </c>
      <c r="D16" s="210" t="s">
        <v>2493</v>
      </c>
      <c r="E16" s="211"/>
      <c r="F16" s="211" t="s">
        <v>139</v>
      </c>
      <c r="G16" s="211" t="s">
        <v>82</v>
      </c>
      <c r="H16" s="211"/>
      <c r="I16" s="211" t="b">
        <v>0</v>
      </c>
      <c r="J16" s="211" t="b">
        <v>0</v>
      </c>
      <c r="K16" s="212" t="b">
        <v>1</v>
      </c>
      <c r="L16" s="211">
        <v>1</v>
      </c>
      <c r="M16" s="211"/>
      <c r="N16" s="211" t="s">
        <v>1133</v>
      </c>
      <c r="O16" s="211" t="s">
        <v>462</v>
      </c>
      <c r="P16" s="213"/>
    </row>
    <row r="17" spans="1:16" ht="22.5" x14ac:dyDescent="0.2">
      <c r="A17" s="209" t="s">
        <v>2852</v>
      </c>
      <c r="B17" s="210" t="s">
        <v>2853</v>
      </c>
      <c r="C17" s="210" t="s">
        <v>2812</v>
      </c>
      <c r="D17" s="210" t="s">
        <v>2493</v>
      </c>
      <c r="E17" s="211"/>
      <c r="F17" s="211" t="s">
        <v>139</v>
      </c>
      <c r="G17" s="211" t="s">
        <v>82</v>
      </c>
      <c r="H17" s="211"/>
      <c r="I17" s="211" t="b">
        <v>0</v>
      </c>
      <c r="J17" s="211" t="b">
        <v>0</v>
      </c>
      <c r="K17" s="212" t="b">
        <v>1</v>
      </c>
      <c r="L17" s="211">
        <v>1</v>
      </c>
      <c r="M17" s="211"/>
      <c r="N17" s="211" t="s">
        <v>1133</v>
      </c>
      <c r="O17" s="211" t="s">
        <v>462</v>
      </c>
      <c r="P17" s="213"/>
    </row>
    <row r="18" spans="1:16" ht="25.5" x14ac:dyDescent="0.2">
      <c r="A18" s="209" t="s">
        <v>2854</v>
      </c>
      <c r="B18" s="210" t="s">
        <v>2855</v>
      </c>
      <c r="C18" s="210" t="s">
        <v>2812</v>
      </c>
      <c r="D18" s="210" t="s">
        <v>2493</v>
      </c>
      <c r="E18" s="211"/>
      <c r="F18" s="211" t="s">
        <v>139</v>
      </c>
      <c r="G18" s="211" t="s">
        <v>82</v>
      </c>
      <c r="H18" s="211"/>
      <c r="I18" s="211">
        <v>0</v>
      </c>
      <c r="J18" s="211">
        <v>0</v>
      </c>
      <c r="K18" s="212">
        <v>5</v>
      </c>
      <c r="L18" s="211">
        <v>1</v>
      </c>
      <c r="M18" s="211"/>
      <c r="N18" s="211" t="s">
        <v>638</v>
      </c>
      <c r="O18" s="211" t="s">
        <v>2809</v>
      </c>
      <c r="P18" s="213"/>
    </row>
    <row r="19" spans="1:16" ht="25.5" x14ac:dyDescent="0.2">
      <c r="A19" s="209" t="s">
        <v>2856</v>
      </c>
      <c r="B19" s="210" t="s">
        <v>2857</v>
      </c>
      <c r="C19" s="210" t="s">
        <v>2812</v>
      </c>
      <c r="D19" s="210" t="s">
        <v>2493</v>
      </c>
      <c r="E19" s="211"/>
      <c r="F19" s="211" t="s">
        <v>136</v>
      </c>
      <c r="G19" s="211" t="s">
        <v>82</v>
      </c>
      <c r="H19" s="211"/>
      <c r="I19" s="211">
        <v>0</v>
      </c>
      <c r="J19" s="211">
        <v>0</v>
      </c>
      <c r="K19" s="212">
        <v>4</v>
      </c>
      <c r="L19" s="211">
        <v>1</v>
      </c>
      <c r="M19" s="211"/>
      <c r="N19" s="211" t="s">
        <v>638</v>
      </c>
      <c r="O19" s="211" t="s">
        <v>2858</v>
      </c>
      <c r="P19" s="213"/>
    </row>
    <row r="20" spans="1:16" x14ac:dyDescent="0.2">
      <c r="A20" s="209" t="s">
        <v>2859</v>
      </c>
      <c r="B20" s="210" t="s">
        <v>2860</v>
      </c>
      <c r="C20" s="210" t="s">
        <v>2812</v>
      </c>
      <c r="D20" s="210" t="s">
        <v>2493</v>
      </c>
      <c r="E20" s="211"/>
      <c r="F20" s="211" t="s">
        <v>136</v>
      </c>
      <c r="G20" s="211" t="s">
        <v>82</v>
      </c>
      <c r="H20" s="211"/>
      <c r="I20" s="211">
        <v>0</v>
      </c>
      <c r="J20" s="211">
        <v>-1100</v>
      </c>
      <c r="K20" s="212">
        <v>1100</v>
      </c>
      <c r="L20" s="211" t="s">
        <v>2861</v>
      </c>
      <c r="M20" s="211"/>
      <c r="N20" s="211" t="s">
        <v>259</v>
      </c>
      <c r="O20" s="211" t="s">
        <v>257</v>
      </c>
      <c r="P20" s="213"/>
    </row>
    <row r="21" spans="1:16" x14ac:dyDescent="0.2">
      <c r="A21" s="209" t="s">
        <v>2862</v>
      </c>
      <c r="B21" s="210" t="s">
        <v>2863</v>
      </c>
      <c r="C21" s="210" t="s">
        <v>2812</v>
      </c>
      <c r="D21" s="210" t="s">
        <v>2493</v>
      </c>
      <c r="E21" s="211"/>
      <c r="F21" s="211" t="s">
        <v>136</v>
      </c>
      <c r="G21" s="211" t="s">
        <v>82</v>
      </c>
      <c r="H21" s="211"/>
      <c r="I21" s="211">
        <v>0</v>
      </c>
      <c r="J21" s="211">
        <v>-1600</v>
      </c>
      <c r="K21" s="212">
        <v>1600</v>
      </c>
      <c r="L21" s="211">
        <v>0.46875</v>
      </c>
      <c r="M21" s="211"/>
      <c r="N21" s="211" t="s">
        <v>264</v>
      </c>
      <c r="O21" s="211" t="s">
        <v>257</v>
      </c>
      <c r="P21" s="213"/>
    </row>
    <row r="22" spans="1:16" x14ac:dyDescent="0.2">
      <c r="A22" s="209" t="s">
        <v>2864</v>
      </c>
      <c r="B22" s="210" t="s">
        <v>2865</v>
      </c>
      <c r="C22" s="210" t="s">
        <v>2812</v>
      </c>
      <c r="D22" s="210" t="s">
        <v>2493</v>
      </c>
      <c r="E22" s="211"/>
      <c r="F22" s="211" t="s">
        <v>136</v>
      </c>
      <c r="G22" s="211" t="s">
        <v>82</v>
      </c>
      <c r="H22" s="211"/>
      <c r="I22" s="211">
        <v>0</v>
      </c>
      <c r="J22" s="211">
        <v>0</v>
      </c>
      <c r="K22" s="212">
        <v>512</v>
      </c>
      <c r="L22" s="211" t="s">
        <v>2866</v>
      </c>
      <c r="M22" s="211"/>
      <c r="N22" s="211" t="s">
        <v>296</v>
      </c>
      <c r="O22" s="211" t="s">
        <v>257</v>
      </c>
      <c r="P22" s="213"/>
    </row>
    <row r="23" spans="1:16" x14ac:dyDescent="0.2">
      <c r="A23" s="209" t="s">
        <v>2867</v>
      </c>
      <c r="B23" s="210" t="s">
        <v>2868</v>
      </c>
      <c r="C23" s="210" t="s">
        <v>2812</v>
      </c>
      <c r="D23" s="210" t="s">
        <v>2493</v>
      </c>
      <c r="E23" s="211"/>
      <c r="F23" s="211" t="s">
        <v>136</v>
      </c>
      <c r="G23" s="211" t="s">
        <v>82</v>
      </c>
      <c r="H23" s="211"/>
      <c r="I23" s="211">
        <v>0</v>
      </c>
      <c r="J23" s="211">
        <v>-8.8000000000000007</v>
      </c>
      <c r="K23" s="212">
        <v>8.8000000000000007</v>
      </c>
      <c r="L23" s="211" t="s">
        <v>2831</v>
      </c>
      <c r="M23" s="211"/>
      <c r="N23" s="211" t="s">
        <v>252</v>
      </c>
      <c r="O23" s="211" t="s">
        <v>257</v>
      </c>
      <c r="P23" s="213"/>
    </row>
    <row r="24" spans="1:16" x14ac:dyDescent="0.2">
      <c r="A24" s="209" t="s">
        <v>2869</v>
      </c>
      <c r="B24" s="210" t="s">
        <v>2870</v>
      </c>
      <c r="C24" s="210" t="s">
        <v>2812</v>
      </c>
      <c r="D24" s="210" t="s">
        <v>2493</v>
      </c>
      <c r="E24" s="211"/>
      <c r="F24" s="211" t="s">
        <v>136</v>
      </c>
      <c r="G24" s="211" t="s">
        <v>82</v>
      </c>
      <c r="H24" s="211"/>
      <c r="I24" s="211" t="b">
        <v>0</v>
      </c>
      <c r="J24" s="211" t="b">
        <v>0</v>
      </c>
      <c r="K24" s="212" t="b">
        <v>1</v>
      </c>
      <c r="L24" s="211">
        <v>1</v>
      </c>
      <c r="M24" s="211"/>
      <c r="N24" s="211" t="s">
        <v>1133</v>
      </c>
      <c r="O24" s="211" t="s">
        <v>462</v>
      </c>
      <c r="P24" s="213"/>
    </row>
    <row r="25" spans="1:16" x14ac:dyDescent="0.2">
      <c r="A25" s="209" t="s">
        <v>2871</v>
      </c>
      <c r="B25" s="210" t="s">
        <v>2872</v>
      </c>
      <c r="C25" s="210" t="s">
        <v>2812</v>
      </c>
      <c r="D25" s="210" t="s">
        <v>2493</v>
      </c>
      <c r="E25" s="211"/>
      <c r="F25" s="211" t="s">
        <v>136</v>
      </c>
      <c r="G25" s="211" t="s">
        <v>82</v>
      </c>
      <c r="H25" s="211"/>
      <c r="I25" s="211">
        <v>0</v>
      </c>
      <c r="J25" s="211">
        <v>-1</v>
      </c>
      <c r="K25" s="212">
        <v>1</v>
      </c>
      <c r="L25" s="211">
        <v>1</v>
      </c>
      <c r="M25" s="211"/>
      <c r="N25" s="211" t="s">
        <v>387</v>
      </c>
      <c r="O25" s="211" t="s">
        <v>1738</v>
      </c>
      <c r="P25" s="213"/>
    </row>
    <row r="26" spans="1:16" ht="25.5" x14ac:dyDescent="0.2">
      <c r="A26" s="209" t="s">
        <v>2873</v>
      </c>
      <c r="B26" s="210" t="s">
        <v>2874</v>
      </c>
      <c r="C26" s="210" t="s">
        <v>2812</v>
      </c>
      <c r="D26" s="210" t="s">
        <v>2493</v>
      </c>
      <c r="E26" s="211"/>
      <c r="F26" s="211" t="s">
        <v>136</v>
      </c>
      <c r="G26" s="211" t="s">
        <v>82</v>
      </c>
      <c r="H26" s="211"/>
      <c r="I26" s="211">
        <v>0</v>
      </c>
      <c r="J26" s="211">
        <v>0</v>
      </c>
      <c r="K26" s="212">
        <v>5</v>
      </c>
      <c r="L26" s="211">
        <v>1</v>
      </c>
      <c r="M26" s="211"/>
      <c r="N26" s="211" t="s">
        <v>638</v>
      </c>
      <c r="O26" s="211" t="s">
        <v>2809</v>
      </c>
      <c r="P26" s="213"/>
    </row>
    <row r="27" spans="1:16" x14ac:dyDescent="0.2">
      <c r="A27" s="209" t="s">
        <v>2875</v>
      </c>
      <c r="B27" s="210" t="s">
        <v>2876</v>
      </c>
      <c r="C27" s="210" t="s">
        <v>2812</v>
      </c>
      <c r="D27" s="210" t="s">
        <v>2493</v>
      </c>
      <c r="E27" s="211"/>
      <c r="F27" s="211" t="s">
        <v>138</v>
      </c>
      <c r="G27" s="211" t="s">
        <v>82</v>
      </c>
      <c r="H27" s="211"/>
      <c r="I27" s="211">
        <v>0</v>
      </c>
      <c r="J27" s="211">
        <v>-8.8000000000000007</v>
      </c>
      <c r="K27" s="212">
        <v>8.8000000000000007</v>
      </c>
      <c r="L27" s="211" t="s">
        <v>2831</v>
      </c>
      <c r="M27" s="211"/>
      <c r="N27" s="211" t="s">
        <v>252</v>
      </c>
      <c r="O27" s="211" t="s">
        <v>257</v>
      </c>
      <c r="P27" s="213"/>
    </row>
    <row r="28" spans="1:16" x14ac:dyDescent="0.2">
      <c r="A28" s="209" t="s">
        <v>2877</v>
      </c>
      <c r="B28" s="210" t="s">
        <v>2839</v>
      </c>
      <c r="C28" s="210" t="s">
        <v>2812</v>
      </c>
      <c r="D28" s="210" t="s">
        <v>2493</v>
      </c>
      <c r="E28" s="211"/>
      <c r="F28" s="211" t="s">
        <v>138</v>
      </c>
      <c r="G28" s="211" t="s">
        <v>82</v>
      </c>
      <c r="H28" s="211"/>
      <c r="I28" s="211">
        <v>0</v>
      </c>
      <c r="J28" s="211">
        <v>-8.8000000000000007</v>
      </c>
      <c r="K28" s="212">
        <v>8.8000000000000007</v>
      </c>
      <c r="L28" s="211" t="s">
        <v>2831</v>
      </c>
      <c r="M28" s="211"/>
      <c r="N28" s="211" t="s">
        <v>252</v>
      </c>
      <c r="O28" s="211" t="s">
        <v>257</v>
      </c>
      <c r="P28" s="213"/>
    </row>
    <row r="29" spans="1:16" x14ac:dyDescent="0.2">
      <c r="A29" s="209" t="s">
        <v>2878</v>
      </c>
      <c r="B29" s="210" t="s">
        <v>2879</v>
      </c>
      <c r="C29" s="210" t="s">
        <v>2812</v>
      </c>
      <c r="D29" s="210" t="s">
        <v>2493</v>
      </c>
      <c r="E29" s="211"/>
      <c r="F29" s="211" t="s">
        <v>138</v>
      </c>
      <c r="G29" s="211" t="s">
        <v>82</v>
      </c>
      <c r="H29" s="211"/>
      <c r="I29" s="211" t="b">
        <v>0</v>
      </c>
      <c r="J29" s="211" t="b">
        <v>0</v>
      </c>
      <c r="K29" s="212" t="b">
        <v>1</v>
      </c>
      <c r="L29" s="211">
        <v>1</v>
      </c>
      <c r="M29" s="211"/>
      <c r="N29" s="211" t="s">
        <v>1133</v>
      </c>
      <c r="O29" s="211" t="s">
        <v>462</v>
      </c>
      <c r="P29" s="213"/>
    </row>
    <row r="30" spans="1:16" x14ac:dyDescent="0.2">
      <c r="A30" s="209" t="s">
        <v>2880</v>
      </c>
      <c r="B30" s="210" t="s">
        <v>2881</v>
      </c>
      <c r="C30" s="210" t="s">
        <v>2812</v>
      </c>
      <c r="D30" s="210" t="s">
        <v>2493</v>
      </c>
      <c r="E30" s="211"/>
      <c r="F30" s="211" t="s">
        <v>138</v>
      </c>
      <c r="G30" s="211" t="s">
        <v>82</v>
      </c>
      <c r="H30" s="211"/>
      <c r="I30" s="211">
        <v>0</v>
      </c>
      <c r="J30" s="211">
        <v>-8.8000000000000007</v>
      </c>
      <c r="K30" s="212">
        <v>8.8000000000000007</v>
      </c>
      <c r="L30" s="211" t="s">
        <v>2831</v>
      </c>
      <c r="M30" s="211"/>
      <c r="N30" s="211" t="s">
        <v>252</v>
      </c>
      <c r="O30" s="211" t="s">
        <v>257</v>
      </c>
      <c r="P30" s="213"/>
    </row>
    <row r="31" spans="1:16" x14ac:dyDescent="0.2">
      <c r="A31" s="209" t="s">
        <v>2882</v>
      </c>
      <c r="B31" s="210" t="s">
        <v>2883</v>
      </c>
      <c r="C31" s="210" t="s">
        <v>2812</v>
      </c>
      <c r="D31" s="210" t="s">
        <v>2493</v>
      </c>
      <c r="E31" s="211"/>
      <c r="F31" s="211" t="s">
        <v>138</v>
      </c>
      <c r="G31" s="211" t="s">
        <v>82</v>
      </c>
      <c r="H31" s="211"/>
      <c r="I31" s="211">
        <v>0</v>
      </c>
      <c r="J31" s="211">
        <v>-8.8000000000000007</v>
      </c>
      <c r="K31" s="212">
        <v>8.8000000000000007</v>
      </c>
      <c r="L31" s="211" t="s">
        <v>2831</v>
      </c>
      <c r="M31" s="211"/>
      <c r="N31" s="211" t="s">
        <v>252</v>
      </c>
      <c r="O31" s="211" t="s">
        <v>257</v>
      </c>
      <c r="P31" s="213"/>
    </row>
    <row r="32" spans="1:16" x14ac:dyDescent="0.2">
      <c r="A32" s="209" t="s">
        <v>2884</v>
      </c>
      <c r="B32" s="210" t="s">
        <v>2885</v>
      </c>
      <c r="C32" s="210" t="s">
        <v>2812</v>
      </c>
      <c r="D32" s="210" t="s">
        <v>2493</v>
      </c>
      <c r="E32" s="211"/>
      <c r="F32" s="211" t="s">
        <v>139</v>
      </c>
      <c r="G32" s="211" t="s">
        <v>82</v>
      </c>
      <c r="H32" s="211"/>
      <c r="I32" s="211">
        <v>0</v>
      </c>
      <c r="J32" s="211">
        <v>0</v>
      </c>
      <c r="K32" s="212">
        <v>1000</v>
      </c>
      <c r="L32" s="211">
        <v>1</v>
      </c>
      <c r="M32" s="211"/>
      <c r="N32" s="211" t="s">
        <v>269</v>
      </c>
      <c r="O32" s="211" t="s">
        <v>263</v>
      </c>
      <c r="P32" s="213"/>
    </row>
    <row r="33" spans="1:16" x14ac:dyDescent="0.2">
      <c r="A33" s="204" t="s">
        <v>2886</v>
      </c>
      <c r="B33" s="205" t="s">
        <v>2887</v>
      </c>
      <c r="C33" s="205" t="s">
        <v>2812</v>
      </c>
      <c r="D33" s="205" t="s">
        <v>2493</v>
      </c>
      <c r="E33" s="206"/>
      <c r="F33" s="206" t="s">
        <v>139</v>
      </c>
      <c r="G33" s="206" t="s">
        <v>82</v>
      </c>
      <c r="H33" s="206"/>
      <c r="I33" s="206">
        <v>0</v>
      </c>
      <c r="J33" s="206">
        <v>0</v>
      </c>
      <c r="K33" s="207">
        <v>1000</v>
      </c>
      <c r="L33" s="206">
        <v>1</v>
      </c>
      <c r="M33" s="206"/>
      <c r="N33" s="206" t="s">
        <v>269</v>
      </c>
      <c r="O33" s="206" t="s">
        <v>263</v>
      </c>
      <c r="P33" s="208"/>
    </row>
  </sheetData>
  <sheetProtection insertColumns="0" insertRows="0" insertHyperlinks="0" deleteColumns="0" deleteRows="0" sort="0" autoFilter="0" pivotTables="0"/>
  <mergeCells count="3">
    <mergeCell ref="J3:K3"/>
    <mergeCell ref="A1:P1"/>
    <mergeCell ref="A2:P2"/>
  </mergeCells>
  <conditionalFormatting sqref="G3:I5">
    <cfRule type="cellIs" dxfId="175" priority="249505" stopIfTrue="1" operator="equal">
      <formula>"y"</formula>
    </cfRule>
    <cfRule type="cellIs" dxfId="174" priority="249506" stopIfTrue="1" operator="equal">
      <formula>"Y"</formula>
    </cfRule>
  </conditionalFormatting>
  <conditionalFormatting sqref="B6:D6 F6:G6 I6:P6">
    <cfRule type="expression" dxfId="173" priority="56" stopIfTrue="1">
      <formula>IF($A6&lt;&gt;"",IF(B6="",TRUE,FALSE),FALSE)</formula>
    </cfRule>
  </conditionalFormatting>
  <conditionalFormatting sqref="M6">
    <cfRule type="expression" dxfId="172" priority="55" stopIfTrue="1">
      <formula>IF($F6="I",TRUE,FALSE)</formula>
    </cfRule>
  </conditionalFormatting>
  <conditionalFormatting sqref="B7:D7 F7:G7 I7:P7">
    <cfRule type="expression" dxfId="171" priority="54" stopIfTrue="1">
      <formula>IF($A7&lt;&gt;"",IF(B7="",TRUE,FALSE),FALSE)</formula>
    </cfRule>
  </conditionalFormatting>
  <conditionalFormatting sqref="M7">
    <cfRule type="expression" dxfId="170" priority="53" stopIfTrue="1">
      <formula>IF($F7="I",TRUE,FALSE)</formula>
    </cfRule>
  </conditionalFormatting>
  <conditionalFormatting sqref="B8:D8 F8:G8 I8:P8">
    <cfRule type="expression" dxfId="169" priority="52" stopIfTrue="1">
      <formula>IF($A8&lt;&gt;"",IF(B8="",TRUE,FALSE),FALSE)</formula>
    </cfRule>
  </conditionalFormatting>
  <conditionalFormatting sqref="M8">
    <cfRule type="expression" dxfId="168" priority="51" stopIfTrue="1">
      <formula>IF($F8="I",TRUE,FALSE)</formula>
    </cfRule>
  </conditionalFormatting>
  <conditionalFormatting sqref="B9:D9 F9:G9 I9:P9">
    <cfRule type="expression" dxfId="167" priority="50" stopIfTrue="1">
      <formula>IF($A9&lt;&gt;"",IF(B9="",TRUE,FALSE),FALSE)</formula>
    </cfRule>
  </conditionalFormatting>
  <conditionalFormatting sqref="M9">
    <cfRule type="expression" dxfId="166" priority="49" stopIfTrue="1">
      <formula>IF($F9="I",TRUE,FALSE)</formula>
    </cfRule>
  </conditionalFormatting>
  <conditionalFormatting sqref="B10:D10 F10:G10 I10:P10">
    <cfRule type="expression" dxfId="165" priority="48" stopIfTrue="1">
      <formula>IF($A10&lt;&gt;"",IF(B10="",TRUE,FALSE),FALSE)</formula>
    </cfRule>
  </conditionalFormatting>
  <conditionalFormatting sqref="M10">
    <cfRule type="expression" dxfId="164" priority="47" stopIfTrue="1">
      <formula>IF($F10="I",TRUE,FALSE)</formula>
    </cfRule>
  </conditionalFormatting>
  <conditionalFormatting sqref="B11:D11 F11:G11 I11:P11">
    <cfRule type="expression" dxfId="163" priority="46" stopIfTrue="1">
      <formula>IF($A11&lt;&gt;"",IF(B11="",TRUE,FALSE),FALSE)</formula>
    </cfRule>
  </conditionalFormatting>
  <conditionalFormatting sqref="M11">
    <cfRule type="expression" dxfId="162" priority="45" stopIfTrue="1">
      <formula>IF($F11="I",TRUE,FALSE)</formula>
    </cfRule>
  </conditionalFormatting>
  <conditionalFormatting sqref="B12:D12 F12:G12 I12:P12">
    <cfRule type="expression" dxfId="161" priority="44" stopIfTrue="1">
      <formula>IF($A12&lt;&gt;"",IF(B12="",TRUE,FALSE),FALSE)</formula>
    </cfRule>
  </conditionalFormatting>
  <conditionalFormatting sqref="M12">
    <cfRule type="expression" dxfId="160" priority="43" stopIfTrue="1">
      <formula>IF($F12="I",TRUE,FALSE)</formula>
    </cfRule>
  </conditionalFormatting>
  <conditionalFormatting sqref="B13:D13 F13:G13 I13:P13">
    <cfRule type="expression" dxfId="159" priority="42" stopIfTrue="1">
      <formula>IF($A13&lt;&gt;"",IF(B13="",TRUE,FALSE),FALSE)</formula>
    </cfRule>
  </conditionalFormatting>
  <conditionalFormatting sqref="M13">
    <cfRule type="expression" dxfId="158" priority="41" stopIfTrue="1">
      <formula>IF($F13="I",TRUE,FALSE)</formula>
    </cfRule>
  </conditionalFormatting>
  <conditionalFormatting sqref="B14:D14 F14:G14 I14:P14">
    <cfRule type="expression" dxfId="157" priority="40" stopIfTrue="1">
      <formula>IF($A14&lt;&gt;"",IF(B14="",TRUE,FALSE),FALSE)</formula>
    </cfRule>
  </conditionalFormatting>
  <conditionalFormatting sqref="M14">
    <cfRule type="expression" dxfId="156" priority="39" stopIfTrue="1">
      <formula>IF($F14="I",TRUE,FALSE)</formula>
    </cfRule>
  </conditionalFormatting>
  <conditionalFormatting sqref="B15:D15 F15:G15 I15:P15">
    <cfRule type="expression" dxfId="155" priority="38" stopIfTrue="1">
      <formula>IF($A15&lt;&gt;"",IF(B15="",TRUE,FALSE),FALSE)</formula>
    </cfRule>
  </conditionalFormatting>
  <conditionalFormatting sqref="M15">
    <cfRule type="expression" dxfId="154" priority="37" stopIfTrue="1">
      <formula>IF($F15="I",TRUE,FALSE)</formula>
    </cfRule>
  </conditionalFormatting>
  <conditionalFormatting sqref="B16:D16 F16:G16 I16:P16">
    <cfRule type="expression" dxfId="153" priority="36" stopIfTrue="1">
      <formula>IF($A16&lt;&gt;"",IF(B16="",TRUE,FALSE),FALSE)</formula>
    </cfRule>
  </conditionalFormatting>
  <conditionalFormatting sqref="M16">
    <cfRule type="expression" dxfId="152" priority="35" stopIfTrue="1">
      <formula>IF($F16="I",TRUE,FALSE)</formula>
    </cfRule>
  </conditionalFormatting>
  <conditionalFormatting sqref="B17:D17 F17:G17 I17:P17">
    <cfRule type="expression" dxfId="151" priority="34" stopIfTrue="1">
      <formula>IF($A17&lt;&gt;"",IF(B17="",TRUE,FALSE),FALSE)</formula>
    </cfRule>
  </conditionalFormatting>
  <conditionalFormatting sqref="M17">
    <cfRule type="expression" dxfId="150" priority="33" stopIfTrue="1">
      <formula>IF($F17="I",TRUE,FALSE)</formula>
    </cfRule>
  </conditionalFormatting>
  <conditionalFormatting sqref="B18:D18 F18:G18 I18:P18">
    <cfRule type="expression" dxfId="149" priority="32" stopIfTrue="1">
      <formula>IF($A18&lt;&gt;"",IF(B18="",TRUE,FALSE),FALSE)</formula>
    </cfRule>
  </conditionalFormatting>
  <conditionalFormatting sqref="M18">
    <cfRule type="expression" dxfId="148" priority="31" stopIfTrue="1">
      <formula>IF($F18="I",TRUE,FALSE)</formula>
    </cfRule>
  </conditionalFormatting>
  <conditionalFormatting sqref="B19:D19 F19:G19 I19:P19">
    <cfRule type="expression" dxfId="147" priority="30" stopIfTrue="1">
      <formula>IF($A19&lt;&gt;"",IF(B19="",TRUE,FALSE),FALSE)</formula>
    </cfRule>
  </conditionalFormatting>
  <conditionalFormatting sqref="M19">
    <cfRule type="expression" dxfId="146" priority="29" stopIfTrue="1">
      <formula>IF($F19="I",TRUE,FALSE)</formula>
    </cfRule>
  </conditionalFormatting>
  <conditionalFormatting sqref="B20:D20 F20:G20 I20:P20">
    <cfRule type="expression" dxfId="145" priority="28" stopIfTrue="1">
      <formula>IF($A20&lt;&gt;"",IF(B20="",TRUE,FALSE),FALSE)</formula>
    </cfRule>
  </conditionalFormatting>
  <conditionalFormatting sqref="M20">
    <cfRule type="expression" dxfId="144" priority="27" stopIfTrue="1">
      <formula>IF($F20="I",TRUE,FALSE)</formula>
    </cfRule>
  </conditionalFormatting>
  <conditionalFormatting sqref="B21:D21 F21:G21 I21:P21">
    <cfRule type="expression" dxfId="143" priority="26" stopIfTrue="1">
      <formula>IF($A21&lt;&gt;"",IF(B21="",TRUE,FALSE),FALSE)</formula>
    </cfRule>
  </conditionalFormatting>
  <conditionalFormatting sqref="M21">
    <cfRule type="expression" dxfId="142" priority="25" stopIfTrue="1">
      <formula>IF($F21="I",TRUE,FALSE)</formula>
    </cfRule>
  </conditionalFormatting>
  <conditionalFormatting sqref="B22:D22 F22:G22 I22:P22">
    <cfRule type="expression" dxfId="141" priority="24" stopIfTrue="1">
      <formula>IF($A22&lt;&gt;"",IF(B22="",TRUE,FALSE),FALSE)</formula>
    </cfRule>
  </conditionalFormatting>
  <conditionalFormatting sqref="M22">
    <cfRule type="expression" dxfId="140" priority="23" stopIfTrue="1">
      <formula>IF($F22="I",TRUE,FALSE)</formula>
    </cfRule>
  </conditionalFormatting>
  <conditionalFormatting sqref="B23:D23 F23:G23 I23:P23">
    <cfRule type="expression" dxfId="139" priority="22" stopIfTrue="1">
      <formula>IF($A23&lt;&gt;"",IF(B23="",TRUE,FALSE),FALSE)</formula>
    </cfRule>
  </conditionalFormatting>
  <conditionalFormatting sqref="M23">
    <cfRule type="expression" dxfId="138" priority="21" stopIfTrue="1">
      <formula>IF($F23="I",TRUE,FALSE)</formula>
    </cfRule>
  </conditionalFormatting>
  <conditionalFormatting sqref="B24:D24 F24:G24 I24:P24">
    <cfRule type="expression" dxfId="137" priority="20" stopIfTrue="1">
      <formula>IF($A24&lt;&gt;"",IF(B24="",TRUE,FALSE),FALSE)</formula>
    </cfRule>
  </conditionalFormatting>
  <conditionalFormatting sqref="M24">
    <cfRule type="expression" dxfId="136" priority="19" stopIfTrue="1">
      <formula>IF($F24="I",TRUE,FALSE)</formula>
    </cfRule>
  </conditionalFormatting>
  <conditionalFormatting sqref="B25:D25 F25:G25 I25:P25">
    <cfRule type="expression" dxfId="135" priority="18" stopIfTrue="1">
      <formula>IF($A25&lt;&gt;"",IF(B25="",TRUE,FALSE),FALSE)</formula>
    </cfRule>
  </conditionalFormatting>
  <conditionalFormatting sqref="M25">
    <cfRule type="expression" dxfId="134" priority="17" stopIfTrue="1">
      <formula>IF($F25="I",TRUE,FALSE)</formula>
    </cfRule>
  </conditionalFormatting>
  <conditionalFormatting sqref="B26:D26 F26:G26 I26:P26">
    <cfRule type="expression" dxfId="133" priority="16" stopIfTrue="1">
      <formula>IF($A26&lt;&gt;"",IF(B26="",TRUE,FALSE),FALSE)</formula>
    </cfRule>
  </conditionalFormatting>
  <conditionalFormatting sqref="M26">
    <cfRule type="expression" dxfId="132" priority="15" stopIfTrue="1">
      <formula>IF($F26="I",TRUE,FALSE)</formula>
    </cfRule>
  </conditionalFormatting>
  <conditionalFormatting sqref="B27:D27 F27:G27 I27:P27">
    <cfRule type="expression" dxfId="131" priority="14" stopIfTrue="1">
      <formula>IF($A27&lt;&gt;"",IF(B27="",TRUE,FALSE),FALSE)</formula>
    </cfRule>
  </conditionalFormatting>
  <conditionalFormatting sqref="M27">
    <cfRule type="expression" dxfId="130" priority="13" stopIfTrue="1">
      <formula>IF($F27="I",TRUE,FALSE)</formula>
    </cfRule>
  </conditionalFormatting>
  <conditionalFormatting sqref="B28:D28 F28:G28 I28:P28">
    <cfRule type="expression" dxfId="129" priority="12" stopIfTrue="1">
      <formula>IF($A28&lt;&gt;"",IF(B28="",TRUE,FALSE),FALSE)</formula>
    </cfRule>
  </conditionalFormatting>
  <conditionalFormatting sqref="M28">
    <cfRule type="expression" dxfId="128" priority="11" stopIfTrue="1">
      <formula>IF($F28="I",TRUE,FALSE)</formula>
    </cfRule>
  </conditionalFormatting>
  <conditionalFormatting sqref="B29:D29 F29:G29 I29:P29">
    <cfRule type="expression" dxfId="127" priority="10" stopIfTrue="1">
      <formula>IF($A29&lt;&gt;"",IF(B29="",TRUE,FALSE),FALSE)</formula>
    </cfRule>
  </conditionalFormatting>
  <conditionalFormatting sqref="M29">
    <cfRule type="expression" dxfId="126" priority="9" stopIfTrue="1">
      <formula>IF($F29="I",TRUE,FALSE)</formula>
    </cfRule>
  </conditionalFormatting>
  <conditionalFormatting sqref="B30:D30 F30:G30 I30:P30">
    <cfRule type="expression" dxfId="125" priority="8" stopIfTrue="1">
      <formula>IF($A30&lt;&gt;"",IF(B30="",TRUE,FALSE),FALSE)</formula>
    </cfRule>
  </conditionalFormatting>
  <conditionalFormatting sqref="M30">
    <cfRule type="expression" dxfId="124" priority="7" stopIfTrue="1">
      <formula>IF($F30="I",TRUE,FALSE)</formula>
    </cfRule>
  </conditionalFormatting>
  <conditionalFormatting sqref="B31:D31 F31:G31 I31:P31">
    <cfRule type="expression" dxfId="123" priority="6" stopIfTrue="1">
      <formula>IF($A31&lt;&gt;"",IF(B31="",TRUE,FALSE),FALSE)</formula>
    </cfRule>
  </conditionalFormatting>
  <conditionalFormatting sqref="M31">
    <cfRule type="expression" dxfId="122" priority="5" stopIfTrue="1">
      <formula>IF($F31="I",TRUE,FALSE)</formula>
    </cfRule>
  </conditionalFormatting>
  <conditionalFormatting sqref="B32:D32 F32:G32 I32:P32">
    <cfRule type="expression" dxfId="121" priority="4" stopIfTrue="1">
      <formula>IF($A32&lt;&gt;"",IF(B32="",TRUE,FALSE),FALSE)</formula>
    </cfRule>
  </conditionalFormatting>
  <conditionalFormatting sqref="M32">
    <cfRule type="expression" dxfId="120" priority="3" stopIfTrue="1">
      <formula>IF($F32="I",TRUE,FALSE)</formula>
    </cfRule>
  </conditionalFormatting>
  <conditionalFormatting sqref="B33:D33 F33:G33 I33:P33">
    <cfRule type="expression" dxfId="119" priority="2" stopIfTrue="1">
      <formula>IF($A33&lt;&gt;"",IF(B33="",TRUE,FALSE),FALSE)</formula>
    </cfRule>
  </conditionalFormatting>
  <conditionalFormatting sqref="M33">
    <cfRule type="expression" dxfId="118" priority="1" stopIfTrue="1">
      <formula>IF($F33="I",TRUE,FALSE)</formula>
    </cfRule>
  </conditionalFormatting>
  <dataValidations count="5">
    <dataValidation type="list" allowBlank="1" showInputMessage="1" showErrorMessage="1" sqref="G5" xr:uid="{00000000-0002-0000-0100-000000000000}">
      <formula1>$T$1:$T$2</formula1>
    </dataValidation>
    <dataValidation type="list" allowBlank="1" showInputMessage="1" showErrorMessage="1" sqref="F5" xr:uid="{00000000-0002-0000-0100-000001000000}">
      <formula1>$S$1:$S$3</formula1>
    </dataValidation>
    <dataValidation type="list" allowBlank="1" showInputMessage="1" showErrorMessage="1" sqref="D6:D33" xr:uid="{00000000-0002-0000-0100-000002000000}">
      <formula1>FDDValList</formula1>
    </dataValidation>
    <dataValidation type="list" allowBlank="1" showInputMessage="1" showErrorMessage="1" sqref="F6:F33" xr:uid="{00000000-0002-0000-0100-000003000000}">
      <formula1>"I, O, M, D, N"</formula1>
    </dataValidation>
    <dataValidation type="list" allowBlank="1" showInputMessage="1" showErrorMessage="1" sqref="G6:G33" xr:uid="{00000000-0002-0000-0100-000004000000}">
      <formula1>"Y, N"</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1224"/>
  <sheetViews>
    <sheetView topLeftCell="B1" zoomScale="85" zoomScaleNormal="85" workbookViewId="0">
      <pane ySplit="4" topLeftCell="A1202" activePane="bottomLeft" state="frozen"/>
      <selection pane="bottomLeft" activeCell="P1205" sqref="P1205"/>
    </sheetView>
  </sheetViews>
  <sheetFormatPr defaultColWidth="9.140625" defaultRowHeight="12.75" x14ac:dyDescent="0.2"/>
  <cols>
    <col min="1" max="1" width="42.5703125" style="155" customWidth="1"/>
    <col min="2" max="2" width="39.28515625" style="155" customWidth="1"/>
    <col min="3" max="3" width="16" style="163" customWidth="1"/>
    <col min="4" max="4" width="15.5703125" style="163" customWidth="1"/>
    <col min="5" max="5" width="20.42578125" style="156" customWidth="1"/>
    <col min="6" max="6" width="10.5703125" style="157" customWidth="1"/>
    <col min="7" max="7" width="5.7109375" style="157" customWidth="1"/>
    <col min="8" max="8" width="9.140625" style="157" customWidth="1"/>
    <col min="9" max="9" width="33.140625" style="164" customWidth="1"/>
    <col min="10" max="10" width="16.85546875" style="158" customWidth="1"/>
    <col min="11" max="11" width="19.140625" style="159" customWidth="1"/>
    <col min="12" max="12" width="14.85546875" style="158" customWidth="1"/>
    <col min="13" max="13" width="15.7109375" style="158" customWidth="1"/>
    <col min="14" max="14" width="22.28515625" style="158" customWidth="1"/>
    <col min="15" max="15" width="16.7109375" style="153" customWidth="1"/>
    <col min="16" max="16" width="18.7109375" style="154" customWidth="1"/>
    <col min="17" max="16384" width="9.140625" style="154"/>
  </cols>
  <sheetData>
    <row r="1" spans="1:18" s="105" customFormat="1" ht="29.25" customHeight="1" thickBot="1" x14ac:dyDescent="0.25">
      <c r="A1" s="253" t="str">
        <f>'Change Log'!A1:D1</f>
        <v>PSA BMPV - Rev 37</v>
      </c>
      <c r="B1" s="254"/>
      <c r="C1" s="254"/>
      <c r="D1" s="254"/>
      <c r="E1" s="254"/>
      <c r="F1" s="254"/>
      <c r="G1" s="254"/>
      <c r="H1" s="254"/>
      <c r="I1" s="254"/>
      <c r="J1" s="254"/>
      <c r="K1" s="254"/>
      <c r="L1" s="254"/>
      <c r="M1" s="254"/>
      <c r="N1" s="254"/>
      <c r="O1" s="103"/>
      <c r="R1" s="104" t="str">
        <f>Template!C26</f>
        <v>N</v>
      </c>
    </row>
    <row r="2" spans="1:18" s="105" customFormat="1" ht="13.5" thickBot="1" x14ac:dyDescent="0.25">
      <c r="A2" s="250" t="s">
        <v>91</v>
      </c>
      <c r="B2" s="251"/>
      <c r="C2" s="251"/>
      <c r="D2" s="251"/>
      <c r="E2" s="251"/>
      <c r="F2" s="251"/>
      <c r="G2" s="252"/>
      <c r="H2" s="255" t="s">
        <v>84</v>
      </c>
      <c r="I2" s="256"/>
      <c r="J2" s="256"/>
      <c r="K2" s="256"/>
      <c r="L2" s="256"/>
      <c r="M2" s="257"/>
      <c r="N2" s="107"/>
      <c r="O2" s="108"/>
      <c r="R2" s="104" t="str">
        <f>Template!C36</f>
        <v>Y</v>
      </c>
    </row>
    <row r="3" spans="1:18" s="105" customFormat="1" x14ac:dyDescent="0.2">
      <c r="A3" s="138"/>
      <c r="B3" s="139"/>
      <c r="C3" s="140"/>
      <c r="D3" s="140"/>
      <c r="E3" s="140"/>
      <c r="F3" s="141"/>
      <c r="G3" s="142"/>
      <c r="H3" s="142"/>
      <c r="I3" s="161"/>
      <c r="J3" s="246" t="s">
        <v>83</v>
      </c>
      <c r="K3" s="247"/>
      <c r="L3" s="144"/>
      <c r="M3" s="145"/>
      <c r="N3" s="145"/>
      <c r="O3" s="108"/>
      <c r="R3" s="104" t="str">
        <f>Template!C46</f>
        <v>P</v>
      </c>
    </row>
    <row r="4" spans="1:18" s="105" customFormat="1" ht="23.25" thickBot="1" x14ac:dyDescent="0.25">
      <c r="A4" s="146" t="s">
        <v>150</v>
      </c>
      <c r="B4" s="102" t="s">
        <v>132</v>
      </c>
      <c r="C4" s="148" t="s">
        <v>94</v>
      </c>
      <c r="D4" s="165" t="s">
        <v>151</v>
      </c>
      <c r="E4" s="148" t="s">
        <v>57</v>
      </c>
      <c r="F4" s="148" t="s">
        <v>92</v>
      </c>
      <c r="G4" s="149" t="s">
        <v>133</v>
      </c>
      <c r="H4" s="149" t="s">
        <v>219</v>
      </c>
      <c r="I4" s="162" t="s">
        <v>218</v>
      </c>
      <c r="J4" s="150" t="s">
        <v>134</v>
      </c>
      <c r="K4" s="151" t="s">
        <v>135</v>
      </c>
      <c r="L4" s="148" t="s">
        <v>52</v>
      </c>
      <c r="M4" s="152" t="s">
        <v>90</v>
      </c>
      <c r="N4" s="152" t="s">
        <v>85</v>
      </c>
      <c r="O4" s="108"/>
    </row>
    <row r="5" spans="1:18" s="105" customFormat="1" ht="56.25" x14ac:dyDescent="0.2">
      <c r="A5" s="224" t="s">
        <v>1880</v>
      </c>
      <c r="B5" s="225" t="s">
        <v>1881</v>
      </c>
      <c r="C5" s="226" t="s">
        <v>1862</v>
      </c>
      <c r="D5" s="226" t="s">
        <v>229</v>
      </c>
      <c r="E5" s="226" t="s">
        <v>1882</v>
      </c>
      <c r="F5" s="227" t="s">
        <v>82</v>
      </c>
      <c r="G5" s="228" t="s">
        <v>82</v>
      </c>
      <c r="H5" s="228"/>
      <c r="I5" s="223">
        <v>30</v>
      </c>
      <c r="J5" s="229">
        <v>0</v>
      </c>
      <c r="K5" s="229">
        <v>1600</v>
      </c>
      <c r="L5" s="229" t="s">
        <v>264</v>
      </c>
      <c r="M5" s="229" t="s">
        <v>257</v>
      </c>
      <c r="N5" s="230" t="str">
        <f>IF(ISERROR(MATCH(A5,MemMap!$A$4:$A$98,0)) = FALSE, INDEX(MemMap!$B$4:$B$98,MATCH(A5,MemMap!$A$4:$A$98,0)),IF(F5="Y","TunSetCalSeg",IF(G5="Y", "FlashCalSeg", IF(G5="N", "FlashAppSeg", ""))))</f>
        <v>FlashAppSeg</v>
      </c>
      <c r="O5" s="231"/>
      <c r="P5" s="232"/>
      <c r="Q5" s="232"/>
      <c r="R5" s="232"/>
    </row>
    <row r="6" spans="1:18" ht="33.75" x14ac:dyDescent="0.2">
      <c r="A6" s="224" t="s">
        <v>1883</v>
      </c>
      <c r="B6" s="225"/>
      <c r="C6" s="226" t="s">
        <v>1862</v>
      </c>
      <c r="D6" s="226" t="s">
        <v>229</v>
      </c>
      <c r="E6" s="226"/>
      <c r="F6" s="227" t="s">
        <v>82</v>
      </c>
      <c r="G6" s="228" t="s">
        <v>82</v>
      </c>
      <c r="H6" s="228"/>
      <c r="I6" s="223" t="s">
        <v>1884</v>
      </c>
      <c r="J6" s="229"/>
      <c r="K6" s="229"/>
      <c r="L6" s="229"/>
      <c r="M6" s="229" t="s">
        <v>565</v>
      </c>
      <c r="N6" s="230" t="str">
        <f>IF(ISERROR(MATCH(A6,MemMap!$A$4:$A$98,0)) = FALSE, INDEX(MemMap!$B$4:$B$98,MATCH(A6,MemMap!$A$4:$A$98,0)),IF(F6="Y","TunSetCalSeg",IF(G6="Y", "FlashCalSeg", IF(G6="N", "FlashAppSeg", ""))))</f>
        <v>FlashAppSeg</v>
      </c>
      <c r="O6" s="220"/>
      <c r="P6" s="220"/>
      <c r="Q6" s="221"/>
      <c r="R6" s="221"/>
    </row>
    <row r="7" spans="1:18" ht="33.75" x14ac:dyDescent="0.2">
      <c r="A7" s="224" t="s">
        <v>1891</v>
      </c>
      <c r="B7" s="225" t="s">
        <v>1892</v>
      </c>
      <c r="C7" s="226" t="s">
        <v>1862</v>
      </c>
      <c r="D7" s="226" t="s">
        <v>229</v>
      </c>
      <c r="E7" s="226" t="s">
        <v>1893</v>
      </c>
      <c r="F7" s="227" t="s">
        <v>82</v>
      </c>
      <c r="G7" s="228" t="s">
        <v>82</v>
      </c>
      <c r="H7" s="228"/>
      <c r="I7" s="223">
        <v>1</v>
      </c>
      <c r="J7" s="229">
        <v>0</v>
      </c>
      <c r="K7" s="229">
        <v>255</v>
      </c>
      <c r="L7" s="229" t="s">
        <v>387</v>
      </c>
      <c r="M7" s="229" t="s">
        <v>263</v>
      </c>
      <c r="N7" s="230" t="str">
        <f>IF(ISERROR(MATCH(A7,MemMap!$A$4:$A$98,0)) = FALSE, INDEX(MemMap!$B$4:$B$98,MATCH(A7,MemMap!$A$4:$A$98,0)),IF(F7="Y","TunSetCalSeg",IF(G7="Y", "FlashCalSeg", IF(G7="N", "FlashAppSeg", ""))))</f>
        <v>FlashAppSeg</v>
      </c>
      <c r="O7" s="220"/>
      <c r="P7" s="220"/>
      <c r="Q7" s="221"/>
      <c r="R7" s="221"/>
    </row>
    <row r="8" spans="1:18" ht="33.75" x14ac:dyDescent="0.2">
      <c r="A8" s="224" t="s">
        <v>1888</v>
      </c>
      <c r="B8" s="225" t="s">
        <v>1889</v>
      </c>
      <c r="C8" s="226" t="s">
        <v>1862</v>
      </c>
      <c r="D8" s="226" t="s">
        <v>229</v>
      </c>
      <c r="E8" s="226" t="s">
        <v>1890</v>
      </c>
      <c r="F8" s="227" t="s">
        <v>82</v>
      </c>
      <c r="G8" s="228" t="s">
        <v>82</v>
      </c>
      <c r="H8" s="228"/>
      <c r="I8" s="223">
        <v>4</v>
      </c>
      <c r="J8" s="229">
        <v>0</v>
      </c>
      <c r="K8" s="229">
        <v>255</v>
      </c>
      <c r="L8" s="229" t="s">
        <v>387</v>
      </c>
      <c r="M8" s="229" t="s">
        <v>263</v>
      </c>
      <c r="N8" s="230" t="str">
        <f>IF(ISERROR(MATCH(A8,MemMap!$A$4:$A$98,0)) = FALSE, INDEX(MemMap!$B$4:$B$98,MATCH(A8,MemMap!$A$4:$A$98,0)),IF(F8="Y","TunSetCalSeg",IF(G8="Y", "FlashCalSeg", IF(G8="N", "FlashAppSeg", ""))))</f>
        <v>FlashAppSeg</v>
      </c>
      <c r="O8" s="220"/>
      <c r="P8" s="220"/>
      <c r="Q8" s="221"/>
      <c r="R8" s="221"/>
    </row>
    <row r="9" spans="1:18" ht="33.75" x14ac:dyDescent="0.2">
      <c r="A9" s="224" t="s">
        <v>1885</v>
      </c>
      <c r="B9" s="225" t="s">
        <v>1886</v>
      </c>
      <c r="C9" s="226" t="s">
        <v>1862</v>
      </c>
      <c r="D9" s="226" t="s">
        <v>229</v>
      </c>
      <c r="E9" s="226" t="s">
        <v>1887</v>
      </c>
      <c r="F9" s="227" t="s">
        <v>82</v>
      </c>
      <c r="G9" s="228" t="s">
        <v>82</v>
      </c>
      <c r="H9" s="228"/>
      <c r="I9" s="223">
        <v>200</v>
      </c>
      <c r="J9" s="229">
        <v>0</v>
      </c>
      <c r="K9" s="229">
        <v>65535</v>
      </c>
      <c r="L9" s="229" t="s">
        <v>387</v>
      </c>
      <c r="M9" s="229" t="s">
        <v>263</v>
      </c>
      <c r="N9" s="230" t="str">
        <f>IF(ISERROR(MATCH(A9,MemMap!$A$4:$A$98,0)) = FALSE, INDEX(MemMap!$B$4:$B$98,MATCH(A9,MemMap!$A$4:$A$98,0)),IF(F9="Y","TunSetCalSeg",IF(G9="Y", "FlashCalSeg", IF(G9="N", "FlashAppSeg", ""))))</f>
        <v>FlashAppSeg</v>
      </c>
      <c r="O9" s="220"/>
      <c r="P9" s="220"/>
      <c r="Q9" s="221"/>
      <c r="R9" s="221"/>
    </row>
    <row r="10" spans="1:18" ht="67.5" x14ac:dyDescent="0.2">
      <c r="A10" s="224" t="s">
        <v>265</v>
      </c>
      <c r="B10" s="225" t="s">
        <v>266</v>
      </c>
      <c r="C10" s="226" t="s">
        <v>1862</v>
      </c>
      <c r="D10" s="226" t="s">
        <v>1898</v>
      </c>
      <c r="E10" s="226" t="s">
        <v>1852</v>
      </c>
      <c r="F10" s="227" t="s">
        <v>82</v>
      </c>
      <c r="G10" s="228" t="s">
        <v>82</v>
      </c>
      <c r="H10" s="228"/>
      <c r="I10" s="223">
        <v>0.2</v>
      </c>
      <c r="J10" s="229">
        <v>0</v>
      </c>
      <c r="K10" s="229">
        <v>1</v>
      </c>
      <c r="L10" s="229" t="s">
        <v>256</v>
      </c>
      <c r="M10" s="229" t="s">
        <v>257</v>
      </c>
      <c r="N10" s="230" t="str">
        <f>IF(ISERROR(MATCH(A10,MemMap!$A$4:$A$98,0)) = FALSE, INDEX(MemMap!$B$4:$B$98,MATCH(A10,MemMap!$A$4:$A$98,0)),IF(F10="Y","TunSetCalSeg",IF(G10="Y", "FlashCalSeg", IF(G10="N", "FlashAppSeg", ""))))</f>
        <v>FlashAppSeg</v>
      </c>
      <c r="O10" s="220"/>
      <c r="P10" s="220"/>
      <c r="Q10" s="221"/>
      <c r="R10" s="221"/>
    </row>
    <row r="11" spans="1:18" ht="56.25" x14ac:dyDescent="0.2">
      <c r="A11" s="224" t="s">
        <v>1863</v>
      </c>
      <c r="B11" s="225" t="s">
        <v>1864</v>
      </c>
      <c r="C11" s="226" t="s">
        <v>1862</v>
      </c>
      <c r="D11" s="226" t="s">
        <v>229</v>
      </c>
      <c r="E11" s="226" t="s">
        <v>1865</v>
      </c>
      <c r="F11" s="227" t="s">
        <v>82</v>
      </c>
      <c r="G11" s="228" t="s">
        <v>82</v>
      </c>
      <c r="H11" s="228"/>
      <c r="I11" s="223">
        <v>0.21278</v>
      </c>
      <c r="J11" s="229">
        <v>0</v>
      </c>
      <c r="K11" s="229">
        <v>500</v>
      </c>
      <c r="L11" s="229" t="s">
        <v>258</v>
      </c>
      <c r="M11" s="229" t="s">
        <v>257</v>
      </c>
      <c r="N11" s="230" t="str">
        <f>IF(ISERROR(MATCH(A11,MemMap!$A$4:$A$98,0)) = FALSE, INDEX(MemMap!$B$4:$B$98,MATCH(A11,MemMap!$A$4:$A$98,0)),IF(F11="Y","TunSetCalSeg",IF(G11="Y", "FlashCalSeg", IF(G11="N", "FlashAppSeg", ""))))</f>
        <v>FlashAppSeg</v>
      </c>
      <c r="O11" s="220"/>
      <c r="P11" s="220"/>
      <c r="Q11" s="221"/>
      <c r="R11" s="221"/>
    </row>
    <row r="12" spans="1:18" ht="33.75" x14ac:dyDescent="0.2">
      <c r="A12" s="224" t="s">
        <v>1866</v>
      </c>
      <c r="B12" s="225" t="s">
        <v>1867</v>
      </c>
      <c r="C12" s="226" t="s">
        <v>1862</v>
      </c>
      <c r="D12" s="226" t="s">
        <v>229</v>
      </c>
      <c r="E12" s="226" t="s">
        <v>1868</v>
      </c>
      <c r="F12" s="227" t="s">
        <v>82</v>
      </c>
      <c r="G12" s="228" t="s">
        <v>82</v>
      </c>
      <c r="H12" s="228"/>
      <c r="I12" s="223">
        <v>5</v>
      </c>
      <c r="J12" s="229">
        <v>0</v>
      </c>
      <c r="K12" s="229">
        <v>1620</v>
      </c>
      <c r="L12" s="229" t="s">
        <v>264</v>
      </c>
      <c r="M12" s="229" t="s">
        <v>257</v>
      </c>
      <c r="N12" s="230" t="str">
        <f>IF(ISERROR(MATCH(A12,MemMap!$A$4:$A$98,0)) = FALSE, INDEX(MemMap!$B$4:$B$98,MATCH(A12,MemMap!$A$4:$A$98,0)),IF(F12="Y","TunSetCalSeg",IF(G12="Y", "FlashCalSeg", IF(G12="N", "FlashAppSeg", ""))))</f>
        <v>FlashAppSeg</v>
      </c>
      <c r="O12" s="220"/>
      <c r="P12" s="220"/>
      <c r="Q12" s="221"/>
      <c r="R12" s="221"/>
    </row>
    <row r="13" spans="1:18" ht="45" x14ac:dyDescent="0.2">
      <c r="A13" s="224" t="s">
        <v>1872</v>
      </c>
      <c r="B13" s="225" t="s">
        <v>1873</v>
      </c>
      <c r="C13" s="226" t="s">
        <v>1862</v>
      </c>
      <c r="D13" s="226" t="s">
        <v>229</v>
      </c>
      <c r="E13" s="226" t="s">
        <v>1874</v>
      </c>
      <c r="F13" s="227" t="s">
        <v>82</v>
      </c>
      <c r="G13" s="228" t="s">
        <v>82</v>
      </c>
      <c r="H13" s="228"/>
      <c r="I13" s="223">
        <v>1</v>
      </c>
      <c r="J13" s="229">
        <v>0</v>
      </c>
      <c r="K13" s="229">
        <v>1</v>
      </c>
      <c r="L13" s="229" t="s">
        <v>256</v>
      </c>
      <c r="M13" s="229" t="s">
        <v>257</v>
      </c>
      <c r="N13" s="230" t="str">
        <f>IF(ISERROR(MATCH(A13,MemMap!$A$4:$A$98,0)) = FALSE, INDEX(MemMap!$B$4:$B$98,MATCH(A13,MemMap!$A$4:$A$98,0)),IF(F13="Y","TunSetCalSeg",IF(G13="Y", "FlashCalSeg", IF(G13="N", "FlashAppSeg", ""))))</f>
        <v>FlashAppSeg</v>
      </c>
      <c r="O13" s="220"/>
      <c r="P13" s="220"/>
      <c r="Q13" s="221"/>
      <c r="R13" s="221"/>
    </row>
    <row r="14" spans="1:18" ht="45" x14ac:dyDescent="0.2">
      <c r="A14" s="224" t="s">
        <v>1878</v>
      </c>
      <c r="B14" s="225" t="s">
        <v>268</v>
      </c>
      <c r="C14" s="226" t="s">
        <v>1862</v>
      </c>
      <c r="D14" s="226" t="s">
        <v>229</v>
      </c>
      <c r="E14" s="226" t="s">
        <v>1879</v>
      </c>
      <c r="F14" s="227" t="s">
        <v>82</v>
      </c>
      <c r="G14" s="228" t="s">
        <v>82</v>
      </c>
      <c r="H14" s="228"/>
      <c r="I14" s="223">
        <v>2100</v>
      </c>
      <c r="J14" s="229">
        <v>0</v>
      </c>
      <c r="K14" s="229">
        <v>5000</v>
      </c>
      <c r="L14" s="229" t="s">
        <v>264</v>
      </c>
      <c r="M14" s="229" t="s">
        <v>257</v>
      </c>
      <c r="N14" s="230" t="str">
        <f>IF(ISERROR(MATCH(A14,MemMap!$A$4:$A$98,0)) = FALSE, INDEX(MemMap!$B$4:$B$98,MATCH(A14,MemMap!$A$4:$A$98,0)),IF(F14="Y","TunSetCalSeg",IF(G14="Y", "FlashCalSeg", IF(G14="N", "FlashAppSeg", ""))))</f>
        <v>FlashAppSeg</v>
      </c>
      <c r="O14" s="220"/>
      <c r="P14" s="220"/>
      <c r="Q14" s="221"/>
      <c r="R14" s="221"/>
    </row>
    <row r="15" spans="1:18" ht="45" x14ac:dyDescent="0.2">
      <c r="A15" s="224" t="s">
        <v>2258</v>
      </c>
      <c r="B15" s="225" t="s">
        <v>2259</v>
      </c>
      <c r="C15" s="226" t="s">
        <v>1862</v>
      </c>
      <c r="D15" s="226" t="s">
        <v>229</v>
      </c>
      <c r="E15" s="226" t="s">
        <v>2260</v>
      </c>
      <c r="F15" s="227" t="s">
        <v>82</v>
      </c>
      <c r="G15" s="228" t="s">
        <v>82</v>
      </c>
      <c r="H15" s="228"/>
      <c r="I15" s="223">
        <v>1</v>
      </c>
      <c r="J15" s="229">
        <v>0</v>
      </c>
      <c r="K15" s="229">
        <v>1</v>
      </c>
      <c r="L15" s="229" t="s">
        <v>256</v>
      </c>
      <c r="M15" s="229" t="s">
        <v>257</v>
      </c>
      <c r="N15" s="230" t="str">
        <f>IF(ISERROR(MATCH(A15,MemMap!$A$4:$A$98,0)) = FALSE, INDEX(MemMap!$B$4:$B$98,MATCH(A15,MemMap!$A$4:$A$98,0)),IF(F15="Y","TunSetCalSeg",IF(G15="Y", "FlashCalSeg", IF(G15="N", "FlashAppSeg", ""))))</f>
        <v>FlashAppSeg</v>
      </c>
      <c r="O15" s="220"/>
      <c r="P15" s="220"/>
      <c r="Q15" s="221"/>
      <c r="R15" s="221"/>
    </row>
    <row r="16" spans="1:18" ht="45" x14ac:dyDescent="0.2">
      <c r="A16" s="224" t="s">
        <v>1875</v>
      </c>
      <c r="B16" s="225" t="s">
        <v>1876</v>
      </c>
      <c r="C16" s="226" t="s">
        <v>1862</v>
      </c>
      <c r="D16" s="226" t="s">
        <v>229</v>
      </c>
      <c r="E16" s="226" t="s">
        <v>1877</v>
      </c>
      <c r="F16" s="227" t="s">
        <v>82</v>
      </c>
      <c r="G16" s="228" t="s">
        <v>82</v>
      </c>
      <c r="H16" s="228"/>
      <c r="I16" s="223">
        <v>5</v>
      </c>
      <c r="J16" s="229">
        <v>0</v>
      </c>
      <c r="K16" s="229">
        <v>1600</v>
      </c>
      <c r="L16" s="229" t="s">
        <v>264</v>
      </c>
      <c r="M16" s="229" t="s">
        <v>257</v>
      </c>
      <c r="N16" s="230" t="str">
        <f>IF(ISERROR(MATCH(A16,MemMap!$A$4:$A$98,0)) = FALSE, INDEX(MemMap!$B$4:$B$98,MATCH(A16,MemMap!$A$4:$A$98,0)),IF(F16="Y","TunSetCalSeg",IF(G16="Y", "FlashCalSeg", IF(G16="N", "FlashAppSeg", ""))))</f>
        <v>FlashAppSeg</v>
      </c>
      <c r="O16" s="220"/>
      <c r="P16" s="220"/>
      <c r="Q16" s="221"/>
      <c r="R16" s="221"/>
    </row>
    <row r="17" spans="1:18" ht="45" x14ac:dyDescent="0.2">
      <c r="A17" s="224" t="s">
        <v>2255</v>
      </c>
      <c r="B17" s="225" t="s">
        <v>2256</v>
      </c>
      <c r="C17" s="226" t="s">
        <v>1862</v>
      </c>
      <c r="D17" s="226" t="s">
        <v>229</v>
      </c>
      <c r="E17" s="226" t="s">
        <v>2257</v>
      </c>
      <c r="F17" s="227" t="s">
        <v>82</v>
      </c>
      <c r="G17" s="228" t="s">
        <v>82</v>
      </c>
      <c r="H17" s="228"/>
      <c r="I17" s="223">
        <v>1</v>
      </c>
      <c r="J17" s="229">
        <v>0</v>
      </c>
      <c r="K17" s="229">
        <v>1</v>
      </c>
      <c r="L17" s="229" t="s">
        <v>256</v>
      </c>
      <c r="M17" s="229" t="s">
        <v>257</v>
      </c>
      <c r="N17" s="230" t="str">
        <f>IF(ISERROR(MATCH(A17,MemMap!$A$4:$A$98,0)) = FALSE, INDEX(MemMap!$B$4:$B$98,MATCH(A17,MemMap!$A$4:$A$98,0)),IF(F17="Y","TunSetCalSeg",IF(G17="Y", "FlashCalSeg", IF(G17="N", "FlashAppSeg", ""))))</f>
        <v>FlashAppSeg</v>
      </c>
      <c r="O17" s="220"/>
      <c r="P17" s="220"/>
      <c r="Q17" s="221"/>
      <c r="R17" s="221"/>
    </row>
    <row r="18" spans="1:18" ht="56.25" x14ac:dyDescent="0.2">
      <c r="A18" s="224" t="s">
        <v>1869</v>
      </c>
      <c r="B18" s="225" t="s">
        <v>1870</v>
      </c>
      <c r="C18" s="226" t="s">
        <v>1862</v>
      </c>
      <c r="D18" s="226" t="s">
        <v>229</v>
      </c>
      <c r="E18" s="226" t="s">
        <v>1871</v>
      </c>
      <c r="F18" s="227" t="s">
        <v>82</v>
      </c>
      <c r="G18" s="228" t="s">
        <v>82</v>
      </c>
      <c r="H18" s="228"/>
      <c r="I18" s="223">
        <v>1</v>
      </c>
      <c r="J18" s="229">
        <v>0</v>
      </c>
      <c r="K18" s="229">
        <v>1</v>
      </c>
      <c r="L18" s="229" t="s">
        <v>256</v>
      </c>
      <c r="M18" s="229" t="s">
        <v>257</v>
      </c>
      <c r="N18" s="230" t="str">
        <f>IF(ISERROR(MATCH(A18,MemMap!$A$4:$A$98,0)) = FALSE, INDEX(MemMap!$B$4:$B$98,MATCH(A18,MemMap!$A$4:$A$98,0)),IF(F18="Y","TunSetCalSeg",IF(G18="Y", "FlashCalSeg", IF(G18="N", "FlashAppSeg", ""))))</f>
        <v>FlashAppSeg</v>
      </c>
      <c r="O18" s="220"/>
      <c r="P18" s="220"/>
      <c r="Q18" s="221"/>
      <c r="R18" s="221"/>
    </row>
    <row r="19" spans="1:18" ht="45" x14ac:dyDescent="0.2">
      <c r="A19" s="224" t="s">
        <v>1859</v>
      </c>
      <c r="B19" s="225" t="s">
        <v>1860</v>
      </c>
      <c r="C19" s="226" t="s">
        <v>1862</v>
      </c>
      <c r="D19" s="226" t="s">
        <v>229</v>
      </c>
      <c r="E19" s="226" t="s">
        <v>1861</v>
      </c>
      <c r="F19" s="227" t="s">
        <v>82</v>
      </c>
      <c r="G19" s="228" t="s">
        <v>82</v>
      </c>
      <c r="H19" s="228"/>
      <c r="I19" s="223" t="b">
        <v>0</v>
      </c>
      <c r="J19" s="229" t="b">
        <v>0</v>
      </c>
      <c r="K19" s="229" t="b">
        <v>1</v>
      </c>
      <c r="L19" s="229" t="s">
        <v>267</v>
      </c>
      <c r="M19" s="229" t="s">
        <v>462</v>
      </c>
      <c r="N19" s="230" t="str">
        <f>IF(ISERROR(MATCH(A19,MemMap!$A$4:$A$98,0)) = FALSE, INDEX(MemMap!$B$4:$B$98,MATCH(A19,MemMap!$A$4:$A$98,0)),IF(F19="Y","TunSetCalSeg",IF(G19="Y", "FlashCalSeg", IF(G19="N", "FlashAppSeg", ""))))</f>
        <v>FlashAppSeg</v>
      </c>
      <c r="O19" s="220"/>
      <c r="P19" s="220"/>
      <c r="Q19" s="221"/>
      <c r="R19" s="221"/>
    </row>
    <row r="20" spans="1:18" ht="33.75" x14ac:dyDescent="0.2">
      <c r="A20" s="224" t="s">
        <v>1894</v>
      </c>
      <c r="B20" s="225" t="s">
        <v>1895</v>
      </c>
      <c r="C20" s="226" t="s">
        <v>1862</v>
      </c>
      <c r="D20" s="226" t="s">
        <v>229</v>
      </c>
      <c r="E20" s="226" t="s">
        <v>2254</v>
      </c>
      <c r="F20" s="227" t="s">
        <v>82</v>
      </c>
      <c r="G20" s="228" t="s">
        <v>82</v>
      </c>
      <c r="H20" s="228"/>
      <c r="I20" s="223">
        <v>1600</v>
      </c>
      <c r="J20" s="229">
        <v>0</v>
      </c>
      <c r="K20" s="229">
        <v>1600</v>
      </c>
      <c r="L20" s="229" t="s">
        <v>264</v>
      </c>
      <c r="M20" s="229" t="s">
        <v>257</v>
      </c>
      <c r="N20" s="230" t="str">
        <f>IF(ISERROR(MATCH(A20,MemMap!$A$4:$A$98,0)) = FALSE, INDEX(MemMap!$B$4:$B$98,MATCH(A20,MemMap!$A$4:$A$98,0)),IF(F20="Y","TunSetCalSeg",IF(G20="Y", "FlashCalSeg", IF(G20="N", "FlashAppSeg", ""))))</f>
        <v>FlashAppSeg</v>
      </c>
      <c r="O20" s="220"/>
      <c r="P20" s="220"/>
      <c r="Q20" s="221"/>
      <c r="R20" s="221"/>
    </row>
    <row r="21" spans="1:18" ht="33.75" x14ac:dyDescent="0.2">
      <c r="A21" s="224" t="s">
        <v>286</v>
      </c>
      <c r="B21" s="225" t="s">
        <v>3589</v>
      </c>
      <c r="C21" s="226" t="s">
        <v>272</v>
      </c>
      <c r="D21" s="226" t="s">
        <v>202</v>
      </c>
      <c r="E21" s="226" t="s">
        <v>287</v>
      </c>
      <c r="F21" s="227" t="s">
        <v>81</v>
      </c>
      <c r="G21" s="228" t="s">
        <v>81</v>
      </c>
      <c r="H21" s="228"/>
      <c r="I21" s="223">
        <v>1</v>
      </c>
      <c r="J21" s="229">
        <v>0</v>
      </c>
      <c r="K21" s="229">
        <v>1</v>
      </c>
      <c r="L21" s="229" t="s">
        <v>288</v>
      </c>
      <c r="M21" s="229" t="s">
        <v>257</v>
      </c>
      <c r="N21" s="230" t="str">
        <f>IF(ISERROR(MATCH(A21,MemMap!$A$4:$A$98,0)) = FALSE, INDEX(MemMap!$B$4:$B$98,MATCH(A21,MemMap!$A$4:$A$98,0)),IF(F21="Y","TunSetCalSeg",IF(G21="Y", "FlashCalSeg", IF(G21="N", "FlashAppSeg", ""))))</f>
        <v>TunSetCalSeg</v>
      </c>
      <c r="O21" s="220"/>
      <c r="P21" s="220"/>
      <c r="Q21" s="221"/>
      <c r="R21" s="221"/>
    </row>
    <row r="22" spans="1:18" ht="33.75" x14ac:dyDescent="0.2">
      <c r="A22" s="224" t="s">
        <v>284</v>
      </c>
      <c r="B22" s="225" t="s">
        <v>3588</v>
      </c>
      <c r="C22" s="226" t="s">
        <v>272</v>
      </c>
      <c r="D22" s="226" t="s">
        <v>202</v>
      </c>
      <c r="E22" s="226" t="s">
        <v>285</v>
      </c>
      <c r="F22" s="227" t="s">
        <v>81</v>
      </c>
      <c r="G22" s="228" t="s">
        <v>81</v>
      </c>
      <c r="H22" s="228"/>
      <c r="I22" s="223">
        <v>45</v>
      </c>
      <c r="J22" s="229">
        <v>0</v>
      </c>
      <c r="K22" s="229">
        <v>900</v>
      </c>
      <c r="L22" s="229" t="s">
        <v>264</v>
      </c>
      <c r="M22" s="229" t="s">
        <v>257</v>
      </c>
      <c r="N22" s="230" t="str">
        <f>IF(ISERROR(MATCH(A22,MemMap!$A$4:$A$98,0)) = FALSE, INDEX(MemMap!$B$4:$B$98,MATCH(A22,MemMap!$A$4:$A$98,0)),IF(F22="Y","TunSetCalSeg",IF(G22="Y", "FlashCalSeg", IF(G22="N", "FlashAppSeg", ""))))</f>
        <v>TunSetCalSeg</v>
      </c>
      <c r="O22" s="220"/>
      <c r="P22" s="220"/>
      <c r="Q22" s="221"/>
      <c r="R22" s="221"/>
    </row>
    <row r="23" spans="1:18" ht="33.75" x14ac:dyDescent="0.2">
      <c r="A23" s="224" t="s">
        <v>282</v>
      </c>
      <c r="B23" s="225" t="s">
        <v>3587</v>
      </c>
      <c r="C23" s="226" t="s">
        <v>272</v>
      </c>
      <c r="D23" s="226" t="s">
        <v>202</v>
      </c>
      <c r="E23" s="226" t="s">
        <v>283</v>
      </c>
      <c r="F23" s="227" t="s">
        <v>81</v>
      </c>
      <c r="G23" s="228" t="s">
        <v>81</v>
      </c>
      <c r="H23" s="228"/>
      <c r="I23" s="223">
        <v>2.8</v>
      </c>
      <c r="J23" s="229">
        <v>0</v>
      </c>
      <c r="K23" s="229">
        <v>10</v>
      </c>
      <c r="L23" s="229" t="s">
        <v>261</v>
      </c>
      <c r="M23" s="229" t="s">
        <v>257</v>
      </c>
      <c r="N23" s="230" t="str">
        <f>IF(ISERROR(MATCH(A23,MemMap!$A$4:$A$98,0)) = FALSE, INDEX(MemMap!$B$4:$B$98,MATCH(A23,MemMap!$A$4:$A$98,0)),IF(F23="Y","TunSetCalSeg",IF(G23="Y", "FlashCalSeg", IF(G23="N", "FlashAppSeg", ""))))</f>
        <v>TunSetCalSeg</v>
      </c>
      <c r="O23" s="220"/>
      <c r="P23" s="220"/>
      <c r="Q23" s="221"/>
      <c r="R23" s="221"/>
    </row>
    <row r="24" spans="1:18" ht="33.75" x14ac:dyDescent="0.2">
      <c r="A24" s="224" t="s">
        <v>289</v>
      </c>
      <c r="B24" s="225" t="s">
        <v>3590</v>
      </c>
      <c r="C24" s="226" t="s">
        <v>272</v>
      </c>
      <c r="D24" s="226" t="s">
        <v>202</v>
      </c>
      <c r="E24" s="226" t="s">
        <v>290</v>
      </c>
      <c r="F24" s="227" t="s">
        <v>81</v>
      </c>
      <c r="G24" s="228" t="s">
        <v>81</v>
      </c>
      <c r="H24" s="228"/>
      <c r="I24" s="223">
        <v>10</v>
      </c>
      <c r="J24" s="229">
        <v>0</v>
      </c>
      <c r="K24" s="229">
        <v>1500</v>
      </c>
      <c r="L24" s="229" t="s">
        <v>281</v>
      </c>
      <c r="M24" s="229" t="s">
        <v>257</v>
      </c>
      <c r="N24" s="230" t="str">
        <f>IF(ISERROR(MATCH(A24,MemMap!$A$4:$A$98,0)) = FALSE, INDEX(MemMap!$B$4:$B$98,MATCH(A24,MemMap!$A$4:$A$98,0)),IF(F24="Y","TunSetCalSeg",IF(G24="Y", "FlashCalSeg", IF(G24="N", "FlashAppSeg", ""))))</f>
        <v>TunSetCalSeg</v>
      </c>
      <c r="O24" s="220"/>
      <c r="P24" s="220"/>
      <c r="Q24" s="221"/>
      <c r="R24" s="221"/>
    </row>
    <row r="25" spans="1:18" ht="33.75" x14ac:dyDescent="0.2">
      <c r="A25" s="224" t="s">
        <v>3573</v>
      </c>
      <c r="B25" s="225" t="s">
        <v>3574</v>
      </c>
      <c r="C25" s="226" t="s">
        <v>272</v>
      </c>
      <c r="D25" s="226" t="s">
        <v>202</v>
      </c>
      <c r="E25" s="226" t="s">
        <v>3575</v>
      </c>
      <c r="F25" s="227" t="s">
        <v>81</v>
      </c>
      <c r="G25" s="228" t="s">
        <v>81</v>
      </c>
      <c r="H25" s="228"/>
      <c r="I25" s="223">
        <v>0.5</v>
      </c>
      <c r="J25" s="229">
        <v>0</v>
      </c>
      <c r="K25" s="229">
        <v>10</v>
      </c>
      <c r="L25" s="229" t="s">
        <v>3572</v>
      </c>
      <c r="M25" s="229" t="s">
        <v>257</v>
      </c>
      <c r="N25" s="230" t="str">
        <f>IF(ISERROR(MATCH(A25,MemMap!$A$4:$A$98,0)) = FALSE, INDEX(MemMap!$B$4:$B$98,MATCH(A25,MemMap!$A$4:$A$98,0)),IF(F25="Y","TunSetCalSeg",IF(G25="Y", "FlashCalSeg", IF(G25="N", "FlashAppSeg", ""))))</f>
        <v>TunSetCalSeg</v>
      </c>
      <c r="O25" s="220"/>
      <c r="P25" s="220"/>
      <c r="Q25" s="221"/>
      <c r="R25" s="221"/>
    </row>
    <row r="26" spans="1:18" ht="45" x14ac:dyDescent="0.2">
      <c r="A26" s="224" t="s">
        <v>301</v>
      </c>
      <c r="B26" s="225" t="s">
        <v>3595</v>
      </c>
      <c r="C26" s="226" t="s">
        <v>272</v>
      </c>
      <c r="D26" s="226" t="s">
        <v>202</v>
      </c>
      <c r="E26" s="226" t="s">
        <v>302</v>
      </c>
      <c r="F26" s="227" t="s">
        <v>81</v>
      </c>
      <c r="G26" s="228" t="s">
        <v>81</v>
      </c>
      <c r="H26" s="228"/>
      <c r="I26" s="223">
        <v>2000</v>
      </c>
      <c r="J26" s="229">
        <v>0</v>
      </c>
      <c r="K26" s="229">
        <v>60000</v>
      </c>
      <c r="L26" s="229" t="s">
        <v>269</v>
      </c>
      <c r="M26" s="229" t="s">
        <v>303</v>
      </c>
      <c r="N26" s="230" t="str">
        <f>IF(ISERROR(MATCH(A26,MemMap!$A$4:$A$98,0)) = FALSE, INDEX(MemMap!$B$4:$B$98,MATCH(A26,MemMap!$A$4:$A$98,0)),IF(F26="Y","TunSetCalSeg",IF(G26="Y", "FlashCalSeg", IF(G26="N", "FlashAppSeg", ""))))</f>
        <v>TunSetCalSeg</v>
      </c>
      <c r="O26" s="220"/>
      <c r="P26" s="220"/>
      <c r="Q26" s="221"/>
      <c r="R26" s="221"/>
    </row>
    <row r="27" spans="1:18" ht="33.75" x14ac:dyDescent="0.2">
      <c r="A27" s="224" t="s">
        <v>297</v>
      </c>
      <c r="B27" s="225" t="s">
        <v>3593</v>
      </c>
      <c r="C27" s="226" t="s">
        <v>272</v>
      </c>
      <c r="D27" s="226" t="s">
        <v>202</v>
      </c>
      <c r="E27" s="226" t="s">
        <v>298</v>
      </c>
      <c r="F27" s="227" t="s">
        <v>81</v>
      </c>
      <c r="G27" s="228" t="s">
        <v>81</v>
      </c>
      <c r="H27" s="228"/>
      <c r="I27" s="223">
        <v>160</v>
      </c>
      <c r="J27" s="229">
        <v>0</v>
      </c>
      <c r="K27" s="229">
        <v>511</v>
      </c>
      <c r="L27" s="229" t="s">
        <v>296</v>
      </c>
      <c r="M27" s="229" t="s">
        <v>257</v>
      </c>
      <c r="N27" s="230" t="str">
        <f>IF(ISERROR(MATCH(A27,MemMap!$A$4:$A$98,0)) = FALSE, INDEX(MemMap!$B$4:$B$98,MATCH(A27,MemMap!$A$4:$A$98,0)),IF(F27="Y","TunSetCalSeg",IF(G27="Y", "FlashCalSeg", IF(G27="N", "FlashAppSeg", ""))))</f>
        <v>TunSetCalSeg</v>
      </c>
      <c r="O27" s="220"/>
      <c r="P27" s="220"/>
      <c r="Q27" s="221"/>
      <c r="R27" s="221"/>
    </row>
    <row r="28" spans="1:18" ht="33.75" x14ac:dyDescent="0.2">
      <c r="A28" s="224" t="s">
        <v>294</v>
      </c>
      <c r="B28" s="225" t="s">
        <v>3592</v>
      </c>
      <c r="C28" s="226" t="s">
        <v>272</v>
      </c>
      <c r="D28" s="226" t="s">
        <v>202</v>
      </c>
      <c r="E28" s="226" t="s">
        <v>295</v>
      </c>
      <c r="F28" s="227" t="s">
        <v>81</v>
      </c>
      <c r="G28" s="228" t="s">
        <v>81</v>
      </c>
      <c r="H28" s="228"/>
      <c r="I28" s="223">
        <v>60</v>
      </c>
      <c r="J28" s="229">
        <v>0</v>
      </c>
      <c r="K28" s="229">
        <v>511</v>
      </c>
      <c r="L28" s="229" t="s">
        <v>296</v>
      </c>
      <c r="M28" s="229" t="s">
        <v>257</v>
      </c>
      <c r="N28" s="230" t="str">
        <f>IF(ISERROR(MATCH(A28,MemMap!$A$4:$A$98,0)) = FALSE, INDEX(MemMap!$B$4:$B$98,MATCH(A28,MemMap!$A$4:$A$98,0)),IF(F28="Y","TunSetCalSeg",IF(G28="Y", "FlashCalSeg", IF(G28="N", "FlashAppSeg", ""))))</f>
        <v>TunSetCalSeg</v>
      </c>
      <c r="O28" s="220"/>
      <c r="P28" s="220"/>
      <c r="Q28" s="221"/>
      <c r="R28" s="221"/>
    </row>
    <row r="29" spans="1:18" ht="33.75" x14ac:dyDescent="0.2">
      <c r="A29" s="224" t="s">
        <v>291</v>
      </c>
      <c r="B29" s="225" t="s">
        <v>3591</v>
      </c>
      <c r="C29" s="226" t="s">
        <v>272</v>
      </c>
      <c r="D29" s="226" t="s">
        <v>202</v>
      </c>
      <c r="E29" s="226" t="s">
        <v>292</v>
      </c>
      <c r="F29" s="227" t="s">
        <v>81</v>
      </c>
      <c r="G29" s="228" t="s">
        <v>81</v>
      </c>
      <c r="H29" s="228"/>
      <c r="I29" s="223">
        <v>1</v>
      </c>
      <c r="J29" s="229">
        <v>0</v>
      </c>
      <c r="K29" s="229">
        <v>100</v>
      </c>
      <c r="L29" s="229" t="s">
        <v>293</v>
      </c>
      <c r="M29" s="229" t="s">
        <v>257</v>
      </c>
      <c r="N29" s="230" t="str">
        <f>IF(ISERROR(MATCH(A29,MemMap!$A$4:$A$98,0)) = FALSE, INDEX(MemMap!$B$4:$B$98,MATCH(A29,MemMap!$A$4:$A$98,0)),IF(F29="Y","TunSetCalSeg",IF(G29="Y", "FlashCalSeg", IF(G29="N", "FlashAppSeg", ""))))</f>
        <v>TunSetCalSeg</v>
      </c>
      <c r="O29" s="220"/>
      <c r="P29" s="220"/>
      <c r="Q29" s="221"/>
      <c r="R29" s="221"/>
    </row>
    <row r="30" spans="1:18" ht="33.75" x14ac:dyDescent="0.2">
      <c r="A30" s="224" t="s">
        <v>299</v>
      </c>
      <c r="B30" s="225" t="s">
        <v>3594</v>
      </c>
      <c r="C30" s="226" t="s">
        <v>272</v>
      </c>
      <c r="D30" s="226" t="s">
        <v>202</v>
      </c>
      <c r="E30" s="226" t="s">
        <v>300</v>
      </c>
      <c r="F30" s="227" t="s">
        <v>81</v>
      </c>
      <c r="G30" s="228" t="s">
        <v>81</v>
      </c>
      <c r="H30" s="228"/>
      <c r="I30" s="223">
        <v>1</v>
      </c>
      <c r="J30" s="229">
        <v>0</v>
      </c>
      <c r="K30" s="229">
        <v>120</v>
      </c>
      <c r="L30" s="229" t="s">
        <v>281</v>
      </c>
      <c r="M30" s="229" t="s">
        <v>257</v>
      </c>
      <c r="N30" s="230" t="str">
        <f>IF(ISERROR(MATCH(A30,MemMap!$A$4:$A$98,0)) = FALSE, INDEX(MemMap!$B$4:$B$98,MATCH(A30,MemMap!$A$4:$A$98,0)),IF(F30="Y","TunSetCalSeg",IF(G30="Y", "FlashCalSeg", IF(G30="N", "FlashAppSeg", ""))))</f>
        <v>TunSetCalSeg</v>
      </c>
      <c r="O30" s="220"/>
      <c r="P30" s="220"/>
      <c r="Q30" s="221"/>
      <c r="R30" s="221"/>
    </row>
    <row r="31" spans="1:18" ht="67.5" x14ac:dyDescent="0.2">
      <c r="A31" s="224" t="s">
        <v>319</v>
      </c>
      <c r="B31" s="225" t="s">
        <v>3603</v>
      </c>
      <c r="C31" s="226" t="s">
        <v>272</v>
      </c>
      <c r="D31" s="226" t="s">
        <v>202</v>
      </c>
      <c r="E31" s="226" t="s">
        <v>320</v>
      </c>
      <c r="F31" s="227" t="s">
        <v>81</v>
      </c>
      <c r="G31" s="228" t="s">
        <v>81</v>
      </c>
      <c r="H31" s="228"/>
      <c r="I31" s="223">
        <v>0.25</v>
      </c>
      <c r="J31" s="229">
        <v>0</v>
      </c>
      <c r="K31" s="229">
        <v>10</v>
      </c>
      <c r="L31" s="229" t="s">
        <v>261</v>
      </c>
      <c r="M31" s="229" t="s">
        <v>257</v>
      </c>
      <c r="N31" s="230" t="str">
        <f>IF(ISERROR(MATCH(A31,MemMap!$A$4:$A$98,0)) = FALSE, INDEX(MemMap!$B$4:$B$98,MATCH(A31,MemMap!$A$4:$A$98,0)),IF(F31="Y","TunSetCalSeg",IF(G31="Y", "FlashCalSeg", IF(G31="N", "FlashAppSeg", ""))))</f>
        <v>TunSetCalSeg</v>
      </c>
      <c r="O31" s="220"/>
      <c r="P31" s="220"/>
      <c r="Q31" s="221"/>
      <c r="R31" s="221"/>
    </row>
    <row r="32" spans="1:18" ht="45" x14ac:dyDescent="0.2">
      <c r="A32" s="224" t="s">
        <v>3576</v>
      </c>
      <c r="B32" s="225" t="s">
        <v>3577</v>
      </c>
      <c r="C32" s="226" t="s">
        <v>272</v>
      </c>
      <c r="D32" s="226" t="s">
        <v>202</v>
      </c>
      <c r="E32" s="226" t="s">
        <v>331</v>
      </c>
      <c r="F32" s="227" t="s">
        <v>81</v>
      </c>
      <c r="G32" s="228" t="s">
        <v>81</v>
      </c>
      <c r="H32" s="228"/>
      <c r="I32" s="223">
        <v>0.05</v>
      </c>
      <c r="J32" s="229">
        <v>2.5000000000000001E-2</v>
      </c>
      <c r="K32" s="229">
        <v>0.1</v>
      </c>
      <c r="L32" s="229" t="s">
        <v>962</v>
      </c>
      <c r="M32" s="229" t="s">
        <v>257</v>
      </c>
      <c r="N32" s="230" t="str">
        <f>IF(ISERROR(MATCH(A32,MemMap!$A$4:$A$98,0)) = FALSE, INDEX(MemMap!$B$4:$B$98,MATCH(A32,MemMap!$A$4:$A$98,0)),IF(F32="Y","TunSetCalSeg",IF(G32="Y", "FlashCalSeg", IF(G32="N", "FlashAppSeg", ""))))</f>
        <v>TunSetCalSeg</v>
      </c>
      <c r="O32" s="220"/>
      <c r="P32" s="220"/>
      <c r="Q32" s="221"/>
      <c r="R32" s="221"/>
    </row>
    <row r="33" spans="1:18" ht="33.75" x14ac:dyDescent="0.2">
      <c r="A33" s="224" t="s">
        <v>273</v>
      </c>
      <c r="B33" s="225" t="s">
        <v>3582</v>
      </c>
      <c r="C33" s="226" t="s">
        <v>272</v>
      </c>
      <c r="D33" s="226" t="s">
        <v>202</v>
      </c>
      <c r="E33" s="226" t="s">
        <v>274</v>
      </c>
      <c r="F33" s="227" t="s">
        <v>81</v>
      </c>
      <c r="G33" s="228" t="s">
        <v>81</v>
      </c>
      <c r="H33" s="228"/>
      <c r="I33" s="223">
        <v>20</v>
      </c>
      <c r="J33" s="229">
        <v>0.1</v>
      </c>
      <c r="K33" s="229">
        <v>100</v>
      </c>
      <c r="L33" s="229" t="s">
        <v>258</v>
      </c>
      <c r="M33" s="229" t="s">
        <v>257</v>
      </c>
      <c r="N33" s="230" t="str">
        <f>IF(ISERROR(MATCH(A33,MemMap!$A$4:$A$98,0)) = FALSE, INDEX(MemMap!$B$4:$B$98,MATCH(A33,MemMap!$A$4:$A$98,0)),IF(F33="Y","TunSetCalSeg",IF(G33="Y", "FlashCalSeg", IF(G33="N", "FlashAppSeg", ""))))</f>
        <v>TunSetCalSeg</v>
      </c>
      <c r="O33" s="220"/>
      <c r="P33" s="220"/>
      <c r="Q33" s="221"/>
      <c r="R33" s="221"/>
    </row>
    <row r="34" spans="1:18" ht="33.75" x14ac:dyDescent="0.2">
      <c r="A34" s="224" t="s">
        <v>325</v>
      </c>
      <c r="B34" s="225" t="s">
        <v>3606</v>
      </c>
      <c r="C34" s="226" t="s">
        <v>272</v>
      </c>
      <c r="D34" s="226" t="s">
        <v>202</v>
      </c>
      <c r="E34" s="226" t="s">
        <v>326</v>
      </c>
      <c r="F34" s="227" t="s">
        <v>81</v>
      </c>
      <c r="G34" s="228" t="s">
        <v>81</v>
      </c>
      <c r="H34" s="228"/>
      <c r="I34" s="223">
        <v>0.5</v>
      </c>
      <c r="J34" s="229">
        <v>0.01</v>
      </c>
      <c r="K34" s="229">
        <v>100</v>
      </c>
      <c r="L34" s="229" t="s">
        <v>258</v>
      </c>
      <c r="M34" s="229" t="s">
        <v>257</v>
      </c>
      <c r="N34" s="230" t="str">
        <f>IF(ISERROR(MATCH(A34,MemMap!$A$4:$A$98,0)) = FALSE, INDEX(MemMap!$B$4:$B$98,MATCH(A34,MemMap!$A$4:$A$98,0)),IF(F34="Y","TunSetCalSeg",IF(G34="Y", "FlashCalSeg", IF(G34="N", "FlashAppSeg", ""))))</f>
        <v>TunSetCalSeg</v>
      </c>
      <c r="O34" s="220"/>
      <c r="P34" s="220"/>
      <c r="Q34" s="221"/>
      <c r="R34" s="221"/>
    </row>
    <row r="35" spans="1:18" ht="56.25" x14ac:dyDescent="0.2">
      <c r="A35" s="224" t="s">
        <v>327</v>
      </c>
      <c r="B35" s="225" t="s">
        <v>3607</v>
      </c>
      <c r="C35" s="226" t="s">
        <v>272</v>
      </c>
      <c r="D35" s="226" t="s">
        <v>202</v>
      </c>
      <c r="E35" s="226" t="s">
        <v>328</v>
      </c>
      <c r="F35" s="227" t="s">
        <v>81</v>
      </c>
      <c r="G35" s="228" t="s">
        <v>81</v>
      </c>
      <c r="H35" s="228"/>
      <c r="I35" s="223">
        <v>3</v>
      </c>
      <c r="J35" s="229">
        <v>0</v>
      </c>
      <c r="K35" s="229">
        <v>10</v>
      </c>
      <c r="L35" s="229" t="s">
        <v>261</v>
      </c>
      <c r="M35" s="229" t="s">
        <v>257</v>
      </c>
      <c r="N35" s="230" t="str">
        <f>IF(ISERROR(MATCH(A35,MemMap!$A$4:$A$98,0)) = FALSE, INDEX(MemMap!$B$4:$B$98,MATCH(A35,MemMap!$A$4:$A$98,0)),IF(F35="Y","TunSetCalSeg",IF(G35="Y", "FlashCalSeg", IF(G35="N", "FlashAppSeg", ""))))</f>
        <v>TunSetCalSeg</v>
      </c>
      <c r="O35" s="220"/>
      <c r="P35" s="220"/>
      <c r="Q35" s="221"/>
      <c r="R35" s="221"/>
    </row>
    <row r="36" spans="1:18" ht="33.75" x14ac:dyDescent="0.2">
      <c r="A36" s="224" t="s">
        <v>323</v>
      </c>
      <c r="B36" s="225" t="s">
        <v>3605</v>
      </c>
      <c r="C36" s="226" t="s">
        <v>272</v>
      </c>
      <c r="D36" s="226" t="s">
        <v>202</v>
      </c>
      <c r="E36" s="226" t="s">
        <v>324</v>
      </c>
      <c r="F36" s="227" t="s">
        <v>81</v>
      </c>
      <c r="G36" s="228" t="s">
        <v>81</v>
      </c>
      <c r="H36" s="228"/>
      <c r="I36" s="223">
        <v>45</v>
      </c>
      <c r="J36" s="229">
        <v>5</v>
      </c>
      <c r="K36" s="229">
        <v>120</v>
      </c>
      <c r="L36" s="229" t="s">
        <v>134</v>
      </c>
      <c r="M36" s="229" t="s">
        <v>257</v>
      </c>
      <c r="N36" s="230" t="str">
        <f>IF(ISERROR(MATCH(A36,MemMap!$A$4:$A$98,0)) = FALSE, INDEX(MemMap!$B$4:$B$98,MATCH(A36,MemMap!$A$4:$A$98,0)),IF(F36="Y","TunSetCalSeg",IF(G36="Y", "FlashCalSeg", IF(G36="N", "FlashAppSeg", ""))))</f>
        <v>TunSetCalSeg</v>
      </c>
      <c r="O36" s="220"/>
      <c r="P36" s="220"/>
      <c r="Q36" s="221"/>
      <c r="R36" s="221"/>
    </row>
    <row r="37" spans="1:18" ht="33.75" x14ac:dyDescent="0.2">
      <c r="A37" s="224" t="s">
        <v>321</v>
      </c>
      <c r="B37" s="225" t="s">
        <v>3604</v>
      </c>
      <c r="C37" s="226" t="s">
        <v>272</v>
      </c>
      <c r="D37" s="226" t="s">
        <v>202</v>
      </c>
      <c r="E37" s="226" t="s">
        <v>322</v>
      </c>
      <c r="F37" s="227" t="s">
        <v>81</v>
      </c>
      <c r="G37" s="228" t="s">
        <v>81</v>
      </c>
      <c r="H37" s="228"/>
      <c r="I37" s="223">
        <v>0.5</v>
      </c>
      <c r="J37" s="229">
        <v>0</v>
      </c>
      <c r="K37" s="229">
        <v>10</v>
      </c>
      <c r="L37" s="229" t="s">
        <v>261</v>
      </c>
      <c r="M37" s="229" t="s">
        <v>257</v>
      </c>
      <c r="N37" s="230" t="str">
        <f>IF(ISERROR(MATCH(A37,MemMap!$A$4:$A$98,0)) = FALSE, INDEX(MemMap!$B$4:$B$98,MATCH(A37,MemMap!$A$4:$A$98,0)),IF(F37="Y","TunSetCalSeg",IF(G37="Y", "FlashCalSeg", IF(G37="N", "FlashAppSeg", ""))))</f>
        <v>TunSetCalSeg</v>
      </c>
      <c r="O37" s="220"/>
      <c r="P37" s="220"/>
      <c r="Q37" s="221"/>
      <c r="R37" s="221"/>
    </row>
    <row r="38" spans="1:18" ht="33.75" x14ac:dyDescent="0.2">
      <c r="A38" s="224" t="s">
        <v>341</v>
      </c>
      <c r="B38" s="225" t="s">
        <v>3611</v>
      </c>
      <c r="C38" s="226" t="s">
        <v>272</v>
      </c>
      <c r="D38" s="226" t="s">
        <v>202</v>
      </c>
      <c r="E38" s="226" t="s">
        <v>342</v>
      </c>
      <c r="F38" s="227" t="s">
        <v>81</v>
      </c>
      <c r="G38" s="228" t="s">
        <v>81</v>
      </c>
      <c r="H38" s="228"/>
      <c r="I38" s="223">
        <v>100</v>
      </c>
      <c r="J38" s="229">
        <v>0</v>
      </c>
      <c r="K38" s="229">
        <v>100</v>
      </c>
      <c r="L38" s="229" t="s">
        <v>343</v>
      </c>
      <c r="M38" s="229" t="s">
        <v>257</v>
      </c>
      <c r="N38" s="230" t="str">
        <f>IF(ISERROR(MATCH(A38,MemMap!$A$4:$A$98,0)) = FALSE, INDEX(MemMap!$B$4:$B$98,MATCH(A38,MemMap!$A$4:$A$98,0)),IF(F38="Y","TunSetCalSeg",IF(G38="Y", "FlashCalSeg", IF(G38="N", "FlashAppSeg", ""))))</f>
        <v>TunSetCalSeg</v>
      </c>
      <c r="O38" s="220"/>
      <c r="P38" s="220"/>
      <c r="Q38" s="221"/>
      <c r="R38" s="221"/>
    </row>
    <row r="39" spans="1:18" ht="33.75" x14ac:dyDescent="0.2">
      <c r="A39" s="224" t="s">
        <v>3578</v>
      </c>
      <c r="B39" s="225" t="s">
        <v>3578</v>
      </c>
      <c r="C39" s="226" t="s">
        <v>272</v>
      </c>
      <c r="D39" s="226" t="s">
        <v>202</v>
      </c>
      <c r="E39" s="226" t="s">
        <v>3579</v>
      </c>
      <c r="F39" s="227" t="s">
        <v>81</v>
      </c>
      <c r="G39" s="228" t="s">
        <v>81</v>
      </c>
      <c r="H39" s="228"/>
      <c r="I39" s="223">
        <v>0.1</v>
      </c>
      <c r="J39" s="229">
        <v>0</v>
      </c>
      <c r="K39" s="229">
        <v>1</v>
      </c>
      <c r="L39" s="229" t="s">
        <v>256</v>
      </c>
      <c r="M39" s="229" t="s">
        <v>257</v>
      </c>
      <c r="N39" s="230" t="str">
        <f>IF(ISERROR(MATCH(A39,MemMap!$A$4:$A$98,0)) = FALSE, INDEX(MemMap!$B$4:$B$98,MATCH(A39,MemMap!$A$4:$A$98,0)),IF(F39="Y","TunSetCalSeg",IF(G39="Y", "FlashCalSeg", IF(G39="N", "FlashAppSeg", ""))))</f>
        <v>TunSetCalSeg</v>
      </c>
      <c r="O39" s="220"/>
      <c r="P39" s="220"/>
      <c r="Q39" s="221"/>
      <c r="R39" s="221"/>
    </row>
    <row r="40" spans="1:18" ht="33.75" x14ac:dyDescent="0.2">
      <c r="A40" s="224" t="s">
        <v>3580</v>
      </c>
      <c r="B40" s="225" t="s">
        <v>3580</v>
      </c>
      <c r="C40" s="226" t="s">
        <v>272</v>
      </c>
      <c r="D40" s="226" t="s">
        <v>202</v>
      </c>
      <c r="E40" s="226" t="s">
        <v>3581</v>
      </c>
      <c r="F40" s="227" t="s">
        <v>81</v>
      </c>
      <c r="G40" s="228" t="s">
        <v>81</v>
      </c>
      <c r="H40" s="228"/>
      <c r="I40" s="223">
        <v>0.1</v>
      </c>
      <c r="J40" s="229">
        <v>0</v>
      </c>
      <c r="K40" s="229">
        <v>1</v>
      </c>
      <c r="L40" s="229" t="s">
        <v>256</v>
      </c>
      <c r="M40" s="229" t="s">
        <v>257</v>
      </c>
      <c r="N40" s="230" t="str">
        <f>IF(ISERROR(MATCH(A40,MemMap!$A$4:$A$98,0)) = FALSE, INDEX(MemMap!$B$4:$B$98,MATCH(A40,MemMap!$A$4:$A$98,0)),IF(F40="Y","TunSetCalSeg",IF(G40="Y", "FlashCalSeg", IF(G40="N", "FlashAppSeg", ""))))</f>
        <v>TunSetCalSeg</v>
      </c>
      <c r="O40" s="220"/>
      <c r="P40" s="220"/>
      <c r="Q40" s="221"/>
      <c r="R40" s="221"/>
    </row>
    <row r="41" spans="1:18" ht="33.75" x14ac:dyDescent="0.2">
      <c r="A41" s="224" t="s">
        <v>317</v>
      </c>
      <c r="B41" s="225" t="s">
        <v>3602</v>
      </c>
      <c r="C41" s="226" t="s">
        <v>272</v>
      </c>
      <c r="D41" s="226" t="s">
        <v>202</v>
      </c>
      <c r="E41" s="226" t="s">
        <v>318</v>
      </c>
      <c r="F41" s="227" t="s">
        <v>81</v>
      </c>
      <c r="G41" s="228" t="s">
        <v>81</v>
      </c>
      <c r="H41" s="228"/>
      <c r="I41" s="223">
        <v>0.5</v>
      </c>
      <c r="J41" s="229">
        <v>0.01</v>
      </c>
      <c r="K41" s="229">
        <v>100</v>
      </c>
      <c r="L41" s="229" t="s">
        <v>258</v>
      </c>
      <c r="M41" s="229" t="s">
        <v>257</v>
      </c>
      <c r="N41" s="230" t="str">
        <f>IF(ISERROR(MATCH(A41,MemMap!$A$4:$A$98,0)) = FALSE, INDEX(MemMap!$B$4:$B$98,MATCH(A41,MemMap!$A$4:$A$98,0)),IF(F41="Y","TunSetCalSeg",IF(G41="Y", "FlashCalSeg", IF(G41="N", "FlashAppSeg", ""))))</f>
        <v>TunSetCalSeg</v>
      </c>
      <c r="O41" s="220"/>
      <c r="P41" s="220"/>
      <c r="Q41" s="221"/>
      <c r="R41" s="221"/>
    </row>
    <row r="42" spans="1:18" ht="56.25" x14ac:dyDescent="0.2">
      <c r="A42" s="224" t="s">
        <v>315</v>
      </c>
      <c r="B42" s="225" t="s">
        <v>3601</v>
      </c>
      <c r="C42" s="226" t="s">
        <v>272</v>
      </c>
      <c r="D42" s="226" t="s">
        <v>202</v>
      </c>
      <c r="E42" s="226" t="s">
        <v>316</v>
      </c>
      <c r="F42" s="227" t="s">
        <v>81</v>
      </c>
      <c r="G42" s="228" t="s">
        <v>81</v>
      </c>
      <c r="H42" s="228"/>
      <c r="I42" s="223">
        <v>3</v>
      </c>
      <c r="J42" s="229">
        <v>0</v>
      </c>
      <c r="K42" s="229">
        <v>10</v>
      </c>
      <c r="L42" s="229" t="s">
        <v>261</v>
      </c>
      <c r="M42" s="229" t="s">
        <v>257</v>
      </c>
      <c r="N42" s="230" t="str">
        <f>IF(ISERROR(MATCH(A42,MemMap!$A$4:$A$98,0)) = FALSE, INDEX(MemMap!$B$4:$B$98,MATCH(A42,MemMap!$A$4:$A$98,0)),IF(F42="Y","TunSetCalSeg",IF(G42="Y", "FlashCalSeg", IF(G42="N", "FlashAppSeg", ""))))</f>
        <v>TunSetCalSeg</v>
      </c>
      <c r="O42" s="220"/>
      <c r="P42" s="220"/>
      <c r="Q42" s="221"/>
      <c r="R42" s="221"/>
    </row>
    <row r="43" spans="1:18" ht="123.75" x14ac:dyDescent="0.2">
      <c r="A43" s="224" t="s">
        <v>309</v>
      </c>
      <c r="B43" s="225" t="s">
        <v>3598</v>
      </c>
      <c r="C43" s="226" t="s">
        <v>272</v>
      </c>
      <c r="D43" s="226" t="s">
        <v>202</v>
      </c>
      <c r="E43" s="226" t="s">
        <v>310</v>
      </c>
      <c r="F43" s="227" t="s">
        <v>81</v>
      </c>
      <c r="G43" s="228" t="s">
        <v>81</v>
      </c>
      <c r="H43" s="228"/>
      <c r="I43" s="223">
        <v>45</v>
      </c>
      <c r="J43" s="229">
        <v>5</v>
      </c>
      <c r="K43" s="229">
        <v>200</v>
      </c>
      <c r="L43" s="229" t="s">
        <v>308</v>
      </c>
      <c r="M43" s="229" t="s">
        <v>257</v>
      </c>
      <c r="N43" s="230" t="str">
        <f>IF(ISERROR(MATCH(A43,MemMap!$A$4:$A$98,0)) = FALSE, INDEX(MemMap!$B$4:$B$98,MATCH(A43,MemMap!$A$4:$A$98,0)),IF(F43="Y","TunSetCalSeg",IF(G43="Y", "FlashCalSeg", IF(G43="N", "FlashAppSeg", ""))))</f>
        <v>TunSetCalSeg</v>
      </c>
      <c r="O43" s="220"/>
      <c r="P43" s="220"/>
      <c r="Q43" s="221"/>
      <c r="R43" s="221"/>
    </row>
    <row r="44" spans="1:18" ht="45" x14ac:dyDescent="0.2">
      <c r="A44" s="224" t="s">
        <v>306</v>
      </c>
      <c r="B44" s="225" t="s">
        <v>3597</v>
      </c>
      <c r="C44" s="226" t="s">
        <v>272</v>
      </c>
      <c r="D44" s="226" t="s">
        <v>202</v>
      </c>
      <c r="E44" s="226" t="s">
        <v>307</v>
      </c>
      <c r="F44" s="227" t="s">
        <v>81</v>
      </c>
      <c r="G44" s="228" t="s">
        <v>81</v>
      </c>
      <c r="H44" s="228"/>
      <c r="I44" s="223">
        <v>45</v>
      </c>
      <c r="J44" s="229">
        <v>5</v>
      </c>
      <c r="K44" s="229">
        <v>200</v>
      </c>
      <c r="L44" s="229" t="s">
        <v>308</v>
      </c>
      <c r="M44" s="229" t="s">
        <v>257</v>
      </c>
      <c r="N44" s="230" t="str">
        <f>IF(ISERROR(MATCH(A44,MemMap!$A$4:$A$98,0)) = FALSE, INDEX(MemMap!$B$4:$B$98,MATCH(A44,MemMap!$A$4:$A$98,0)),IF(F44="Y","TunSetCalSeg",IF(G44="Y", "FlashCalSeg", IF(G44="N", "FlashAppSeg", ""))))</f>
        <v>TunSetCalSeg</v>
      </c>
      <c r="O44" s="220"/>
      <c r="P44" s="220"/>
      <c r="Q44" s="221"/>
      <c r="R44" s="221"/>
    </row>
    <row r="45" spans="1:18" ht="33.75" x14ac:dyDescent="0.2">
      <c r="A45" s="224" t="s">
        <v>304</v>
      </c>
      <c r="B45" s="225" t="s">
        <v>3596</v>
      </c>
      <c r="C45" s="226" t="s">
        <v>272</v>
      </c>
      <c r="D45" s="226" t="s">
        <v>202</v>
      </c>
      <c r="E45" s="226" t="s">
        <v>305</v>
      </c>
      <c r="F45" s="227" t="s">
        <v>81</v>
      </c>
      <c r="G45" s="228" t="s">
        <v>81</v>
      </c>
      <c r="H45" s="228"/>
      <c r="I45" s="223">
        <v>1</v>
      </c>
      <c r="J45" s="229">
        <v>0</v>
      </c>
      <c r="K45" s="229">
        <v>10</v>
      </c>
      <c r="L45" s="229" t="s">
        <v>261</v>
      </c>
      <c r="M45" s="229" t="s">
        <v>257</v>
      </c>
      <c r="N45" s="230" t="str">
        <f>IF(ISERROR(MATCH(A45,MemMap!$A$4:$A$98,0)) = FALSE, INDEX(MemMap!$B$4:$B$98,MATCH(A45,MemMap!$A$4:$A$98,0)),IF(F45="Y","TunSetCalSeg",IF(G45="Y", "FlashCalSeg", IF(G45="N", "FlashAppSeg", ""))))</f>
        <v>TunSetCalSeg</v>
      </c>
      <c r="O45" s="220"/>
      <c r="P45" s="220"/>
      <c r="Q45" s="221"/>
      <c r="R45" s="221"/>
    </row>
    <row r="46" spans="1:18" ht="67.5" x14ac:dyDescent="0.2">
      <c r="A46" s="224" t="s">
        <v>311</v>
      </c>
      <c r="B46" s="225" t="s">
        <v>3599</v>
      </c>
      <c r="C46" s="226" t="s">
        <v>272</v>
      </c>
      <c r="D46" s="226" t="s">
        <v>202</v>
      </c>
      <c r="E46" s="226" t="s">
        <v>312</v>
      </c>
      <c r="F46" s="227" t="s">
        <v>81</v>
      </c>
      <c r="G46" s="228" t="s">
        <v>81</v>
      </c>
      <c r="H46" s="228"/>
      <c r="I46" s="223">
        <v>100</v>
      </c>
      <c r="J46" s="229">
        <v>0</v>
      </c>
      <c r="K46" s="229">
        <v>30000</v>
      </c>
      <c r="L46" s="229" t="s">
        <v>269</v>
      </c>
      <c r="M46" s="229" t="s">
        <v>303</v>
      </c>
      <c r="N46" s="230" t="str">
        <f>IF(ISERROR(MATCH(A46,MemMap!$A$4:$A$98,0)) = FALSE, INDEX(MemMap!$B$4:$B$98,MATCH(A46,MemMap!$A$4:$A$98,0)),IF(F46="Y","TunSetCalSeg",IF(G46="Y", "FlashCalSeg", IF(G46="N", "FlashAppSeg", ""))))</f>
        <v>TunSetCalSeg</v>
      </c>
      <c r="O46" s="220"/>
      <c r="P46" s="220"/>
      <c r="Q46" s="221"/>
      <c r="R46" s="221"/>
    </row>
    <row r="47" spans="1:18" ht="45" x14ac:dyDescent="0.2">
      <c r="A47" s="224" t="s">
        <v>313</v>
      </c>
      <c r="B47" s="225" t="s">
        <v>3600</v>
      </c>
      <c r="C47" s="226" t="s">
        <v>272</v>
      </c>
      <c r="D47" s="226" t="s">
        <v>202</v>
      </c>
      <c r="E47" s="226" t="s">
        <v>314</v>
      </c>
      <c r="F47" s="227" t="s">
        <v>81</v>
      </c>
      <c r="G47" s="228" t="s">
        <v>81</v>
      </c>
      <c r="H47" s="228"/>
      <c r="I47" s="223">
        <v>1</v>
      </c>
      <c r="J47" s="229">
        <v>0.1</v>
      </c>
      <c r="K47" s="229">
        <v>30</v>
      </c>
      <c r="L47" s="229" t="s">
        <v>308</v>
      </c>
      <c r="M47" s="229" t="s">
        <v>257</v>
      </c>
      <c r="N47" s="230" t="str">
        <f>IF(ISERROR(MATCH(A47,MemMap!$A$4:$A$98,0)) = FALSE, INDEX(MemMap!$B$4:$B$98,MATCH(A47,MemMap!$A$4:$A$98,0)),IF(F47="Y","TunSetCalSeg",IF(G47="Y", "FlashCalSeg", IF(G47="N", "FlashAppSeg", ""))))</f>
        <v>TunSetCalSeg</v>
      </c>
      <c r="O47" s="220"/>
      <c r="P47" s="220"/>
      <c r="Q47" s="221"/>
      <c r="R47" s="221"/>
    </row>
    <row r="48" spans="1:18" ht="45" x14ac:dyDescent="0.2">
      <c r="A48" s="224" t="s">
        <v>277</v>
      </c>
      <c r="B48" s="225" t="s">
        <v>3585</v>
      </c>
      <c r="C48" s="226" t="s">
        <v>272</v>
      </c>
      <c r="D48" s="226" t="s">
        <v>202</v>
      </c>
      <c r="E48" s="226" t="s">
        <v>278</v>
      </c>
      <c r="F48" s="227" t="s">
        <v>81</v>
      </c>
      <c r="G48" s="228" t="s">
        <v>81</v>
      </c>
      <c r="H48" s="228"/>
      <c r="I48" s="223">
        <v>45</v>
      </c>
      <c r="J48" s="229">
        <v>0</v>
      </c>
      <c r="K48" s="229">
        <v>900</v>
      </c>
      <c r="L48" s="229" t="s">
        <v>264</v>
      </c>
      <c r="M48" s="229" t="s">
        <v>257</v>
      </c>
      <c r="N48" s="230" t="str">
        <f>IF(ISERROR(MATCH(A48,MemMap!$A$4:$A$98,0)) = FALSE, INDEX(MemMap!$B$4:$B$98,MATCH(A48,MemMap!$A$4:$A$98,0)),IF(F48="Y","TunSetCalSeg",IF(G48="Y", "FlashCalSeg", IF(G48="N", "FlashAppSeg", ""))))</f>
        <v>TunSetCalSeg</v>
      </c>
      <c r="O48" s="220"/>
      <c r="P48" s="220"/>
      <c r="Q48" s="221"/>
      <c r="R48" s="221"/>
    </row>
    <row r="49" spans="1:18" ht="45" x14ac:dyDescent="0.2">
      <c r="A49" s="224" t="s">
        <v>275</v>
      </c>
      <c r="B49" s="225" t="s">
        <v>3584</v>
      </c>
      <c r="C49" s="226" t="s">
        <v>272</v>
      </c>
      <c r="D49" s="226" t="s">
        <v>202</v>
      </c>
      <c r="E49" s="226" t="s">
        <v>276</v>
      </c>
      <c r="F49" s="227" t="s">
        <v>81</v>
      </c>
      <c r="G49" s="228" t="s">
        <v>81</v>
      </c>
      <c r="H49" s="228"/>
      <c r="I49" s="223">
        <v>3</v>
      </c>
      <c r="J49" s="229">
        <v>0</v>
      </c>
      <c r="K49" s="229">
        <v>10</v>
      </c>
      <c r="L49" s="229" t="s">
        <v>261</v>
      </c>
      <c r="M49" s="229" t="s">
        <v>257</v>
      </c>
      <c r="N49" s="230" t="str">
        <f>IF(ISERROR(MATCH(A49,MemMap!$A$4:$A$98,0)) = FALSE, INDEX(MemMap!$B$4:$B$98,MATCH(A49,MemMap!$A$4:$A$98,0)),IF(F49="Y","TunSetCalSeg",IF(G49="Y", "FlashCalSeg", IF(G49="N", "FlashAppSeg", ""))))</f>
        <v>TunSetCalSeg</v>
      </c>
      <c r="O49" s="220"/>
      <c r="P49" s="220"/>
      <c r="Q49" s="221"/>
      <c r="R49" s="221"/>
    </row>
    <row r="50" spans="1:18" ht="56.25" x14ac:dyDescent="0.2">
      <c r="A50" s="224" t="s">
        <v>3569</v>
      </c>
      <c r="B50" s="225" t="s">
        <v>3570</v>
      </c>
      <c r="C50" s="226" t="s">
        <v>272</v>
      </c>
      <c r="D50" s="226" t="s">
        <v>202</v>
      </c>
      <c r="E50" s="226" t="s">
        <v>3571</v>
      </c>
      <c r="F50" s="227" t="s">
        <v>81</v>
      </c>
      <c r="G50" s="228" t="s">
        <v>81</v>
      </c>
      <c r="H50" s="228"/>
      <c r="I50" s="223">
        <v>1</v>
      </c>
      <c r="J50" s="229">
        <v>0</v>
      </c>
      <c r="K50" s="229">
        <v>10</v>
      </c>
      <c r="L50" s="229" t="s">
        <v>3572</v>
      </c>
      <c r="M50" s="229" t="s">
        <v>257</v>
      </c>
      <c r="N50" s="230" t="str">
        <f>IF(ISERROR(MATCH(A50,MemMap!$A$4:$A$98,0)) = FALSE, INDEX(MemMap!$B$4:$B$98,MATCH(A50,MemMap!$A$4:$A$98,0)),IF(F50="Y","TunSetCalSeg",IF(G50="Y", "FlashCalSeg", IF(G50="N", "FlashAppSeg", ""))))</f>
        <v>TunSetCalSeg</v>
      </c>
      <c r="O50" s="220"/>
      <c r="P50" s="220"/>
      <c r="Q50" s="221"/>
      <c r="R50" s="221"/>
    </row>
    <row r="51" spans="1:18" ht="45" x14ac:dyDescent="0.2">
      <c r="A51" s="224" t="s">
        <v>279</v>
      </c>
      <c r="B51" s="225" t="s">
        <v>3586</v>
      </c>
      <c r="C51" s="226" t="s">
        <v>272</v>
      </c>
      <c r="D51" s="226" t="s">
        <v>202</v>
      </c>
      <c r="E51" s="226" t="s">
        <v>280</v>
      </c>
      <c r="F51" s="227" t="s">
        <v>81</v>
      </c>
      <c r="G51" s="228" t="s">
        <v>81</v>
      </c>
      <c r="H51" s="228"/>
      <c r="I51" s="223">
        <v>1</v>
      </c>
      <c r="J51" s="229">
        <v>0</v>
      </c>
      <c r="K51" s="229">
        <v>120</v>
      </c>
      <c r="L51" s="229" t="s">
        <v>281</v>
      </c>
      <c r="M51" s="229" t="s">
        <v>257</v>
      </c>
      <c r="N51" s="230" t="str">
        <f>IF(ISERROR(MATCH(A51,MemMap!$A$4:$A$98,0)) = FALSE, INDEX(MemMap!$B$4:$B$98,MATCH(A51,MemMap!$A$4:$A$98,0)),IF(F51="Y","TunSetCalSeg",IF(G51="Y", "FlashCalSeg", IF(G51="N", "FlashAppSeg", ""))))</f>
        <v>TunSetCalSeg</v>
      </c>
      <c r="O51" s="220"/>
      <c r="P51" s="220"/>
      <c r="Q51" s="221"/>
      <c r="R51" s="221"/>
    </row>
    <row r="52" spans="1:18" ht="33.75" x14ac:dyDescent="0.2">
      <c r="A52" s="224" t="s">
        <v>329</v>
      </c>
      <c r="B52" s="225" t="s">
        <v>3608</v>
      </c>
      <c r="C52" s="226" t="s">
        <v>272</v>
      </c>
      <c r="D52" s="226" t="s">
        <v>202</v>
      </c>
      <c r="E52" s="226" t="s">
        <v>330</v>
      </c>
      <c r="F52" s="227" t="s">
        <v>81</v>
      </c>
      <c r="G52" s="228" t="s">
        <v>81</v>
      </c>
      <c r="H52" s="228"/>
      <c r="I52" s="223">
        <v>1</v>
      </c>
      <c r="J52" s="229">
        <v>0</v>
      </c>
      <c r="K52" s="229">
        <v>10</v>
      </c>
      <c r="L52" s="229" t="s">
        <v>261</v>
      </c>
      <c r="M52" s="229" t="s">
        <v>257</v>
      </c>
      <c r="N52" s="230" t="str">
        <f>IF(ISERROR(MATCH(A52,MemMap!$A$4:$A$98,0)) = FALSE, INDEX(MemMap!$B$4:$B$98,MATCH(A52,MemMap!$A$4:$A$98,0)),IF(F52="Y","TunSetCalSeg",IF(G52="Y", "FlashCalSeg", IF(G52="N", "FlashAppSeg", ""))))</f>
        <v>TunSetCalSeg</v>
      </c>
      <c r="O52" s="220"/>
      <c r="P52" s="220"/>
      <c r="Q52" s="221"/>
      <c r="R52" s="221"/>
    </row>
    <row r="53" spans="1:18" ht="57" customHeight="1" x14ac:dyDescent="0.2">
      <c r="A53" s="224" t="s">
        <v>270</v>
      </c>
      <c r="B53" s="225" t="s">
        <v>3583</v>
      </c>
      <c r="C53" s="226" t="s">
        <v>272</v>
      </c>
      <c r="D53" s="226" t="s">
        <v>202</v>
      </c>
      <c r="E53" s="226" t="s">
        <v>271</v>
      </c>
      <c r="F53" s="227" t="s">
        <v>81</v>
      </c>
      <c r="G53" s="228" t="s">
        <v>81</v>
      </c>
      <c r="H53" s="228"/>
      <c r="I53" s="223">
        <v>3</v>
      </c>
      <c r="J53" s="229">
        <v>0.1</v>
      </c>
      <c r="K53" s="229">
        <v>100</v>
      </c>
      <c r="L53" s="229" t="s">
        <v>258</v>
      </c>
      <c r="M53" s="229" t="s">
        <v>257</v>
      </c>
      <c r="N53" s="230" t="str">
        <f>IF(ISERROR(MATCH(A53,MemMap!$A$4:$A$98,0)) = FALSE, INDEX(MemMap!$B$4:$B$98,MATCH(A53,MemMap!$A$4:$A$98,0)),IF(F53="Y","TunSetCalSeg",IF(G53="Y", "FlashCalSeg", IF(G53="N", "FlashAppSeg", ""))))</f>
        <v>TunSetCalSeg</v>
      </c>
      <c r="O53" s="220"/>
      <c r="P53" s="220"/>
      <c r="Q53" s="221"/>
      <c r="R53" s="221"/>
    </row>
    <row r="54" spans="1:18" ht="34.5" customHeight="1" x14ac:dyDescent="0.2">
      <c r="A54" s="224" t="s">
        <v>332</v>
      </c>
      <c r="B54" s="225" t="s">
        <v>3609</v>
      </c>
      <c r="C54" s="226" t="s">
        <v>272</v>
      </c>
      <c r="D54" s="226" t="s">
        <v>202</v>
      </c>
      <c r="E54" s="226" t="s">
        <v>333</v>
      </c>
      <c r="F54" s="227" t="s">
        <v>81</v>
      </c>
      <c r="G54" s="228" t="s">
        <v>81</v>
      </c>
      <c r="H54" s="228" t="s">
        <v>334</v>
      </c>
      <c r="I54" s="223" t="s">
        <v>335</v>
      </c>
      <c r="J54" s="229">
        <v>0</v>
      </c>
      <c r="K54" s="229">
        <v>511</v>
      </c>
      <c r="L54" s="229" t="s">
        <v>296</v>
      </c>
      <c r="M54" s="229" t="s">
        <v>336</v>
      </c>
      <c r="N54" s="230" t="str">
        <f>IF(ISERROR(MATCH(A54,MemMap!$A$4:$A$98,0)) = FALSE, INDEX(MemMap!$B$4:$B$98,MATCH(A54,MemMap!$A$4:$A$98,0)),IF(F54="Y","TunSetCalSeg",IF(G54="Y", "FlashCalSeg", IF(G54="N", "FlashAppSeg", ""))))</f>
        <v>TunSetCalSeg</v>
      </c>
      <c r="O54" s="220"/>
      <c r="P54" s="220"/>
      <c r="Q54" s="221"/>
      <c r="R54" s="221"/>
    </row>
    <row r="55" spans="1:18" ht="45.75" customHeight="1" x14ac:dyDescent="0.2">
      <c r="A55" s="224" t="s">
        <v>337</v>
      </c>
      <c r="B55" s="225" t="s">
        <v>3610</v>
      </c>
      <c r="C55" s="226" t="s">
        <v>272</v>
      </c>
      <c r="D55" s="226" t="s">
        <v>202</v>
      </c>
      <c r="E55" s="226" t="s">
        <v>333</v>
      </c>
      <c r="F55" s="227" t="s">
        <v>81</v>
      </c>
      <c r="G55" s="228" t="s">
        <v>81</v>
      </c>
      <c r="H55" s="228" t="s">
        <v>338</v>
      </c>
      <c r="I55" s="223" t="s">
        <v>339</v>
      </c>
      <c r="J55" s="229">
        <v>0</v>
      </c>
      <c r="K55" s="229">
        <v>1</v>
      </c>
      <c r="L55" s="229" t="s">
        <v>288</v>
      </c>
      <c r="M55" s="229" t="s">
        <v>340</v>
      </c>
      <c r="N55" s="230" t="str">
        <f>IF(ISERROR(MATCH(A55,MemMap!$A$4:$A$98,0)) = FALSE, INDEX(MemMap!$B$4:$B$98,MATCH(A55,MemMap!$A$4:$A$98,0)),IF(F55="Y","TunSetCalSeg",IF(G55="Y", "FlashCalSeg", IF(G55="N", "FlashAppSeg", ""))))</f>
        <v>TunSetCalSeg</v>
      </c>
      <c r="O55" s="220"/>
      <c r="P55" s="220"/>
      <c r="Q55" s="221"/>
      <c r="R55" s="221"/>
    </row>
    <row r="56" spans="1:18" ht="53.25" customHeight="1" x14ac:dyDescent="0.2">
      <c r="A56" s="224" t="s">
        <v>347</v>
      </c>
      <c r="B56" s="225" t="s">
        <v>348</v>
      </c>
      <c r="C56" s="226" t="s">
        <v>346</v>
      </c>
      <c r="D56" s="226" t="s">
        <v>184</v>
      </c>
      <c r="E56" s="226"/>
      <c r="F56" s="227" t="s">
        <v>82</v>
      </c>
      <c r="G56" s="228" t="s">
        <v>82</v>
      </c>
      <c r="H56" s="228"/>
      <c r="I56" s="223">
        <v>50</v>
      </c>
      <c r="J56" s="229">
        <v>0</v>
      </c>
      <c r="K56" s="229">
        <v>1000</v>
      </c>
      <c r="L56" s="229" t="s">
        <v>349</v>
      </c>
      <c r="M56" s="229" t="s">
        <v>263</v>
      </c>
      <c r="N56" s="230" t="str">
        <f>IF(ISERROR(MATCH(A56,MemMap!$A$4:$A$98,0)) = FALSE, INDEX(MemMap!$B$4:$B$98,MATCH(A56,MemMap!$A$4:$A$98,0)),IF(F56="Y","TunSetCalSeg",IF(G56="Y", "FlashCalSeg", IF(G56="N", "FlashAppSeg", ""))))</f>
        <v>FlashAppSeg</v>
      </c>
      <c r="O56" s="220"/>
      <c r="P56" s="220"/>
      <c r="Q56" s="221"/>
      <c r="R56" s="221"/>
    </row>
    <row r="57" spans="1:18" ht="52.5" customHeight="1" x14ac:dyDescent="0.2">
      <c r="A57" s="224" t="s">
        <v>344</v>
      </c>
      <c r="B57" s="225" t="s">
        <v>345</v>
      </c>
      <c r="C57" s="226" t="s">
        <v>346</v>
      </c>
      <c r="D57" s="226" t="s">
        <v>184</v>
      </c>
      <c r="E57" s="226"/>
      <c r="F57" s="227" t="s">
        <v>82</v>
      </c>
      <c r="G57" s="228" t="s">
        <v>82</v>
      </c>
      <c r="H57" s="228"/>
      <c r="I57" s="223">
        <v>190988293</v>
      </c>
      <c r="J57" s="229">
        <v>0</v>
      </c>
      <c r="K57" s="229">
        <v>4294967296</v>
      </c>
      <c r="L57" s="229" t="s">
        <v>267</v>
      </c>
      <c r="M57" s="229" t="s">
        <v>303</v>
      </c>
      <c r="N57" s="230" t="str">
        <f>IF(ISERROR(MATCH(A57,MemMap!$A$4:$A$98,0)) = FALSE, INDEX(MemMap!$B$4:$B$98,MATCH(A57,MemMap!$A$4:$A$98,0)),IF(F57="Y","TunSetCalSeg",IF(G57="Y", "FlashCalSeg", IF(G57="N", "FlashAppSeg", ""))))</f>
        <v>FlashAppSeg</v>
      </c>
      <c r="O57" s="220"/>
      <c r="P57" s="220"/>
      <c r="Q57" s="221"/>
      <c r="R57" s="221"/>
    </row>
    <row r="58" spans="1:18" ht="91.5" customHeight="1" x14ac:dyDescent="0.2">
      <c r="A58" s="224" t="s">
        <v>382</v>
      </c>
      <c r="B58" s="225" t="s">
        <v>383</v>
      </c>
      <c r="C58" s="226" t="s">
        <v>353</v>
      </c>
      <c r="D58" s="226" t="s">
        <v>188</v>
      </c>
      <c r="E58" s="226" t="s">
        <v>384</v>
      </c>
      <c r="F58" s="227" t="s">
        <v>81</v>
      </c>
      <c r="G58" s="228" t="s">
        <v>81</v>
      </c>
      <c r="H58" s="228" t="s">
        <v>385</v>
      </c>
      <c r="I58" s="223" t="s">
        <v>386</v>
      </c>
      <c r="J58" s="229">
        <v>0</v>
      </c>
      <c r="K58" s="229">
        <v>200</v>
      </c>
      <c r="L58" s="229" t="s">
        <v>387</v>
      </c>
      <c r="M58" s="229" t="s">
        <v>388</v>
      </c>
      <c r="N58" s="230" t="str">
        <f>IF(ISERROR(MATCH(A58,MemMap!$A$4:$A$98,0)) = FALSE, INDEX(MemMap!$B$4:$B$98,MATCH(A58,MemMap!$A$4:$A$98,0)),IF(F58="Y","TunSetCalSeg",IF(G58="Y", "FlashCalSeg", IF(G58="N", "FlashAppSeg", ""))))</f>
        <v>TunSetCalSeg</v>
      </c>
      <c r="O58" s="220"/>
      <c r="P58" s="220"/>
      <c r="Q58" s="221"/>
      <c r="R58" s="221"/>
    </row>
    <row r="59" spans="1:18" x14ac:dyDescent="0.2">
      <c r="A59" s="224" t="s">
        <v>389</v>
      </c>
      <c r="B59" s="225" t="s">
        <v>390</v>
      </c>
      <c r="C59" s="226" t="s">
        <v>353</v>
      </c>
      <c r="D59" s="226" t="s">
        <v>188</v>
      </c>
      <c r="E59" s="226" t="s">
        <v>391</v>
      </c>
      <c r="F59" s="227" t="s">
        <v>81</v>
      </c>
      <c r="G59" s="228" t="s">
        <v>81</v>
      </c>
      <c r="H59" s="228" t="s">
        <v>392</v>
      </c>
      <c r="I59" s="223" t="s">
        <v>393</v>
      </c>
      <c r="J59" s="229">
        <v>0</v>
      </c>
      <c r="K59" s="229">
        <v>1</v>
      </c>
      <c r="L59" s="229" t="s">
        <v>288</v>
      </c>
      <c r="M59" s="229" t="s">
        <v>340</v>
      </c>
      <c r="N59" s="230" t="str">
        <f>IF(ISERROR(MATCH(A59,MemMap!$A$4:$A$98,0)) = FALSE, INDEX(MemMap!$B$4:$B$98,MATCH(A59,MemMap!$A$4:$A$98,0)),IF(F59="Y","TunSetCalSeg",IF(G59="Y", "FlashCalSeg", IF(G59="N", "FlashAppSeg", ""))))</f>
        <v>TunSetCalSeg</v>
      </c>
      <c r="O59" s="220"/>
      <c r="P59" s="220"/>
      <c r="Q59" s="221"/>
      <c r="R59" s="221"/>
    </row>
    <row r="60" spans="1:18" ht="382.5" x14ac:dyDescent="0.2">
      <c r="A60" s="224" t="s">
        <v>359</v>
      </c>
      <c r="B60" s="225" t="s">
        <v>360</v>
      </c>
      <c r="C60" s="226" t="s">
        <v>353</v>
      </c>
      <c r="D60" s="226" t="s">
        <v>188</v>
      </c>
      <c r="E60" s="226" t="s">
        <v>361</v>
      </c>
      <c r="F60" s="227" t="s">
        <v>0</v>
      </c>
      <c r="G60" s="228" t="s">
        <v>81</v>
      </c>
      <c r="H60" s="228" t="s">
        <v>362</v>
      </c>
      <c r="I60" s="223" t="s">
        <v>1745</v>
      </c>
      <c r="J60" s="229">
        <v>-0.1</v>
      </c>
      <c r="K60" s="229">
        <v>15.99951171875</v>
      </c>
      <c r="L60" s="229" t="s">
        <v>252</v>
      </c>
      <c r="M60" s="229" t="s">
        <v>363</v>
      </c>
      <c r="N60" s="230" t="str">
        <f>IF(ISERROR(MATCH(A60,MemMap!$A$4:$A$98,0)) = FALSE, INDEX(MemMap!$B$4:$B$98,MATCH(A60,MemMap!$A$4:$A$98,0)),IF(F60="Y","TunSetCalSeg",IF(G60="Y", "FlashCalSeg", IF(G60="N", "FlashAppSeg", ""))))</f>
        <v>FlashCalSeg</v>
      </c>
      <c r="O60" s="220"/>
      <c r="P60" s="220"/>
      <c r="Q60" s="221"/>
      <c r="R60" s="221"/>
    </row>
    <row r="61" spans="1:18" ht="382.5" x14ac:dyDescent="0.2">
      <c r="A61" s="224" t="s">
        <v>364</v>
      </c>
      <c r="B61" s="225" t="s">
        <v>365</v>
      </c>
      <c r="C61" s="226" t="s">
        <v>353</v>
      </c>
      <c r="D61" s="226" t="s">
        <v>188</v>
      </c>
      <c r="E61" s="226" t="s">
        <v>366</v>
      </c>
      <c r="F61" s="227" t="s">
        <v>82</v>
      </c>
      <c r="G61" s="228" t="s">
        <v>82</v>
      </c>
      <c r="H61" s="228" t="s">
        <v>367</v>
      </c>
      <c r="I61" s="223" t="s">
        <v>1745</v>
      </c>
      <c r="J61" s="229">
        <v>-0.1</v>
      </c>
      <c r="K61" s="229">
        <v>15.99951171875</v>
      </c>
      <c r="L61" s="229" t="s">
        <v>252</v>
      </c>
      <c r="M61" s="229" t="s">
        <v>363</v>
      </c>
      <c r="N61" s="230" t="str">
        <f>IF(ISERROR(MATCH(A61,MemMap!$A$4:$A$98,0)) = FALSE, INDEX(MemMap!$B$4:$B$98,MATCH(A61,MemMap!$A$4:$A$98,0)),IF(F61="Y","TunSetCalSeg",IF(G61="Y", "FlashCalSeg", IF(G61="N", "FlashAppSeg", ""))))</f>
        <v>FlashAppSeg</v>
      </c>
      <c r="O61" s="220"/>
      <c r="P61" s="220"/>
      <c r="Q61" s="221"/>
      <c r="R61" s="221"/>
    </row>
    <row r="62" spans="1:18" ht="382.5" x14ac:dyDescent="0.2">
      <c r="A62" s="224" t="s">
        <v>350</v>
      </c>
      <c r="B62" s="225" t="s">
        <v>351</v>
      </c>
      <c r="C62" s="226" t="s">
        <v>353</v>
      </c>
      <c r="D62" s="226" t="s">
        <v>188</v>
      </c>
      <c r="E62" s="226" t="s">
        <v>352</v>
      </c>
      <c r="F62" s="227" t="s">
        <v>0</v>
      </c>
      <c r="G62" s="228" t="s">
        <v>81</v>
      </c>
      <c r="H62" s="228" t="s">
        <v>354</v>
      </c>
      <c r="I62" s="223" t="s">
        <v>1744</v>
      </c>
      <c r="J62" s="229">
        <v>0</v>
      </c>
      <c r="K62" s="229">
        <v>10</v>
      </c>
      <c r="L62" s="229" t="s">
        <v>261</v>
      </c>
      <c r="M62" s="229" t="s">
        <v>253</v>
      </c>
      <c r="N62" s="230" t="str">
        <f>IF(ISERROR(MATCH(A62,MemMap!$A$4:$A$98,0)) = FALSE, INDEX(MemMap!$B$4:$B$98,MATCH(A62,MemMap!$A$4:$A$98,0)),IF(F62="Y","TunSetCalSeg",IF(G62="Y", "FlashCalSeg", IF(G62="N", "FlashAppSeg", ""))))</f>
        <v>FlashCalSeg</v>
      </c>
      <c r="O62" s="220"/>
      <c r="P62" s="220"/>
      <c r="Q62" s="221"/>
      <c r="R62" s="221"/>
    </row>
    <row r="63" spans="1:18" ht="382.5" x14ac:dyDescent="0.2">
      <c r="A63" s="224" t="s">
        <v>355</v>
      </c>
      <c r="B63" s="225" t="s">
        <v>356</v>
      </c>
      <c r="C63" s="226" t="s">
        <v>353</v>
      </c>
      <c r="D63" s="226" t="s">
        <v>188</v>
      </c>
      <c r="E63" s="226" t="s">
        <v>357</v>
      </c>
      <c r="F63" s="227" t="s">
        <v>82</v>
      </c>
      <c r="G63" s="228" t="s">
        <v>82</v>
      </c>
      <c r="H63" s="228" t="s">
        <v>358</v>
      </c>
      <c r="I63" s="223" t="s">
        <v>1744</v>
      </c>
      <c r="J63" s="229">
        <v>0</v>
      </c>
      <c r="K63" s="229">
        <v>10</v>
      </c>
      <c r="L63" s="229" t="s">
        <v>261</v>
      </c>
      <c r="M63" s="229" t="s">
        <v>253</v>
      </c>
      <c r="N63" s="230" t="str">
        <f>IF(ISERROR(MATCH(A63,MemMap!$A$4:$A$98,0)) = FALSE, INDEX(MemMap!$B$4:$B$98,MATCH(A63,MemMap!$A$4:$A$98,0)),IF(F63="Y","TunSetCalSeg",IF(G63="Y", "FlashCalSeg", IF(G63="N", "FlashAppSeg", ""))))</f>
        <v>FlashAppSeg</v>
      </c>
      <c r="O63" s="220"/>
      <c r="P63" s="220"/>
      <c r="Q63" s="221"/>
      <c r="R63" s="221"/>
    </row>
    <row r="64" spans="1:18" ht="56.25" x14ac:dyDescent="0.2">
      <c r="A64" s="224" t="s">
        <v>378</v>
      </c>
      <c r="B64" s="225" t="s">
        <v>379</v>
      </c>
      <c r="C64" s="226" t="s">
        <v>353</v>
      </c>
      <c r="D64" s="226" t="s">
        <v>188</v>
      </c>
      <c r="E64" s="226" t="s">
        <v>380</v>
      </c>
      <c r="F64" s="227" t="s">
        <v>82</v>
      </c>
      <c r="G64" s="228" t="s">
        <v>82</v>
      </c>
      <c r="H64" s="228" t="s">
        <v>381</v>
      </c>
      <c r="I64" s="223" t="s">
        <v>1747</v>
      </c>
      <c r="J64" s="229">
        <v>0</v>
      </c>
      <c r="K64" s="229">
        <v>1</v>
      </c>
      <c r="L64" s="229" t="s">
        <v>256</v>
      </c>
      <c r="M64" s="229" t="s">
        <v>340</v>
      </c>
      <c r="N64" s="230" t="str">
        <f>IF(ISERROR(MATCH(A64,MemMap!$A$4:$A$98,0)) = FALSE, INDEX(MemMap!$B$4:$B$98,MATCH(A64,MemMap!$A$4:$A$98,0)),IF(F64="Y","TunSetCalSeg",IF(G64="Y", "FlashCalSeg", IF(G64="N", "FlashAppSeg", ""))))</f>
        <v>FlashAppSeg</v>
      </c>
      <c r="O64" s="220"/>
      <c r="P64" s="220"/>
      <c r="Q64" s="221"/>
      <c r="R64" s="221"/>
    </row>
    <row r="65" spans="1:18" ht="78.75" x14ac:dyDescent="0.2">
      <c r="A65" s="224" t="s">
        <v>373</v>
      </c>
      <c r="B65" s="225" t="s">
        <v>374</v>
      </c>
      <c r="C65" s="226" t="s">
        <v>353</v>
      </c>
      <c r="D65" s="226" t="s">
        <v>188</v>
      </c>
      <c r="E65" s="226" t="s">
        <v>375</v>
      </c>
      <c r="F65" s="227" t="s">
        <v>82</v>
      </c>
      <c r="G65" s="228" t="s">
        <v>82</v>
      </c>
      <c r="H65" s="228" t="s">
        <v>376</v>
      </c>
      <c r="I65" s="223" t="s">
        <v>1746</v>
      </c>
      <c r="J65" s="229">
        <v>0</v>
      </c>
      <c r="K65" s="229">
        <v>8</v>
      </c>
      <c r="L65" s="229" t="s">
        <v>252</v>
      </c>
      <c r="M65" s="229" t="s">
        <v>377</v>
      </c>
      <c r="N65" s="230" t="str">
        <f>IF(ISERROR(MATCH(A65,MemMap!$A$4:$A$98,0)) = FALSE, INDEX(MemMap!$B$4:$B$98,MATCH(A65,MemMap!$A$4:$A$98,0)),IF(F65="Y","TunSetCalSeg",IF(G65="Y", "FlashCalSeg", IF(G65="N", "FlashAppSeg", ""))))</f>
        <v>FlashAppSeg</v>
      </c>
      <c r="O65" s="220"/>
      <c r="P65" s="220"/>
      <c r="Q65" s="221"/>
      <c r="R65" s="221"/>
    </row>
    <row r="66" spans="1:18" ht="90" x14ac:dyDescent="0.2">
      <c r="A66" s="224" t="s">
        <v>368</v>
      </c>
      <c r="B66" s="225" t="s">
        <v>369</v>
      </c>
      <c r="C66" s="226" t="s">
        <v>3142</v>
      </c>
      <c r="D66" s="226" t="s">
        <v>3143</v>
      </c>
      <c r="E66" s="226" t="s">
        <v>370</v>
      </c>
      <c r="F66" s="227" t="s">
        <v>0</v>
      </c>
      <c r="G66" s="228" t="s">
        <v>81</v>
      </c>
      <c r="H66" s="228" t="s">
        <v>371</v>
      </c>
      <c r="I66" s="223" t="s">
        <v>372</v>
      </c>
      <c r="J66" s="229">
        <v>0</v>
      </c>
      <c r="K66" s="229">
        <v>511</v>
      </c>
      <c r="L66" s="229" t="s">
        <v>296</v>
      </c>
      <c r="M66" s="229" t="s">
        <v>336</v>
      </c>
      <c r="N66" s="230" t="str">
        <f>IF(ISERROR(MATCH(A66,MemMap!$A$4:$A$98,0)) = FALSE, INDEX(MemMap!$B$4:$B$98,MATCH(A66,MemMap!$A$4:$A$98,0)),IF(F66="Y","TunSetCalSeg",IF(G66="Y", "FlashCalSeg", IF(G66="N", "FlashAppSeg", ""))))</f>
        <v>FlashCalSeg</v>
      </c>
      <c r="O66" s="220"/>
      <c r="P66" s="220"/>
      <c r="Q66" s="221"/>
      <c r="R66" s="221"/>
    </row>
    <row r="67" spans="1:18" ht="33.75" x14ac:dyDescent="0.2">
      <c r="A67" s="224" t="s">
        <v>404</v>
      </c>
      <c r="B67" s="225" t="s">
        <v>405</v>
      </c>
      <c r="C67" s="226" t="s">
        <v>397</v>
      </c>
      <c r="D67" s="226" t="s">
        <v>244</v>
      </c>
      <c r="E67" s="226" t="s">
        <v>406</v>
      </c>
      <c r="F67" s="227" t="s">
        <v>81</v>
      </c>
      <c r="G67" s="228" t="s">
        <v>81</v>
      </c>
      <c r="H67" s="228"/>
      <c r="I67" s="223">
        <v>8</v>
      </c>
      <c r="J67" s="229">
        <v>0.1</v>
      </c>
      <c r="K67" s="229">
        <v>100</v>
      </c>
      <c r="L67" s="229" t="s">
        <v>258</v>
      </c>
      <c r="M67" s="229" t="s">
        <v>257</v>
      </c>
      <c r="N67" s="230" t="str">
        <f>IF(ISERROR(MATCH(A67,MemMap!$A$4:$A$98,0)) = FALSE, INDEX(MemMap!$B$4:$B$98,MATCH(A67,MemMap!$A$4:$A$98,0)),IF(F67="Y","TunSetCalSeg",IF(G67="Y", "FlashCalSeg", IF(G67="N", "FlashAppSeg", ""))))</f>
        <v>TunSetCalSeg</v>
      </c>
      <c r="O67" s="220"/>
      <c r="P67" s="220"/>
      <c r="Q67" s="221"/>
      <c r="R67" s="221"/>
    </row>
    <row r="68" spans="1:18" ht="45" x14ac:dyDescent="0.2">
      <c r="A68" s="224" t="s">
        <v>407</v>
      </c>
      <c r="B68" s="225" t="s">
        <v>408</v>
      </c>
      <c r="C68" s="226" t="s">
        <v>397</v>
      </c>
      <c r="D68" s="226" t="s">
        <v>244</v>
      </c>
      <c r="E68" s="226" t="s">
        <v>409</v>
      </c>
      <c r="F68" s="227" t="s">
        <v>81</v>
      </c>
      <c r="G68" s="228" t="s">
        <v>81</v>
      </c>
      <c r="H68" s="228"/>
      <c r="I68" s="223">
        <v>50</v>
      </c>
      <c r="J68" s="229">
        <v>0.1</v>
      </c>
      <c r="K68" s="229">
        <v>100</v>
      </c>
      <c r="L68" s="229" t="s">
        <v>258</v>
      </c>
      <c r="M68" s="229" t="s">
        <v>257</v>
      </c>
      <c r="N68" s="230" t="str">
        <f>IF(ISERROR(MATCH(A68,MemMap!$A$4:$A$98,0)) = FALSE, INDEX(MemMap!$B$4:$B$98,MATCH(A68,MemMap!$A$4:$A$98,0)),IF(F68="Y","TunSetCalSeg",IF(G68="Y", "FlashCalSeg", IF(G68="N", "FlashAppSeg", ""))))</f>
        <v>TunSetCalSeg</v>
      </c>
      <c r="O68" s="220"/>
      <c r="P68" s="220"/>
      <c r="Q68" s="221"/>
      <c r="R68" s="221"/>
    </row>
    <row r="69" spans="1:18" ht="22.5" x14ac:dyDescent="0.2">
      <c r="A69" s="224" t="s">
        <v>401</v>
      </c>
      <c r="B69" s="225" t="s">
        <v>402</v>
      </c>
      <c r="C69" s="226" t="s">
        <v>397</v>
      </c>
      <c r="D69" s="226" t="s">
        <v>244</v>
      </c>
      <c r="E69" s="226" t="s">
        <v>403</v>
      </c>
      <c r="F69" s="227" t="s">
        <v>81</v>
      </c>
      <c r="G69" s="228" t="s">
        <v>81</v>
      </c>
      <c r="H69" s="228"/>
      <c r="I69" s="223">
        <v>8.8000000000000007</v>
      </c>
      <c r="J69" s="229">
        <v>0</v>
      </c>
      <c r="K69" s="229">
        <v>8.8000000000000007</v>
      </c>
      <c r="L69" s="229" t="s">
        <v>252</v>
      </c>
      <c r="M69" s="229" t="s">
        <v>257</v>
      </c>
      <c r="N69" s="230" t="str">
        <f>IF(ISERROR(MATCH(A69,MemMap!$A$4:$A$98,0)) = FALSE, INDEX(MemMap!$B$4:$B$98,MATCH(A69,MemMap!$A$4:$A$98,0)),IF(F69="Y","TunSetCalSeg",IF(G69="Y", "FlashCalSeg", IF(G69="N", "FlashAppSeg", ""))))</f>
        <v>TunSetCalSeg</v>
      </c>
      <c r="O69" s="220"/>
      <c r="P69" s="220"/>
      <c r="Q69" s="221"/>
      <c r="R69" s="221"/>
    </row>
    <row r="70" spans="1:18" ht="22.5" x14ac:dyDescent="0.2">
      <c r="A70" s="224" t="s">
        <v>398</v>
      </c>
      <c r="B70" s="225" t="s">
        <v>399</v>
      </c>
      <c r="C70" s="226" t="s">
        <v>397</v>
      </c>
      <c r="D70" s="226" t="s">
        <v>244</v>
      </c>
      <c r="E70" s="226" t="s">
        <v>400</v>
      </c>
      <c r="F70" s="227" t="s">
        <v>81</v>
      </c>
      <c r="G70" s="228" t="s">
        <v>81</v>
      </c>
      <c r="H70" s="228"/>
      <c r="I70" s="223">
        <v>8.8000000000000007</v>
      </c>
      <c r="J70" s="229">
        <v>0</v>
      </c>
      <c r="K70" s="229">
        <v>8.8000000000000007</v>
      </c>
      <c r="L70" s="229" t="s">
        <v>252</v>
      </c>
      <c r="M70" s="229" t="s">
        <v>257</v>
      </c>
      <c r="N70" s="230" t="str">
        <f>IF(ISERROR(MATCH(A70,MemMap!$A$4:$A$98,0)) = FALSE, INDEX(MemMap!$B$4:$B$98,MATCH(A70,MemMap!$A$4:$A$98,0)),IF(F70="Y","TunSetCalSeg",IF(G70="Y", "FlashCalSeg", IF(G70="N", "FlashAppSeg", ""))))</f>
        <v>TunSetCalSeg</v>
      </c>
      <c r="O70" s="220"/>
      <c r="P70" s="220"/>
      <c r="Q70" s="221"/>
      <c r="R70" s="221"/>
    </row>
    <row r="71" spans="1:18" ht="22.5" x14ac:dyDescent="0.2">
      <c r="A71" s="224" t="s">
        <v>394</v>
      </c>
      <c r="B71" s="225" t="s">
        <v>395</v>
      </c>
      <c r="C71" s="226" t="s">
        <v>397</v>
      </c>
      <c r="D71" s="226" t="s">
        <v>244</v>
      </c>
      <c r="E71" s="226" t="s">
        <v>396</v>
      </c>
      <c r="F71" s="227" t="s">
        <v>81</v>
      </c>
      <c r="G71" s="228" t="s">
        <v>81</v>
      </c>
      <c r="H71" s="228"/>
      <c r="I71" s="223">
        <v>8.8000000000000007</v>
      </c>
      <c r="J71" s="229">
        <v>0</v>
      </c>
      <c r="K71" s="229">
        <v>8.8000000000000007</v>
      </c>
      <c r="L71" s="229" t="s">
        <v>252</v>
      </c>
      <c r="M71" s="229" t="s">
        <v>257</v>
      </c>
      <c r="N71" s="230" t="str">
        <f>IF(ISERROR(MATCH(A71,MemMap!$A$4:$A$98,0)) = FALSE, INDEX(MemMap!$B$4:$B$98,MATCH(A71,MemMap!$A$4:$A$98,0)),IF(F71="Y","TunSetCalSeg",IF(G71="Y", "FlashCalSeg", IF(G71="N", "FlashAppSeg", ""))))</f>
        <v>TunSetCalSeg</v>
      </c>
      <c r="O71" s="220"/>
      <c r="P71" s="220"/>
      <c r="Q71" s="221"/>
      <c r="R71" s="221"/>
    </row>
    <row r="72" spans="1:18" ht="22.5" x14ac:dyDescent="0.2">
      <c r="A72" s="224" t="s">
        <v>427</v>
      </c>
      <c r="B72" s="225" t="s">
        <v>428</v>
      </c>
      <c r="C72" s="226" t="s">
        <v>397</v>
      </c>
      <c r="D72" s="226" t="s">
        <v>244</v>
      </c>
      <c r="E72" s="226" t="s">
        <v>429</v>
      </c>
      <c r="F72" s="227" t="s">
        <v>81</v>
      </c>
      <c r="G72" s="228" t="s">
        <v>81</v>
      </c>
      <c r="H72" s="228"/>
      <c r="I72" s="223">
        <v>1</v>
      </c>
      <c r="J72" s="229">
        <v>0</v>
      </c>
      <c r="K72" s="229">
        <v>5000</v>
      </c>
      <c r="L72" s="229" t="s">
        <v>387</v>
      </c>
      <c r="M72" s="229" t="s">
        <v>263</v>
      </c>
      <c r="N72" s="230" t="str">
        <f>IF(ISERROR(MATCH(A72,MemMap!$A$4:$A$98,0)) = FALSE, INDEX(MemMap!$B$4:$B$98,MATCH(A72,MemMap!$A$4:$A$98,0)),IF(F72="Y","TunSetCalSeg",IF(G72="Y", "FlashCalSeg", IF(G72="N", "FlashAppSeg", ""))))</f>
        <v>TunSetCalSeg</v>
      </c>
      <c r="O72" s="220"/>
      <c r="P72" s="220"/>
      <c r="Q72" s="221"/>
      <c r="R72" s="221"/>
    </row>
    <row r="73" spans="1:18" ht="22.5" x14ac:dyDescent="0.2">
      <c r="A73" s="224" t="s">
        <v>424</v>
      </c>
      <c r="B73" s="225" t="s">
        <v>425</v>
      </c>
      <c r="C73" s="226" t="s">
        <v>397</v>
      </c>
      <c r="D73" s="226" t="s">
        <v>244</v>
      </c>
      <c r="E73" s="226" t="s">
        <v>426</v>
      </c>
      <c r="F73" s="227" t="s">
        <v>81</v>
      </c>
      <c r="G73" s="228" t="s">
        <v>81</v>
      </c>
      <c r="H73" s="228"/>
      <c r="I73" s="223">
        <v>1</v>
      </c>
      <c r="J73" s="229">
        <v>0</v>
      </c>
      <c r="K73" s="229">
        <v>5000</v>
      </c>
      <c r="L73" s="229" t="s">
        <v>387</v>
      </c>
      <c r="M73" s="229" t="s">
        <v>263</v>
      </c>
      <c r="N73" s="230" t="str">
        <f>IF(ISERROR(MATCH(A73,MemMap!$A$4:$A$98,0)) = FALSE, INDEX(MemMap!$B$4:$B$98,MATCH(A73,MemMap!$A$4:$A$98,0)),IF(F73="Y","TunSetCalSeg",IF(G73="Y", "FlashCalSeg", IF(G73="N", "FlashAppSeg", ""))))</f>
        <v>TunSetCalSeg</v>
      </c>
      <c r="O73" s="220"/>
      <c r="P73" s="220"/>
      <c r="Q73" s="221"/>
      <c r="R73" s="221"/>
    </row>
    <row r="74" spans="1:18" ht="56.25" x14ac:dyDescent="0.2">
      <c r="A74" s="224" t="s">
        <v>442</v>
      </c>
      <c r="B74" s="225" t="s">
        <v>443</v>
      </c>
      <c r="C74" s="226" t="s">
        <v>397</v>
      </c>
      <c r="D74" s="226" t="s">
        <v>244</v>
      </c>
      <c r="E74" s="226" t="s">
        <v>444</v>
      </c>
      <c r="F74" s="227" t="s">
        <v>81</v>
      </c>
      <c r="G74" s="228" t="s">
        <v>81</v>
      </c>
      <c r="H74" s="228"/>
      <c r="I74" s="223">
        <v>5</v>
      </c>
      <c r="J74" s="229">
        <v>0</v>
      </c>
      <c r="K74" s="229">
        <v>8.8000000000000007</v>
      </c>
      <c r="L74" s="229" t="s">
        <v>252</v>
      </c>
      <c r="M74" s="229" t="s">
        <v>257</v>
      </c>
      <c r="N74" s="230" t="str">
        <f>IF(ISERROR(MATCH(A74,MemMap!$A$4:$A$98,0)) = FALSE, INDEX(MemMap!$B$4:$B$98,MATCH(A74,MemMap!$A$4:$A$98,0)),IF(F74="Y","TunSetCalSeg",IF(G74="Y", "FlashCalSeg", IF(G74="N", "FlashAppSeg", ""))))</f>
        <v>TunSetCalSeg</v>
      </c>
      <c r="O74" s="220"/>
      <c r="P74" s="220"/>
      <c r="Q74" s="221"/>
      <c r="R74" s="221"/>
    </row>
    <row r="75" spans="1:18" ht="22.5" x14ac:dyDescent="0.2">
      <c r="A75" s="224" t="s">
        <v>434</v>
      </c>
      <c r="B75" s="225" t="s">
        <v>435</v>
      </c>
      <c r="C75" s="226" t="s">
        <v>397</v>
      </c>
      <c r="D75" s="226" t="s">
        <v>244</v>
      </c>
      <c r="E75" s="226" t="s">
        <v>436</v>
      </c>
      <c r="F75" s="227" t="s">
        <v>0</v>
      </c>
      <c r="G75" s="228" t="s">
        <v>81</v>
      </c>
      <c r="H75" s="228"/>
      <c r="I75" s="223" t="s">
        <v>437</v>
      </c>
      <c r="J75" s="229">
        <v>0</v>
      </c>
      <c r="K75" s="229">
        <v>10</v>
      </c>
      <c r="L75" s="229" t="s">
        <v>261</v>
      </c>
      <c r="M75" s="229" t="s">
        <v>253</v>
      </c>
      <c r="N75" s="230" t="str">
        <f>IF(ISERROR(MATCH(A75,MemMap!$A$4:$A$98,0)) = FALSE, INDEX(MemMap!$B$4:$B$98,MATCH(A75,MemMap!$A$4:$A$98,0)),IF(F75="Y","TunSetCalSeg",IF(G75="Y", "FlashCalSeg", IF(G75="N", "FlashAppSeg", ""))))</f>
        <v>FlashCalSeg</v>
      </c>
      <c r="O75" s="220"/>
      <c r="P75" s="220"/>
      <c r="Q75" s="221"/>
      <c r="R75" s="221"/>
    </row>
    <row r="76" spans="1:18" ht="33.75" x14ac:dyDescent="0.2">
      <c r="A76" s="224" t="s">
        <v>438</v>
      </c>
      <c r="B76" s="225" t="s">
        <v>439</v>
      </c>
      <c r="C76" s="226" t="s">
        <v>397</v>
      </c>
      <c r="D76" s="226" t="s">
        <v>244</v>
      </c>
      <c r="E76" s="226" t="s">
        <v>440</v>
      </c>
      <c r="F76" s="227" t="s">
        <v>0</v>
      </c>
      <c r="G76" s="228" t="s">
        <v>81</v>
      </c>
      <c r="H76" s="228"/>
      <c r="I76" s="223" t="s">
        <v>441</v>
      </c>
      <c r="J76" s="229">
        <v>-0.1</v>
      </c>
      <c r="K76" s="229">
        <v>15.99951171875</v>
      </c>
      <c r="L76" s="229" t="s">
        <v>252</v>
      </c>
      <c r="M76" s="229" t="s">
        <v>363</v>
      </c>
      <c r="N76" s="230" t="str">
        <f>IF(ISERROR(MATCH(A76,MemMap!$A$4:$A$98,0)) = FALSE, INDEX(MemMap!$B$4:$B$98,MATCH(A76,MemMap!$A$4:$A$98,0)),IF(F76="Y","TunSetCalSeg",IF(G76="Y", "FlashCalSeg", IF(G76="N", "FlashAppSeg", ""))))</f>
        <v>FlashCalSeg</v>
      </c>
      <c r="O76" s="220"/>
      <c r="P76" s="220"/>
      <c r="Q76" s="221"/>
      <c r="R76" s="221"/>
    </row>
    <row r="77" spans="1:18" ht="45" x14ac:dyDescent="0.2">
      <c r="A77" s="224" t="s">
        <v>430</v>
      </c>
      <c r="B77" s="225" t="s">
        <v>431</v>
      </c>
      <c r="C77" s="226" t="s">
        <v>397</v>
      </c>
      <c r="D77" s="226" t="s">
        <v>244</v>
      </c>
      <c r="E77" s="226" t="s">
        <v>432</v>
      </c>
      <c r="F77" s="227" t="s">
        <v>81</v>
      </c>
      <c r="G77" s="228" t="s">
        <v>81</v>
      </c>
      <c r="H77" s="228"/>
      <c r="I77" s="223" t="s">
        <v>433</v>
      </c>
      <c r="J77" s="229">
        <v>0</v>
      </c>
      <c r="K77" s="229">
        <v>5000</v>
      </c>
      <c r="L77" s="229" t="s">
        <v>387</v>
      </c>
      <c r="M77" s="229" t="s">
        <v>263</v>
      </c>
      <c r="N77" s="230" t="str">
        <f>IF(ISERROR(MATCH(A77,MemMap!$A$4:$A$98,0)) = FALSE, INDEX(MemMap!$B$4:$B$98,MATCH(A77,MemMap!$A$4:$A$98,0)),IF(F77="Y","TunSetCalSeg",IF(G77="Y", "FlashCalSeg", IF(G77="N", "FlashAppSeg", ""))))</f>
        <v>TunSetCalSeg</v>
      </c>
      <c r="O77" s="220"/>
      <c r="P77" s="220"/>
      <c r="Q77" s="221"/>
      <c r="R77" s="221"/>
    </row>
    <row r="78" spans="1:18" ht="45" x14ac:dyDescent="0.2">
      <c r="A78" s="224" t="s">
        <v>410</v>
      </c>
      <c r="B78" s="225" t="s">
        <v>411</v>
      </c>
      <c r="C78" s="226" t="s">
        <v>397</v>
      </c>
      <c r="D78" s="226" t="s">
        <v>412</v>
      </c>
      <c r="E78" s="226" t="s">
        <v>370</v>
      </c>
      <c r="F78" s="227" t="s">
        <v>0</v>
      </c>
      <c r="G78" s="228" t="s">
        <v>81</v>
      </c>
      <c r="H78" s="228" t="s">
        <v>413</v>
      </c>
      <c r="I78" s="223" t="s">
        <v>414</v>
      </c>
      <c r="J78" s="229">
        <v>0</v>
      </c>
      <c r="K78" s="229">
        <v>511</v>
      </c>
      <c r="L78" s="229" t="s">
        <v>296</v>
      </c>
      <c r="M78" s="229" t="s">
        <v>336</v>
      </c>
      <c r="N78" s="230" t="str">
        <f>IF(ISERROR(MATCH(A78,MemMap!$A$4:$A$98,0)) = FALSE, INDEX(MemMap!$B$4:$B$98,MATCH(A78,MemMap!$A$4:$A$98,0)),IF(F78="Y","TunSetCalSeg",IF(G78="Y", "FlashCalSeg", IF(G78="N", "FlashAppSeg", ""))))</f>
        <v>FlashCalSeg</v>
      </c>
      <c r="O78" s="220"/>
      <c r="P78" s="220"/>
      <c r="Q78" s="221"/>
      <c r="R78" s="221"/>
    </row>
    <row r="79" spans="1:18" ht="67.5" x14ac:dyDescent="0.2">
      <c r="A79" s="224" t="s">
        <v>415</v>
      </c>
      <c r="B79" s="225" t="s">
        <v>416</v>
      </c>
      <c r="C79" s="226" t="s">
        <v>397</v>
      </c>
      <c r="D79" s="226" t="s">
        <v>244</v>
      </c>
      <c r="E79" s="226" t="s">
        <v>417</v>
      </c>
      <c r="F79" s="227" t="s">
        <v>0</v>
      </c>
      <c r="G79" s="228" t="s">
        <v>81</v>
      </c>
      <c r="H79" s="228" t="s">
        <v>418</v>
      </c>
      <c r="I79" s="223" t="s">
        <v>419</v>
      </c>
      <c r="J79" s="229">
        <v>-10</v>
      </c>
      <c r="K79" s="229">
        <v>10</v>
      </c>
      <c r="L79" s="229" t="s">
        <v>261</v>
      </c>
      <c r="M79" s="229" t="s">
        <v>363</v>
      </c>
      <c r="N79" s="230" t="str">
        <f>IF(ISERROR(MATCH(A79,MemMap!$A$4:$A$98,0)) = FALSE, INDEX(MemMap!$B$4:$B$98,MATCH(A79,MemMap!$A$4:$A$98,0)),IF(F79="Y","TunSetCalSeg",IF(G79="Y", "FlashCalSeg", IF(G79="N", "FlashAppSeg", ""))))</f>
        <v>FlashCalSeg</v>
      </c>
      <c r="O79" s="220"/>
      <c r="P79" s="220"/>
      <c r="Q79" s="221"/>
      <c r="R79" s="221"/>
    </row>
    <row r="80" spans="1:18" ht="409.5" x14ac:dyDescent="0.2">
      <c r="A80" s="224" t="s">
        <v>420</v>
      </c>
      <c r="B80" s="225" t="s">
        <v>421</v>
      </c>
      <c r="C80" s="226" t="s">
        <v>397</v>
      </c>
      <c r="D80" s="226" t="s">
        <v>244</v>
      </c>
      <c r="E80" s="226" t="s">
        <v>422</v>
      </c>
      <c r="F80" s="227" t="s">
        <v>0</v>
      </c>
      <c r="G80" s="228" t="s">
        <v>81</v>
      </c>
      <c r="H80" s="228" t="s">
        <v>423</v>
      </c>
      <c r="I80" s="223" t="s">
        <v>1457</v>
      </c>
      <c r="J80" s="229">
        <v>-16</v>
      </c>
      <c r="K80" s="229">
        <v>15.99951171875</v>
      </c>
      <c r="L80" s="229" t="s">
        <v>252</v>
      </c>
      <c r="M80" s="229" t="s">
        <v>363</v>
      </c>
      <c r="N80" s="230" t="str">
        <f>IF(ISERROR(MATCH(A80,MemMap!$A$4:$A$98,0)) = FALSE, INDEX(MemMap!$B$4:$B$98,MATCH(A80,MemMap!$A$4:$A$98,0)),IF(F80="Y","TunSetCalSeg",IF(G80="Y", "FlashCalSeg", IF(G80="N", "FlashAppSeg", ""))))</f>
        <v>FlashCalSeg</v>
      </c>
      <c r="O80" s="220"/>
      <c r="P80" s="220"/>
      <c r="Q80" s="221"/>
      <c r="R80" s="221"/>
    </row>
    <row r="81" spans="1:18" ht="33.75" x14ac:dyDescent="0.2">
      <c r="A81" s="224" t="s">
        <v>3080</v>
      </c>
      <c r="B81" s="225" t="s">
        <v>3081</v>
      </c>
      <c r="C81" s="226" t="s">
        <v>446</v>
      </c>
      <c r="D81" s="226" t="s">
        <v>447</v>
      </c>
      <c r="E81" s="226" t="s">
        <v>445</v>
      </c>
      <c r="F81" s="228" t="s">
        <v>81</v>
      </c>
      <c r="G81" s="228" t="s">
        <v>81</v>
      </c>
      <c r="H81" s="228"/>
      <c r="I81" s="223">
        <v>5</v>
      </c>
      <c r="J81" s="229">
        <v>0</v>
      </c>
      <c r="K81" s="229">
        <v>8.8000000000000007</v>
      </c>
      <c r="L81" s="229" t="s">
        <v>252</v>
      </c>
      <c r="M81" s="229" t="s">
        <v>257</v>
      </c>
      <c r="N81" s="230" t="str">
        <f>IF(ISERROR(MATCH(A81,MemMap!$A$4:$A$98,0)) = FALSE, INDEX(MemMap!$B$4:$B$98,MATCH(A81,MemMap!$A$4:$A$98,0)),IF(F81="Y","TunSetCalSeg",IF(G81="Y", "FlashCalSeg", IF(G81="N", "FlashAppSeg", ""))))</f>
        <v>TunSetCalSeg</v>
      </c>
      <c r="O81" s="220"/>
      <c r="P81" s="220"/>
      <c r="Q81" s="221"/>
      <c r="R81" s="221"/>
    </row>
    <row r="82" spans="1:18" ht="33.75" x14ac:dyDescent="0.2">
      <c r="A82" s="224" t="s">
        <v>3082</v>
      </c>
      <c r="B82" s="225" t="s">
        <v>3083</v>
      </c>
      <c r="C82" s="226" t="s">
        <v>446</v>
      </c>
      <c r="D82" s="226" t="s">
        <v>447</v>
      </c>
      <c r="E82" s="226" t="s">
        <v>3084</v>
      </c>
      <c r="F82" s="228" t="s">
        <v>81</v>
      </c>
      <c r="G82" s="228" t="s">
        <v>81</v>
      </c>
      <c r="H82" s="228"/>
      <c r="I82" s="223" t="s">
        <v>3085</v>
      </c>
      <c r="J82" s="229" t="s">
        <v>638</v>
      </c>
      <c r="K82" s="229" t="s">
        <v>638</v>
      </c>
      <c r="L82" s="229"/>
      <c r="M82" s="229" t="s">
        <v>565</v>
      </c>
      <c r="N82" s="230" t="str">
        <f>IF(ISERROR(MATCH(A82,MemMap!$A$4:$A$98,0)) = FALSE, INDEX(MemMap!$B$4:$B$98,MATCH(A82,MemMap!$A$4:$A$98,0)),IF(F82="Y","TunSetCalSeg",IF(G82="Y", "FlashCalSeg", IF(G82="N", "FlashAppSeg", ""))))</f>
        <v>TunSetCalSeg</v>
      </c>
      <c r="O82" s="220"/>
      <c r="P82" s="220"/>
      <c r="Q82" s="221"/>
      <c r="R82" s="221"/>
    </row>
    <row r="83" spans="1:18" ht="33.75" x14ac:dyDescent="0.2">
      <c r="A83" s="224" t="s">
        <v>3088</v>
      </c>
      <c r="B83" s="225" t="s">
        <v>3083</v>
      </c>
      <c r="C83" s="226" t="s">
        <v>446</v>
      </c>
      <c r="D83" s="226" t="s">
        <v>447</v>
      </c>
      <c r="E83" s="226" t="s">
        <v>3084</v>
      </c>
      <c r="F83" s="228" t="s">
        <v>81</v>
      </c>
      <c r="G83" s="228" t="s">
        <v>81</v>
      </c>
      <c r="H83" s="228"/>
      <c r="I83" s="223">
        <v>3</v>
      </c>
      <c r="J83" s="229">
        <v>0</v>
      </c>
      <c r="K83" s="229">
        <v>65535</v>
      </c>
      <c r="L83" s="229" t="s">
        <v>267</v>
      </c>
      <c r="M83" s="229" t="s">
        <v>565</v>
      </c>
      <c r="N83" s="230" t="str">
        <f>IF(ISERROR(MATCH(A83,MemMap!$A$4:$A$98,0)) = FALSE, INDEX(MemMap!$B$4:$B$98,MATCH(A83,MemMap!$A$4:$A$98,0)),IF(F83="Y","TunSetCalSeg",IF(G83="Y", "FlashCalSeg", IF(G83="N", "FlashAppSeg", ""))))</f>
        <v>TunSetCalSeg</v>
      </c>
      <c r="O83" s="220"/>
      <c r="P83" s="220"/>
      <c r="Q83" s="221"/>
      <c r="R83" s="221"/>
    </row>
    <row r="84" spans="1:18" ht="33.75" x14ac:dyDescent="0.2">
      <c r="A84" s="224" t="s">
        <v>3087</v>
      </c>
      <c r="B84" s="225" t="s">
        <v>3083</v>
      </c>
      <c r="C84" s="226" t="s">
        <v>446</v>
      </c>
      <c r="D84" s="226" t="s">
        <v>447</v>
      </c>
      <c r="E84" s="226" t="s">
        <v>3084</v>
      </c>
      <c r="F84" s="228" t="s">
        <v>81</v>
      </c>
      <c r="G84" s="228" t="s">
        <v>81</v>
      </c>
      <c r="H84" s="228"/>
      <c r="I84" s="223">
        <v>5</v>
      </c>
      <c r="J84" s="229">
        <v>0</v>
      </c>
      <c r="K84" s="229">
        <v>65535</v>
      </c>
      <c r="L84" s="229" t="s">
        <v>267</v>
      </c>
      <c r="M84" s="229" t="s">
        <v>565</v>
      </c>
      <c r="N84" s="230" t="str">
        <f>IF(ISERROR(MATCH(A84,MemMap!$A$4:$A$98,0)) = FALSE, INDEX(MemMap!$B$4:$B$98,MATCH(A84,MemMap!$A$4:$A$98,0)),IF(F84="Y","TunSetCalSeg",IF(G84="Y", "FlashCalSeg", IF(G84="N", "FlashAppSeg", ""))))</f>
        <v>TunSetCalSeg</v>
      </c>
      <c r="O84" s="220"/>
      <c r="P84" s="220"/>
      <c r="Q84" s="221"/>
      <c r="R84" s="221"/>
    </row>
    <row r="85" spans="1:18" ht="33.75" x14ac:dyDescent="0.2">
      <c r="A85" s="224" t="s">
        <v>3086</v>
      </c>
      <c r="B85" s="225" t="s">
        <v>3083</v>
      </c>
      <c r="C85" s="226" t="s">
        <v>446</v>
      </c>
      <c r="D85" s="226" t="s">
        <v>447</v>
      </c>
      <c r="E85" s="226" t="s">
        <v>3084</v>
      </c>
      <c r="F85" s="227" t="s">
        <v>82</v>
      </c>
      <c r="G85" s="228" t="s">
        <v>81</v>
      </c>
      <c r="H85" s="228"/>
      <c r="I85" s="223">
        <v>40</v>
      </c>
      <c r="J85" s="229">
        <v>0</v>
      </c>
      <c r="K85" s="229">
        <v>65535</v>
      </c>
      <c r="L85" s="229" t="s">
        <v>267</v>
      </c>
      <c r="M85" s="229" t="s">
        <v>565</v>
      </c>
      <c r="N85" s="230" t="str">
        <f>IF(ISERROR(MATCH(A85,MemMap!$A$4:$A$98,0)) = FALSE, INDEX(MemMap!$B$4:$B$98,MATCH(A85,MemMap!$A$4:$A$98,0)),IF(F85="Y","TunSetCalSeg",IF(G85="Y", "FlashCalSeg", IF(G85="N", "FlashAppSeg", ""))))</f>
        <v>FlashCalSeg</v>
      </c>
      <c r="O85" s="220"/>
      <c r="P85" s="220"/>
      <c r="Q85" s="221"/>
      <c r="R85" s="221"/>
    </row>
    <row r="86" spans="1:18" ht="33.75" x14ac:dyDescent="0.2">
      <c r="A86" s="224" t="s">
        <v>487</v>
      </c>
      <c r="B86" s="225" t="s">
        <v>488</v>
      </c>
      <c r="C86" s="226" t="s">
        <v>451</v>
      </c>
      <c r="D86" s="226" t="s">
        <v>452</v>
      </c>
      <c r="E86" s="226" t="s">
        <v>489</v>
      </c>
      <c r="F86" s="227" t="s">
        <v>82</v>
      </c>
      <c r="G86" s="228" t="s">
        <v>82</v>
      </c>
      <c r="H86" s="228"/>
      <c r="I86" s="223">
        <v>0.1</v>
      </c>
      <c r="J86" s="229">
        <v>2.9999999999999997E-4</v>
      </c>
      <c r="K86" s="229">
        <v>16</v>
      </c>
      <c r="L86" s="229" t="s">
        <v>258</v>
      </c>
      <c r="M86" s="229" t="s">
        <v>257</v>
      </c>
      <c r="N86" s="230" t="str">
        <f>IF(ISERROR(MATCH(A86,MemMap!$A$4:$A$98,0)) = FALSE, INDEX(MemMap!$B$4:$B$98,MATCH(A86,MemMap!$A$4:$A$98,0)),IF(F86="Y","TunSetCalSeg",IF(G86="Y", "FlashCalSeg", IF(G86="N", "FlashAppSeg", ""))))</f>
        <v>FlashAppSeg</v>
      </c>
      <c r="O86" s="220"/>
      <c r="P86" s="220"/>
      <c r="Q86" s="221"/>
      <c r="R86" s="221"/>
    </row>
    <row r="87" spans="1:18" ht="33.75" x14ac:dyDescent="0.2">
      <c r="A87" s="224" t="s">
        <v>547</v>
      </c>
      <c r="B87" s="225" t="s">
        <v>548</v>
      </c>
      <c r="C87" s="226" t="s">
        <v>451</v>
      </c>
      <c r="D87" s="226" t="s">
        <v>452</v>
      </c>
      <c r="E87" s="226" t="s">
        <v>549</v>
      </c>
      <c r="F87" s="227" t="s">
        <v>82</v>
      </c>
      <c r="G87" s="228" t="s">
        <v>82</v>
      </c>
      <c r="H87" s="228"/>
      <c r="I87" s="223">
        <v>0</v>
      </c>
      <c r="J87" s="229">
        <v>-127</v>
      </c>
      <c r="K87" s="229">
        <v>127</v>
      </c>
      <c r="L87" s="229" t="s">
        <v>261</v>
      </c>
      <c r="M87" s="229" t="s">
        <v>257</v>
      </c>
      <c r="N87" s="230" t="str">
        <f>IF(ISERROR(MATCH(A87,MemMap!$A$4:$A$98,0)) = FALSE, INDEX(MemMap!$B$4:$B$98,MATCH(A87,MemMap!$A$4:$A$98,0)),IF(F87="Y","TunSetCalSeg",IF(G87="Y", "FlashCalSeg", IF(G87="N", "FlashAppSeg", ""))))</f>
        <v>FlashAppSeg</v>
      </c>
      <c r="O87" s="220"/>
      <c r="P87" s="220"/>
      <c r="Q87" s="221"/>
      <c r="R87" s="221"/>
    </row>
    <row r="88" spans="1:18" ht="33.75" x14ac:dyDescent="0.2">
      <c r="A88" s="224" t="s">
        <v>523</v>
      </c>
      <c r="B88" s="225" t="s">
        <v>524</v>
      </c>
      <c r="C88" s="226" t="s">
        <v>451</v>
      </c>
      <c r="D88" s="226" t="s">
        <v>452</v>
      </c>
      <c r="E88" s="226" t="s">
        <v>525</v>
      </c>
      <c r="F88" s="227" t="s">
        <v>82</v>
      </c>
      <c r="G88" s="228" t="s">
        <v>82</v>
      </c>
      <c r="H88" s="228"/>
      <c r="I88" s="223">
        <v>50</v>
      </c>
      <c r="J88" s="229">
        <v>1</v>
      </c>
      <c r="K88" s="229">
        <v>100</v>
      </c>
      <c r="L88" s="229" t="s">
        <v>258</v>
      </c>
      <c r="M88" s="229" t="s">
        <v>257</v>
      </c>
      <c r="N88" s="230" t="str">
        <f>IF(ISERROR(MATCH(A88,MemMap!$A$4:$A$98,0)) = FALSE, INDEX(MemMap!$B$4:$B$98,MATCH(A88,MemMap!$A$4:$A$98,0)),IF(F88="Y","TunSetCalSeg",IF(G88="Y", "FlashCalSeg", IF(G88="N", "FlashAppSeg", ""))))</f>
        <v>FlashAppSeg</v>
      </c>
      <c r="O88" s="220"/>
      <c r="P88" s="220"/>
      <c r="Q88" s="221"/>
      <c r="R88" s="221"/>
    </row>
    <row r="89" spans="1:18" ht="33.75" x14ac:dyDescent="0.2">
      <c r="A89" s="224" t="s">
        <v>555</v>
      </c>
      <c r="B89" s="225" t="s">
        <v>556</v>
      </c>
      <c r="C89" s="226" t="s">
        <v>451</v>
      </c>
      <c r="D89" s="226" t="s">
        <v>452</v>
      </c>
      <c r="E89" s="226" t="s">
        <v>549</v>
      </c>
      <c r="F89" s="227" t="s">
        <v>82</v>
      </c>
      <c r="G89" s="228" t="s">
        <v>82</v>
      </c>
      <c r="H89" s="228"/>
      <c r="I89" s="223">
        <v>5</v>
      </c>
      <c r="J89" s="229">
        <v>-127</v>
      </c>
      <c r="K89" s="229">
        <v>127</v>
      </c>
      <c r="L89" s="229" t="s">
        <v>261</v>
      </c>
      <c r="M89" s="229" t="s">
        <v>257</v>
      </c>
      <c r="N89" s="230" t="str">
        <f>IF(ISERROR(MATCH(A89,MemMap!$A$4:$A$98,0)) = FALSE, INDEX(MemMap!$B$4:$B$98,MATCH(A89,MemMap!$A$4:$A$98,0)),IF(F89="Y","TunSetCalSeg",IF(G89="Y", "FlashCalSeg", IF(G89="N", "FlashAppSeg", ""))))</f>
        <v>FlashAppSeg</v>
      </c>
      <c r="O89" s="220"/>
      <c r="P89" s="220"/>
      <c r="Q89" s="221"/>
      <c r="R89" s="221"/>
    </row>
    <row r="90" spans="1:18" ht="33.75" x14ac:dyDescent="0.2">
      <c r="A90" s="224" t="s">
        <v>553</v>
      </c>
      <c r="B90" s="225" t="s">
        <v>554</v>
      </c>
      <c r="C90" s="226" t="s">
        <v>451</v>
      </c>
      <c r="D90" s="226" t="s">
        <v>452</v>
      </c>
      <c r="E90" s="226" t="s">
        <v>552</v>
      </c>
      <c r="F90" s="227" t="s">
        <v>82</v>
      </c>
      <c r="G90" s="228" t="s">
        <v>82</v>
      </c>
      <c r="H90" s="228"/>
      <c r="I90" s="223">
        <v>-5</v>
      </c>
      <c r="J90" s="229">
        <v>-127</v>
      </c>
      <c r="K90" s="229">
        <v>127</v>
      </c>
      <c r="L90" s="229" t="s">
        <v>261</v>
      </c>
      <c r="M90" s="229" t="s">
        <v>257</v>
      </c>
      <c r="N90" s="230" t="str">
        <f>IF(ISERROR(MATCH(A90,MemMap!$A$4:$A$98,0)) = FALSE, INDEX(MemMap!$B$4:$B$98,MATCH(A90,MemMap!$A$4:$A$98,0)),IF(F90="Y","TunSetCalSeg",IF(G90="Y", "FlashCalSeg", IF(G90="N", "FlashAppSeg", ""))))</f>
        <v>FlashAppSeg</v>
      </c>
      <c r="O90" s="220"/>
      <c r="P90" s="220"/>
      <c r="Q90" s="221"/>
      <c r="R90" s="221"/>
    </row>
    <row r="91" spans="1:18" ht="33.75" x14ac:dyDescent="0.2">
      <c r="A91" s="224" t="s">
        <v>550</v>
      </c>
      <c r="B91" s="225" t="s">
        <v>551</v>
      </c>
      <c r="C91" s="226" t="s">
        <v>451</v>
      </c>
      <c r="D91" s="226" t="s">
        <v>452</v>
      </c>
      <c r="E91" s="226" t="s">
        <v>552</v>
      </c>
      <c r="F91" s="227" t="s">
        <v>82</v>
      </c>
      <c r="G91" s="228" t="s">
        <v>82</v>
      </c>
      <c r="H91" s="228"/>
      <c r="I91" s="223">
        <v>1</v>
      </c>
      <c r="J91" s="229">
        <v>-127</v>
      </c>
      <c r="K91" s="229">
        <v>127</v>
      </c>
      <c r="L91" s="229" t="s">
        <v>256</v>
      </c>
      <c r="M91" s="229" t="s">
        <v>257</v>
      </c>
      <c r="N91" s="230" t="str">
        <f>IF(ISERROR(MATCH(A91,MemMap!$A$4:$A$98,0)) = FALSE, INDEX(MemMap!$B$4:$B$98,MATCH(A91,MemMap!$A$4:$A$98,0)),IF(F91="Y","TunSetCalSeg",IF(G91="Y", "FlashCalSeg", IF(G91="N", "FlashAppSeg", ""))))</f>
        <v>FlashAppSeg</v>
      </c>
      <c r="O91" s="220"/>
      <c r="P91" s="220"/>
      <c r="Q91" s="221"/>
      <c r="R91" s="221"/>
    </row>
    <row r="92" spans="1:18" ht="33.75" x14ac:dyDescent="0.2">
      <c r="A92" s="224" t="s">
        <v>532</v>
      </c>
      <c r="B92" s="225" t="s">
        <v>533</v>
      </c>
      <c r="C92" s="226" t="s">
        <v>451</v>
      </c>
      <c r="D92" s="226" t="s">
        <v>452</v>
      </c>
      <c r="E92" s="226" t="s">
        <v>534</v>
      </c>
      <c r="F92" s="227" t="s">
        <v>82</v>
      </c>
      <c r="G92" s="228" t="s">
        <v>82</v>
      </c>
      <c r="H92" s="228"/>
      <c r="I92" s="223">
        <v>5</v>
      </c>
      <c r="J92" s="229">
        <v>-5</v>
      </c>
      <c r="K92" s="229">
        <v>5</v>
      </c>
      <c r="L92" s="229" t="s">
        <v>261</v>
      </c>
      <c r="M92" s="229" t="s">
        <v>257</v>
      </c>
      <c r="N92" s="230" t="str">
        <f>IF(ISERROR(MATCH(A92,MemMap!$A$4:$A$98,0)) = FALSE, INDEX(MemMap!$B$4:$B$98,MATCH(A92,MemMap!$A$4:$A$98,0)),IF(F92="Y","TunSetCalSeg",IF(G92="Y", "FlashCalSeg", IF(G92="N", "FlashAppSeg", ""))))</f>
        <v>FlashAppSeg</v>
      </c>
      <c r="O92" s="220"/>
      <c r="P92" s="220"/>
      <c r="Q92" s="221"/>
      <c r="R92" s="221"/>
    </row>
    <row r="93" spans="1:18" ht="33.75" x14ac:dyDescent="0.2">
      <c r="A93" s="224" t="s">
        <v>529</v>
      </c>
      <c r="B93" s="225" t="s">
        <v>530</v>
      </c>
      <c r="C93" s="226" t="s">
        <v>451</v>
      </c>
      <c r="D93" s="226" t="s">
        <v>452</v>
      </c>
      <c r="E93" s="226" t="s">
        <v>531</v>
      </c>
      <c r="F93" s="227" t="s">
        <v>82</v>
      </c>
      <c r="G93" s="228" t="s">
        <v>82</v>
      </c>
      <c r="H93" s="228"/>
      <c r="I93" s="223">
        <v>-5</v>
      </c>
      <c r="J93" s="229">
        <v>-5</v>
      </c>
      <c r="K93" s="229">
        <v>5</v>
      </c>
      <c r="L93" s="229" t="s">
        <v>261</v>
      </c>
      <c r="M93" s="229" t="s">
        <v>257</v>
      </c>
      <c r="N93" s="230" t="str">
        <f>IF(ISERROR(MATCH(A93,MemMap!$A$4:$A$98,0)) = FALSE, INDEX(MemMap!$B$4:$B$98,MATCH(A93,MemMap!$A$4:$A$98,0)),IF(F93="Y","TunSetCalSeg",IF(G93="Y", "FlashCalSeg", IF(G93="N", "FlashAppSeg", ""))))</f>
        <v>FlashAppSeg</v>
      </c>
      <c r="O93" s="220"/>
      <c r="P93" s="220"/>
      <c r="Q93" s="221"/>
      <c r="R93" s="221"/>
    </row>
    <row r="94" spans="1:18" ht="33.75" x14ac:dyDescent="0.2">
      <c r="A94" s="224" t="s">
        <v>513</v>
      </c>
      <c r="B94" s="225" t="s">
        <v>514</v>
      </c>
      <c r="C94" s="226" t="s">
        <v>451</v>
      </c>
      <c r="D94" s="226" t="s">
        <v>452</v>
      </c>
      <c r="E94" s="226" t="s">
        <v>515</v>
      </c>
      <c r="F94" s="227" t="s">
        <v>82</v>
      </c>
      <c r="G94" s="228" t="s">
        <v>82</v>
      </c>
      <c r="H94" s="228"/>
      <c r="I94" s="223">
        <v>50</v>
      </c>
      <c r="J94" s="229">
        <v>6.1035000000000001E-5</v>
      </c>
      <c r="K94" s="229">
        <v>4</v>
      </c>
      <c r="L94" s="229" t="s">
        <v>258</v>
      </c>
      <c r="M94" s="229" t="s">
        <v>257</v>
      </c>
      <c r="N94" s="230" t="str">
        <f>IF(ISERROR(MATCH(A94,MemMap!$A$4:$A$98,0)) = FALSE, INDEX(MemMap!$B$4:$B$98,MATCH(A94,MemMap!$A$4:$A$98,0)),IF(F94="Y","TunSetCalSeg",IF(G94="Y", "FlashCalSeg", IF(G94="N", "FlashAppSeg", ""))))</f>
        <v>FlashAppSeg</v>
      </c>
      <c r="O94" s="220"/>
      <c r="P94" s="220"/>
      <c r="Q94" s="221"/>
      <c r="R94" s="221"/>
    </row>
    <row r="95" spans="1:18" ht="33.75" x14ac:dyDescent="0.2">
      <c r="A95" s="224" t="s">
        <v>2053</v>
      </c>
      <c r="B95" s="225" t="s">
        <v>2054</v>
      </c>
      <c r="C95" s="226" t="s">
        <v>451</v>
      </c>
      <c r="D95" s="226" t="s">
        <v>452</v>
      </c>
      <c r="E95" s="226" t="s">
        <v>2055</v>
      </c>
      <c r="F95" s="227" t="s">
        <v>82</v>
      </c>
      <c r="G95" s="228" t="s">
        <v>82</v>
      </c>
      <c r="H95" s="228"/>
      <c r="I95" s="223">
        <v>15</v>
      </c>
      <c r="J95" s="229">
        <v>0</v>
      </c>
      <c r="K95" s="229">
        <v>127</v>
      </c>
      <c r="L95" s="229" t="s">
        <v>261</v>
      </c>
      <c r="M95" s="229" t="s">
        <v>257</v>
      </c>
      <c r="N95" s="230" t="str">
        <f>IF(ISERROR(MATCH(A95,MemMap!$A$4:$A$98,0)) = FALSE, INDEX(MemMap!$B$4:$B$98,MATCH(A95,MemMap!$A$4:$A$98,0)),IF(F95="Y","TunSetCalSeg",IF(G95="Y", "FlashCalSeg", IF(G95="N", "FlashAppSeg", ""))))</f>
        <v>FlashAppSeg</v>
      </c>
      <c r="O95" s="220"/>
      <c r="P95" s="220"/>
      <c r="Q95" s="221"/>
      <c r="R95" s="221"/>
    </row>
    <row r="96" spans="1:18" ht="33.75" x14ac:dyDescent="0.2">
      <c r="A96" s="224" t="s">
        <v>2056</v>
      </c>
      <c r="B96" s="225" t="s">
        <v>2057</v>
      </c>
      <c r="C96" s="226" t="s">
        <v>451</v>
      </c>
      <c r="D96" s="226" t="s">
        <v>452</v>
      </c>
      <c r="E96" s="226" t="s">
        <v>2058</v>
      </c>
      <c r="F96" s="227" t="s">
        <v>82</v>
      </c>
      <c r="G96" s="228" t="s">
        <v>82</v>
      </c>
      <c r="H96" s="228"/>
      <c r="I96" s="223">
        <v>50000</v>
      </c>
      <c r="J96" s="229">
        <v>0</v>
      </c>
      <c r="K96" s="229">
        <v>8100000</v>
      </c>
      <c r="L96" s="229" t="s">
        <v>269</v>
      </c>
      <c r="M96" s="229" t="s">
        <v>303</v>
      </c>
      <c r="N96" s="230" t="str">
        <f>IF(ISERROR(MATCH(A96,MemMap!$A$4:$A$98,0)) = FALSE, INDEX(MemMap!$B$4:$B$98,MATCH(A96,MemMap!$A$4:$A$98,0)),IF(F96="Y","TunSetCalSeg",IF(G96="Y", "FlashCalSeg", IF(G96="N", "FlashAppSeg", ""))))</f>
        <v>FlashAppSeg</v>
      </c>
      <c r="O96" s="220"/>
      <c r="P96" s="220"/>
      <c r="Q96" s="221"/>
      <c r="R96" s="221"/>
    </row>
    <row r="97" spans="1:18" ht="33.75" x14ac:dyDescent="0.2">
      <c r="A97" s="224" t="s">
        <v>490</v>
      </c>
      <c r="B97" s="225" t="s">
        <v>491</v>
      </c>
      <c r="C97" s="226" t="s">
        <v>451</v>
      </c>
      <c r="D97" s="226" t="s">
        <v>452</v>
      </c>
      <c r="E97" s="226" t="s">
        <v>492</v>
      </c>
      <c r="F97" s="227" t="s">
        <v>82</v>
      </c>
      <c r="G97" s="228" t="s">
        <v>82</v>
      </c>
      <c r="H97" s="228"/>
      <c r="I97" s="223">
        <v>0.98</v>
      </c>
      <c r="J97" s="229">
        <v>0</v>
      </c>
      <c r="K97" s="229">
        <v>1</v>
      </c>
      <c r="L97" s="229" t="s">
        <v>288</v>
      </c>
      <c r="M97" s="229" t="s">
        <v>257</v>
      </c>
      <c r="N97" s="230" t="str">
        <f>IF(ISERROR(MATCH(A97,MemMap!$A$4:$A$98,0)) = FALSE, INDEX(MemMap!$B$4:$B$98,MATCH(A97,MemMap!$A$4:$A$98,0)),IF(F97="Y","TunSetCalSeg",IF(G97="Y", "FlashCalSeg", IF(G97="N", "FlashAppSeg", ""))))</f>
        <v>FlashAppSeg</v>
      </c>
      <c r="O97" s="220"/>
      <c r="P97" s="220"/>
      <c r="Q97" s="221"/>
      <c r="R97" s="221"/>
    </row>
    <row r="98" spans="1:18" ht="33.75" x14ac:dyDescent="0.2">
      <c r="A98" s="224" t="s">
        <v>493</v>
      </c>
      <c r="B98" s="225" t="s">
        <v>494</v>
      </c>
      <c r="C98" s="226" t="s">
        <v>451</v>
      </c>
      <c r="D98" s="226" t="s">
        <v>452</v>
      </c>
      <c r="E98" s="226" t="s">
        <v>495</v>
      </c>
      <c r="F98" s="227" t="s">
        <v>82</v>
      </c>
      <c r="G98" s="228" t="s">
        <v>82</v>
      </c>
      <c r="H98" s="228"/>
      <c r="I98" s="223">
        <v>360</v>
      </c>
      <c r="J98" s="229">
        <v>0</v>
      </c>
      <c r="K98" s="229">
        <v>600</v>
      </c>
      <c r="L98" s="229" t="s">
        <v>496</v>
      </c>
      <c r="M98" s="229" t="s">
        <v>257</v>
      </c>
      <c r="N98" s="230" t="str">
        <f>IF(ISERROR(MATCH(A98,MemMap!$A$4:$A$98,0)) = FALSE, INDEX(MemMap!$B$4:$B$98,MATCH(A98,MemMap!$A$4:$A$98,0)),IF(F98="Y","TunSetCalSeg",IF(G98="Y", "FlashCalSeg", IF(G98="N", "FlashAppSeg", ""))))</f>
        <v>FlashAppSeg</v>
      </c>
      <c r="O98" s="220"/>
      <c r="P98" s="220"/>
      <c r="Q98" s="221"/>
      <c r="R98" s="221"/>
    </row>
    <row r="99" spans="1:18" ht="33.75" x14ac:dyDescent="0.2">
      <c r="A99" s="224" t="s">
        <v>497</v>
      </c>
      <c r="B99" s="225" t="s">
        <v>498</v>
      </c>
      <c r="C99" s="226" t="s">
        <v>451</v>
      </c>
      <c r="D99" s="226" t="s">
        <v>452</v>
      </c>
      <c r="E99" s="226" t="s">
        <v>499</v>
      </c>
      <c r="F99" s="227" t="s">
        <v>82</v>
      </c>
      <c r="G99" s="228" t="s">
        <v>82</v>
      </c>
      <c r="H99" s="228"/>
      <c r="I99" s="223">
        <v>800</v>
      </c>
      <c r="J99" s="229">
        <v>0</v>
      </c>
      <c r="K99" s="229">
        <v>600</v>
      </c>
      <c r="L99" s="229" t="s">
        <v>496</v>
      </c>
      <c r="M99" s="229" t="s">
        <v>257</v>
      </c>
      <c r="N99" s="230" t="str">
        <f>IF(ISERROR(MATCH(A99,MemMap!$A$4:$A$98,0)) = FALSE, INDEX(MemMap!$B$4:$B$98,MATCH(A99,MemMap!$A$4:$A$98,0)),IF(F99="Y","TunSetCalSeg",IF(G99="Y", "FlashCalSeg", IF(G99="N", "FlashAppSeg", ""))))</f>
        <v>FlashAppSeg</v>
      </c>
      <c r="O99" s="220"/>
      <c r="P99" s="220"/>
      <c r="Q99" s="221"/>
      <c r="R99" s="221"/>
    </row>
    <row r="100" spans="1:18" ht="33.75" x14ac:dyDescent="0.2">
      <c r="A100" s="224" t="s">
        <v>500</v>
      </c>
      <c r="B100" s="225" t="s">
        <v>501</v>
      </c>
      <c r="C100" s="226" t="s">
        <v>451</v>
      </c>
      <c r="D100" s="226" t="s">
        <v>452</v>
      </c>
      <c r="E100" s="226" t="s">
        <v>502</v>
      </c>
      <c r="F100" s="227" t="s">
        <v>82</v>
      </c>
      <c r="G100" s="228" t="s">
        <v>82</v>
      </c>
      <c r="H100" s="228"/>
      <c r="I100" s="223">
        <v>0</v>
      </c>
      <c r="J100" s="229">
        <v>0</v>
      </c>
      <c r="K100" s="229">
        <v>600</v>
      </c>
      <c r="L100" s="229" t="s">
        <v>496</v>
      </c>
      <c r="M100" s="229" t="s">
        <v>257</v>
      </c>
      <c r="N100" s="230" t="str">
        <f>IF(ISERROR(MATCH(A100,MemMap!$A$4:$A$98,0)) = FALSE, INDEX(MemMap!$B$4:$B$98,MATCH(A100,MemMap!$A$4:$A$98,0)),IF(F100="Y","TunSetCalSeg",IF(G100="Y", "FlashCalSeg", IF(G100="N", "FlashAppSeg", ""))))</f>
        <v>FlashAppSeg</v>
      </c>
      <c r="O100" s="220"/>
      <c r="P100" s="220"/>
      <c r="Q100" s="221"/>
      <c r="R100" s="221"/>
    </row>
    <row r="101" spans="1:18" ht="33.75" x14ac:dyDescent="0.2">
      <c r="A101" s="224" t="s">
        <v>526</v>
      </c>
      <c r="B101" s="225" t="s">
        <v>527</v>
      </c>
      <c r="C101" s="226" t="s">
        <v>451</v>
      </c>
      <c r="D101" s="226" t="s">
        <v>452</v>
      </c>
      <c r="E101" s="226" t="s">
        <v>528</v>
      </c>
      <c r="F101" s="227" t="s">
        <v>82</v>
      </c>
      <c r="G101" s="228" t="s">
        <v>82</v>
      </c>
      <c r="H101" s="228"/>
      <c r="I101" s="223">
        <v>100</v>
      </c>
      <c r="J101" s="229">
        <v>0</v>
      </c>
      <c r="K101" s="229">
        <v>127</v>
      </c>
      <c r="L101" s="229" t="s">
        <v>261</v>
      </c>
      <c r="M101" s="229" t="s">
        <v>257</v>
      </c>
      <c r="N101" s="230" t="str">
        <f>IF(ISERROR(MATCH(A101,MemMap!$A$4:$A$98,0)) = FALSE, INDEX(MemMap!$B$4:$B$98,MATCH(A101,MemMap!$A$4:$A$98,0)),IF(F101="Y","TunSetCalSeg",IF(G101="Y", "FlashCalSeg", IF(G101="N", "FlashAppSeg", ""))))</f>
        <v>FlashAppSeg</v>
      </c>
      <c r="O101" s="220"/>
      <c r="P101" s="220"/>
      <c r="Q101" s="221"/>
      <c r="R101" s="221"/>
    </row>
    <row r="102" spans="1:18" ht="33.75" x14ac:dyDescent="0.2">
      <c r="A102" s="224" t="s">
        <v>503</v>
      </c>
      <c r="B102" s="225" t="s">
        <v>504</v>
      </c>
      <c r="C102" s="226" t="s">
        <v>451</v>
      </c>
      <c r="D102" s="226" t="s">
        <v>452</v>
      </c>
      <c r="E102" s="226" t="s">
        <v>505</v>
      </c>
      <c r="F102" s="227" t="s">
        <v>82</v>
      </c>
      <c r="G102" s="228" t="s">
        <v>82</v>
      </c>
      <c r="H102" s="228"/>
      <c r="I102" s="223">
        <v>1</v>
      </c>
      <c r="J102" s="229">
        <v>-9.8000000000000007</v>
      </c>
      <c r="K102" s="229">
        <v>9.8000000000000007</v>
      </c>
      <c r="L102" s="229" t="s">
        <v>506</v>
      </c>
      <c r="M102" s="229" t="s">
        <v>257</v>
      </c>
      <c r="N102" s="230" t="str">
        <f>IF(ISERROR(MATCH(A102,MemMap!$A$4:$A$98,0)) = FALSE, INDEX(MemMap!$B$4:$B$98,MATCH(A102,MemMap!$A$4:$A$98,0)),IF(F102="Y","TunSetCalSeg",IF(G102="Y", "FlashCalSeg", IF(G102="N", "FlashAppSeg", ""))))</f>
        <v>FlashAppSeg</v>
      </c>
      <c r="O102" s="220"/>
      <c r="P102" s="220"/>
      <c r="Q102" s="221"/>
      <c r="R102" s="221"/>
    </row>
    <row r="103" spans="1:18" ht="33.75" x14ac:dyDescent="0.2">
      <c r="A103" s="224" t="s">
        <v>507</v>
      </c>
      <c r="B103" s="225" t="s">
        <v>508</v>
      </c>
      <c r="C103" s="226" t="s">
        <v>451</v>
      </c>
      <c r="D103" s="226" t="s">
        <v>452</v>
      </c>
      <c r="E103" s="226" t="s">
        <v>509</v>
      </c>
      <c r="F103" s="227" t="s">
        <v>82</v>
      </c>
      <c r="G103" s="228" t="s">
        <v>82</v>
      </c>
      <c r="H103" s="228"/>
      <c r="I103" s="223">
        <v>0</v>
      </c>
      <c r="J103" s="229">
        <v>-9.8000000000000007</v>
      </c>
      <c r="K103" s="229">
        <v>9.8000000000000007</v>
      </c>
      <c r="L103" s="229" t="s">
        <v>506</v>
      </c>
      <c r="M103" s="229" t="s">
        <v>257</v>
      </c>
      <c r="N103" s="230" t="str">
        <f>IF(ISERROR(MATCH(A103,MemMap!$A$4:$A$98,0)) = FALSE, INDEX(MemMap!$B$4:$B$98,MATCH(A103,MemMap!$A$4:$A$98,0)),IF(F103="Y","TunSetCalSeg",IF(G103="Y", "FlashCalSeg", IF(G103="N", "FlashAppSeg", ""))))</f>
        <v>FlashAppSeg</v>
      </c>
      <c r="O103" s="220"/>
      <c r="P103" s="220"/>
      <c r="Q103" s="221"/>
      <c r="R103" s="221"/>
    </row>
    <row r="104" spans="1:18" ht="33.75" x14ac:dyDescent="0.2">
      <c r="A104" s="224" t="s">
        <v>478</v>
      </c>
      <c r="B104" s="225" t="s">
        <v>479</v>
      </c>
      <c r="C104" s="226" t="s">
        <v>451</v>
      </c>
      <c r="D104" s="226" t="s">
        <v>452</v>
      </c>
      <c r="E104" s="226" t="s">
        <v>480</v>
      </c>
      <c r="F104" s="227" t="s">
        <v>82</v>
      </c>
      <c r="G104" s="228" t="s">
        <v>82</v>
      </c>
      <c r="H104" s="228"/>
      <c r="I104" s="223">
        <v>0.2</v>
      </c>
      <c r="J104" s="229">
        <v>0</v>
      </c>
      <c r="K104" s="229">
        <v>2</v>
      </c>
      <c r="L104" s="229" t="s">
        <v>288</v>
      </c>
      <c r="M104" s="229" t="s">
        <v>257</v>
      </c>
      <c r="N104" s="230" t="str">
        <f>IF(ISERROR(MATCH(A104,MemMap!$A$4:$A$98,0)) = FALSE, INDEX(MemMap!$B$4:$B$98,MATCH(A104,MemMap!$A$4:$A$98,0)),IF(F104="Y","TunSetCalSeg",IF(G104="Y", "FlashCalSeg", IF(G104="N", "FlashAppSeg", ""))))</f>
        <v>FlashAppSeg</v>
      </c>
      <c r="O104" s="220"/>
      <c r="P104" s="220"/>
      <c r="Q104" s="221"/>
      <c r="R104" s="221"/>
    </row>
    <row r="105" spans="1:18" ht="33.75" x14ac:dyDescent="0.2">
      <c r="A105" s="224" t="s">
        <v>481</v>
      </c>
      <c r="B105" s="225" t="s">
        <v>482</v>
      </c>
      <c r="C105" s="226" t="s">
        <v>451</v>
      </c>
      <c r="D105" s="226" t="s">
        <v>452</v>
      </c>
      <c r="E105" s="226" t="s">
        <v>483</v>
      </c>
      <c r="F105" s="227" t="s">
        <v>82</v>
      </c>
      <c r="G105" s="228" t="s">
        <v>82</v>
      </c>
      <c r="H105" s="228"/>
      <c r="I105" s="223">
        <v>1</v>
      </c>
      <c r="J105" s="229">
        <v>1</v>
      </c>
      <c r="K105" s="229">
        <v>65535</v>
      </c>
      <c r="L105" s="229" t="s">
        <v>288</v>
      </c>
      <c r="M105" s="229" t="s">
        <v>303</v>
      </c>
      <c r="N105" s="230" t="str">
        <f>IF(ISERROR(MATCH(A105,MemMap!$A$4:$A$98,0)) = FALSE, INDEX(MemMap!$B$4:$B$98,MATCH(A105,MemMap!$A$4:$A$98,0)),IF(F105="Y","TunSetCalSeg",IF(G105="Y", "FlashCalSeg", IF(G105="N", "FlashAppSeg", ""))))</f>
        <v>FlashAppSeg</v>
      </c>
      <c r="O105" s="220"/>
      <c r="P105" s="220"/>
      <c r="Q105" s="221"/>
      <c r="R105" s="221"/>
    </row>
    <row r="106" spans="1:18" ht="33.75" x14ac:dyDescent="0.2">
      <c r="A106" s="224" t="s">
        <v>484</v>
      </c>
      <c r="B106" s="225" t="s">
        <v>485</v>
      </c>
      <c r="C106" s="226" t="s">
        <v>451</v>
      </c>
      <c r="D106" s="226" t="s">
        <v>452</v>
      </c>
      <c r="E106" s="226" t="s">
        <v>486</v>
      </c>
      <c r="F106" s="227" t="s">
        <v>82</v>
      </c>
      <c r="G106" s="228" t="s">
        <v>82</v>
      </c>
      <c r="H106" s="228"/>
      <c r="I106" s="223">
        <v>65534</v>
      </c>
      <c r="J106" s="229">
        <v>1</v>
      </c>
      <c r="K106" s="229">
        <v>65534</v>
      </c>
      <c r="L106" s="229" t="s">
        <v>387</v>
      </c>
      <c r="M106" s="229" t="s">
        <v>263</v>
      </c>
      <c r="N106" s="230" t="str">
        <f>IF(ISERROR(MATCH(A106,MemMap!$A$4:$A$98,0)) = FALSE, INDEX(MemMap!$B$4:$B$98,MATCH(A106,MemMap!$A$4:$A$98,0)),IF(F106="Y","TunSetCalSeg",IF(G106="Y", "FlashCalSeg", IF(G106="N", "FlashAppSeg", ""))))</f>
        <v>FlashAppSeg</v>
      </c>
      <c r="O106" s="220"/>
      <c r="P106" s="220"/>
      <c r="Q106" s="221"/>
      <c r="R106" s="221"/>
    </row>
    <row r="107" spans="1:18" ht="33.75" x14ac:dyDescent="0.2">
      <c r="A107" s="224" t="s">
        <v>510</v>
      </c>
      <c r="B107" s="225" t="s">
        <v>511</v>
      </c>
      <c r="C107" s="226" t="s">
        <v>451</v>
      </c>
      <c r="D107" s="226" t="s">
        <v>452</v>
      </c>
      <c r="E107" s="226" t="s">
        <v>512</v>
      </c>
      <c r="F107" s="227" t="s">
        <v>82</v>
      </c>
      <c r="G107" s="228" t="s">
        <v>82</v>
      </c>
      <c r="H107" s="228"/>
      <c r="I107" s="223">
        <v>50</v>
      </c>
      <c r="J107" s="229">
        <v>-128</v>
      </c>
      <c r="K107" s="229">
        <v>128</v>
      </c>
      <c r="L107" s="229" t="s">
        <v>261</v>
      </c>
      <c r="M107" s="229" t="s">
        <v>257</v>
      </c>
      <c r="N107" s="230" t="str">
        <f>IF(ISERROR(MATCH(A107,MemMap!$A$4:$A$98,0)) = FALSE, INDEX(MemMap!$B$4:$B$98,MATCH(A107,MemMap!$A$4:$A$98,0)),IF(F107="Y","TunSetCalSeg",IF(G107="Y", "FlashCalSeg", IF(G107="N", "FlashAppSeg", ""))))</f>
        <v>FlashAppSeg</v>
      </c>
      <c r="O107" s="220"/>
      <c r="P107" s="220"/>
      <c r="Q107" s="221"/>
      <c r="R107" s="221"/>
    </row>
    <row r="108" spans="1:18" ht="33.75" x14ac:dyDescent="0.2">
      <c r="A108" s="224" t="s">
        <v>520</v>
      </c>
      <c r="B108" s="225" t="s">
        <v>521</v>
      </c>
      <c r="C108" s="226" t="s">
        <v>451</v>
      </c>
      <c r="D108" s="226" t="s">
        <v>452</v>
      </c>
      <c r="E108" s="226" t="s">
        <v>522</v>
      </c>
      <c r="F108" s="227" t="s">
        <v>82</v>
      </c>
      <c r="G108" s="228" t="s">
        <v>82</v>
      </c>
      <c r="H108" s="228"/>
      <c r="I108" s="223">
        <v>100</v>
      </c>
      <c r="J108" s="229">
        <v>-100</v>
      </c>
      <c r="K108" s="229">
        <v>400</v>
      </c>
      <c r="L108" s="229" t="s">
        <v>519</v>
      </c>
      <c r="M108" s="229" t="s">
        <v>257</v>
      </c>
      <c r="N108" s="230" t="str">
        <f>IF(ISERROR(MATCH(A108,MemMap!$A$4:$A$98,0)) = FALSE, INDEX(MemMap!$B$4:$B$98,MATCH(A108,MemMap!$A$4:$A$98,0)),IF(F108="Y","TunSetCalSeg",IF(G108="Y", "FlashCalSeg", IF(G108="N", "FlashAppSeg", ""))))</f>
        <v>FlashAppSeg</v>
      </c>
      <c r="O108" s="220"/>
      <c r="P108" s="220"/>
      <c r="Q108" s="221"/>
      <c r="R108" s="221"/>
    </row>
    <row r="109" spans="1:18" ht="33.75" x14ac:dyDescent="0.2">
      <c r="A109" s="224" t="s">
        <v>516</v>
      </c>
      <c r="B109" s="225" t="s">
        <v>517</v>
      </c>
      <c r="C109" s="226" t="s">
        <v>451</v>
      </c>
      <c r="D109" s="226" t="s">
        <v>452</v>
      </c>
      <c r="E109" s="226" t="s">
        <v>518</v>
      </c>
      <c r="F109" s="227" t="s">
        <v>82</v>
      </c>
      <c r="G109" s="228" t="s">
        <v>82</v>
      </c>
      <c r="H109" s="228"/>
      <c r="I109" s="223">
        <v>0</v>
      </c>
      <c r="J109" s="229">
        <v>-100</v>
      </c>
      <c r="K109" s="229">
        <v>400</v>
      </c>
      <c r="L109" s="229" t="s">
        <v>519</v>
      </c>
      <c r="M109" s="229" t="s">
        <v>257</v>
      </c>
      <c r="N109" s="230" t="str">
        <f>IF(ISERROR(MATCH(A109,MemMap!$A$4:$A$98,0)) = FALSE, INDEX(MemMap!$B$4:$B$98,MATCH(A109,MemMap!$A$4:$A$98,0)),IF(F109="Y","TunSetCalSeg",IF(G109="Y", "FlashCalSeg", IF(G109="N", "FlashAppSeg", ""))))</f>
        <v>FlashAppSeg</v>
      </c>
      <c r="O109" s="220"/>
      <c r="P109" s="220"/>
      <c r="Q109" s="221"/>
      <c r="R109" s="221"/>
    </row>
    <row r="110" spans="1:18" ht="45" x14ac:dyDescent="0.2">
      <c r="A110" s="224" t="s">
        <v>543</v>
      </c>
      <c r="B110" s="225" t="s">
        <v>544</v>
      </c>
      <c r="C110" s="226" t="s">
        <v>451</v>
      </c>
      <c r="D110" s="226" t="s">
        <v>452</v>
      </c>
      <c r="E110" s="226" t="s">
        <v>545</v>
      </c>
      <c r="F110" s="227" t="s">
        <v>82</v>
      </c>
      <c r="G110" s="228" t="s">
        <v>82</v>
      </c>
      <c r="H110" s="228"/>
      <c r="I110" s="223" t="s">
        <v>546</v>
      </c>
      <c r="J110" s="229">
        <v>0</v>
      </c>
      <c r="K110" s="229">
        <v>127</v>
      </c>
      <c r="L110" s="229" t="s">
        <v>261</v>
      </c>
      <c r="M110" s="229" t="s">
        <v>257</v>
      </c>
      <c r="N110" s="230" t="str">
        <f>IF(ISERROR(MATCH(A110,MemMap!$A$4:$A$98,0)) = FALSE, INDEX(MemMap!$B$4:$B$98,MATCH(A110,MemMap!$A$4:$A$98,0)),IF(F110="Y","TunSetCalSeg",IF(G110="Y", "FlashCalSeg", IF(G110="N", "FlashAppSeg", ""))))</f>
        <v>FlashAppSeg</v>
      </c>
      <c r="O110" s="220"/>
      <c r="P110" s="220"/>
      <c r="Q110" s="221"/>
      <c r="R110" s="221"/>
    </row>
    <row r="111" spans="1:18" ht="33.75" x14ac:dyDescent="0.2">
      <c r="A111" s="224" t="s">
        <v>448</v>
      </c>
      <c r="B111" s="225" t="s">
        <v>449</v>
      </c>
      <c r="C111" s="226" t="s">
        <v>451</v>
      </c>
      <c r="D111" s="226" t="s">
        <v>452</v>
      </c>
      <c r="E111" s="226" t="s">
        <v>450</v>
      </c>
      <c r="F111" s="227" t="s">
        <v>82</v>
      </c>
      <c r="G111" s="228" t="s">
        <v>82</v>
      </c>
      <c r="H111" s="228"/>
      <c r="I111" s="223" t="s">
        <v>453</v>
      </c>
      <c r="J111" s="229">
        <v>-1000</v>
      </c>
      <c r="K111" s="229">
        <v>1000</v>
      </c>
      <c r="L111" s="229" t="s">
        <v>264</v>
      </c>
      <c r="M111" s="229" t="s">
        <v>257</v>
      </c>
      <c r="N111" s="230" t="str">
        <f>IF(ISERROR(MATCH(A111,MemMap!$A$4:$A$98,0)) = FALSE, INDEX(MemMap!$B$4:$B$98,MATCH(A111,MemMap!$A$4:$A$98,0)),IF(F111="Y","TunSetCalSeg",IF(G111="Y", "FlashCalSeg", IF(G111="N", "FlashAppSeg", ""))))</f>
        <v>FlashAppSeg</v>
      </c>
      <c r="O111" s="220"/>
      <c r="P111" s="220"/>
      <c r="Q111" s="221"/>
      <c r="R111" s="221"/>
    </row>
    <row r="112" spans="1:18" ht="33.75" x14ac:dyDescent="0.2">
      <c r="A112" s="224" t="s">
        <v>463</v>
      </c>
      <c r="B112" s="225" t="s">
        <v>464</v>
      </c>
      <c r="C112" s="226" t="s">
        <v>451</v>
      </c>
      <c r="D112" s="226" t="s">
        <v>452</v>
      </c>
      <c r="E112" s="226" t="s">
        <v>465</v>
      </c>
      <c r="F112" s="227" t="s">
        <v>82</v>
      </c>
      <c r="G112" s="228" t="s">
        <v>82</v>
      </c>
      <c r="H112" s="228"/>
      <c r="I112" s="223" t="s">
        <v>461</v>
      </c>
      <c r="J112" s="229">
        <v>0</v>
      </c>
      <c r="K112" s="229">
        <v>1</v>
      </c>
      <c r="L112" s="229" t="s">
        <v>288</v>
      </c>
      <c r="M112" s="229" t="s">
        <v>257</v>
      </c>
      <c r="N112" s="230" t="str">
        <f>IF(ISERROR(MATCH(A112,MemMap!$A$4:$A$98,0)) = FALSE, INDEX(MemMap!$B$4:$B$98,MATCH(A112,MemMap!$A$4:$A$98,0)),IF(F112="Y","TunSetCalSeg",IF(G112="Y", "FlashCalSeg", IF(G112="N", "FlashAppSeg", ""))))</f>
        <v>FlashAppSeg</v>
      </c>
      <c r="O112" s="220"/>
      <c r="P112" s="220"/>
      <c r="Q112" s="221"/>
      <c r="R112" s="221"/>
    </row>
    <row r="113" spans="1:18" ht="33.75" x14ac:dyDescent="0.2">
      <c r="A113" s="224" t="s">
        <v>466</v>
      </c>
      <c r="B113" s="225" t="s">
        <v>467</v>
      </c>
      <c r="C113" s="226" t="s">
        <v>451</v>
      </c>
      <c r="D113" s="226" t="s">
        <v>452</v>
      </c>
      <c r="E113" s="226" t="s">
        <v>468</v>
      </c>
      <c r="F113" s="227" t="s">
        <v>82</v>
      </c>
      <c r="G113" s="228" t="s">
        <v>82</v>
      </c>
      <c r="H113" s="228" t="s">
        <v>469</v>
      </c>
      <c r="I113" s="223" t="s">
        <v>470</v>
      </c>
      <c r="J113" s="229">
        <v>0</v>
      </c>
      <c r="K113" s="229">
        <v>1000</v>
      </c>
      <c r="L113" s="229" t="s">
        <v>264</v>
      </c>
      <c r="M113" s="229" t="s">
        <v>471</v>
      </c>
      <c r="N113" s="230" t="str">
        <f>IF(ISERROR(MATCH(A113,MemMap!$A$4:$A$98,0)) = FALSE, INDEX(MemMap!$B$4:$B$98,MATCH(A113,MemMap!$A$4:$A$98,0)),IF(F113="Y","TunSetCalSeg",IF(G113="Y", "FlashCalSeg", IF(G113="N", "FlashAppSeg", ""))))</f>
        <v>FlashAppSeg</v>
      </c>
      <c r="O113" s="220"/>
      <c r="P113" s="220"/>
      <c r="Q113" s="221"/>
      <c r="R113" s="221"/>
    </row>
    <row r="114" spans="1:18" ht="33.75" x14ac:dyDescent="0.2">
      <c r="A114" s="224" t="s">
        <v>472</v>
      </c>
      <c r="B114" s="225" t="s">
        <v>473</v>
      </c>
      <c r="C114" s="226" t="s">
        <v>451</v>
      </c>
      <c r="D114" s="226" t="s">
        <v>452</v>
      </c>
      <c r="E114" s="226" t="s">
        <v>474</v>
      </c>
      <c r="F114" s="227" t="s">
        <v>82</v>
      </c>
      <c r="G114" s="228" t="s">
        <v>82</v>
      </c>
      <c r="H114" s="228" t="s">
        <v>475</v>
      </c>
      <c r="I114" s="223" t="s">
        <v>476</v>
      </c>
      <c r="J114" s="229">
        <v>0</v>
      </c>
      <c r="K114" s="229">
        <v>50</v>
      </c>
      <c r="L114" s="229" t="s">
        <v>477</v>
      </c>
      <c r="M114" s="229" t="s">
        <v>254</v>
      </c>
      <c r="N114" s="230" t="str">
        <f>IF(ISERROR(MATCH(A114,MemMap!$A$4:$A$98,0)) = FALSE, INDEX(MemMap!$B$4:$B$98,MATCH(A114,MemMap!$A$4:$A$98,0)),IF(F114="Y","TunSetCalSeg",IF(G114="Y", "FlashCalSeg", IF(G114="N", "FlashAppSeg", ""))))</f>
        <v>FlashAppSeg</v>
      </c>
      <c r="O114" s="220"/>
      <c r="P114" s="220"/>
      <c r="Q114" s="221"/>
      <c r="R114" s="221"/>
    </row>
    <row r="115" spans="1:18" ht="56.25" x14ac:dyDescent="0.2">
      <c r="A115" s="224" t="s">
        <v>458</v>
      </c>
      <c r="B115" s="225" t="s">
        <v>459</v>
      </c>
      <c r="C115" s="226" t="s">
        <v>451</v>
      </c>
      <c r="D115" s="226" t="s">
        <v>452</v>
      </c>
      <c r="E115" s="226" t="s">
        <v>460</v>
      </c>
      <c r="F115" s="227" t="s">
        <v>82</v>
      </c>
      <c r="G115" s="228" t="s">
        <v>82</v>
      </c>
      <c r="H115" s="228"/>
      <c r="I115" s="223" t="s">
        <v>461</v>
      </c>
      <c r="J115" s="229">
        <v>0</v>
      </c>
      <c r="K115" s="229">
        <v>1</v>
      </c>
      <c r="L115" s="229" t="s">
        <v>387</v>
      </c>
      <c r="M115" s="229" t="s">
        <v>462</v>
      </c>
      <c r="N115" s="230" t="str">
        <f>IF(ISERROR(MATCH(A115,MemMap!$A$4:$A$98,0)) = FALSE, INDEX(MemMap!$B$4:$B$98,MATCH(A115,MemMap!$A$4:$A$98,0)),IF(F115="Y","TunSetCalSeg",IF(G115="Y", "FlashCalSeg", IF(G115="N", "FlashAppSeg", ""))))</f>
        <v>FlashAppSeg</v>
      </c>
      <c r="O115" s="220"/>
      <c r="P115" s="220"/>
      <c r="Q115" s="221"/>
      <c r="R115" s="221"/>
    </row>
    <row r="116" spans="1:18" ht="33.75" x14ac:dyDescent="0.2">
      <c r="A116" s="224" t="s">
        <v>539</v>
      </c>
      <c r="B116" s="225" t="s">
        <v>540</v>
      </c>
      <c r="C116" s="226" t="s">
        <v>451</v>
      </c>
      <c r="D116" s="226" t="s">
        <v>452</v>
      </c>
      <c r="E116" s="226" t="s">
        <v>541</v>
      </c>
      <c r="F116" s="227" t="s">
        <v>82</v>
      </c>
      <c r="G116" s="228" t="s">
        <v>82</v>
      </c>
      <c r="H116" s="228"/>
      <c r="I116" s="223" t="s">
        <v>542</v>
      </c>
      <c r="J116" s="229">
        <v>0</v>
      </c>
      <c r="K116" s="229">
        <v>65534</v>
      </c>
      <c r="L116" s="229" t="s">
        <v>387</v>
      </c>
      <c r="M116" s="229" t="s">
        <v>263</v>
      </c>
      <c r="N116" s="230" t="str">
        <f>IF(ISERROR(MATCH(A116,MemMap!$A$4:$A$98,0)) = FALSE, INDEX(MemMap!$B$4:$B$98,MATCH(A116,MemMap!$A$4:$A$98,0)),IF(F116="Y","TunSetCalSeg",IF(G116="Y", "FlashCalSeg", IF(G116="N", "FlashAppSeg", ""))))</f>
        <v>FlashAppSeg</v>
      </c>
      <c r="O116" s="220"/>
      <c r="P116" s="220"/>
      <c r="Q116" s="221"/>
      <c r="R116" s="221"/>
    </row>
    <row r="117" spans="1:18" ht="33.75" x14ac:dyDescent="0.2">
      <c r="A117" s="224" t="s">
        <v>535</v>
      </c>
      <c r="B117" s="225" t="s">
        <v>536</v>
      </c>
      <c r="C117" s="226" t="s">
        <v>451</v>
      </c>
      <c r="D117" s="226" t="s">
        <v>452</v>
      </c>
      <c r="E117" s="226" t="s">
        <v>537</v>
      </c>
      <c r="F117" s="227" t="s">
        <v>82</v>
      </c>
      <c r="G117" s="228" t="s">
        <v>82</v>
      </c>
      <c r="H117" s="228"/>
      <c r="I117" s="223" t="s">
        <v>538</v>
      </c>
      <c r="J117" s="229">
        <v>-20</v>
      </c>
      <c r="K117" s="229">
        <v>20</v>
      </c>
      <c r="L117" s="229" t="s">
        <v>261</v>
      </c>
      <c r="M117" s="229" t="s">
        <v>257</v>
      </c>
      <c r="N117" s="230" t="str">
        <f>IF(ISERROR(MATCH(A117,MemMap!$A$4:$A$98,0)) = FALSE, INDEX(MemMap!$B$4:$B$98,MATCH(A117,MemMap!$A$4:$A$98,0)),IF(F117="Y","TunSetCalSeg",IF(G117="Y", "FlashCalSeg", IF(G117="N", "FlashAppSeg", ""))))</f>
        <v>FlashAppSeg</v>
      </c>
      <c r="O117" s="220"/>
      <c r="P117" s="220"/>
      <c r="Q117" s="221"/>
      <c r="R117" s="221"/>
    </row>
    <row r="118" spans="1:18" ht="33.75" x14ac:dyDescent="0.2">
      <c r="A118" s="224" t="s">
        <v>454</v>
      </c>
      <c r="B118" s="225" t="s">
        <v>455</v>
      </c>
      <c r="C118" s="226" t="s">
        <v>451</v>
      </c>
      <c r="D118" s="226" t="s">
        <v>452</v>
      </c>
      <c r="E118" s="226" t="s">
        <v>456</v>
      </c>
      <c r="F118" s="227" t="s">
        <v>82</v>
      </c>
      <c r="G118" s="228" t="s">
        <v>82</v>
      </c>
      <c r="H118" s="228"/>
      <c r="I118" s="223" t="s">
        <v>457</v>
      </c>
      <c r="J118" s="229">
        <v>0</v>
      </c>
      <c r="K118" s="229">
        <v>255</v>
      </c>
      <c r="L118" s="229" t="s">
        <v>296</v>
      </c>
      <c r="M118" s="229" t="s">
        <v>257</v>
      </c>
      <c r="N118" s="230" t="str">
        <f>IF(ISERROR(MATCH(A118,MemMap!$A$4:$A$98,0)) = FALSE, INDEX(MemMap!$B$4:$B$98,MATCH(A118,MemMap!$A$4:$A$98,0)),IF(F118="Y","TunSetCalSeg",IF(G118="Y", "FlashCalSeg", IF(G118="N", "FlashAppSeg", ""))))</f>
        <v>FlashAppSeg</v>
      </c>
      <c r="O118" s="220"/>
      <c r="P118" s="220"/>
      <c r="Q118" s="221"/>
      <c r="R118" s="221"/>
    </row>
    <row r="119" spans="1:18" ht="67.5" x14ac:dyDescent="0.2">
      <c r="A119" s="224" t="s">
        <v>561</v>
      </c>
      <c r="B119" s="225" t="s">
        <v>561</v>
      </c>
      <c r="C119" s="226" t="s">
        <v>559</v>
      </c>
      <c r="D119" s="226" t="s">
        <v>175</v>
      </c>
      <c r="E119" s="226" t="s">
        <v>562</v>
      </c>
      <c r="F119" s="227" t="s">
        <v>82</v>
      </c>
      <c r="G119" s="228" t="s">
        <v>82</v>
      </c>
      <c r="H119" s="228"/>
      <c r="I119" s="223">
        <v>0.5</v>
      </c>
      <c r="J119" s="229">
        <v>0</v>
      </c>
      <c r="K119" s="229">
        <v>6</v>
      </c>
      <c r="L119" s="229" t="s">
        <v>560</v>
      </c>
      <c r="M119" s="229" t="s">
        <v>257</v>
      </c>
      <c r="N119" s="230" t="str">
        <f>IF(ISERROR(MATCH(A119,MemMap!$A$4:$A$98,0)) = FALSE, INDEX(MemMap!$B$4:$B$98,MATCH(A119,MemMap!$A$4:$A$98,0)),IF(F119="Y","TunSetCalSeg",IF(G119="Y", "FlashCalSeg", IF(G119="N", "FlashAppSeg", ""))))</f>
        <v>FlashAppSeg</v>
      </c>
      <c r="O119" s="220"/>
      <c r="P119" s="220"/>
      <c r="Q119" s="221"/>
      <c r="R119" s="221"/>
    </row>
    <row r="120" spans="1:18" x14ac:dyDescent="0.2">
      <c r="A120" s="224" t="s">
        <v>573</v>
      </c>
      <c r="B120" s="225"/>
      <c r="C120" s="226" t="s">
        <v>559</v>
      </c>
      <c r="D120" s="226" t="s">
        <v>925</v>
      </c>
      <c r="E120" s="226"/>
      <c r="F120" s="227" t="s">
        <v>82</v>
      </c>
      <c r="G120" s="228" t="s">
        <v>82</v>
      </c>
      <c r="H120" s="228"/>
      <c r="I120" s="223" t="s">
        <v>564</v>
      </c>
      <c r="J120" s="229"/>
      <c r="K120" s="229"/>
      <c r="L120" s="229"/>
      <c r="M120" s="229" t="s">
        <v>565</v>
      </c>
      <c r="N120" s="230" t="str">
        <f>IF(ISERROR(MATCH(A120,MemMap!$A$4:$A$98,0)) = FALSE, INDEX(MemMap!$B$4:$B$98,MATCH(A120,MemMap!$A$4:$A$98,0)),IF(F120="Y","TunSetCalSeg",IF(G120="Y", "FlashCalSeg", IF(G120="N", "FlashAppSeg", ""))))</f>
        <v>FlashAppSeg</v>
      </c>
      <c r="O120" s="220"/>
      <c r="P120" s="220"/>
      <c r="Q120" s="221"/>
      <c r="R120" s="221"/>
    </row>
    <row r="121" spans="1:18" ht="33.75" x14ac:dyDescent="0.2">
      <c r="A121" s="224" t="s">
        <v>578</v>
      </c>
      <c r="B121" s="225" t="s">
        <v>579</v>
      </c>
      <c r="C121" s="226" t="s">
        <v>559</v>
      </c>
      <c r="D121" s="226" t="s">
        <v>175</v>
      </c>
      <c r="E121" s="226"/>
      <c r="F121" s="227" t="s">
        <v>82</v>
      </c>
      <c r="G121" s="228" t="s">
        <v>82</v>
      </c>
      <c r="H121" s="228"/>
      <c r="I121" s="223">
        <v>3</v>
      </c>
      <c r="J121" s="229">
        <v>0</v>
      </c>
      <c r="K121" s="229">
        <v>255</v>
      </c>
      <c r="L121" s="229" t="s">
        <v>568</v>
      </c>
      <c r="M121" s="229" t="s">
        <v>263</v>
      </c>
      <c r="N121" s="230" t="str">
        <f>IF(ISERROR(MATCH(A121,MemMap!$A$4:$A$98,0)) = FALSE, INDEX(MemMap!$B$4:$B$98,MATCH(A121,MemMap!$A$4:$A$98,0)),IF(F121="Y","TunSetCalSeg",IF(G121="Y", "FlashCalSeg", IF(G121="N", "FlashAppSeg", ""))))</f>
        <v>FlashAppSeg</v>
      </c>
      <c r="O121" s="220"/>
      <c r="P121" s="220"/>
      <c r="Q121" s="221"/>
      <c r="R121" s="221"/>
    </row>
    <row r="122" spans="1:18" ht="33.75" x14ac:dyDescent="0.2">
      <c r="A122" s="224" t="s">
        <v>576</v>
      </c>
      <c r="B122" s="225" t="s">
        <v>577</v>
      </c>
      <c r="C122" s="226" t="s">
        <v>559</v>
      </c>
      <c r="D122" s="226" t="s">
        <v>175</v>
      </c>
      <c r="E122" s="226"/>
      <c r="F122" s="227" t="s">
        <v>82</v>
      </c>
      <c r="G122" s="228" t="s">
        <v>82</v>
      </c>
      <c r="H122" s="228"/>
      <c r="I122" s="223">
        <v>1</v>
      </c>
      <c r="J122" s="229">
        <v>0</v>
      </c>
      <c r="K122" s="229">
        <v>255</v>
      </c>
      <c r="L122" s="229" t="s">
        <v>568</v>
      </c>
      <c r="M122" s="229" t="s">
        <v>263</v>
      </c>
      <c r="N122" s="230" t="str">
        <f>IF(ISERROR(MATCH(A122,MemMap!$A$4:$A$98,0)) = FALSE, INDEX(MemMap!$B$4:$B$98,MATCH(A122,MemMap!$A$4:$A$98,0)),IF(F122="Y","TunSetCalSeg",IF(G122="Y", "FlashCalSeg", IF(G122="N", "FlashAppSeg", ""))))</f>
        <v>FlashAppSeg</v>
      </c>
      <c r="O122" s="220"/>
      <c r="P122" s="220"/>
      <c r="Q122" s="221"/>
      <c r="R122" s="221"/>
    </row>
    <row r="123" spans="1:18" ht="33.75" x14ac:dyDescent="0.2">
      <c r="A123" s="224" t="s">
        <v>574</v>
      </c>
      <c r="B123" s="225" t="s">
        <v>575</v>
      </c>
      <c r="C123" s="226" t="s">
        <v>559</v>
      </c>
      <c r="D123" s="226" t="s">
        <v>175</v>
      </c>
      <c r="E123" s="226"/>
      <c r="F123" s="227" t="s">
        <v>82</v>
      </c>
      <c r="G123" s="228" t="s">
        <v>82</v>
      </c>
      <c r="H123" s="228"/>
      <c r="I123" s="223">
        <v>120</v>
      </c>
      <c r="J123" s="229">
        <v>0</v>
      </c>
      <c r="K123" s="229">
        <v>255</v>
      </c>
      <c r="L123" s="229" t="s">
        <v>568</v>
      </c>
      <c r="M123" s="229" t="s">
        <v>263</v>
      </c>
      <c r="N123" s="230" t="str">
        <f>IF(ISERROR(MATCH(A123,MemMap!$A$4:$A$98,0)) = FALSE, INDEX(MemMap!$B$4:$B$98,MATCH(A123,MemMap!$A$4:$A$98,0)),IF(F123="Y","TunSetCalSeg",IF(G123="Y", "FlashCalSeg", IF(G123="N", "FlashAppSeg", ""))))</f>
        <v>FlashAppSeg</v>
      </c>
      <c r="O123" s="220"/>
      <c r="P123" s="220"/>
      <c r="Q123" s="221"/>
      <c r="R123" s="221"/>
    </row>
    <row r="124" spans="1:18" ht="33.75" x14ac:dyDescent="0.2">
      <c r="A124" s="224" t="s">
        <v>580</v>
      </c>
      <c r="B124" s="225" t="s">
        <v>581</v>
      </c>
      <c r="C124" s="226" t="s">
        <v>559</v>
      </c>
      <c r="D124" s="226" t="s">
        <v>175</v>
      </c>
      <c r="E124" s="226"/>
      <c r="F124" s="227" t="s">
        <v>82</v>
      </c>
      <c r="G124" s="228" t="s">
        <v>82</v>
      </c>
      <c r="H124" s="228"/>
      <c r="I124" s="223">
        <v>0.73</v>
      </c>
      <c r="J124" s="229">
        <v>0</v>
      </c>
      <c r="K124" s="229">
        <v>6</v>
      </c>
      <c r="L124" s="229" t="s">
        <v>560</v>
      </c>
      <c r="M124" s="229" t="s">
        <v>257</v>
      </c>
      <c r="N124" s="230" t="str">
        <f>IF(ISERROR(MATCH(A124,MemMap!$A$4:$A$98,0)) = FALSE, INDEX(MemMap!$B$4:$B$98,MATCH(A124,MemMap!$A$4:$A$98,0)),IF(F124="Y","TunSetCalSeg",IF(G124="Y", "FlashCalSeg", IF(G124="N", "FlashAppSeg", ""))))</f>
        <v>FlashAppSeg</v>
      </c>
      <c r="O124" s="220"/>
      <c r="P124" s="220"/>
      <c r="Q124" s="221"/>
      <c r="R124" s="221"/>
    </row>
    <row r="125" spans="1:18" x14ac:dyDescent="0.2">
      <c r="A125" s="224" t="s">
        <v>563</v>
      </c>
      <c r="B125" s="225"/>
      <c r="C125" s="226" t="s">
        <v>559</v>
      </c>
      <c r="D125" s="226" t="s">
        <v>925</v>
      </c>
      <c r="E125" s="226"/>
      <c r="F125" s="227" t="s">
        <v>82</v>
      </c>
      <c r="G125" s="228" t="s">
        <v>82</v>
      </c>
      <c r="H125" s="228"/>
      <c r="I125" s="223" t="s">
        <v>564</v>
      </c>
      <c r="J125" s="229"/>
      <c r="K125" s="229"/>
      <c r="L125" s="229"/>
      <c r="M125" s="229" t="s">
        <v>565</v>
      </c>
      <c r="N125" s="230" t="str">
        <f>IF(ISERROR(MATCH(A125,MemMap!$A$4:$A$98,0)) = FALSE, INDEX(MemMap!$B$4:$B$98,MATCH(A125,MemMap!$A$4:$A$98,0)),IF(F125="Y","TunSetCalSeg",IF(G125="Y", "FlashCalSeg", IF(G125="N", "FlashAppSeg", ""))))</f>
        <v>FlashAppSeg</v>
      </c>
      <c r="O125" s="220"/>
      <c r="P125" s="220"/>
      <c r="Q125" s="221"/>
      <c r="R125" s="221"/>
    </row>
    <row r="126" spans="1:18" ht="33.75" x14ac:dyDescent="0.2">
      <c r="A126" s="224" t="s">
        <v>571</v>
      </c>
      <c r="B126" s="225" t="s">
        <v>572</v>
      </c>
      <c r="C126" s="226" t="s">
        <v>559</v>
      </c>
      <c r="D126" s="226" t="s">
        <v>175</v>
      </c>
      <c r="E126" s="226"/>
      <c r="F126" s="227" t="s">
        <v>82</v>
      </c>
      <c r="G126" s="228" t="s">
        <v>82</v>
      </c>
      <c r="H126" s="228"/>
      <c r="I126" s="223">
        <v>3</v>
      </c>
      <c r="J126" s="229">
        <v>0</v>
      </c>
      <c r="K126" s="229">
        <v>255</v>
      </c>
      <c r="L126" s="229" t="s">
        <v>568</v>
      </c>
      <c r="M126" s="229" t="s">
        <v>263</v>
      </c>
      <c r="N126" s="230" t="str">
        <f>IF(ISERROR(MATCH(A126,MemMap!$A$4:$A$98,0)) = FALSE, INDEX(MemMap!$B$4:$B$98,MATCH(A126,MemMap!$A$4:$A$98,0)),IF(F126="Y","TunSetCalSeg",IF(G126="Y", "FlashCalSeg", IF(G126="N", "FlashAppSeg", ""))))</f>
        <v>FlashAppSeg</v>
      </c>
      <c r="O126" s="220"/>
      <c r="P126" s="220"/>
      <c r="Q126" s="221"/>
      <c r="R126" s="221"/>
    </row>
    <row r="127" spans="1:18" ht="33.75" x14ac:dyDescent="0.2">
      <c r="A127" s="224" t="s">
        <v>569</v>
      </c>
      <c r="B127" s="225" t="s">
        <v>570</v>
      </c>
      <c r="C127" s="226" t="s">
        <v>559</v>
      </c>
      <c r="D127" s="226" t="s">
        <v>175</v>
      </c>
      <c r="E127" s="226"/>
      <c r="F127" s="227" t="s">
        <v>82</v>
      </c>
      <c r="G127" s="228" t="s">
        <v>82</v>
      </c>
      <c r="H127" s="228"/>
      <c r="I127" s="223">
        <v>1</v>
      </c>
      <c r="J127" s="229">
        <v>0</v>
      </c>
      <c r="K127" s="229">
        <v>255</v>
      </c>
      <c r="L127" s="229" t="s">
        <v>568</v>
      </c>
      <c r="M127" s="229" t="s">
        <v>263</v>
      </c>
      <c r="N127" s="230" t="str">
        <f>IF(ISERROR(MATCH(A127,MemMap!$A$4:$A$98,0)) = FALSE, INDEX(MemMap!$B$4:$B$98,MATCH(A127,MemMap!$A$4:$A$98,0)),IF(F127="Y","TunSetCalSeg",IF(G127="Y", "FlashCalSeg", IF(G127="N", "FlashAppSeg", ""))))</f>
        <v>FlashAppSeg</v>
      </c>
      <c r="O127" s="220"/>
      <c r="P127" s="220"/>
      <c r="Q127" s="221"/>
      <c r="R127" s="221"/>
    </row>
    <row r="128" spans="1:18" ht="33.75" x14ac:dyDescent="0.2">
      <c r="A128" s="224" t="s">
        <v>566</v>
      </c>
      <c r="B128" s="225" t="s">
        <v>567</v>
      </c>
      <c r="C128" s="226" t="s">
        <v>559</v>
      </c>
      <c r="D128" s="226" t="s">
        <v>175</v>
      </c>
      <c r="E128" s="226"/>
      <c r="F128" s="227" t="s">
        <v>82</v>
      </c>
      <c r="G128" s="228" t="s">
        <v>82</v>
      </c>
      <c r="H128" s="228"/>
      <c r="I128" s="223">
        <v>120</v>
      </c>
      <c r="J128" s="229">
        <v>0</v>
      </c>
      <c r="K128" s="229">
        <v>255</v>
      </c>
      <c r="L128" s="229" t="s">
        <v>568</v>
      </c>
      <c r="M128" s="229" t="s">
        <v>263</v>
      </c>
      <c r="N128" s="230" t="str">
        <f>IF(ISERROR(MATCH(A128,MemMap!$A$4:$A$98,0)) = FALSE, INDEX(MemMap!$B$4:$B$98,MATCH(A128,MemMap!$A$4:$A$98,0)),IF(F128="Y","TunSetCalSeg",IF(G128="Y", "FlashCalSeg", IF(G128="N", "FlashAppSeg", ""))))</f>
        <v>FlashAppSeg</v>
      </c>
      <c r="O128" s="220"/>
      <c r="P128" s="220"/>
      <c r="Q128" s="221"/>
      <c r="R128" s="221"/>
    </row>
    <row r="129" spans="1:18" ht="33.75" x14ac:dyDescent="0.2">
      <c r="A129" s="224" t="s">
        <v>582</v>
      </c>
      <c r="B129" s="225" t="s">
        <v>583</v>
      </c>
      <c r="C129" s="226" t="s">
        <v>559</v>
      </c>
      <c r="D129" s="226" t="s">
        <v>175</v>
      </c>
      <c r="E129" s="226"/>
      <c r="F129" s="227" t="s">
        <v>82</v>
      </c>
      <c r="G129" s="228" t="s">
        <v>82</v>
      </c>
      <c r="H129" s="228"/>
      <c r="I129" s="223">
        <v>0.73</v>
      </c>
      <c r="J129" s="229">
        <v>0</v>
      </c>
      <c r="K129" s="229">
        <v>6</v>
      </c>
      <c r="L129" s="229" t="s">
        <v>560</v>
      </c>
      <c r="M129" s="229" t="s">
        <v>257</v>
      </c>
      <c r="N129" s="230" t="str">
        <f>IF(ISERROR(MATCH(A129,MemMap!$A$4:$A$98,0)) = FALSE, INDEX(MemMap!$B$4:$B$98,MATCH(A129,MemMap!$A$4:$A$98,0)),IF(F129="Y","TunSetCalSeg",IF(G129="Y", "FlashCalSeg", IF(G129="N", "FlashAppSeg", ""))))</f>
        <v>FlashAppSeg</v>
      </c>
      <c r="O129" s="220"/>
      <c r="P129" s="220"/>
      <c r="Q129" s="221"/>
      <c r="R129" s="221"/>
    </row>
    <row r="130" spans="1:18" ht="56.25" x14ac:dyDescent="0.2">
      <c r="A130" s="224" t="s">
        <v>557</v>
      </c>
      <c r="B130" s="225" t="s">
        <v>1853</v>
      </c>
      <c r="C130" s="226" t="s">
        <v>1837</v>
      </c>
      <c r="D130" s="226" t="s">
        <v>1757</v>
      </c>
      <c r="E130" s="226" t="s">
        <v>558</v>
      </c>
      <c r="F130" s="227" t="s">
        <v>82</v>
      </c>
      <c r="G130" s="228" t="s">
        <v>82</v>
      </c>
      <c r="H130" s="228"/>
      <c r="I130" s="223">
        <v>16</v>
      </c>
      <c r="J130" s="229">
        <v>0</v>
      </c>
      <c r="K130" s="229">
        <v>31</v>
      </c>
      <c r="L130" s="229" t="s">
        <v>560</v>
      </c>
      <c r="M130" s="229" t="s">
        <v>257</v>
      </c>
      <c r="N130" s="230" t="str">
        <f>IF(ISERROR(MATCH(A130,MemMap!$A$4:$A$98,0)) = FALSE, INDEX(MemMap!$B$4:$B$98,MATCH(A130,MemMap!$A$4:$A$98,0)),IF(F130="Y","TunSetCalSeg",IF(G130="Y", "FlashCalSeg", IF(G130="N", "FlashAppSeg", ""))))</f>
        <v>FlashAppSeg</v>
      </c>
      <c r="O130" s="220"/>
      <c r="P130" s="220"/>
      <c r="Q130" s="221"/>
      <c r="R130" s="221"/>
    </row>
    <row r="131" spans="1:18" ht="45" x14ac:dyDescent="0.2">
      <c r="A131" s="224" t="s">
        <v>1802</v>
      </c>
      <c r="B131" s="225" t="s">
        <v>1803</v>
      </c>
      <c r="C131" s="226" t="s">
        <v>1761</v>
      </c>
      <c r="D131" s="226" t="s">
        <v>1762</v>
      </c>
      <c r="E131" s="226"/>
      <c r="F131" s="227" t="s">
        <v>82</v>
      </c>
      <c r="G131" s="228" t="s">
        <v>82</v>
      </c>
      <c r="H131" s="228"/>
      <c r="I131" s="223">
        <v>5</v>
      </c>
      <c r="J131" s="229">
        <v>0</v>
      </c>
      <c r="K131" s="229">
        <v>30</v>
      </c>
      <c r="L131" s="229" t="s">
        <v>615</v>
      </c>
      <c r="M131" s="229" t="s">
        <v>257</v>
      </c>
      <c r="N131" s="230" t="str">
        <f>IF(ISERROR(MATCH(A131,MemMap!$A$4:$A$98,0)) = FALSE, INDEX(MemMap!$B$4:$B$98,MATCH(A131,MemMap!$A$4:$A$98,0)),IF(F131="Y","TunSetCalSeg",IF(G131="Y", "FlashCalSeg", IF(G131="N", "FlashAppSeg", ""))))</f>
        <v>FlashAppSeg</v>
      </c>
      <c r="O131" s="220"/>
      <c r="P131" s="220"/>
      <c r="Q131" s="221"/>
      <c r="R131" s="221"/>
    </row>
    <row r="132" spans="1:18" ht="45" x14ac:dyDescent="0.2">
      <c r="A132" s="224" t="s">
        <v>1800</v>
      </c>
      <c r="B132" s="225" t="s">
        <v>1801</v>
      </c>
      <c r="C132" s="226" t="s">
        <v>1761</v>
      </c>
      <c r="D132" s="226" t="s">
        <v>1762</v>
      </c>
      <c r="E132" s="226"/>
      <c r="F132" s="227" t="s">
        <v>82</v>
      </c>
      <c r="G132" s="228" t="s">
        <v>82</v>
      </c>
      <c r="H132" s="228"/>
      <c r="I132" s="223">
        <v>0</v>
      </c>
      <c r="J132" s="229">
        <v>0</v>
      </c>
      <c r="K132" s="229">
        <v>30</v>
      </c>
      <c r="L132" s="229" t="s">
        <v>615</v>
      </c>
      <c r="M132" s="229" t="s">
        <v>257</v>
      </c>
      <c r="N132" s="230" t="str">
        <f>IF(ISERROR(MATCH(A132,MemMap!$A$4:$A$98,0)) = FALSE, INDEX(MemMap!$B$4:$B$98,MATCH(A132,MemMap!$A$4:$A$98,0)),IF(F132="Y","TunSetCalSeg",IF(G132="Y", "FlashCalSeg", IF(G132="N", "FlashAppSeg", ""))))</f>
        <v>FlashAppSeg</v>
      </c>
      <c r="O132" s="220"/>
      <c r="P132" s="220"/>
      <c r="Q132" s="221"/>
      <c r="R132" s="221"/>
    </row>
    <row r="133" spans="1:18" ht="45" x14ac:dyDescent="0.2">
      <c r="A133" s="224" t="s">
        <v>1804</v>
      </c>
      <c r="B133" s="225" t="s">
        <v>1805</v>
      </c>
      <c r="C133" s="226" t="s">
        <v>1761</v>
      </c>
      <c r="D133" s="226" t="s">
        <v>1762</v>
      </c>
      <c r="E133" s="226"/>
      <c r="F133" s="227" t="s">
        <v>82</v>
      </c>
      <c r="G133" s="228" t="s">
        <v>82</v>
      </c>
      <c r="H133" s="228"/>
      <c r="I133" s="223">
        <v>6</v>
      </c>
      <c r="J133" s="229">
        <v>0</v>
      </c>
      <c r="K133" s="229">
        <v>30</v>
      </c>
      <c r="L133" s="229" t="s">
        <v>615</v>
      </c>
      <c r="M133" s="229" t="s">
        <v>257</v>
      </c>
      <c r="N133" s="230" t="str">
        <f>IF(ISERROR(MATCH(A133,MemMap!$A$4:$A$98,0)) = FALSE, INDEX(MemMap!$B$4:$B$98,MATCH(A133,MemMap!$A$4:$A$98,0)),IF(F133="Y","TunSetCalSeg",IF(G133="Y", "FlashCalSeg", IF(G133="N", "FlashAppSeg", ""))))</f>
        <v>FlashAppSeg</v>
      </c>
      <c r="O133" s="220"/>
      <c r="P133" s="220"/>
      <c r="Q133" s="221"/>
      <c r="R133" s="221"/>
    </row>
    <row r="134" spans="1:18" ht="45" x14ac:dyDescent="0.2">
      <c r="A134" s="224" t="s">
        <v>1793</v>
      </c>
      <c r="B134" s="225"/>
      <c r="C134" s="226" t="s">
        <v>1761</v>
      </c>
      <c r="D134" s="226" t="s">
        <v>1762</v>
      </c>
      <c r="E134" s="226" t="s">
        <v>1794</v>
      </c>
      <c r="F134" s="227" t="s">
        <v>82</v>
      </c>
      <c r="G134" s="228" t="s">
        <v>82</v>
      </c>
      <c r="H134" s="228"/>
      <c r="I134" s="223" t="s">
        <v>1795</v>
      </c>
      <c r="J134" s="229"/>
      <c r="K134" s="229"/>
      <c r="L134" s="229"/>
      <c r="M134" s="229" t="s">
        <v>565</v>
      </c>
      <c r="N134" s="230" t="str">
        <f>IF(ISERROR(MATCH(A134,MemMap!$A$4:$A$98,0)) = FALSE, INDEX(MemMap!$B$4:$B$98,MATCH(A134,MemMap!$A$4:$A$98,0)),IF(F134="Y","TunSetCalSeg",IF(G134="Y", "FlashCalSeg", IF(G134="N", "FlashAppSeg", ""))))</f>
        <v>FlashAppSeg</v>
      </c>
      <c r="O134" s="220"/>
      <c r="P134" s="220"/>
      <c r="Q134" s="221"/>
      <c r="R134" s="221"/>
    </row>
    <row r="135" spans="1:18" ht="45" x14ac:dyDescent="0.2">
      <c r="A135" s="224" t="s">
        <v>1781</v>
      </c>
      <c r="B135" s="225" t="s">
        <v>1782</v>
      </c>
      <c r="C135" s="226" t="s">
        <v>1761</v>
      </c>
      <c r="D135" s="226" t="s">
        <v>1762</v>
      </c>
      <c r="E135" s="226" t="s">
        <v>1783</v>
      </c>
      <c r="F135" s="227" t="s">
        <v>82</v>
      </c>
      <c r="G135" s="228" t="s">
        <v>82</v>
      </c>
      <c r="H135" s="228"/>
      <c r="I135" s="223">
        <v>0.99</v>
      </c>
      <c r="J135" s="229">
        <v>0</v>
      </c>
      <c r="K135" s="229">
        <v>1</v>
      </c>
      <c r="L135" s="229" t="s">
        <v>288</v>
      </c>
      <c r="M135" s="229" t="s">
        <v>257</v>
      </c>
      <c r="N135" s="230" t="str">
        <f>IF(ISERROR(MATCH(A135,MemMap!$A$4:$A$98,0)) = FALSE, INDEX(MemMap!$B$4:$B$98,MATCH(A135,MemMap!$A$4:$A$98,0)),IF(F135="Y","TunSetCalSeg",IF(G135="Y", "FlashCalSeg", IF(G135="N", "FlashAppSeg", ""))))</f>
        <v>FlashAppSeg</v>
      </c>
      <c r="O135" s="220"/>
      <c r="P135" s="220"/>
      <c r="Q135" s="221"/>
      <c r="R135" s="221"/>
    </row>
    <row r="136" spans="1:18" ht="45" x14ac:dyDescent="0.2">
      <c r="A136" s="224" t="s">
        <v>1784</v>
      </c>
      <c r="B136" s="225" t="s">
        <v>1785</v>
      </c>
      <c r="C136" s="226" t="s">
        <v>1761</v>
      </c>
      <c r="D136" s="226" t="s">
        <v>1762</v>
      </c>
      <c r="E136" s="226" t="s">
        <v>1786</v>
      </c>
      <c r="F136" s="227" t="s">
        <v>82</v>
      </c>
      <c r="G136" s="228" t="s">
        <v>82</v>
      </c>
      <c r="H136" s="228"/>
      <c r="I136" s="223">
        <v>0.98</v>
      </c>
      <c r="J136" s="229">
        <v>0</v>
      </c>
      <c r="K136" s="229">
        <v>1</v>
      </c>
      <c r="L136" s="229" t="s">
        <v>288</v>
      </c>
      <c r="M136" s="229" t="s">
        <v>257</v>
      </c>
      <c r="N136" s="230" t="str">
        <f>IF(ISERROR(MATCH(A136,MemMap!$A$4:$A$98,0)) = FALSE, INDEX(MemMap!$B$4:$B$98,MATCH(A136,MemMap!$A$4:$A$98,0)),IF(F136="Y","TunSetCalSeg",IF(G136="Y", "FlashCalSeg", IF(G136="N", "FlashAppSeg", ""))))</f>
        <v>FlashAppSeg</v>
      </c>
      <c r="O136" s="220"/>
      <c r="P136" s="220"/>
      <c r="Q136" s="221"/>
      <c r="R136" s="221"/>
    </row>
    <row r="137" spans="1:18" ht="45" x14ac:dyDescent="0.2">
      <c r="A137" s="224" t="s">
        <v>1758</v>
      </c>
      <c r="B137" s="225" t="s">
        <v>1759</v>
      </c>
      <c r="C137" s="226" t="s">
        <v>1761</v>
      </c>
      <c r="D137" s="226" t="s">
        <v>1762</v>
      </c>
      <c r="E137" s="226" t="s">
        <v>1760</v>
      </c>
      <c r="F137" s="227" t="s">
        <v>82</v>
      </c>
      <c r="G137" s="228" t="s">
        <v>82</v>
      </c>
      <c r="H137" s="228"/>
      <c r="I137" s="223">
        <v>100</v>
      </c>
      <c r="J137" s="229">
        <v>0</v>
      </c>
      <c r="K137" s="229">
        <v>700</v>
      </c>
      <c r="L137" s="229" t="s">
        <v>259</v>
      </c>
      <c r="M137" s="229" t="s">
        <v>257</v>
      </c>
      <c r="N137" s="230" t="str">
        <f>IF(ISERROR(MATCH(A137,MemMap!$A$4:$A$98,0)) = FALSE, INDEX(MemMap!$B$4:$B$98,MATCH(A137,MemMap!$A$4:$A$98,0)),IF(F137="Y","TunSetCalSeg",IF(G137="Y", "FlashCalSeg", IF(G137="N", "FlashAppSeg", ""))))</f>
        <v>FlashAppSeg</v>
      </c>
      <c r="O137" s="220"/>
      <c r="P137" s="220"/>
      <c r="Q137" s="221"/>
      <c r="R137" s="221"/>
    </row>
    <row r="138" spans="1:18" ht="45" x14ac:dyDescent="0.2">
      <c r="A138" s="224" t="s">
        <v>1767</v>
      </c>
      <c r="B138" s="225" t="s">
        <v>1768</v>
      </c>
      <c r="C138" s="226" t="s">
        <v>1761</v>
      </c>
      <c r="D138" s="226" t="s">
        <v>1762</v>
      </c>
      <c r="E138" s="226"/>
      <c r="F138" s="227" t="s">
        <v>82</v>
      </c>
      <c r="G138" s="228" t="s">
        <v>82</v>
      </c>
      <c r="H138" s="228"/>
      <c r="I138" s="223">
        <v>0.5</v>
      </c>
      <c r="J138" s="229">
        <v>0</v>
      </c>
      <c r="K138" s="229">
        <v>30</v>
      </c>
      <c r="L138" s="229" t="s">
        <v>560</v>
      </c>
      <c r="M138" s="229" t="s">
        <v>257</v>
      </c>
      <c r="N138" s="230" t="str">
        <f>IF(ISERROR(MATCH(A138,MemMap!$A$4:$A$98,0)) = FALSE, INDEX(MemMap!$B$4:$B$98,MATCH(A138,MemMap!$A$4:$A$98,0)),IF(F138="Y","TunSetCalSeg",IF(G138="Y", "FlashCalSeg", IF(G138="N", "FlashAppSeg", ""))))</f>
        <v>FlashAppSeg</v>
      </c>
      <c r="O138" s="220"/>
      <c r="P138" s="220"/>
      <c r="Q138" s="221"/>
      <c r="R138" s="221"/>
    </row>
    <row r="139" spans="1:18" ht="45" x14ac:dyDescent="0.2">
      <c r="A139" s="224" t="s">
        <v>1765</v>
      </c>
      <c r="B139" s="225" t="s">
        <v>1766</v>
      </c>
      <c r="C139" s="226" t="s">
        <v>1761</v>
      </c>
      <c r="D139" s="226" t="s">
        <v>1762</v>
      </c>
      <c r="E139" s="226"/>
      <c r="F139" s="227" t="s">
        <v>82</v>
      </c>
      <c r="G139" s="228" t="s">
        <v>82</v>
      </c>
      <c r="H139" s="228"/>
      <c r="I139" s="223">
        <v>0.5</v>
      </c>
      <c r="J139" s="229">
        <v>0</v>
      </c>
      <c r="K139" s="229">
        <v>30</v>
      </c>
      <c r="L139" s="229" t="s">
        <v>560</v>
      </c>
      <c r="M139" s="229" t="s">
        <v>257</v>
      </c>
      <c r="N139" s="230" t="str">
        <f>IF(ISERROR(MATCH(A139,MemMap!$A$4:$A$98,0)) = FALSE, INDEX(MemMap!$B$4:$B$98,MATCH(A139,MemMap!$A$4:$A$98,0)),IF(F139="Y","TunSetCalSeg",IF(G139="Y", "FlashCalSeg", IF(G139="N", "FlashAppSeg", ""))))</f>
        <v>FlashAppSeg</v>
      </c>
      <c r="O139" s="220"/>
      <c r="P139" s="220"/>
      <c r="Q139" s="221"/>
      <c r="R139" s="221"/>
    </row>
    <row r="140" spans="1:18" ht="45" x14ac:dyDescent="0.2">
      <c r="A140" s="224" t="s">
        <v>1779</v>
      </c>
      <c r="B140" s="225" t="s">
        <v>1780</v>
      </c>
      <c r="C140" s="226" t="s">
        <v>1761</v>
      </c>
      <c r="D140" s="226" t="s">
        <v>1762</v>
      </c>
      <c r="E140" s="226"/>
      <c r="F140" s="227" t="s">
        <v>82</v>
      </c>
      <c r="G140" s="228" t="s">
        <v>82</v>
      </c>
      <c r="H140" s="228"/>
      <c r="I140" s="223">
        <v>50</v>
      </c>
      <c r="J140" s="229">
        <v>0</v>
      </c>
      <c r="K140" s="229">
        <v>500</v>
      </c>
      <c r="L140" s="229" t="s">
        <v>269</v>
      </c>
      <c r="M140" s="229" t="s">
        <v>263</v>
      </c>
      <c r="N140" s="230" t="str">
        <f>IF(ISERROR(MATCH(A140,MemMap!$A$4:$A$98,0)) = FALSE, INDEX(MemMap!$B$4:$B$98,MATCH(A140,MemMap!$A$4:$A$98,0)),IF(F140="Y","TunSetCalSeg",IF(G140="Y", "FlashCalSeg", IF(G140="N", "FlashAppSeg", ""))))</f>
        <v>FlashAppSeg</v>
      </c>
      <c r="O140" s="220"/>
      <c r="P140" s="220"/>
      <c r="Q140" s="221"/>
      <c r="R140" s="221"/>
    </row>
    <row r="141" spans="1:18" ht="45" x14ac:dyDescent="0.2">
      <c r="A141" s="224" t="s">
        <v>1777</v>
      </c>
      <c r="B141" s="225" t="s">
        <v>1778</v>
      </c>
      <c r="C141" s="226" t="s">
        <v>1761</v>
      </c>
      <c r="D141" s="226" t="s">
        <v>1762</v>
      </c>
      <c r="E141" s="226"/>
      <c r="F141" s="227" t="s">
        <v>82</v>
      </c>
      <c r="G141" s="228" t="s">
        <v>82</v>
      </c>
      <c r="H141" s="228"/>
      <c r="I141" s="223">
        <v>1</v>
      </c>
      <c r="J141" s="229">
        <v>0</v>
      </c>
      <c r="K141" s="229">
        <v>30</v>
      </c>
      <c r="L141" s="229" t="s">
        <v>560</v>
      </c>
      <c r="M141" s="229" t="s">
        <v>257</v>
      </c>
      <c r="N141" s="230" t="str">
        <f>IF(ISERROR(MATCH(A141,MemMap!$A$4:$A$98,0)) = FALSE, INDEX(MemMap!$B$4:$B$98,MATCH(A141,MemMap!$A$4:$A$98,0)),IF(F141="Y","TunSetCalSeg",IF(G141="Y", "FlashCalSeg", IF(G141="N", "FlashAppSeg", ""))))</f>
        <v>FlashAppSeg</v>
      </c>
      <c r="O141" s="220"/>
      <c r="P141" s="220"/>
      <c r="Q141" s="221"/>
      <c r="R141" s="221"/>
    </row>
    <row r="142" spans="1:18" ht="45" x14ac:dyDescent="0.2">
      <c r="A142" s="224" t="s">
        <v>1775</v>
      </c>
      <c r="B142" s="225" t="s">
        <v>1776</v>
      </c>
      <c r="C142" s="226" t="s">
        <v>1761</v>
      </c>
      <c r="D142" s="226" t="s">
        <v>1762</v>
      </c>
      <c r="E142" s="226"/>
      <c r="F142" s="227" t="s">
        <v>82</v>
      </c>
      <c r="G142" s="228" t="s">
        <v>82</v>
      </c>
      <c r="H142" s="228"/>
      <c r="I142" s="223">
        <v>400</v>
      </c>
      <c r="J142" s="229">
        <v>0</v>
      </c>
      <c r="K142" s="229">
        <v>2000</v>
      </c>
      <c r="L142" s="229" t="s">
        <v>269</v>
      </c>
      <c r="M142" s="229" t="s">
        <v>263</v>
      </c>
      <c r="N142" s="230" t="str">
        <f>IF(ISERROR(MATCH(A142,MemMap!$A$4:$A$98,0)) = FALSE, INDEX(MemMap!$B$4:$B$98,MATCH(A142,MemMap!$A$4:$A$98,0)),IF(F142="Y","TunSetCalSeg",IF(G142="Y", "FlashCalSeg", IF(G142="N", "FlashAppSeg", ""))))</f>
        <v>FlashAppSeg</v>
      </c>
      <c r="O142" s="220"/>
      <c r="P142" s="220"/>
      <c r="Q142" s="221"/>
      <c r="R142" s="221"/>
    </row>
    <row r="143" spans="1:18" ht="45" x14ac:dyDescent="0.2">
      <c r="A143" s="224" t="s">
        <v>1773</v>
      </c>
      <c r="B143" s="225" t="s">
        <v>1774</v>
      </c>
      <c r="C143" s="226" t="s">
        <v>1761</v>
      </c>
      <c r="D143" s="226" t="s">
        <v>1762</v>
      </c>
      <c r="E143" s="226"/>
      <c r="F143" s="227" t="s">
        <v>82</v>
      </c>
      <c r="G143" s="228" t="s">
        <v>82</v>
      </c>
      <c r="H143" s="228"/>
      <c r="I143" s="223">
        <v>0.5</v>
      </c>
      <c r="J143" s="229">
        <v>0</v>
      </c>
      <c r="K143" s="229">
        <v>30</v>
      </c>
      <c r="L143" s="229" t="s">
        <v>560</v>
      </c>
      <c r="M143" s="229" t="s">
        <v>257</v>
      </c>
      <c r="N143" s="230" t="str">
        <f>IF(ISERROR(MATCH(A143,MemMap!$A$4:$A$98,0)) = FALSE, INDEX(MemMap!$B$4:$B$98,MATCH(A143,MemMap!$A$4:$A$98,0)),IF(F143="Y","TunSetCalSeg",IF(G143="Y", "FlashCalSeg", IF(G143="N", "FlashAppSeg", ""))))</f>
        <v>FlashAppSeg</v>
      </c>
      <c r="O143" s="220"/>
      <c r="P143" s="220"/>
      <c r="Q143" s="221"/>
      <c r="R143" s="221"/>
    </row>
    <row r="144" spans="1:18" ht="45" x14ac:dyDescent="0.2">
      <c r="A144" s="224" t="s">
        <v>1763</v>
      </c>
      <c r="B144" s="225" t="s">
        <v>1764</v>
      </c>
      <c r="C144" s="226" t="s">
        <v>1761</v>
      </c>
      <c r="D144" s="226" t="s">
        <v>1762</v>
      </c>
      <c r="E144" s="226"/>
      <c r="F144" s="227" t="s">
        <v>82</v>
      </c>
      <c r="G144" s="228" t="s">
        <v>82</v>
      </c>
      <c r="H144" s="228"/>
      <c r="I144" s="223">
        <v>2</v>
      </c>
      <c r="J144" s="229">
        <v>0</v>
      </c>
      <c r="K144" s="229">
        <v>30</v>
      </c>
      <c r="L144" s="229" t="s">
        <v>560</v>
      </c>
      <c r="M144" s="229" t="s">
        <v>257</v>
      </c>
      <c r="N144" s="230" t="str">
        <f>IF(ISERROR(MATCH(A144,MemMap!$A$4:$A$98,0)) = FALSE, INDEX(MemMap!$B$4:$B$98,MATCH(A144,MemMap!$A$4:$A$98,0)),IF(F144="Y","TunSetCalSeg",IF(G144="Y", "FlashCalSeg", IF(G144="N", "FlashAppSeg", ""))))</f>
        <v>FlashAppSeg</v>
      </c>
      <c r="O144" s="220"/>
      <c r="P144" s="220"/>
      <c r="Q144" s="221"/>
      <c r="R144" s="221"/>
    </row>
    <row r="145" spans="1:18" ht="45" x14ac:dyDescent="0.2">
      <c r="A145" s="224" t="s">
        <v>1798</v>
      </c>
      <c r="B145" s="225" t="s">
        <v>1799</v>
      </c>
      <c r="C145" s="226" t="s">
        <v>1761</v>
      </c>
      <c r="D145" s="226" t="s">
        <v>1762</v>
      </c>
      <c r="E145" s="226"/>
      <c r="F145" s="227" t="s">
        <v>82</v>
      </c>
      <c r="G145" s="228" t="s">
        <v>82</v>
      </c>
      <c r="H145" s="228"/>
      <c r="I145" s="223">
        <v>8</v>
      </c>
      <c r="J145" s="229">
        <v>0</v>
      </c>
      <c r="K145" s="229">
        <v>30</v>
      </c>
      <c r="L145" s="229" t="s">
        <v>615</v>
      </c>
      <c r="M145" s="229" t="s">
        <v>257</v>
      </c>
      <c r="N145" s="230" t="str">
        <f>IF(ISERROR(MATCH(A145,MemMap!$A$4:$A$98,0)) = FALSE, INDEX(MemMap!$B$4:$B$98,MATCH(A145,MemMap!$A$4:$A$98,0)),IF(F145="Y","TunSetCalSeg",IF(G145="Y", "FlashCalSeg", IF(G145="N", "FlashAppSeg", ""))))</f>
        <v>FlashAppSeg</v>
      </c>
      <c r="O145" s="220"/>
      <c r="P145" s="220"/>
      <c r="Q145" s="221"/>
      <c r="R145" s="221"/>
    </row>
    <row r="146" spans="1:18" ht="45" x14ac:dyDescent="0.2">
      <c r="A146" s="224" t="s">
        <v>1796</v>
      </c>
      <c r="B146" s="225" t="s">
        <v>1797</v>
      </c>
      <c r="C146" s="226" t="s">
        <v>1761</v>
      </c>
      <c r="D146" s="226" t="s">
        <v>1762</v>
      </c>
      <c r="E146" s="226"/>
      <c r="F146" s="227" t="s">
        <v>82</v>
      </c>
      <c r="G146" s="228" t="s">
        <v>82</v>
      </c>
      <c r="H146" s="228"/>
      <c r="I146" s="223">
        <v>7</v>
      </c>
      <c r="J146" s="229">
        <v>0</v>
      </c>
      <c r="K146" s="229">
        <v>30</v>
      </c>
      <c r="L146" s="229" t="s">
        <v>615</v>
      </c>
      <c r="M146" s="229" t="s">
        <v>257</v>
      </c>
      <c r="N146" s="230" t="str">
        <f>IF(ISERROR(MATCH(A146,MemMap!$A$4:$A$98,0)) = FALSE, INDEX(MemMap!$B$4:$B$98,MATCH(A146,MemMap!$A$4:$A$98,0)),IF(F146="Y","TunSetCalSeg",IF(G146="Y", "FlashCalSeg", IF(G146="N", "FlashAppSeg", ""))))</f>
        <v>FlashAppSeg</v>
      </c>
      <c r="O146" s="220"/>
      <c r="P146" s="220"/>
      <c r="Q146" s="221"/>
      <c r="R146" s="221"/>
    </row>
    <row r="147" spans="1:18" ht="45" x14ac:dyDescent="0.2">
      <c r="A147" s="224" t="s">
        <v>2247</v>
      </c>
      <c r="B147" s="225"/>
      <c r="C147" s="226" t="s">
        <v>1761</v>
      </c>
      <c r="D147" s="226" t="s">
        <v>1762</v>
      </c>
      <c r="E147" s="226"/>
      <c r="F147" s="227" t="s">
        <v>82</v>
      </c>
      <c r="G147" s="228" t="s">
        <v>82</v>
      </c>
      <c r="H147" s="228"/>
      <c r="I147" s="223" t="s">
        <v>2248</v>
      </c>
      <c r="J147" s="229"/>
      <c r="K147" s="229"/>
      <c r="L147" s="229"/>
      <c r="M147" s="229" t="s">
        <v>565</v>
      </c>
      <c r="N147" s="230" t="str">
        <f>IF(ISERROR(MATCH(A147,MemMap!$A$4:$A$98,0)) = FALSE, INDEX(MemMap!$B$4:$B$98,MATCH(A147,MemMap!$A$4:$A$98,0)),IF(F147="Y","TunSetCalSeg",IF(G147="Y", "FlashCalSeg", IF(G147="N", "FlashAppSeg", ""))))</f>
        <v>FlashAppSeg</v>
      </c>
      <c r="O147" s="220"/>
      <c r="P147" s="220"/>
      <c r="Q147" s="221"/>
      <c r="R147" s="221"/>
    </row>
    <row r="148" spans="1:18" ht="45" x14ac:dyDescent="0.2">
      <c r="A148" s="224" t="s">
        <v>1790</v>
      </c>
      <c r="B148" s="225" t="s">
        <v>1791</v>
      </c>
      <c r="C148" s="226" t="s">
        <v>1761</v>
      </c>
      <c r="D148" s="226" t="s">
        <v>1762</v>
      </c>
      <c r="E148" s="226" t="s">
        <v>1792</v>
      </c>
      <c r="F148" s="227" t="s">
        <v>82</v>
      </c>
      <c r="G148" s="228" t="s">
        <v>82</v>
      </c>
      <c r="H148" s="228"/>
      <c r="I148" s="223">
        <v>100</v>
      </c>
      <c r="J148" s="229">
        <v>0</v>
      </c>
      <c r="K148" s="229">
        <v>500</v>
      </c>
      <c r="L148" s="229" t="s">
        <v>269</v>
      </c>
      <c r="M148" s="229" t="s">
        <v>263</v>
      </c>
      <c r="N148" s="230" t="str">
        <f>IF(ISERROR(MATCH(A148,MemMap!$A$4:$A$98,0)) = FALSE, INDEX(MemMap!$B$4:$B$98,MATCH(A148,MemMap!$A$4:$A$98,0)),IF(F148="Y","TunSetCalSeg",IF(G148="Y", "FlashCalSeg", IF(G148="N", "FlashAppSeg", ""))))</f>
        <v>FlashAppSeg</v>
      </c>
      <c r="O148" s="220"/>
      <c r="P148" s="220"/>
      <c r="Q148" s="221"/>
      <c r="R148" s="221"/>
    </row>
    <row r="149" spans="1:18" ht="45" x14ac:dyDescent="0.2">
      <c r="A149" s="224" t="s">
        <v>1769</v>
      </c>
      <c r="B149" s="225" t="s">
        <v>1770</v>
      </c>
      <c r="C149" s="226" t="s">
        <v>1761</v>
      </c>
      <c r="D149" s="226" t="s">
        <v>1762</v>
      </c>
      <c r="E149" s="226"/>
      <c r="F149" s="227" t="s">
        <v>82</v>
      </c>
      <c r="G149" s="228" t="s">
        <v>82</v>
      </c>
      <c r="H149" s="228"/>
      <c r="I149" s="223">
        <v>100</v>
      </c>
      <c r="J149" s="229">
        <v>0</v>
      </c>
      <c r="K149" s="229">
        <v>2000</v>
      </c>
      <c r="L149" s="229" t="s">
        <v>269</v>
      </c>
      <c r="M149" s="229" t="s">
        <v>263</v>
      </c>
      <c r="N149" s="230" t="str">
        <f>IF(ISERROR(MATCH(A149,MemMap!$A$4:$A$98,0)) = FALSE, INDEX(MemMap!$B$4:$B$98,MATCH(A149,MemMap!$A$4:$A$98,0)),IF(F149="Y","TunSetCalSeg",IF(G149="Y", "FlashCalSeg", IF(G149="N", "FlashAppSeg", ""))))</f>
        <v>FlashAppSeg</v>
      </c>
      <c r="O149" s="220"/>
      <c r="P149" s="220"/>
      <c r="Q149" s="221"/>
      <c r="R149" s="221"/>
    </row>
    <row r="150" spans="1:18" ht="45" x14ac:dyDescent="0.2">
      <c r="A150" s="224" t="s">
        <v>1787</v>
      </c>
      <c r="B150" s="225" t="s">
        <v>1788</v>
      </c>
      <c r="C150" s="226" t="s">
        <v>1761</v>
      </c>
      <c r="D150" s="226" t="s">
        <v>1762</v>
      </c>
      <c r="E150" s="226" t="s">
        <v>1789</v>
      </c>
      <c r="F150" s="227" t="s">
        <v>82</v>
      </c>
      <c r="G150" s="228" t="s">
        <v>82</v>
      </c>
      <c r="H150" s="228"/>
      <c r="I150" s="223">
        <v>0.5</v>
      </c>
      <c r="J150" s="229">
        <v>0</v>
      </c>
      <c r="K150" s="229">
        <v>30</v>
      </c>
      <c r="L150" s="229" t="s">
        <v>560</v>
      </c>
      <c r="M150" s="229" t="s">
        <v>257</v>
      </c>
      <c r="N150" s="230" t="str">
        <f>IF(ISERROR(MATCH(A150,MemMap!$A$4:$A$98,0)) = FALSE, INDEX(MemMap!$B$4:$B$98,MATCH(A150,MemMap!$A$4:$A$98,0)),IF(F150="Y","TunSetCalSeg",IF(G150="Y", "FlashCalSeg", IF(G150="N", "FlashAppSeg", ""))))</f>
        <v>FlashAppSeg</v>
      </c>
      <c r="O150" s="220"/>
      <c r="P150" s="220"/>
      <c r="Q150" s="221"/>
      <c r="R150" s="221"/>
    </row>
    <row r="151" spans="1:18" ht="45" x14ac:dyDescent="0.2">
      <c r="A151" s="224" t="s">
        <v>1771</v>
      </c>
      <c r="B151" s="225" t="s">
        <v>1772</v>
      </c>
      <c r="C151" s="226" t="s">
        <v>1761</v>
      </c>
      <c r="D151" s="226" t="s">
        <v>1762</v>
      </c>
      <c r="E151" s="226"/>
      <c r="F151" s="227" t="s">
        <v>82</v>
      </c>
      <c r="G151" s="228" t="s">
        <v>82</v>
      </c>
      <c r="H151" s="228"/>
      <c r="I151" s="223">
        <v>100</v>
      </c>
      <c r="J151" s="229">
        <v>0</v>
      </c>
      <c r="K151" s="229">
        <v>2000</v>
      </c>
      <c r="L151" s="229" t="s">
        <v>269</v>
      </c>
      <c r="M151" s="229" t="s">
        <v>263</v>
      </c>
      <c r="N151" s="230" t="str">
        <f>IF(ISERROR(MATCH(A151,MemMap!$A$4:$A$98,0)) = FALSE, INDEX(MemMap!$B$4:$B$98,MATCH(A151,MemMap!$A$4:$A$98,0)),IF(F151="Y","TunSetCalSeg",IF(G151="Y", "FlashCalSeg", IF(G151="N", "FlashAppSeg", ""))))</f>
        <v>FlashAppSeg</v>
      </c>
      <c r="O151" s="220"/>
      <c r="P151" s="220"/>
      <c r="Q151" s="221"/>
      <c r="R151" s="221"/>
    </row>
    <row r="152" spans="1:18" x14ac:dyDescent="0.2">
      <c r="A152" s="224" t="s">
        <v>2070</v>
      </c>
      <c r="B152" s="225"/>
      <c r="C152" s="226" t="s">
        <v>586</v>
      </c>
      <c r="D152" s="226" t="s">
        <v>220</v>
      </c>
      <c r="E152" s="226" t="s">
        <v>2064</v>
      </c>
      <c r="F152" s="227" t="s">
        <v>82</v>
      </c>
      <c r="G152" s="228" t="s">
        <v>81</v>
      </c>
      <c r="H152" s="228"/>
      <c r="I152" s="223">
        <v>10</v>
      </c>
      <c r="J152" s="229">
        <v>5</v>
      </c>
      <c r="K152" s="229">
        <v>31</v>
      </c>
      <c r="L152" s="229" t="s">
        <v>560</v>
      </c>
      <c r="M152" s="229" t="s">
        <v>587</v>
      </c>
      <c r="N152" s="230" t="str">
        <f>IF(ISERROR(MATCH(A152,MemMap!$A$4:$A$98,0)) = FALSE, INDEX(MemMap!$B$4:$B$98,MATCH(A152,MemMap!$A$4:$A$98,0)),IF(F152="Y","TunSetCalSeg",IF(G152="Y", "FlashCalSeg", IF(G152="N", "FlashAppSeg", ""))))</f>
        <v>FlashCalSeg</v>
      </c>
      <c r="O152" s="220"/>
      <c r="P152" s="220"/>
      <c r="Q152" s="221"/>
      <c r="R152" s="221"/>
    </row>
    <row r="153" spans="1:18" x14ac:dyDescent="0.2">
      <c r="A153" s="224" t="s">
        <v>2063</v>
      </c>
      <c r="B153" s="225"/>
      <c r="C153" s="226" t="s">
        <v>586</v>
      </c>
      <c r="D153" s="226" t="s">
        <v>220</v>
      </c>
      <c r="E153" s="226" t="s">
        <v>2064</v>
      </c>
      <c r="F153" s="227" t="s">
        <v>82</v>
      </c>
      <c r="G153" s="228" t="s">
        <v>81</v>
      </c>
      <c r="H153" s="228"/>
      <c r="I153" s="223">
        <v>9</v>
      </c>
      <c r="J153" s="229">
        <v>5</v>
      </c>
      <c r="K153" s="229">
        <v>31</v>
      </c>
      <c r="L153" s="229" t="s">
        <v>560</v>
      </c>
      <c r="M153" s="229" t="s">
        <v>587</v>
      </c>
      <c r="N153" s="230" t="str">
        <f>IF(ISERROR(MATCH(A153,MemMap!$A$4:$A$98,0)) = FALSE, INDEX(MemMap!$B$4:$B$98,MATCH(A153,MemMap!$A$4:$A$98,0)),IF(F153="Y","TunSetCalSeg",IF(G153="Y", "FlashCalSeg", IF(G153="N", "FlashAppSeg", ""))))</f>
        <v>FlashCalSeg</v>
      </c>
      <c r="O153" s="220"/>
      <c r="P153" s="220"/>
      <c r="Q153" s="221"/>
      <c r="R153" s="221"/>
    </row>
    <row r="154" spans="1:18" x14ac:dyDescent="0.2">
      <c r="A154" s="224" t="s">
        <v>2069</v>
      </c>
      <c r="B154" s="225"/>
      <c r="C154" s="226" t="s">
        <v>586</v>
      </c>
      <c r="D154" s="226" t="s">
        <v>220</v>
      </c>
      <c r="E154" s="226" t="s">
        <v>2064</v>
      </c>
      <c r="F154" s="227" t="s">
        <v>82</v>
      </c>
      <c r="G154" s="228" t="s">
        <v>81</v>
      </c>
      <c r="H154" s="228"/>
      <c r="I154" s="223">
        <v>16.5</v>
      </c>
      <c r="J154" s="229">
        <v>5</v>
      </c>
      <c r="K154" s="229">
        <v>31</v>
      </c>
      <c r="L154" s="229" t="s">
        <v>560</v>
      </c>
      <c r="M154" s="229" t="s">
        <v>587</v>
      </c>
      <c r="N154" s="230" t="str">
        <f>IF(ISERROR(MATCH(A154,MemMap!$A$4:$A$98,0)) = FALSE, INDEX(MemMap!$B$4:$B$98,MATCH(A154,MemMap!$A$4:$A$98,0)),IF(F154="Y","TunSetCalSeg",IF(G154="Y", "FlashCalSeg", IF(G154="N", "FlashAppSeg", ""))))</f>
        <v>FlashCalSeg</v>
      </c>
      <c r="O154" s="220"/>
      <c r="P154" s="220"/>
      <c r="Q154" s="221"/>
      <c r="R154" s="221"/>
    </row>
    <row r="155" spans="1:18" ht="22.5" x14ac:dyDescent="0.2">
      <c r="A155" s="224" t="s">
        <v>599</v>
      </c>
      <c r="B155" s="225" t="s">
        <v>599</v>
      </c>
      <c r="C155" s="226" t="s">
        <v>586</v>
      </c>
      <c r="D155" s="226" t="s">
        <v>220</v>
      </c>
      <c r="E155" s="226" t="s">
        <v>600</v>
      </c>
      <c r="F155" s="227" t="s">
        <v>82</v>
      </c>
      <c r="G155" s="228" t="s">
        <v>81</v>
      </c>
      <c r="H155" s="228"/>
      <c r="I155" s="223">
        <v>1000</v>
      </c>
      <c r="J155" s="229">
        <v>0</v>
      </c>
      <c r="K155" s="229">
        <v>65000</v>
      </c>
      <c r="L155" s="229" t="s">
        <v>592</v>
      </c>
      <c r="M155" s="229" t="s">
        <v>388</v>
      </c>
      <c r="N155" s="230" t="str">
        <f>IF(ISERROR(MATCH(A155,MemMap!$A$4:$A$98,0)) = FALSE, INDEX(MemMap!$B$4:$B$98,MATCH(A155,MemMap!$A$4:$A$98,0)),IF(F155="Y","TunSetCalSeg",IF(G155="Y", "FlashCalSeg", IF(G155="N", "FlashAppSeg", ""))))</f>
        <v>FlashCalSeg</v>
      </c>
      <c r="O155" s="220"/>
      <c r="P155" s="220"/>
      <c r="Q155" s="221"/>
      <c r="R155" s="221"/>
    </row>
    <row r="156" spans="1:18" ht="22.5" x14ac:dyDescent="0.2">
      <c r="A156" s="224" t="s">
        <v>597</v>
      </c>
      <c r="B156" s="225" t="s">
        <v>597</v>
      </c>
      <c r="C156" s="226" t="s">
        <v>586</v>
      </c>
      <c r="D156" s="226" t="s">
        <v>220</v>
      </c>
      <c r="E156" s="226" t="s">
        <v>598</v>
      </c>
      <c r="F156" s="227" t="s">
        <v>82</v>
      </c>
      <c r="G156" s="228" t="s">
        <v>81</v>
      </c>
      <c r="H156" s="228"/>
      <c r="I156" s="223">
        <v>9</v>
      </c>
      <c r="J156" s="229">
        <v>5</v>
      </c>
      <c r="K156" s="229">
        <v>31</v>
      </c>
      <c r="L156" s="229" t="s">
        <v>560</v>
      </c>
      <c r="M156" s="229" t="s">
        <v>587</v>
      </c>
      <c r="N156" s="230" t="str">
        <f>IF(ISERROR(MATCH(A156,MemMap!$A$4:$A$98,0)) = FALSE, INDEX(MemMap!$B$4:$B$98,MATCH(A156,MemMap!$A$4:$A$98,0)),IF(F156="Y","TunSetCalSeg",IF(G156="Y", "FlashCalSeg", IF(G156="N", "FlashAppSeg", ""))))</f>
        <v>FlashCalSeg</v>
      </c>
      <c r="O156" s="220"/>
      <c r="P156" s="220"/>
      <c r="Q156" s="221"/>
      <c r="R156" s="221"/>
    </row>
    <row r="157" spans="1:18" ht="22.5" x14ac:dyDescent="0.2">
      <c r="A157" s="224" t="s">
        <v>601</v>
      </c>
      <c r="B157" s="225" t="s">
        <v>601</v>
      </c>
      <c r="C157" s="226" t="s">
        <v>586</v>
      </c>
      <c r="D157" s="226" t="s">
        <v>220</v>
      </c>
      <c r="E157" s="226" t="s">
        <v>602</v>
      </c>
      <c r="F157" s="227" t="s">
        <v>82</v>
      </c>
      <c r="G157" s="228" t="s">
        <v>81</v>
      </c>
      <c r="H157" s="228"/>
      <c r="I157" s="223">
        <v>600</v>
      </c>
      <c r="J157" s="229">
        <v>0</v>
      </c>
      <c r="K157" s="229">
        <v>65000</v>
      </c>
      <c r="L157" s="229" t="s">
        <v>592</v>
      </c>
      <c r="M157" s="229" t="s">
        <v>388</v>
      </c>
      <c r="N157" s="230" t="str">
        <f>IF(ISERROR(MATCH(A157,MemMap!$A$4:$A$98,0)) = FALSE, INDEX(MemMap!$B$4:$B$98,MATCH(A157,MemMap!$A$4:$A$98,0)),IF(F157="Y","TunSetCalSeg",IF(G157="Y", "FlashCalSeg", IF(G157="N", "FlashAppSeg", ""))))</f>
        <v>FlashCalSeg</v>
      </c>
      <c r="O157" s="220"/>
      <c r="P157" s="220"/>
      <c r="Q157" s="221"/>
      <c r="R157" s="221"/>
    </row>
    <row r="158" spans="1:18" ht="22.5" x14ac:dyDescent="0.2">
      <c r="A158" s="224" t="s">
        <v>595</v>
      </c>
      <c r="B158" s="225" t="s">
        <v>595</v>
      </c>
      <c r="C158" s="226" t="s">
        <v>586</v>
      </c>
      <c r="D158" s="226" t="s">
        <v>220</v>
      </c>
      <c r="E158" s="226" t="s">
        <v>596</v>
      </c>
      <c r="F158" s="227" t="s">
        <v>82</v>
      </c>
      <c r="G158" s="228" t="s">
        <v>81</v>
      </c>
      <c r="H158" s="228"/>
      <c r="I158" s="223">
        <v>9</v>
      </c>
      <c r="J158" s="229">
        <v>5</v>
      </c>
      <c r="K158" s="229">
        <v>31</v>
      </c>
      <c r="L158" s="229" t="s">
        <v>560</v>
      </c>
      <c r="M158" s="229" t="s">
        <v>587</v>
      </c>
      <c r="N158" s="230" t="str">
        <f>IF(ISERROR(MATCH(A158,MemMap!$A$4:$A$98,0)) = FALSE, INDEX(MemMap!$B$4:$B$98,MATCH(A158,MemMap!$A$4:$A$98,0)),IF(F158="Y","TunSetCalSeg",IF(G158="Y", "FlashCalSeg", IF(G158="N", "FlashAppSeg", ""))))</f>
        <v>FlashCalSeg</v>
      </c>
      <c r="O158" s="220"/>
      <c r="P158" s="220"/>
      <c r="Q158" s="221"/>
      <c r="R158" s="221"/>
    </row>
    <row r="159" spans="1:18" ht="22.5" x14ac:dyDescent="0.2">
      <c r="A159" s="224" t="s">
        <v>2061</v>
      </c>
      <c r="B159" s="225" t="s">
        <v>599</v>
      </c>
      <c r="C159" s="226" t="s">
        <v>586</v>
      </c>
      <c r="D159" s="226" t="s">
        <v>220</v>
      </c>
      <c r="E159" s="226" t="s">
        <v>600</v>
      </c>
      <c r="F159" s="227" t="s">
        <v>82</v>
      </c>
      <c r="G159" s="228" t="s">
        <v>82</v>
      </c>
      <c r="H159" s="228"/>
      <c r="I159" s="223">
        <v>1000</v>
      </c>
      <c r="J159" s="229">
        <v>0</v>
      </c>
      <c r="K159" s="229">
        <v>65000</v>
      </c>
      <c r="L159" s="229" t="s">
        <v>592</v>
      </c>
      <c r="M159" s="229" t="s">
        <v>388</v>
      </c>
      <c r="N159" s="230" t="str">
        <f>IF(ISERROR(MATCH(A159,MemMap!$A$4:$A$98,0)) = FALSE, INDEX(MemMap!$B$4:$B$98,MATCH(A159,MemMap!$A$4:$A$98,0)),IF(F159="Y","TunSetCalSeg",IF(G159="Y", "FlashCalSeg", IF(G159="N", "FlashAppSeg", ""))))</f>
        <v>FlashAppSeg</v>
      </c>
      <c r="O159" s="220"/>
      <c r="P159" s="220"/>
      <c r="Q159" s="221"/>
      <c r="R159" s="221"/>
    </row>
    <row r="160" spans="1:18" ht="22.5" x14ac:dyDescent="0.2">
      <c r="A160" s="224" t="s">
        <v>2060</v>
      </c>
      <c r="B160" s="225" t="s">
        <v>597</v>
      </c>
      <c r="C160" s="226" t="s">
        <v>586</v>
      </c>
      <c r="D160" s="226" t="s">
        <v>220</v>
      </c>
      <c r="E160" s="226" t="s">
        <v>598</v>
      </c>
      <c r="F160" s="227" t="s">
        <v>82</v>
      </c>
      <c r="G160" s="228" t="s">
        <v>82</v>
      </c>
      <c r="H160" s="228"/>
      <c r="I160" s="223">
        <v>9</v>
      </c>
      <c r="J160" s="229">
        <v>5</v>
      </c>
      <c r="K160" s="229">
        <v>31</v>
      </c>
      <c r="L160" s="229" t="s">
        <v>560</v>
      </c>
      <c r="M160" s="229" t="s">
        <v>587</v>
      </c>
      <c r="N160" s="230" t="str">
        <f>IF(ISERROR(MATCH(A160,MemMap!$A$4:$A$98,0)) = FALSE, INDEX(MemMap!$B$4:$B$98,MATCH(A160,MemMap!$A$4:$A$98,0)),IF(F160="Y","TunSetCalSeg",IF(G160="Y", "FlashCalSeg", IF(G160="N", "FlashAppSeg", ""))))</f>
        <v>FlashAppSeg</v>
      </c>
      <c r="O160" s="220"/>
      <c r="P160" s="220"/>
      <c r="Q160" s="221"/>
      <c r="R160" s="221"/>
    </row>
    <row r="161" spans="1:18" ht="22.5" x14ac:dyDescent="0.2">
      <c r="A161" s="224" t="s">
        <v>2062</v>
      </c>
      <c r="B161" s="225" t="s">
        <v>601</v>
      </c>
      <c r="C161" s="226" t="s">
        <v>586</v>
      </c>
      <c r="D161" s="226" t="s">
        <v>220</v>
      </c>
      <c r="E161" s="226" t="s">
        <v>602</v>
      </c>
      <c r="F161" s="227" t="s">
        <v>82</v>
      </c>
      <c r="G161" s="228" t="s">
        <v>82</v>
      </c>
      <c r="H161" s="228"/>
      <c r="I161" s="223">
        <v>600</v>
      </c>
      <c r="J161" s="229">
        <v>0</v>
      </c>
      <c r="K161" s="229">
        <v>65000</v>
      </c>
      <c r="L161" s="229" t="s">
        <v>592</v>
      </c>
      <c r="M161" s="229" t="s">
        <v>388</v>
      </c>
      <c r="N161" s="230" t="str">
        <f>IF(ISERROR(MATCH(A161,MemMap!$A$4:$A$98,0)) = FALSE, INDEX(MemMap!$B$4:$B$98,MATCH(A161,MemMap!$A$4:$A$98,0)),IF(F161="Y","TunSetCalSeg",IF(G161="Y", "FlashCalSeg", IF(G161="N", "FlashAppSeg", ""))))</f>
        <v>FlashAppSeg</v>
      </c>
      <c r="O161" s="220"/>
      <c r="P161" s="220"/>
      <c r="Q161" s="221"/>
      <c r="R161" s="221"/>
    </row>
    <row r="162" spans="1:18" ht="22.5" x14ac:dyDescent="0.2">
      <c r="A162" s="224" t="s">
        <v>2059</v>
      </c>
      <c r="B162" s="225" t="s">
        <v>595</v>
      </c>
      <c r="C162" s="226" t="s">
        <v>586</v>
      </c>
      <c r="D162" s="226" t="s">
        <v>220</v>
      </c>
      <c r="E162" s="226" t="s">
        <v>596</v>
      </c>
      <c r="F162" s="227" t="s">
        <v>82</v>
      </c>
      <c r="G162" s="228" t="s">
        <v>82</v>
      </c>
      <c r="H162" s="228"/>
      <c r="I162" s="223">
        <v>9</v>
      </c>
      <c r="J162" s="229">
        <v>5</v>
      </c>
      <c r="K162" s="229">
        <v>31</v>
      </c>
      <c r="L162" s="229" t="s">
        <v>560</v>
      </c>
      <c r="M162" s="229" t="s">
        <v>587</v>
      </c>
      <c r="N162" s="230" t="str">
        <f>IF(ISERROR(MATCH(A162,MemMap!$A$4:$A$98,0)) = FALSE, INDEX(MemMap!$B$4:$B$98,MATCH(A162,MemMap!$A$4:$A$98,0)),IF(F162="Y","TunSetCalSeg",IF(G162="Y", "FlashCalSeg", IF(G162="N", "FlashAppSeg", ""))))</f>
        <v>FlashAppSeg</v>
      </c>
      <c r="O162" s="220"/>
      <c r="P162" s="220"/>
      <c r="Q162" s="221"/>
      <c r="R162" s="221"/>
    </row>
    <row r="163" spans="1:18" x14ac:dyDescent="0.2">
      <c r="A163" s="224" t="s">
        <v>590</v>
      </c>
      <c r="B163" s="225" t="s">
        <v>590</v>
      </c>
      <c r="C163" s="226" t="s">
        <v>586</v>
      </c>
      <c r="D163" s="226" t="s">
        <v>220</v>
      </c>
      <c r="E163" s="226" t="s">
        <v>591</v>
      </c>
      <c r="F163" s="227" t="s">
        <v>82</v>
      </c>
      <c r="G163" s="228" t="s">
        <v>81</v>
      </c>
      <c r="H163" s="228"/>
      <c r="I163" s="223">
        <v>1000</v>
      </c>
      <c r="J163" s="229">
        <v>0</v>
      </c>
      <c r="K163" s="229">
        <v>65000</v>
      </c>
      <c r="L163" s="229" t="s">
        <v>592</v>
      </c>
      <c r="M163" s="229" t="s">
        <v>388</v>
      </c>
      <c r="N163" s="230" t="str">
        <f>IF(ISERROR(MATCH(A163,MemMap!$A$4:$A$98,0)) = FALSE, INDEX(MemMap!$B$4:$B$98,MATCH(A163,MemMap!$A$4:$A$98,0)),IF(F163="Y","TunSetCalSeg",IF(G163="Y", "FlashCalSeg", IF(G163="N", "FlashAppSeg", ""))))</f>
        <v>FlashCalSeg</v>
      </c>
      <c r="O163" s="220"/>
      <c r="P163" s="220"/>
      <c r="Q163" s="221"/>
      <c r="R163" s="221"/>
    </row>
    <row r="164" spans="1:18" ht="22.5" x14ac:dyDescent="0.2">
      <c r="A164" s="224" t="s">
        <v>584</v>
      </c>
      <c r="B164" s="225" t="s">
        <v>584</v>
      </c>
      <c r="C164" s="226" t="s">
        <v>586</v>
      </c>
      <c r="D164" s="226" t="s">
        <v>220</v>
      </c>
      <c r="E164" s="226" t="s">
        <v>585</v>
      </c>
      <c r="F164" s="227" t="s">
        <v>82</v>
      </c>
      <c r="G164" s="228" t="s">
        <v>81</v>
      </c>
      <c r="H164" s="228"/>
      <c r="I164" s="223">
        <v>18</v>
      </c>
      <c r="J164" s="229">
        <v>5</v>
      </c>
      <c r="K164" s="229">
        <v>31</v>
      </c>
      <c r="L164" s="229" t="s">
        <v>560</v>
      </c>
      <c r="M164" s="229" t="s">
        <v>587</v>
      </c>
      <c r="N164" s="230" t="str">
        <f>IF(ISERROR(MATCH(A164,MemMap!$A$4:$A$98,0)) = FALSE, INDEX(MemMap!$B$4:$B$98,MATCH(A164,MemMap!$A$4:$A$98,0)),IF(F164="Y","TunSetCalSeg",IF(G164="Y", "FlashCalSeg", IF(G164="N", "FlashAppSeg", ""))))</f>
        <v>FlashCalSeg</v>
      </c>
      <c r="O164" s="220"/>
      <c r="P164" s="220"/>
      <c r="Q164" s="221"/>
      <c r="R164" s="221"/>
    </row>
    <row r="165" spans="1:18" ht="22.5" x14ac:dyDescent="0.2">
      <c r="A165" s="224" t="s">
        <v>593</v>
      </c>
      <c r="B165" s="225" t="s">
        <v>593</v>
      </c>
      <c r="C165" s="226" t="s">
        <v>586</v>
      </c>
      <c r="D165" s="226" t="s">
        <v>220</v>
      </c>
      <c r="E165" s="226" t="s">
        <v>594</v>
      </c>
      <c r="F165" s="227" t="s">
        <v>82</v>
      </c>
      <c r="G165" s="228" t="s">
        <v>81</v>
      </c>
      <c r="H165" s="228"/>
      <c r="I165" s="223">
        <v>600</v>
      </c>
      <c r="J165" s="229">
        <v>0</v>
      </c>
      <c r="K165" s="229">
        <v>65000</v>
      </c>
      <c r="L165" s="229" t="s">
        <v>592</v>
      </c>
      <c r="M165" s="229" t="s">
        <v>388</v>
      </c>
      <c r="N165" s="230" t="str">
        <f>IF(ISERROR(MATCH(A165,MemMap!$A$4:$A$98,0)) = FALSE, INDEX(MemMap!$B$4:$B$98,MATCH(A165,MemMap!$A$4:$A$98,0)),IF(F165="Y","TunSetCalSeg",IF(G165="Y", "FlashCalSeg", IF(G165="N", "FlashAppSeg", ""))))</f>
        <v>FlashCalSeg</v>
      </c>
      <c r="O165" s="220"/>
      <c r="P165" s="220"/>
      <c r="Q165" s="221"/>
      <c r="R165" s="221"/>
    </row>
    <row r="166" spans="1:18" ht="22.5" x14ac:dyDescent="0.2">
      <c r="A166" s="224" t="s">
        <v>588</v>
      </c>
      <c r="B166" s="225" t="s">
        <v>588</v>
      </c>
      <c r="C166" s="226" t="s">
        <v>586</v>
      </c>
      <c r="D166" s="226" t="s">
        <v>220</v>
      </c>
      <c r="E166" s="226" t="s">
        <v>589</v>
      </c>
      <c r="F166" s="227" t="s">
        <v>82</v>
      </c>
      <c r="G166" s="228" t="s">
        <v>81</v>
      </c>
      <c r="H166" s="228"/>
      <c r="I166" s="223">
        <v>18</v>
      </c>
      <c r="J166" s="229">
        <v>5</v>
      </c>
      <c r="K166" s="229">
        <v>31</v>
      </c>
      <c r="L166" s="229" t="s">
        <v>560</v>
      </c>
      <c r="M166" s="229" t="s">
        <v>587</v>
      </c>
      <c r="N166" s="230" t="str">
        <f>IF(ISERROR(MATCH(A166,MemMap!$A$4:$A$98,0)) = FALSE, INDEX(MemMap!$B$4:$B$98,MATCH(A166,MemMap!$A$4:$A$98,0)),IF(F166="Y","TunSetCalSeg",IF(G166="Y", "FlashCalSeg", IF(G166="N", "FlashAppSeg", ""))))</f>
        <v>FlashCalSeg</v>
      </c>
      <c r="O166" s="220"/>
      <c r="P166" s="220"/>
      <c r="Q166" s="221"/>
      <c r="R166" s="221"/>
    </row>
    <row r="167" spans="1:18" x14ac:dyDescent="0.2">
      <c r="A167" s="224" t="s">
        <v>2067</v>
      </c>
      <c r="B167" s="225"/>
      <c r="C167" s="226" t="s">
        <v>586</v>
      </c>
      <c r="D167" s="226" t="s">
        <v>220</v>
      </c>
      <c r="E167" s="226" t="s">
        <v>2068</v>
      </c>
      <c r="F167" s="227" t="s">
        <v>82</v>
      </c>
      <c r="G167" s="228" t="s">
        <v>81</v>
      </c>
      <c r="H167" s="228"/>
      <c r="I167" s="223">
        <v>15000</v>
      </c>
      <c r="J167" s="229">
        <v>0</v>
      </c>
      <c r="K167" s="229">
        <v>65000</v>
      </c>
      <c r="L167" s="229" t="s">
        <v>592</v>
      </c>
      <c r="M167" s="229" t="s">
        <v>388</v>
      </c>
      <c r="N167" s="230" t="str">
        <f>IF(ISERROR(MATCH(A167,MemMap!$A$4:$A$98,0)) = FALSE, INDEX(MemMap!$B$4:$B$98,MATCH(A167,MemMap!$A$4:$A$98,0)),IF(F167="Y","TunSetCalSeg",IF(G167="Y", "FlashCalSeg", IF(G167="N", "FlashAppSeg", ""))))</f>
        <v>FlashCalSeg</v>
      </c>
      <c r="O167" s="220"/>
      <c r="P167" s="220"/>
      <c r="Q167" s="221"/>
      <c r="R167" s="221"/>
    </row>
    <row r="168" spans="1:18" ht="22.5" x14ac:dyDescent="0.2">
      <c r="A168" s="224" t="s">
        <v>2065</v>
      </c>
      <c r="B168" s="225"/>
      <c r="C168" s="226" t="s">
        <v>586</v>
      </c>
      <c r="D168" s="226" t="s">
        <v>220</v>
      </c>
      <c r="E168" s="226" t="s">
        <v>2066</v>
      </c>
      <c r="F168" s="227" t="s">
        <v>82</v>
      </c>
      <c r="G168" s="228" t="s">
        <v>81</v>
      </c>
      <c r="H168" s="228"/>
      <c r="I168" s="223">
        <v>15000</v>
      </c>
      <c r="J168" s="229">
        <v>0</v>
      </c>
      <c r="K168" s="229">
        <v>65000</v>
      </c>
      <c r="L168" s="229" t="s">
        <v>592</v>
      </c>
      <c r="M168" s="229" t="s">
        <v>388</v>
      </c>
      <c r="N168" s="230" t="str">
        <f>IF(ISERROR(MATCH(A168,MemMap!$A$4:$A$98,0)) = FALSE, INDEX(MemMap!$B$4:$B$98,MATCH(A168,MemMap!$A$4:$A$98,0)),IF(F168="Y","TunSetCalSeg",IF(G168="Y", "FlashCalSeg", IF(G168="N", "FlashAppSeg", ""))))</f>
        <v>FlashCalSeg</v>
      </c>
      <c r="O168" s="220"/>
      <c r="P168" s="220"/>
      <c r="Q168" s="221"/>
      <c r="R168" s="221"/>
    </row>
    <row r="169" spans="1:18" ht="22.5" x14ac:dyDescent="0.2">
      <c r="A169" s="224" t="s">
        <v>2017</v>
      </c>
      <c r="B169" s="225" t="s">
        <v>603</v>
      </c>
      <c r="C169" s="226" t="s">
        <v>605</v>
      </c>
      <c r="D169" s="226" t="s">
        <v>606</v>
      </c>
      <c r="E169" s="226" t="s">
        <v>604</v>
      </c>
      <c r="F169" s="227" t="s">
        <v>82</v>
      </c>
      <c r="G169" s="228" t="s">
        <v>82</v>
      </c>
      <c r="H169" s="228"/>
      <c r="I169" s="223">
        <v>1.7953429000000001</v>
      </c>
      <c r="J169" s="229">
        <v>0</v>
      </c>
      <c r="K169" s="229">
        <v>882.54240000000004</v>
      </c>
      <c r="L169" s="229" t="s">
        <v>258</v>
      </c>
      <c r="M169" s="229" t="s">
        <v>257</v>
      </c>
      <c r="N169" s="230" t="str">
        <f>IF(ISERROR(MATCH(A169,MemMap!$A$4:$A$98,0)) = FALSE, INDEX(MemMap!$B$4:$B$98,MATCH(A169,MemMap!$A$4:$A$98,0)),IF(F169="Y","TunSetCalSeg",IF(G169="Y", "FlashCalSeg", IF(G169="N", "FlashAppSeg", ""))))</f>
        <v>FlashAppSeg</v>
      </c>
      <c r="O169" s="220"/>
      <c r="P169" s="220"/>
      <c r="Q169" s="221"/>
      <c r="R169" s="221"/>
    </row>
    <row r="170" spans="1:18" ht="22.5" x14ac:dyDescent="0.2">
      <c r="A170" s="224" t="s">
        <v>607</v>
      </c>
      <c r="B170" s="225" t="s">
        <v>608</v>
      </c>
      <c r="C170" s="226" t="s">
        <v>605</v>
      </c>
      <c r="D170" s="226" t="s">
        <v>606</v>
      </c>
      <c r="E170" s="226"/>
      <c r="F170" s="227" t="s">
        <v>82</v>
      </c>
      <c r="G170" s="228" t="s">
        <v>82</v>
      </c>
      <c r="H170" s="228"/>
      <c r="I170" s="223">
        <v>0</v>
      </c>
      <c r="J170" s="229">
        <v>0</v>
      </c>
      <c r="K170" s="229">
        <v>50</v>
      </c>
      <c r="L170" s="229" t="s">
        <v>609</v>
      </c>
      <c r="M170" s="229" t="s">
        <v>257</v>
      </c>
      <c r="N170" s="230" t="str">
        <f>IF(ISERROR(MATCH(A170,MemMap!$A$4:$A$98,0)) = FALSE, INDEX(MemMap!$B$4:$B$98,MATCH(A170,MemMap!$A$4:$A$98,0)),IF(F170="Y","TunSetCalSeg",IF(G170="Y", "FlashCalSeg", IF(G170="N", "FlashAppSeg", ""))))</f>
        <v>FlashAppSeg</v>
      </c>
      <c r="O170" s="220"/>
      <c r="P170" s="220"/>
      <c r="Q170" s="221"/>
      <c r="R170" s="221"/>
    </row>
    <row r="171" spans="1:18" ht="22.5" x14ac:dyDescent="0.2">
      <c r="A171" s="224" t="s">
        <v>623</v>
      </c>
      <c r="B171" s="225" t="s">
        <v>624</v>
      </c>
      <c r="C171" s="226" t="s">
        <v>605</v>
      </c>
      <c r="D171" s="226" t="s">
        <v>606</v>
      </c>
      <c r="E171" s="226"/>
      <c r="F171" s="227" t="s">
        <v>82</v>
      </c>
      <c r="G171" s="228" t="s">
        <v>82</v>
      </c>
      <c r="H171" s="228"/>
      <c r="I171" s="223">
        <v>45</v>
      </c>
      <c r="J171" s="229">
        <v>10</v>
      </c>
      <c r="K171" s="229">
        <v>100</v>
      </c>
      <c r="L171" s="229" t="s">
        <v>609</v>
      </c>
      <c r="M171" s="229" t="s">
        <v>257</v>
      </c>
      <c r="N171" s="230" t="str">
        <f>IF(ISERROR(MATCH(A171,MemMap!$A$4:$A$98,0)) = FALSE, INDEX(MemMap!$B$4:$B$98,MATCH(A171,MemMap!$A$4:$A$98,0)),IF(F171="Y","TunSetCalSeg",IF(G171="Y", "FlashCalSeg", IF(G171="N", "FlashAppSeg", ""))))</f>
        <v>FlashAppSeg</v>
      </c>
      <c r="O171" s="220"/>
      <c r="P171" s="220"/>
      <c r="Q171" s="221"/>
      <c r="R171" s="221"/>
    </row>
    <row r="172" spans="1:18" ht="22.5" x14ac:dyDescent="0.2">
      <c r="A172" s="224" t="s">
        <v>627</v>
      </c>
      <c r="B172" s="225" t="s">
        <v>628</v>
      </c>
      <c r="C172" s="226" t="s">
        <v>605</v>
      </c>
      <c r="D172" s="226" t="s">
        <v>606</v>
      </c>
      <c r="E172" s="226"/>
      <c r="F172" s="227" t="s">
        <v>82</v>
      </c>
      <c r="G172" s="228" t="s">
        <v>82</v>
      </c>
      <c r="H172" s="228"/>
      <c r="I172" s="223">
        <v>1462</v>
      </c>
      <c r="J172" s="229">
        <v>0</v>
      </c>
      <c r="K172" s="229">
        <v>65535</v>
      </c>
      <c r="L172" s="229" t="s">
        <v>267</v>
      </c>
      <c r="M172" s="229" t="s">
        <v>263</v>
      </c>
      <c r="N172" s="230" t="str">
        <f>IF(ISERROR(MATCH(A172,MemMap!$A$4:$A$98,0)) = FALSE, INDEX(MemMap!$B$4:$B$98,MATCH(A172,MemMap!$A$4:$A$98,0)),IF(F172="Y","TunSetCalSeg",IF(G172="Y", "FlashCalSeg", IF(G172="N", "FlashAppSeg", ""))))</f>
        <v>FlashAppSeg</v>
      </c>
      <c r="O172" s="220"/>
      <c r="P172" s="220"/>
      <c r="Q172" s="221"/>
      <c r="R172" s="221"/>
    </row>
    <row r="173" spans="1:18" ht="22.5" x14ac:dyDescent="0.2">
      <c r="A173" s="224" t="s">
        <v>2250</v>
      </c>
      <c r="B173" s="225" t="s">
        <v>2251</v>
      </c>
      <c r="C173" s="226" t="s">
        <v>605</v>
      </c>
      <c r="D173" s="226" t="s">
        <v>606</v>
      </c>
      <c r="E173" s="226"/>
      <c r="F173" s="227" t="s">
        <v>82</v>
      </c>
      <c r="G173" s="228" t="s">
        <v>82</v>
      </c>
      <c r="H173" s="228"/>
      <c r="I173" s="223">
        <v>900</v>
      </c>
      <c r="J173" s="229">
        <v>1</v>
      </c>
      <c r="K173" s="229">
        <v>10000</v>
      </c>
      <c r="L173" s="229" t="s">
        <v>267</v>
      </c>
      <c r="M173" s="229" t="s">
        <v>263</v>
      </c>
      <c r="N173" s="230" t="str">
        <f>IF(ISERROR(MATCH(A173,MemMap!$A$4:$A$98,0)) = FALSE, INDEX(MemMap!$B$4:$B$98,MATCH(A173,MemMap!$A$4:$A$98,0)),IF(F173="Y","TunSetCalSeg",IF(G173="Y", "FlashCalSeg", IF(G173="N", "FlashAppSeg", ""))))</f>
        <v>FlashAppSeg</v>
      </c>
      <c r="O173" s="220"/>
      <c r="P173" s="220"/>
      <c r="Q173" s="221"/>
      <c r="R173" s="221"/>
    </row>
    <row r="174" spans="1:18" ht="22.5" x14ac:dyDescent="0.2">
      <c r="A174" s="224" t="s">
        <v>625</v>
      </c>
      <c r="B174" s="225" t="s">
        <v>626</v>
      </c>
      <c r="C174" s="226" t="s">
        <v>605</v>
      </c>
      <c r="D174" s="226" t="s">
        <v>606</v>
      </c>
      <c r="E174" s="226"/>
      <c r="F174" s="227" t="s">
        <v>82</v>
      </c>
      <c r="G174" s="228" t="s">
        <v>82</v>
      </c>
      <c r="H174" s="228"/>
      <c r="I174" s="223">
        <v>10</v>
      </c>
      <c r="J174" s="229">
        <v>-20</v>
      </c>
      <c r="K174" s="229">
        <v>20</v>
      </c>
      <c r="L174" s="229" t="s">
        <v>259</v>
      </c>
      <c r="M174" s="229" t="s">
        <v>257</v>
      </c>
      <c r="N174" s="230" t="str">
        <f>IF(ISERROR(MATCH(A174,MemMap!$A$4:$A$98,0)) = FALSE, INDEX(MemMap!$B$4:$B$98,MATCH(A174,MemMap!$A$4:$A$98,0)),IF(F174="Y","TunSetCalSeg",IF(G174="Y", "FlashCalSeg", IF(G174="N", "FlashAppSeg", ""))))</f>
        <v>FlashAppSeg</v>
      </c>
      <c r="O174" s="220"/>
      <c r="P174" s="220"/>
      <c r="Q174" s="221"/>
      <c r="R174" s="221"/>
    </row>
    <row r="175" spans="1:18" ht="22.5" x14ac:dyDescent="0.2">
      <c r="A175" s="224" t="s">
        <v>621</v>
      </c>
      <c r="B175" s="225" t="s">
        <v>622</v>
      </c>
      <c r="C175" s="226" t="s">
        <v>605</v>
      </c>
      <c r="D175" s="226" t="s">
        <v>606</v>
      </c>
      <c r="E175" s="226"/>
      <c r="F175" s="227" t="s">
        <v>82</v>
      </c>
      <c r="G175" s="228" t="s">
        <v>82</v>
      </c>
      <c r="H175" s="228"/>
      <c r="I175" s="223">
        <v>110</v>
      </c>
      <c r="J175" s="229">
        <v>20</v>
      </c>
      <c r="K175" s="229">
        <v>125</v>
      </c>
      <c r="L175" s="229" t="s">
        <v>620</v>
      </c>
      <c r="M175" s="229" t="s">
        <v>257</v>
      </c>
      <c r="N175" s="230" t="str">
        <f>IF(ISERROR(MATCH(A175,MemMap!$A$4:$A$98,0)) = FALSE, INDEX(MemMap!$B$4:$B$98,MATCH(A175,MemMap!$A$4:$A$98,0)),IF(F175="Y","TunSetCalSeg",IF(G175="Y", "FlashCalSeg", IF(G175="N", "FlashAppSeg", ""))))</f>
        <v>FlashAppSeg</v>
      </c>
      <c r="O175" s="220"/>
      <c r="P175" s="220"/>
      <c r="Q175" s="221"/>
      <c r="R175" s="221"/>
    </row>
    <row r="176" spans="1:18" ht="22.5" x14ac:dyDescent="0.2">
      <c r="A176" s="224" t="s">
        <v>616</v>
      </c>
      <c r="B176" s="225" t="s">
        <v>617</v>
      </c>
      <c r="C176" s="226" t="s">
        <v>605</v>
      </c>
      <c r="D176" s="226" t="s">
        <v>606</v>
      </c>
      <c r="E176" s="226"/>
      <c r="F176" s="227" t="s">
        <v>82</v>
      </c>
      <c r="G176" s="228" t="s">
        <v>82</v>
      </c>
      <c r="H176" s="228"/>
      <c r="I176" s="223">
        <v>2.8</v>
      </c>
      <c r="J176" s="229">
        <v>1</v>
      </c>
      <c r="K176" s="229">
        <v>3</v>
      </c>
      <c r="L176" s="229" t="s">
        <v>615</v>
      </c>
      <c r="M176" s="229" t="s">
        <v>257</v>
      </c>
      <c r="N176" s="230" t="str">
        <f>IF(ISERROR(MATCH(A176,MemMap!$A$4:$A$98,0)) = FALSE, INDEX(MemMap!$B$4:$B$98,MATCH(A176,MemMap!$A$4:$A$98,0)),IF(F176="Y","TunSetCalSeg",IF(G176="Y", "FlashCalSeg", IF(G176="N", "FlashAppSeg", ""))))</f>
        <v>FlashAppSeg</v>
      </c>
      <c r="O176" s="220"/>
      <c r="P176" s="220"/>
      <c r="Q176" s="221"/>
      <c r="R176" s="221"/>
    </row>
    <row r="177" spans="1:18" ht="22.5" x14ac:dyDescent="0.2">
      <c r="A177" s="224" t="s">
        <v>618</v>
      </c>
      <c r="B177" s="225" t="s">
        <v>619</v>
      </c>
      <c r="C177" s="226" t="s">
        <v>605</v>
      </c>
      <c r="D177" s="226" t="s">
        <v>606</v>
      </c>
      <c r="E177" s="226"/>
      <c r="F177" s="227" t="s">
        <v>82</v>
      </c>
      <c r="G177" s="228" t="s">
        <v>82</v>
      </c>
      <c r="H177" s="228"/>
      <c r="I177" s="223">
        <v>90</v>
      </c>
      <c r="J177" s="229">
        <v>20</v>
      </c>
      <c r="K177" s="229">
        <v>125</v>
      </c>
      <c r="L177" s="229" t="s">
        <v>620</v>
      </c>
      <c r="M177" s="229" t="s">
        <v>257</v>
      </c>
      <c r="N177" s="230" t="str">
        <f>IF(ISERROR(MATCH(A177,MemMap!$A$4:$A$98,0)) = FALSE, INDEX(MemMap!$B$4:$B$98,MATCH(A177,MemMap!$A$4:$A$98,0)),IF(F177="Y","TunSetCalSeg",IF(G177="Y", "FlashCalSeg", IF(G177="N", "FlashAppSeg", ""))))</f>
        <v>FlashAppSeg</v>
      </c>
      <c r="O177" s="220"/>
      <c r="P177" s="220"/>
      <c r="Q177" s="221"/>
      <c r="R177" s="221"/>
    </row>
    <row r="178" spans="1:18" ht="22.5" x14ac:dyDescent="0.2">
      <c r="A178" s="224" t="s">
        <v>613</v>
      </c>
      <c r="B178" s="225" t="s">
        <v>614</v>
      </c>
      <c r="C178" s="226" t="s">
        <v>605</v>
      </c>
      <c r="D178" s="226" t="s">
        <v>606</v>
      </c>
      <c r="E178" s="226"/>
      <c r="F178" s="227" t="s">
        <v>82</v>
      </c>
      <c r="G178" s="228" t="s">
        <v>82</v>
      </c>
      <c r="H178" s="228"/>
      <c r="I178" s="223">
        <v>2.2000000000000002</v>
      </c>
      <c r="J178" s="229">
        <v>1</v>
      </c>
      <c r="K178" s="229">
        <v>3</v>
      </c>
      <c r="L178" s="229" t="s">
        <v>615</v>
      </c>
      <c r="M178" s="229" t="s">
        <v>257</v>
      </c>
      <c r="N178" s="230" t="str">
        <f>IF(ISERROR(MATCH(A178,MemMap!$A$4:$A$98,0)) = FALSE, INDEX(MemMap!$B$4:$B$98,MATCH(A178,MemMap!$A$4:$A$98,0)),IF(F178="Y","TunSetCalSeg",IF(G178="Y", "FlashCalSeg", IF(G178="N", "FlashAppSeg", ""))))</f>
        <v>FlashAppSeg</v>
      </c>
      <c r="O178" s="220"/>
      <c r="P178" s="220"/>
      <c r="Q178" s="221"/>
      <c r="R178" s="221"/>
    </row>
    <row r="179" spans="1:18" ht="22.5" x14ac:dyDescent="0.2">
      <c r="A179" s="224" t="s">
        <v>2249</v>
      </c>
      <c r="B179" s="225" t="s">
        <v>2249</v>
      </c>
      <c r="C179" s="226" t="s">
        <v>605</v>
      </c>
      <c r="D179" s="226" t="s">
        <v>606</v>
      </c>
      <c r="E179" s="226"/>
      <c r="F179" s="227" t="s">
        <v>82</v>
      </c>
      <c r="G179" s="228" t="s">
        <v>82</v>
      </c>
      <c r="H179" s="228"/>
      <c r="I179" s="223">
        <v>500</v>
      </c>
      <c r="J179" s="229">
        <v>500</v>
      </c>
      <c r="K179" s="229">
        <v>1500</v>
      </c>
      <c r="L179" s="229" t="s">
        <v>267</v>
      </c>
      <c r="M179" s="229" t="s">
        <v>263</v>
      </c>
      <c r="N179" s="230" t="str">
        <f>IF(ISERROR(MATCH(A179,MemMap!$A$4:$A$98,0)) = FALSE, INDEX(MemMap!$B$4:$B$98,MATCH(A179,MemMap!$A$4:$A$98,0)),IF(F179="Y","TunSetCalSeg",IF(G179="Y", "FlashCalSeg", IF(G179="N", "FlashAppSeg", ""))))</f>
        <v>FlashAppSeg</v>
      </c>
      <c r="O179" s="220"/>
      <c r="P179" s="220"/>
      <c r="Q179" s="221"/>
      <c r="R179" s="221"/>
    </row>
    <row r="180" spans="1:18" ht="22.5" x14ac:dyDescent="0.2">
      <c r="A180" s="224" t="s">
        <v>610</v>
      </c>
      <c r="B180" s="225" t="s">
        <v>611</v>
      </c>
      <c r="C180" s="226" t="s">
        <v>605</v>
      </c>
      <c r="D180" s="226" t="s">
        <v>606</v>
      </c>
      <c r="E180" s="226"/>
      <c r="F180" s="227" t="s">
        <v>82</v>
      </c>
      <c r="G180" s="228" t="s">
        <v>82</v>
      </c>
      <c r="H180" s="228"/>
      <c r="I180" s="223">
        <v>9.6000000000000002E-5</v>
      </c>
      <c r="J180" s="229">
        <v>2.5000000000000001E-5</v>
      </c>
      <c r="K180" s="229">
        <v>2.0000000000000001E-4</v>
      </c>
      <c r="L180" s="229" t="s">
        <v>612</v>
      </c>
      <c r="M180" s="229" t="s">
        <v>257</v>
      </c>
      <c r="N180" s="230" t="str">
        <f>IF(ISERROR(MATCH(A180,MemMap!$A$4:$A$98,0)) = FALSE, INDEX(MemMap!$B$4:$B$98,MATCH(A180,MemMap!$A$4:$A$98,0)),IF(F180="Y","TunSetCalSeg",IF(G180="Y", "FlashCalSeg", IF(G180="N", "FlashAppSeg", ""))))</f>
        <v>FlashAppSeg</v>
      </c>
      <c r="O180" s="220"/>
      <c r="P180" s="220"/>
      <c r="Q180" s="221"/>
      <c r="R180" s="221"/>
    </row>
    <row r="181" spans="1:18" x14ac:dyDescent="0.2">
      <c r="A181" s="224" t="s">
        <v>2166</v>
      </c>
      <c r="B181" s="225"/>
      <c r="C181" s="226" t="s">
        <v>630</v>
      </c>
      <c r="D181" s="226" t="s">
        <v>1737</v>
      </c>
      <c r="E181" s="226"/>
      <c r="F181" s="227" t="s">
        <v>82</v>
      </c>
      <c r="G181" s="228" t="s">
        <v>82</v>
      </c>
      <c r="H181" s="228"/>
      <c r="I181" s="223">
        <v>1</v>
      </c>
      <c r="J181" s="229">
        <v>-1</v>
      </c>
      <c r="K181" s="229">
        <v>1</v>
      </c>
      <c r="L181" s="229" t="s">
        <v>2167</v>
      </c>
      <c r="M181" s="229" t="s">
        <v>1738</v>
      </c>
      <c r="N181" s="230" t="str">
        <f>IF(ISERROR(MATCH(A181,MemMap!$A$4:$A$98,0)) = FALSE, INDEX(MemMap!$B$4:$B$98,MATCH(A181,MemMap!$A$4:$A$98,0)),IF(F181="Y","TunSetCalSeg",IF(G181="Y", "FlashCalSeg", IF(G181="N", "FlashAppSeg", ""))))</f>
        <v>FlashAppSeg</v>
      </c>
      <c r="O181" s="220"/>
      <c r="P181" s="220"/>
      <c r="Q181" s="221"/>
      <c r="R181" s="221"/>
    </row>
    <row r="182" spans="1:18" x14ac:dyDescent="0.2">
      <c r="A182" s="224" t="s">
        <v>3092</v>
      </c>
      <c r="B182" s="225"/>
      <c r="C182" s="226" t="s">
        <v>630</v>
      </c>
      <c r="D182" s="226" t="s">
        <v>1737</v>
      </c>
      <c r="E182" s="226"/>
      <c r="F182" s="227" t="s">
        <v>82</v>
      </c>
      <c r="G182" s="228" t="s">
        <v>82</v>
      </c>
      <c r="H182" s="228"/>
      <c r="I182" s="223" t="b">
        <v>0</v>
      </c>
      <c r="J182" s="229" t="b">
        <v>0</v>
      </c>
      <c r="K182" s="229" t="b">
        <v>1</v>
      </c>
      <c r="L182" s="229" t="s">
        <v>2167</v>
      </c>
      <c r="M182" s="229" t="s">
        <v>462</v>
      </c>
      <c r="N182" s="230" t="str">
        <f>IF(ISERROR(MATCH(A182,MemMap!$A$4:$A$98,0)) = FALSE, INDEX(MemMap!$B$4:$B$98,MATCH(A182,MemMap!$A$4:$A$98,0)),IF(F182="Y","TunSetCalSeg",IF(G182="Y", "FlashCalSeg", IF(G182="N", "FlashAppSeg", ""))))</f>
        <v>FlashAppSeg</v>
      </c>
      <c r="O182" s="220"/>
      <c r="P182" s="220"/>
      <c r="Q182" s="221"/>
      <c r="R182" s="221"/>
    </row>
    <row r="183" spans="1:18" x14ac:dyDescent="0.2">
      <c r="A183" s="224" t="s">
        <v>633</v>
      </c>
      <c r="B183" s="225"/>
      <c r="C183" s="226" t="s">
        <v>630</v>
      </c>
      <c r="D183" s="226" t="s">
        <v>1737</v>
      </c>
      <c r="E183" s="226"/>
      <c r="F183" s="227" t="s">
        <v>82</v>
      </c>
      <c r="G183" s="228" t="s">
        <v>82</v>
      </c>
      <c r="H183" s="228"/>
      <c r="I183" s="223">
        <v>0.5</v>
      </c>
      <c r="J183" s="229">
        <v>0</v>
      </c>
      <c r="K183" s="229">
        <v>10</v>
      </c>
      <c r="L183" s="229" t="s">
        <v>261</v>
      </c>
      <c r="M183" s="229" t="s">
        <v>257</v>
      </c>
      <c r="N183" s="230" t="str">
        <f>IF(ISERROR(MATCH(A183,MemMap!$A$4:$A$98,0)) = FALSE, INDEX(MemMap!$B$4:$B$98,MATCH(A183,MemMap!$A$4:$A$98,0)),IF(F183="Y","TunSetCalSeg",IF(G183="Y", "FlashCalSeg", IF(G183="N", "FlashAppSeg", ""))))</f>
        <v>FlashAppSeg</v>
      </c>
      <c r="O183" s="220"/>
      <c r="P183" s="220"/>
      <c r="Q183" s="221"/>
      <c r="R183" s="221"/>
    </row>
    <row r="184" spans="1:18" x14ac:dyDescent="0.2">
      <c r="A184" s="224" t="s">
        <v>3089</v>
      </c>
      <c r="B184" s="225"/>
      <c r="C184" s="226" t="s">
        <v>630</v>
      </c>
      <c r="D184" s="226" t="s">
        <v>1737</v>
      </c>
      <c r="E184" s="226"/>
      <c r="F184" s="227" t="s">
        <v>82</v>
      </c>
      <c r="G184" s="228" t="s">
        <v>82</v>
      </c>
      <c r="H184" s="228"/>
      <c r="I184" s="223" t="b">
        <v>1</v>
      </c>
      <c r="J184" s="229" t="b">
        <v>0</v>
      </c>
      <c r="K184" s="229" t="b">
        <v>1</v>
      </c>
      <c r="L184" s="229" t="s">
        <v>2167</v>
      </c>
      <c r="M184" s="229" t="s">
        <v>462</v>
      </c>
      <c r="N184" s="230" t="str">
        <f>IF(ISERROR(MATCH(A184,MemMap!$A$4:$A$98,0)) = FALSE, INDEX(MemMap!$B$4:$B$98,MATCH(A184,MemMap!$A$4:$A$98,0)),IF(F184="Y","TunSetCalSeg",IF(G184="Y", "FlashCalSeg", IF(G184="N", "FlashAppSeg", ""))))</f>
        <v>FlashAppSeg</v>
      </c>
      <c r="O184" s="220"/>
      <c r="P184" s="220"/>
      <c r="Q184" s="221"/>
      <c r="R184" s="221"/>
    </row>
    <row r="185" spans="1:18" x14ac:dyDescent="0.2">
      <c r="A185" s="224" t="s">
        <v>632</v>
      </c>
      <c r="B185" s="225"/>
      <c r="C185" s="226" t="s">
        <v>630</v>
      </c>
      <c r="D185" s="226" t="s">
        <v>1737</v>
      </c>
      <c r="E185" s="226"/>
      <c r="F185" s="227" t="s">
        <v>82</v>
      </c>
      <c r="G185" s="228" t="s">
        <v>82</v>
      </c>
      <c r="H185" s="228"/>
      <c r="I185" s="223">
        <v>5000</v>
      </c>
      <c r="J185" s="229">
        <v>0</v>
      </c>
      <c r="K185" s="229">
        <v>65000</v>
      </c>
      <c r="L185" s="229" t="s">
        <v>269</v>
      </c>
      <c r="M185" s="229" t="s">
        <v>263</v>
      </c>
      <c r="N185" s="230" t="str">
        <f>IF(ISERROR(MATCH(A185,MemMap!$A$4:$A$98,0)) = FALSE, INDEX(MemMap!$B$4:$B$98,MATCH(A185,MemMap!$A$4:$A$98,0)),IF(F185="Y","TunSetCalSeg",IF(G185="Y", "FlashCalSeg", IF(G185="N", "FlashAppSeg", ""))))</f>
        <v>FlashAppSeg</v>
      </c>
      <c r="O185" s="220"/>
      <c r="P185" s="220"/>
      <c r="Q185" s="221"/>
      <c r="R185" s="221"/>
    </row>
    <row r="186" spans="1:18" x14ac:dyDescent="0.2">
      <c r="A186" s="224" t="s">
        <v>631</v>
      </c>
      <c r="B186" s="225"/>
      <c r="C186" s="226" t="s">
        <v>630</v>
      </c>
      <c r="D186" s="226" t="s">
        <v>1737</v>
      </c>
      <c r="E186" s="226"/>
      <c r="F186" s="227" t="s">
        <v>82</v>
      </c>
      <c r="G186" s="228" t="s">
        <v>82</v>
      </c>
      <c r="H186" s="228"/>
      <c r="I186" s="223">
        <v>5000</v>
      </c>
      <c r="J186" s="229">
        <v>0</v>
      </c>
      <c r="K186" s="229">
        <v>65000</v>
      </c>
      <c r="L186" s="229" t="s">
        <v>269</v>
      </c>
      <c r="M186" s="229" t="s">
        <v>263</v>
      </c>
      <c r="N186" s="230" t="str">
        <f>IF(ISERROR(MATCH(A186,MemMap!$A$4:$A$98,0)) = FALSE, INDEX(MemMap!$B$4:$B$98,MATCH(A186,MemMap!$A$4:$A$98,0)),IF(F186="Y","TunSetCalSeg",IF(G186="Y", "FlashCalSeg", IF(G186="N", "FlashAppSeg", ""))))</f>
        <v>FlashAppSeg</v>
      </c>
      <c r="O186" s="220"/>
      <c r="P186" s="220"/>
      <c r="Q186" s="221"/>
      <c r="R186" s="221"/>
    </row>
    <row r="187" spans="1:18" x14ac:dyDescent="0.2">
      <c r="A187" s="224" t="s">
        <v>629</v>
      </c>
      <c r="B187" s="225"/>
      <c r="C187" s="226" t="s">
        <v>630</v>
      </c>
      <c r="D187" s="226" t="s">
        <v>1737</v>
      </c>
      <c r="E187" s="226"/>
      <c r="F187" s="227" t="s">
        <v>82</v>
      </c>
      <c r="G187" s="228" t="s">
        <v>82</v>
      </c>
      <c r="H187" s="228"/>
      <c r="I187" s="223">
        <v>2</v>
      </c>
      <c r="J187" s="229">
        <v>0</v>
      </c>
      <c r="K187" s="229">
        <v>1440.11</v>
      </c>
      <c r="L187" s="229" t="s">
        <v>264</v>
      </c>
      <c r="M187" s="229" t="s">
        <v>257</v>
      </c>
      <c r="N187" s="230" t="str">
        <f>IF(ISERROR(MATCH(A187,MemMap!$A$4:$A$98,0)) = FALSE, INDEX(MemMap!$B$4:$B$98,MATCH(A187,MemMap!$A$4:$A$98,0)),IF(F187="Y","TunSetCalSeg",IF(G187="Y", "FlashCalSeg", IF(G187="N", "FlashAppSeg", ""))))</f>
        <v>FlashAppSeg</v>
      </c>
      <c r="O187" s="220"/>
      <c r="P187" s="220"/>
      <c r="Q187" s="221"/>
      <c r="R187" s="221"/>
    </row>
    <row r="188" spans="1:18" x14ac:dyDescent="0.2">
      <c r="A188" s="224" t="s">
        <v>3090</v>
      </c>
      <c r="B188" s="225"/>
      <c r="C188" s="226" t="s">
        <v>630</v>
      </c>
      <c r="D188" s="226" t="s">
        <v>1737</v>
      </c>
      <c r="E188" s="226"/>
      <c r="F188" s="227" t="s">
        <v>82</v>
      </c>
      <c r="G188" s="228" t="s">
        <v>82</v>
      </c>
      <c r="H188" s="228"/>
      <c r="I188" s="223" t="b">
        <v>1</v>
      </c>
      <c r="J188" s="229" t="b">
        <v>0</v>
      </c>
      <c r="K188" s="229" t="b">
        <v>1</v>
      </c>
      <c r="L188" s="229" t="s">
        <v>2167</v>
      </c>
      <c r="M188" s="229" t="s">
        <v>462</v>
      </c>
      <c r="N188" s="230" t="str">
        <f>IF(ISERROR(MATCH(A188,MemMap!$A$4:$A$98,0)) = FALSE, INDEX(MemMap!$B$4:$B$98,MATCH(A188,MemMap!$A$4:$A$98,0)),IF(F188="Y","TunSetCalSeg",IF(G188="Y", "FlashCalSeg", IF(G188="N", "FlashAppSeg", ""))))</f>
        <v>FlashAppSeg</v>
      </c>
      <c r="O188" s="220"/>
      <c r="P188" s="220"/>
      <c r="Q188" s="221"/>
      <c r="R188" s="221"/>
    </row>
    <row r="189" spans="1:18" x14ac:dyDescent="0.2">
      <c r="A189" s="224" t="s">
        <v>3091</v>
      </c>
      <c r="B189" s="225"/>
      <c r="C189" s="226" t="s">
        <v>630</v>
      </c>
      <c r="D189" s="226" t="s">
        <v>1737</v>
      </c>
      <c r="E189" s="226"/>
      <c r="F189" s="227" t="s">
        <v>82</v>
      </c>
      <c r="G189" s="228" t="s">
        <v>82</v>
      </c>
      <c r="H189" s="228"/>
      <c r="I189" s="223">
        <v>0</v>
      </c>
      <c r="J189" s="229">
        <v>0</v>
      </c>
      <c r="K189" s="229">
        <v>511</v>
      </c>
      <c r="L189" s="229" t="s">
        <v>260</v>
      </c>
      <c r="M189" s="229" t="s">
        <v>257</v>
      </c>
      <c r="N189" s="230" t="str">
        <f>IF(ISERROR(MATCH(A189,MemMap!$A$4:$A$98,0)) = FALSE, INDEX(MemMap!$B$4:$B$98,MATCH(A189,MemMap!$A$4:$A$98,0)),IF(F189="Y","TunSetCalSeg",IF(G189="Y", "FlashCalSeg", IF(G189="N", "FlashAppSeg", ""))))</f>
        <v>FlashAppSeg</v>
      </c>
      <c r="O189" s="220"/>
      <c r="P189" s="220"/>
      <c r="Q189" s="221"/>
      <c r="R189" s="221"/>
    </row>
    <row r="190" spans="1:18" x14ac:dyDescent="0.2">
      <c r="A190" s="224" t="s">
        <v>935</v>
      </c>
      <c r="B190" s="225"/>
      <c r="C190" s="226" t="s">
        <v>2510</v>
      </c>
      <c r="D190" s="226" t="s">
        <v>2511</v>
      </c>
      <c r="E190" s="226" t="s">
        <v>936</v>
      </c>
      <c r="F190" s="227" t="s">
        <v>82</v>
      </c>
      <c r="G190" s="228" t="s">
        <v>82</v>
      </c>
      <c r="H190" s="228"/>
      <c r="I190" s="223" t="s">
        <v>937</v>
      </c>
      <c r="J190" s="229">
        <v>0</v>
      </c>
      <c r="K190" s="229">
        <v>255</v>
      </c>
      <c r="L190" s="229" t="s">
        <v>387</v>
      </c>
      <c r="M190" s="229" t="s">
        <v>938</v>
      </c>
      <c r="N190" s="230" t="str">
        <f>IF(ISERROR(MATCH(A190,MemMap!$A$4:$A$98,0)) = FALSE, INDEX(MemMap!$B$4:$B$98,MATCH(A190,MemMap!$A$4:$A$98,0)),IF(F190="Y","TunSetCalSeg",IF(G190="Y", "FlashCalSeg", IF(G190="N", "FlashAppSeg", ""))))</f>
        <v>FlashAppSeg</v>
      </c>
      <c r="O190" s="220"/>
      <c r="P190" s="220"/>
      <c r="Q190" s="221"/>
      <c r="R190" s="221"/>
    </row>
    <row r="191" spans="1:18" ht="22.5" x14ac:dyDescent="0.2">
      <c r="A191" s="224" t="s">
        <v>1753</v>
      </c>
      <c r="B191" s="225"/>
      <c r="C191" s="226" t="s">
        <v>2510</v>
      </c>
      <c r="D191" s="226" t="s">
        <v>2511</v>
      </c>
      <c r="E191" s="226" t="s">
        <v>1754</v>
      </c>
      <c r="F191" s="227" t="s">
        <v>82</v>
      </c>
      <c r="G191" s="228" t="s">
        <v>82</v>
      </c>
      <c r="H191" s="228"/>
      <c r="I191" s="223">
        <v>1</v>
      </c>
      <c r="J191" s="229">
        <v>0</v>
      </c>
      <c r="K191" s="229">
        <v>8.8000000000000007</v>
      </c>
      <c r="L191" s="229" t="s">
        <v>261</v>
      </c>
      <c r="M191" s="229" t="s">
        <v>257</v>
      </c>
      <c r="N191" s="230" t="str">
        <f>IF(ISERROR(MATCH(A191,MemMap!$A$4:$A$98,0)) = FALSE, INDEX(MemMap!$B$4:$B$98,MATCH(A191,MemMap!$A$4:$A$98,0)),IF(F191="Y","TunSetCalSeg",IF(G191="Y", "FlashCalSeg", IF(G191="N", "FlashAppSeg", ""))))</f>
        <v>FlashAppSeg</v>
      </c>
      <c r="O191" s="220"/>
      <c r="P191" s="220"/>
      <c r="Q191" s="221"/>
      <c r="R191" s="221"/>
    </row>
    <row r="192" spans="1:18" x14ac:dyDescent="0.2">
      <c r="A192" s="224" t="s">
        <v>1755</v>
      </c>
      <c r="B192" s="225"/>
      <c r="C192" s="226" t="s">
        <v>2510</v>
      </c>
      <c r="D192" s="226" t="s">
        <v>2511</v>
      </c>
      <c r="E192" s="226" t="s">
        <v>1756</v>
      </c>
      <c r="F192" s="227" t="s">
        <v>82</v>
      </c>
      <c r="G192" s="228" t="s">
        <v>82</v>
      </c>
      <c r="H192" s="228"/>
      <c r="I192" s="223">
        <v>10</v>
      </c>
      <c r="J192" s="229">
        <v>0</v>
      </c>
      <c r="K192" s="229">
        <v>255</v>
      </c>
      <c r="L192" s="229" t="s">
        <v>296</v>
      </c>
      <c r="M192" s="229" t="s">
        <v>257</v>
      </c>
      <c r="N192" s="230" t="str">
        <f>IF(ISERROR(MATCH(A192,MemMap!$A$4:$A$98,0)) = FALSE, INDEX(MemMap!$B$4:$B$98,MATCH(A192,MemMap!$A$4:$A$98,0)),IF(F192="Y","TunSetCalSeg",IF(G192="Y", "FlashCalSeg", IF(G192="N", "FlashAppSeg", ""))))</f>
        <v>FlashAppSeg</v>
      </c>
      <c r="O192" s="220"/>
      <c r="P192" s="220"/>
      <c r="Q192" s="221"/>
      <c r="R192" s="221"/>
    </row>
    <row r="193" spans="1:18" ht="22.5" x14ac:dyDescent="0.2">
      <c r="A193" s="224" t="s">
        <v>1951</v>
      </c>
      <c r="B193" s="225" t="s">
        <v>1946</v>
      </c>
      <c r="C193" s="226" t="s">
        <v>1948</v>
      </c>
      <c r="D193" s="226" t="s">
        <v>1953</v>
      </c>
      <c r="E193" s="226"/>
      <c r="F193" s="227" t="s">
        <v>82</v>
      </c>
      <c r="G193" s="228" t="s">
        <v>82</v>
      </c>
      <c r="H193" s="228"/>
      <c r="I193" s="223" t="s">
        <v>1736</v>
      </c>
      <c r="J193" s="229">
        <v>0</v>
      </c>
      <c r="K193" s="229">
        <v>128</v>
      </c>
      <c r="L193" s="229" t="s">
        <v>1949</v>
      </c>
      <c r="M193" s="229" t="s">
        <v>253</v>
      </c>
      <c r="N193" s="230" t="str">
        <f>IF(ISERROR(MATCH(A193,MemMap!$A$4:$A$98,0)) = FALSE, INDEX(MemMap!$B$4:$B$98,MATCH(A193,MemMap!$A$4:$A$98,0)),IF(F193="Y","TunSetCalSeg",IF(G193="Y", "FlashCalSeg", IF(G193="N", "FlashAppSeg", ""))))</f>
        <v>FlashAppSeg</v>
      </c>
      <c r="O193" s="220"/>
      <c r="P193" s="220"/>
      <c r="Q193" s="221"/>
      <c r="R193" s="221"/>
    </row>
    <row r="194" spans="1:18" ht="22.5" x14ac:dyDescent="0.2">
      <c r="A194" s="224" t="s">
        <v>1952</v>
      </c>
      <c r="B194" s="225" t="s">
        <v>1947</v>
      </c>
      <c r="C194" s="226" t="s">
        <v>1948</v>
      </c>
      <c r="D194" s="226" t="s">
        <v>1953</v>
      </c>
      <c r="E194" s="226"/>
      <c r="F194" s="227" t="s">
        <v>82</v>
      </c>
      <c r="G194" s="228" t="s">
        <v>82</v>
      </c>
      <c r="H194" s="228"/>
      <c r="I194" s="223" t="s">
        <v>1950</v>
      </c>
      <c r="J194" s="229">
        <v>0</v>
      </c>
      <c r="K194" s="229">
        <v>8.8000000000000007</v>
      </c>
      <c r="L194" s="229" t="s">
        <v>252</v>
      </c>
      <c r="M194" s="229" t="s">
        <v>377</v>
      </c>
      <c r="N194" s="230" t="str">
        <f>IF(ISERROR(MATCH(A194,MemMap!$A$4:$A$98,0)) = FALSE, INDEX(MemMap!$B$4:$B$98,MATCH(A194,MemMap!$A$4:$A$98,0)),IF(F194="Y","TunSetCalSeg",IF(G194="Y", "FlashCalSeg", IF(G194="N", "FlashAppSeg", ""))))</f>
        <v>FlashAppSeg</v>
      </c>
      <c r="O194" s="220"/>
      <c r="P194" s="220"/>
      <c r="Q194" s="221"/>
      <c r="R194" s="221"/>
    </row>
    <row r="195" spans="1:18" ht="45" x14ac:dyDescent="0.2">
      <c r="A195" s="224" t="s">
        <v>2027</v>
      </c>
      <c r="B195" s="225" t="s">
        <v>2028</v>
      </c>
      <c r="C195" s="226" t="s">
        <v>636</v>
      </c>
      <c r="D195" s="226" t="s">
        <v>197</v>
      </c>
      <c r="E195" s="226" t="s">
        <v>2029</v>
      </c>
      <c r="F195" s="227" t="s">
        <v>82</v>
      </c>
      <c r="G195" s="228" t="s">
        <v>82</v>
      </c>
      <c r="H195" s="228"/>
      <c r="I195" s="223" t="b">
        <v>0</v>
      </c>
      <c r="J195" s="229" t="b">
        <v>0</v>
      </c>
      <c r="K195" s="229" t="b">
        <v>1</v>
      </c>
      <c r="L195" s="229" t="s">
        <v>267</v>
      </c>
      <c r="M195" s="229" t="s">
        <v>462</v>
      </c>
      <c r="N195" s="230" t="str">
        <f>IF(ISERROR(MATCH(A195,MemMap!$A$4:$A$98,0)) = FALSE, INDEX(MemMap!$B$4:$B$98,MATCH(A195,MemMap!$A$4:$A$98,0)),IF(F195="Y","TunSetCalSeg",IF(G195="Y", "FlashCalSeg", IF(G195="N", "FlashAppSeg", ""))))</f>
        <v>FlashAppSeg</v>
      </c>
      <c r="O195" s="220"/>
      <c r="P195" s="221"/>
      <c r="Q195" s="221"/>
      <c r="R195" s="221"/>
    </row>
    <row r="196" spans="1:18" ht="33.75" x14ac:dyDescent="0.2">
      <c r="A196" s="224" t="s">
        <v>2024</v>
      </c>
      <c r="B196" s="225" t="s">
        <v>2025</v>
      </c>
      <c r="C196" s="226" t="s">
        <v>636</v>
      </c>
      <c r="D196" s="226" t="s">
        <v>197</v>
      </c>
      <c r="E196" s="226" t="s">
        <v>2026</v>
      </c>
      <c r="F196" s="227" t="s">
        <v>82</v>
      </c>
      <c r="G196" s="228" t="s">
        <v>82</v>
      </c>
      <c r="H196" s="228"/>
      <c r="I196" s="223">
        <v>-30</v>
      </c>
      <c r="J196" s="229">
        <v>-150</v>
      </c>
      <c r="K196" s="229">
        <v>150</v>
      </c>
      <c r="L196" s="229" t="s">
        <v>519</v>
      </c>
      <c r="M196" s="229" t="s">
        <v>257</v>
      </c>
      <c r="N196" s="230" t="str">
        <f>IF(ISERROR(MATCH(A196,MemMap!$A$4:$A$98,0)) = FALSE, INDEX(MemMap!$B$4:$B$98,MATCH(A196,MemMap!$A$4:$A$98,0)),IF(F196="Y","TunSetCalSeg",IF(G196="Y", "FlashCalSeg", IF(G196="N", "FlashAppSeg", ""))))</f>
        <v>FlashAppSeg</v>
      </c>
      <c r="O196" s="220"/>
      <c r="P196" s="220"/>
      <c r="Q196" s="221"/>
      <c r="R196" s="221"/>
    </row>
    <row r="197" spans="1:18" ht="33.75" x14ac:dyDescent="0.2">
      <c r="A197" s="224" t="s">
        <v>641</v>
      </c>
      <c r="B197" s="225"/>
      <c r="C197" s="226" t="s">
        <v>636</v>
      </c>
      <c r="D197" s="226" t="s">
        <v>197</v>
      </c>
      <c r="E197" s="226"/>
      <c r="F197" s="227" t="s">
        <v>82</v>
      </c>
      <c r="G197" s="228" t="s">
        <v>82</v>
      </c>
      <c r="H197" s="228"/>
      <c r="I197" s="223" t="s">
        <v>642</v>
      </c>
      <c r="J197" s="229"/>
      <c r="K197" s="229"/>
      <c r="L197" s="229"/>
      <c r="M197" s="229" t="s">
        <v>565</v>
      </c>
      <c r="N197" s="230" t="str">
        <f>IF(ISERROR(MATCH(A197,MemMap!$A$4:$A$98,0)) = FALSE, INDEX(MemMap!$B$4:$B$98,MATCH(A197,MemMap!$A$4:$A$98,0)),IF(F197="Y","TunSetCalSeg",IF(G197="Y", "FlashCalSeg", IF(G197="N", "FlashAppSeg", ""))))</f>
        <v>FlashAppSeg</v>
      </c>
      <c r="O197" s="220"/>
      <c r="P197" s="220"/>
      <c r="Q197" s="221"/>
      <c r="R197" s="221"/>
    </row>
    <row r="198" spans="1:18" ht="33.75" x14ac:dyDescent="0.2">
      <c r="A198" s="224" t="s">
        <v>2021</v>
      </c>
      <c r="B198" s="225" t="s">
        <v>2022</v>
      </c>
      <c r="C198" s="226" t="s">
        <v>636</v>
      </c>
      <c r="D198" s="226" t="s">
        <v>197</v>
      </c>
      <c r="E198" s="226" t="s">
        <v>2023</v>
      </c>
      <c r="F198" s="227" t="s">
        <v>82</v>
      </c>
      <c r="G198" s="228" t="s">
        <v>82</v>
      </c>
      <c r="H198" s="228"/>
      <c r="I198" s="223">
        <v>1</v>
      </c>
      <c r="J198" s="229">
        <v>0</v>
      </c>
      <c r="K198" s="229">
        <v>255</v>
      </c>
      <c r="L198" s="229" t="s">
        <v>267</v>
      </c>
      <c r="M198" s="229" t="s">
        <v>263</v>
      </c>
      <c r="N198" s="230" t="str">
        <f>IF(ISERROR(MATCH(A198,MemMap!$A$4:$A$98,0)) = FALSE, INDEX(MemMap!$B$4:$B$98,MATCH(A198,MemMap!$A$4:$A$98,0)),IF(F198="Y","TunSetCalSeg",IF(G198="Y", "FlashCalSeg", IF(G198="N", "FlashAppSeg", ""))))</f>
        <v>FlashAppSeg</v>
      </c>
      <c r="O198" s="220"/>
      <c r="P198" s="220"/>
      <c r="Q198" s="221"/>
      <c r="R198" s="221"/>
    </row>
    <row r="199" spans="1:18" ht="33.75" x14ac:dyDescent="0.2">
      <c r="A199" s="224" t="s">
        <v>2018</v>
      </c>
      <c r="B199" s="225" t="s">
        <v>2019</v>
      </c>
      <c r="C199" s="226" t="s">
        <v>636</v>
      </c>
      <c r="D199" s="226" t="s">
        <v>197</v>
      </c>
      <c r="E199" s="226" t="s">
        <v>2020</v>
      </c>
      <c r="F199" s="227" t="s">
        <v>82</v>
      </c>
      <c r="G199" s="228" t="s">
        <v>82</v>
      </c>
      <c r="H199" s="228"/>
      <c r="I199" s="223">
        <v>2</v>
      </c>
      <c r="J199" s="229">
        <v>0</v>
      </c>
      <c r="K199" s="229">
        <v>255</v>
      </c>
      <c r="L199" s="229" t="s">
        <v>267</v>
      </c>
      <c r="M199" s="229" t="s">
        <v>263</v>
      </c>
      <c r="N199" s="230" t="str">
        <f>IF(ISERROR(MATCH(A199,MemMap!$A$4:$A$98,0)) = FALSE, INDEX(MemMap!$B$4:$B$98,MATCH(A199,MemMap!$A$4:$A$98,0)),IF(F199="Y","TunSetCalSeg",IF(G199="Y", "FlashCalSeg", IF(G199="N", "FlashAppSeg", ""))))</f>
        <v>FlashAppSeg</v>
      </c>
      <c r="O199" s="220"/>
      <c r="P199" s="220"/>
      <c r="Q199" s="221"/>
      <c r="R199" s="221"/>
    </row>
    <row r="200" spans="1:18" ht="45" x14ac:dyDescent="0.2">
      <c r="A200" s="224" t="s">
        <v>643</v>
      </c>
      <c r="B200" s="225" t="s">
        <v>1979</v>
      </c>
      <c r="C200" s="226" t="s">
        <v>636</v>
      </c>
      <c r="D200" s="226" t="s">
        <v>197</v>
      </c>
      <c r="E200" s="226" t="s">
        <v>1980</v>
      </c>
      <c r="F200" s="227" t="s">
        <v>82</v>
      </c>
      <c r="G200" s="228" t="s">
        <v>82</v>
      </c>
      <c r="H200" s="228"/>
      <c r="I200" s="223">
        <v>40</v>
      </c>
      <c r="J200" s="229">
        <v>0</v>
      </c>
      <c r="K200" s="229">
        <v>255</v>
      </c>
      <c r="L200" s="229" t="s">
        <v>267</v>
      </c>
      <c r="M200" s="229" t="s">
        <v>263</v>
      </c>
      <c r="N200" s="230" t="str">
        <f>IF(ISERROR(MATCH(A200,MemMap!$A$4:$A$98,0)) = FALSE, INDEX(MemMap!$B$4:$B$98,MATCH(A200,MemMap!$A$4:$A$98,0)),IF(F200="Y","TunSetCalSeg",IF(G200="Y", "FlashCalSeg", IF(G200="N", "FlashAppSeg", ""))))</f>
        <v>FlashAppSeg</v>
      </c>
      <c r="O200" s="220"/>
      <c r="P200" s="220"/>
      <c r="Q200" s="221"/>
      <c r="R200" s="221"/>
    </row>
    <row r="201" spans="1:18" ht="45" x14ac:dyDescent="0.2">
      <c r="A201" s="224" t="s">
        <v>645</v>
      </c>
      <c r="B201" s="225" t="s">
        <v>1983</v>
      </c>
      <c r="C201" s="226" t="s">
        <v>636</v>
      </c>
      <c r="D201" s="226" t="s">
        <v>197</v>
      </c>
      <c r="E201" s="226" t="s">
        <v>1984</v>
      </c>
      <c r="F201" s="227" t="s">
        <v>82</v>
      </c>
      <c r="G201" s="228" t="s">
        <v>82</v>
      </c>
      <c r="H201" s="228"/>
      <c r="I201" s="223">
        <v>150</v>
      </c>
      <c r="J201" s="229">
        <v>-40</v>
      </c>
      <c r="K201" s="229">
        <v>150</v>
      </c>
      <c r="L201" s="229" t="s">
        <v>267</v>
      </c>
      <c r="M201" s="229" t="s">
        <v>257</v>
      </c>
      <c r="N201" s="230" t="str">
        <f>IF(ISERROR(MATCH(A201,MemMap!$A$4:$A$98,0)) = FALSE, INDEX(MemMap!$B$4:$B$98,MATCH(A201,MemMap!$A$4:$A$98,0)),IF(F201="Y","TunSetCalSeg",IF(G201="Y", "FlashCalSeg", IF(G201="N", "FlashAppSeg", ""))))</f>
        <v>FlashAppSeg</v>
      </c>
      <c r="O201" s="220"/>
      <c r="P201" s="220"/>
      <c r="Q201" s="221"/>
      <c r="R201" s="221"/>
    </row>
    <row r="202" spans="1:18" ht="45" x14ac:dyDescent="0.2">
      <c r="A202" s="224" t="s">
        <v>644</v>
      </c>
      <c r="B202" s="225" t="s">
        <v>1981</v>
      </c>
      <c r="C202" s="226" t="s">
        <v>636</v>
      </c>
      <c r="D202" s="226" t="s">
        <v>197</v>
      </c>
      <c r="E202" s="226" t="s">
        <v>1982</v>
      </c>
      <c r="F202" s="227" t="s">
        <v>82</v>
      </c>
      <c r="G202" s="228" t="s">
        <v>82</v>
      </c>
      <c r="H202" s="228"/>
      <c r="I202" s="223">
        <v>-40</v>
      </c>
      <c r="J202" s="229">
        <v>-40</v>
      </c>
      <c r="K202" s="229">
        <v>150</v>
      </c>
      <c r="L202" s="229" t="s">
        <v>267</v>
      </c>
      <c r="M202" s="229" t="s">
        <v>257</v>
      </c>
      <c r="N202" s="230" t="str">
        <f>IF(ISERROR(MATCH(A202,MemMap!$A$4:$A$98,0)) = FALSE, INDEX(MemMap!$B$4:$B$98,MATCH(A202,MemMap!$A$4:$A$98,0)),IF(F202="Y","TunSetCalSeg",IF(G202="Y", "FlashCalSeg", IF(G202="N", "FlashAppSeg", ""))))</f>
        <v>FlashAppSeg</v>
      </c>
      <c r="O202" s="220"/>
      <c r="P202" s="220"/>
      <c r="Q202" s="221"/>
      <c r="R202" s="221"/>
    </row>
    <row r="203" spans="1:18" ht="33.75" x14ac:dyDescent="0.2">
      <c r="A203" s="224" t="s">
        <v>640</v>
      </c>
      <c r="B203" s="225" t="s">
        <v>1977</v>
      </c>
      <c r="C203" s="226" t="s">
        <v>636</v>
      </c>
      <c r="D203" s="226" t="s">
        <v>197</v>
      </c>
      <c r="E203" s="226" t="s">
        <v>1978</v>
      </c>
      <c r="F203" s="227" t="s">
        <v>82</v>
      </c>
      <c r="G203" s="228" t="s">
        <v>82</v>
      </c>
      <c r="H203" s="228"/>
      <c r="I203" s="223">
        <v>60</v>
      </c>
      <c r="J203" s="229">
        <v>-40</v>
      </c>
      <c r="K203" s="229">
        <v>150</v>
      </c>
      <c r="L203" s="229" t="s">
        <v>519</v>
      </c>
      <c r="M203" s="229" t="s">
        <v>257</v>
      </c>
      <c r="N203" s="230" t="str">
        <f>IF(ISERROR(MATCH(A203,MemMap!$A$4:$A$98,0)) = FALSE, INDEX(MemMap!$B$4:$B$98,MATCH(A203,MemMap!$A$4:$A$98,0)),IF(F203="Y","TunSetCalSeg",IF(G203="Y", "FlashCalSeg", IF(G203="N", "FlashAppSeg", ""))))</f>
        <v>FlashAppSeg</v>
      </c>
      <c r="O203" s="220"/>
      <c r="P203" s="220"/>
      <c r="Q203" s="221"/>
      <c r="R203" s="221"/>
    </row>
    <row r="204" spans="1:18" ht="45" x14ac:dyDescent="0.2">
      <c r="A204" s="224" t="s">
        <v>635</v>
      </c>
      <c r="B204" s="225" t="s">
        <v>1973</v>
      </c>
      <c r="C204" s="226" t="s">
        <v>636</v>
      </c>
      <c r="D204" s="226" t="s">
        <v>197</v>
      </c>
      <c r="E204" s="226" t="s">
        <v>1974</v>
      </c>
      <c r="F204" s="227" t="s">
        <v>82</v>
      </c>
      <c r="G204" s="228" t="s">
        <v>82</v>
      </c>
      <c r="H204" s="228"/>
      <c r="I204" s="223" t="b">
        <v>0</v>
      </c>
      <c r="J204" s="229" t="b">
        <v>0</v>
      </c>
      <c r="K204" s="229" t="b">
        <v>1</v>
      </c>
      <c r="L204" s="229" t="s">
        <v>637</v>
      </c>
      <c r="M204" s="229" t="s">
        <v>462</v>
      </c>
      <c r="N204" s="230" t="str">
        <f>IF(ISERROR(MATCH(A204,MemMap!$A$4:$A$98,0)) = FALSE, INDEX(MemMap!$B$4:$B$98,MATCH(A204,MemMap!$A$4:$A$98,0)),IF(F204="Y","TunSetCalSeg",IF(G204="Y", "FlashCalSeg", IF(G204="N", "FlashAppSeg", ""))))</f>
        <v>FlashAppSeg</v>
      </c>
      <c r="O204" s="220"/>
      <c r="P204" s="220"/>
      <c r="Q204" s="221"/>
      <c r="R204" s="221"/>
    </row>
    <row r="205" spans="1:18" ht="33.75" x14ac:dyDescent="0.2">
      <c r="A205" s="224" t="s">
        <v>639</v>
      </c>
      <c r="B205" s="225" t="s">
        <v>1975</v>
      </c>
      <c r="C205" s="226" t="s">
        <v>636</v>
      </c>
      <c r="D205" s="226" t="s">
        <v>197</v>
      </c>
      <c r="E205" s="226" t="s">
        <v>1976</v>
      </c>
      <c r="F205" s="227" t="s">
        <v>82</v>
      </c>
      <c r="G205" s="228" t="s">
        <v>82</v>
      </c>
      <c r="H205" s="228"/>
      <c r="I205" s="223">
        <v>8</v>
      </c>
      <c r="J205" s="229">
        <v>0.01</v>
      </c>
      <c r="K205" s="229">
        <v>20</v>
      </c>
      <c r="L205" s="229" t="s">
        <v>258</v>
      </c>
      <c r="M205" s="229" t="s">
        <v>257</v>
      </c>
      <c r="N205" s="230" t="str">
        <f>IF(ISERROR(MATCH(A205,MemMap!$A$4:$A$98,0)) = FALSE, INDEX(MemMap!$B$4:$B$98,MATCH(A205,MemMap!$A$4:$A$98,0)),IF(F205="Y","TunSetCalSeg",IF(G205="Y", "FlashCalSeg", IF(G205="N", "FlashAppSeg", ""))))</f>
        <v>FlashAppSeg</v>
      </c>
      <c r="O205" s="220"/>
      <c r="P205" s="220"/>
      <c r="Q205" s="221"/>
      <c r="R205" s="221"/>
    </row>
    <row r="206" spans="1:18" ht="33.75" x14ac:dyDescent="0.2">
      <c r="A206" s="224" t="s">
        <v>646</v>
      </c>
      <c r="B206" s="225"/>
      <c r="C206" s="226" t="s">
        <v>636</v>
      </c>
      <c r="D206" s="226" t="s">
        <v>184</v>
      </c>
      <c r="E206" s="226"/>
      <c r="F206" s="227" t="s">
        <v>82</v>
      </c>
      <c r="G206" s="228" t="s">
        <v>82</v>
      </c>
      <c r="H206" s="228"/>
      <c r="I206" s="223">
        <v>0.5</v>
      </c>
      <c r="J206" s="229">
        <v>0</v>
      </c>
      <c r="K206" s="229">
        <v>1</v>
      </c>
      <c r="L206" s="229" t="s">
        <v>560</v>
      </c>
      <c r="M206" s="229" t="s">
        <v>257</v>
      </c>
      <c r="N206" s="230" t="str">
        <f>IF(ISERROR(MATCH(A206,MemMap!$A$4:$A$98,0)) = FALSE, INDEX(MemMap!$B$4:$B$98,MATCH(A206,MemMap!$A$4:$A$98,0)),IF(F206="Y","TunSetCalSeg",IF(G206="Y", "FlashCalSeg", IF(G206="N", "FlashAppSeg", ""))))</f>
        <v>FlashAppSeg</v>
      </c>
      <c r="O206" s="220"/>
      <c r="P206" s="220"/>
      <c r="Q206" s="221"/>
      <c r="R206" s="221"/>
    </row>
    <row r="207" spans="1:18" ht="33.75" x14ac:dyDescent="0.2">
      <c r="A207" s="224" t="s">
        <v>647</v>
      </c>
      <c r="B207" s="225"/>
      <c r="C207" s="226" t="s">
        <v>636</v>
      </c>
      <c r="D207" s="226" t="s">
        <v>184</v>
      </c>
      <c r="E207" s="226"/>
      <c r="F207" s="227" t="s">
        <v>82</v>
      </c>
      <c r="G207" s="228" t="s">
        <v>82</v>
      </c>
      <c r="H207" s="228"/>
      <c r="I207" s="223">
        <v>100</v>
      </c>
      <c r="J207" s="229">
        <v>0</v>
      </c>
      <c r="K207" s="229">
        <v>200</v>
      </c>
      <c r="L207" s="229" t="s">
        <v>648</v>
      </c>
      <c r="M207" s="229" t="s">
        <v>257</v>
      </c>
      <c r="N207" s="230" t="str">
        <f>IF(ISERROR(MATCH(A207,MemMap!$A$4:$A$98,0)) = FALSE, INDEX(MemMap!$B$4:$B$98,MATCH(A207,MemMap!$A$4:$A$98,0)),IF(F207="Y","TunSetCalSeg",IF(G207="Y", "FlashCalSeg", IF(G207="N", "FlashAppSeg", ""))))</f>
        <v>FlashAppSeg</v>
      </c>
      <c r="O207" s="220"/>
      <c r="P207" s="220"/>
      <c r="Q207" s="221"/>
      <c r="R207" s="221"/>
    </row>
    <row r="208" spans="1:18" x14ac:dyDescent="0.2">
      <c r="A208" s="224" t="s">
        <v>3268</v>
      </c>
      <c r="B208" s="225"/>
      <c r="C208" s="226" t="s">
        <v>2434</v>
      </c>
      <c r="D208" s="226" t="s">
        <v>220</v>
      </c>
      <c r="E208" s="226" t="s">
        <v>2468</v>
      </c>
      <c r="F208" s="227" t="s">
        <v>82</v>
      </c>
      <c r="G208" s="228" t="s">
        <v>81</v>
      </c>
      <c r="H208" s="228"/>
      <c r="I208" s="223">
        <v>50</v>
      </c>
      <c r="J208" s="229">
        <v>0</v>
      </c>
      <c r="K208" s="229">
        <v>65535</v>
      </c>
      <c r="L208" s="229" t="s">
        <v>592</v>
      </c>
      <c r="M208" s="229" t="s">
        <v>388</v>
      </c>
      <c r="N208" s="230" t="str">
        <f>IF(ISERROR(MATCH(A208,MemMap!$A$4:$A$98,0)) = FALSE, INDEX(MemMap!$B$4:$B$98,MATCH(A208,MemMap!$A$4:$A$98,0)),IF(F208="Y","TunSetCalSeg",IF(G208="Y", "FlashCalSeg", IF(G208="N", "FlashAppSeg", ""))))</f>
        <v>FlashCalSeg</v>
      </c>
      <c r="O208" s="220"/>
      <c r="P208" s="220"/>
      <c r="Q208" s="221"/>
      <c r="R208" s="221"/>
    </row>
    <row r="209" spans="1:18" ht="22.5" x14ac:dyDescent="0.2">
      <c r="A209" s="224" t="s">
        <v>3264</v>
      </c>
      <c r="B209" s="225"/>
      <c r="C209" s="226" t="s">
        <v>2434</v>
      </c>
      <c r="D209" s="226" t="s">
        <v>220</v>
      </c>
      <c r="E209" s="226" t="s">
        <v>585</v>
      </c>
      <c r="F209" s="227" t="s">
        <v>82</v>
      </c>
      <c r="G209" s="228" t="s">
        <v>81</v>
      </c>
      <c r="H209" s="228"/>
      <c r="I209" s="223">
        <v>18.5</v>
      </c>
      <c r="J209" s="229">
        <v>0</v>
      </c>
      <c r="K209" s="229">
        <v>31</v>
      </c>
      <c r="L209" s="229" t="s">
        <v>560</v>
      </c>
      <c r="M209" s="229" t="s">
        <v>587</v>
      </c>
      <c r="N209" s="230" t="str">
        <f>IF(ISERROR(MATCH(A209,MemMap!$A$4:$A$98,0)) = FALSE, INDEX(MemMap!$B$4:$B$98,MATCH(A209,MemMap!$A$4:$A$98,0)),IF(F209="Y","TunSetCalSeg",IF(G209="Y", "FlashCalSeg", IF(G209="N", "FlashAppSeg", ""))))</f>
        <v>FlashCalSeg</v>
      </c>
      <c r="O209" s="220"/>
      <c r="P209" s="220"/>
      <c r="Q209" s="221"/>
      <c r="R209" s="221"/>
    </row>
    <row r="210" spans="1:18" ht="22.5" x14ac:dyDescent="0.2">
      <c r="A210" s="224" t="s">
        <v>3269</v>
      </c>
      <c r="B210" s="225"/>
      <c r="C210" s="226" t="s">
        <v>2434</v>
      </c>
      <c r="D210" s="226" t="s">
        <v>220</v>
      </c>
      <c r="E210" s="226" t="s">
        <v>594</v>
      </c>
      <c r="F210" s="227" t="s">
        <v>82</v>
      </c>
      <c r="G210" s="228" t="s">
        <v>81</v>
      </c>
      <c r="H210" s="228"/>
      <c r="I210" s="223">
        <v>500</v>
      </c>
      <c r="J210" s="229">
        <v>0</v>
      </c>
      <c r="K210" s="229">
        <v>65535</v>
      </c>
      <c r="L210" s="229" t="s">
        <v>592</v>
      </c>
      <c r="M210" s="229" t="s">
        <v>388</v>
      </c>
      <c r="N210" s="230" t="str">
        <f>IF(ISERROR(MATCH(A210,MemMap!$A$4:$A$98,0)) = FALSE, INDEX(MemMap!$B$4:$B$98,MATCH(A210,MemMap!$A$4:$A$98,0)),IF(F210="Y","TunSetCalSeg",IF(G210="Y", "FlashCalSeg", IF(G210="N", "FlashAppSeg", ""))))</f>
        <v>FlashCalSeg</v>
      </c>
      <c r="O210" s="220"/>
      <c r="P210" s="220"/>
      <c r="Q210" s="221"/>
      <c r="R210" s="221"/>
    </row>
    <row r="211" spans="1:18" ht="22.5" x14ac:dyDescent="0.2">
      <c r="A211" s="224" t="s">
        <v>3265</v>
      </c>
      <c r="B211" s="225"/>
      <c r="C211" s="226" t="s">
        <v>2434</v>
      </c>
      <c r="D211" s="226" t="s">
        <v>220</v>
      </c>
      <c r="E211" s="226" t="s">
        <v>589</v>
      </c>
      <c r="F211" s="227" t="s">
        <v>82</v>
      </c>
      <c r="G211" s="228" t="s">
        <v>81</v>
      </c>
      <c r="H211" s="228"/>
      <c r="I211" s="223">
        <v>18</v>
      </c>
      <c r="J211" s="229">
        <v>0</v>
      </c>
      <c r="K211" s="229">
        <v>31</v>
      </c>
      <c r="L211" s="229" t="s">
        <v>560</v>
      </c>
      <c r="M211" s="229" t="s">
        <v>587</v>
      </c>
      <c r="N211" s="230" t="str">
        <f>IF(ISERROR(MATCH(A211,MemMap!$A$4:$A$98,0)) = FALSE, INDEX(MemMap!$B$4:$B$98,MATCH(A211,MemMap!$A$4:$A$98,0)),IF(F211="Y","TunSetCalSeg",IF(G211="Y", "FlashCalSeg", IF(G211="N", "FlashAppSeg", ""))))</f>
        <v>FlashCalSeg</v>
      </c>
      <c r="O211" s="220"/>
      <c r="P211" s="220"/>
      <c r="Q211" s="221"/>
      <c r="R211" s="221"/>
    </row>
    <row r="212" spans="1:18" ht="22.5" x14ac:dyDescent="0.2">
      <c r="A212" s="224" t="s">
        <v>3266</v>
      </c>
      <c r="B212" s="225"/>
      <c r="C212" s="226" t="s">
        <v>2434</v>
      </c>
      <c r="D212" s="226" t="s">
        <v>220</v>
      </c>
      <c r="E212" s="226" t="s">
        <v>600</v>
      </c>
      <c r="F212" s="227" t="s">
        <v>82</v>
      </c>
      <c r="G212" s="228" t="s">
        <v>81</v>
      </c>
      <c r="H212" s="228"/>
      <c r="I212" s="223">
        <v>50</v>
      </c>
      <c r="J212" s="229">
        <v>0</v>
      </c>
      <c r="K212" s="229">
        <v>65535</v>
      </c>
      <c r="L212" s="229" t="s">
        <v>592</v>
      </c>
      <c r="M212" s="229" t="s">
        <v>388</v>
      </c>
      <c r="N212" s="230" t="str">
        <f>IF(ISERROR(MATCH(A212,MemMap!$A$4:$A$98,0)) = FALSE, INDEX(MemMap!$B$4:$B$98,MATCH(A212,MemMap!$A$4:$A$98,0)),IF(F212="Y","TunSetCalSeg",IF(G212="Y", "FlashCalSeg", IF(G212="N", "FlashAppSeg", ""))))</f>
        <v>FlashCalSeg</v>
      </c>
      <c r="O212" s="220"/>
      <c r="P212" s="220"/>
      <c r="Q212" s="221"/>
      <c r="R212" s="221"/>
    </row>
    <row r="213" spans="1:18" ht="22.5" x14ac:dyDescent="0.2">
      <c r="A213" s="224" t="s">
        <v>3267</v>
      </c>
      <c r="B213" s="225"/>
      <c r="C213" s="226" t="s">
        <v>2434</v>
      </c>
      <c r="D213" s="226" t="s">
        <v>220</v>
      </c>
      <c r="E213" s="226" t="s">
        <v>602</v>
      </c>
      <c r="F213" s="227" t="s">
        <v>82</v>
      </c>
      <c r="G213" s="228" t="s">
        <v>81</v>
      </c>
      <c r="H213" s="228"/>
      <c r="I213" s="223">
        <v>500</v>
      </c>
      <c r="J213" s="229">
        <v>0</v>
      </c>
      <c r="K213" s="229">
        <v>65535</v>
      </c>
      <c r="L213" s="229" t="s">
        <v>592</v>
      </c>
      <c r="M213" s="229" t="s">
        <v>388</v>
      </c>
      <c r="N213" s="230" t="str">
        <f>IF(ISERROR(MATCH(A213,MemMap!$A$4:$A$98,0)) = FALSE, INDEX(MemMap!$B$4:$B$98,MATCH(A213,MemMap!$A$4:$A$98,0)),IF(F213="Y","TunSetCalSeg",IF(G213="Y", "FlashCalSeg", IF(G213="N", "FlashAppSeg", ""))))</f>
        <v>FlashCalSeg</v>
      </c>
      <c r="O213" s="220"/>
      <c r="P213" s="220"/>
      <c r="Q213" s="221"/>
      <c r="R213" s="221"/>
    </row>
    <row r="214" spans="1:18" x14ac:dyDescent="0.2">
      <c r="A214" s="224" t="s">
        <v>2473</v>
      </c>
      <c r="B214" s="225" t="s">
        <v>2473</v>
      </c>
      <c r="C214" s="226" t="s">
        <v>2434</v>
      </c>
      <c r="D214" s="226" t="s">
        <v>220</v>
      </c>
      <c r="E214" s="226" t="s">
        <v>2474</v>
      </c>
      <c r="F214" s="227" t="s">
        <v>82</v>
      </c>
      <c r="G214" s="228" t="s">
        <v>81</v>
      </c>
      <c r="H214" s="228"/>
      <c r="I214" s="223">
        <v>8</v>
      </c>
      <c r="J214" s="229">
        <v>0</v>
      </c>
      <c r="K214" s="229">
        <v>512</v>
      </c>
      <c r="L214" s="229" t="s">
        <v>260</v>
      </c>
      <c r="M214" s="229" t="s">
        <v>257</v>
      </c>
      <c r="N214" s="230" t="str">
        <f>IF(ISERROR(MATCH(A214,MemMap!$A$4:$A$98,0)) = FALSE, INDEX(MemMap!$B$4:$B$98,MATCH(A214,MemMap!$A$4:$A$98,0)),IF(F214="Y","TunSetCalSeg",IF(G214="Y", "FlashCalSeg", IF(G214="N", "FlashAppSeg", ""))))</f>
        <v>FlashCalSeg</v>
      </c>
      <c r="O214" s="220"/>
      <c r="P214" s="220"/>
      <c r="Q214" s="221"/>
      <c r="R214" s="221"/>
    </row>
    <row r="215" spans="1:18" x14ac:dyDescent="0.2">
      <c r="A215" s="224" t="s">
        <v>2475</v>
      </c>
      <c r="B215" s="225" t="s">
        <v>2475</v>
      </c>
      <c r="C215" s="226" t="s">
        <v>2434</v>
      </c>
      <c r="D215" s="226" t="s">
        <v>220</v>
      </c>
      <c r="E215" s="226" t="s">
        <v>2476</v>
      </c>
      <c r="F215" s="227" t="s">
        <v>82</v>
      </c>
      <c r="G215" s="228" t="s">
        <v>81</v>
      </c>
      <c r="H215" s="228"/>
      <c r="I215" s="223">
        <v>8</v>
      </c>
      <c r="J215" s="229">
        <v>0</v>
      </c>
      <c r="K215" s="229">
        <v>512</v>
      </c>
      <c r="L215" s="229" t="s">
        <v>260</v>
      </c>
      <c r="M215" s="229" t="s">
        <v>257</v>
      </c>
      <c r="N215" s="230" t="str">
        <f>IF(ISERROR(MATCH(A215,MemMap!$A$4:$A$98,0)) = FALSE, INDEX(MemMap!$B$4:$B$98,MATCH(A215,MemMap!$A$4:$A$98,0)),IF(F215="Y","TunSetCalSeg",IF(G215="Y", "FlashCalSeg", IF(G215="N", "FlashAppSeg", ""))))</f>
        <v>FlashCalSeg</v>
      </c>
      <c r="O215" s="220"/>
      <c r="P215" s="220"/>
      <c r="Q215" s="221"/>
      <c r="R215" s="221"/>
    </row>
    <row r="216" spans="1:18" x14ac:dyDescent="0.2">
      <c r="A216" s="224" t="s">
        <v>2477</v>
      </c>
      <c r="B216" s="225" t="s">
        <v>2477</v>
      </c>
      <c r="C216" s="226" t="s">
        <v>2434</v>
      </c>
      <c r="D216" s="226" t="s">
        <v>220</v>
      </c>
      <c r="E216" s="226" t="s">
        <v>2478</v>
      </c>
      <c r="F216" s="227" t="s">
        <v>82</v>
      </c>
      <c r="G216" s="228" t="s">
        <v>81</v>
      </c>
      <c r="H216" s="228"/>
      <c r="I216" s="223">
        <v>8</v>
      </c>
      <c r="J216" s="229">
        <v>0</v>
      </c>
      <c r="K216" s="229">
        <v>512</v>
      </c>
      <c r="L216" s="229" t="s">
        <v>260</v>
      </c>
      <c r="M216" s="229" t="s">
        <v>257</v>
      </c>
      <c r="N216" s="230" t="str">
        <f>IF(ISERROR(MATCH(A216,MemMap!$A$4:$A$98,0)) = FALSE, INDEX(MemMap!$B$4:$B$98,MATCH(A216,MemMap!$A$4:$A$98,0)),IF(F216="Y","TunSetCalSeg",IF(G216="Y", "FlashCalSeg", IF(G216="N", "FlashAppSeg", ""))))</f>
        <v>FlashCalSeg</v>
      </c>
      <c r="O216" s="220"/>
      <c r="P216" s="220"/>
      <c r="Q216" s="221"/>
      <c r="R216" s="221"/>
    </row>
    <row r="217" spans="1:18" ht="22.5" x14ac:dyDescent="0.2">
      <c r="A217" s="224" t="s">
        <v>2469</v>
      </c>
      <c r="B217" s="225" t="s">
        <v>2469</v>
      </c>
      <c r="C217" s="226" t="s">
        <v>2434</v>
      </c>
      <c r="D217" s="226" t="s">
        <v>220</v>
      </c>
      <c r="E217" s="226" t="s">
        <v>2470</v>
      </c>
      <c r="F217" s="227" t="s">
        <v>82</v>
      </c>
      <c r="G217" s="228" t="s">
        <v>81</v>
      </c>
      <c r="H217" s="228"/>
      <c r="I217" s="223">
        <v>1000</v>
      </c>
      <c r="J217" s="229">
        <v>0</v>
      </c>
      <c r="K217" s="229">
        <v>65535</v>
      </c>
      <c r="L217" s="229" t="s">
        <v>592</v>
      </c>
      <c r="M217" s="229" t="s">
        <v>388</v>
      </c>
      <c r="N217" s="230" t="str">
        <f>IF(ISERROR(MATCH(A217,MemMap!$A$4:$A$98,0)) = FALSE, INDEX(MemMap!$B$4:$B$98,MATCH(A217,MemMap!$A$4:$A$98,0)),IF(F217="Y","TunSetCalSeg",IF(G217="Y", "FlashCalSeg", IF(G217="N", "FlashAppSeg", ""))))</f>
        <v>FlashCalSeg</v>
      </c>
      <c r="O217" s="220"/>
      <c r="P217" s="220"/>
      <c r="Q217" s="221"/>
      <c r="R217" s="221"/>
    </row>
    <row r="218" spans="1:18" ht="22.5" x14ac:dyDescent="0.2">
      <c r="A218" s="224" t="s">
        <v>2471</v>
      </c>
      <c r="B218" s="225" t="s">
        <v>2471</v>
      </c>
      <c r="C218" s="226" t="s">
        <v>2434</v>
      </c>
      <c r="D218" s="226" t="s">
        <v>220</v>
      </c>
      <c r="E218" s="226" t="s">
        <v>2472</v>
      </c>
      <c r="F218" s="227" t="s">
        <v>82</v>
      </c>
      <c r="G218" s="228" t="s">
        <v>81</v>
      </c>
      <c r="H218" s="228"/>
      <c r="I218" s="223">
        <v>1000</v>
      </c>
      <c r="J218" s="229">
        <v>0</v>
      </c>
      <c r="K218" s="229">
        <v>65535</v>
      </c>
      <c r="L218" s="229" t="s">
        <v>592</v>
      </c>
      <c r="M218" s="229" t="s">
        <v>388</v>
      </c>
      <c r="N218" s="230" t="str">
        <f>IF(ISERROR(MATCH(A218,MemMap!$A$4:$A$98,0)) = FALSE, INDEX(MemMap!$B$4:$B$98,MATCH(A218,MemMap!$A$4:$A$98,0)),IF(F218="Y","TunSetCalSeg",IF(G218="Y", "FlashCalSeg", IF(G218="N", "FlashAppSeg", ""))))</f>
        <v>FlashCalSeg</v>
      </c>
      <c r="O218" s="220"/>
      <c r="P218" s="220"/>
      <c r="Q218" s="221"/>
      <c r="R218" s="221"/>
    </row>
    <row r="219" spans="1:18" ht="22.5" x14ac:dyDescent="0.2">
      <c r="A219" s="224" t="s">
        <v>2452</v>
      </c>
      <c r="B219" s="225" t="s">
        <v>2452</v>
      </c>
      <c r="C219" s="226" t="s">
        <v>2434</v>
      </c>
      <c r="D219" s="226" t="s">
        <v>220</v>
      </c>
      <c r="E219" s="226" t="s">
        <v>2453</v>
      </c>
      <c r="F219" s="227" t="s">
        <v>82</v>
      </c>
      <c r="G219" s="228" t="s">
        <v>81</v>
      </c>
      <c r="H219" s="228"/>
      <c r="I219" s="223">
        <v>500</v>
      </c>
      <c r="J219" s="229">
        <v>0</v>
      </c>
      <c r="K219" s="229">
        <v>65535</v>
      </c>
      <c r="L219" s="229" t="s">
        <v>592</v>
      </c>
      <c r="M219" s="229" t="s">
        <v>388</v>
      </c>
      <c r="N219" s="230" t="str">
        <f>IF(ISERROR(MATCH(A219,MemMap!$A$4:$A$98,0)) = FALSE, INDEX(MemMap!$B$4:$B$98,MATCH(A219,MemMap!$A$4:$A$98,0)),IF(F219="Y","TunSetCalSeg",IF(G219="Y", "FlashCalSeg", IF(G219="N", "FlashAppSeg", ""))))</f>
        <v>FlashCalSeg</v>
      </c>
      <c r="O219" s="220"/>
      <c r="P219" s="220"/>
      <c r="Q219" s="221"/>
      <c r="R219" s="221"/>
    </row>
    <row r="220" spans="1:18" ht="33.75" x14ac:dyDescent="0.2">
      <c r="A220" s="224" t="s">
        <v>2432</v>
      </c>
      <c r="B220" s="225" t="s">
        <v>2432</v>
      </c>
      <c r="C220" s="226" t="s">
        <v>2434</v>
      </c>
      <c r="D220" s="226" t="s">
        <v>220</v>
      </c>
      <c r="E220" s="226" t="s">
        <v>2433</v>
      </c>
      <c r="F220" s="227" t="s">
        <v>82</v>
      </c>
      <c r="G220" s="228" t="s">
        <v>81</v>
      </c>
      <c r="H220" s="228"/>
      <c r="I220" s="223">
        <v>8</v>
      </c>
      <c r="J220" s="229">
        <v>0</v>
      </c>
      <c r="K220" s="229">
        <v>31</v>
      </c>
      <c r="L220" s="229" t="s">
        <v>560</v>
      </c>
      <c r="M220" s="229" t="s">
        <v>587</v>
      </c>
      <c r="N220" s="230" t="str">
        <f>IF(ISERROR(MATCH(A220,MemMap!$A$4:$A$98,0)) = FALSE, INDEX(MemMap!$B$4:$B$98,MATCH(A220,MemMap!$A$4:$A$98,0)),IF(F220="Y","TunSetCalSeg",IF(G220="Y", "FlashCalSeg", IF(G220="N", "FlashAppSeg", ""))))</f>
        <v>FlashCalSeg</v>
      </c>
      <c r="O220" s="220"/>
      <c r="P220" s="220"/>
      <c r="Q220" s="221"/>
      <c r="R220" s="221"/>
    </row>
    <row r="221" spans="1:18" ht="22.5" x14ac:dyDescent="0.2">
      <c r="A221" s="224" t="s">
        <v>2454</v>
      </c>
      <c r="B221" s="225" t="s">
        <v>2454</v>
      </c>
      <c r="C221" s="226" t="s">
        <v>2434</v>
      </c>
      <c r="D221" s="226" t="s">
        <v>220</v>
      </c>
      <c r="E221" s="226" t="s">
        <v>2455</v>
      </c>
      <c r="F221" s="227" t="s">
        <v>82</v>
      </c>
      <c r="G221" s="228" t="s">
        <v>81</v>
      </c>
      <c r="H221" s="228"/>
      <c r="I221" s="223">
        <v>500</v>
      </c>
      <c r="J221" s="229">
        <v>0</v>
      </c>
      <c r="K221" s="229">
        <v>65535</v>
      </c>
      <c r="L221" s="229" t="s">
        <v>592</v>
      </c>
      <c r="M221" s="229" t="s">
        <v>388</v>
      </c>
      <c r="N221" s="230" t="str">
        <f>IF(ISERROR(MATCH(A221,MemMap!$A$4:$A$98,0)) = FALSE, INDEX(MemMap!$B$4:$B$98,MATCH(A221,MemMap!$A$4:$A$98,0)),IF(F221="Y","TunSetCalSeg",IF(G221="Y", "FlashCalSeg", IF(G221="N", "FlashAppSeg", ""))))</f>
        <v>FlashCalSeg</v>
      </c>
      <c r="O221" s="220"/>
      <c r="P221" s="220"/>
      <c r="Q221" s="221"/>
      <c r="R221" s="221"/>
    </row>
    <row r="222" spans="1:18" ht="33.75" x14ac:dyDescent="0.2">
      <c r="A222" s="224" t="s">
        <v>2435</v>
      </c>
      <c r="B222" s="225" t="s">
        <v>2435</v>
      </c>
      <c r="C222" s="226" t="s">
        <v>2434</v>
      </c>
      <c r="D222" s="226" t="s">
        <v>220</v>
      </c>
      <c r="E222" s="226" t="s">
        <v>2436</v>
      </c>
      <c r="F222" s="227" t="s">
        <v>82</v>
      </c>
      <c r="G222" s="228" t="s">
        <v>81</v>
      </c>
      <c r="H222" s="228"/>
      <c r="I222" s="223">
        <v>8.5</v>
      </c>
      <c r="J222" s="229">
        <v>0</v>
      </c>
      <c r="K222" s="229">
        <v>31</v>
      </c>
      <c r="L222" s="229" t="s">
        <v>560</v>
      </c>
      <c r="M222" s="229" t="s">
        <v>587</v>
      </c>
      <c r="N222" s="230" t="str">
        <f>IF(ISERROR(MATCH(A222,MemMap!$A$4:$A$98,0)) = FALSE, INDEX(MemMap!$B$4:$B$98,MATCH(A222,MemMap!$A$4:$A$98,0)),IF(F222="Y","TunSetCalSeg",IF(G222="Y", "FlashCalSeg", IF(G222="N", "FlashAppSeg", ""))))</f>
        <v>FlashCalSeg</v>
      </c>
      <c r="O222" s="220"/>
      <c r="P222" s="220"/>
      <c r="Q222" s="221"/>
      <c r="R222" s="221"/>
    </row>
    <row r="223" spans="1:18" ht="22.5" x14ac:dyDescent="0.2">
      <c r="A223" s="224" t="s">
        <v>2456</v>
      </c>
      <c r="B223" s="225" t="s">
        <v>2456</v>
      </c>
      <c r="C223" s="226" t="s">
        <v>2434</v>
      </c>
      <c r="D223" s="226" t="s">
        <v>220</v>
      </c>
      <c r="E223" s="226" t="s">
        <v>2457</v>
      </c>
      <c r="F223" s="227" t="s">
        <v>82</v>
      </c>
      <c r="G223" s="228" t="s">
        <v>81</v>
      </c>
      <c r="H223" s="228"/>
      <c r="I223" s="223">
        <v>10000</v>
      </c>
      <c r="J223" s="229">
        <v>0</v>
      </c>
      <c r="K223" s="229">
        <v>65535</v>
      </c>
      <c r="L223" s="229" t="s">
        <v>592</v>
      </c>
      <c r="M223" s="229" t="s">
        <v>388</v>
      </c>
      <c r="N223" s="230" t="str">
        <f>IF(ISERROR(MATCH(A223,MemMap!$A$4:$A$98,0)) = FALSE, INDEX(MemMap!$B$4:$B$98,MATCH(A223,MemMap!$A$4:$A$98,0)),IF(F223="Y","TunSetCalSeg",IF(G223="Y", "FlashCalSeg", IF(G223="N", "FlashAppSeg", ""))))</f>
        <v>FlashCalSeg</v>
      </c>
      <c r="O223" s="220"/>
      <c r="P223" s="220"/>
      <c r="Q223" s="221"/>
      <c r="R223" s="221"/>
    </row>
    <row r="224" spans="1:18" ht="22.5" x14ac:dyDescent="0.2">
      <c r="A224" s="224" t="s">
        <v>2437</v>
      </c>
      <c r="B224" s="225" t="s">
        <v>2437</v>
      </c>
      <c r="C224" s="226" t="s">
        <v>2434</v>
      </c>
      <c r="D224" s="226" t="s">
        <v>220</v>
      </c>
      <c r="E224" s="226" t="s">
        <v>2438</v>
      </c>
      <c r="F224" s="227" t="s">
        <v>82</v>
      </c>
      <c r="G224" s="228" t="s">
        <v>81</v>
      </c>
      <c r="H224" s="228"/>
      <c r="I224" s="223">
        <v>11.3</v>
      </c>
      <c r="J224" s="229">
        <v>0</v>
      </c>
      <c r="K224" s="229">
        <v>31</v>
      </c>
      <c r="L224" s="229" t="s">
        <v>560</v>
      </c>
      <c r="M224" s="229" t="s">
        <v>587</v>
      </c>
      <c r="N224" s="230" t="str">
        <f>IF(ISERROR(MATCH(A224,MemMap!$A$4:$A$98,0)) = FALSE, INDEX(MemMap!$B$4:$B$98,MATCH(A224,MemMap!$A$4:$A$98,0)),IF(F224="Y","TunSetCalSeg",IF(G224="Y", "FlashCalSeg", IF(G224="N", "FlashAppSeg", ""))))</f>
        <v>FlashCalSeg</v>
      </c>
      <c r="O224" s="220"/>
      <c r="P224" s="220"/>
      <c r="Q224" s="221"/>
      <c r="R224" s="221"/>
    </row>
    <row r="225" spans="1:18" ht="22.5" x14ac:dyDescent="0.2">
      <c r="A225" s="224" t="s">
        <v>2458</v>
      </c>
      <c r="B225" s="225" t="s">
        <v>2458</v>
      </c>
      <c r="C225" s="226" t="s">
        <v>2434</v>
      </c>
      <c r="D225" s="226" t="s">
        <v>220</v>
      </c>
      <c r="E225" s="226" t="s">
        <v>2459</v>
      </c>
      <c r="F225" s="227" t="s">
        <v>82</v>
      </c>
      <c r="G225" s="228" t="s">
        <v>81</v>
      </c>
      <c r="H225" s="228"/>
      <c r="I225" s="223">
        <v>0</v>
      </c>
      <c r="J225" s="229">
        <v>0</v>
      </c>
      <c r="K225" s="229">
        <v>65535</v>
      </c>
      <c r="L225" s="229" t="s">
        <v>592</v>
      </c>
      <c r="M225" s="229" t="s">
        <v>388</v>
      </c>
      <c r="N225" s="230" t="str">
        <f>IF(ISERROR(MATCH(A225,MemMap!$A$4:$A$98,0)) = FALSE, INDEX(MemMap!$B$4:$B$98,MATCH(A225,MemMap!$A$4:$A$98,0)),IF(F225="Y","TunSetCalSeg",IF(G225="Y", "FlashCalSeg", IF(G225="N", "FlashAppSeg", ""))))</f>
        <v>FlashCalSeg</v>
      </c>
      <c r="O225" s="220"/>
      <c r="P225" s="220"/>
      <c r="Q225" s="221"/>
      <c r="R225" s="221"/>
    </row>
    <row r="226" spans="1:18" ht="22.5" x14ac:dyDescent="0.2">
      <c r="A226" s="224" t="s">
        <v>2439</v>
      </c>
      <c r="B226" s="225" t="s">
        <v>2439</v>
      </c>
      <c r="C226" s="226" t="s">
        <v>2434</v>
      </c>
      <c r="D226" s="226" t="s">
        <v>220</v>
      </c>
      <c r="E226" s="226" t="s">
        <v>2440</v>
      </c>
      <c r="F226" s="227" t="s">
        <v>82</v>
      </c>
      <c r="G226" s="228" t="s">
        <v>81</v>
      </c>
      <c r="H226" s="228"/>
      <c r="I226" s="223">
        <v>11.8</v>
      </c>
      <c r="J226" s="229">
        <v>0</v>
      </c>
      <c r="K226" s="229">
        <v>31</v>
      </c>
      <c r="L226" s="229" t="s">
        <v>560</v>
      </c>
      <c r="M226" s="229" t="s">
        <v>587</v>
      </c>
      <c r="N226" s="230" t="str">
        <f>IF(ISERROR(MATCH(A226,MemMap!$A$4:$A$98,0)) = FALSE, INDEX(MemMap!$B$4:$B$98,MATCH(A226,MemMap!$A$4:$A$98,0)),IF(F226="Y","TunSetCalSeg",IF(G226="Y", "FlashCalSeg", IF(G226="N", "FlashAppSeg", ""))))</f>
        <v>FlashCalSeg</v>
      </c>
      <c r="O226" s="220"/>
      <c r="P226" s="220"/>
      <c r="Q226" s="221"/>
      <c r="R226" s="221"/>
    </row>
    <row r="227" spans="1:18" ht="22.5" x14ac:dyDescent="0.2">
      <c r="A227" s="224" t="s">
        <v>2460</v>
      </c>
      <c r="B227" s="225" t="s">
        <v>2460</v>
      </c>
      <c r="C227" s="226" t="s">
        <v>2434</v>
      </c>
      <c r="D227" s="226" t="s">
        <v>220</v>
      </c>
      <c r="E227" s="226" t="s">
        <v>2461</v>
      </c>
      <c r="F227" s="227" t="s">
        <v>82</v>
      </c>
      <c r="G227" s="228" t="s">
        <v>81</v>
      </c>
      <c r="H227" s="228"/>
      <c r="I227" s="223">
        <v>10000</v>
      </c>
      <c r="J227" s="229">
        <v>0</v>
      </c>
      <c r="K227" s="229">
        <v>65535</v>
      </c>
      <c r="L227" s="229" t="s">
        <v>592</v>
      </c>
      <c r="M227" s="229" t="s">
        <v>388</v>
      </c>
      <c r="N227" s="230" t="str">
        <f>IF(ISERROR(MATCH(A227,MemMap!$A$4:$A$98,0)) = FALSE, INDEX(MemMap!$B$4:$B$98,MATCH(A227,MemMap!$A$4:$A$98,0)),IF(F227="Y","TunSetCalSeg",IF(G227="Y", "FlashCalSeg", IF(G227="N", "FlashAppSeg", ""))))</f>
        <v>FlashCalSeg</v>
      </c>
      <c r="O227" s="220"/>
      <c r="P227" s="220"/>
      <c r="Q227" s="221"/>
      <c r="R227" s="221"/>
    </row>
    <row r="228" spans="1:18" ht="22.5" x14ac:dyDescent="0.2">
      <c r="A228" s="224" t="s">
        <v>2441</v>
      </c>
      <c r="B228" s="225" t="s">
        <v>2441</v>
      </c>
      <c r="C228" s="226" t="s">
        <v>2434</v>
      </c>
      <c r="D228" s="226" t="s">
        <v>220</v>
      </c>
      <c r="E228" s="226" t="s">
        <v>2442</v>
      </c>
      <c r="F228" s="227" t="s">
        <v>82</v>
      </c>
      <c r="G228" s="228" t="s">
        <v>81</v>
      </c>
      <c r="H228" s="228"/>
      <c r="I228" s="223">
        <v>10.5</v>
      </c>
      <c r="J228" s="229">
        <v>0</v>
      </c>
      <c r="K228" s="229">
        <v>31</v>
      </c>
      <c r="L228" s="229" t="s">
        <v>560</v>
      </c>
      <c r="M228" s="229" t="s">
        <v>587</v>
      </c>
      <c r="N228" s="230" t="str">
        <f>IF(ISERROR(MATCH(A228,MemMap!$A$4:$A$98,0)) = FALSE, INDEX(MemMap!$B$4:$B$98,MATCH(A228,MemMap!$A$4:$A$98,0)),IF(F228="Y","TunSetCalSeg",IF(G228="Y", "FlashCalSeg", IF(G228="N", "FlashAppSeg", ""))))</f>
        <v>FlashCalSeg</v>
      </c>
      <c r="O228" s="220"/>
      <c r="P228" s="220"/>
      <c r="Q228" s="221"/>
      <c r="R228" s="221"/>
    </row>
    <row r="229" spans="1:18" ht="22.5" x14ac:dyDescent="0.2">
      <c r="A229" s="224" t="s">
        <v>2462</v>
      </c>
      <c r="B229" s="225" t="s">
        <v>2462</v>
      </c>
      <c r="C229" s="226" t="s">
        <v>2434</v>
      </c>
      <c r="D229" s="226" t="s">
        <v>220</v>
      </c>
      <c r="E229" s="226" t="s">
        <v>2463</v>
      </c>
      <c r="F229" s="227" t="s">
        <v>82</v>
      </c>
      <c r="G229" s="228" t="s">
        <v>81</v>
      </c>
      <c r="H229" s="228"/>
      <c r="I229" s="223">
        <v>0</v>
      </c>
      <c r="J229" s="229">
        <v>0</v>
      </c>
      <c r="K229" s="229">
        <v>65535</v>
      </c>
      <c r="L229" s="229" t="s">
        <v>592</v>
      </c>
      <c r="M229" s="229" t="s">
        <v>388</v>
      </c>
      <c r="N229" s="230" t="str">
        <f>IF(ISERROR(MATCH(A229,MemMap!$A$4:$A$98,0)) = FALSE, INDEX(MemMap!$B$4:$B$98,MATCH(A229,MemMap!$A$4:$A$98,0)),IF(F229="Y","TunSetCalSeg",IF(G229="Y", "FlashCalSeg", IF(G229="N", "FlashAppSeg", ""))))</f>
        <v>FlashCalSeg</v>
      </c>
      <c r="O229" s="220"/>
      <c r="P229" s="220"/>
      <c r="Q229" s="221"/>
      <c r="R229" s="221"/>
    </row>
    <row r="230" spans="1:18" ht="22.5" x14ac:dyDescent="0.2">
      <c r="A230" s="224" t="s">
        <v>2443</v>
      </c>
      <c r="B230" s="225" t="s">
        <v>2443</v>
      </c>
      <c r="C230" s="226" t="s">
        <v>2434</v>
      </c>
      <c r="D230" s="226" t="s">
        <v>220</v>
      </c>
      <c r="E230" s="226" t="s">
        <v>2444</v>
      </c>
      <c r="F230" s="227" t="s">
        <v>82</v>
      </c>
      <c r="G230" s="228" t="s">
        <v>81</v>
      </c>
      <c r="H230" s="228"/>
      <c r="I230" s="223">
        <v>11</v>
      </c>
      <c r="J230" s="229">
        <v>0</v>
      </c>
      <c r="K230" s="229">
        <v>31</v>
      </c>
      <c r="L230" s="229" t="s">
        <v>560</v>
      </c>
      <c r="M230" s="229" t="s">
        <v>587</v>
      </c>
      <c r="N230" s="230" t="str">
        <f>IF(ISERROR(MATCH(A230,MemMap!$A$4:$A$98,0)) = FALSE, INDEX(MemMap!$B$4:$B$98,MATCH(A230,MemMap!$A$4:$A$98,0)),IF(F230="Y","TunSetCalSeg",IF(G230="Y", "FlashCalSeg", IF(G230="N", "FlashAppSeg", ""))))</f>
        <v>FlashCalSeg</v>
      </c>
      <c r="O230" s="220"/>
      <c r="P230" s="220"/>
      <c r="Q230" s="221"/>
      <c r="R230" s="221"/>
    </row>
    <row r="231" spans="1:18" ht="22.5" x14ac:dyDescent="0.2">
      <c r="A231" s="224" t="s">
        <v>2545</v>
      </c>
      <c r="B231" s="225"/>
      <c r="C231" s="226" t="s">
        <v>2434</v>
      </c>
      <c r="D231" s="226" t="s">
        <v>220</v>
      </c>
      <c r="E231" s="226" t="s">
        <v>2546</v>
      </c>
      <c r="F231" s="227" t="s">
        <v>82</v>
      </c>
      <c r="G231" s="228" t="s">
        <v>81</v>
      </c>
      <c r="H231" s="228"/>
      <c r="I231" s="223">
        <v>500</v>
      </c>
      <c r="J231" s="229">
        <v>0</v>
      </c>
      <c r="K231" s="229">
        <v>65535</v>
      </c>
      <c r="L231" s="229" t="s">
        <v>592</v>
      </c>
      <c r="M231" s="229" t="s">
        <v>388</v>
      </c>
      <c r="N231" s="230" t="str">
        <f>IF(ISERROR(MATCH(A231,MemMap!$A$4:$A$98,0)) = FALSE, INDEX(MemMap!$B$4:$B$98,MATCH(A231,MemMap!$A$4:$A$98,0)),IF(F231="Y","TunSetCalSeg",IF(G231="Y", "FlashCalSeg", IF(G231="N", "FlashAppSeg", ""))))</f>
        <v>FlashCalSeg</v>
      </c>
      <c r="O231" s="220"/>
      <c r="P231" s="220"/>
      <c r="Q231" s="221"/>
      <c r="R231" s="221"/>
    </row>
    <row r="232" spans="1:18" ht="22.5" x14ac:dyDescent="0.2">
      <c r="A232" s="224" t="s">
        <v>2541</v>
      </c>
      <c r="B232" s="225"/>
      <c r="C232" s="226" t="s">
        <v>2434</v>
      </c>
      <c r="D232" s="226" t="s">
        <v>220</v>
      </c>
      <c r="E232" s="226" t="s">
        <v>2542</v>
      </c>
      <c r="F232" s="227" t="s">
        <v>82</v>
      </c>
      <c r="G232" s="228" t="s">
        <v>81</v>
      </c>
      <c r="H232" s="228"/>
      <c r="I232" s="223">
        <v>8</v>
      </c>
      <c r="J232" s="229">
        <v>0</v>
      </c>
      <c r="K232" s="229">
        <v>31</v>
      </c>
      <c r="L232" s="229" t="s">
        <v>560</v>
      </c>
      <c r="M232" s="229" t="s">
        <v>587</v>
      </c>
      <c r="N232" s="230" t="str">
        <f>IF(ISERROR(MATCH(A232,MemMap!$A$4:$A$98,0)) = FALSE, INDEX(MemMap!$B$4:$B$98,MATCH(A232,MemMap!$A$4:$A$98,0)),IF(F232="Y","TunSetCalSeg",IF(G232="Y", "FlashCalSeg", IF(G232="N", "FlashAppSeg", ""))))</f>
        <v>FlashCalSeg</v>
      </c>
      <c r="O232" s="220"/>
      <c r="P232" s="220"/>
      <c r="Q232" s="221"/>
      <c r="R232" s="221"/>
    </row>
    <row r="233" spans="1:18" ht="22.5" x14ac:dyDescent="0.2">
      <c r="A233" s="224" t="s">
        <v>2547</v>
      </c>
      <c r="B233" s="225"/>
      <c r="C233" s="226" t="s">
        <v>2434</v>
      </c>
      <c r="D233" s="226" t="s">
        <v>220</v>
      </c>
      <c r="E233" s="226" t="s">
        <v>2548</v>
      </c>
      <c r="F233" s="227" t="s">
        <v>82</v>
      </c>
      <c r="G233" s="228" t="s">
        <v>81</v>
      </c>
      <c r="H233" s="228"/>
      <c r="I233" s="223">
        <v>500</v>
      </c>
      <c r="J233" s="229">
        <v>0</v>
      </c>
      <c r="K233" s="229">
        <v>65535</v>
      </c>
      <c r="L233" s="229" t="s">
        <v>592</v>
      </c>
      <c r="M233" s="229" t="s">
        <v>388</v>
      </c>
      <c r="N233" s="230" t="str">
        <f>IF(ISERROR(MATCH(A233,MemMap!$A$4:$A$98,0)) = FALSE, INDEX(MemMap!$B$4:$B$98,MATCH(A233,MemMap!$A$4:$A$98,0)),IF(F233="Y","TunSetCalSeg",IF(G233="Y", "FlashCalSeg", IF(G233="N", "FlashAppSeg", ""))))</f>
        <v>FlashCalSeg</v>
      </c>
      <c r="O233" s="220"/>
      <c r="P233" s="220"/>
      <c r="Q233" s="221"/>
      <c r="R233" s="221"/>
    </row>
    <row r="234" spans="1:18" ht="22.5" x14ac:dyDescent="0.2">
      <c r="A234" s="224" t="s">
        <v>2543</v>
      </c>
      <c r="B234" s="225"/>
      <c r="C234" s="226" t="s">
        <v>2434</v>
      </c>
      <c r="D234" s="226" t="s">
        <v>220</v>
      </c>
      <c r="E234" s="226" t="s">
        <v>2544</v>
      </c>
      <c r="F234" s="227" t="s">
        <v>82</v>
      </c>
      <c r="G234" s="228" t="s">
        <v>81</v>
      </c>
      <c r="H234" s="228"/>
      <c r="I234" s="223">
        <v>8.5</v>
      </c>
      <c r="J234" s="229">
        <v>0</v>
      </c>
      <c r="K234" s="229">
        <v>31</v>
      </c>
      <c r="L234" s="229" t="s">
        <v>560</v>
      </c>
      <c r="M234" s="229" t="s">
        <v>587</v>
      </c>
      <c r="N234" s="230" t="str">
        <f>IF(ISERROR(MATCH(A234,MemMap!$A$4:$A$98,0)) = FALSE, INDEX(MemMap!$B$4:$B$98,MATCH(A234,MemMap!$A$4:$A$98,0)),IF(F234="Y","TunSetCalSeg",IF(G234="Y", "FlashCalSeg", IF(G234="N", "FlashAppSeg", ""))))</f>
        <v>FlashCalSeg</v>
      </c>
      <c r="O234" s="220"/>
      <c r="P234" s="220"/>
      <c r="Q234" s="221"/>
      <c r="R234" s="221"/>
    </row>
    <row r="235" spans="1:18" ht="22.5" x14ac:dyDescent="0.2">
      <c r="A235" s="224" t="s">
        <v>2464</v>
      </c>
      <c r="B235" s="225" t="s">
        <v>2464</v>
      </c>
      <c r="C235" s="226" t="s">
        <v>2434</v>
      </c>
      <c r="D235" s="226" t="s">
        <v>220</v>
      </c>
      <c r="E235" s="226" t="s">
        <v>2465</v>
      </c>
      <c r="F235" s="227" t="s">
        <v>82</v>
      </c>
      <c r="G235" s="228" t="s">
        <v>81</v>
      </c>
      <c r="H235" s="228"/>
      <c r="I235" s="223">
        <v>300</v>
      </c>
      <c r="J235" s="229">
        <v>0</v>
      </c>
      <c r="K235" s="229">
        <v>65535</v>
      </c>
      <c r="L235" s="229" t="s">
        <v>592</v>
      </c>
      <c r="M235" s="229" t="s">
        <v>388</v>
      </c>
      <c r="N235" s="230" t="str">
        <f>IF(ISERROR(MATCH(A235,MemMap!$A$4:$A$98,0)) = FALSE, INDEX(MemMap!$B$4:$B$98,MATCH(A235,MemMap!$A$4:$A$98,0)),IF(F235="Y","TunSetCalSeg",IF(G235="Y", "FlashCalSeg", IF(G235="N", "FlashAppSeg", ""))))</f>
        <v>FlashCalSeg</v>
      </c>
      <c r="O235" s="220"/>
      <c r="P235" s="220"/>
      <c r="Q235" s="221"/>
      <c r="R235" s="221"/>
    </row>
    <row r="236" spans="1:18" ht="22.5" x14ac:dyDescent="0.2">
      <c r="A236" s="224" t="s">
        <v>2448</v>
      </c>
      <c r="B236" s="225" t="s">
        <v>2448</v>
      </c>
      <c r="C236" s="226" t="s">
        <v>2434</v>
      </c>
      <c r="D236" s="226" t="s">
        <v>220</v>
      </c>
      <c r="E236" s="226" t="s">
        <v>2449</v>
      </c>
      <c r="F236" s="227" t="s">
        <v>82</v>
      </c>
      <c r="G236" s="228" t="s">
        <v>81</v>
      </c>
      <c r="H236" s="228"/>
      <c r="I236" s="223">
        <v>10.5</v>
      </c>
      <c r="J236" s="229">
        <v>0</v>
      </c>
      <c r="K236" s="229">
        <v>31</v>
      </c>
      <c r="L236" s="229" t="s">
        <v>560</v>
      </c>
      <c r="M236" s="229" t="s">
        <v>587</v>
      </c>
      <c r="N236" s="230" t="str">
        <f>IF(ISERROR(MATCH(A236,MemMap!$A$4:$A$98,0)) = FALSE, INDEX(MemMap!$B$4:$B$98,MATCH(A236,MemMap!$A$4:$A$98,0)),IF(F236="Y","TunSetCalSeg",IF(G236="Y", "FlashCalSeg", IF(G236="N", "FlashAppSeg", ""))))</f>
        <v>FlashCalSeg</v>
      </c>
      <c r="O236" s="220"/>
      <c r="P236" s="220"/>
      <c r="Q236" s="221"/>
      <c r="R236" s="221"/>
    </row>
    <row r="237" spans="1:18" ht="22.5" x14ac:dyDescent="0.2">
      <c r="A237" s="224" t="s">
        <v>2466</v>
      </c>
      <c r="B237" s="225" t="s">
        <v>2466</v>
      </c>
      <c r="C237" s="226" t="s">
        <v>2434</v>
      </c>
      <c r="D237" s="226" t="s">
        <v>220</v>
      </c>
      <c r="E237" s="226" t="s">
        <v>2467</v>
      </c>
      <c r="F237" s="227" t="s">
        <v>82</v>
      </c>
      <c r="G237" s="228" t="s">
        <v>81</v>
      </c>
      <c r="H237" s="228"/>
      <c r="I237" s="223">
        <v>500</v>
      </c>
      <c r="J237" s="229">
        <v>0</v>
      </c>
      <c r="K237" s="229">
        <v>65535</v>
      </c>
      <c r="L237" s="229" t="s">
        <v>592</v>
      </c>
      <c r="M237" s="229" t="s">
        <v>388</v>
      </c>
      <c r="N237" s="230" t="str">
        <f>IF(ISERROR(MATCH(A237,MemMap!$A$4:$A$98,0)) = FALSE, INDEX(MemMap!$B$4:$B$98,MATCH(A237,MemMap!$A$4:$A$98,0)),IF(F237="Y","TunSetCalSeg",IF(G237="Y", "FlashCalSeg", IF(G237="N", "FlashAppSeg", ""))))</f>
        <v>FlashCalSeg</v>
      </c>
      <c r="O237" s="220"/>
      <c r="P237" s="220"/>
      <c r="Q237" s="221"/>
      <c r="R237" s="221"/>
    </row>
    <row r="238" spans="1:18" ht="22.5" x14ac:dyDescent="0.2">
      <c r="A238" s="224" t="s">
        <v>2450</v>
      </c>
      <c r="B238" s="225" t="s">
        <v>2450</v>
      </c>
      <c r="C238" s="226" t="s">
        <v>2434</v>
      </c>
      <c r="D238" s="226" t="s">
        <v>220</v>
      </c>
      <c r="E238" s="226" t="s">
        <v>2451</v>
      </c>
      <c r="F238" s="227" t="s">
        <v>82</v>
      </c>
      <c r="G238" s="228" t="s">
        <v>81</v>
      </c>
      <c r="H238" s="228"/>
      <c r="I238" s="223">
        <v>11</v>
      </c>
      <c r="J238" s="229">
        <v>0</v>
      </c>
      <c r="K238" s="229">
        <v>31</v>
      </c>
      <c r="L238" s="229" t="s">
        <v>560</v>
      </c>
      <c r="M238" s="229" t="s">
        <v>587</v>
      </c>
      <c r="N238" s="230" t="str">
        <f>IF(ISERROR(MATCH(A238,MemMap!$A$4:$A$98,0)) = FALSE, INDEX(MemMap!$B$4:$B$98,MATCH(A238,MemMap!$A$4:$A$98,0)),IF(F238="Y","TunSetCalSeg",IF(G238="Y", "FlashCalSeg", IF(G238="N", "FlashAppSeg", ""))))</f>
        <v>FlashCalSeg</v>
      </c>
      <c r="O238" s="220"/>
      <c r="P238" s="220"/>
      <c r="Q238" s="221"/>
      <c r="R238" s="221"/>
    </row>
    <row r="239" spans="1:18" ht="22.5" x14ac:dyDescent="0.2">
      <c r="A239" s="224" t="s">
        <v>2445</v>
      </c>
      <c r="B239" s="225" t="s">
        <v>2445</v>
      </c>
      <c r="C239" s="226" t="s">
        <v>2434</v>
      </c>
      <c r="D239" s="226" t="s">
        <v>220</v>
      </c>
      <c r="E239" s="226" t="s">
        <v>596</v>
      </c>
      <c r="F239" s="227" t="s">
        <v>82</v>
      </c>
      <c r="G239" s="228" t="s">
        <v>81</v>
      </c>
      <c r="H239" s="228"/>
      <c r="I239" s="223">
        <v>5.3</v>
      </c>
      <c r="J239" s="229">
        <v>0</v>
      </c>
      <c r="K239" s="229">
        <v>31</v>
      </c>
      <c r="L239" s="229" t="s">
        <v>560</v>
      </c>
      <c r="M239" s="229" t="s">
        <v>587</v>
      </c>
      <c r="N239" s="230" t="str">
        <f>IF(ISERROR(MATCH(A239,MemMap!$A$4:$A$98,0)) = FALSE, INDEX(MemMap!$B$4:$B$98,MATCH(A239,MemMap!$A$4:$A$98,0)),IF(F239="Y","TunSetCalSeg",IF(G239="Y", "FlashCalSeg", IF(G239="N", "FlashAppSeg", ""))))</f>
        <v>FlashCalSeg</v>
      </c>
      <c r="O239" s="220"/>
      <c r="P239" s="220"/>
      <c r="Q239" s="221"/>
      <c r="R239" s="221"/>
    </row>
    <row r="240" spans="1:18" ht="22.5" x14ac:dyDescent="0.2">
      <c r="A240" s="224" t="s">
        <v>2446</v>
      </c>
      <c r="B240" s="225" t="s">
        <v>2446</v>
      </c>
      <c r="C240" s="226" t="s">
        <v>2434</v>
      </c>
      <c r="D240" s="226" t="s">
        <v>220</v>
      </c>
      <c r="E240" s="226" t="s">
        <v>2447</v>
      </c>
      <c r="F240" s="227" t="s">
        <v>82</v>
      </c>
      <c r="G240" s="228" t="s">
        <v>81</v>
      </c>
      <c r="H240" s="228"/>
      <c r="I240" s="223">
        <v>5.8</v>
      </c>
      <c r="J240" s="229">
        <v>0</v>
      </c>
      <c r="K240" s="229">
        <v>31</v>
      </c>
      <c r="L240" s="229" t="s">
        <v>560</v>
      </c>
      <c r="M240" s="229" t="s">
        <v>587</v>
      </c>
      <c r="N240" s="230" t="str">
        <f>IF(ISERROR(MATCH(A240,MemMap!$A$4:$A$98,0)) = FALSE, INDEX(MemMap!$B$4:$B$98,MATCH(A240,MemMap!$A$4:$A$98,0)),IF(F240="Y","TunSetCalSeg",IF(G240="Y", "FlashCalSeg", IF(G240="N", "FlashAppSeg", ""))))</f>
        <v>FlashCalSeg</v>
      </c>
      <c r="O240" s="220"/>
      <c r="P240" s="220"/>
      <c r="Q240" s="221"/>
      <c r="R240" s="221"/>
    </row>
    <row r="241" spans="1:18" ht="22.5" x14ac:dyDescent="0.2">
      <c r="A241" s="224" t="s">
        <v>715</v>
      </c>
      <c r="B241" s="225" t="s">
        <v>716</v>
      </c>
      <c r="C241" s="226" t="s">
        <v>651</v>
      </c>
      <c r="D241" s="226" t="s">
        <v>192</v>
      </c>
      <c r="E241" s="226" t="s">
        <v>717</v>
      </c>
      <c r="F241" s="227" t="s">
        <v>0</v>
      </c>
      <c r="G241" s="228" t="s">
        <v>81</v>
      </c>
      <c r="H241" s="228"/>
      <c r="I241" s="223">
        <v>5.2108299999999998E-4</v>
      </c>
      <c r="J241" s="229">
        <v>0</v>
      </c>
      <c r="K241" s="229">
        <v>0.1</v>
      </c>
      <c r="L241" s="229" t="s">
        <v>718</v>
      </c>
      <c r="M241" s="229" t="s">
        <v>257</v>
      </c>
      <c r="N241" s="230" t="str">
        <f>IF(ISERROR(MATCH(A241,MemMap!$A$4:$A$98,0)) = FALSE, INDEX(MemMap!$B$4:$B$98,MATCH(A241,MemMap!$A$4:$A$98,0)),IF(F241="Y","TunSetCalSeg",IF(G241="Y", "FlashCalSeg", IF(G241="N", "FlashAppSeg", ""))))</f>
        <v>FlashCalSeg</v>
      </c>
      <c r="O241" s="220"/>
      <c r="P241" s="220"/>
      <c r="Q241" s="221"/>
      <c r="R241" s="221"/>
    </row>
    <row r="242" spans="1:18" ht="22.5" x14ac:dyDescent="0.2">
      <c r="A242" s="224" t="s">
        <v>719</v>
      </c>
      <c r="B242" s="225" t="s">
        <v>720</v>
      </c>
      <c r="C242" s="226" t="s">
        <v>651</v>
      </c>
      <c r="D242" s="226" t="s">
        <v>192</v>
      </c>
      <c r="E242" s="226" t="s">
        <v>721</v>
      </c>
      <c r="F242" s="227" t="s">
        <v>0</v>
      </c>
      <c r="G242" s="228" t="s">
        <v>81</v>
      </c>
      <c r="H242" s="228"/>
      <c r="I242" s="223">
        <v>2.8889300000000001E-5</v>
      </c>
      <c r="J242" s="229">
        <v>0</v>
      </c>
      <c r="K242" s="229">
        <v>0.1</v>
      </c>
      <c r="L242" s="229" t="s">
        <v>718</v>
      </c>
      <c r="M242" s="229" t="s">
        <v>257</v>
      </c>
      <c r="N242" s="230" t="str">
        <f>IF(ISERROR(MATCH(A242,MemMap!$A$4:$A$98,0)) = FALSE, INDEX(MemMap!$B$4:$B$98,MATCH(A242,MemMap!$A$4:$A$98,0)),IF(F242="Y","TunSetCalSeg",IF(G242="Y", "FlashCalSeg", IF(G242="N", "FlashAppSeg", ""))))</f>
        <v>FlashCalSeg</v>
      </c>
      <c r="O242" s="220"/>
      <c r="P242" s="220"/>
      <c r="Q242" s="221"/>
      <c r="R242" s="221"/>
    </row>
    <row r="243" spans="1:18" ht="22.5" x14ac:dyDescent="0.2">
      <c r="A243" s="224" t="s">
        <v>722</v>
      </c>
      <c r="B243" s="225" t="s">
        <v>723</v>
      </c>
      <c r="C243" s="226" t="s">
        <v>651</v>
      </c>
      <c r="D243" s="226" t="s">
        <v>192</v>
      </c>
      <c r="E243" s="226" t="s">
        <v>724</v>
      </c>
      <c r="F243" s="227" t="s">
        <v>0</v>
      </c>
      <c r="G243" s="228" t="s">
        <v>81</v>
      </c>
      <c r="H243" s="228"/>
      <c r="I243" s="223">
        <v>6.1865399999999999E-3</v>
      </c>
      <c r="J243" s="229">
        <v>0</v>
      </c>
      <c r="K243" s="229">
        <v>0.1</v>
      </c>
      <c r="L243" s="229" t="s">
        <v>718</v>
      </c>
      <c r="M243" s="229" t="s">
        <v>257</v>
      </c>
      <c r="N243" s="230" t="str">
        <f>IF(ISERROR(MATCH(A243,MemMap!$A$4:$A$98,0)) = FALSE, INDEX(MemMap!$B$4:$B$98,MATCH(A243,MemMap!$A$4:$A$98,0)),IF(F243="Y","TunSetCalSeg",IF(G243="Y", "FlashCalSeg", IF(G243="N", "FlashAppSeg", ""))))</f>
        <v>FlashCalSeg</v>
      </c>
      <c r="O243" s="220"/>
      <c r="P243" s="220"/>
      <c r="Q243" s="221"/>
      <c r="R243" s="221"/>
    </row>
    <row r="244" spans="1:18" ht="22.5" x14ac:dyDescent="0.2">
      <c r="A244" s="224" t="s">
        <v>725</v>
      </c>
      <c r="B244" s="225" t="s">
        <v>726</v>
      </c>
      <c r="C244" s="226" t="s">
        <v>651</v>
      </c>
      <c r="D244" s="226" t="s">
        <v>192</v>
      </c>
      <c r="E244" s="226" t="s">
        <v>727</v>
      </c>
      <c r="F244" s="227" t="s">
        <v>0</v>
      </c>
      <c r="G244" s="228" t="s">
        <v>81</v>
      </c>
      <c r="H244" s="228"/>
      <c r="I244" s="223">
        <v>9.5683199999999992E-6</v>
      </c>
      <c r="J244" s="229">
        <v>0</v>
      </c>
      <c r="K244" s="229">
        <v>0.1</v>
      </c>
      <c r="L244" s="229" t="s">
        <v>718</v>
      </c>
      <c r="M244" s="229" t="s">
        <v>257</v>
      </c>
      <c r="N244" s="230" t="str">
        <f>IF(ISERROR(MATCH(A244,MemMap!$A$4:$A$98,0)) = FALSE, INDEX(MemMap!$B$4:$B$98,MATCH(A244,MemMap!$A$4:$A$98,0)),IF(F244="Y","TunSetCalSeg",IF(G244="Y", "FlashCalSeg", IF(G244="N", "FlashAppSeg", ""))))</f>
        <v>FlashCalSeg</v>
      </c>
      <c r="O244" s="220"/>
      <c r="P244" s="220"/>
      <c r="Q244" s="221"/>
      <c r="R244" s="221"/>
    </row>
    <row r="245" spans="1:18" ht="22.5" x14ac:dyDescent="0.2">
      <c r="A245" s="224" t="s">
        <v>691</v>
      </c>
      <c r="B245" s="225" t="s">
        <v>692</v>
      </c>
      <c r="C245" s="226" t="s">
        <v>651</v>
      </c>
      <c r="D245" s="226" t="s">
        <v>192</v>
      </c>
      <c r="E245" s="226" t="s">
        <v>693</v>
      </c>
      <c r="F245" s="227" t="s">
        <v>0</v>
      </c>
      <c r="G245" s="228" t="s">
        <v>81</v>
      </c>
      <c r="H245" s="228"/>
      <c r="I245" s="223">
        <v>0</v>
      </c>
      <c r="J245" s="229">
        <v>-8.8000000000000007</v>
      </c>
      <c r="K245" s="229">
        <v>8.8000000000000007</v>
      </c>
      <c r="L245" s="229" t="s">
        <v>690</v>
      </c>
      <c r="M245" s="229" t="s">
        <v>257</v>
      </c>
      <c r="N245" s="230" t="str">
        <f>IF(ISERROR(MATCH(A245,MemMap!$A$4:$A$98,0)) = FALSE, INDEX(MemMap!$B$4:$B$98,MATCH(A245,MemMap!$A$4:$A$98,0)),IF(F245="Y","TunSetCalSeg",IF(G245="Y", "FlashCalSeg", IF(G245="N", "FlashAppSeg", ""))))</f>
        <v>FlashCalSeg</v>
      </c>
      <c r="O245" s="220"/>
      <c r="P245" s="220"/>
      <c r="Q245" s="221"/>
      <c r="R245" s="221"/>
    </row>
    <row r="246" spans="1:18" x14ac:dyDescent="0.2">
      <c r="A246" s="224" t="s">
        <v>656</v>
      </c>
      <c r="B246" s="225" t="s">
        <v>657</v>
      </c>
      <c r="C246" s="226" t="s">
        <v>651</v>
      </c>
      <c r="D246" s="226" t="s">
        <v>192</v>
      </c>
      <c r="E246" s="226" t="s">
        <v>658</v>
      </c>
      <c r="F246" s="227" t="s">
        <v>0</v>
      </c>
      <c r="G246" s="228" t="s">
        <v>81</v>
      </c>
      <c r="H246" s="228"/>
      <c r="I246" s="223">
        <v>15</v>
      </c>
      <c r="J246" s="229">
        <v>5</v>
      </c>
      <c r="K246" s="229">
        <v>100</v>
      </c>
      <c r="L246" s="229" t="s">
        <v>258</v>
      </c>
      <c r="M246" s="229" t="s">
        <v>257</v>
      </c>
      <c r="N246" s="230" t="str">
        <f>IF(ISERROR(MATCH(A246,MemMap!$A$4:$A$98,0)) = FALSE, INDEX(MemMap!$B$4:$B$98,MATCH(A246,MemMap!$A$4:$A$98,0)),IF(F246="Y","TunSetCalSeg",IF(G246="Y", "FlashCalSeg", IF(G246="N", "FlashAppSeg", ""))))</f>
        <v>FlashCalSeg</v>
      </c>
      <c r="O246" s="220"/>
      <c r="P246" s="220"/>
      <c r="Q246" s="221"/>
      <c r="R246" s="221"/>
    </row>
    <row r="247" spans="1:18" ht="22.5" x14ac:dyDescent="0.2">
      <c r="A247" s="224" t="s">
        <v>706</v>
      </c>
      <c r="B247" s="225" t="s">
        <v>707</v>
      </c>
      <c r="C247" s="226" t="s">
        <v>651</v>
      </c>
      <c r="D247" s="226" t="s">
        <v>192</v>
      </c>
      <c r="E247" s="226" t="s">
        <v>708</v>
      </c>
      <c r="F247" s="227" t="s">
        <v>0</v>
      </c>
      <c r="G247" s="228" t="s">
        <v>81</v>
      </c>
      <c r="H247" s="228"/>
      <c r="I247" s="223">
        <v>0</v>
      </c>
      <c r="J247" s="229">
        <v>0</v>
      </c>
      <c r="K247" s="229">
        <v>64</v>
      </c>
      <c r="L247" s="229" t="s">
        <v>261</v>
      </c>
      <c r="M247" s="229" t="s">
        <v>257</v>
      </c>
      <c r="N247" s="230" t="str">
        <f>IF(ISERROR(MATCH(A247,MemMap!$A$4:$A$98,0)) = FALSE, INDEX(MemMap!$B$4:$B$98,MATCH(A247,MemMap!$A$4:$A$98,0)),IF(F247="Y","TunSetCalSeg",IF(G247="Y", "FlashCalSeg", IF(G247="N", "FlashAppSeg", ""))))</f>
        <v>FlashCalSeg</v>
      </c>
      <c r="O247" s="220"/>
      <c r="P247" s="220"/>
      <c r="Q247" s="221"/>
      <c r="R247" s="221"/>
    </row>
    <row r="248" spans="1:18" ht="22.5" x14ac:dyDescent="0.2">
      <c r="A248" s="224" t="s">
        <v>700</v>
      </c>
      <c r="B248" s="225" t="s">
        <v>701</v>
      </c>
      <c r="C248" s="226" t="s">
        <v>651</v>
      </c>
      <c r="D248" s="226" t="s">
        <v>192</v>
      </c>
      <c r="E248" s="226" t="s">
        <v>702</v>
      </c>
      <c r="F248" s="227" t="s">
        <v>0</v>
      </c>
      <c r="G248" s="228" t="s">
        <v>81</v>
      </c>
      <c r="H248" s="228"/>
      <c r="I248" s="223">
        <v>15</v>
      </c>
      <c r="J248" s="229">
        <v>5</v>
      </c>
      <c r="K248" s="229">
        <v>31.25</v>
      </c>
      <c r="L248" s="229" t="s">
        <v>258</v>
      </c>
      <c r="M248" s="229" t="s">
        <v>257</v>
      </c>
      <c r="N248" s="230" t="str">
        <f>IF(ISERROR(MATCH(A248,MemMap!$A$4:$A$98,0)) = FALSE, INDEX(MemMap!$B$4:$B$98,MATCH(A248,MemMap!$A$4:$A$98,0)),IF(F248="Y","TunSetCalSeg",IF(G248="Y", "FlashCalSeg", IF(G248="N", "FlashAppSeg", ""))))</f>
        <v>FlashCalSeg</v>
      </c>
      <c r="O248" s="220"/>
      <c r="P248" s="220"/>
      <c r="Q248" s="221"/>
      <c r="R248" s="221"/>
    </row>
    <row r="249" spans="1:18" ht="22.5" x14ac:dyDescent="0.2">
      <c r="A249" s="224" t="s">
        <v>709</v>
      </c>
      <c r="B249" s="225" t="s">
        <v>710</v>
      </c>
      <c r="C249" s="226" t="s">
        <v>651</v>
      </c>
      <c r="D249" s="226" t="s">
        <v>192</v>
      </c>
      <c r="E249" s="226" t="s">
        <v>711</v>
      </c>
      <c r="F249" s="227" t="s">
        <v>0</v>
      </c>
      <c r="G249" s="228" t="s">
        <v>81</v>
      </c>
      <c r="H249" s="228"/>
      <c r="I249" s="223">
        <v>0</v>
      </c>
      <c r="J249" s="229">
        <v>0</v>
      </c>
      <c r="K249" s="229">
        <v>128</v>
      </c>
      <c r="L249" s="229" t="s">
        <v>259</v>
      </c>
      <c r="M249" s="229" t="s">
        <v>257</v>
      </c>
      <c r="N249" s="230" t="str">
        <f>IF(ISERROR(MATCH(A249,MemMap!$A$4:$A$98,0)) = FALSE, INDEX(MemMap!$B$4:$B$98,MATCH(A249,MemMap!$A$4:$A$98,0)),IF(F249="Y","TunSetCalSeg",IF(G249="Y", "FlashCalSeg", IF(G249="N", "FlashAppSeg", ""))))</f>
        <v>FlashCalSeg</v>
      </c>
      <c r="O249" s="220"/>
      <c r="P249" s="220"/>
      <c r="Q249" s="221"/>
      <c r="R249" s="221"/>
    </row>
    <row r="250" spans="1:18" ht="22.5" x14ac:dyDescent="0.2">
      <c r="A250" s="224" t="s">
        <v>703</v>
      </c>
      <c r="B250" s="225" t="s">
        <v>704</v>
      </c>
      <c r="C250" s="226" t="s">
        <v>651</v>
      </c>
      <c r="D250" s="226" t="s">
        <v>192</v>
      </c>
      <c r="E250" s="226" t="s">
        <v>705</v>
      </c>
      <c r="F250" s="227" t="s">
        <v>0</v>
      </c>
      <c r="G250" s="228" t="s">
        <v>81</v>
      </c>
      <c r="H250" s="228"/>
      <c r="I250" s="223">
        <v>15</v>
      </c>
      <c r="J250" s="229">
        <v>5</v>
      </c>
      <c r="K250" s="229">
        <v>31.25</v>
      </c>
      <c r="L250" s="229" t="s">
        <v>258</v>
      </c>
      <c r="M250" s="229" t="s">
        <v>257</v>
      </c>
      <c r="N250" s="230" t="str">
        <f>IF(ISERROR(MATCH(A250,MemMap!$A$4:$A$98,0)) = FALSE, INDEX(MemMap!$B$4:$B$98,MATCH(A250,MemMap!$A$4:$A$98,0)),IF(F250="Y","TunSetCalSeg",IF(G250="Y", "FlashCalSeg", IF(G250="N", "FlashAppSeg", ""))))</f>
        <v>FlashCalSeg</v>
      </c>
      <c r="O250" s="220"/>
      <c r="P250" s="220"/>
      <c r="Q250" s="221"/>
      <c r="R250" s="221"/>
    </row>
    <row r="251" spans="1:18" ht="22.5" x14ac:dyDescent="0.2">
      <c r="A251" s="224" t="s">
        <v>712</v>
      </c>
      <c r="B251" s="225" t="s">
        <v>713</v>
      </c>
      <c r="C251" s="226" t="s">
        <v>651</v>
      </c>
      <c r="D251" s="226" t="s">
        <v>192</v>
      </c>
      <c r="E251" s="226" t="s">
        <v>714</v>
      </c>
      <c r="F251" s="227" t="s">
        <v>0</v>
      </c>
      <c r="G251" s="228" t="s">
        <v>81</v>
      </c>
      <c r="H251" s="228"/>
      <c r="I251" s="223">
        <v>15</v>
      </c>
      <c r="J251" s="229">
        <v>0</v>
      </c>
      <c r="K251" s="229">
        <v>100</v>
      </c>
      <c r="L251" s="229" t="s">
        <v>258</v>
      </c>
      <c r="M251" s="229" t="s">
        <v>257</v>
      </c>
      <c r="N251" s="230" t="str">
        <f>IF(ISERROR(MATCH(A251,MemMap!$A$4:$A$98,0)) = FALSE, INDEX(MemMap!$B$4:$B$98,MATCH(A251,MemMap!$A$4:$A$98,0)),IF(F251="Y","TunSetCalSeg",IF(G251="Y", "FlashCalSeg", IF(G251="N", "FlashAppSeg", ""))))</f>
        <v>FlashCalSeg</v>
      </c>
      <c r="O251" s="220"/>
      <c r="P251" s="220"/>
      <c r="Q251" s="221"/>
      <c r="R251" s="221"/>
    </row>
    <row r="252" spans="1:18" ht="22.5" x14ac:dyDescent="0.2">
      <c r="A252" s="224" t="s">
        <v>694</v>
      </c>
      <c r="B252" s="225" t="s">
        <v>695</v>
      </c>
      <c r="C252" s="226" t="s">
        <v>651</v>
      </c>
      <c r="D252" s="226" t="s">
        <v>192</v>
      </c>
      <c r="E252" s="226" t="s">
        <v>696</v>
      </c>
      <c r="F252" s="227" t="s">
        <v>0</v>
      </c>
      <c r="G252" s="228" t="s">
        <v>81</v>
      </c>
      <c r="H252" s="228"/>
      <c r="I252" s="223">
        <v>1</v>
      </c>
      <c r="J252" s="229">
        <v>0</v>
      </c>
      <c r="K252" s="229">
        <v>2</v>
      </c>
      <c r="L252" s="229" t="s">
        <v>256</v>
      </c>
      <c r="M252" s="229" t="s">
        <v>257</v>
      </c>
      <c r="N252" s="230" t="str">
        <f>IF(ISERROR(MATCH(A252,MemMap!$A$4:$A$98,0)) = FALSE, INDEX(MemMap!$B$4:$B$98,MATCH(A252,MemMap!$A$4:$A$98,0)),IF(F252="Y","TunSetCalSeg",IF(G252="Y", "FlashCalSeg", IF(G252="N", "FlashAppSeg", ""))))</f>
        <v>FlashCalSeg</v>
      </c>
      <c r="O252" s="220"/>
      <c r="P252" s="220"/>
      <c r="Q252" s="221"/>
      <c r="R252" s="221"/>
    </row>
    <row r="253" spans="1:18" ht="22.5" x14ac:dyDescent="0.2">
      <c r="A253" s="224" t="s">
        <v>697</v>
      </c>
      <c r="B253" s="225" t="s">
        <v>698</v>
      </c>
      <c r="C253" s="226" t="s">
        <v>651</v>
      </c>
      <c r="D253" s="226" t="s">
        <v>192</v>
      </c>
      <c r="E253" s="226" t="s">
        <v>699</v>
      </c>
      <c r="F253" s="227" t="s">
        <v>0</v>
      </c>
      <c r="G253" s="228" t="s">
        <v>81</v>
      </c>
      <c r="H253" s="228"/>
      <c r="I253" s="223">
        <v>1</v>
      </c>
      <c r="J253" s="229">
        <v>0</v>
      </c>
      <c r="K253" s="229">
        <v>2</v>
      </c>
      <c r="L253" s="229" t="s">
        <v>256</v>
      </c>
      <c r="M253" s="229" t="s">
        <v>257</v>
      </c>
      <c r="N253" s="230" t="str">
        <f>IF(ISERROR(MATCH(A253,MemMap!$A$4:$A$98,0)) = FALSE, INDEX(MemMap!$B$4:$B$98,MATCH(A253,MemMap!$A$4:$A$98,0)),IF(F253="Y","TunSetCalSeg",IF(G253="Y", "FlashCalSeg", IF(G253="N", "FlashAppSeg", ""))))</f>
        <v>FlashCalSeg</v>
      </c>
      <c r="O253" s="220"/>
      <c r="P253" s="220"/>
      <c r="Q253" s="221"/>
      <c r="R253" s="221"/>
    </row>
    <row r="254" spans="1:18" ht="33.75" x14ac:dyDescent="0.2">
      <c r="A254" s="224" t="s">
        <v>686</v>
      </c>
      <c r="B254" s="225" t="s">
        <v>687</v>
      </c>
      <c r="C254" s="226" t="s">
        <v>651</v>
      </c>
      <c r="D254" s="226" t="s">
        <v>192</v>
      </c>
      <c r="E254" s="226" t="s">
        <v>688</v>
      </c>
      <c r="F254" s="227" t="s">
        <v>0</v>
      </c>
      <c r="G254" s="228" t="s">
        <v>81</v>
      </c>
      <c r="H254" s="228"/>
      <c r="I254" s="223" t="s">
        <v>689</v>
      </c>
      <c r="J254" s="229">
        <v>0</v>
      </c>
      <c r="K254" s="229">
        <v>8.8000000000000007</v>
      </c>
      <c r="L254" s="229" t="s">
        <v>690</v>
      </c>
      <c r="M254" s="229" t="s">
        <v>675</v>
      </c>
      <c r="N254" s="230" t="str">
        <f>IF(ISERROR(MATCH(A254,MemMap!$A$4:$A$98,0)) = FALSE, INDEX(MemMap!$B$4:$B$98,MATCH(A254,MemMap!$A$4:$A$98,0)),IF(F254="Y","TunSetCalSeg",IF(G254="Y", "FlashCalSeg", IF(G254="N", "FlashAppSeg", ""))))</f>
        <v>FlashCalSeg</v>
      </c>
      <c r="O254" s="220"/>
      <c r="P254" s="220"/>
      <c r="Q254" s="221"/>
      <c r="R254" s="221"/>
    </row>
    <row r="255" spans="1:18" ht="33.75" x14ac:dyDescent="0.2">
      <c r="A255" s="224" t="s">
        <v>676</v>
      </c>
      <c r="B255" s="225" t="s">
        <v>677</v>
      </c>
      <c r="C255" s="226" t="s">
        <v>651</v>
      </c>
      <c r="D255" s="226" t="s">
        <v>192</v>
      </c>
      <c r="E255" s="226" t="s">
        <v>678</v>
      </c>
      <c r="F255" s="227" t="s">
        <v>0</v>
      </c>
      <c r="G255" s="228" t="s">
        <v>81</v>
      </c>
      <c r="H255" s="228"/>
      <c r="I255" s="223" t="s">
        <v>679</v>
      </c>
      <c r="J255" s="229">
        <v>0</v>
      </c>
      <c r="K255" s="229">
        <v>10</v>
      </c>
      <c r="L255" s="229" t="s">
        <v>256</v>
      </c>
      <c r="M255" s="229" t="s">
        <v>675</v>
      </c>
      <c r="N255" s="230" t="str">
        <f>IF(ISERROR(MATCH(A255,MemMap!$A$4:$A$98,0)) = FALSE, INDEX(MemMap!$B$4:$B$98,MATCH(A255,MemMap!$A$4:$A$98,0)),IF(F255="Y","TunSetCalSeg",IF(G255="Y", "FlashCalSeg", IF(G255="N", "FlashAppSeg", ""))))</f>
        <v>FlashCalSeg</v>
      </c>
      <c r="O255" s="220"/>
      <c r="P255" s="220"/>
      <c r="Q255" s="221"/>
      <c r="R255" s="221"/>
    </row>
    <row r="256" spans="1:18" ht="33.75" x14ac:dyDescent="0.2">
      <c r="A256" s="224" t="s">
        <v>680</v>
      </c>
      <c r="B256" s="225" t="s">
        <v>681</v>
      </c>
      <c r="C256" s="226" t="s">
        <v>651</v>
      </c>
      <c r="D256" s="226" t="s">
        <v>192</v>
      </c>
      <c r="E256" s="226" t="s">
        <v>678</v>
      </c>
      <c r="F256" s="227" t="s">
        <v>0</v>
      </c>
      <c r="G256" s="228" t="s">
        <v>81</v>
      </c>
      <c r="H256" s="228"/>
      <c r="I256" s="223" t="s">
        <v>679</v>
      </c>
      <c r="J256" s="229">
        <v>0</v>
      </c>
      <c r="K256" s="229">
        <v>10</v>
      </c>
      <c r="L256" s="229" t="s">
        <v>256</v>
      </c>
      <c r="M256" s="229" t="s">
        <v>675</v>
      </c>
      <c r="N256" s="230" t="str">
        <f>IF(ISERROR(MATCH(A256,MemMap!$A$4:$A$98,0)) = FALSE, INDEX(MemMap!$B$4:$B$98,MATCH(A256,MemMap!$A$4:$A$98,0)),IF(F256="Y","TunSetCalSeg",IF(G256="Y", "FlashCalSeg", IF(G256="N", "FlashAppSeg", ""))))</f>
        <v>FlashCalSeg</v>
      </c>
      <c r="O256" s="220"/>
      <c r="P256" s="220"/>
      <c r="Q256" s="221"/>
      <c r="R256" s="221"/>
    </row>
    <row r="257" spans="1:18" ht="33.75" x14ac:dyDescent="0.2">
      <c r="A257" s="224" t="s">
        <v>682</v>
      </c>
      <c r="B257" s="225" t="s">
        <v>683</v>
      </c>
      <c r="C257" s="226" t="s">
        <v>651</v>
      </c>
      <c r="D257" s="226" t="s">
        <v>192</v>
      </c>
      <c r="E257" s="226" t="s">
        <v>678</v>
      </c>
      <c r="F257" s="227" t="s">
        <v>0</v>
      </c>
      <c r="G257" s="228" t="s">
        <v>81</v>
      </c>
      <c r="H257" s="228"/>
      <c r="I257" s="223" t="s">
        <v>679</v>
      </c>
      <c r="J257" s="229">
        <v>0</v>
      </c>
      <c r="K257" s="229">
        <v>10</v>
      </c>
      <c r="L257" s="229" t="s">
        <v>256</v>
      </c>
      <c r="M257" s="229" t="s">
        <v>675</v>
      </c>
      <c r="N257" s="230" t="str">
        <f>IF(ISERROR(MATCH(A257,MemMap!$A$4:$A$98,0)) = FALSE, INDEX(MemMap!$B$4:$B$98,MATCH(A257,MemMap!$A$4:$A$98,0)),IF(F257="Y","TunSetCalSeg",IF(G257="Y", "FlashCalSeg", IF(G257="N", "FlashAppSeg", ""))))</f>
        <v>FlashCalSeg</v>
      </c>
      <c r="O257" s="220"/>
      <c r="P257" s="220"/>
      <c r="Q257" s="221"/>
      <c r="R257" s="221"/>
    </row>
    <row r="258" spans="1:18" ht="33.75" x14ac:dyDescent="0.2">
      <c r="A258" s="224" t="s">
        <v>684</v>
      </c>
      <c r="B258" s="225" t="s">
        <v>685</v>
      </c>
      <c r="C258" s="226" t="s">
        <v>651</v>
      </c>
      <c r="D258" s="226" t="s">
        <v>192</v>
      </c>
      <c r="E258" s="226" t="s">
        <v>678</v>
      </c>
      <c r="F258" s="227" t="s">
        <v>0</v>
      </c>
      <c r="G258" s="228" t="s">
        <v>81</v>
      </c>
      <c r="H258" s="228"/>
      <c r="I258" s="223" t="s">
        <v>679</v>
      </c>
      <c r="J258" s="229">
        <v>0</v>
      </c>
      <c r="K258" s="229">
        <v>10</v>
      </c>
      <c r="L258" s="229" t="s">
        <v>256</v>
      </c>
      <c r="M258" s="229" t="s">
        <v>675</v>
      </c>
      <c r="N258" s="230" t="str">
        <f>IF(ISERROR(MATCH(A258,MemMap!$A$4:$A$98,0)) = FALSE, INDEX(MemMap!$B$4:$B$98,MATCH(A258,MemMap!$A$4:$A$98,0)),IF(F258="Y","TunSetCalSeg",IF(G258="Y", "FlashCalSeg", IF(G258="N", "FlashAppSeg", ""))))</f>
        <v>FlashCalSeg</v>
      </c>
      <c r="O258" s="220"/>
      <c r="P258" s="220"/>
      <c r="Q258" s="221"/>
      <c r="R258" s="221"/>
    </row>
    <row r="259" spans="1:18" ht="33.75" x14ac:dyDescent="0.2">
      <c r="A259" s="224" t="s">
        <v>659</v>
      </c>
      <c r="B259" s="225" t="s">
        <v>660</v>
      </c>
      <c r="C259" s="226" t="s">
        <v>651</v>
      </c>
      <c r="D259" s="226" t="s">
        <v>192</v>
      </c>
      <c r="E259" s="226" t="s">
        <v>661</v>
      </c>
      <c r="F259" s="227" t="s">
        <v>0</v>
      </c>
      <c r="G259" s="228" t="s">
        <v>81</v>
      </c>
      <c r="H259" s="228"/>
      <c r="I259" s="223" t="s">
        <v>662</v>
      </c>
      <c r="J259" s="229">
        <v>0</v>
      </c>
      <c r="K259" s="229">
        <v>10</v>
      </c>
      <c r="L259" s="229" t="s">
        <v>261</v>
      </c>
      <c r="M259" s="229" t="s">
        <v>253</v>
      </c>
      <c r="N259" s="230" t="str">
        <f>IF(ISERROR(MATCH(A259,MemMap!$A$4:$A$98,0)) = FALSE, INDEX(MemMap!$B$4:$B$98,MATCH(A259,MemMap!$A$4:$A$98,0)),IF(F259="Y","TunSetCalSeg",IF(G259="Y", "FlashCalSeg", IF(G259="N", "FlashAppSeg", ""))))</f>
        <v>FlashCalSeg</v>
      </c>
      <c r="O259" s="220"/>
      <c r="P259" s="220"/>
      <c r="Q259" s="221"/>
      <c r="R259" s="221"/>
    </row>
    <row r="260" spans="1:18" ht="33.75" x14ac:dyDescent="0.2">
      <c r="A260" s="224" t="s">
        <v>663</v>
      </c>
      <c r="B260" s="225" t="s">
        <v>664</v>
      </c>
      <c r="C260" s="226" t="s">
        <v>651</v>
      </c>
      <c r="D260" s="226" t="s">
        <v>192</v>
      </c>
      <c r="E260" s="226" t="s">
        <v>661</v>
      </c>
      <c r="F260" s="227" t="s">
        <v>0</v>
      </c>
      <c r="G260" s="228" t="s">
        <v>81</v>
      </c>
      <c r="H260" s="228"/>
      <c r="I260" s="223" t="s">
        <v>665</v>
      </c>
      <c r="J260" s="229">
        <v>0</v>
      </c>
      <c r="K260" s="229">
        <v>1</v>
      </c>
      <c r="L260" s="229" t="s">
        <v>256</v>
      </c>
      <c r="M260" s="229" t="s">
        <v>666</v>
      </c>
      <c r="N260" s="230" t="str">
        <f>IF(ISERROR(MATCH(A260,MemMap!$A$4:$A$98,0)) = FALSE, INDEX(MemMap!$B$4:$B$98,MATCH(A260,MemMap!$A$4:$A$98,0)),IF(F260="Y","TunSetCalSeg",IF(G260="Y", "FlashCalSeg", IF(G260="N", "FlashAppSeg", ""))))</f>
        <v>FlashCalSeg</v>
      </c>
      <c r="O260" s="220"/>
      <c r="P260" s="220"/>
      <c r="Q260" s="221"/>
      <c r="R260" s="221"/>
    </row>
    <row r="261" spans="1:18" ht="33.75" x14ac:dyDescent="0.2">
      <c r="A261" s="224" t="s">
        <v>667</v>
      </c>
      <c r="B261" s="225" t="s">
        <v>668</v>
      </c>
      <c r="C261" s="226" t="s">
        <v>651</v>
      </c>
      <c r="D261" s="226" t="s">
        <v>192</v>
      </c>
      <c r="E261" s="226" t="s">
        <v>669</v>
      </c>
      <c r="F261" s="227" t="s">
        <v>81</v>
      </c>
      <c r="G261" s="228" t="s">
        <v>81</v>
      </c>
      <c r="H261" s="228"/>
      <c r="I261" s="223" t="s">
        <v>670</v>
      </c>
      <c r="J261" s="229">
        <v>-40</v>
      </c>
      <c r="K261" s="229">
        <v>150</v>
      </c>
      <c r="L261" s="229" t="s">
        <v>519</v>
      </c>
      <c r="M261" s="229" t="s">
        <v>671</v>
      </c>
      <c r="N261" s="230" t="str">
        <f>IF(ISERROR(MATCH(A261,MemMap!$A$4:$A$98,0)) = FALSE, INDEX(MemMap!$B$4:$B$98,MATCH(A261,MemMap!$A$4:$A$98,0)),IF(F261="Y","TunSetCalSeg",IF(G261="Y", "FlashCalSeg", IF(G261="N", "FlashAppSeg", ""))))</f>
        <v>TunSetCalSeg</v>
      </c>
      <c r="O261" s="220"/>
      <c r="P261" s="220"/>
      <c r="Q261" s="221"/>
      <c r="R261" s="221"/>
    </row>
    <row r="262" spans="1:18" ht="33.75" x14ac:dyDescent="0.2">
      <c r="A262" s="224" t="s">
        <v>672</v>
      </c>
      <c r="B262" s="225" t="s">
        <v>673</v>
      </c>
      <c r="C262" s="226" t="s">
        <v>651</v>
      </c>
      <c r="D262" s="226" t="s">
        <v>192</v>
      </c>
      <c r="E262" s="226" t="s">
        <v>669</v>
      </c>
      <c r="F262" s="227" t="s">
        <v>81</v>
      </c>
      <c r="G262" s="228" t="s">
        <v>81</v>
      </c>
      <c r="H262" s="228"/>
      <c r="I262" s="223" t="s">
        <v>674</v>
      </c>
      <c r="J262" s="229">
        <v>0</v>
      </c>
      <c r="K262" s="229">
        <v>10</v>
      </c>
      <c r="L262" s="229" t="s">
        <v>256</v>
      </c>
      <c r="M262" s="229" t="s">
        <v>675</v>
      </c>
      <c r="N262" s="230" t="str">
        <f>IF(ISERROR(MATCH(A262,MemMap!$A$4:$A$98,0)) = FALSE, INDEX(MemMap!$B$4:$B$98,MATCH(A262,MemMap!$A$4:$A$98,0)),IF(F262="Y","TunSetCalSeg",IF(G262="Y", "FlashCalSeg", IF(G262="N", "FlashAppSeg", ""))))</f>
        <v>TunSetCalSeg</v>
      </c>
      <c r="O262" s="220"/>
      <c r="P262" s="220"/>
      <c r="Q262" s="221"/>
      <c r="R262" s="221"/>
    </row>
    <row r="263" spans="1:18" ht="409.5" x14ac:dyDescent="0.2">
      <c r="A263" s="224" t="s">
        <v>2030</v>
      </c>
      <c r="B263" s="225" t="s">
        <v>649</v>
      </c>
      <c r="C263" s="226" t="s">
        <v>651</v>
      </c>
      <c r="D263" s="226" t="s">
        <v>192</v>
      </c>
      <c r="E263" s="226" t="s">
        <v>650</v>
      </c>
      <c r="F263" s="227" t="s">
        <v>0</v>
      </c>
      <c r="G263" s="228" t="s">
        <v>81</v>
      </c>
      <c r="H263" s="228" t="s">
        <v>652</v>
      </c>
      <c r="I263" s="223" t="s">
        <v>2051</v>
      </c>
      <c r="J263" s="229">
        <v>0</v>
      </c>
      <c r="K263" s="229">
        <v>700</v>
      </c>
      <c r="L263" s="229" t="s">
        <v>259</v>
      </c>
      <c r="M263" s="229" t="s">
        <v>653</v>
      </c>
      <c r="N263" s="230" t="str">
        <f>IF(ISERROR(MATCH(A263,MemMap!$A$4:$A$98,0)) = FALSE, INDEX(MemMap!$B$4:$B$98,MATCH(A263,MemMap!$A$4:$A$98,0)),IF(F263="Y","TunSetCalSeg",IF(G263="Y", "FlashCalSeg", IF(G263="N", "FlashAppSeg", ""))))</f>
        <v>FlashCalSeg</v>
      </c>
      <c r="O263" s="220"/>
      <c r="P263" s="220"/>
      <c r="Q263" s="221"/>
      <c r="R263" s="221"/>
    </row>
    <row r="264" spans="1:18" ht="393.75" x14ac:dyDescent="0.2">
      <c r="A264" s="224" t="s">
        <v>2031</v>
      </c>
      <c r="B264" s="225" t="s">
        <v>654</v>
      </c>
      <c r="C264" s="226" t="s">
        <v>651</v>
      </c>
      <c r="D264" s="226" t="s">
        <v>192</v>
      </c>
      <c r="E264" s="226" t="s">
        <v>650</v>
      </c>
      <c r="F264" s="227" t="s">
        <v>0</v>
      </c>
      <c r="G264" s="228" t="s">
        <v>81</v>
      </c>
      <c r="H264" s="228" t="s">
        <v>655</v>
      </c>
      <c r="I264" s="223" t="s">
        <v>2052</v>
      </c>
      <c r="J264" s="229">
        <v>0</v>
      </c>
      <c r="K264" s="229">
        <v>8.8000000000000007</v>
      </c>
      <c r="L264" s="229" t="s">
        <v>252</v>
      </c>
      <c r="M264" s="229" t="s">
        <v>377</v>
      </c>
      <c r="N264" s="230" t="str">
        <f>IF(ISERROR(MATCH(A264,MemMap!$A$4:$A$98,0)) = FALSE, INDEX(MemMap!$B$4:$B$98,MATCH(A264,MemMap!$A$4:$A$98,0)),IF(F264="Y","TunSetCalSeg",IF(G264="Y", "FlashCalSeg", IF(G264="N", "FlashAppSeg", ""))))</f>
        <v>FlashCalSeg</v>
      </c>
      <c r="O264" s="220"/>
      <c r="P264" s="220"/>
      <c r="Q264" s="221"/>
      <c r="R264" s="221"/>
    </row>
    <row r="265" spans="1:18" ht="22.5" x14ac:dyDescent="0.2">
      <c r="A265" s="224" t="s">
        <v>783</v>
      </c>
      <c r="B265" s="225" t="s">
        <v>784</v>
      </c>
      <c r="C265" s="226" t="s">
        <v>731</v>
      </c>
      <c r="D265" s="226" t="s">
        <v>245</v>
      </c>
      <c r="E265" s="226"/>
      <c r="F265" s="227" t="s">
        <v>81</v>
      </c>
      <c r="G265" s="228" t="s">
        <v>81</v>
      </c>
      <c r="H265" s="228"/>
      <c r="I265" s="223">
        <v>0.2</v>
      </c>
      <c r="J265" s="229">
        <v>0</v>
      </c>
      <c r="K265" s="229">
        <v>8.8000000000000007</v>
      </c>
      <c r="L265" s="229" t="s">
        <v>252</v>
      </c>
      <c r="M265" s="229" t="s">
        <v>257</v>
      </c>
      <c r="N265" s="230" t="str">
        <f>IF(ISERROR(MATCH(A265,MemMap!$A$4:$A$98,0)) = FALSE, INDEX(MemMap!$B$4:$B$98,MATCH(A265,MemMap!$A$4:$A$98,0)),IF(F265="Y","TunSetCalSeg",IF(G265="Y", "FlashCalSeg", IF(G265="N", "FlashAppSeg", ""))))</f>
        <v>TunSetCalSeg</v>
      </c>
      <c r="O265" s="220"/>
      <c r="P265" s="220"/>
      <c r="Q265" s="221"/>
      <c r="R265" s="221"/>
    </row>
    <row r="266" spans="1:18" ht="33.75" x14ac:dyDescent="0.2">
      <c r="A266" s="224" t="s">
        <v>732</v>
      </c>
      <c r="B266" s="225" t="s">
        <v>733</v>
      </c>
      <c r="C266" s="226" t="s">
        <v>731</v>
      </c>
      <c r="D266" s="226" t="s">
        <v>245</v>
      </c>
      <c r="E266" s="226" t="s">
        <v>734</v>
      </c>
      <c r="F266" s="227" t="s">
        <v>81</v>
      </c>
      <c r="G266" s="228" t="s">
        <v>81</v>
      </c>
      <c r="H266" s="228"/>
      <c r="I266" s="223">
        <v>2</v>
      </c>
      <c r="J266" s="229">
        <v>0.1</v>
      </c>
      <c r="K266" s="229">
        <v>100</v>
      </c>
      <c r="L266" s="229" t="s">
        <v>258</v>
      </c>
      <c r="M266" s="229" t="s">
        <v>257</v>
      </c>
      <c r="N266" s="230" t="str">
        <f>IF(ISERROR(MATCH(A266,MemMap!$A$4:$A$98,0)) = FALSE, INDEX(MemMap!$B$4:$B$98,MATCH(A266,MemMap!$A$4:$A$98,0)),IF(F266="Y","TunSetCalSeg",IF(G266="Y", "FlashCalSeg", IF(G266="N", "FlashAppSeg", ""))))</f>
        <v>TunSetCalSeg</v>
      </c>
      <c r="O266" s="220"/>
      <c r="P266" s="220"/>
      <c r="Q266" s="221"/>
      <c r="R266" s="221"/>
    </row>
    <row r="267" spans="1:18" ht="22.5" x14ac:dyDescent="0.2">
      <c r="A267" s="224" t="s">
        <v>779</v>
      </c>
      <c r="B267" s="225" t="s">
        <v>780</v>
      </c>
      <c r="C267" s="226" t="s">
        <v>731</v>
      </c>
      <c r="D267" s="226" t="s">
        <v>245</v>
      </c>
      <c r="E267" s="226"/>
      <c r="F267" s="227" t="s">
        <v>81</v>
      </c>
      <c r="G267" s="228" t="s">
        <v>81</v>
      </c>
      <c r="H267" s="228"/>
      <c r="I267" s="223">
        <v>1</v>
      </c>
      <c r="J267" s="229">
        <v>0</v>
      </c>
      <c r="K267" s="229">
        <v>5000</v>
      </c>
      <c r="L267" s="229" t="s">
        <v>267</v>
      </c>
      <c r="M267" s="229" t="s">
        <v>263</v>
      </c>
      <c r="N267" s="230" t="str">
        <f>IF(ISERROR(MATCH(A267,MemMap!$A$4:$A$98,0)) = FALSE, INDEX(MemMap!$B$4:$B$98,MATCH(A267,MemMap!$A$4:$A$98,0)),IF(F267="Y","TunSetCalSeg",IF(G267="Y", "FlashCalSeg", IF(G267="N", "FlashAppSeg", ""))))</f>
        <v>TunSetCalSeg</v>
      </c>
      <c r="O267" s="220"/>
      <c r="P267" s="220"/>
      <c r="Q267" s="221"/>
      <c r="R267" s="221"/>
    </row>
    <row r="268" spans="1:18" ht="22.5" x14ac:dyDescent="0.2">
      <c r="A268" s="224" t="s">
        <v>777</v>
      </c>
      <c r="B268" s="225" t="s">
        <v>778</v>
      </c>
      <c r="C268" s="226" t="s">
        <v>731</v>
      </c>
      <c r="D268" s="226" t="s">
        <v>245</v>
      </c>
      <c r="E268" s="226"/>
      <c r="F268" s="227" t="s">
        <v>81</v>
      </c>
      <c r="G268" s="228" t="s">
        <v>81</v>
      </c>
      <c r="H268" s="228"/>
      <c r="I268" s="223">
        <v>1</v>
      </c>
      <c r="J268" s="229">
        <v>0</v>
      </c>
      <c r="K268" s="229">
        <v>5000</v>
      </c>
      <c r="L268" s="229" t="s">
        <v>267</v>
      </c>
      <c r="M268" s="229" t="s">
        <v>263</v>
      </c>
      <c r="N268" s="230" t="str">
        <f>IF(ISERROR(MATCH(A268,MemMap!$A$4:$A$98,0)) = FALSE, INDEX(MemMap!$B$4:$B$98,MATCH(A268,MemMap!$A$4:$A$98,0)),IF(F268="Y","TunSetCalSeg",IF(G268="Y", "FlashCalSeg", IF(G268="N", "FlashAppSeg", ""))))</f>
        <v>TunSetCalSeg</v>
      </c>
      <c r="O268" s="220"/>
      <c r="P268" s="220"/>
      <c r="Q268" s="221"/>
      <c r="R268" s="221"/>
    </row>
    <row r="269" spans="1:18" ht="22.5" x14ac:dyDescent="0.2">
      <c r="A269" s="224" t="s">
        <v>728</v>
      </c>
      <c r="B269" s="225" t="s">
        <v>729</v>
      </c>
      <c r="C269" s="226" t="s">
        <v>731</v>
      </c>
      <c r="D269" s="226" t="s">
        <v>245</v>
      </c>
      <c r="E269" s="226" t="s">
        <v>730</v>
      </c>
      <c r="F269" s="227" t="s">
        <v>81</v>
      </c>
      <c r="G269" s="228" t="s">
        <v>81</v>
      </c>
      <c r="H269" s="228"/>
      <c r="I269" s="223">
        <v>5</v>
      </c>
      <c r="J269" s="229">
        <v>-8.8000000000000007</v>
      </c>
      <c r="K269" s="229">
        <v>8.8000000000000007</v>
      </c>
      <c r="L269" s="229" t="s">
        <v>252</v>
      </c>
      <c r="M269" s="229" t="s">
        <v>257</v>
      </c>
      <c r="N269" s="230" t="str">
        <f>IF(ISERROR(MATCH(A269,MemMap!$A$4:$A$98,0)) = FALSE, INDEX(MemMap!$B$4:$B$98,MATCH(A269,MemMap!$A$4:$A$98,0)),IF(F269="Y","TunSetCalSeg",IF(G269="Y", "FlashCalSeg", IF(G269="N", "FlashAppSeg", ""))))</f>
        <v>TunSetCalSeg</v>
      </c>
      <c r="O269" s="220"/>
      <c r="P269" s="220"/>
      <c r="Q269" s="221"/>
      <c r="R269" s="221"/>
    </row>
    <row r="270" spans="1:18" ht="22.5" x14ac:dyDescent="0.2">
      <c r="A270" s="224" t="s">
        <v>769</v>
      </c>
      <c r="B270" s="225" t="s">
        <v>770</v>
      </c>
      <c r="C270" s="226" t="s">
        <v>731</v>
      </c>
      <c r="D270" s="226" t="s">
        <v>245</v>
      </c>
      <c r="E270" s="226" t="s">
        <v>429</v>
      </c>
      <c r="F270" s="227" t="s">
        <v>81</v>
      </c>
      <c r="G270" s="228" t="s">
        <v>81</v>
      </c>
      <c r="H270" s="228"/>
      <c r="I270" s="223">
        <v>1</v>
      </c>
      <c r="J270" s="229">
        <v>0</v>
      </c>
      <c r="K270" s="229">
        <v>5000</v>
      </c>
      <c r="L270" s="229" t="s">
        <v>267</v>
      </c>
      <c r="M270" s="229" t="s">
        <v>263</v>
      </c>
      <c r="N270" s="230" t="str">
        <f>IF(ISERROR(MATCH(A270,MemMap!$A$4:$A$98,0)) = FALSE, INDEX(MemMap!$B$4:$B$98,MATCH(A270,MemMap!$A$4:$A$98,0)),IF(F270="Y","TunSetCalSeg",IF(G270="Y", "FlashCalSeg", IF(G270="N", "FlashAppSeg", ""))))</f>
        <v>TunSetCalSeg</v>
      </c>
      <c r="O270" s="220"/>
      <c r="P270" s="220"/>
      <c r="Q270" s="221"/>
      <c r="R270" s="221"/>
    </row>
    <row r="271" spans="1:18" ht="22.5" x14ac:dyDescent="0.2">
      <c r="A271" s="224" t="s">
        <v>767</v>
      </c>
      <c r="B271" s="225" t="s">
        <v>768</v>
      </c>
      <c r="C271" s="226" t="s">
        <v>731</v>
      </c>
      <c r="D271" s="226" t="s">
        <v>245</v>
      </c>
      <c r="E271" s="226" t="s">
        <v>426</v>
      </c>
      <c r="F271" s="227" t="s">
        <v>81</v>
      </c>
      <c r="G271" s="228" t="s">
        <v>81</v>
      </c>
      <c r="H271" s="228"/>
      <c r="I271" s="223">
        <v>1</v>
      </c>
      <c r="J271" s="229">
        <v>0</v>
      </c>
      <c r="K271" s="229">
        <v>5000</v>
      </c>
      <c r="L271" s="229" t="s">
        <v>267</v>
      </c>
      <c r="M271" s="229" t="s">
        <v>263</v>
      </c>
      <c r="N271" s="230" t="str">
        <f>IF(ISERROR(MATCH(A271,MemMap!$A$4:$A$98,0)) = FALSE, INDEX(MemMap!$B$4:$B$98,MATCH(A271,MemMap!$A$4:$A$98,0)),IF(F271="Y","TunSetCalSeg",IF(G271="Y", "FlashCalSeg", IF(G271="N", "FlashAppSeg", ""))))</f>
        <v>TunSetCalSeg</v>
      </c>
      <c r="O271" s="220"/>
      <c r="P271" s="220"/>
      <c r="Q271" s="221"/>
      <c r="R271" s="221"/>
    </row>
    <row r="272" spans="1:18" ht="22.5" x14ac:dyDescent="0.2">
      <c r="A272" s="224" t="s">
        <v>835</v>
      </c>
      <c r="B272" s="225" t="s">
        <v>836</v>
      </c>
      <c r="C272" s="226" t="s">
        <v>731</v>
      </c>
      <c r="D272" s="226" t="s">
        <v>245</v>
      </c>
      <c r="E272" s="226" t="s">
        <v>837</v>
      </c>
      <c r="F272" s="227" t="s">
        <v>81</v>
      </c>
      <c r="G272" s="228" t="s">
        <v>81</v>
      </c>
      <c r="H272" s="228"/>
      <c r="I272" s="223">
        <v>10</v>
      </c>
      <c r="J272" s="229">
        <v>1</v>
      </c>
      <c r="K272" s="229">
        <v>200</v>
      </c>
      <c r="L272" s="229" t="s">
        <v>258</v>
      </c>
      <c r="M272" s="229" t="s">
        <v>257</v>
      </c>
      <c r="N272" s="230" t="str">
        <f>IF(ISERROR(MATCH(A272,MemMap!$A$4:$A$98,0)) = FALSE, INDEX(MemMap!$B$4:$B$98,MATCH(A272,MemMap!$A$4:$A$98,0)),IF(F272="Y","TunSetCalSeg",IF(G272="Y", "FlashCalSeg", IF(G272="N", "FlashAppSeg", ""))))</f>
        <v>TunSetCalSeg</v>
      </c>
      <c r="O272" s="220"/>
      <c r="P272" s="220"/>
      <c r="Q272" s="221"/>
      <c r="R272" s="221"/>
    </row>
    <row r="273" spans="1:18" ht="22.5" x14ac:dyDescent="0.2">
      <c r="A273" s="224" t="s">
        <v>2032</v>
      </c>
      <c r="B273" s="225" t="s">
        <v>2033</v>
      </c>
      <c r="C273" s="226" t="s">
        <v>731</v>
      </c>
      <c r="D273" s="226" t="s">
        <v>245</v>
      </c>
      <c r="E273" s="226"/>
      <c r="F273" s="227" t="s">
        <v>0</v>
      </c>
      <c r="G273" s="228" t="s">
        <v>81</v>
      </c>
      <c r="H273" s="228"/>
      <c r="I273" s="223">
        <v>25</v>
      </c>
      <c r="J273" s="229">
        <v>1</v>
      </c>
      <c r="K273" s="229">
        <v>200</v>
      </c>
      <c r="L273" s="229" t="s">
        <v>258</v>
      </c>
      <c r="M273" s="229" t="s">
        <v>257</v>
      </c>
      <c r="N273" s="230" t="str">
        <f>IF(ISERROR(MATCH(A273,MemMap!$A$4:$A$98,0)) = FALSE, INDEX(MemMap!$B$4:$B$98,MATCH(A273,MemMap!$A$4:$A$98,0)),IF(F273="Y","TunSetCalSeg",IF(G273="Y", "FlashCalSeg", IF(G273="N", "FlashAppSeg", ""))))</f>
        <v>FlashCalSeg</v>
      </c>
      <c r="O273" s="220"/>
      <c r="P273" s="220"/>
      <c r="Q273" s="221"/>
      <c r="R273" s="221"/>
    </row>
    <row r="274" spans="1:18" ht="33.75" x14ac:dyDescent="0.2">
      <c r="A274" s="224" t="s">
        <v>735</v>
      </c>
      <c r="B274" s="225" t="s">
        <v>736</v>
      </c>
      <c r="C274" s="226" t="s">
        <v>731</v>
      </c>
      <c r="D274" s="226" t="s">
        <v>245</v>
      </c>
      <c r="E274" s="226" t="s">
        <v>737</v>
      </c>
      <c r="F274" s="227" t="s">
        <v>81</v>
      </c>
      <c r="G274" s="228" t="s">
        <v>81</v>
      </c>
      <c r="H274" s="228" t="s">
        <v>738</v>
      </c>
      <c r="I274" s="223" t="s">
        <v>739</v>
      </c>
      <c r="J274" s="229">
        <v>0</v>
      </c>
      <c r="K274" s="229">
        <v>1023</v>
      </c>
      <c r="L274" s="229" t="s">
        <v>259</v>
      </c>
      <c r="M274" s="229" t="s">
        <v>471</v>
      </c>
      <c r="N274" s="230" t="str">
        <f>IF(ISERROR(MATCH(A274,MemMap!$A$4:$A$98,0)) = FALSE, INDEX(MemMap!$B$4:$B$98,MATCH(A274,MemMap!$A$4:$A$98,0)),IF(F274="Y","TunSetCalSeg",IF(G274="Y", "FlashCalSeg", IF(G274="N", "FlashAppSeg", ""))))</f>
        <v>TunSetCalSeg</v>
      </c>
      <c r="O274" s="220"/>
      <c r="P274" s="220"/>
      <c r="Q274" s="221"/>
      <c r="R274" s="221"/>
    </row>
    <row r="275" spans="1:18" ht="33.75" x14ac:dyDescent="0.2">
      <c r="A275" s="224" t="s">
        <v>740</v>
      </c>
      <c r="B275" s="225" t="s">
        <v>741</v>
      </c>
      <c r="C275" s="226" t="s">
        <v>731</v>
      </c>
      <c r="D275" s="226" t="s">
        <v>245</v>
      </c>
      <c r="E275" s="226" t="s">
        <v>742</v>
      </c>
      <c r="F275" s="227" t="s">
        <v>81</v>
      </c>
      <c r="G275" s="228" t="s">
        <v>81</v>
      </c>
      <c r="H275" s="228" t="s">
        <v>743</v>
      </c>
      <c r="I275" s="223" t="s">
        <v>744</v>
      </c>
      <c r="J275" s="229">
        <v>0</v>
      </c>
      <c r="K275" s="229">
        <v>8.8000000000000007</v>
      </c>
      <c r="L275" s="229" t="s">
        <v>252</v>
      </c>
      <c r="M275" s="229" t="s">
        <v>377</v>
      </c>
      <c r="N275" s="230" t="str">
        <f>IF(ISERROR(MATCH(A275,MemMap!$A$4:$A$98,0)) = FALSE, INDEX(MemMap!$B$4:$B$98,MATCH(A275,MemMap!$A$4:$A$98,0)),IF(F275="Y","TunSetCalSeg",IF(G275="Y", "FlashCalSeg", IF(G275="N", "FlashAppSeg", ""))))</f>
        <v>TunSetCalSeg</v>
      </c>
      <c r="O275" s="220"/>
      <c r="P275" s="220"/>
      <c r="Q275" s="221"/>
      <c r="R275" s="221"/>
    </row>
    <row r="276" spans="1:18" ht="33.75" x14ac:dyDescent="0.2">
      <c r="A276" s="224" t="s">
        <v>745</v>
      </c>
      <c r="B276" s="225" t="s">
        <v>746</v>
      </c>
      <c r="C276" s="226" t="s">
        <v>731</v>
      </c>
      <c r="D276" s="226" t="s">
        <v>245</v>
      </c>
      <c r="E276" s="226" t="s">
        <v>737</v>
      </c>
      <c r="F276" s="227" t="s">
        <v>81</v>
      </c>
      <c r="G276" s="228" t="s">
        <v>81</v>
      </c>
      <c r="H276" s="228" t="s">
        <v>738</v>
      </c>
      <c r="I276" s="223" t="s">
        <v>739</v>
      </c>
      <c r="J276" s="229">
        <v>0</v>
      </c>
      <c r="K276" s="229">
        <v>1023</v>
      </c>
      <c r="L276" s="229" t="s">
        <v>259</v>
      </c>
      <c r="M276" s="229" t="s">
        <v>471</v>
      </c>
      <c r="N276" s="230" t="str">
        <f>IF(ISERROR(MATCH(A276,MemMap!$A$4:$A$98,0)) = FALSE, INDEX(MemMap!$B$4:$B$98,MATCH(A276,MemMap!$A$4:$A$98,0)),IF(F276="Y","TunSetCalSeg",IF(G276="Y", "FlashCalSeg", IF(G276="N", "FlashAppSeg", ""))))</f>
        <v>TunSetCalSeg</v>
      </c>
      <c r="O276" s="220"/>
      <c r="P276" s="220"/>
      <c r="Q276" s="221"/>
      <c r="R276" s="221"/>
    </row>
    <row r="277" spans="1:18" ht="33.75" x14ac:dyDescent="0.2">
      <c r="A277" s="224" t="s">
        <v>747</v>
      </c>
      <c r="B277" s="225" t="s">
        <v>748</v>
      </c>
      <c r="C277" s="226" t="s">
        <v>731</v>
      </c>
      <c r="D277" s="226" t="s">
        <v>245</v>
      </c>
      <c r="E277" s="226" t="s">
        <v>742</v>
      </c>
      <c r="F277" s="227" t="s">
        <v>81</v>
      </c>
      <c r="G277" s="228" t="s">
        <v>81</v>
      </c>
      <c r="H277" s="228" t="s">
        <v>743</v>
      </c>
      <c r="I277" s="223" t="s">
        <v>744</v>
      </c>
      <c r="J277" s="229">
        <v>0</v>
      </c>
      <c r="K277" s="229">
        <v>8.8000000000000007</v>
      </c>
      <c r="L277" s="229" t="s">
        <v>252</v>
      </c>
      <c r="M277" s="229" t="s">
        <v>377</v>
      </c>
      <c r="N277" s="230" t="str">
        <f>IF(ISERROR(MATCH(A277,MemMap!$A$4:$A$98,0)) = FALSE, INDEX(MemMap!$B$4:$B$98,MATCH(A277,MemMap!$A$4:$A$98,0)),IF(F277="Y","TunSetCalSeg",IF(G277="Y", "FlashCalSeg", IF(G277="N", "FlashAppSeg", ""))))</f>
        <v>TunSetCalSeg</v>
      </c>
      <c r="O277" s="220"/>
      <c r="P277" s="220"/>
      <c r="Q277" s="221"/>
      <c r="R277" s="221"/>
    </row>
    <row r="278" spans="1:18" ht="22.5" x14ac:dyDescent="0.2">
      <c r="A278" s="224" t="s">
        <v>781</v>
      </c>
      <c r="B278" s="225" t="s">
        <v>782</v>
      </c>
      <c r="C278" s="226" t="s">
        <v>731</v>
      </c>
      <c r="D278" s="226" t="s">
        <v>245</v>
      </c>
      <c r="E278" s="226"/>
      <c r="F278" s="227" t="s">
        <v>81</v>
      </c>
      <c r="G278" s="228" t="s">
        <v>81</v>
      </c>
      <c r="H278" s="228"/>
      <c r="I278" s="223" t="s">
        <v>3123</v>
      </c>
      <c r="J278" s="229">
        <v>0</v>
      </c>
      <c r="K278" s="229">
        <v>5000</v>
      </c>
      <c r="L278" s="229" t="s">
        <v>267</v>
      </c>
      <c r="M278" s="229" t="s">
        <v>263</v>
      </c>
      <c r="N278" s="230" t="str">
        <f>IF(ISERROR(MATCH(A278,MemMap!$A$4:$A$98,0)) = FALSE, INDEX(MemMap!$B$4:$B$98,MATCH(A278,MemMap!$A$4:$A$98,0)),IF(F278="Y","TunSetCalSeg",IF(G278="Y", "FlashCalSeg", IF(G278="N", "FlashAppSeg", ""))))</f>
        <v>TunSetCalSeg</v>
      </c>
      <c r="O278" s="220"/>
      <c r="P278" s="220"/>
      <c r="Q278" s="221"/>
      <c r="R278" s="221"/>
    </row>
    <row r="279" spans="1:18" ht="22.5" x14ac:dyDescent="0.2">
      <c r="A279" s="224" t="s">
        <v>761</v>
      </c>
      <c r="B279" s="225" t="s">
        <v>762</v>
      </c>
      <c r="C279" s="226" t="s">
        <v>731</v>
      </c>
      <c r="D279" s="226" t="s">
        <v>245</v>
      </c>
      <c r="E279" s="226"/>
      <c r="F279" s="227" t="s">
        <v>0</v>
      </c>
      <c r="G279" s="228" t="s">
        <v>81</v>
      </c>
      <c r="H279" s="228"/>
      <c r="I279" s="223" t="s">
        <v>763</v>
      </c>
      <c r="J279" s="229">
        <v>0</v>
      </c>
      <c r="K279" s="229">
        <v>1023</v>
      </c>
      <c r="L279" s="229" t="s">
        <v>259</v>
      </c>
      <c r="M279" s="229" t="s">
        <v>471</v>
      </c>
      <c r="N279" s="230" t="str">
        <f>IF(ISERROR(MATCH(A279,MemMap!$A$4:$A$98,0)) = FALSE, INDEX(MemMap!$B$4:$B$98,MATCH(A279,MemMap!$A$4:$A$98,0)),IF(F279="Y","TunSetCalSeg",IF(G279="Y", "FlashCalSeg", IF(G279="N", "FlashAppSeg", ""))))</f>
        <v>FlashCalSeg</v>
      </c>
      <c r="O279" s="220"/>
      <c r="P279" s="220"/>
      <c r="Q279" s="221"/>
      <c r="R279" s="221"/>
    </row>
    <row r="280" spans="1:18" ht="22.5" x14ac:dyDescent="0.2">
      <c r="A280" s="224" t="s">
        <v>764</v>
      </c>
      <c r="B280" s="225" t="s">
        <v>765</v>
      </c>
      <c r="C280" s="226" t="s">
        <v>731</v>
      </c>
      <c r="D280" s="226" t="s">
        <v>245</v>
      </c>
      <c r="E280" s="226"/>
      <c r="F280" s="227" t="s">
        <v>0</v>
      </c>
      <c r="G280" s="228" t="s">
        <v>81</v>
      </c>
      <c r="H280" s="228"/>
      <c r="I280" s="223" t="s">
        <v>766</v>
      </c>
      <c r="J280" s="229">
        <v>0</v>
      </c>
      <c r="K280" s="229">
        <v>16</v>
      </c>
      <c r="L280" s="229" t="s">
        <v>252</v>
      </c>
      <c r="M280" s="229" t="s">
        <v>377</v>
      </c>
      <c r="N280" s="230" t="str">
        <f>IF(ISERROR(MATCH(A280,MemMap!$A$4:$A$98,0)) = FALSE, INDEX(MemMap!$B$4:$B$98,MATCH(A280,MemMap!$A$4:$A$98,0)),IF(F280="Y","TunSetCalSeg",IF(G280="Y", "FlashCalSeg", IF(G280="N", "FlashAppSeg", ""))))</f>
        <v>FlashCalSeg</v>
      </c>
      <c r="O280" s="220"/>
      <c r="P280" s="220"/>
      <c r="Q280" s="221"/>
      <c r="R280" s="221"/>
    </row>
    <row r="281" spans="1:18" ht="45" x14ac:dyDescent="0.2">
      <c r="A281" s="224" t="s">
        <v>771</v>
      </c>
      <c r="B281" s="225" t="s">
        <v>772</v>
      </c>
      <c r="C281" s="226" t="s">
        <v>731</v>
      </c>
      <c r="D281" s="226" t="s">
        <v>245</v>
      </c>
      <c r="E281" s="226" t="s">
        <v>432</v>
      </c>
      <c r="F281" s="227" t="s">
        <v>81</v>
      </c>
      <c r="G281" s="228" t="s">
        <v>81</v>
      </c>
      <c r="H281" s="228"/>
      <c r="I281" s="223" t="s">
        <v>773</v>
      </c>
      <c r="J281" s="229">
        <v>0</v>
      </c>
      <c r="K281" s="229">
        <v>5000</v>
      </c>
      <c r="L281" s="229" t="s">
        <v>267</v>
      </c>
      <c r="M281" s="229" t="s">
        <v>263</v>
      </c>
      <c r="N281" s="230" t="str">
        <f>IF(ISERROR(MATCH(A281,MemMap!$A$4:$A$98,0)) = FALSE, INDEX(MemMap!$B$4:$B$98,MATCH(A281,MemMap!$A$4:$A$98,0)),IF(F281="Y","TunSetCalSeg",IF(G281="Y", "FlashCalSeg", IF(G281="N", "FlashAppSeg", ""))))</f>
        <v>TunSetCalSeg</v>
      </c>
      <c r="O281" s="220"/>
      <c r="P281" s="220"/>
      <c r="Q281" s="221"/>
      <c r="R281" s="221"/>
    </row>
    <row r="282" spans="1:18" ht="22.5" x14ac:dyDescent="0.2">
      <c r="A282" s="224" t="s">
        <v>753</v>
      </c>
      <c r="B282" s="225" t="s">
        <v>754</v>
      </c>
      <c r="C282" s="226" t="s">
        <v>731</v>
      </c>
      <c r="D282" s="226" t="s">
        <v>245</v>
      </c>
      <c r="E282" s="226" t="s">
        <v>755</v>
      </c>
      <c r="F282" s="227" t="s">
        <v>0</v>
      </c>
      <c r="G282" s="228" t="s">
        <v>81</v>
      </c>
      <c r="H282" s="228" t="s">
        <v>756</v>
      </c>
      <c r="I282" s="223" t="s">
        <v>757</v>
      </c>
      <c r="J282" s="229">
        <v>-1023</v>
      </c>
      <c r="K282" s="229">
        <v>1023</v>
      </c>
      <c r="L282" s="229" t="s">
        <v>259</v>
      </c>
      <c r="M282" s="229" t="s">
        <v>1353</v>
      </c>
      <c r="N282" s="230" t="str">
        <f>IF(ISERROR(MATCH(A282,MemMap!$A$4:$A$98,0)) = FALSE, INDEX(MemMap!$B$4:$B$98,MATCH(A282,MemMap!$A$4:$A$98,0)),IF(F282="Y","TunSetCalSeg",IF(G282="Y", "FlashCalSeg", IF(G282="N", "FlashAppSeg", ""))))</f>
        <v>FlashCalSeg</v>
      </c>
      <c r="O282" s="220"/>
      <c r="P282" s="220"/>
      <c r="Q282" s="221"/>
      <c r="R282" s="221"/>
    </row>
    <row r="283" spans="1:18" ht="45" x14ac:dyDescent="0.2">
      <c r="A283" s="224" t="s">
        <v>749</v>
      </c>
      <c r="B283" s="225" t="s">
        <v>750</v>
      </c>
      <c r="C283" s="226" t="s">
        <v>731</v>
      </c>
      <c r="D283" s="226" t="s">
        <v>245</v>
      </c>
      <c r="E283" s="226" t="s">
        <v>370</v>
      </c>
      <c r="F283" s="227" t="s">
        <v>0</v>
      </c>
      <c r="G283" s="228" t="s">
        <v>81</v>
      </c>
      <c r="H283" s="228" t="s">
        <v>751</v>
      </c>
      <c r="I283" s="223" t="s">
        <v>752</v>
      </c>
      <c r="J283" s="229">
        <v>0</v>
      </c>
      <c r="K283" s="229">
        <v>511</v>
      </c>
      <c r="L283" s="229" t="s">
        <v>296</v>
      </c>
      <c r="M283" s="229" t="s">
        <v>336</v>
      </c>
      <c r="N283" s="230" t="str">
        <f>IF(ISERROR(MATCH(A283,MemMap!$A$4:$A$98,0)) = FALSE, INDEX(MemMap!$B$4:$B$98,MATCH(A283,MemMap!$A$4:$A$98,0)),IF(F283="Y","TunSetCalSeg",IF(G283="Y", "FlashCalSeg", IF(G283="N", "FlashAppSeg", ""))))</f>
        <v>FlashCalSeg</v>
      </c>
      <c r="O283" s="220"/>
      <c r="P283" s="220"/>
      <c r="Q283" s="221"/>
      <c r="R283" s="221"/>
    </row>
    <row r="284" spans="1:18" ht="90" x14ac:dyDescent="0.2">
      <c r="A284" s="224" t="s">
        <v>3124</v>
      </c>
      <c r="B284" s="225" t="s">
        <v>758</v>
      </c>
      <c r="C284" s="226" t="s">
        <v>731</v>
      </c>
      <c r="D284" s="226" t="s">
        <v>245</v>
      </c>
      <c r="E284" s="226" t="s">
        <v>422</v>
      </c>
      <c r="F284" s="227" t="s">
        <v>0</v>
      </c>
      <c r="G284" s="228" t="s">
        <v>81</v>
      </c>
      <c r="H284" s="228" t="s">
        <v>759</v>
      </c>
      <c r="I284" s="223" t="s">
        <v>3125</v>
      </c>
      <c r="J284" s="229">
        <v>-16</v>
      </c>
      <c r="K284" s="229">
        <v>16</v>
      </c>
      <c r="L284" s="229" t="s">
        <v>252</v>
      </c>
      <c r="M284" s="229" t="s">
        <v>760</v>
      </c>
      <c r="N284" s="230" t="str">
        <f>IF(ISERROR(MATCH(A284,MemMap!$A$4:$A$98,0)) = FALSE, INDEX(MemMap!$B$4:$B$98,MATCH(A284,MemMap!$A$4:$A$98,0)),IF(F284="Y","TunSetCalSeg",IF(G284="Y", "FlashCalSeg", IF(G284="N", "FlashAppSeg", ""))))</f>
        <v>FlashCalSeg</v>
      </c>
      <c r="O284" s="220"/>
      <c r="P284" s="220"/>
      <c r="Q284" s="221"/>
      <c r="R284" s="221"/>
    </row>
    <row r="285" spans="1:18" ht="33.75" x14ac:dyDescent="0.2">
      <c r="A285" s="224" t="s">
        <v>788</v>
      </c>
      <c r="B285" s="225" t="s">
        <v>789</v>
      </c>
      <c r="C285" s="226" t="s">
        <v>3146</v>
      </c>
      <c r="D285" s="226" t="s">
        <v>3147</v>
      </c>
      <c r="E285" s="226"/>
      <c r="F285" s="227" t="s">
        <v>82</v>
      </c>
      <c r="G285" s="228" t="s">
        <v>82</v>
      </c>
      <c r="H285" s="228"/>
      <c r="I285" s="223">
        <v>22</v>
      </c>
      <c r="J285" s="229">
        <v>1</v>
      </c>
      <c r="K285" s="229">
        <v>100</v>
      </c>
      <c r="L285" s="229" t="s">
        <v>256</v>
      </c>
      <c r="M285" s="229" t="s">
        <v>257</v>
      </c>
      <c r="N285" s="230" t="str">
        <f>IF(ISERROR(MATCH(A285,MemMap!$A$4:$A$98,0)) = FALSE, INDEX(MemMap!$B$4:$B$98,MATCH(A285,MemMap!$A$4:$A$98,0)),IF(F285="Y","TunSetCalSeg",IF(G285="Y", "FlashCalSeg", IF(G285="N", "FlashAppSeg", ""))))</f>
        <v>FlashAppSeg</v>
      </c>
      <c r="O285" s="220"/>
      <c r="P285" s="220"/>
      <c r="Q285" s="221"/>
      <c r="R285" s="221"/>
    </row>
    <row r="286" spans="1:18" ht="33.75" x14ac:dyDescent="0.2">
      <c r="A286" s="224" t="s">
        <v>785</v>
      </c>
      <c r="B286" s="225" t="s">
        <v>786</v>
      </c>
      <c r="C286" s="226" t="s">
        <v>3146</v>
      </c>
      <c r="D286" s="226" t="s">
        <v>3147</v>
      </c>
      <c r="E286" s="226"/>
      <c r="F286" s="227" t="s">
        <v>82</v>
      </c>
      <c r="G286" s="228" t="s">
        <v>82</v>
      </c>
      <c r="H286" s="228"/>
      <c r="I286" s="223">
        <v>2.5</v>
      </c>
      <c r="J286" s="229">
        <v>0.5</v>
      </c>
      <c r="K286" s="229">
        <v>10</v>
      </c>
      <c r="L286" s="229" t="s">
        <v>787</v>
      </c>
      <c r="M286" s="229" t="s">
        <v>257</v>
      </c>
      <c r="N286" s="230" t="str">
        <f>IF(ISERROR(MATCH(A286,MemMap!$A$4:$A$98,0)) = FALSE, INDEX(MemMap!$B$4:$B$98,MATCH(A286,MemMap!$A$4:$A$98,0)),IF(F286="Y","TunSetCalSeg",IF(G286="Y", "FlashCalSeg", IF(G286="N", "FlashAppSeg", ""))))</f>
        <v>FlashAppSeg</v>
      </c>
      <c r="O286" s="220"/>
      <c r="P286" s="220"/>
      <c r="Q286" s="221"/>
      <c r="R286" s="221"/>
    </row>
    <row r="287" spans="1:18" ht="78.75" x14ac:dyDescent="0.2">
      <c r="A287" s="224" t="s">
        <v>799</v>
      </c>
      <c r="B287" s="225" t="s">
        <v>800</v>
      </c>
      <c r="C287" s="226" t="s">
        <v>3146</v>
      </c>
      <c r="D287" s="226" t="s">
        <v>776</v>
      </c>
      <c r="E287" s="226" t="s">
        <v>801</v>
      </c>
      <c r="F287" s="227" t="s">
        <v>81</v>
      </c>
      <c r="G287" s="228" t="s">
        <v>81</v>
      </c>
      <c r="H287" s="228"/>
      <c r="I287" s="223">
        <v>3</v>
      </c>
      <c r="J287" s="229">
        <v>1</v>
      </c>
      <c r="K287" s="229">
        <v>10</v>
      </c>
      <c r="L287" s="229" t="s">
        <v>256</v>
      </c>
      <c r="M287" s="229" t="s">
        <v>257</v>
      </c>
      <c r="N287" s="230" t="str">
        <f>IF(ISERROR(MATCH(A287,MemMap!$A$4:$A$98,0)) = FALSE, INDEX(MemMap!$B$4:$B$98,MATCH(A287,MemMap!$A$4:$A$98,0)),IF(F287="Y","TunSetCalSeg",IF(G287="Y", "FlashCalSeg", IF(G287="N", "FlashAppSeg", ""))))</f>
        <v>TunSetCalSeg</v>
      </c>
      <c r="O287" s="220"/>
      <c r="P287" s="220"/>
      <c r="Q287" s="221"/>
      <c r="R287" s="221"/>
    </row>
    <row r="288" spans="1:18" ht="78.75" x14ac:dyDescent="0.2">
      <c r="A288" s="224" t="s">
        <v>802</v>
      </c>
      <c r="B288" s="225" t="s">
        <v>803</v>
      </c>
      <c r="C288" s="226" t="s">
        <v>3146</v>
      </c>
      <c r="D288" s="226" t="s">
        <v>776</v>
      </c>
      <c r="E288" s="226"/>
      <c r="F288" s="227" t="s">
        <v>81</v>
      </c>
      <c r="G288" s="228" t="s">
        <v>81</v>
      </c>
      <c r="H288" s="228"/>
      <c r="I288" s="223">
        <v>4500</v>
      </c>
      <c r="J288" s="229">
        <v>1</v>
      </c>
      <c r="K288" s="229">
        <v>4500</v>
      </c>
      <c r="L288" s="229" t="s">
        <v>804</v>
      </c>
      <c r="M288" s="229" t="s">
        <v>257</v>
      </c>
      <c r="N288" s="230" t="str">
        <f>IF(ISERROR(MATCH(A288,MemMap!$A$4:$A$98,0)) = FALSE, INDEX(MemMap!$B$4:$B$98,MATCH(A288,MemMap!$A$4:$A$98,0)),IF(F288="Y","TunSetCalSeg",IF(G288="Y", "FlashCalSeg", IF(G288="N", "FlashAppSeg", ""))))</f>
        <v>TunSetCalSeg</v>
      </c>
      <c r="O288" s="220"/>
      <c r="P288" s="220"/>
      <c r="Q288" s="221"/>
      <c r="R288" s="221"/>
    </row>
    <row r="289" spans="1:18" ht="78.75" x14ac:dyDescent="0.2">
      <c r="A289" s="224" t="s">
        <v>796</v>
      </c>
      <c r="B289" s="225" t="s">
        <v>797</v>
      </c>
      <c r="C289" s="226" t="s">
        <v>3146</v>
      </c>
      <c r="D289" s="226" t="s">
        <v>776</v>
      </c>
      <c r="E289" s="226" t="s">
        <v>798</v>
      </c>
      <c r="F289" s="227" t="s">
        <v>81</v>
      </c>
      <c r="G289" s="228" t="s">
        <v>81</v>
      </c>
      <c r="H289" s="228"/>
      <c r="I289" s="223">
        <v>1</v>
      </c>
      <c r="J289" s="229">
        <v>0</v>
      </c>
      <c r="K289" s="229">
        <v>50</v>
      </c>
      <c r="L289" s="229" t="s">
        <v>795</v>
      </c>
      <c r="M289" s="229" t="s">
        <v>257</v>
      </c>
      <c r="N289" s="230" t="str">
        <f>IF(ISERROR(MATCH(A289,MemMap!$A$4:$A$98,0)) = FALSE, INDEX(MemMap!$B$4:$B$98,MATCH(A289,MemMap!$A$4:$A$98,0)),IF(F289="Y","TunSetCalSeg",IF(G289="Y", "FlashCalSeg", IF(G289="N", "FlashAppSeg", ""))))</f>
        <v>TunSetCalSeg</v>
      </c>
      <c r="O289" s="220"/>
      <c r="P289" s="220"/>
      <c r="Q289" s="221"/>
      <c r="R289" s="221"/>
    </row>
    <row r="290" spans="1:18" ht="78.75" x14ac:dyDescent="0.2">
      <c r="A290" s="224" t="s">
        <v>794</v>
      </c>
      <c r="B290" s="225" t="s">
        <v>1854</v>
      </c>
      <c r="C290" s="226" t="s">
        <v>3146</v>
      </c>
      <c r="D290" s="226" t="s">
        <v>776</v>
      </c>
      <c r="E290" s="226"/>
      <c r="F290" s="227" t="s">
        <v>81</v>
      </c>
      <c r="G290" s="228" t="s">
        <v>81</v>
      </c>
      <c r="H290" s="228"/>
      <c r="I290" s="223">
        <v>10</v>
      </c>
      <c r="J290" s="229">
        <v>0</v>
      </c>
      <c r="K290" s="229">
        <v>50</v>
      </c>
      <c r="L290" s="229" t="s">
        <v>795</v>
      </c>
      <c r="M290" s="229" t="s">
        <v>257</v>
      </c>
      <c r="N290" s="230" t="str">
        <f>IF(ISERROR(MATCH(A290,MemMap!$A$4:$A$98,0)) = FALSE, INDEX(MemMap!$B$4:$B$98,MATCH(A290,MemMap!$A$4:$A$98,0)),IF(F290="Y","TunSetCalSeg",IF(G290="Y", "FlashCalSeg", IF(G290="N", "FlashAppSeg", ""))))</f>
        <v>TunSetCalSeg</v>
      </c>
      <c r="O290" s="220"/>
      <c r="P290" s="220"/>
      <c r="Q290" s="221"/>
      <c r="R290" s="221"/>
    </row>
    <row r="291" spans="1:18" ht="78.75" x14ac:dyDescent="0.2">
      <c r="A291" s="224" t="s">
        <v>825</v>
      </c>
      <c r="B291" s="225" t="s">
        <v>826</v>
      </c>
      <c r="C291" s="226" t="s">
        <v>3146</v>
      </c>
      <c r="D291" s="226" t="s">
        <v>776</v>
      </c>
      <c r="E291" s="226" t="s">
        <v>827</v>
      </c>
      <c r="F291" s="227" t="s">
        <v>0</v>
      </c>
      <c r="G291" s="228" t="s">
        <v>81</v>
      </c>
      <c r="H291" s="228"/>
      <c r="I291" s="223">
        <v>4.0000000000000003E-5</v>
      </c>
      <c r="J291" s="229">
        <v>1.0000000000000001E-5</v>
      </c>
      <c r="K291" s="229">
        <v>5.0000000000000001E-4</v>
      </c>
      <c r="L291" s="229" t="s">
        <v>828</v>
      </c>
      <c r="M291" s="229" t="s">
        <v>257</v>
      </c>
      <c r="N291" s="230" t="str">
        <f>IF(ISERROR(MATCH(A291,MemMap!$A$4:$A$98,0)) = FALSE, INDEX(MemMap!$B$4:$B$98,MATCH(A291,MemMap!$A$4:$A$98,0)),IF(F291="Y","TunSetCalSeg",IF(G291="Y", "FlashCalSeg", IF(G291="N", "FlashAppSeg", ""))))</f>
        <v>FlashCalSeg</v>
      </c>
      <c r="O291" s="220"/>
      <c r="P291" s="220"/>
      <c r="Q291" s="221"/>
      <c r="R291" s="221"/>
    </row>
    <row r="292" spans="1:18" ht="78.75" x14ac:dyDescent="0.2">
      <c r="A292" s="224" t="s">
        <v>792</v>
      </c>
      <c r="B292" s="225" t="s">
        <v>793</v>
      </c>
      <c r="C292" s="226" t="s">
        <v>3146</v>
      </c>
      <c r="D292" s="226" t="s">
        <v>776</v>
      </c>
      <c r="E292" s="226"/>
      <c r="F292" s="227" t="s">
        <v>0</v>
      </c>
      <c r="G292" s="228" t="s">
        <v>81</v>
      </c>
      <c r="H292" s="228"/>
      <c r="I292" s="223">
        <v>1</v>
      </c>
      <c r="J292" s="229">
        <v>0</v>
      </c>
      <c r="K292" s="229">
        <v>1</v>
      </c>
      <c r="L292" s="229" t="s">
        <v>256</v>
      </c>
      <c r="M292" s="229" t="s">
        <v>257</v>
      </c>
      <c r="N292" s="230" t="str">
        <f>IF(ISERROR(MATCH(A292,MemMap!$A$4:$A$98,0)) = FALSE, INDEX(MemMap!$B$4:$B$98,MATCH(A292,MemMap!$A$4:$A$98,0)),IF(F292="Y","TunSetCalSeg",IF(G292="Y", "FlashCalSeg", IF(G292="N", "FlashAppSeg", ""))))</f>
        <v>FlashCalSeg</v>
      </c>
      <c r="O292" s="220"/>
      <c r="P292" s="220"/>
      <c r="Q292" s="221"/>
      <c r="R292" s="221"/>
    </row>
    <row r="293" spans="1:18" ht="78.75" x14ac:dyDescent="0.2">
      <c r="A293" s="224" t="s">
        <v>774</v>
      </c>
      <c r="B293" s="225" t="s">
        <v>775</v>
      </c>
      <c r="C293" s="226" t="s">
        <v>3146</v>
      </c>
      <c r="D293" s="226" t="s">
        <v>776</v>
      </c>
      <c r="E293" s="226"/>
      <c r="F293" s="227" t="s">
        <v>0</v>
      </c>
      <c r="G293" s="228" t="s">
        <v>81</v>
      </c>
      <c r="H293" s="228"/>
      <c r="I293" s="223">
        <v>20</v>
      </c>
      <c r="J293" s="229">
        <v>0.1</v>
      </c>
      <c r="K293" s="229">
        <v>100</v>
      </c>
      <c r="L293" s="229" t="s">
        <v>258</v>
      </c>
      <c r="M293" s="229" t="s">
        <v>257</v>
      </c>
      <c r="N293" s="230" t="str">
        <f>IF(ISERROR(MATCH(A293,MemMap!$A$4:$A$98,0)) = FALSE, INDEX(MemMap!$B$4:$B$98,MATCH(A293,MemMap!$A$4:$A$98,0)),IF(F293="Y","TunSetCalSeg",IF(G293="Y", "FlashCalSeg", IF(G293="N", "FlashAppSeg", ""))))</f>
        <v>FlashCalSeg</v>
      </c>
      <c r="O293" s="220"/>
      <c r="P293" s="220"/>
      <c r="Q293" s="221"/>
      <c r="R293" s="221"/>
    </row>
    <row r="294" spans="1:18" ht="78.75" x14ac:dyDescent="0.2">
      <c r="A294" s="224" t="s">
        <v>833</v>
      </c>
      <c r="B294" s="225" t="s">
        <v>834</v>
      </c>
      <c r="C294" s="226" t="s">
        <v>3146</v>
      </c>
      <c r="D294" s="226" t="s">
        <v>776</v>
      </c>
      <c r="E294" s="226"/>
      <c r="F294" s="227" t="s">
        <v>0</v>
      </c>
      <c r="G294" s="228" t="s">
        <v>81</v>
      </c>
      <c r="H294" s="228"/>
      <c r="I294" s="223" t="s">
        <v>3126</v>
      </c>
      <c r="J294" s="229">
        <v>0</v>
      </c>
      <c r="K294" s="229">
        <v>8.8000000000000007</v>
      </c>
      <c r="L294" s="229" t="s">
        <v>252</v>
      </c>
      <c r="M294" s="229" t="s">
        <v>675</v>
      </c>
      <c r="N294" s="230" t="str">
        <f>IF(ISERROR(MATCH(A294,MemMap!$A$4:$A$98,0)) = FALSE, INDEX(MemMap!$B$4:$B$98,MATCH(A294,MemMap!$A$4:$A$98,0)),IF(F294="Y","TunSetCalSeg",IF(G294="Y", "FlashCalSeg", IF(G294="N", "FlashAppSeg", ""))))</f>
        <v>FlashCalSeg</v>
      </c>
      <c r="O294" s="220"/>
      <c r="P294" s="220"/>
      <c r="Q294" s="221"/>
      <c r="R294" s="221"/>
    </row>
    <row r="295" spans="1:18" ht="78.75" x14ac:dyDescent="0.2">
      <c r="A295" s="224" t="s">
        <v>805</v>
      </c>
      <c r="B295" s="225" t="s">
        <v>1855</v>
      </c>
      <c r="C295" s="226" t="s">
        <v>3146</v>
      </c>
      <c r="D295" s="226" t="s">
        <v>776</v>
      </c>
      <c r="E295" s="226"/>
      <c r="F295" s="227" t="s">
        <v>81</v>
      </c>
      <c r="G295" s="228" t="s">
        <v>81</v>
      </c>
      <c r="H295" s="228"/>
      <c r="I295" s="223" t="s">
        <v>3127</v>
      </c>
      <c r="J295" s="229">
        <v>0</v>
      </c>
      <c r="K295" s="229">
        <v>1118</v>
      </c>
      <c r="L295" s="229" t="s">
        <v>259</v>
      </c>
      <c r="M295" s="229" t="s">
        <v>471</v>
      </c>
      <c r="N295" s="230" t="str">
        <f>IF(ISERROR(MATCH(A295,MemMap!$A$4:$A$98,0)) = FALSE, INDEX(MemMap!$B$4:$B$98,MATCH(A295,MemMap!$A$4:$A$98,0)),IF(F295="Y","TunSetCalSeg",IF(G295="Y", "FlashCalSeg", IF(G295="N", "FlashAppSeg", ""))))</f>
        <v>TunSetCalSeg</v>
      </c>
      <c r="O295" s="220"/>
      <c r="P295" s="220"/>
      <c r="Q295" s="221"/>
      <c r="R295" s="221"/>
    </row>
    <row r="296" spans="1:18" ht="78.75" x14ac:dyDescent="0.2">
      <c r="A296" s="224" t="s">
        <v>806</v>
      </c>
      <c r="B296" s="225" t="s">
        <v>807</v>
      </c>
      <c r="C296" s="226" t="s">
        <v>3146</v>
      </c>
      <c r="D296" s="226" t="s">
        <v>776</v>
      </c>
      <c r="E296" s="226"/>
      <c r="F296" s="227" t="s">
        <v>81</v>
      </c>
      <c r="G296" s="228" t="s">
        <v>81</v>
      </c>
      <c r="H296" s="228"/>
      <c r="I296" s="223" t="s">
        <v>3128</v>
      </c>
      <c r="J296" s="229">
        <v>1</v>
      </c>
      <c r="K296" s="229">
        <v>500</v>
      </c>
      <c r="L296" s="229" t="s">
        <v>804</v>
      </c>
      <c r="M296" s="229" t="s">
        <v>808</v>
      </c>
      <c r="N296" s="230" t="str">
        <f>IF(ISERROR(MATCH(A296,MemMap!$A$4:$A$98,0)) = FALSE, INDEX(MemMap!$B$4:$B$98,MATCH(A296,MemMap!$A$4:$A$98,0)),IF(F296="Y","TunSetCalSeg",IF(G296="Y", "FlashCalSeg", IF(G296="N", "FlashAppSeg", ""))))</f>
        <v>TunSetCalSeg</v>
      </c>
      <c r="O296" s="220"/>
      <c r="P296" s="220"/>
      <c r="Q296" s="221"/>
      <c r="R296" s="221"/>
    </row>
    <row r="297" spans="1:18" ht="78.75" x14ac:dyDescent="0.2">
      <c r="A297" s="224" t="s">
        <v>814</v>
      </c>
      <c r="B297" s="225" t="s">
        <v>815</v>
      </c>
      <c r="C297" s="226" t="s">
        <v>3146</v>
      </c>
      <c r="D297" s="226" t="s">
        <v>776</v>
      </c>
      <c r="E297" s="226"/>
      <c r="F297" s="227" t="s">
        <v>82</v>
      </c>
      <c r="G297" s="227" t="s">
        <v>82</v>
      </c>
      <c r="H297" s="228"/>
      <c r="I297" s="223" t="s">
        <v>2630</v>
      </c>
      <c r="J297" s="229">
        <v>0</v>
      </c>
      <c r="K297" s="229">
        <v>1</v>
      </c>
      <c r="L297" s="229" t="s">
        <v>256</v>
      </c>
      <c r="M297" s="229" t="s">
        <v>340</v>
      </c>
      <c r="N297" s="230" t="str">
        <f>IF(ISERROR(MATCH(A297,MemMap!$A$4:$A$98,0)) = FALSE, INDEX(MemMap!$B$4:$B$98,MATCH(A297,MemMap!$A$4:$A$98,0)),IF(F297="Y","TunSetCalSeg",IF(G297="Y", "FlashCalSeg", IF(G297="N", "FlashAppSeg", ""))))</f>
        <v>FlashAppSeg</v>
      </c>
      <c r="O297" s="220"/>
      <c r="P297" s="220"/>
      <c r="Q297" s="221"/>
      <c r="R297" s="221"/>
    </row>
    <row r="298" spans="1:18" ht="78.75" x14ac:dyDescent="0.2">
      <c r="A298" s="224" t="s">
        <v>812</v>
      </c>
      <c r="B298" s="225" t="s">
        <v>813</v>
      </c>
      <c r="C298" s="226" t="s">
        <v>3146</v>
      </c>
      <c r="D298" s="226" t="s">
        <v>776</v>
      </c>
      <c r="E298" s="226"/>
      <c r="F298" s="227" t="s">
        <v>0</v>
      </c>
      <c r="G298" s="228" t="s">
        <v>81</v>
      </c>
      <c r="H298" s="228"/>
      <c r="I298" s="223" t="s">
        <v>3129</v>
      </c>
      <c r="J298" s="229">
        <v>0</v>
      </c>
      <c r="K298" s="229">
        <v>0.05</v>
      </c>
      <c r="L298" s="229" t="s">
        <v>634</v>
      </c>
      <c r="M298" s="229" t="s">
        <v>811</v>
      </c>
      <c r="N298" s="230" t="str">
        <f>IF(ISERROR(MATCH(A298,MemMap!$A$4:$A$98,0)) = FALSE, INDEX(MemMap!$B$4:$B$98,MATCH(A298,MemMap!$A$4:$A$98,0)),IF(F298="Y","TunSetCalSeg",IF(G298="Y", "FlashCalSeg", IF(G298="N", "FlashAppSeg", ""))))</f>
        <v>FlashCalSeg</v>
      </c>
      <c r="O298" s="220"/>
      <c r="P298" s="220"/>
      <c r="Q298" s="221"/>
      <c r="R298" s="221"/>
    </row>
    <row r="299" spans="1:18" ht="78.75" x14ac:dyDescent="0.2">
      <c r="A299" s="224" t="s">
        <v>829</v>
      </c>
      <c r="B299" s="225" t="s">
        <v>830</v>
      </c>
      <c r="C299" s="226" t="s">
        <v>3146</v>
      </c>
      <c r="D299" s="226" t="s">
        <v>776</v>
      </c>
      <c r="E299" s="226"/>
      <c r="F299" s="227" t="s">
        <v>0</v>
      </c>
      <c r="G299" s="228" t="s">
        <v>81</v>
      </c>
      <c r="H299" s="228"/>
      <c r="I299" s="223" t="s">
        <v>3130</v>
      </c>
      <c r="J299" s="229">
        <v>0</v>
      </c>
      <c r="K299" s="229">
        <v>1100</v>
      </c>
      <c r="L299" s="229" t="s">
        <v>259</v>
      </c>
      <c r="M299" s="229" t="s">
        <v>653</v>
      </c>
      <c r="N299" s="230" t="str">
        <f>IF(ISERROR(MATCH(A299,MemMap!$A$4:$A$98,0)) = FALSE, INDEX(MemMap!$B$4:$B$98,MATCH(A299,MemMap!$A$4:$A$98,0)),IF(F299="Y","TunSetCalSeg",IF(G299="Y", "FlashCalSeg", IF(G299="N", "FlashAppSeg", ""))))</f>
        <v>FlashCalSeg</v>
      </c>
      <c r="O299" s="220"/>
      <c r="P299" s="220"/>
      <c r="Q299" s="221"/>
      <c r="R299" s="221"/>
    </row>
    <row r="300" spans="1:18" ht="78.75" x14ac:dyDescent="0.2">
      <c r="A300" s="224" t="s">
        <v>831</v>
      </c>
      <c r="B300" s="225" t="s">
        <v>832</v>
      </c>
      <c r="C300" s="226" t="s">
        <v>3146</v>
      </c>
      <c r="D300" s="226" t="s">
        <v>776</v>
      </c>
      <c r="E300" s="226"/>
      <c r="F300" s="227" t="s">
        <v>0</v>
      </c>
      <c r="G300" s="228" t="s">
        <v>81</v>
      </c>
      <c r="H300" s="228"/>
      <c r="I300" s="223" t="s">
        <v>3131</v>
      </c>
      <c r="J300" s="229">
        <v>0</v>
      </c>
      <c r="K300" s="229">
        <v>1</v>
      </c>
      <c r="L300" s="229" t="s">
        <v>256</v>
      </c>
      <c r="M300" s="229" t="s">
        <v>253</v>
      </c>
      <c r="N300" s="230" t="str">
        <f>IF(ISERROR(MATCH(A300,MemMap!$A$4:$A$98,0)) = FALSE, INDEX(MemMap!$B$4:$B$98,MATCH(A300,MemMap!$A$4:$A$98,0)),IF(F300="Y","TunSetCalSeg",IF(G300="Y", "FlashCalSeg", IF(G300="N", "FlashAppSeg", ""))))</f>
        <v>FlashCalSeg</v>
      </c>
      <c r="O300" s="220"/>
      <c r="P300" s="220"/>
      <c r="Q300" s="221"/>
      <c r="R300" s="221"/>
    </row>
    <row r="301" spans="1:18" ht="78.75" x14ac:dyDescent="0.2">
      <c r="A301" s="224" t="s">
        <v>816</v>
      </c>
      <c r="B301" s="225" t="s">
        <v>817</v>
      </c>
      <c r="C301" s="226" t="s">
        <v>3146</v>
      </c>
      <c r="D301" s="226" t="s">
        <v>776</v>
      </c>
      <c r="E301" s="226"/>
      <c r="F301" s="227" t="s">
        <v>0</v>
      </c>
      <c r="G301" s="228" t="s">
        <v>81</v>
      </c>
      <c r="H301" s="228"/>
      <c r="I301" s="223" t="s">
        <v>3132</v>
      </c>
      <c r="J301" s="229">
        <v>0</v>
      </c>
      <c r="K301" s="229">
        <v>1</v>
      </c>
      <c r="L301" s="229" t="s">
        <v>256</v>
      </c>
      <c r="M301" s="229" t="s">
        <v>253</v>
      </c>
      <c r="N301" s="230" t="str">
        <f>IF(ISERROR(MATCH(A301,MemMap!$A$4:$A$98,0)) = FALSE, INDEX(MemMap!$B$4:$B$98,MATCH(A301,MemMap!$A$4:$A$98,0)),IF(F301="Y","TunSetCalSeg",IF(G301="Y", "FlashCalSeg", IF(G301="N", "FlashAppSeg", ""))))</f>
        <v>FlashCalSeg</v>
      </c>
      <c r="O301" s="220"/>
      <c r="P301" s="220"/>
      <c r="Q301" s="221"/>
      <c r="R301" s="221"/>
    </row>
    <row r="302" spans="1:18" ht="78.75" x14ac:dyDescent="0.2">
      <c r="A302" s="224" t="s">
        <v>823</v>
      </c>
      <c r="B302" s="225" t="s">
        <v>824</v>
      </c>
      <c r="C302" s="226" t="s">
        <v>3146</v>
      </c>
      <c r="D302" s="226" t="s">
        <v>776</v>
      </c>
      <c r="E302" s="226"/>
      <c r="F302" s="227" t="s">
        <v>0</v>
      </c>
      <c r="G302" s="228" t="s">
        <v>81</v>
      </c>
      <c r="H302" s="228"/>
      <c r="I302" s="223" t="s">
        <v>679</v>
      </c>
      <c r="J302" s="229">
        <v>0</v>
      </c>
      <c r="K302" s="229">
        <v>3</v>
      </c>
      <c r="L302" s="229" t="s">
        <v>256</v>
      </c>
      <c r="M302" s="229" t="s">
        <v>336</v>
      </c>
      <c r="N302" s="230" t="str">
        <f>IF(ISERROR(MATCH(A302,MemMap!$A$4:$A$98,0)) = FALSE, INDEX(MemMap!$B$4:$B$98,MATCH(A302,MemMap!$A$4:$A$98,0)),IF(F302="Y","TunSetCalSeg",IF(G302="Y", "FlashCalSeg", IF(G302="N", "FlashAppSeg", ""))))</f>
        <v>FlashCalSeg</v>
      </c>
      <c r="O302" s="220"/>
      <c r="P302" s="220"/>
      <c r="Q302" s="221"/>
      <c r="R302" s="221"/>
    </row>
    <row r="303" spans="1:18" ht="78.75" x14ac:dyDescent="0.2">
      <c r="A303" s="224" t="s">
        <v>790</v>
      </c>
      <c r="B303" s="225" t="s">
        <v>791</v>
      </c>
      <c r="C303" s="226" t="s">
        <v>3146</v>
      </c>
      <c r="D303" s="226" t="s">
        <v>776</v>
      </c>
      <c r="E303" s="226"/>
      <c r="F303" s="227" t="s">
        <v>0</v>
      </c>
      <c r="G303" s="228" t="s">
        <v>81</v>
      </c>
      <c r="H303" s="228"/>
      <c r="I303" s="223" t="s">
        <v>679</v>
      </c>
      <c r="J303" s="229">
        <v>0</v>
      </c>
      <c r="K303" s="229">
        <v>1</v>
      </c>
      <c r="L303" s="229" t="s">
        <v>256</v>
      </c>
      <c r="M303" s="229" t="s">
        <v>336</v>
      </c>
      <c r="N303" s="230" t="str">
        <f>IF(ISERROR(MATCH(A303,MemMap!$A$4:$A$98,0)) = FALSE, INDEX(MemMap!$B$4:$B$98,MATCH(A303,MemMap!$A$4:$A$98,0)),IF(F303="Y","TunSetCalSeg",IF(G303="Y", "FlashCalSeg", IF(G303="N", "FlashAppSeg", ""))))</f>
        <v>FlashCalSeg</v>
      </c>
      <c r="O303" s="220"/>
      <c r="P303" s="220"/>
      <c r="Q303" s="221"/>
      <c r="R303" s="221"/>
    </row>
    <row r="304" spans="1:18" ht="78.75" x14ac:dyDescent="0.2">
      <c r="A304" s="224" t="s">
        <v>822</v>
      </c>
      <c r="B304" s="225" t="s">
        <v>815</v>
      </c>
      <c r="C304" s="226" t="s">
        <v>3146</v>
      </c>
      <c r="D304" s="226" t="s">
        <v>776</v>
      </c>
      <c r="E304" s="226"/>
      <c r="F304" s="227" t="s">
        <v>82</v>
      </c>
      <c r="G304" s="228" t="s">
        <v>82</v>
      </c>
      <c r="H304" s="228"/>
      <c r="I304" s="223" t="s">
        <v>2630</v>
      </c>
      <c r="J304" s="229">
        <v>0</v>
      </c>
      <c r="K304" s="229">
        <v>1</v>
      </c>
      <c r="L304" s="229" t="s">
        <v>256</v>
      </c>
      <c r="M304" s="229" t="s">
        <v>340</v>
      </c>
      <c r="N304" s="230" t="str">
        <f>IF(ISERROR(MATCH(A304,MemMap!$A$4:$A$98,0)) = FALSE, INDEX(MemMap!$B$4:$B$98,MATCH(A304,MemMap!$A$4:$A$98,0)),IF(F304="Y","TunSetCalSeg",IF(G304="Y", "FlashCalSeg", IF(G304="N", "FlashAppSeg", ""))))</f>
        <v>FlashAppSeg</v>
      </c>
      <c r="O304" s="220"/>
      <c r="P304" s="220"/>
      <c r="Q304" s="221"/>
      <c r="R304" s="221"/>
    </row>
    <row r="305" spans="1:18" ht="78.75" x14ac:dyDescent="0.2">
      <c r="A305" s="224" t="s">
        <v>820</v>
      </c>
      <c r="B305" s="225" t="s">
        <v>821</v>
      </c>
      <c r="C305" s="226" t="s">
        <v>3146</v>
      </c>
      <c r="D305" s="226" t="s">
        <v>776</v>
      </c>
      <c r="E305" s="226"/>
      <c r="F305" s="227" t="s">
        <v>82</v>
      </c>
      <c r="G305" s="228" t="s">
        <v>82</v>
      </c>
      <c r="H305" s="228"/>
      <c r="I305" s="223" t="s">
        <v>3133</v>
      </c>
      <c r="J305" s="229">
        <v>0</v>
      </c>
      <c r="K305" s="229">
        <v>8</v>
      </c>
      <c r="L305" s="229" t="s">
        <v>252</v>
      </c>
      <c r="M305" s="229" t="s">
        <v>253</v>
      </c>
      <c r="N305" s="230" t="str">
        <f>IF(ISERROR(MATCH(A305,MemMap!$A$4:$A$98,0)) = FALSE, INDEX(MemMap!$B$4:$B$98,MATCH(A305,MemMap!$A$4:$A$98,0)),IF(F305="Y","TunSetCalSeg",IF(G305="Y", "FlashCalSeg", IF(G305="N", "FlashAppSeg", ""))))</f>
        <v>FlashAppSeg</v>
      </c>
      <c r="O305" s="220"/>
      <c r="P305" s="220"/>
      <c r="Q305" s="221"/>
      <c r="R305" s="221"/>
    </row>
    <row r="306" spans="1:18" ht="78.75" x14ac:dyDescent="0.2">
      <c r="A306" s="224" t="s">
        <v>809</v>
      </c>
      <c r="B306" s="225" t="s">
        <v>810</v>
      </c>
      <c r="C306" s="226" t="s">
        <v>3146</v>
      </c>
      <c r="D306" s="226" t="s">
        <v>776</v>
      </c>
      <c r="E306" s="226"/>
      <c r="F306" s="227" t="s">
        <v>0</v>
      </c>
      <c r="G306" s="228" t="s">
        <v>81</v>
      </c>
      <c r="H306" s="228"/>
      <c r="I306" s="223" t="s">
        <v>3134</v>
      </c>
      <c r="J306" s="229">
        <v>0</v>
      </c>
      <c r="K306" s="229">
        <v>0.05</v>
      </c>
      <c r="L306" s="229" t="s">
        <v>634</v>
      </c>
      <c r="M306" s="229" t="s">
        <v>811</v>
      </c>
      <c r="N306" s="230" t="str">
        <f>IF(ISERROR(MATCH(A306,MemMap!$A$4:$A$98,0)) = FALSE, INDEX(MemMap!$B$4:$B$98,MATCH(A306,MemMap!$A$4:$A$98,0)),IF(F306="Y","TunSetCalSeg",IF(G306="Y", "FlashCalSeg", IF(G306="N", "FlashAppSeg", ""))))</f>
        <v>FlashCalSeg</v>
      </c>
      <c r="O306" s="220"/>
      <c r="P306" s="220"/>
      <c r="Q306" s="221"/>
      <c r="R306" s="221"/>
    </row>
    <row r="307" spans="1:18" ht="78.75" x14ac:dyDescent="0.2">
      <c r="A307" s="224" t="s">
        <v>818</v>
      </c>
      <c r="B307" s="225" t="s">
        <v>819</v>
      </c>
      <c r="C307" s="226" t="s">
        <v>3146</v>
      </c>
      <c r="D307" s="226" t="s">
        <v>776</v>
      </c>
      <c r="E307" s="226"/>
      <c r="F307" s="227" t="s">
        <v>0</v>
      </c>
      <c r="G307" s="228" t="s">
        <v>81</v>
      </c>
      <c r="H307" s="228"/>
      <c r="I307" s="223" t="s">
        <v>3135</v>
      </c>
      <c r="J307" s="229">
        <v>1</v>
      </c>
      <c r="K307" s="229">
        <v>100</v>
      </c>
      <c r="L307" s="229" t="s">
        <v>258</v>
      </c>
      <c r="M307" s="229" t="s">
        <v>653</v>
      </c>
      <c r="N307" s="230" t="str">
        <f>IF(ISERROR(MATCH(A307,MemMap!$A$4:$A$98,0)) = FALSE, INDEX(MemMap!$B$4:$B$98,MATCH(A307,MemMap!$A$4:$A$98,0)),IF(F307="Y","TunSetCalSeg",IF(G307="Y", "FlashCalSeg", IF(G307="N", "FlashAppSeg", ""))))</f>
        <v>FlashCalSeg</v>
      </c>
      <c r="O307" s="220"/>
      <c r="P307" s="220"/>
      <c r="Q307" s="221"/>
      <c r="R307" s="221"/>
    </row>
    <row r="308" spans="1:18" x14ac:dyDescent="0.2">
      <c r="A308" s="224" t="s">
        <v>3671</v>
      </c>
      <c r="B308" s="225"/>
      <c r="C308" s="226" t="s">
        <v>3660</v>
      </c>
      <c r="D308" s="226" t="s">
        <v>220</v>
      </c>
      <c r="E308" s="226"/>
      <c r="F308" s="227" t="s">
        <v>82</v>
      </c>
      <c r="G308" s="228" t="s">
        <v>81</v>
      </c>
      <c r="H308" s="228"/>
      <c r="I308" s="223">
        <v>800</v>
      </c>
      <c r="J308" s="229">
        <v>0</v>
      </c>
      <c r="K308" s="229">
        <v>65535</v>
      </c>
      <c r="L308" s="229" t="s">
        <v>269</v>
      </c>
      <c r="M308" s="229" t="s">
        <v>263</v>
      </c>
      <c r="N308" s="230" t="str">
        <f>IF(ISERROR(MATCH(A308,MemMap!$A$4:$A$98,0)) = FALSE, INDEX(MemMap!$B$4:$B$98,MATCH(A308,MemMap!$A$4:$A$98,0)),IF(F308="Y","TunSetCalSeg",IF(G308="Y", "FlashCalSeg", IF(G308="N", "FlashAppSeg", ""))))</f>
        <v>FlashCalSeg</v>
      </c>
      <c r="O308" s="220"/>
      <c r="P308" s="220"/>
      <c r="Q308" s="221"/>
      <c r="R308" s="221"/>
    </row>
    <row r="309" spans="1:18" x14ac:dyDescent="0.2">
      <c r="A309" s="224" t="s">
        <v>3670</v>
      </c>
      <c r="B309" s="225"/>
      <c r="C309" s="226" t="s">
        <v>3660</v>
      </c>
      <c r="D309" s="226" t="s">
        <v>220</v>
      </c>
      <c r="E309" s="226"/>
      <c r="F309" s="227" t="s">
        <v>82</v>
      </c>
      <c r="G309" s="228" t="s">
        <v>81</v>
      </c>
      <c r="H309" s="228"/>
      <c r="I309" s="223">
        <v>16</v>
      </c>
      <c r="J309" s="229">
        <v>0</v>
      </c>
      <c r="K309" s="229">
        <v>31</v>
      </c>
      <c r="L309" s="229" t="s">
        <v>560</v>
      </c>
      <c r="M309" s="229" t="s">
        <v>257</v>
      </c>
      <c r="N309" s="230" t="str">
        <f>IF(ISERROR(MATCH(A309,MemMap!$A$4:$A$98,0)) = FALSE, INDEX(MemMap!$B$4:$B$98,MATCH(A309,MemMap!$A$4:$A$98,0)),IF(F309="Y","TunSetCalSeg",IF(G309="Y", "FlashCalSeg", IF(G309="N", "FlashAppSeg", ""))))</f>
        <v>FlashCalSeg</v>
      </c>
      <c r="O309" s="220"/>
      <c r="P309" s="220"/>
      <c r="Q309" s="221"/>
      <c r="R309" s="221"/>
    </row>
    <row r="310" spans="1:18" x14ac:dyDescent="0.2">
      <c r="A310" s="224" t="s">
        <v>3669</v>
      </c>
      <c r="B310" s="225"/>
      <c r="C310" s="226" t="s">
        <v>3660</v>
      </c>
      <c r="D310" s="226" t="s">
        <v>220</v>
      </c>
      <c r="E310" s="226"/>
      <c r="F310" s="227" t="s">
        <v>82</v>
      </c>
      <c r="G310" s="228" t="s">
        <v>81</v>
      </c>
      <c r="H310" s="228"/>
      <c r="I310" s="223">
        <v>8</v>
      </c>
      <c r="J310" s="229">
        <v>0</v>
      </c>
      <c r="K310" s="229">
        <v>31</v>
      </c>
      <c r="L310" s="229" t="s">
        <v>560</v>
      </c>
      <c r="M310" s="229" t="s">
        <v>257</v>
      </c>
      <c r="N310" s="230" t="str">
        <f>IF(ISERROR(MATCH(A310,MemMap!$A$4:$A$98,0)) = FALSE, INDEX(MemMap!$B$4:$B$98,MATCH(A310,MemMap!$A$4:$A$98,0)),IF(F310="Y","TunSetCalSeg",IF(G310="Y", "FlashCalSeg", IF(G310="N", "FlashAppSeg", ""))))</f>
        <v>FlashCalSeg</v>
      </c>
      <c r="O310" s="220"/>
      <c r="P310" s="220"/>
      <c r="Q310" s="221"/>
      <c r="R310" s="221"/>
    </row>
    <row r="311" spans="1:18" x14ac:dyDescent="0.2">
      <c r="A311" s="224" t="s">
        <v>3665</v>
      </c>
      <c r="B311" s="225"/>
      <c r="C311" s="226" t="s">
        <v>3660</v>
      </c>
      <c r="D311" s="226" t="s">
        <v>220</v>
      </c>
      <c r="E311" s="226"/>
      <c r="F311" s="227" t="s">
        <v>82</v>
      </c>
      <c r="G311" s="228" t="s">
        <v>81</v>
      </c>
      <c r="H311" s="228"/>
      <c r="I311" s="223">
        <v>600</v>
      </c>
      <c r="J311" s="229">
        <v>0</v>
      </c>
      <c r="K311" s="229">
        <v>65535</v>
      </c>
      <c r="L311" s="229" t="s">
        <v>269</v>
      </c>
      <c r="M311" s="229" t="s">
        <v>263</v>
      </c>
      <c r="N311" s="230" t="str">
        <f>IF(ISERROR(MATCH(A311,MemMap!$A$4:$A$98,0)) = FALSE, INDEX(MemMap!$B$4:$B$98,MATCH(A311,MemMap!$A$4:$A$98,0)),IF(F311="Y","TunSetCalSeg",IF(G311="Y", "FlashCalSeg", IF(G311="N", "FlashAppSeg", ""))))</f>
        <v>FlashCalSeg</v>
      </c>
      <c r="O311" s="220"/>
      <c r="P311" s="220"/>
      <c r="Q311" s="221"/>
      <c r="R311" s="221"/>
    </row>
    <row r="312" spans="1:18" x14ac:dyDescent="0.2">
      <c r="A312" s="224" t="s">
        <v>3664</v>
      </c>
      <c r="B312" s="225"/>
      <c r="C312" s="226" t="s">
        <v>3660</v>
      </c>
      <c r="D312" s="226" t="s">
        <v>220</v>
      </c>
      <c r="E312" s="226"/>
      <c r="F312" s="227" t="s">
        <v>82</v>
      </c>
      <c r="G312" s="228" t="s">
        <v>81</v>
      </c>
      <c r="H312" s="228"/>
      <c r="I312" s="223">
        <v>16</v>
      </c>
      <c r="J312" s="229">
        <v>0</v>
      </c>
      <c r="K312" s="229">
        <v>31</v>
      </c>
      <c r="L312" s="229" t="s">
        <v>560</v>
      </c>
      <c r="M312" s="229" t="s">
        <v>257</v>
      </c>
      <c r="N312" s="230" t="str">
        <f>IF(ISERROR(MATCH(A312,MemMap!$A$4:$A$98,0)) = FALSE, INDEX(MemMap!$B$4:$B$98,MATCH(A312,MemMap!$A$4:$A$98,0)),IF(F312="Y","TunSetCalSeg",IF(G312="Y", "FlashCalSeg", IF(G312="N", "FlashAppSeg", ""))))</f>
        <v>FlashCalSeg</v>
      </c>
      <c r="O312" s="220"/>
      <c r="P312" s="220"/>
      <c r="Q312" s="221"/>
      <c r="R312" s="221"/>
    </row>
    <row r="313" spans="1:18" x14ac:dyDescent="0.2">
      <c r="A313" s="224" t="s">
        <v>3663</v>
      </c>
      <c r="B313" s="225"/>
      <c r="C313" s="226" t="s">
        <v>3660</v>
      </c>
      <c r="D313" s="226" t="s">
        <v>220</v>
      </c>
      <c r="E313" s="226"/>
      <c r="F313" s="227" t="s">
        <v>82</v>
      </c>
      <c r="G313" s="228" t="s">
        <v>81</v>
      </c>
      <c r="H313" s="228"/>
      <c r="I313" s="223">
        <v>8</v>
      </c>
      <c r="J313" s="229">
        <v>0</v>
      </c>
      <c r="K313" s="229">
        <v>31</v>
      </c>
      <c r="L313" s="229" t="s">
        <v>560</v>
      </c>
      <c r="M313" s="229" t="s">
        <v>257</v>
      </c>
      <c r="N313" s="230" t="str">
        <f>IF(ISERROR(MATCH(A313,MemMap!$A$4:$A$98,0)) = FALSE, INDEX(MemMap!$B$4:$B$98,MATCH(A313,MemMap!$A$4:$A$98,0)),IF(F313="Y","TunSetCalSeg",IF(G313="Y", "FlashCalSeg", IF(G313="N", "FlashAppSeg", ""))))</f>
        <v>FlashCalSeg</v>
      </c>
      <c r="O313" s="220"/>
      <c r="P313" s="220"/>
      <c r="Q313" s="221"/>
      <c r="R313" s="221"/>
    </row>
    <row r="314" spans="1:18" x14ac:dyDescent="0.2">
      <c r="A314" s="224" t="s">
        <v>3668</v>
      </c>
      <c r="B314" s="225"/>
      <c r="C314" s="226" t="s">
        <v>3660</v>
      </c>
      <c r="D314" s="226" t="s">
        <v>220</v>
      </c>
      <c r="E314" s="226"/>
      <c r="F314" s="227" t="s">
        <v>82</v>
      </c>
      <c r="G314" s="228" t="s">
        <v>81</v>
      </c>
      <c r="H314" s="228"/>
      <c r="I314" s="223">
        <v>800</v>
      </c>
      <c r="J314" s="229">
        <v>0</v>
      </c>
      <c r="K314" s="229">
        <v>65535</v>
      </c>
      <c r="L314" s="229" t="s">
        <v>269</v>
      </c>
      <c r="M314" s="229" t="s">
        <v>263</v>
      </c>
      <c r="N314" s="230" t="str">
        <f>IF(ISERROR(MATCH(A314,MemMap!$A$4:$A$98,0)) = FALSE, INDEX(MemMap!$B$4:$B$98,MATCH(A314,MemMap!$A$4:$A$98,0)),IF(F314="Y","TunSetCalSeg",IF(G314="Y", "FlashCalSeg", IF(G314="N", "FlashAppSeg", ""))))</f>
        <v>FlashCalSeg</v>
      </c>
      <c r="O314" s="220"/>
      <c r="P314" s="220"/>
      <c r="Q314" s="221"/>
      <c r="R314" s="221"/>
    </row>
    <row r="315" spans="1:18" x14ac:dyDescent="0.2">
      <c r="A315" s="224" t="s">
        <v>3667</v>
      </c>
      <c r="B315" s="225"/>
      <c r="C315" s="226" t="s">
        <v>3660</v>
      </c>
      <c r="D315" s="226" t="s">
        <v>220</v>
      </c>
      <c r="E315" s="226"/>
      <c r="F315" s="227" t="s">
        <v>82</v>
      </c>
      <c r="G315" s="228" t="s">
        <v>81</v>
      </c>
      <c r="H315" s="228"/>
      <c r="I315" s="223">
        <v>16</v>
      </c>
      <c r="J315" s="229">
        <v>0</v>
      </c>
      <c r="K315" s="229">
        <v>31</v>
      </c>
      <c r="L315" s="229" t="s">
        <v>560</v>
      </c>
      <c r="M315" s="229" t="s">
        <v>257</v>
      </c>
      <c r="N315" s="230" t="str">
        <f>IF(ISERROR(MATCH(A315,MemMap!$A$4:$A$98,0)) = FALSE, INDEX(MemMap!$B$4:$B$98,MATCH(A315,MemMap!$A$4:$A$98,0)),IF(F315="Y","TunSetCalSeg",IF(G315="Y", "FlashCalSeg", IF(G315="N", "FlashAppSeg", ""))))</f>
        <v>FlashCalSeg</v>
      </c>
      <c r="O315" s="220"/>
      <c r="P315" s="220"/>
      <c r="Q315" s="221"/>
      <c r="R315" s="221"/>
    </row>
    <row r="316" spans="1:18" x14ac:dyDescent="0.2">
      <c r="A316" s="224" t="s">
        <v>3666</v>
      </c>
      <c r="B316" s="225"/>
      <c r="C316" s="226" t="s">
        <v>3660</v>
      </c>
      <c r="D316" s="226" t="s">
        <v>220</v>
      </c>
      <c r="E316" s="226"/>
      <c r="F316" s="227" t="s">
        <v>82</v>
      </c>
      <c r="G316" s="228" t="s">
        <v>81</v>
      </c>
      <c r="H316" s="228"/>
      <c r="I316" s="223">
        <v>8</v>
      </c>
      <c r="J316" s="229">
        <v>0</v>
      </c>
      <c r="K316" s="229">
        <v>31</v>
      </c>
      <c r="L316" s="229" t="s">
        <v>560</v>
      </c>
      <c r="M316" s="229" t="s">
        <v>257</v>
      </c>
      <c r="N316" s="230" t="str">
        <f>IF(ISERROR(MATCH(A316,MemMap!$A$4:$A$98,0)) = FALSE, INDEX(MemMap!$B$4:$B$98,MATCH(A316,MemMap!$A$4:$A$98,0)),IF(F316="Y","TunSetCalSeg",IF(G316="Y", "FlashCalSeg", IF(G316="N", "FlashAppSeg", ""))))</f>
        <v>FlashCalSeg</v>
      </c>
      <c r="O316" s="220"/>
      <c r="P316" s="220"/>
      <c r="Q316" s="221"/>
      <c r="R316" s="221"/>
    </row>
    <row r="317" spans="1:18" x14ac:dyDescent="0.2">
      <c r="A317" s="224" t="s">
        <v>3674</v>
      </c>
      <c r="B317" s="225"/>
      <c r="C317" s="226" t="s">
        <v>3660</v>
      </c>
      <c r="D317" s="226" t="s">
        <v>220</v>
      </c>
      <c r="E317" s="226"/>
      <c r="F317" s="227" t="s">
        <v>82</v>
      </c>
      <c r="G317" s="228" t="s">
        <v>81</v>
      </c>
      <c r="H317" s="228"/>
      <c r="I317" s="223">
        <v>600</v>
      </c>
      <c r="J317" s="229">
        <v>0</v>
      </c>
      <c r="K317" s="229">
        <v>65535</v>
      </c>
      <c r="L317" s="229" t="s">
        <v>269</v>
      </c>
      <c r="M317" s="229" t="s">
        <v>263</v>
      </c>
      <c r="N317" s="230" t="str">
        <f>IF(ISERROR(MATCH(A317,MemMap!$A$4:$A$98,0)) = FALSE, INDEX(MemMap!$B$4:$B$98,MATCH(A317,MemMap!$A$4:$A$98,0)),IF(F317="Y","TunSetCalSeg",IF(G317="Y", "FlashCalSeg", IF(G317="N", "FlashAppSeg", ""))))</f>
        <v>FlashCalSeg</v>
      </c>
      <c r="O317" s="220"/>
      <c r="P317" s="220"/>
      <c r="Q317" s="221"/>
      <c r="R317" s="221"/>
    </row>
    <row r="318" spans="1:18" x14ac:dyDescent="0.2">
      <c r="A318" s="224" t="s">
        <v>3673</v>
      </c>
      <c r="B318" s="225"/>
      <c r="C318" s="226" t="s">
        <v>3660</v>
      </c>
      <c r="D318" s="226" t="s">
        <v>220</v>
      </c>
      <c r="E318" s="226"/>
      <c r="F318" s="227" t="s">
        <v>82</v>
      </c>
      <c r="G318" s="228" t="s">
        <v>81</v>
      </c>
      <c r="H318" s="228"/>
      <c r="I318" s="223">
        <v>16</v>
      </c>
      <c r="J318" s="229">
        <v>0</v>
      </c>
      <c r="K318" s="229">
        <v>31</v>
      </c>
      <c r="L318" s="229" t="s">
        <v>560</v>
      </c>
      <c r="M318" s="229" t="s">
        <v>257</v>
      </c>
      <c r="N318" s="230" t="str">
        <f>IF(ISERROR(MATCH(A318,MemMap!$A$4:$A$98,0)) = FALSE, INDEX(MemMap!$B$4:$B$98,MATCH(A318,MemMap!$A$4:$A$98,0)),IF(F318="Y","TunSetCalSeg",IF(G318="Y", "FlashCalSeg", IF(G318="N", "FlashAppSeg", ""))))</f>
        <v>FlashCalSeg</v>
      </c>
      <c r="O318" s="220"/>
      <c r="P318" s="220"/>
      <c r="Q318" s="221"/>
      <c r="R318" s="221"/>
    </row>
    <row r="319" spans="1:18" x14ac:dyDescent="0.2">
      <c r="A319" s="224" t="s">
        <v>3672</v>
      </c>
      <c r="B319" s="225"/>
      <c r="C319" s="226" t="s">
        <v>3660</v>
      </c>
      <c r="D319" s="226" t="s">
        <v>220</v>
      </c>
      <c r="E319" s="226"/>
      <c r="F319" s="227" t="s">
        <v>82</v>
      </c>
      <c r="G319" s="228" t="s">
        <v>81</v>
      </c>
      <c r="H319" s="228"/>
      <c r="I319" s="223">
        <v>8</v>
      </c>
      <c r="J319" s="229">
        <v>0</v>
      </c>
      <c r="K319" s="229">
        <v>31</v>
      </c>
      <c r="L319" s="229" t="s">
        <v>560</v>
      </c>
      <c r="M319" s="229" t="s">
        <v>257</v>
      </c>
      <c r="N319" s="230" t="str">
        <f>IF(ISERROR(MATCH(A319,MemMap!$A$4:$A$98,0)) = FALSE, INDEX(MemMap!$B$4:$B$98,MATCH(A319,MemMap!$A$4:$A$98,0)),IF(F319="Y","TunSetCalSeg",IF(G319="Y", "FlashCalSeg", IF(G319="N", "FlashAppSeg", ""))))</f>
        <v>FlashCalSeg</v>
      </c>
      <c r="O319" s="220"/>
      <c r="P319" s="220"/>
      <c r="Q319" s="221"/>
      <c r="R319" s="221"/>
    </row>
    <row r="320" spans="1:18" x14ac:dyDescent="0.2">
      <c r="A320" s="224" t="s">
        <v>3662</v>
      </c>
      <c r="B320" s="225"/>
      <c r="C320" s="226" t="s">
        <v>3660</v>
      </c>
      <c r="D320" s="226" t="s">
        <v>220</v>
      </c>
      <c r="E320" s="226"/>
      <c r="F320" s="227" t="s">
        <v>82</v>
      </c>
      <c r="G320" s="228" t="s">
        <v>81</v>
      </c>
      <c r="H320" s="228"/>
      <c r="I320" s="223">
        <v>1000</v>
      </c>
      <c r="J320" s="229">
        <v>0</v>
      </c>
      <c r="K320" s="229">
        <v>65535</v>
      </c>
      <c r="L320" s="229" t="s">
        <v>269</v>
      </c>
      <c r="M320" s="229" t="s">
        <v>263</v>
      </c>
      <c r="N320" s="230" t="str">
        <f>IF(ISERROR(MATCH(A320,MemMap!$A$4:$A$98,0)) = FALSE, INDEX(MemMap!$B$4:$B$98,MATCH(A320,MemMap!$A$4:$A$98,0)),IF(F320="Y","TunSetCalSeg",IF(G320="Y", "FlashCalSeg", IF(G320="N", "FlashAppSeg", ""))))</f>
        <v>FlashCalSeg</v>
      </c>
      <c r="O320" s="220"/>
      <c r="P320" s="220"/>
      <c r="Q320" s="221"/>
      <c r="R320" s="221"/>
    </row>
    <row r="321" spans="1:18" x14ac:dyDescent="0.2">
      <c r="A321" s="224" t="s">
        <v>3661</v>
      </c>
      <c r="B321" s="225"/>
      <c r="C321" s="226" t="s">
        <v>3660</v>
      </c>
      <c r="D321" s="226" t="s">
        <v>220</v>
      </c>
      <c r="E321" s="226"/>
      <c r="F321" s="227" t="s">
        <v>82</v>
      </c>
      <c r="G321" s="228" t="s">
        <v>81</v>
      </c>
      <c r="H321" s="228"/>
      <c r="I321" s="223">
        <v>16</v>
      </c>
      <c r="J321" s="229">
        <v>0</v>
      </c>
      <c r="K321" s="229">
        <v>31</v>
      </c>
      <c r="L321" s="229" t="s">
        <v>560</v>
      </c>
      <c r="M321" s="229" t="s">
        <v>257</v>
      </c>
      <c r="N321" s="230" t="str">
        <f>IF(ISERROR(MATCH(A321,MemMap!$A$4:$A$98,0)) = FALSE, INDEX(MemMap!$B$4:$B$98,MATCH(A321,MemMap!$A$4:$A$98,0)),IF(F321="Y","TunSetCalSeg",IF(G321="Y", "FlashCalSeg", IF(G321="N", "FlashAppSeg", ""))))</f>
        <v>FlashCalSeg</v>
      </c>
      <c r="O321" s="220"/>
      <c r="P321" s="220"/>
      <c r="Q321" s="221"/>
      <c r="R321" s="221"/>
    </row>
    <row r="322" spans="1:18" x14ac:dyDescent="0.2">
      <c r="A322" s="224" t="s">
        <v>3659</v>
      </c>
      <c r="B322" s="225"/>
      <c r="C322" s="226" t="s">
        <v>3660</v>
      </c>
      <c r="D322" s="226" t="s">
        <v>220</v>
      </c>
      <c r="E322" s="226"/>
      <c r="F322" s="227" t="s">
        <v>82</v>
      </c>
      <c r="G322" s="228" t="s">
        <v>81</v>
      </c>
      <c r="H322" s="228"/>
      <c r="I322" s="223">
        <v>8</v>
      </c>
      <c r="J322" s="229">
        <v>0</v>
      </c>
      <c r="K322" s="229">
        <v>31</v>
      </c>
      <c r="L322" s="229" t="s">
        <v>560</v>
      </c>
      <c r="M322" s="229" t="s">
        <v>257</v>
      </c>
      <c r="N322" s="230" t="str">
        <f>IF(ISERROR(MATCH(A322,MemMap!$A$4:$A$98,0)) = FALSE, INDEX(MemMap!$B$4:$B$98,MATCH(A322,MemMap!$A$4:$A$98,0)),IF(F322="Y","TunSetCalSeg",IF(G322="Y", "FlashCalSeg", IF(G322="N", "FlashAppSeg", ""))))</f>
        <v>FlashCalSeg</v>
      </c>
      <c r="O322" s="220"/>
      <c r="P322" s="220"/>
      <c r="Q322" s="221"/>
      <c r="R322" s="221"/>
    </row>
    <row r="323" spans="1:18" ht="33.75" x14ac:dyDescent="0.2">
      <c r="A323" s="224" t="s">
        <v>838</v>
      </c>
      <c r="B323" s="225"/>
      <c r="C323" s="226" t="s">
        <v>839</v>
      </c>
      <c r="D323" s="226" t="s">
        <v>232</v>
      </c>
      <c r="E323" s="226"/>
      <c r="F323" s="227" t="s">
        <v>82</v>
      </c>
      <c r="G323" s="228" t="s">
        <v>82</v>
      </c>
      <c r="H323" s="228"/>
      <c r="I323" s="223" t="s">
        <v>840</v>
      </c>
      <c r="J323" s="229">
        <v>1E-4</v>
      </c>
      <c r="K323" s="229">
        <v>0.5</v>
      </c>
      <c r="L323" s="229" t="s">
        <v>841</v>
      </c>
      <c r="M323" s="229" t="s">
        <v>257</v>
      </c>
      <c r="N323" s="230" t="str">
        <f>IF(ISERROR(MATCH(A323,MemMap!$A$4:$A$98,0)) = FALSE, INDEX(MemMap!$B$4:$B$98,MATCH(A323,MemMap!$A$4:$A$98,0)),IF(F323="Y","TunSetCalSeg",IF(G323="Y", "FlashCalSeg", IF(G323="N", "FlashAppSeg", ""))))</f>
        <v>FlashAppSeg</v>
      </c>
      <c r="O323" s="220"/>
      <c r="P323" s="220"/>
      <c r="Q323" s="221"/>
      <c r="R323" s="221"/>
    </row>
    <row r="324" spans="1:18" ht="409.5" x14ac:dyDescent="0.2">
      <c r="A324" s="224" t="s">
        <v>842</v>
      </c>
      <c r="B324" s="225"/>
      <c r="C324" s="226" t="s">
        <v>839</v>
      </c>
      <c r="D324" s="226" t="s">
        <v>232</v>
      </c>
      <c r="E324" s="226"/>
      <c r="F324" s="227" t="s">
        <v>82</v>
      </c>
      <c r="G324" s="228" t="s">
        <v>82</v>
      </c>
      <c r="H324" s="228"/>
      <c r="I324" s="223" t="s">
        <v>843</v>
      </c>
      <c r="J324" s="229" t="s">
        <v>845</v>
      </c>
      <c r="K324" s="229" t="s">
        <v>845</v>
      </c>
      <c r="L324" s="229" t="s">
        <v>387</v>
      </c>
      <c r="M324" s="229" t="s">
        <v>844</v>
      </c>
      <c r="N324" s="230" t="str">
        <f>IF(ISERROR(MATCH(A324,MemMap!$A$4:$A$98,0)) = FALSE, INDEX(MemMap!$B$4:$B$98,MATCH(A324,MemMap!$A$4:$A$98,0)),IF(F324="Y","TunSetCalSeg",IF(G324="Y", "FlashCalSeg", IF(G324="N", "FlashAppSeg", ""))))</f>
        <v>FlashAppSeg</v>
      </c>
      <c r="O324" s="220"/>
      <c r="P324" s="220"/>
      <c r="Q324" s="221"/>
      <c r="R324" s="221"/>
    </row>
    <row r="325" spans="1:18" ht="22.5" x14ac:dyDescent="0.2">
      <c r="A325" s="224" t="s">
        <v>846</v>
      </c>
      <c r="B325" s="225"/>
      <c r="C325" s="226" t="s">
        <v>839</v>
      </c>
      <c r="D325" s="226" t="s">
        <v>232</v>
      </c>
      <c r="E325" s="226"/>
      <c r="F325" s="227" t="s">
        <v>82</v>
      </c>
      <c r="G325" s="228" t="s">
        <v>82</v>
      </c>
      <c r="H325" s="228"/>
      <c r="I325" s="223" t="s">
        <v>847</v>
      </c>
      <c r="J325" s="229" t="s">
        <v>845</v>
      </c>
      <c r="K325" s="229" t="s">
        <v>845</v>
      </c>
      <c r="L325" s="229" t="s">
        <v>848</v>
      </c>
      <c r="M325" s="229" t="s">
        <v>849</v>
      </c>
      <c r="N325" s="230" t="str">
        <f>IF(ISERROR(MATCH(A325,MemMap!$A$4:$A$98,0)) = FALSE, INDEX(MemMap!$B$4:$B$98,MATCH(A325,MemMap!$A$4:$A$98,0)),IF(F325="Y","TunSetCalSeg",IF(G325="Y", "FlashCalSeg", IF(G325="N", "FlashAppSeg", ""))))</f>
        <v>FlashAppSeg</v>
      </c>
      <c r="O325" s="220"/>
      <c r="P325" s="220"/>
      <c r="Q325" s="221"/>
      <c r="R325" s="221"/>
    </row>
    <row r="326" spans="1:18" ht="45" x14ac:dyDescent="0.2">
      <c r="A326" s="224" t="s">
        <v>2115</v>
      </c>
      <c r="B326" s="225"/>
      <c r="C326" s="226" t="s">
        <v>839</v>
      </c>
      <c r="D326" s="226" t="s">
        <v>232</v>
      </c>
      <c r="E326" s="226"/>
      <c r="F326" s="227" t="s">
        <v>82</v>
      </c>
      <c r="G326" s="228" t="s">
        <v>82</v>
      </c>
      <c r="H326" s="228"/>
      <c r="I326" s="223" t="s">
        <v>2116</v>
      </c>
      <c r="J326" s="229" t="s">
        <v>845</v>
      </c>
      <c r="K326" s="229" t="s">
        <v>845</v>
      </c>
      <c r="L326" s="229" t="s">
        <v>387</v>
      </c>
      <c r="M326" s="229" t="s">
        <v>2117</v>
      </c>
      <c r="N326" s="230" t="str">
        <f>IF(ISERROR(MATCH(A326,MemMap!$A$4:$A$98,0)) = FALSE, INDEX(MemMap!$B$4:$B$98,MATCH(A326,MemMap!$A$4:$A$98,0)),IF(F326="Y","TunSetCalSeg",IF(G326="Y", "FlashCalSeg", IF(G326="N", "FlashAppSeg", ""))))</f>
        <v>FlashAppSeg</v>
      </c>
      <c r="O326" s="220"/>
      <c r="P326" s="220"/>
      <c r="Q326" s="221"/>
      <c r="R326" s="221"/>
    </row>
    <row r="327" spans="1:18" ht="22.5" x14ac:dyDescent="0.2">
      <c r="A327" s="224" t="s">
        <v>2121</v>
      </c>
      <c r="B327" s="225"/>
      <c r="C327" s="226" t="s">
        <v>839</v>
      </c>
      <c r="D327" s="226" t="s">
        <v>232</v>
      </c>
      <c r="E327" s="226"/>
      <c r="F327" s="227" t="s">
        <v>82</v>
      </c>
      <c r="G327" s="228" t="s">
        <v>82</v>
      </c>
      <c r="H327" s="228"/>
      <c r="I327" s="223">
        <v>1</v>
      </c>
      <c r="J327" s="229">
        <v>0</v>
      </c>
      <c r="K327" s="229">
        <v>65535</v>
      </c>
      <c r="L327" s="229" t="s">
        <v>387</v>
      </c>
      <c r="M327" s="229" t="s">
        <v>263</v>
      </c>
      <c r="N327" s="230" t="str">
        <f>IF(ISERROR(MATCH(A327,MemMap!$A$4:$A$98,0)) = FALSE, INDEX(MemMap!$B$4:$B$98,MATCH(A327,MemMap!$A$4:$A$98,0)),IF(F327="Y","TunSetCalSeg",IF(G327="Y", "FlashCalSeg", IF(G327="N", "FlashAppSeg", ""))))</f>
        <v>FlashAppSeg</v>
      </c>
      <c r="O327" s="220"/>
      <c r="P327" s="220"/>
      <c r="Q327" s="221"/>
      <c r="R327" s="221"/>
    </row>
    <row r="328" spans="1:18" ht="22.5" x14ac:dyDescent="0.2">
      <c r="A328" s="224" t="s">
        <v>2120</v>
      </c>
      <c r="B328" s="225"/>
      <c r="C328" s="226" t="s">
        <v>839</v>
      </c>
      <c r="D328" s="226" t="s">
        <v>232</v>
      </c>
      <c r="E328" s="226"/>
      <c r="F328" s="227" t="s">
        <v>82</v>
      </c>
      <c r="G328" s="228" t="s">
        <v>82</v>
      </c>
      <c r="H328" s="228"/>
      <c r="I328" s="223">
        <v>1</v>
      </c>
      <c r="J328" s="229">
        <v>0</v>
      </c>
      <c r="K328" s="229">
        <v>65535</v>
      </c>
      <c r="L328" s="229" t="s">
        <v>387</v>
      </c>
      <c r="M328" s="229" t="s">
        <v>263</v>
      </c>
      <c r="N328" s="230" t="str">
        <f>IF(ISERROR(MATCH(A328,MemMap!$A$4:$A$98,0)) = FALSE, INDEX(MemMap!$B$4:$B$98,MATCH(A328,MemMap!$A$4:$A$98,0)),IF(F328="Y","TunSetCalSeg",IF(G328="Y", "FlashCalSeg", IF(G328="N", "FlashAppSeg", ""))))</f>
        <v>FlashAppSeg</v>
      </c>
      <c r="O328" s="220"/>
      <c r="P328" s="220"/>
      <c r="Q328" s="221"/>
      <c r="R328" s="221"/>
    </row>
    <row r="329" spans="1:18" ht="22.5" x14ac:dyDescent="0.2">
      <c r="A329" s="224" t="s">
        <v>2119</v>
      </c>
      <c r="B329" s="225"/>
      <c r="C329" s="226" t="s">
        <v>839</v>
      </c>
      <c r="D329" s="226" t="s">
        <v>232</v>
      </c>
      <c r="E329" s="226"/>
      <c r="F329" s="227" t="s">
        <v>82</v>
      </c>
      <c r="G329" s="228" t="s">
        <v>82</v>
      </c>
      <c r="H329" s="228"/>
      <c r="I329" s="223">
        <v>65535</v>
      </c>
      <c r="J329" s="229">
        <v>0</v>
      </c>
      <c r="K329" s="229">
        <v>65535</v>
      </c>
      <c r="L329" s="229" t="s">
        <v>387</v>
      </c>
      <c r="M329" s="229" t="s">
        <v>263</v>
      </c>
      <c r="N329" s="230" t="str">
        <f>IF(ISERROR(MATCH(A329,MemMap!$A$4:$A$98,0)) = FALSE, INDEX(MemMap!$B$4:$B$98,MATCH(A329,MemMap!$A$4:$A$98,0)),IF(F329="Y","TunSetCalSeg",IF(G329="Y", "FlashCalSeg", IF(G329="N", "FlashAppSeg", ""))))</f>
        <v>FlashAppSeg</v>
      </c>
      <c r="O329" s="220"/>
      <c r="P329" s="220"/>
      <c r="Q329" s="221"/>
      <c r="R329" s="221"/>
    </row>
    <row r="330" spans="1:18" ht="22.5" x14ac:dyDescent="0.2">
      <c r="A330" s="224" t="s">
        <v>2118</v>
      </c>
      <c r="B330" s="225"/>
      <c r="C330" s="226" t="s">
        <v>839</v>
      </c>
      <c r="D330" s="226" t="s">
        <v>232</v>
      </c>
      <c r="E330" s="226"/>
      <c r="F330" s="227" t="s">
        <v>82</v>
      </c>
      <c r="G330" s="228" t="s">
        <v>82</v>
      </c>
      <c r="H330" s="228"/>
      <c r="I330" s="223">
        <v>0</v>
      </c>
      <c r="J330" s="229">
        <v>0</v>
      </c>
      <c r="K330" s="229">
        <v>511</v>
      </c>
      <c r="L330" s="229" t="s">
        <v>387</v>
      </c>
      <c r="M330" s="229" t="s">
        <v>852</v>
      </c>
      <c r="N330" s="230" t="str">
        <f>IF(ISERROR(MATCH(A330,MemMap!$A$4:$A$98,0)) = FALSE, INDEX(MemMap!$B$4:$B$98,MATCH(A330,MemMap!$A$4:$A$98,0)),IF(F330="Y","TunSetCalSeg",IF(G330="Y", "FlashCalSeg", IF(G330="N", "FlashAppSeg", ""))))</f>
        <v>FlashAppSeg</v>
      </c>
      <c r="O330" s="220"/>
      <c r="P330" s="220"/>
      <c r="Q330" s="221"/>
      <c r="R330" s="221"/>
    </row>
    <row r="331" spans="1:18" ht="409.5" x14ac:dyDescent="0.2">
      <c r="A331" s="224" t="s">
        <v>850</v>
      </c>
      <c r="B331" s="225"/>
      <c r="C331" s="226" t="s">
        <v>839</v>
      </c>
      <c r="D331" s="226" t="s">
        <v>232</v>
      </c>
      <c r="E331" s="226"/>
      <c r="F331" s="227" t="s">
        <v>82</v>
      </c>
      <c r="G331" s="228" t="s">
        <v>82</v>
      </c>
      <c r="H331" s="228"/>
      <c r="I331" s="223" t="s">
        <v>851</v>
      </c>
      <c r="J331" s="229">
        <v>0</v>
      </c>
      <c r="K331" s="229">
        <v>511</v>
      </c>
      <c r="L331" s="229" t="s">
        <v>387</v>
      </c>
      <c r="M331" s="229" t="s">
        <v>852</v>
      </c>
      <c r="N331" s="230" t="str">
        <f>IF(ISERROR(MATCH(A331,MemMap!$A$4:$A$98,0)) = FALSE, INDEX(MemMap!$B$4:$B$98,MATCH(A331,MemMap!$A$4:$A$98,0)),IF(F331="Y","TunSetCalSeg",IF(G331="Y", "FlashCalSeg", IF(G331="N", "FlashAppSeg", ""))))</f>
        <v>FlashAppSeg</v>
      </c>
      <c r="O331" s="220"/>
      <c r="P331" s="220"/>
      <c r="Q331" s="221"/>
      <c r="R331" s="221"/>
    </row>
    <row r="332" spans="1:18" x14ac:dyDescent="0.2">
      <c r="A332" s="224" t="s">
        <v>2276</v>
      </c>
      <c r="B332" s="225"/>
      <c r="C332" s="226" t="s">
        <v>2150</v>
      </c>
      <c r="D332" s="226" t="s">
        <v>220</v>
      </c>
      <c r="E332" s="226" t="s">
        <v>2272</v>
      </c>
      <c r="F332" s="227" t="s">
        <v>82</v>
      </c>
      <c r="G332" s="228" t="s">
        <v>81</v>
      </c>
      <c r="H332" s="228"/>
      <c r="I332" s="223">
        <v>0</v>
      </c>
      <c r="J332" s="229">
        <v>0</v>
      </c>
      <c r="K332" s="229">
        <v>255</v>
      </c>
      <c r="L332" s="229" t="s">
        <v>1541</v>
      </c>
      <c r="M332" s="229" t="s">
        <v>938</v>
      </c>
      <c r="N332" s="230" t="str">
        <f>IF(ISERROR(MATCH(A332,MemMap!$A$4:$A$98,0)) = FALSE, INDEX(MemMap!$B$4:$B$98,MATCH(A332,MemMap!$A$4:$A$98,0)),IF(F332="Y","TunSetCalSeg",IF(G332="Y", "FlashCalSeg", IF(G332="N", "FlashAppSeg", ""))))</f>
        <v>CalibrationEdition</v>
      </c>
      <c r="O332" s="220"/>
      <c r="P332" s="220"/>
      <c r="Q332" s="221"/>
      <c r="R332" s="221"/>
    </row>
    <row r="333" spans="1:18" x14ac:dyDescent="0.2">
      <c r="A333" s="224" t="s">
        <v>2275</v>
      </c>
      <c r="B333" s="225"/>
      <c r="C333" s="226" t="s">
        <v>2150</v>
      </c>
      <c r="D333" s="226" t="s">
        <v>220</v>
      </c>
      <c r="E333" s="226" t="s">
        <v>2272</v>
      </c>
      <c r="F333" s="227" t="s">
        <v>82</v>
      </c>
      <c r="G333" s="228" t="s">
        <v>81</v>
      </c>
      <c r="H333" s="228"/>
      <c r="I333" s="223">
        <v>1</v>
      </c>
      <c r="J333" s="229">
        <v>0</v>
      </c>
      <c r="K333" s="229">
        <v>255</v>
      </c>
      <c r="L333" s="229" t="s">
        <v>1541</v>
      </c>
      <c r="M333" s="229" t="s">
        <v>938</v>
      </c>
      <c r="N333" s="230" t="str">
        <f>IF(ISERROR(MATCH(A333,MemMap!$A$4:$A$98,0)) = FALSE, INDEX(MemMap!$B$4:$B$98,MATCH(A333,MemMap!$A$4:$A$98,0)),IF(F333="Y","TunSetCalSeg",IF(G333="Y", "FlashCalSeg", IF(G333="N", "FlashAppSeg", ""))))</f>
        <v>CalibrationVersion</v>
      </c>
      <c r="O333" s="220"/>
      <c r="P333" s="220"/>
      <c r="Q333" s="221"/>
      <c r="R333" s="221"/>
    </row>
    <row r="334" spans="1:18" x14ac:dyDescent="0.2">
      <c r="A334" s="224" t="s">
        <v>3706</v>
      </c>
      <c r="B334" s="225"/>
      <c r="C334" s="226" t="s">
        <v>2150</v>
      </c>
      <c r="D334" s="226" t="s">
        <v>220</v>
      </c>
      <c r="E334" s="226"/>
      <c r="F334" s="227" t="s">
        <v>82</v>
      </c>
      <c r="G334" s="228" t="s">
        <v>82</v>
      </c>
      <c r="H334" s="228"/>
      <c r="I334" s="223">
        <v>1</v>
      </c>
      <c r="J334" s="229">
        <v>0</v>
      </c>
      <c r="K334" s="229">
        <v>1</v>
      </c>
      <c r="L334" s="229" t="s">
        <v>256</v>
      </c>
      <c r="M334" s="229" t="s">
        <v>257</v>
      </c>
      <c r="N334" s="230" t="str">
        <f>IF(ISERROR(MATCH(A334,MemMap!$A$4:$A$98,0)) = FALSE, INDEX(MemMap!$B$4:$B$98,MATCH(A334,MemMap!$A$4:$A$98,0)),IF(F334="Y","TunSetCalSeg",IF(G334="Y", "FlashCalSeg", IF(G334="N", "FlashAppSeg", ""))))</f>
        <v>FlashAppSeg</v>
      </c>
      <c r="O334" s="220"/>
      <c r="P334" s="220"/>
      <c r="Q334" s="221"/>
      <c r="R334" s="221"/>
    </row>
    <row r="335" spans="1:18" ht="33.75" x14ac:dyDescent="0.2">
      <c r="A335" s="224" t="s">
        <v>2149</v>
      </c>
      <c r="B335" s="225"/>
      <c r="C335" s="226" t="s">
        <v>2150</v>
      </c>
      <c r="D335" s="226" t="s">
        <v>220</v>
      </c>
      <c r="E335" s="226" t="s">
        <v>2164</v>
      </c>
      <c r="F335" s="227" t="s">
        <v>82</v>
      </c>
      <c r="G335" s="228" t="s">
        <v>81</v>
      </c>
      <c r="H335" s="228"/>
      <c r="I335" s="223">
        <v>5</v>
      </c>
      <c r="J335" s="229">
        <v>0</v>
      </c>
      <c r="K335" s="229">
        <v>10</v>
      </c>
      <c r="L335" s="229" t="s">
        <v>261</v>
      </c>
      <c r="M335" s="229" t="s">
        <v>257</v>
      </c>
      <c r="N335" s="230" t="str">
        <f>IF(ISERROR(MATCH(A335,MemMap!$A$4:$A$98,0)) = FALSE, INDEX(MemMap!$B$4:$B$98,MATCH(A335,MemMap!$A$4:$A$98,0)),IF(F335="Y","TunSetCalSeg",IF(G335="Y", "FlashCalSeg", IF(G335="N", "FlashAppSeg", ""))))</f>
        <v>FlashCalSeg</v>
      </c>
      <c r="O335" s="220"/>
      <c r="P335" s="220"/>
      <c r="Q335" s="221"/>
      <c r="R335" s="221"/>
    </row>
    <row r="336" spans="1:18" x14ac:dyDescent="0.2">
      <c r="A336" s="224" t="s">
        <v>2277</v>
      </c>
      <c r="B336" s="225"/>
      <c r="C336" s="226" t="s">
        <v>2150</v>
      </c>
      <c r="D336" s="226" t="s">
        <v>220</v>
      </c>
      <c r="E336" s="226" t="s">
        <v>2272</v>
      </c>
      <c r="F336" s="227" t="s">
        <v>82</v>
      </c>
      <c r="G336" s="228" t="s">
        <v>81</v>
      </c>
      <c r="H336" s="228"/>
      <c r="I336" s="223">
        <v>1</v>
      </c>
      <c r="J336" s="229">
        <v>0</v>
      </c>
      <c r="K336" s="229">
        <v>255</v>
      </c>
      <c r="L336" s="229" t="s">
        <v>1541</v>
      </c>
      <c r="M336" s="229" t="s">
        <v>938</v>
      </c>
      <c r="N336" s="230" t="str">
        <f>IF(ISERROR(MATCH(A336,MemMap!$A$4:$A$98,0)) = FALSE, INDEX(MemMap!$B$4:$B$98,MATCH(A336,MemMap!$A$4:$A$98,0)),IF(F336="Y","TunSetCalSeg",IF(G336="Y", "FlashCalSeg", IF(G336="N", "FlashAppSeg", ""))))</f>
        <v>NBRPARAMFLT</v>
      </c>
      <c r="O336" s="220"/>
      <c r="P336" s="220"/>
      <c r="Q336" s="221"/>
      <c r="R336" s="221"/>
    </row>
    <row r="337" spans="1:18" x14ac:dyDescent="0.2">
      <c r="A337" s="224" t="s">
        <v>2423</v>
      </c>
      <c r="B337" s="225" t="s">
        <v>2424</v>
      </c>
      <c r="C337" s="226" t="s">
        <v>2150</v>
      </c>
      <c r="D337" s="226" t="s">
        <v>220</v>
      </c>
      <c r="E337" s="226" t="s">
        <v>2425</v>
      </c>
      <c r="F337" s="227" t="s">
        <v>82</v>
      </c>
      <c r="G337" s="228" t="s">
        <v>81</v>
      </c>
      <c r="H337" s="228"/>
      <c r="I337" s="223" t="b">
        <v>0</v>
      </c>
      <c r="J337" s="229" t="b">
        <v>0</v>
      </c>
      <c r="K337" s="229" t="b">
        <v>1</v>
      </c>
      <c r="L337" s="229" t="s">
        <v>1541</v>
      </c>
      <c r="M337" s="229" t="s">
        <v>462</v>
      </c>
      <c r="N337" s="230" t="str">
        <f>IF(ISERROR(MATCH(A337,MemMap!$A$4:$A$98,0)) = FALSE, INDEX(MemMap!$B$4:$B$98,MATCH(A337,MemMap!$A$4:$A$98,0)),IF(F337="Y","TunSetCalSeg",IF(G337="Y", "FlashCalSeg", IF(G337="N", "FlashAppSeg", ""))))</f>
        <v>FlashCalSeg</v>
      </c>
      <c r="O337" s="220"/>
      <c r="P337" s="220"/>
      <c r="Q337" s="221"/>
      <c r="R337" s="221"/>
    </row>
    <row r="338" spans="1:18" x14ac:dyDescent="0.2">
      <c r="A338" s="224" t="s">
        <v>2274</v>
      </c>
      <c r="B338" s="225"/>
      <c r="C338" s="226" t="s">
        <v>2150</v>
      </c>
      <c r="D338" s="226" t="s">
        <v>220</v>
      </c>
      <c r="E338" s="226" t="s">
        <v>2272</v>
      </c>
      <c r="F338" s="227" t="s">
        <v>82</v>
      </c>
      <c r="G338" s="228" t="s">
        <v>81</v>
      </c>
      <c r="H338" s="228"/>
      <c r="I338" s="223">
        <v>0</v>
      </c>
      <c r="J338" s="229">
        <v>0</v>
      </c>
      <c r="K338" s="229">
        <v>255</v>
      </c>
      <c r="L338" s="229" t="s">
        <v>1541</v>
      </c>
      <c r="M338" s="229" t="s">
        <v>938</v>
      </c>
      <c r="N338" s="230" t="str">
        <f>IF(ISERROR(MATCH(A338,MemMap!$A$4:$A$98,0)) = FALSE, INDEX(MemMap!$B$4:$B$98,MATCH(A338,MemMap!$A$4:$A$98,0)),IF(F338="Y","TunSetCalSeg",IF(G338="Y", "FlashCalSeg", IF(G338="N", "FlashAppSeg", ""))))</f>
        <v>SoftwareEdition</v>
      </c>
      <c r="O338" s="220"/>
      <c r="P338" s="220"/>
      <c r="Q338" s="221"/>
      <c r="R338" s="221"/>
    </row>
    <row r="339" spans="1:18" x14ac:dyDescent="0.2">
      <c r="A339" s="224" t="s">
        <v>2273</v>
      </c>
      <c r="B339" s="225"/>
      <c r="C339" s="226" t="s">
        <v>2150</v>
      </c>
      <c r="D339" s="226" t="s">
        <v>220</v>
      </c>
      <c r="E339" s="226" t="s">
        <v>2272</v>
      </c>
      <c r="F339" s="227" t="s">
        <v>82</v>
      </c>
      <c r="G339" s="228" t="s">
        <v>81</v>
      </c>
      <c r="H339" s="228"/>
      <c r="I339" s="223">
        <v>2</v>
      </c>
      <c r="J339" s="229">
        <v>0</v>
      </c>
      <c r="K339" s="229">
        <v>255</v>
      </c>
      <c r="L339" s="229" t="s">
        <v>1541</v>
      </c>
      <c r="M339" s="229" t="s">
        <v>938</v>
      </c>
      <c r="N339" s="230" t="str">
        <f>IF(ISERROR(MATCH(A339,MemMap!$A$4:$A$98,0)) = FALSE, INDEX(MemMap!$B$4:$B$98,MATCH(A339,MemMap!$A$4:$A$98,0)),IF(F339="Y","TunSetCalSeg",IF(G339="Y", "FlashCalSeg", IF(G339="N", "FlashAppSeg", ""))))</f>
        <v>SoftwareVersion</v>
      </c>
      <c r="O339" s="220"/>
      <c r="P339" s="220"/>
      <c r="Q339" s="221"/>
      <c r="R339" s="221"/>
    </row>
    <row r="340" spans="1:18" x14ac:dyDescent="0.2">
      <c r="A340" s="224" t="s">
        <v>2271</v>
      </c>
      <c r="B340" s="225"/>
      <c r="C340" s="226" t="s">
        <v>2150</v>
      </c>
      <c r="D340" s="226" t="s">
        <v>220</v>
      </c>
      <c r="E340" s="226" t="s">
        <v>2272</v>
      </c>
      <c r="F340" s="227" t="s">
        <v>82</v>
      </c>
      <c r="G340" s="228" t="s">
        <v>81</v>
      </c>
      <c r="H340" s="228"/>
      <c r="I340" s="223">
        <v>19</v>
      </c>
      <c r="J340" s="229">
        <v>0</v>
      </c>
      <c r="K340" s="229">
        <v>65535</v>
      </c>
      <c r="L340" s="229" t="s">
        <v>1541</v>
      </c>
      <c r="M340" s="229" t="s">
        <v>263</v>
      </c>
      <c r="N340" s="230" t="str">
        <f>IF(ISERROR(MATCH(A340,MemMap!$A$4:$A$98,0)) = FALSE, INDEX(MemMap!$B$4:$B$98,MATCH(A340,MemMap!$A$4:$A$98,0)),IF(F340="Y","TunSetCalSeg",IF(G340="Y", "FlashCalSeg", IF(G340="N", "FlashAppSeg", ""))))</f>
        <v>SupplierCode</v>
      </c>
      <c r="O340" s="220"/>
      <c r="P340" s="220"/>
      <c r="Q340" s="221"/>
      <c r="R340" s="221"/>
    </row>
    <row r="341" spans="1:18" ht="360" x14ac:dyDescent="0.2">
      <c r="A341" s="224" t="s">
        <v>2419</v>
      </c>
      <c r="B341" s="225"/>
      <c r="C341" s="226" t="s">
        <v>2150</v>
      </c>
      <c r="D341" s="226" t="s">
        <v>220</v>
      </c>
      <c r="E341" s="226" t="s">
        <v>2420</v>
      </c>
      <c r="F341" s="227" t="s">
        <v>82</v>
      </c>
      <c r="G341" s="228" t="s">
        <v>81</v>
      </c>
      <c r="H341" s="228"/>
      <c r="I341" s="223" t="s">
        <v>2421</v>
      </c>
      <c r="J341" s="229">
        <v>0</v>
      </c>
      <c r="K341" s="229">
        <v>31</v>
      </c>
      <c r="L341" s="229" t="s">
        <v>1541</v>
      </c>
      <c r="M341" s="229" t="s">
        <v>2422</v>
      </c>
      <c r="N341" s="230" t="str">
        <f>IF(ISERROR(MATCH(A341,MemMap!$A$4:$A$98,0)) = FALSE, INDEX(MemMap!$B$4:$B$98,MATCH(A341,MemMap!$A$4:$A$98,0)),IF(F341="Y","TunSetCalSeg",IF(G341="Y", "FlashCalSeg", IF(G341="N", "FlashAppSeg", ""))))</f>
        <v>FlashCalSeg</v>
      </c>
      <c r="O341" s="220"/>
      <c r="P341" s="220"/>
      <c r="Q341" s="221"/>
      <c r="R341" s="221"/>
    </row>
    <row r="342" spans="1:18" x14ac:dyDescent="0.2">
      <c r="A342" s="224" t="s">
        <v>2415</v>
      </c>
      <c r="B342" s="225" t="s">
        <v>2416</v>
      </c>
      <c r="C342" s="226" t="s">
        <v>2150</v>
      </c>
      <c r="D342" s="226" t="s">
        <v>220</v>
      </c>
      <c r="E342" s="226" t="s">
        <v>2404</v>
      </c>
      <c r="F342" s="227" t="s">
        <v>82</v>
      </c>
      <c r="G342" s="228" t="s">
        <v>81</v>
      </c>
      <c r="H342" s="228"/>
      <c r="I342" s="223">
        <v>0</v>
      </c>
      <c r="J342" s="229">
        <v>0</v>
      </c>
      <c r="K342" s="229">
        <v>65535</v>
      </c>
      <c r="L342" s="229" t="s">
        <v>1541</v>
      </c>
      <c r="M342" s="229" t="s">
        <v>263</v>
      </c>
      <c r="N342" s="230" t="str">
        <f>IF(ISERROR(MATCH(A342,MemMap!$A$4:$A$98,0)) = FALSE, INDEX(MemMap!$B$4:$B$98,MATCH(A342,MemMap!$A$4:$A$98,0)),IF(F342="Y","TunSetCalSeg",IF(G342="Y", "FlashCalSeg", IF(G342="N", "FlashAppSeg", ""))))</f>
        <v>FlashCalSeg</v>
      </c>
      <c r="O342" s="220"/>
      <c r="P342" s="220"/>
      <c r="Q342" s="221"/>
      <c r="R342" s="221"/>
    </row>
    <row r="343" spans="1:18" x14ac:dyDescent="0.2">
      <c r="A343" s="224" t="s">
        <v>2409</v>
      </c>
      <c r="B343" s="225" t="s">
        <v>2410</v>
      </c>
      <c r="C343" s="226" t="s">
        <v>2150</v>
      </c>
      <c r="D343" s="226" t="s">
        <v>220</v>
      </c>
      <c r="E343" s="226" t="s">
        <v>2404</v>
      </c>
      <c r="F343" s="227" t="s">
        <v>82</v>
      </c>
      <c r="G343" s="228" t="s">
        <v>81</v>
      </c>
      <c r="H343" s="228"/>
      <c r="I343" s="223">
        <v>240</v>
      </c>
      <c r="J343" s="229">
        <v>0</v>
      </c>
      <c r="K343" s="229">
        <v>255</v>
      </c>
      <c r="L343" s="229" t="s">
        <v>1541</v>
      </c>
      <c r="M343" s="229" t="s">
        <v>938</v>
      </c>
      <c r="N343" s="230" t="str">
        <f>IF(ISERROR(MATCH(A343,MemMap!$A$4:$A$98,0)) = FALSE, INDEX(MemMap!$B$4:$B$98,MATCH(A343,MemMap!$A$4:$A$98,0)),IF(F343="Y","TunSetCalSeg",IF(G343="Y", "FlashCalSeg", IF(G343="N", "FlashAppSeg", ""))))</f>
        <v>FlashCalSeg</v>
      </c>
      <c r="O343" s="220"/>
      <c r="P343" s="220"/>
      <c r="Q343" s="221"/>
      <c r="R343" s="221"/>
    </row>
    <row r="344" spans="1:18" x14ac:dyDescent="0.2">
      <c r="A344" s="224" t="s">
        <v>2407</v>
      </c>
      <c r="B344" s="225" t="s">
        <v>2408</v>
      </c>
      <c r="C344" s="226" t="s">
        <v>2150</v>
      </c>
      <c r="D344" s="226" t="s">
        <v>220</v>
      </c>
      <c r="E344" s="226" t="s">
        <v>2404</v>
      </c>
      <c r="F344" s="227" t="s">
        <v>82</v>
      </c>
      <c r="G344" s="228" t="s">
        <v>81</v>
      </c>
      <c r="H344" s="228"/>
      <c r="I344" s="223">
        <v>0</v>
      </c>
      <c r="J344" s="229">
        <v>0</v>
      </c>
      <c r="K344" s="229">
        <v>1</v>
      </c>
      <c r="L344" s="229" t="s">
        <v>1541</v>
      </c>
      <c r="M344" s="229" t="s">
        <v>938</v>
      </c>
      <c r="N344" s="230" t="str">
        <f>IF(ISERROR(MATCH(A344,MemMap!$A$4:$A$98,0)) = FALSE, INDEX(MemMap!$B$4:$B$98,MATCH(A344,MemMap!$A$4:$A$98,0)),IF(F344="Y","TunSetCalSeg",IF(G344="Y", "FlashCalSeg", IF(G344="N", "FlashAppSeg", ""))))</f>
        <v>FlashCalSeg</v>
      </c>
      <c r="O344" s="220"/>
      <c r="P344" s="220"/>
      <c r="Q344" s="221"/>
      <c r="R344" s="221"/>
    </row>
    <row r="345" spans="1:18" x14ac:dyDescent="0.2">
      <c r="A345" s="224" t="s">
        <v>2411</v>
      </c>
      <c r="B345" s="225" t="s">
        <v>2412</v>
      </c>
      <c r="C345" s="226" t="s">
        <v>2150</v>
      </c>
      <c r="D345" s="226" t="s">
        <v>220</v>
      </c>
      <c r="E345" s="226" t="s">
        <v>2404</v>
      </c>
      <c r="F345" s="227" t="s">
        <v>82</v>
      </c>
      <c r="G345" s="228" t="s">
        <v>81</v>
      </c>
      <c r="H345" s="228"/>
      <c r="I345" s="223">
        <v>0</v>
      </c>
      <c r="J345" s="229">
        <v>0</v>
      </c>
      <c r="K345" s="229">
        <v>65535</v>
      </c>
      <c r="L345" s="229" t="s">
        <v>1541</v>
      </c>
      <c r="M345" s="229" t="s">
        <v>263</v>
      </c>
      <c r="N345" s="230" t="str">
        <f>IF(ISERROR(MATCH(A345,MemMap!$A$4:$A$98,0)) = FALSE, INDEX(MemMap!$B$4:$B$98,MATCH(A345,MemMap!$A$4:$A$98,0)),IF(F345="Y","TunSetCalSeg",IF(G345="Y", "FlashCalSeg", IF(G345="N", "FlashAppSeg", ""))))</f>
        <v>FlashCalSeg</v>
      </c>
      <c r="O345" s="220"/>
      <c r="P345" s="220"/>
      <c r="Q345" s="221"/>
      <c r="R345" s="221"/>
    </row>
    <row r="346" spans="1:18" x14ac:dyDescent="0.2">
      <c r="A346" s="224" t="s">
        <v>2402</v>
      </c>
      <c r="B346" s="225" t="s">
        <v>2403</v>
      </c>
      <c r="C346" s="226" t="s">
        <v>2150</v>
      </c>
      <c r="D346" s="226" t="s">
        <v>220</v>
      </c>
      <c r="E346" s="226" t="s">
        <v>2404</v>
      </c>
      <c r="F346" s="227" t="s">
        <v>82</v>
      </c>
      <c r="G346" s="228" t="s">
        <v>81</v>
      </c>
      <c r="H346" s="228"/>
      <c r="I346" s="223">
        <v>3</v>
      </c>
      <c r="J346" s="229">
        <v>0</v>
      </c>
      <c r="K346" s="229">
        <v>255</v>
      </c>
      <c r="L346" s="229" t="s">
        <v>1541</v>
      </c>
      <c r="M346" s="229" t="s">
        <v>938</v>
      </c>
      <c r="N346" s="230" t="str">
        <f>IF(ISERROR(MATCH(A346,MemMap!$A$4:$A$98,0)) = FALSE, INDEX(MemMap!$B$4:$B$98,MATCH(A346,MemMap!$A$4:$A$98,0)),IF(F346="Y","TunSetCalSeg",IF(G346="Y", "FlashCalSeg", IF(G346="N", "FlashAppSeg", ""))))</f>
        <v>FlashCalSeg</v>
      </c>
      <c r="O346" s="220"/>
      <c r="P346" s="220"/>
      <c r="Q346" s="221"/>
      <c r="R346" s="221"/>
    </row>
    <row r="347" spans="1:18" x14ac:dyDescent="0.2">
      <c r="A347" s="224" t="s">
        <v>2566</v>
      </c>
      <c r="B347" s="225"/>
      <c r="C347" s="226" t="s">
        <v>2150</v>
      </c>
      <c r="D347" s="226" t="s">
        <v>220</v>
      </c>
      <c r="E347" s="226"/>
      <c r="F347" s="227" t="s">
        <v>82</v>
      </c>
      <c r="G347" s="228" t="s">
        <v>81</v>
      </c>
      <c r="H347" s="228"/>
      <c r="I347" s="223">
        <v>0</v>
      </c>
      <c r="J347" s="229">
        <v>0</v>
      </c>
      <c r="K347" s="229">
        <v>1</v>
      </c>
      <c r="L347" s="229" t="s">
        <v>1541</v>
      </c>
      <c r="M347" s="229" t="s">
        <v>938</v>
      </c>
      <c r="N347" s="230" t="str">
        <f>IF(ISERROR(MATCH(A347,MemMap!$A$4:$A$98,0)) = FALSE, INDEX(MemMap!$B$4:$B$98,MATCH(A347,MemMap!$A$4:$A$98,0)),IF(F347="Y","TunSetCalSeg",IF(G347="Y", "FlashCalSeg", IF(G347="N", "FlashAppSeg", ""))))</f>
        <v>FlashCalSeg</v>
      </c>
      <c r="O347" s="220"/>
      <c r="P347" s="220"/>
      <c r="Q347" s="221"/>
      <c r="R347" s="221"/>
    </row>
    <row r="348" spans="1:18" x14ac:dyDescent="0.2">
      <c r="A348" s="224" t="s">
        <v>2413</v>
      </c>
      <c r="B348" s="225" t="s">
        <v>2414</v>
      </c>
      <c r="C348" s="226" t="s">
        <v>2150</v>
      </c>
      <c r="D348" s="226" t="s">
        <v>220</v>
      </c>
      <c r="E348" s="226" t="s">
        <v>2404</v>
      </c>
      <c r="F348" s="227" t="s">
        <v>82</v>
      </c>
      <c r="G348" s="228" t="s">
        <v>81</v>
      </c>
      <c r="H348" s="228"/>
      <c r="I348" s="223">
        <v>0</v>
      </c>
      <c r="J348" s="229">
        <v>0</v>
      </c>
      <c r="K348" s="229">
        <f>2^32-1</f>
        <v>4294967295</v>
      </c>
      <c r="L348" s="229" t="s">
        <v>1541</v>
      </c>
      <c r="M348" s="229" t="s">
        <v>303</v>
      </c>
      <c r="N348" s="230" t="str">
        <f>IF(ISERROR(MATCH(A348,MemMap!$A$4:$A$98,0)) = FALSE, INDEX(MemMap!$B$4:$B$98,MATCH(A348,MemMap!$A$4:$A$98,0)),IF(F348="Y","TunSetCalSeg",IF(G348="Y", "FlashCalSeg", IF(G348="N", "FlashAppSeg", ""))))</f>
        <v>FlashCalSeg</v>
      </c>
      <c r="O348" s="220"/>
      <c r="P348" s="220"/>
      <c r="Q348" s="221"/>
      <c r="R348" s="221"/>
    </row>
    <row r="349" spans="1:18" x14ac:dyDescent="0.2">
      <c r="A349" s="224" t="s">
        <v>2567</v>
      </c>
      <c r="B349" s="225"/>
      <c r="C349" s="226" t="s">
        <v>2150</v>
      </c>
      <c r="D349" s="226" t="s">
        <v>220</v>
      </c>
      <c r="E349" s="226"/>
      <c r="F349" s="227" t="s">
        <v>82</v>
      </c>
      <c r="G349" s="228" t="s">
        <v>81</v>
      </c>
      <c r="H349" s="228"/>
      <c r="I349" s="223">
        <v>0</v>
      </c>
      <c r="J349" s="229">
        <v>0</v>
      </c>
      <c r="K349" s="229">
        <v>1</v>
      </c>
      <c r="L349" s="229" t="s">
        <v>1541</v>
      </c>
      <c r="M349" s="229" t="s">
        <v>938</v>
      </c>
      <c r="N349" s="230" t="str">
        <f>IF(ISERROR(MATCH(A349,MemMap!$A$4:$A$98,0)) = FALSE, INDEX(MemMap!$B$4:$B$98,MATCH(A349,MemMap!$A$4:$A$98,0)),IF(F349="Y","TunSetCalSeg",IF(G349="Y", "FlashCalSeg", IF(G349="N", "FlashAppSeg", ""))))</f>
        <v>FlashCalSeg</v>
      </c>
      <c r="O349" s="220"/>
      <c r="P349" s="220"/>
      <c r="Q349" s="221"/>
      <c r="R349" s="221"/>
    </row>
    <row r="350" spans="1:18" x14ac:dyDescent="0.2">
      <c r="A350" s="224" t="s">
        <v>2417</v>
      </c>
      <c r="B350" s="225" t="s">
        <v>2418</v>
      </c>
      <c r="C350" s="226" t="s">
        <v>2150</v>
      </c>
      <c r="D350" s="226" t="s">
        <v>220</v>
      </c>
      <c r="E350" s="226" t="s">
        <v>2404</v>
      </c>
      <c r="F350" s="227" t="s">
        <v>82</v>
      </c>
      <c r="G350" s="228" t="s">
        <v>81</v>
      </c>
      <c r="H350" s="228"/>
      <c r="I350" s="223">
        <v>0</v>
      </c>
      <c r="J350" s="229">
        <v>0</v>
      </c>
      <c r="K350" s="229">
        <f>2^32-1</f>
        <v>4294967295</v>
      </c>
      <c r="L350" s="229" t="s">
        <v>1541</v>
      </c>
      <c r="M350" s="229" t="s">
        <v>303</v>
      </c>
      <c r="N350" s="230" t="str">
        <f>IF(ISERROR(MATCH(A350,MemMap!$A$4:$A$98,0)) = FALSE, INDEX(MemMap!$B$4:$B$98,MATCH(A350,MemMap!$A$4:$A$98,0)),IF(F350="Y","TunSetCalSeg",IF(G350="Y", "FlashCalSeg", IF(G350="N", "FlashAppSeg", ""))))</f>
        <v>FlashCalSeg</v>
      </c>
      <c r="O350" s="220"/>
      <c r="P350" s="220"/>
      <c r="Q350" s="221"/>
      <c r="R350" s="221"/>
    </row>
    <row r="351" spans="1:18" x14ac:dyDescent="0.2">
      <c r="A351" s="224" t="s">
        <v>2405</v>
      </c>
      <c r="B351" s="225" t="s">
        <v>2406</v>
      </c>
      <c r="C351" s="226" t="s">
        <v>2150</v>
      </c>
      <c r="D351" s="226" t="s">
        <v>220</v>
      </c>
      <c r="E351" s="226" t="s">
        <v>2404</v>
      </c>
      <c r="F351" s="227" t="s">
        <v>82</v>
      </c>
      <c r="G351" s="228" t="s">
        <v>81</v>
      </c>
      <c r="H351" s="228"/>
      <c r="I351" s="223">
        <v>0</v>
      </c>
      <c r="J351" s="229">
        <v>0</v>
      </c>
      <c r="K351" s="229">
        <v>1</v>
      </c>
      <c r="L351" s="229" t="s">
        <v>1541</v>
      </c>
      <c r="M351" s="229" t="s">
        <v>938</v>
      </c>
      <c r="N351" s="230" t="str">
        <f>IF(ISERROR(MATCH(A351,MemMap!$A$4:$A$98,0)) = FALSE, INDEX(MemMap!$B$4:$B$98,MATCH(A351,MemMap!$A$4:$A$98,0)),IF(F351="Y","TunSetCalSeg",IF(G351="Y", "FlashCalSeg", IF(G351="N", "FlashAppSeg", ""))))</f>
        <v>FlashCalSeg</v>
      </c>
      <c r="O351" s="220"/>
      <c r="P351" s="220"/>
      <c r="Q351" s="221"/>
      <c r="R351" s="221"/>
    </row>
    <row r="352" spans="1:18" ht="22.5" x14ac:dyDescent="0.2">
      <c r="A352" s="224" t="s">
        <v>2148</v>
      </c>
      <c r="B352" s="225"/>
      <c r="C352" s="226" t="s">
        <v>2150</v>
      </c>
      <c r="D352" s="226" t="s">
        <v>220</v>
      </c>
      <c r="E352" s="226" t="s">
        <v>2165</v>
      </c>
      <c r="F352" s="227" t="s">
        <v>82</v>
      </c>
      <c r="G352" s="228" t="s">
        <v>81</v>
      </c>
      <c r="H352" s="228"/>
      <c r="I352" s="223">
        <v>10</v>
      </c>
      <c r="J352" s="229">
        <v>0</v>
      </c>
      <c r="K352" s="229">
        <v>255</v>
      </c>
      <c r="L352" s="229" t="s">
        <v>296</v>
      </c>
      <c r="M352" s="229" t="s">
        <v>257</v>
      </c>
      <c r="N352" s="230" t="str">
        <f>IF(ISERROR(MATCH(A352,MemMap!$A$4:$A$98,0)) = FALSE, INDEX(MemMap!$B$4:$B$98,MATCH(A352,MemMap!$A$4:$A$98,0)),IF(F352="Y","TunSetCalSeg",IF(G352="Y", "FlashCalSeg", IF(G352="N", "FlashAppSeg", ""))))</f>
        <v>FlashCalSeg</v>
      </c>
      <c r="O352" s="220"/>
      <c r="P352" s="220"/>
      <c r="Q352" s="221"/>
      <c r="R352" s="221"/>
    </row>
    <row r="353" spans="1:18" x14ac:dyDescent="0.2">
      <c r="A353" s="224" t="s">
        <v>2278</v>
      </c>
      <c r="B353" s="225"/>
      <c r="C353" s="226" t="s">
        <v>2150</v>
      </c>
      <c r="D353" s="226" t="s">
        <v>220</v>
      </c>
      <c r="E353" s="226" t="s">
        <v>2272</v>
      </c>
      <c r="F353" s="227" t="s">
        <v>82</v>
      </c>
      <c r="G353" s="228" t="s">
        <v>81</v>
      </c>
      <c r="H353" s="228"/>
      <c r="I353" s="223" t="s">
        <v>2279</v>
      </c>
      <c r="J353" s="229">
        <v>0</v>
      </c>
      <c r="K353" s="229">
        <v>255</v>
      </c>
      <c r="L353" s="229" t="s">
        <v>1541</v>
      </c>
      <c r="M353" s="229" t="s">
        <v>938</v>
      </c>
      <c r="N353" s="230" t="str">
        <f>IF(ISERROR(MATCH(A353,MemMap!$A$4:$A$98,0)) = FALSE, INDEX(MemMap!$B$4:$B$98,MATCH(A353,MemMap!$A$4:$A$98,0)),IF(F353="Y","TunSetCalSeg",IF(G353="Y", "FlashCalSeg", IF(G353="N", "FlashAppSeg", ""))))</f>
        <v>F080Reserved</v>
      </c>
      <c r="O353" s="220"/>
      <c r="P353" s="220"/>
      <c r="Q353" s="221"/>
      <c r="R353" s="221"/>
    </row>
    <row r="354" spans="1:18" ht="45" x14ac:dyDescent="0.2">
      <c r="A354" s="224" t="s">
        <v>2494</v>
      </c>
      <c r="B354" s="225"/>
      <c r="C354" s="226" t="s">
        <v>3175</v>
      </c>
      <c r="D354" s="226" t="s">
        <v>2496</v>
      </c>
      <c r="E354" s="226"/>
      <c r="F354" s="227" t="s">
        <v>82</v>
      </c>
      <c r="G354" s="228" t="s">
        <v>81</v>
      </c>
      <c r="H354" s="228"/>
      <c r="I354" s="223" t="b">
        <v>1</v>
      </c>
      <c r="J354" s="229" t="b">
        <v>0</v>
      </c>
      <c r="K354" s="229" t="b">
        <v>1</v>
      </c>
      <c r="L354" s="229" t="s">
        <v>1541</v>
      </c>
      <c r="M354" s="229" t="s">
        <v>462</v>
      </c>
      <c r="N354" s="230" t="str">
        <f>IF(ISERROR(MATCH(A354,MemMap!$A$4:$A$98,0)) = FALSE, INDEX(MemMap!$B$4:$B$98,MATCH(A354,MemMap!$A$4:$A$98,0)),IF(F354="Y","TunSetCalSeg",IF(G354="Y", "FlashCalSeg", IF(G354="N", "FlashAppSeg", ""))))</f>
        <v>FlashCalSeg</v>
      </c>
      <c r="O354" s="220"/>
      <c r="P354" s="220"/>
      <c r="Q354" s="221"/>
      <c r="R354" s="221"/>
    </row>
    <row r="355" spans="1:18" x14ac:dyDescent="0.2">
      <c r="A355" s="224" t="s">
        <v>2188</v>
      </c>
      <c r="B355" s="225" t="s">
        <v>2189</v>
      </c>
      <c r="C355" s="226" t="s">
        <v>1843</v>
      </c>
      <c r="D355" s="226" t="s">
        <v>237</v>
      </c>
      <c r="E355" s="226"/>
      <c r="F355" s="227" t="s">
        <v>82</v>
      </c>
      <c r="G355" s="228" t="s">
        <v>82</v>
      </c>
      <c r="H355" s="228"/>
      <c r="I355" s="223">
        <v>0</v>
      </c>
      <c r="J355" s="229">
        <v>0</v>
      </c>
      <c r="K355" s="229">
        <v>1</v>
      </c>
      <c r="L355" s="229" t="s">
        <v>267</v>
      </c>
      <c r="M355" s="229" t="s">
        <v>938</v>
      </c>
      <c r="N355" s="230" t="str">
        <f>IF(ISERROR(MATCH(A355,MemMap!$A$4:$A$98,0)) = FALSE, INDEX(MemMap!$B$4:$B$98,MATCH(A355,MemMap!$A$4:$A$98,0)),IF(F355="Y","TunSetCalSeg",IF(G355="Y", "FlashCalSeg", IF(G355="N", "FlashAppSeg", ""))))</f>
        <v>FlashAppSeg</v>
      </c>
      <c r="O355" s="220"/>
      <c r="P355" s="220"/>
      <c r="Q355" s="221"/>
      <c r="R355" s="221"/>
    </row>
    <row r="356" spans="1:18" x14ac:dyDescent="0.2">
      <c r="A356" s="224" t="s">
        <v>2209</v>
      </c>
      <c r="B356" s="225" t="s">
        <v>2210</v>
      </c>
      <c r="C356" s="226" t="s">
        <v>1843</v>
      </c>
      <c r="D356" s="226" t="s">
        <v>237</v>
      </c>
      <c r="E356" s="226"/>
      <c r="F356" s="227" t="s">
        <v>82</v>
      </c>
      <c r="G356" s="228" t="s">
        <v>82</v>
      </c>
      <c r="H356" s="228"/>
      <c r="I356" s="223">
        <v>45</v>
      </c>
      <c r="J356" s="229">
        <v>0</v>
      </c>
      <c r="K356" s="229">
        <v>3600</v>
      </c>
      <c r="L356" s="229" t="s">
        <v>1735</v>
      </c>
      <c r="M356" s="229" t="s">
        <v>257</v>
      </c>
      <c r="N356" s="230" t="str">
        <f>IF(ISERROR(MATCH(A356,MemMap!$A$4:$A$98,0)) = FALSE, INDEX(MemMap!$B$4:$B$98,MATCH(A356,MemMap!$A$4:$A$98,0)),IF(F356="Y","TunSetCalSeg",IF(G356="Y", "FlashCalSeg", IF(G356="N", "FlashAppSeg", ""))))</f>
        <v>FlashAppSeg</v>
      </c>
      <c r="O356" s="220"/>
      <c r="P356" s="220"/>
      <c r="Q356" s="221"/>
      <c r="R356" s="221"/>
    </row>
    <row r="357" spans="1:18" x14ac:dyDescent="0.2">
      <c r="A357" s="224" t="s">
        <v>2211</v>
      </c>
      <c r="B357" s="225" t="s">
        <v>2212</v>
      </c>
      <c r="C357" s="226" t="s">
        <v>1843</v>
      </c>
      <c r="D357" s="226" t="s">
        <v>237</v>
      </c>
      <c r="E357" s="226"/>
      <c r="F357" s="227" t="s">
        <v>82</v>
      </c>
      <c r="G357" s="228" t="s">
        <v>82</v>
      </c>
      <c r="H357" s="228"/>
      <c r="I357" s="223">
        <v>0.5</v>
      </c>
      <c r="J357" s="229">
        <v>0</v>
      </c>
      <c r="K357" s="229">
        <v>1</v>
      </c>
      <c r="L357" s="229" t="s">
        <v>1226</v>
      </c>
      <c r="M357" s="229" t="s">
        <v>963</v>
      </c>
      <c r="N357" s="230" t="str">
        <f>IF(ISERROR(MATCH(A357,MemMap!$A$4:$A$98,0)) = FALSE, INDEX(MemMap!$B$4:$B$98,MATCH(A357,MemMap!$A$4:$A$98,0)),IF(F357="Y","TunSetCalSeg",IF(G357="Y", "FlashCalSeg", IF(G357="N", "FlashAppSeg", ""))))</f>
        <v>FlashAppSeg</v>
      </c>
      <c r="O357" s="220"/>
      <c r="P357" s="220"/>
      <c r="Q357" s="221"/>
      <c r="R357" s="221"/>
    </row>
    <row r="358" spans="1:18" x14ac:dyDescent="0.2">
      <c r="A358" s="224" t="s">
        <v>2190</v>
      </c>
      <c r="B358" s="225" t="s">
        <v>2191</v>
      </c>
      <c r="C358" s="226" t="s">
        <v>1843</v>
      </c>
      <c r="D358" s="226" t="s">
        <v>237</v>
      </c>
      <c r="E358" s="226"/>
      <c r="F358" s="227" t="s">
        <v>82</v>
      </c>
      <c r="G358" s="228" t="s">
        <v>82</v>
      </c>
      <c r="H358" s="228"/>
      <c r="I358" s="223">
        <v>0</v>
      </c>
      <c r="J358" s="229">
        <v>0</v>
      </c>
      <c r="K358" s="229">
        <v>1</v>
      </c>
      <c r="L358" s="229" t="s">
        <v>267</v>
      </c>
      <c r="M358" s="229" t="s">
        <v>938</v>
      </c>
      <c r="N358" s="230" t="str">
        <f>IF(ISERROR(MATCH(A358,MemMap!$A$4:$A$98,0)) = FALSE, INDEX(MemMap!$B$4:$B$98,MATCH(A358,MemMap!$A$4:$A$98,0)),IF(F358="Y","TunSetCalSeg",IF(G358="Y", "FlashCalSeg", IF(G358="N", "FlashAppSeg", ""))))</f>
        <v>FlashAppSeg</v>
      </c>
      <c r="O358" s="220"/>
      <c r="P358" s="220"/>
      <c r="Q358" s="221"/>
      <c r="R358" s="221"/>
    </row>
    <row r="359" spans="1:18" x14ac:dyDescent="0.2">
      <c r="A359" s="224" t="s">
        <v>2215</v>
      </c>
      <c r="B359" s="225" t="s">
        <v>2216</v>
      </c>
      <c r="C359" s="226" t="s">
        <v>1843</v>
      </c>
      <c r="D359" s="226" t="s">
        <v>237</v>
      </c>
      <c r="E359" s="226"/>
      <c r="F359" s="227" t="s">
        <v>82</v>
      </c>
      <c r="G359" s="228" t="s">
        <v>82</v>
      </c>
      <c r="H359" s="228"/>
      <c r="I359" s="223">
        <v>127</v>
      </c>
      <c r="J359" s="229">
        <v>0</v>
      </c>
      <c r="K359" s="229">
        <v>255</v>
      </c>
      <c r="L359" s="229" t="s">
        <v>267</v>
      </c>
      <c r="M359" s="229" t="s">
        <v>938</v>
      </c>
      <c r="N359" s="230" t="str">
        <f>IF(ISERROR(MATCH(A359,MemMap!$A$4:$A$98,0)) = FALSE, INDEX(MemMap!$B$4:$B$98,MATCH(A359,MemMap!$A$4:$A$98,0)),IF(F359="Y","TunSetCalSeg",IF(G359="Y", "FlashCalSeg", IF(G359="N", "FlashAppSeg", ""))))</f>
        <v>FlashAppSeg</v>
      </c>
      <c r="O359" s="220"/>
      <c r="P359" s="220"/>
      <c r="Q359" s="221"/>
      <c r="R359" s="221"/>
    </row>
    <row r="360" spans="1:18" x14ac:dyDescent="0.2">
      <c r="A360" s="224" t="s">
        <v>2192</v>
      </c>
      <c r="B360" s="225"/>
      <c r="C360" s="226" t="s">
        <v>1843</v>
      </c>
      <c r="D360" s="226" t="s">
        <v>237</v>
      </c>
      <c r="E360" s="226"/>
      <c r="F360" s="227" t="s">
        <v>82</v>
      </c>
      <c r="G360" s="228" t="s">
        <v>82</v>
      </c>
      <c r="H360" s="228"/>
      <c r="I360" s="223" t="s">
        <v>2193</v>
      </c>
      <c r="J360" s="229"/>
      <c r="K360" s="229"/>
      <c r="L360" s="229"/>
      <c r="M360" s="229" t="s">
        <v>565</v>
      </c>
      <c r="N360" s="230" t="str">
        <f>IF(ISERROR(MATCH(A360,MemMap!$A$4:$A$98,0)) = FALSE, INDEX(MemMap!$B$4:$B$98,MATCH(A360,MemMap!$A$4:$A$98,0)),IF(F360="Y","TunSetCalSeg",IF(G360="Y", "FlashCalSeg", IF(G360="N", "FlashAppSeg", ""))))</f>
        <v>FlashAppSeg</v>
      </c>
      <c r="O360" s="220"/>
      <c r="P360" s="220"/>
      <c r="Q360" s="221"/>
      <c r="R360" s="221"/>
    </row>
    <row r="361" spans="1:18" x14ac:dyDescent="0.2">
      <c r="A361" s="224" t="s">
        <v>2196</v>
      </c>
      <c r="B361" s="225"/>
      <c r="C361" s="226" t="s">
        <v>1843</v>
      </c>
      <c r="D361" s="226" t="s">
        <v>237</v>
      </c>
      <c r="E361" s="226"/>
      <c r="F361" s="227" t="s">
        <v>82</v>
      </c>
      <c r="G361" s="228" t="s">
        <v>82</v>
      </c>
      <c r="H361" s="228"/>
      <c r="I361" s="223">
        <v>1</v>
      </c>
      <c r="J361" s="229">
        <v>0</v>
      </c>
      <c r="K361" s="229">
        <v>256</v>
      </c>
      <c r="L361" s="229" t="s">
        <v>267</v>
      </c>
      <c r="M361" s="229" t="s">
        <v>267</v>
      </c>
      <c r="N361" s="230" t="str">
        <f>IF(ISERROR(MATCH(A361,MemMap!$A$4:$A$98,0)) = FALSE, INDEX(MemMap!$B$4:$B$98,MATCH(A361,MemMap!$A$4:$A$98,0)),IF(F361="Y","TunSetCalSeg",IF(G361="Y", "FlashCalSeg", IF(G361="N", "FlashAppSeg", ""))))</f>
        <v>FlashAppSeg</v>
      </c>
      <c r="O361" s="220"/>
      <c r="P361" s="220"/>
      <c r="Q361" s="221"/>
      <c r="R361" s="221"/>
    </row>
    <row r="362" spans="1:18" x14ac:dyDescent="0.2">
      <c r="A362" s="224" t="s">
        <v>2195</v>
      </c>
      <c r="B362" s="225"/>
      <c r="C362" s="226" t="s">
        <v>1843</v>
      </c>
      <c r="D362" s="226" t="s">
        <v>237</v>
      </c>
      <c r="E362" s="226"/>
      <c r="F362" s="227" t="s">
        <v>82</v>
      </c>
      <c r="G362" s="228" t="s">
        <v>82</v>
      </c>
      <c r="H362" s="228"/>
      <c r="I362" s="223">
        <v>4</v>
      </c>
      <c r="J362" s="229">
        <v>0</v>
      </c>
      <c r="K362" s="229">
        <v>256</v>
      </c>
      <c r="L362" s="229" t="s">
        <v>267</v>
      </c>
      <c r="M362" s="229" t="s">
        <v>267</v>
      </c>
      <c r="N362" s="230" t="str">
        <f>IF(ISERROR(MATCH(A362,MemMap!$A$4:$A$98,0)) = FALSE, INDEX(MemMap!$B$4:$B$98,MATCH(A362,MemMap!$A$4:$A$98,0)),IF(F362="Y","TunSetCalSeg",IF(G362="Y", "FlashCalSeg", IF(G362="N", "FlashAppSeg", ""))))</f>
        <v>FlashAppSeg</v>
      </c>
      <c r="O362" s="220"/>
      <c r="P362" s="220"/>
      <c r="Q362" s="221"/>
      <c r="R362" s="221"/>
    </row>
    <row r="363" spans="1:18" x14ac:dyDescent="0.2">
      <c r="A363" s="224" t="s">
        <v>2194</v>
      </c>
      <c r="B363" s="225"/>
      <c r="C363" s="226" t="s">
        <v>1843</v>
      </c>
      <c r="D363" s="226" t="s">
        <v>237</v>
      </c>
      <c r="E363" s="226"/>
      <c r="F363" s="227" t="s">
        <v>82</v>
      </c>
      <c r="G363" s="228" t="s">
        <v>82</v>
      </c>
      <c r="H363" s="228"/>
      <c r="I363" s="223">
        <v>256</v>
      </c>
      <c r="J363" s="229">
        <v>0</v>
      </c>
      <c r="K363" s="229">
        <v>256</v>
      </c>
      <c r="L363" s="229" t="s">
        <v>267</v>
      </c>
      <c r="M363" s="229" t="s">
        <v>267</v>
      </c>
      <c r="N363" s="230" t="str">
        <f>IF(ISERROR(MATCH(A363,MemMap!$A$4:$A$98,0)) = FALSE, INDEX(MemMap!$B$4:$B$98,MATCH(A363,MemMap!$A$4:$A$98,0)),IF(F363="Y","TunSetCalSeg",IF(G363="Y", "FlashCalSeg", IF(G363="N", "FlashAppSeg", ""))))</f>
        <v>FlashAppSeg</v>
      </c>
      <c r="O363" s="220"/>
      <c r="P363" s="220"/>
      <c r="Q363" s="221"/>
      <c r="R363" s="221"/>
    </row>
    <row r="364" spans="1:18" x14ac:dyDescent="0.2">
      <c r="A364" s="224" t="s">
        <v>2197</v>
      </c>
      <c r="B364" s="225"/>
      <c r="C364" s="226" t="s">
        <v>1843</v>
      </c>
      <c r="D364" s="226" t="s">
        <v>237</v>
      </c>
      <c r="E364" s="226"/>
      <c r="F364" s="227" t="s">
        <v>82</v>
      </c>
      <c r="G364" s="228" t="s">
        <v>82</v>
      </c>
      <c r="H364" s="228"/>
      <c r="I364" s="223" t="s">
        <v>2193</v>
      </c>
      <c r="J364" s="229"/>
      <c r="K364" s="229"/>
      <c r="L364" s="229"/>
      <c r="M364" s="229" t="s">
        <v>565</v>
      </c>
      <c r="N364" s="230" t="str">
        <f>IF(ISERROR(MATCH(A364,MemMap!$A$4:$A$98,0)) = FALSE, INDEX(MemMap!$B$4:$B$98,MATCH(A364,MemMap!$A$4:$A$98,0)),IF(F364="Y","TunSetCalSeg",IF(G364="Y", "FlashCalSeg", IF(G364="N", "FlashAppSeg", ""))))</f>
        <v>FlashAppSeg</v>
      </c>
      <c r="O364" s="220"/>
      <c r="P364" s="220"/>
      <c r="Q364" s="221"/>
      <c r="R364" s="221"/>
    </row>
    <row r="365" spans="1:18" x14ac:dyDescent="0.2">
      <c r="A365" s="224" t="s">
        <v>2200</v>
      </c>
      <c r="B365" s="225"/>
      <c r="C365" s="226" t="s">
        <v>1843</v>
      </c>
      <c r="D365" s="226" t="s">
        <v>237</v>
      </c>
      <c r="E365" s="226"/>
      <c r="F365" s="227" t="s">
        <v>82</v>
      </c>
      <c r="G365" s="228" t="s">
        <v>82</v>
      </c>
      <c r="H365" s="228"/>
      <c r="I365" s="223">
        <v>1</v>
      </c>
      <c r="J365" s="229">
        <v>0</v>
      </c>
      <c r="K365" s="229">
        <v>256</v>
      </c>
      <c r="L365" s="229" t="s">
        <v>267</v>
      </c>
      <c r="M365" s="229" t="s">
        <v>267</v>
      </c>
      <c r="N365" s="230" t="str">
        <f>IF(ISERROR(MATCH(A365,MemMap!$A$4:$A$98,0)) = FALSE, INDEX(MemMap!$B$4:$B$98,MATCH(A365,MemMap!$A$4:$A$98,0)),IF(F365="Y","TunSetCalSeg",IF(G365="Y", "FlashCalSeg", IF(G365="N", "FlashAppSeg", ""))))</f>
        <v>FlashAppSeg</v>
      </c>
      <c r="O365" s="220"/>
      <c r="P365" s="220"/>
      <c r="Q365" s="221"/>
      <c r="R365" s="221"/>
    </row>
    <row r="366" spans="1:18" x14ac:dyDescent="0.2">
      <c r="A366" s="224" t="s">
        <v>2199</v>
      </c>
      <c r="B366" s="225"/>
      <c r="C366" s="226" t="s">
        <v>1843</v>
      </c>
      <c r="D366" s="226" t="s">
        <v>237</v>
      </c>
      <c r="E366" s="226"/>
      <c r="F366" s="227" t="s">
        <v>82</v>
      </c>
      <c r="G366" s="228" t="s">
        <v>82</v>
      </c>
      <c r="H366" s="228"/>
      <c r="I366" s="223">
        <v>4</v>
      </c>
      <c r="J366" s="229">
        <v>0</v>
      </c>
      <c r="K366" s="229">
        <v>256</v>
      </c>
      <c r="L366" s="229" t="s">
        <v>267</v>
      </c>
      <c r="M366" s="229" t="s">
        <v>267</v>
      </c>
      <c r="N366" s="230" t="str">
        <f>IF(ISERROR(MATCH(A366,MemMap!$A$4:$A$98,0)) = FALSE, INDEX(MemMap!$B$4:$B$98,MATCH(A366,MemMap!$A$4:$A$98,0)),IF(F366="Y","TunSetCalSeg",IF(G366="Y", "FlashCalSeg", IF(G366="N", "FlashAppSeg", ""))))</f>
        <v>FlashAppSeg</v>
      </c>
      <c r="O366" s="220"/>
      <c r="P366" s="220"/>
      <c r="Q366" s="221"/>
      <c r="R366" s="221"/>
    </row>
    <row r="367" spans="1:18" x14ac:dyDescent="0.2">
      <c r="A367" s="224" t="s">
        <v>2198</v>
      </c>
      <c r="B367" s="225"/>
      <c r="C367" s="226" t="s">
        <v>1843</v>
      </c>
      <c r="D367" s="226" t="s">
        <v>237</v>
      </c>
      <c r="E367" s="226"/>
      <c r="F367" s="227" t="s">
        <v>82</v>
      </c>
      <c r="G367" s="228" t="s">
        <v>82</v>
      </c>
      <c r="H367" s="228"/>
      <c r="I367" s="223">
        <v>256</v>
      </c>
      <c r="J367" s="229">
        <v>0</v>
      </c>
      <c r="K367" s="229">
        <v>256</v>
      </c>
      <c r="L367" s="229" t="s">
        <v>267</v>
      </c>
      <c r="M367" s="229" t="s">
        <v>267</v>
      </c>
      <c r="N367" s="230" t="str">
        <f>IF(ISERROR(MATCH(A367,MemMap!$A$4:$A$98,0)) = FALSE, INDEX(MemMap!$B$4:$B$98,MATCH(A367,MemMap!$A$4:$A$98,0)),IF(F367="Y","TunSetCalSeg",IF(G367="Y", "FlashCalSeg", IF(G367="N", "FlashAppSeg", ""))))</f>
        <v>FlashAppSeg</v>
      </c>
      <c r="O367" s="220"/>
      <c r="P367" s="220"/>
      <c r="Q367" s="221"/>
      <c r="R367" s="221"/>
    </row>
    <row r="368" spans="1:18" x14ac:dyDescent="0.2">
      <c r="A368" s="224" t="s">
        <v>2201</v>
      </c>
      <c r="B368" s="225"/>
      <c r="C368" s="226" t="s">
        <v>1843</v>
      </c>
      <c r="D368" s="226" t="s">
        <v>237</v>
      </c>
      <c r="E368" s="226"/>
      <c r="F368" s="227" t="s">
        <v>82</v>
      </c>
      <c r="G368" s="228" t="s">
        <v>82</v>
      </c>
      <c r="H368" s="228"/>
      <c r="I368" s="223" t="s">
        <v>2193</v>
      </c>
      <c r="J368" s="229"/>
      <c r="K368" s="229"/>
      <c r="L368" s="229"/>
      <c r="M368" s="229" t="s">
        <v>565</v>
      </c>
      <c r="N368" s="230" t="str">
        <f>IF(ISERROR(MATCH(A368,MemMap!$A$4:$A$98,0)) = FALSE, INDEX(MemMap!$B$4:$B$98,MATCH(A368,MemMap!$A$4:$A$98,0)),IF(F368="Y","TunSetCalSeg",IF(G368="Y", "FlashCalSeg", IF(G368="N", "FlashAppSeg", ""))))</f>
        <v>FlashAppSeg</v>
      </c>
      <c r="O368" s="220"/>
      <c r="P368" s="220"/>
      <c r="Q368" s="221"/>
      <c r="R368" s="221"/>
    </row>
    <row r="369" spans="1:18" x14ac:dyDescent="0.2">
      <c r="A369" s="224" t="s">
        <v>2204</v>
      </c>
      <c r="B369" s="225"/>
      <c r="C369" s="226" t="s">
        <v>1843</v>
      </c>
      <c r="D369" s="226" t="s">
        <v>237</v>
      </c>
      <c r="E369" s="226"/>
      <c r="F369" s="227" t="s">
        <v>82</v>
      </c>
      <c r="G369" s="228" t="s">
        <v>82</v>
      </c>
      <c r="H369" s="228"/>
      <c r="I369" s="223">
        <v>1</v>
      </c>
      <c r="J369" s="229">
        <v>0</v>
      </c>
      <c r="K369" s="229">
        <v>256</v>
      </c>
      <c r="L369" s="229" t="s">
        <v>267</v>
      </c>
      <c r="M369" s="229" t="s">
        <v>267</v>
      </c>
      <c r="N369" s="230" t="str">
        <f>IF(ISERROR(MATCH(A369,MemMap!$A$4:$A$98,0)) = FALSE, INDEX(MemMap!$B$4:$B$98,MATCH(A369,MemMap!$A$4:$A$98,0)),IF(F369="Y","TunSetCalSeg",IF(G369="Y", "FlashCalSeg", IF(G369="N", "FlashAppSeg", ""))))</f>
        <v>FlashAppSeg</v>
      </c>
      <c r="O369" s="220"/>
      <c r="P369" s="220"/>
      <c r="Q369" s="221"/>
      <c r="R369" s="221"/>
    </row>
    <row r="370" spans="1:18" x14ac:dyDescent="0.2">
      <c r="A370" s="224" t="s">
        <v>2203</v>
      </c>
      <c r="B370" s="225"/>
      <c r="C370" s="226" t="s">
        <v>1843</v>
      </c>
      <c r="D370" s="226" t="s">
        <v>237</v>
      </c>
      <c r="E370" s="226"/>
      <c r="F370" s="227" t="s">
        <v>82</v>
      </c>
      <c r="G370" s="228" t="s">
        <v>82</v>
      </c>
      <c r="H370" s="228"/>
      <c r="I370" s="223">
        <v>4</v>
      </c>
      <c r="J370" s="229">
        <v>0</v>
      </c>
      <c r="K370" s="229">
        <v>256</v>
      </c>
      <c r="L370" s="229" t="s">
        <v>267</v>
      </c>
      <c r="M370" s="229" t="s">
        <v>267</v>
      </c>
      <c r="N370" s="230" t="str">
        <f>IF(ISERROR(MATCH(A370,MemMap!$A$4:$A$98,0)) = FALSE, INDEX(MemMap!$B$4:$B$98,MATCH(A370,MemMap!$A$4:$A$98,0)),IF(F370="Y","TunSetCalSeg",IF(G370="Y", "FlashCalSeg", IF(G370="N", "FlashAppSeg", ""))))</f>
        <v>FlashAppSeg</v>
      </c>
      <c r="O370" s="220"/>
      <c r="P370" s="220"/>
      <c r="Q370" s="221"/>
      <c r="R370" s="221"/>
    </row>
    <row r="371" spans="1:18" x14ac:dyDescent="0.2">
      <c r="A371" s="224" t="s">
        <v>2202</v>
      </c>
      <c r="B371" s="225"/>
      <c r="C371" s="226" t="s">
        <v>1843</v>
      </c>
      <c r="D371" s="226" t="s">
        <v>237</v>
      </c>
      <c r="E371" s="226"/>
      <c r="F371" s="227" t="s">
        <v>82</v>
      </c>
      <c r="G371" s="228" t="s">
        <v>82</v>
      </c>
      <c r="H371" s="228"/>
      <c r="I371" s="223">
        <v>256</v>
      </c>
      <c r="J371" s="229">
        <v>0</v>
      </c>
      <c r="K371" s="229">
        <v>256</v>
      </c>
      <c r="L371" s="229" t="s">
        <v>267</v>
      </c>
      <c r="M371" s="229" t="s">
        <v>267</v>
      </c>
      <c r="N371" s="230" t="str">
        <f>IF(ISERROR(MATCH(A371,MemMap!$A$4:$A$98,0)) = FALSE, INDEX(MemMap!$B$4:$B$98,MATCH(A371,MemMap!$A$4:$A$98,0)),IF(F371="Y","TunSetCalSeg",IF(G371="Y", "FlashCalSeg", IF(G371="N", "FlashAppSeg", ""))))</f>
        <v>FlashAppSeg</v>
      </c>
      <c r="O371" s="220"/>
      <c r="P371" s="220"/>
      <c r="Q371" s="221"/>
      <c r="R371" s="221"/>
    </row>
    <row r="372" spans="1:18" x14ac:dyDescent="0.2">
      <c r="A372" s="224" t="s">
        <v>2217</v>
      </c>
      <c r="B372" s="225" t="s">
        <v>2218</v>
      </c>
      <c r="C372" s="226" t="s">
        <v>1843</v>
      </c>
      <c r="D372" s="226" t="s">
        <v>237</v>
      </c>
      <c r="E372" s="226"/>
      <c r="F372" s="227" t="s">
        <v>82</v>
      </c>
      <c r="G372" s="228" t="s">
        <v>82</v>
      </c>
      <c r="H372" s="228"/>
      <c r="I372" s="223">
        <v>127</v>
      </c>
      <c r="J372" s="229">
        <v>0</v>
      </c>
      <c r="K372" s="229">
        <v>255</v>
      </c>
      <c r="L372" s="229" t="s">
        <v>267</v>
      </c>
      <c r="M372" s="229" t="s">
        <v>938</v>
      </c>
      <c r="N372" s="230" t="str">
        <f>IF(ISERROR(MATCH(A372,MemMap!$A$4:$A$98,0)) = FALSE, INDEX(MemMap!$B$4:$B$98,MATCH(A372,MemMap!$A$4:$A$98,0)),IF(F372="Y","TunSetCalSeg",IF(G372="Y", "FlashCalSeg", IF(G372="N", "FlashAppSeg", ""))))</f>
        <v>FlashAppSeg</v>
      </c>
      <c r="O372" s="220"/>
      <c r="P372" s="220"/>
      <c r="Q372" s="221"/>
      <c r="R372" s="221"/>
    </row>
    <row r="373" spans="1:18" x14ac:dyDescent="0.2">
      <c r="A373" s="224" t="s">
        <v>2219</v>
      </c>
      <c r="B373" s="225" t="s">
        <v>2220</v>
      </c>
      <c r="C373" s="226" t="s">
        <v>1843</v>
      </c>
      <c r="D373" s="226" t="s">
        <v>237</v>
      </c>
      <c r="E373" s="226"/>
      <c r="F373" s="227" t="s">
        <v>82</v>
      </c>
      <c r="G373" s="228" t="s">
        <v>82</v>
      </c>
      <c r="H373" s="228"/>
      <c r="I373" s="223">
        <v>127</v>
      </c>
      <c r="J373" s="229">
        <v>0</v>
      </c>
      <c r="K373" s="229">
        <v>255</v>
      </c>
      <c r="L373" s="229" t="s">
        <v>267</v>
      </c>
      <c r="M373" s="229" t="s">
        <v>938</v>
      </c>
      <c r="N373" s="230" t="str">
        <f>IF(ISERROR(MATCH(A373,MemMap!$A$4:$A$98,0)) = FALSE, INDEX(MemMap!$B$4:$B$98,MATCH(A373,MemMap!$A$4:$A$98,0)),IF(F373="Y","TunSetCalSeg",IF(G373="Y", "FlashCalSeg", IF(G373="N", "FlashAppSeg", ""))))</f>
        <v>FlashAppSeg</v>
      </c>
      <c r="O373" s="220"/>
      <c r="P373" s="220"/>
      <c r="Q373" s="221"/>
      <c r="R373" s="221"/>
    </row>
    <row r="374" spans="1:18" x14ac:dyDescent="0.2">
      <c r="A374" s="224" t="s">
        <v>2205</v>
      </c>
      <c r="B374" s="225"/>
      <c r="C374" s="226" t="s">
        <v>1843</v>
      </c>
      <c r="D374" s="226" t="s">
        <v>237</v>
      </c>
      <c r="E374" s="226"/>
      <c r="F374" s="227" t="s">
        <v>82</v>
      </c>
      <c r="G374" s="228" t="s">
        <v>82</v>
      </c>
      <c r="H374" s="228"/>
      <c r="I374" s="223" t="s">
        <v>2193</v>
      </c>
      <c r="J374" s="229"/>
      <c r="K374" s="229"/>
      <c r="L374" s="229"/>
      <c r="M374" s="229" t="s">
        <v>565</v>
      </c>
      <c r="N374" s="230" t="str">
        <f>IF(ISERROR(MATCH(A374,MemMap!$A$4:$A$98,0)) = FALSE, INDEX(MemMap!$B$4:$B$98,MATCH(A374,MemMap!$A$4:$A$98,0)),IF(F374="Y","TunSetCalSeg",IF(G374="Y", "FlashCalSeg", IF(G374="N", "FlashAppSeg", ""))))</f>
        <v>FlashAppSeg</v>
      </c>
      <c r="O374" s="220"/>
      <c r="P374" s="220"/>
      <c r="Q374" s="221"/>
      <c r="R374" s="221"/>
    </row>
    <row r="375" spans="1:18" x14ac:dyDescent="0.2">
      <c r="A375" s="224" t="s">
        <v>2208</v>
      </c>
      <c r="B375" s="225"/>
      <c r="C375" s="226" t="s">
        <v>1843</v>
      </c>
      <c r="D375" s="226" t="s">
        <v>237</v>
      </c>
      <c r="E375" s="226"/>
      <c r="F375" s="227" t="s">
        <v>82</v>
      </c>
      <c r="G375" s="228" t="s">
        <v>82</v>
      </c>
      <c r="H375" s="228"/>
      <c r="I375" s="223">
        <v>1</v>
      </c>
      <c r="J375" s="229">
        <v>0</v>
      </c>
      <c r="K375" s="229">
        <v>256</v>
      </c>
      <c r="L375" s="229" t="s">
        <v>267</v>
      </c>
      <c r="M375" s="229" t="s">
        <v>267</v>
      </c>
      <c r="N375" s="230" t="str">
        <f>IF(ISERROR(MATCH(A375,MemMap!$A$4:$A$98,0)) = FALSE, INDEX(MemMap!$B$4:$B$98,MATCH(A375,MemMap!$A$4:$A$98,0)),IF(F375="Y","TunSetCalSeg",IF(G375="Y", "FlashCalSeg", IF(G375="N", "FlashAppSeg", ""))))</f>
        <v>FlashAppSeg</v>
      </c>
      <c r="O375" s="220"/>
      <c r="P375" s="220"/>
      <c r="Q375" s="221"/>
      <c r="R375" s="221"/>
    </row>
    <row r="376" spans="1:18" x14ac:dyDescent="0.2">
      <c r="A376" s="224" t="s">
        <v>2207</v>
      </c>
      <c r="B376" s="225"/>
      <c r="C376" s="226" t="s">
        <v>1843</v>
      </c>
      <c r="D376" s="226" t="s">
        <v>237</v>
      </c>
      <c r="E376" s="226"/>
      <c r="F376" s="227" t="s">
        <v>82</v>
      </c>
      <c r="G376" s="228" t="s">
        <v>82</v>
      </c>
      <c r="H376" s="228"/>
      <c r="I376" s="223">
        <v>4</v>
      </c>
      <c r="J376" s="229">
        <v>0</v>
      </c>
      <c r="K376" s="229">
        <v>256</v>
      </c>
      <c r="L376" s="229" t="s">
        <v>267</v>
      </c>
      <c r="M376" s="229" t="s">
        <v>267</v>
      </c>
      <c r="N376" s="230" t="str">
        <f>IF(ISERROR(MATCH(A376,MemMap!$A$4:$A$98,0)) = FALSE, INDEX(MemMap!$B$4:$B$98,MATCH(A376,MemMap!$A$4:$A$98,0)),IF(F376="Y","TunSetCalSeg",IF(G376="Y", "FlashCalSeg", IF(G376="N", "FlashAppSeg", ""))))</f>
        <v>FlashAppSeg</v>
      </c>
      <c r="O376" s="220"/>
      <c r="P376" s="220"/>
      <c r="Q376" s="221"/>
      <c r="R376" s="221"/>
    </row>
    <row r="377" spans="1:18" x14ac:dyDescent="0.2">
      <c r="A377" s="224" t="s">
        <v>2206</v>
      </c>
      <c r="B377" s="225"/>
      <c r="C377" s="226" t="s">
        <v>1843</v>
      </c>
      <c r="D377" s="226" t="s">
        <v>237</v>
      </c>
      <c r="E377" s="226"/>
      <c r="F377" s="227" t="s">
        <v>82</v>
      </c>
      <c r="G377" s="228" t="s">
        <v>82</v>
      </c>
      <c r="H377" s="228"/>
      <c r="I377" s="223">
        <v>256</v>
      </c>
      <c r="J377" s="229">
        <v>0</v>
      </c>
      <c r="K377" s="229">
        <v>256</v>
      </c>
      <c r="L377" s="229" t="s">
        <v>267</v>
      </c>
      <c r="M377" s="229" t="s">
        <v>267</v>
      </c>
      <c r="N377" s="230" t="str">
        <f>IF(ISERROR(MATCH(A377,MemMap!$A$4:$A$98,0)) = FALSE, INDEX(MemMap!$B$4:$B$98,MATCH(A377,MemMap!$A$4:$A$98,0)),IF(F377="Y","TunSetCalSeg",IF(G377="Y", "FlashCalSeg", IF(G377="N", "FlashAppSeg", ""))))</f>
        <v>FlashAppSeg</v>
      </c>
      <c r="O377" s="220"/>
      <c r="P377" s="220"/>
      <c r="Q377" s="221"/>
      <c r="R377" s="221"/>
    </row>
    <row r="378" spans="1:18" x14ac:dyDescent="0.2">
      <c r="A378" s="224" t="s">
        <v>2213</v>
      </c>
      <c r="B378" s="225" t="s">
        <v>2214</v>
      </c>
      <c r="C378" s="226" t="s">
        <v>1843</v>
      </c>
      <c r="D378" s="226" t="s">
        <v>237</v>
      </c>
      <c r="E378" s="226"/>
      <c r="F378" s="227" t="s">
        <v>82</v>
      </c>
      <c r="G378" s="228" t="s">
        <v>82</v>
      </c>
      <c r="H378" s="228"/>
      <c r="I378" s="223">
        <v>0.5</v>
      </c>
      <c r="J378" s="229">
        <v>0</v>
      </c>
      <c r="K378" s="229">
        <v>1</v>
      </c>
      <c r="L378" s="229" t="s">
        <v>1226</v>
      </c>
      <c r="M378" s="229" t="s">
        <v>963</v>
      </c>
      <c r="N378" s="230" t="str">
        <f>IF(ISERROR(MATCH(A378,MemMap!$A$4:$A$98,0)) = FALSE, INDEX(MemMap!$B$4:$B$98,MATCH(A378,MemMap!$A$4:$A$98,0)),IF(F378="Y","TunSetCalSeg",IF(G378="Y", "FlashCalSeg", IF(G378="N", "FlashAppSeg", ""))))</f>
        <v>FlashAppSeg</v>
      </c>
      <c r="O378" s="220"/>
      <c r="P378" s="220"/>
      <c r="Q378" s="221"/>
      <c r="R378" s="221"/>
    </row>
    <row r="379" spans="1:18" x14ac:dyDescent="0.2">
      <c r="A379" s="224" t="s">
        <v>2221</v>
      </c>
      <c r="B379" s="225" t="s">
        <v>2222</v>
      </c>
      <c r="C379" s="226" t="s">
        <v>1843</v>
      </c>
      <c r="D379" s="226" t="s">
        <v>237</v>
      </c>
      <c r="E379" s="226"/>
      <c r="F379" s="227" t="s">
        <v>82</v>
      </c>
      <c r="G379" s="228" t="s">
        <v>82</v>
      </c>
      <c r="H379" s="228"/>
      <c r="I379" s="223">
        <v>0</v>
      </c>
      <c r="J379" s="229">
        <v>0</v>
      </c>
      <c r="K379" s="229">
        <v>1</v>
      </c>
      <c r="L379" s="229" t="s">
        <v>267</v>
      </c>
      <c r="M379" s="229" t="s">
        <v>257</v>
      </c>
      <c r="N379" s="230" t="str">
        <f>IF(ISERROR(MATCH(A379,MemMap!$A$4:$A$98,0)) = FALSE, INDEX(MemMap!$B$4:$B$98,MATCH(A379,MemMap!$A$4:$A$98,0)),IF(F379="Y","TunSetCalSeg",IF(G379="Y", "FlashCalSeg", IF(G379="N", "FlashAppSeg", ""))))</f>
        <v>FlashAppSeg</v>
      </c>
      <c r="O379" s="220"/>
      <c r="P379" s="220"/>
      <c r="Q379" s="221"/>
      <c r="R379" s="221"/>
    </row>
    <row r="380" spans="1:18" ht="33.75" x14ac:dyDescent="0.2">
      <c r="A380" s="224" t="s">
        <v>853</v>
      </c>
      <c r="B380" s="225" t="s">
        <v>854</v>
      </c>
      <c r="C380" s="226" t="s">
        <v>856</v>
      </c>
      <c r="D380" s="226" t="s">
        <v>198</v>
      </c>
      <c r="E380" s="226" t="s">
        <v>855</v>
      </c>
      <c r="F380" s="227" t="s">
        <v>82</v>
      </c>
      <c r="G380" s="228" t="s">
        <v>82</v>
      </c>
      <c r="H380" s="228"/>
      <c r="I380" s="223">
        <v>5.0000000000000001E-3</v>
      </c>
      <c r="J380" s="229">
        <v>0</v>
      </c>
      <c r="K380" s="229">
        <v>0.02</v>
      </c>
      <c r="L380" s="229" t="s">
        <v>857</v>
      </c>
      <c r="M380" s="229" t="s">
        <v>257</v>
      </c>
      <c r="N380" s="230" t="str">
        <f>IF(ISERROR(MATCH(A380,MemMap!$A$4:$A$98,0)) = FALSE, INDEX(MemMap!$B$4:$B$98,MATCH(A380,MemMap!$A$4:$A$98,0)),IF(F380="Y","TunSetCalSeg",IF(G380="Y", "FlashCalSeg", IF(G380="N", "FlashAppSeg", ""))))</f>
        <v>FlashAppSeg</v>
      </c>
      <c r="O380" s="220"/>
      <c r="P380" s="220"/>
      <c r="Q380" s="221"/>
      <c r="R380" s="221"/>
    </row>
    <row r="381" spans="1:18" ht="33.75" x14ac:dyDescent="0.2">
      <c r="A381" s="224" t="s">
        <v>858</v>
      </c>
      <c r="B381" s="225" t="s">
        <v>859</v>
      </c>
      <c r="C381" s="226" t="s">
        <v>856</v>
      </c>
      <c r="D381" s="226" t="s">
        <v>198</v>
      </c>
      <c r="E381" s="226" t="s">
        <v>860</v>
      </c>
      <c r="F381" s="227" t="s">
        <v>82</v>
      </c>
      <c r="G381" s="228" t="s">
        <v>82</v>
      </c>
      <c r="H381" s="228"/>
      <c r="I381" s="223">
        <v>10</v>
      </c>
      <c r="J381" s="229">
        <v>0</v>
      </c>
      <c r="K381" s="229">
        <v>25</v>
      </c>
      <c r="L381" s="229" t="s">
        <v>861</v>
      </c>
      <c r="M381" s="229" t="s">
        <v>257</v>
      </c>
      <c r="N381" s="230" t="str">
        <f>IF(ISERROR(MATCH(A381,MemMap!$A$4:$A$98,0)) = FALSE, INDEX(MemMap!$B$4:$B$98,MATCH(A381,MemMap!$A$4:$A$98,0)),IF(F381="Y","TunSetCalSeg",IF(G381="Y", "FlashCalSeg", IF(G381="N", "FlashAppSeg", ""))))</f>
        <v>FlashAppSeg</v>
      </c>
      <c r="O381" s="220"/>
      <c r="P381" s="220"/>
      <c r="Q381" s="221"/>
      <c r="R381" s="221"/>
    </row>
    <row r="382" spans="1:18" ht="33.75" x14ac:dyDescent="0.2">
      <c r="A382" s="224" t="s">
        <v>866</v>
      </c>
      <c r="B382" s="225" t="s">
        <v>867</v>
      </c>
      <c r="C382" s="226" t="s">
        <v>864</v>
      </c>
      <c r="D382" s="226" t="s">
        <v>207</v>
      </c>
      <c r="E382" s="226"/>
      <c r="F382" s="227" t="s">
        <v>81</v>
      </c>
      <c r="G382" s="228" t="s">
        <v>81</v>
      </c>
      <c r="H382" s="228"/>
      <c r="I382" s="223">
        <v>100</v>
      </c>
      <c r="J382" s="229">
        <v>0</v>
      </c>
      <c r="K382" s="229">
        <v>819</v>
      </c>
      <c r="L382" s="229" t="s">
        <v>264</v>
      </c>
      <c r="M382" s="229" t="s">
        <v>653</v>
      </c>
      <c r="N382" s="230" t="str">
        <f>IF(ISERROR(MATCH(A382,MemMap!$A$4:$A$98,0)) = FALSE, INDEX(MemMap!$B$4:$B$98,MATCH(A382,MemMap!$A$4:$A$98,0)),IF(F382="Y","TunSetCalSeg",IF(G382="Y", "FlashCalSeg", IF(G382="N", "FlashAppSeg", ""))))</f>
        <v>TunSetCalSeg</v>
      </c>
      <c r="O382" s="220"/>
      <c r="P382" s="220"/>
      <c r="Q382" s="221"/>
      <c r="R382" s="221"/>
    </row>
    <row r="383" spans="1:18" ht="33.75" x14ac:dyDescent="0.2">
      <c r="A383" s="224" t="s">
        <v>896</v>
      </c>
      <c r="B383" s="225" t="s">
        <v>897</v>
      </c>
      <c r="C383" s="226" t="s">
        <v>864</v>
      </c>
      <c r="D383" s="226" t="s">
        <v>207</v>
      </c>
      <c r="E383" s="226"/>
      <c r="F383" s="227" t="s">
        <v>81</v>
      </c>
      <c r="G383" s="228" t="s">
        <v>81</v>
      </c>
      <c r="H383" s="228"/>
      <c r="I383" s="223">
        <v>0</v>
      </c>
      <c r="J383" s="229">
        <v>0</v>
      </c>
      <c r="K383" s="229">
        <v>10</v>
      </c>
      <c r="L383" s="229" t="s">
        <v>261</v>
      </c>
      <c r="M383" s="229" t="s">
        <v>336</v>
      </c>
      <c r="N383" s="230" t="str">
        <f>IF(ISERROR(MATCH(A383,MemMap!$A$4:$A$98,0)) = FALSE, INDEX(MemMap!$B$4:$B$98,MATCH(A383,MemMap!$A$4:$A$98,0)),IF(F383="Y","TunSetCalSeg",IF(G383="Y", "FlashCalSeg", IF(G383="N", "FlashAppSeg", ""))))</f>
        <v>TunSetCalSeg</v>
      </c>
      <c r="O383" s="220"/>
      <c r="P383" s="220"/>
      <c r="Q383" s="221"/>
      <c r="R383" s="221"/>
    </row>
    <row r="384" spans="1:18" ht="33.75" x14ac:dyDescent="0.2">
      <c r="A384" s="224" t="s">
        <v>901</v>
      </c>
      <c r="B384" s="225" t="s">
        <v>902</v>
      </c>
      <c r="C384" s="226" t="s">
        <v>864</v>
      </c>
      <c r="D384" s="226" t="s">
        <v>207</v>
      </c>
      <c r="E384" s="226"/>
      <c r="F384" s="227" t="s">
        <v>81</v>
      </c>
      <c r="G384" s="228" t="s">
        <v>81</v>
      </c>
      <c r="H384" s="228"/>
      <c r="I384" s="223">
        <v>20583</v>
      </c>
      <c r="J384" s="229">
        <v>82</v>
      </c>
      <c r="K384" s="229">
        <v>30573</v>
      </c>
      <c r="L384" s="229" t="s">
        <v>256</v>
      </c>
      <c r="M384" s="229" t="s">
        <v>263</v>
      </c>
      <c r="N384" s="230" t="str">
        <f>IF(ISERROR(MATCH(A384,MemMap!$A$4:$A$98,0)) = FALSE, INDEX(MemMap!$B$4:$B$98,MATCH(A384,MemMap!$A$4:$A$98,0)),IF(F384="Y","TunSetCalSeg",IF(G384="Y", "FlashCalSeg", IF(G384="N", "FlashAppSeg", ""))))</f>
        <v>TunSetCalSeg</v>
      </c>
      <c r="O384" s="220"/>
      <c r="P384" s="220"/>
      <c r="Q384" s="221"/>
      <c r="R384" s="221"/>
    </row>
    <row r="385" spans="1:18" ht="33.75" x14ac:dyDescent="0.2">
      <c r="A385" s="224" t="s">
        <v>903</v>
      </c>
      <c r="B385" s="225" t="s">
        <v>904</v>
      </c>
      <c r="C385" s="226" t="s">
        <v>864</v>
      </c>
      <c r="D385" s="226" t="s">
        <v>207</v>
      </c>
      <c r="E385" s="226"/>
      <c r="F385" s="227" t="s">
        <v>81</v>
      </c>
      <c r="G385" s="228" t="s">
        <v>81</v>
      </c>
      <c r="H385" s="228"/>
      <c r="I385" s="223">
        <v>3991</v>
      </c>
      <c r="J385" s="229">
        <v>82</v>
      </c>
      <c r="K385" s="229">
        <v>30573</v>
      </c>
      <c r="L385" s="229" t="s">
        <v>256</v>
      </c>
      <c r="M385" s="229" t="s">
        <v>263</v>
      </c>
      <c r="N385" s="230" t="str">
        <f>IF(ISERROR(MATCH(A385,MemMap!$A$4:$A$98,0)) = FALSE, INDEX(MemMap!$B$4:$B$98,MATCH(A385,MemMap!$A$4:$A$98,0)),IF(F385="Y","TunSetCalSeg",IF(G385="Y", "FlashCalSeg", IF(G385="N", "FlashAppSeg", ""))))</f>
        <v>TunSetCalSeg</v>
      </c>
      <c r="O385" s="220"/>
      <c r="P385" s="220"/>
      <c r="Q385" s="221"/>
      <c r="R385" s="221"/>
    </row>
    <row r="386" spans="1:18" ht="33.75" x14ac:dyDescent="0.2">
      <c r="A386" s="224" t="s">
        <v>921</v>
      </c>
      <c r="B386" s="225" t="s">
        <v>922</v>
      </c>
      <c r="C386" s="226" t="s">
        <v>864</v>
      </c>
      <c r="D386" s="226" t="s">
        <v>207</v>
      </c>
      <c r="E386" s="226"/>
      <c r="F386" s="227" t="s">
        <v>81</v>
      </c>
      <c r="G386" s="228" t="s">
        <v>81</v>
      </c>
      <c r="H386" s="228"/>
      <c r="I386" s="223">
        <v>30</v>
      </c>
      <c r="J386" s="229">
        <v>0</v>
      </c>
      <c r="K386" s="229">
        <v>255</v>
      </c>
      <c r="L386" s="229" t="s">
        <v>296</v>
      </c>
      <c r="M386" s="229" t="s">
        <v>336</v>
      </c>
      <c r="N386" s="230" t="str">
        <f>IF(ISERROR(MATCH(A386,MemMap!$A$4:$A$98,0)) = FALSE, INDEX(MemMap!$B$4:$B$98,MATCH(A386,MemMap!$A$4:$A$98,0)),IF(F386="Y","TunSetCalSeg",IF(G386="Y", "FlashCalSeg", IF(G386="N", "FlashAppSeg", ""))))</f>
        <v>TunSetCalSeg</v>
      </c>
      <c r="O386" s="220"/>
      <c r="P386" s="220"/>
      <c r="Q386" s="221"/>
      <c r="R386" s="221"/>
    </row>
    <row r="387" spans="1:18" ht="33.75" x14ac:dyDescent="0.2">
      <c r="A387" s="224" t="s">
        <v>2122</v>
      </c>
      <c r="B387" s="225" t="s">
        <v>2123</v>
      </c>
      <c r="C387" s="226" t="s">
        <v>864</v>
      </c>
      <c r="D387" s="226" t="s">
        <v>207</v>
      </c>
      <c r="E387" s="226"/>
      <c r="F387" s="227" t="s">
        <v>81</v>
      </c>
      <c r="G387" s="228" t="s">
        <v>81</v>
      </c>
      <c r="H387" s="228"/>
      <c r="I387" s="223" t="b">
        <v>0</v>
      </c>
      <c r="J387" s="229" t="b">
        <v>0</v>
      </c>
      <c r="K387" s="229" t="b">
        <v>1</v>
      </c>
      <c r="L387" s="229" t="s">
        <v>637</v>
      </c>
      <c r="M387" s="229" t="s">
        <v>865</v>
      </c>
      <c r="N387" s="230" t="str">
        <f>IF(ISERROR(MATCH(A387,MemMap!$A$4:$A$98,0)) = FALSE, INDEX(MemMap!$B$4:$B$98,MATCH(A387,MemMap!$A$4:$A$98,0)),IF(F387="Y","TunSetCalSeg",IF(G387="Y", "FlashCalSeg", IF(G387="N", "FlashAppSeg", ""))))</f>
        <v>TunSetCalSeg</v>
      </c>
      <c r="O387" s="220"/>
      <c r="P387" s="220"/>
      <c r="Q387" s="221"/>
      <c r="R387" s="221"/>
    </row>
    <row r="388" spans="1:18" ht="33.75" x14ac:dyDescent="0.2">
      <c r="A388" s="224" t="s">
        <v>2124</v>
      </c>
      <c r="B388" s="225" t="s">
        <v>2125</v>
      </c>
      <c r="C388" s="226" t="s">
        <v>864</v>
      </c>
      <c r="D388" s="226" t="s">
        <v>207</v>
      </c>
      <c r="E388" s="226"/>
      <c r="F388" s="227" t="s">
        <v>81</v>
      </c>
      <c r="G388" s="228" t="s">
        <v>81</v>
      </c>
      <c r="H388" s="228"/>
      <c r="I388" s="223">
        <v>400</v>
      </c>
      <c r="J388" s="229">
        <v>0</v>
      </c>
      <c r="K388" s="229">
        <v>1200</v>
      </c>
      <c r="L388" s="229" t="s">
        <v>1102</v>
      </c>
      <c r="M388" s="229" t="s">
        <v>257</v>
      </c>
      <c r="N388" s="230" t="str">
        <f>IF(ISERROR(MATCH(A388,MemMap!$A$4:$A$98,0)) = FALSE, INDEX(MemMap!$B$4:$B$98,MATCH(A388,MemMap!$A$4:$A$98,0)),IF(F388="Y","TunSetCalSeg",IF(G388="Y", "FlashCalSeg", IF(G388="N", "FlashAppSeg", ""))))</f>
        <v>TunSetCalSeg</v>
      </c>
      <c r="O388" s="220"/>
      <c r="P388" s="220"/>
      <c r="Q388" s="221"/>
      <c r="R388" s="221"/>
    </row>
    <row r="389" spans="1:18" ht="33.75" x14ac:dyDescent="0.2">
      <c r="A389" s="224" t="s">
        <v>894</v>
      </c>
      <c r="B389" s="225" t="s">
        <v>895</v>
      </c>
      <c r="C389" s="226" t="s">
        <v>864</v>
      </c>
      <c r="D389" s="226" t="s">
        <v>207</v>
      </c>
      <c r="E389" s="226"/>
      <c r="F389" s="227" t="s">
        <v>81</v>
      </c>
      <c r="G389" s="228" t="s">
        <v>81</v>
      </c>
      <c r="H389" s="228"/>
      <c r="I389" s="223">
        <v>20583</v>
      </c>
      <c r="J389" s="229">
        <v>82</v>
      </c>
      <c r="K389" s="229">
        <v>30573</v>
      </c>
      <c r="L389" s="229" t="s">
        <v>256</v>
      </c>
      <c r="M389" s="229" t="s">
        <v>263</v>
      </c>
      <c r="N389" s="230" t="str">
        <f>IF(ISERROR(MATCH(A389,MemMap!$A$4:$A$98,0)) = FALSE, INDEX(MemMap!$B$4:$B$98,MATCH(A389,MemMap!$A$4:$A$98,0)),IF(F389="Y","TunSetCalSeg",IF(G389="Y", "FlashCalSeg", IF(G389="N", "FlashAppSeg", ""))))</f>
        <v>TunSetCalSeg</v>
      </c>
      <c r="O389" s="220"/>
      <c r="P389" s="220"/>
      <c r="Q389" s="221"/>
      <c r="R389" s="221"/>
    </row>
    <row r="390" spans="1:18" ht="33.75" x14ac:dyDescent="0.2">
      <c r="A390" s="224" t="s">
        <v>882</v>
      </c>
      <c r="B390" s="225" t="s">
        <v>883</v>
      </c>
      <c r="C390" s="226" t="s">
        <v>864</v>
      </c>
      <c r="D390" s="226" t="s">
        <v>207</v>
      </c>
      <c r="E390" s="226"/>
      <c r="F390" s="227" t="s">
        <v>81</v>
      </c>
      <c r="G390" s="228" t="s">
        <v>81</v>
      </c>
      <c r="H390" s="228"/>
      <c r="I390" s="223">
        <v>600</v>
      </c>
      <c r="J390" s="229">
        <v>0</v>
      </c>
      <c r="K390" s="229">
        <v>1440</v>
      </c>
      <c r="L390" s="229" t="s">
        <v>264</v>
      </c>
      <c r="M390" s="229" t="s">
        <v>653</v>
      </c>
      <c r="N390" s="230" t="str">
        <f>IF(ISERROR(MATCH(A390,MemMap!$A$4:$A$98,0)) = FALSE, INDEX(MemMap!$B$4:$B$98,MATCH(A390,MemMap!$A$4:$A$98,0)),IF(F390="Y","TunSetCalSeg",IF(G390="Y", "FlashCalSeg", IF(G390="N", "FlashAppSeg", ""))))</f>
        <v>TunSetCalSeg</v>
      </c>
      <c r="O390" s="220"/>
      <c r="P390" s="220"/>
      <c r="Q390" s="221"/>
      <c r="R390" s="221"/>
    </row>
    <row r="391" spans="1:18" ht="33.75" x14ac:dyDescent="0.2">
      <c r="A391" s="224" t="s">
        <v>878</v>
      </c>
      <c r="B391" s="225" t="s">
        <v>879</v>
      </c>
      <c r="C391" s="226" t="s">
        <v>864</v>
      </c>
      <c r="D391" s="226" t="s">
        <v>207</v>
      </c>
      <c r="E391" s="226"/>
      <c r="F391" s="227" t="s">
        <v>81</v>
      </c>
      <c r="G391" s="228" t="s">
        <v>81</v>
      </c>
      <c r="H391" s="228"/>
      <c r="I391" s="223">
        <v>3</v>
      </c>
      <c r="J391" s="229">
        <v>0</v>
      </c>
      <c r="K391" s="229">
        <v>819</v>
      </c>
      <c r="L391" s="229" t="s">
        <v>264</v>
      </c>
      <c r="M391" s="229" t="s">
        <v>653</v>
      </c>
      <c r="N391" s="230" t="str">
        <f>IF(ISERROR(MATCH(A391,MemMap!$A$4:$A$98,0)) = FALSE, INDEX(MemMap!$B$4:$B$98,MATCH(A391,MemMap!$A$4:$A$98,0)),IF(F391="Y","TunSetCalSeg",IF(G391="Y", "FlashCalSeg", IF(G391="N", "FlashAppSeg", ""))))</f>
        <v>TunSetCalSeg</v>
      </c>
      <c r="O391" s="220"/>
      <c r="P391" s="220"/>
      <c r="Q391" s="221"/>
      <c r="R391" s="221"/>
    </row>
    <row r="392" spans="1:18" ht="33.75" x14ac:dyDescent="0.2">
      <c r="A392" s="224" t="s">
        <v>862</v>
      </c>
      <c r="B392" s="225" t="s">
        <v>863</v>
      </c>
      <c r="C392" s="226" t="s">
        <v>864</v>
      </c>
      <c r="D392" s="226" t="s">
        <v>207</v>
      </c>
      <c r="E392" s="226"/>
      <c r="F392" s="227" t="s">
        <v>81</v>
      </c>
      <c r="G392" s="228" t="s">
        <v>81</v>
      </c>
      <c r="H392" s="228"/>
      <c r="I392" s="223" t="b">
        <v>0</v>
      </c>
      <c r="J392" s="229">
        <v>0</v>
      </c>
      <c r="K392" s="229">
        <v>1</v>
      </c>
      <c r="L392" s="229" t="s">
        <v>267</v>
      </c>
      <c r="M392" s="229" t="s">
        <v>865</v>
      </c>
      <c r="N392" s="230" t="str">
        <f>IF(ISERROR(MATCH(A392,MemMap!$A$4:$A$98,0)) = FALSE, INDEX(MemMap!$B$4:$B$98,MATCH(A392,MemMap!$A$4:$A$98,0)),IF(F392="Y","TunSetCalSeg",IF(G392="Y", "FlashCalSeg", IF(G392="N", "FlashAppSeg", ""))))</f>
        <v>TunSetCalSeg</v>
      </c>
      <c r="O392" s="220"/>
      <c r="P392" s="220"/>
      <c r="Q392" s="221"/>
      <c r="R392" s="221"/>
    </row>
    <row r="393" spans="1:18" ht="33.75" x14ac:dyDescent="0.2">
      <c r="A393" s="224" t="s">
        <v>876</v>
      </c>
      <c r="B393" s="225" t="s">
        <v>877</v>
      </c>
      <c r="C393" s="226" t="s">
        <v>864</v>
      </c>
      <c r="D393" s="226" t="s">
        <v>207</v>
      </c>
      <c r="E393" s="226"/>
      <c r="F393" s="227" t="s">
        <v>81</v>
      </c>
      <c r="G393" s="228" t="s">
        <v>81</v>
      </c>
      <c r="H393" s="228"/>
      <c r="I393" s="223">
        <v>1.95E-2</v>
      </c>
      <c r="J393" s="229">
        <v>0</v>
      </c>
      <c r="K393" s="229">
        <v>0.25</v>
      </c>
      <c r="L393" s="229" t="s">
        <v>634</v>
      </c>
      <c r="M393" s="229" t="s">
        <v>675</v>
      </c>
      <c r="N393" s="230" t="str">
        <f>IF(ISERROR(MATCH(A393,MemMap!$A$4:$A$98,0)) = FALSE, INDEX(MemMap!$B$4:$B$98,MATCH(A393,MemMap!$A$4:$A$98,0)),IF(F393="Y","TunSetCalSeg",IF(G393="Y", "FlashCalSeg", IF(G393="N", "FlashAppSeg", ""))))</f>
        <v>TunSetCalSeg</v>
      </c>
      <c r="O393" s="220"/>
      <c r="P393" s="220"/>
      <c r="Q393" s="221"/>
      <c r="R393" s="221"/>
    </row>
    <row r="394" spans="1:18" ht="45" x14ac:dyDescent="0.2">
      <c r="A394" s="224" t="s">
        <v>918</v>
      </c>
      <c r="B394" s="225" t="s">
        <v>919</v>
      </c>
      <c r="C394" s="226" t="s">
        <v>864</v>
      </c>
      <c r="D394" s="226" t="s">
        <v>207</v>
      </c>
      <c r="E394" s="226"/>
      <c r="F394" s="227" t="s">
        <v>81</v>
      </c>
      <c r="G394" s="228" t="s">
        <v>81</v>
      </c>
      <c r="H394" s="228" t="s">
        <v>920</v>
      </c>
      <c r="I394" s="223" t="s">
        <v>893</v>
      </c>
      <c r="J394" s="229">
        <v>0</v>
      </c>
      <c r="K394" s="229">
        <v>255</v>
      </c>
      <c r="L394" s="229" t="s">
        <v>296</v>
      </c>
      <c r="M394" s="229" t="s">
        <v>336</v>
      </c>
      <c r="N394" s="230" t="str">
        <f>IF(ISERROR(MATCH(A394,MemMap!$A$4:$A$98,0)) = FALSE, INDEX(MemMap!$B$4:$B$98,MATCH(A394,MemMap!$A$4:$A$98,0)),IF(F394="Y","TunSetCalSeg",IF(G394="Y", "FlashCalSeg", IF(G394="N", "FlashAppSeg", ""))))</f>
        <v>TunSetCalSeg</v>
      </c>
      <c r="O394" s="220"/>
      <c r="P394" s="220"/>
      <c r="Q394" s="221"/>
      <c r="R394" s="221"/>
    </row>
    <row r="395" spans="1:18" ht="67.5" x14ac:dyDescent="0.2">
      <c r="A395" s="224" t="s">
        <v>890</v>
      </c>
      <c r="B395" s="225" t="s">
        <v>891</v>
      </c>
      <c r="C395" s="226" t="s">
        <v>864</v>
      </c>
      <c r="D395" s="226" t="s">
        <v>207</v>
      </c>
      <c r="E395" s="226"/>
      <c r="F395" s="227" t="s">
        <v>81</v>
      </c>
      <c r="G395" s="228" t="s">
        <v>81</v>
      </c>
      <c r="H395" s="228" t="s">
        <v>892</v>
      </c>
      <c r="I395" s="223" t="s">
        <v>893</v>
      </c>
      <c r="J395" s="229">
        <v>0</v>
      </c>
      <c r="K395" s="229">
        <v>255</v>
      </c>
      <c r="L395" s="229" t="s">
        <v>296</v>
      </c>
      <c r="M395" s="229" t="s">
        <v>336</v>
      </c>
      <c r="N395" s="230" t="str">
        <f>IF(ISERROR(MATCH(A395,MemMap!$A$4:$A$98,0)) = FALSE, INDEX(MemMap!$B$4:$B$98,MATCH(A395,MemMap!$A$4:$A$98,0)),IF(F395="Y","TunSetCalSeg",IF(G395="Y", "FlashCalSeg", IF(G395="N", "FlashAppSeg", ""))))</f>
        <v>TunSetCalSeg</v>
      </c>
      <c r="O395" s="220"/>
      <c r="P395" s="220"/>
      <c r="Q395" s="221"/>
      <c r="R395" s="221"/>
    </row>
    <row r="396" spans="1:18" ht="33.75" x14ac:dyDescent="0.2">
      <c r="A396" s="224" t="s">
        <v>868</v>
      </c>
      <c r="B396" s="225" t="s">
        <v>869</v>
      </c>
      <c r="C396" s="226" t="s">
        <v>864</v>
      </c>
      <c r="D396" s="226" t="s">
        <v>207</v>
      </c>
      <c r="E396" s="226"/>
      <c r="F396" s="227" t="s">
        <v>81</v>
      </c>
      <c r="G396" s="228" t="s">
        <v>81</v>
      </c>
      <c r="H396" s="228" t="s">
        <v>870</v>
      </c>
      <c r="I396" s="223" t="s">
        <v>871</v>
      </c>
      <c r="J396" s="229">
        <v>0</v>
      </c>
      <c r="K396" s="229">
        <v>180</v>
      </c>
      <c r="L396" s="229" t="s">
        <v>264</v>
      </c>
      <c r="M396" s="229" t="s">
        <v>653</v>
      </c>
      <c r="N396" s="230" t="str">
        <f>IF(ISERROR(MATCH(A396,MemMap!$A$4:$A$98,0)) = FALSE, INDEX(MemMap!$B$4:$B$98,MATCH(A396,MemMap!$A$4:$A$98,0)),IF(F396="Y","TunSetCalSeg",IF(G396="Y", "FlashCalSeg", IF(G396="N", "FlashAppSeg", ""))))</f>
        <v>TunSetCalSeg</v>
      </c>
      <c r="O396" s="220"/>
      <c r="P396" s="220"/>
      <c r="Q396" s="221"/>
      <c r="R396" s="221"/>
    </row>
    <row r="397" spans="1:18" ht="33.75" x14ac:dyDescent="0.2">
      <c r="A397" s="224" t="s">
        <v>872</v>
      </c>
      <c r="B397" s="225" t="s">
        <v>873</v>
      </c>
      <c r="C397" s="226" t="s">
        <v>864</v>
      </c>
      <c r="D397" s="226" t="s">
        <v>207</v>
      </c>
      <c r="E397" s="226"/>
      <c r="F397" s="227" t="s">
        <v>81</v>
      </c>
      <c r="G397" s="228" t="s">
        <v>81</v>
      </c>
      <c r="H397" s="228" t="s">
        <v>874</v>
      </c>
      <c r="I397" s="223" t="s">
        <v>875</v>
      </c>
      <c r="J397" s="229">
        <v>0</v>
      </c>
      <c r="K397" s="229">
        <v>4095</v>
      </c>
      <c r="L397" s="229" t="s">
        <v>259</v>
      </c>
      <c r="M397" s="229" t="s">
        <v>653</v>
      </c>
      <c r="N397" s="230" t="str">
        <f>IF(ISERROR(MATCH(A397,MemMap!$A$4:$A$98,0)) = FALSE, INDEX(MemMap!$B$4:$B$98,MATCH(A397,MemMap!$A$4:$A$98,0)),IF(F397="Y","TunSetCalSeg",IF(G397="Y", "FlashCalSeg", IF(G397="N", "FlashAppSeg", ""))))</f>
        <v>TunSetCalSeg</v>
      </c>
      <c r="O397" s="220"/>
      <c r="P397" s="220"/>
      <c r="Q397" s="221"/>
      <c r="R397" s="221"/>
    </row>
    <row r="398" spans="1:18" ht="33.75" x14ac:dyDescent="0.2">
      <c r="A398" s="224" t="s">
        <v>898</v>
      </c>
      <c r="B398" s="225" t="s">
        <v>899</v>
      </c>
      <c r="C398" s="226" t="s">
        <v>864</v>
      </c>
      <c r="D398" s="226" t="s">
        <v>207</v>
      </c>
      <c r="E398" s="226"/>
      <c r="F398" s="227" t="s">
        <v>81</v>
      </c>
      <c r="G398" s="228" t="s">
        <v>81</v>
      </c>
      <c r="H398" s="228"/>
      <c r="I398" s="223" t="s">
        <v>900</v>
      </c>
      <c r="J398" s="229">
        <v>0</v>
      </c>
      <c r="K398" s="229">
        <v>10</v>
      </c>
      <c r="L398" s="229" t="s">
        <v>261</v>
      </c>
      <c r="M398" s="229" t="s">
        <v>253</v>
      </c>
      <c r="N398" s="230" t="str">
        <f>IF(ISERROR(MATCH(A398,MemMap!$A$4:$A$98,0)) = FALSE, INDEX(MemMap!$B$4:$B$98,MATCH(A398,MemMap!$A$4:$A$98,0)),IF(F398="Y","TunSetCalSeg",IF(G398="Y", "FlashCalSeg", IF(G398="N", "FlashAppSeg", ""))))</f>
        <v>TunSetCalSeg</v>
      </c>
      <c r="O398" s="220"/>
      <c r="P398" s="220"/>
      <c r="Q398" s="221"/>
      <c r="R398" s="221"/>
    </row>
    <row r="399" spans="1:18" ht="45" x14ac:dyDescent="0.2">
      <c r="A399" s="224" t="s">
        <v>884</v>
      </c>
      <c r="B399" s="225" t="s">
        <v>885</v>
      </c>
      <c r="C399" s="226" t="s">
        <v>864</v>
      </c>
      <c r="D399" s="226" t="s">
        <v>207</v>
      </c>
      <c r="E399" s="226"/>
      <c r="F399" s="227" t="s">
        <v>81</v>
      </c>
      <c r="G399" s="228" t="s">
        <v>81</v>
      </c>
      <c r="H399" s="228" t="s">
        <v>886</v>
      </c>
      <c r="I399" s="223" t="s">
        <v>1954</v>
      </c>
      <c r="J399" s="229">
        <v>0</v>
      </c>
      <c r="K399" s="229">
        <v>900</v>
      </c>
      <c r="L399" s="229" t="s">
        <v>264</v>
      </c>
      <c r="M399" s="229" t="s">
        <v>653</v>
      </c>
      <c r="N399" s="230" t="str">
        <f>IF(ISERROR(MATCH(A399,MemMap!$A$4:$A$98,0)) = FALSE, INDEX(MemMap!$B$4:$B$98,MATCH(A399,MemMap!$A$4:$A$98,0)),IF(F399="Y","TunSetCalSeg",IF(G399="Y", "FlashCalSeg", IF(G399="N", "FlashAppSeg", ""))))</f>
        <v>TunSetCalSeg</v>
      </c>
      <c r="O399" s="220"/>
      <c r="P399" s="220"/>
      <c r="Q399" s="221"/>
      <c r="R399" s="221"/>
    </row>
    <row r="400" spans="1:18" ht="33.75" x14ac:dyDescent="0.2">
      <c r="A400" s="224" t="s">
        <v>887</v>
      </c>
      <c r="B400" s="225" t="s">
        <v>888</v>
      </c>
      <c r="C400" s="226" t="s">
        <v>864</v>
      </c>
      <c r="D400" s="226" t="s">
        <v>207</v>
      </c>
      <c r="E400" s="226"/>
      <c r="F400" s="227" t="s">
        <v>81</v>
      </c>
      <c r="G400" s="228" t="s">
        <v>81</v>
      </c>
      <c r="H400" s="228" t="s">
        <v>889</v>
      </c>
      <c r="I400" s="223" t="s">
        <v>1955</v>
      </c>
      <c r="J400" s="229">
        <v>0</v>
      </c>
      <c r="K400" s="229">
        <v>1</v>
      </c>
      <c r="L400" s="229" t="s">
        <v>256</v>
      </c>
      <c r="M400" s="229" t="s">
        <v>666</v>
      </c>
      <c r="N400" s="230" t="str">
        <f>IF(ISERROR(MATCH(A400,MemMap!$A$4:$A$98,0)) = FALSE, INDEX(MemMap!$B$4:$B$98,MATCH(A400,MemMap!$A$4:$A$98,0)),IF(F400="Y","TunSetCalSeg",IF(G400="Y", "FlashCalSeg", IF(G400="N", "FlashAppSeg", ""))))</f>
        <v>TunSetCalSeg</v>
      </c>
      <c r="O400" s="220"/>
      <c r="P400" s="220"/>
      <c r="Q400" s="221"/>
      <c r="R400" s="221"/>
    </row>
    <row r="401" spans="1:18" ht="33.75" x14ac:dyDescent="0.2">
      <c r="A401" s="224" t="s">
        <v>914</v>
      </c>
      <c r="B401" s="225" t="s">
        <v>915</v>
      </c>
      <c r="C401" s="226" t="s">
        <v>864</v>
      </c>
      <c r="D401" s="226" t="s">
        <v>207</v>
      </c>
      <c r="E401" s="226"/>
      <c r="F401" s="227" t="s">
        <v>81</v>
      </c>
      <c r="G401" s="228" t="s">
        <v>81</v>
      </c>
      <c r="H401" s="228" t="s">
        <v>916</v>
      </c>
      <c r="I401" s="223" t="s">
        <v>917</v>
      </c>
      <c r="J401" s="229">
        <v>0</v>
      </c>
      <c r="K401" s="229">
        <v>1.4999999999999999E-2</v>
      </c>
      <c r="L401" s="229" t="s">
        <v>912</v>
      </c>
      <c r="M401" s="229" t="s">
        <v>913</v>
      </c>
      <c r="N401" s="230" t="str">
        <f>IF(ISERROR(MATCH(A401,MemMap!$A$4:$A$98,0)) = FALSE, INDEX(MemMap!$B$4:$B$98,MATCH(A401,MemMap!$A$4:$A$98,0)),IF(F401="Y","TunSetCalSeg",IF(G401="Y", "FlashCalSeg", IF(G401="N", "FlashAppSeg", ""))))</f>
        <v>TunSetCalSeg</v>
      </c>
      <c r="O401" s="220"/>
      <c r="P401" s="220"/>
      <c r="Q401" s="221"/>
      <c r="R401" s="221"/>
    </row>
    <row r="402" spans="1:18" ht="33.75" x14ac:dyDescent="0.2">
      <c r="A402" s="224" t="s">
        <v>908</v>
      </c>
      <c r="B402" s="225" t="s">
        <v>909</v>
      </c>
      <c r="C402" s="226" t="s">
        <v>864</v>
      </c>
      <c r="D402" s="226" t="s">
        <v>207</v>
      </c>
      <c r="E402" s="226"/>
      <c r="F402" s="227" t="s">
        <v>81</v>
      </c>
      <c r="G402" s="228" t="s">
        <v>81</v>
      </c>
      <c r="H402" s="228" t="s">
        <v>910</v>
      </c>
      <c r="I402" s="223" t="s">
        <v>911</v>
      </c>
      <c r="J402" s="229">
        <v>0</v>
      </c>
      <c r="K402" s="229">
        <v>1.4999999999999999E-2</v>
      </c>
      <c r="L402" s="229" t="s">
        <v>912</v>
      </c>
      <c r="M402" s="229" t="s">
        <v>913</v>
      </c>
      <c r="N402" s="230" t="str">
        <f>IF(ISERROR(MATCH(A402,MemMap!$A$4:$A$98,0)) = FALSE, INDEX(MemMap!$B$4:$B$98,MATCH(A402,MemMap!$A$4:$A$98,0)),IF(F402="Y","TunSetCalSeg",IF(G402="Y", "FlashCalSeg", IF(G402="N", "FlashAppSeg", ""))))</f>
        <v>TunSetCalSeg</v>
      </c>
      <c r="O402" s="220"/>
      <c r="P402" s="220"/>
      <c r="Q402" s="221"/>
      <c r="R402" s="221"/>
    </row>
    <row r="403" spans="1:18" ht="45" x14ac:dyDescent="0.2">
      <c r="A403" s="224" t="s">
        <v>923</v>
      </c>
      <c r="B403" s="225" t="s">
        <v>924</v>
      </c>
      <c r="C403" s="226" t="s">
        <v>1838</v>
      </c>
      <c r="D403" s="226" t="s">
        <v>1839</v>
      </c>
      <c r="E403" s="226"/>
      <c r="F403" s="227" t="s">
        <v>81</v>
      </c>
      <c r="G403" s="228" t="s">
        <v>81</v>
      </c>
      <c r="H403" s="228"/>
      <c r="I403" s="223">
        <v>0.80078125</v>
      </c>
      <c r="J403" s="229">
        <v>0</v>
      </c>
      <c r="K403" s="229">
        <v>255.99609375</v>
      </c>
      <c r="L403" s="229" t="s">
        <v>256</v>
      </c>
      <c r="M403" s="229" t="s">
        <v>253</v>
      </c>
      <c r="N403" s="230" t="str">
        <f>IF(ISERROR(MATCH(A403,MemMap!$A$4:$A$98,0)) = FALSE, INDEX(MemMap!$B$4:$B$98,MATCH(A403,MemMap!$A$4:$A$98,0)),IF(F403="Y","TunSetCalSeg",IF(G403="Y", "FlashCalSeg", IF(G403="N", "FlashAppSeg", ""))))</f>
        <v>TunSetCalSeg</v>
      </c>
      <c r="O403" s="220"/>
      <c r="P403" s="220"/>
      <c r="Q403" s="221"/>
      <c r="R403" s="221"/>
    </row>
    <row r="404" spans="1:18" ht="45" x14ac:dyDescent="0.2">
      <c r="A404" s="224" t="s">
        <v>880</v>
      </c>
      <c r="B404" s="225" t="s">
        <v>881</v>
      </c>
      <c r="C404" s="226" t="s">
        <v>1838</v>
      </c>
      <c r="D404" s="226" t="s">
        <v>1839</v>
      </c>
      <c r="E404" s="226"/>
      <c r="F404" s="227" t="s">
        <v>81</v>
      </c>
      <c r="G404" s="228" t="s">
        <v>81</v>
      </c>
      <c r="H404" s="228"/>
      <c r="I404" s="223">
        <v>550</v>
      </c>
      <c r="J404" s="229">
        <v>0.5</v>
      </c>
      <c r="K404" s="229">
        <v>1440.11</v>
      </c>
      <c r="L404" s="229" t="s">
        <v>264</v>
      </c>
      <c r="M404" s="229" t="s">
        <v>653</v>
      </c>
      <c r="N404" s="230" t="str">
        <f>IF(ISERROR(MATCH(A404,MemMap!$A$4:$A$98,0)) = FALSE, INDEX(MemMap!$B$4:$B$98,MATCH(A404,MemMap!$A$4:$A$98,0)),IF(F404="Y","TunSetCalSeg",IF(G404="Y", "FlashCalSeg", IF(G404="N", "FlashAppSeg", ""))))</f>
        <v>TunSetCalSeg</v>
      </c>
      <c r="O404" s="220"/>
      <c r="P404" s="220"/>
      <c r="Q404" s="221"/>
      <c r="R404" s="221"/>
    </row>
    <row r="405" spans="1:18" ht="67.5" x14ac:dyDescent="0.2">
      <c r="A405" s="224" t="s">
        <v>905</v>
      </c>
      <c r="B405" s="225" t="s">
        <v>906</v>
      </c>
      <c r="C405" s="226" t="s">
        <v>1838</v>
      </c>
      <c r="D405" s="226" t="s">
        <v>1839</v>
      </c>
      <c r="E405" s="226"/>
      <c r="F405" s="227" t="s">
        <v>81</v>
      </c>
      <c r="G405" s="228" t="s">
        <v>81</v>
      </c>
      <c r="H405" s="228" t="s">
        <v>907</v>
      </c>
      <c r="I405" s="223" t="s">
        <v>2223</v>
      </c>
      <c r="J405" s="229">
        <v>0</v>
      </c>
      <c r="K405" s="229">
        <v>360</v>
      </c>
      <c r="L405" s="229" t="s">
        <v>264</v>
      </c>
      <c r="M405" s="229" t="s">
        <v>653</v>
      </c>
      <c r="N405" s="230" t="str">
        <f>IF(ISERROR(MATCH(A405,MemMap!$A$4:$A$98,0)) = FALSE, INDEX(MemMap!$B$4:$B$98,MATCH(A405,MemMap!$A$4:$A$98,0)),IF(F405="Y","TunSetCalSeg",IF(G405="Y", "FlashCalSeg", IF(G405="N", "FlashAppSeg", ""))))</f>
        <v>TunSetCalSeg</v>
      </c>
      <c r="O405" s="220"/>
      <c r="P405" s="220"/>
      <c r="Q405" s="221"/>
      <c r="R405" s="221"/>
    </row>
    <row r="406" spans="1:18" ht="45" x14ac:dyDescent="0.2">
      <c r="A406" s="224" t="s">
        <v>926</v>
      </c>
      <c r="B406" s="225" t="s">
        <v>927</v>
      </c>
      <c r="C406" s="226" t="s">
        <v>3078</v>
      </c>
      <c r="D406" s="226" t="s">
        <v>3079</v>
      </c>
      <c r="E406" s="226" t="s">
        <v>928</v>
      </c>
      <c r="F406" s="227" t="s">
        <v>82</v>
      </c>
      <c r="G406" s="228" t="s">
        <v>82</v>
      </c>
      <c r="H406" s="228"/>
      <c r="I406" s="223">
        <v>200</v>
      </c>
      <c r="J406" s="229">
        <v>0</v>
      </c>
      <c r="K406" s="229">
        <v>10000</v>
      </c>
      <c r="L406" s="229" t="s">
        <v>267</v>
      </c>
      <c r="M406" s="229" t="s">
        <v>929</v>
      </c>
      <c r="N406" s="230" t="str">
        <f>IF(ISERROR(MATCH(A406,MemMap!$A$4:$A$98,0)) = FALSE, INDEX(MemMap!$B$4:$B$98,MATCH(A406,MemMap!$A$4:$A$98,0)),IF(F406="Y","TunSetCalSeg",IF(G406="Y", "FlashCalSeg", IF(G406="N", "FlashAppSeg", ""))))</f>
        <v>FlashAppSeg</v>
      </c>
      <c r="O406" s="220"/>
      <c r="P406" s="220"/>
      <c r="Q406" s="221"/>
      <c r="R406" s="221"/>
    </row>
    <row r="407" spans="1:18" ht="45" x14ac:dyDescent="0.2">
      <c r="A407" s="224" t="s">
        <v>930</v>
      </c>
      <c r="B407" s="225" t="s">
        <v>931</v>
      </c>
      <c r="C407" s="226" t="s">
        <v>3078</v>
      </c>
      <c r="D407" s="226" t="s">
        <v>3079</v>
      </c>
      <c r="E407" s="226" t="s">
        <v>932</v>
      </c>
      <c r="F407" s="227" t="s">
        <v>82</v>
      </c>
      <c r="G407" s="228" t="s">
        <v>82</v>
      </c>
      <c r="H407" s="228"/>
      <c r="I407" s="223">
        <v>100</v>
      </c>
      <c r="J407" s="229">
        <v>1</v>
      </c>
      <c r="K407" s="229">
        <v>1024</v>
      </c>
      <c r="L407" s="229" t="s">
        <v>267</v>
      </c>
      <c r="M407" s="229" t="s">
        <v>263</v>
      </c>
      <c r="N407" s="230" t="str">
        <f>IF(ISERROR(MATCH(A407,MemMap!$A$4:$A$98,0)) = FALSE, INDEX(MemMap!$B$4:$B$98,MATCH(A407,MemMap!$A$4:$A$98,0)),IF(F407="Y","TunSetCalSeg",IF(G407="Y", "FlashCalSeg", IF(G407="N", "FlashAppSeg", ""))))</f>
        <v>FlashAppSeg</v>
      </c>
      <c r="O407" s="220"/>
      <c r="P407" s="220"/>
      <c r="Q407" s="221"/>
      <c r="R407" s="221"/>
    </row>
    <row r="408" spans="1:18" ht="45" x14ac:dyDescent="0.2">
      <c r="A408" s="224" t="s">
        <v>933</v>
      </c>
      <c r="B408" s="225" t="s">
        <v>934</v>
      </c>
      <c r="C408" s="226" t="s">
        <v>3078</v>
      </c>
      <c r="D408" s="226" t="s">
        <v>3079</v>
      </c>
      <c r="E408" s="226"/>
      <c r="F408" s="227" t="s">
        <v>82</v>
      </c>
      <c r="G408" s="228" t="s">
        <v>82</v>
      </c>
      <c r="H408" s="228"/>
      <c r="I408" s="223">
        <v>2500</v>
      </c>
      <c r="J408" s="229">
        <v>0</v>
      </c>
      <c r="K408" s="229">
        <v>65535</v>
      </c>
      <c r="L408" s="229" t="s">
        <v>267</v>
      </c>
      <c r="M408" s="229" t="s">
        <v>263</v>
      </c>
      <c r="N408" s="230" t="str">
        <f>IF(ISERROR(MATCH(A408,MemMap!$A$4:$A$98,0)) = FALSE, INDEX(MemMap!$B$4:$B$98,MATCH(A408,MemMap!$A$4:$A$98,0)),IF(F408="Y","TunSetCalSeg",IF(G408="Y", "FlashCalSeg", IF(G408="N", "FlashAppSeg", ""))))</f>
        <v>FlashAppSeg</v>
      </c>
      <c r="O408" s="220"/>
      <c r="P408" s="220"/>
      <c r="Q408" s="221"/>
      <c r="R408" s="221"/>
    </row>
    <row r="409" spans="1:18" ht="67.5" x14ac:dyDescent="0.2">
      <c r="A409" s="224" t="s">
        <v>2224</v>
      </c>
      <c r="B409" s="225" t="s">
        <v>2225</v>
      </c>
      <c r="C409" s="226" t="s">
        <v>3144</v>
      </c>
      <c r="D409" s="226" t="s">
        <v>3145</v>
      </c>
      <c r="E409" s="226"/>
      <c r="F409" s="227" t="s">
        <v>82</v>
      </c>
      <c r="G409" s="228" t="s">
        <v>82</v>
      </c>
      <c r="H409" s="228"/>
      <c r="I409" s="223">
        <v>20000</v>
      </c>
      <c r="J409" s="229">
        <v>0</v>
      </c>
      <c r="K409" s="229">
        <v>2000000</v>
      </c>
      <c r="L409" s="229" t="s">
        <v>267</v>
      </c>
      <c r="M409" s="229" t="s">
        <v>303</v>
      </c>
      <c r="N409" s="230" t="str">
        <f>IF(ISERROR(MATCH(A409,MemMap!$A$4:$A$98,0)) = FALSE, INDEX(MemMap!$B$4:$B$98,MATCH(A409,MemMap!$A$4:$A$98,0)),IF(F409="Y","TunSetCalSeg",IF(G409="Y", "FlashCalSeg", IF(G409="N", "FlashAppSeg", ""))))</f>
        <v>FlashAppSeg</v>
      </c>
      <c r="O409" s="220"/>
      <c r="P409" s="220"/>
      <c r="Q409" s="221"/>
      <c r="R409" s="221"/>
    </row>
    <row r="410" spans="1:18" ht="67.5" x14ac:dyDescent="0.2">
      <c r="A410" s="224" t="s">
        <v>1846</v>
      </c>
      <c r="B410" s="225" t="s">
        <v>1847</v>
      </c>
      <c r="C410" s="226" t="s">
        <v>3144</v>
      </c>
      <c r="D410" s="226" t="s">
        <v>3145</v>
      </c>
      <c r="E410" s="226"/>
      <c r="F410" s="227" t="s">
        <v>82</v>
      </c>
      <c r="G410" s="228" t="s">
        <v>82</v>
      </c>
      <c r="H410" s="228"/>
      <c r="I410" s="223">
        <v>700</v>
      </c>
      <c r="J410" s="229">
        <v>0</v>
      </c>
      <c r="K410" s="229">
        <v>960</v>
      </c>
      <c r="L410" s="229" t="s">
        <v>267</v>
      </c>
      <c r="M410" s="229" t="s">
        <v>263</v>
      </c>
      <c r="N410" s="230" t="str">
        <f>IF(ISERROR(MATCH(A410,MemMap!$A$4:$A$98,0)) = FALSE, INDEX(MemMap!$B$4:$B$98,MATCH(A410,MemMap!$A$4:$A$98,0)),IF(F410="Y","TunSetCalSeg",IF(G410="Y", "FlashCalSeg", IF(G410="N", "FlashAppSeg", ""))))</f>
        <v>FlashAppSeg</v>
      </c>
      <c r="O410" s="220"/>
      <c r="P410" s="220"/>
      <c r="Q410" s="221"/>
      <c r="R410" s="221"/>
    </row>
    <row r="411" spans="1:18" ht="67.5" x14ac:dyDescent="0.2">
      <c r="A411" s="224" t="s">
        <v>1844</v>
      </c>
      <c r="B411" s="225" t="s">
        <v>1845</v>
      </c>
      <c r="C411" s="226" t="s">
        <v>3144</v>
      </c>
      <c r="D411" s="226" t="s">
        <v>3145</v>
      </c>
      <c r="E411" s="226"/>
      <c r="F411" s="227" t="s">
        <v>82</v>
      </c>
      <c r="G411" s="228" t="s">
        <v>82</v>
      </c>
      <c r="H411" s="228"/>
      <c r="I411" s="223">
        <v>1152</v>
      </c>
      <c r="J411" s="229">
        <v>0</v>
      </c>
      <c r="K411" s="229">
        <v>960</v>
      </c>
      <c r="L411" s="229" t="s">
        <v>267</v>
      </c>
      <c r="M411" s="229" t="s">
        <v>263</v>
      </c>
      <c r="N411" s="230" t="str">
        <f>IF(ISERROR(MATCH(A411,MemMap!$A$4:$A$98,0)) = FALSE, INDEX(MemMap!$B$4:$B$98,MATCH(A411,MemMap!$A$4:$A$98,0)),IF(F411="Y","TunSetCalSeg",IF(G411="Y", "FlashCalSeg", IF(G411="N", "FlashAppSeg", ""))))</f>
        <v>FlashAppSeg</v>
      </c>
      <c r="O411" s="220"/>
      <c r="P411" s="220"/>
      <c r="Q411" s="221"/>
      <c r="R411" s="221"/>
    </row>
    <row r="412" spans="1:18" ht="22.5" x14ac:dyDescent="0.2">
      <c r="A412" s="224" t="s">
        <v>1815</v>
      </c>
      <c r="B412" s="225" t="s">
        <v>1816</v>
      </c>
      <c r="C412" s="226" t="s">
        <v>1808</v>
      </c>
      <c r="D412" s="226" t="s">
        <v>241</v>
      </c>
      <c r="E412" s="226"/>
      <c r="F412" s="227" t="s">
        <v>81</v>
      </c>
      <c r="G412" s="228" t="s">
        <v>81</v>
      </c>
      <c r="H412" s="228"/>
      <c r="I412" s="223">
        <v>8.8000000000000007</v>
      </c>
      <c r="J412" s="229">
        <v>0</v>
      </c>
      <c r="K412" s="229">
        <v>8.8000000000000007</v>
      </c>
      <c r="L412" s="229" t="s">
        <v>252</v>
      </c>
      <c r="M412" s="229" t="s">
        <v>257</v>
      </c>
      <c r="N412" s="230" t="str">
        <f>IF(ISERROR(MATCH(A412,MemMap!$A$4:$A$98,0)) = FALSE, INDEX(MemMap!$B$4:$B$98,MATCH(A412,MemMap!$A$4:$A$98,0)),IF(F412="Y","TunSetCalSeg",IF(G412="Y", "FlashCalSeg", IF(G412="N", "FlashAppSeg", ""))))</f>
        <v>TunSetCalSeg</v>
      </c>
      <c r="O412" s="220"/>
      <c r="P412" s="220"/>
      <c r="Q412" s="221"/>
      <c r="R412" s="221"/>
    </row>
    <row r="413" spans="1:18" ht="22.5" x14ac:dyDescent="0.2">
      <c r="A413" s="224" t="s">
        <v>1806</v>
      </c>
      <c r="B413" s="225" t="s">
        <v>1807</v>
      </c>
      <c r="C413" s="226" t="s">
        <v>1808</v>
      </c>
      <c r="D413" s="226" t="s">
        <v>241</v>
      </c>
      <c r="E413" s="226"/>
      <c r="F413" s="227" t="s">
        <v>81</v>
      </c>
      <c r="G413" s="228" t="s">
        <v>81</v>
      </c>
      <c r="H413" s="228"/>
      <c r="I413" s="223">
        <v>8.8000000000000007</v>
      </c>
      <c r="J413" s="229">
        <v>0</v>
      </c>
      <c r="K413" s="229">
        <v>8.8000000000000007</v>
      </c>
      <c r="L413" s="229" t="s">
        <v>252</v>
      </c>
      <c r="M413" s="229" t="s">
        <v>257</v>
      </c>
      <c r="N413" s="230" t="str">
        <f>IF(ISERROR(MATCH(A413,MemMap!$A$4:$A$98,0)) = FALSE, INDEX(MemMap!$B$4:$B$98,MATCH(A413,MemMap!$A$4:$A$98,0)),IF(F413="Y","TunSetCalSeg",IF(G413="Y", "FlashCalSeg", IF(G413="N", "FlashAppSeg", ""))))</f>
        <v>TunSetCalSeg</v>
      </c>
      <c r="O413" s="220"/>
      <c r="P413" s="220"/>
      <c r="Q413" s="221"/>
      <c r="R413" s="221"/>
    </row>
    <row r="414" spans="1:18" ht="22.5" x14ac:dyDescent="0.2">
      <c r="A414" s="224" t="s">
        <v>1809</v>
      </c>
      <c r="B414" s="225" t="s">
        <v>1810</v>
      </c>
      <c r="C414" s="226" t="s">
        <v>1808</v>
      </c>
      <c r="D414" s="226" t="s">
        <v>241</v>
      </c>
      <c r="E414" s="226"/>
      <c r="F414" s="227" t="s">
        <v>0</v>
      </c>
      <c r="G414" s="228" t="s">
        <v>81</v>
      </c>
      <c r="H414" s="228"/>
      <c r="I414" s="223" t="s">
        <v>1811</v>
      </c>
      <c r="J414" s="229">
        <v>-1118</v>
      </c>
      <c r="K414" s="229">
        <v>1118</v>
      </c>
      <c r="L414" s="229" t="s">
        <v>259</v>
      </c>
      <c r="M414" s="229" t="s">
        <v>1353</v>
      </c>
      <c r="N414" s="230" t="str">
        <f>IF(ISERROR(MATCH(A414,MemMap!$A$4:$A$98,0)) = FALSE, INDEX(MemMap!$B$4:$B$98,MATCH(A414,MemMap!$A$4:$A$98,0)),IF(F414="Y","TunSetCalSeg",IF(G414="Y", "FlashCalSeg", IF(G414="N", "FlashAppSeg", ""))))</f>
        <v>FlashCalSeg</v>
      </c>
      <c r="O414" s="220"/>
      <c r="P414" s="220"/>
      <c r="Q414" s="221"/>
      <c r="R414" s="221"/>
    </row>
    <row r="415" spans="1:18" ht="22.5" x14ac:dyDescent="0.2">
      <c r="A415" s="224" t="s">
        <v>1817</v>
      </c>
      <c r="B415" s="225" t="s">
        <v>1818</v>
      </c>
      <c r="C415" s="226" t="s">
        <v>1808</v>
      </c>
      <c r="D415" s="226" t="s">
        <v>241</v>
      </c>
      <c r="E415" s="226"/>
      <c r="F415" s="227" t="s">
        <v>0</v>
      </c>
      <c r="G415" s="228" t="s">
        <v>81</v>
      </c>
      <c r="H415" s="228"/>
      <c r="I415" s="223" t="s">
        <v>1819</v>
      </c>
      <c r="J415" s="229">
        <v>0</v>
      </c>
      <c r="K415" s="229">
        <v>511</v>
      </c>
      <c r="L415" s="229" t="s">
        <v>296</v>
      </c>
      <c r="M415" s="229" t="s">
        <v>336</v>
      </c>
      <c r="N415" s="230" t="str">
        <f>IF(ISERROR(MATCH(A415,MemMap!$A$4:$A$98,0)) = FALSE, INDEX(MemMap!$B$4:$B$98,MATCH(A415,MemMap!$A$4:$A$98,0)),IF(F415="Y","TunSetCalSeg",IF(G415="Y", "FlashCalSeg", IF(G415="N", "FlashAppSeg", ""))))</f>
        <v>FlashCalSeg</v>
      </c>
      <c r="O415" s="220"/>
      <c r="P415" s="220"/>
      <c r="Q415" s="221"/>
      <c r="R415" s="221"/>
    </row>
    <row r="416" spans="1:18" ht="22.5" x14ac:dyDescent="0.2">
      <c r="A416" s="224" t="s">
        <v>1812</v>
      </c>
      <c r="B416" s="225" t="s">
        <v>1813</v>
      </c>
      <c r="C416" s="226" t="s">
        <v>1808</v>
      </c>
      <c r="D416" s="226" t="s">
        <v>241</v>
      </c>
      <c r="E416" s="226"/>
      <c r="F416" s="227" t="s">
        <v>0</v>
      </c>
      <c r="G416" s="228" t="s">
        <v>81</v>
      </c>
      <c r="H416" s="228"/>
      <c r="I416" s="223" t="s">
        <v>1814</v>
      </c>
      <c r="J416" s="229">
        <v>-16</v>
      </c>
      <c r="K416" s="229">
        <v>16</v>
      </c>
      <c r="L416" s="229" t="s">
        <v>252</v>
      </c>
      <c r="M416" s="229" t="s">
        <v>760</v>
      </c>
      <c r="N416" s="230" t="str">
        <f>IF(ISERROR(MATCH(A416,MemMap!$A$4:$A$98,0)) = FALSE, INDEX(MemMap!$B$4:$B$98,MATCH(A416,MemMap!$A$4:$A$98,0)),IF(F416="Y","TunSetCalSeg",IF(G416="Y", "FlashCalSeg", IF(G416="N", "FlashAppSeg", ""))))</f>
        <v>FlashCalSeg</v>
      </c>
      <c r="O416" s="220"/>
      <c r="P416" s="220"/>
      <c r="Q416" s="221"/>
      <c r="R416" s="221"/>
    </row>
    <row r="417" spans="1:18" ht="33.75" x14ac:dyDescent="0.2">
      <c r="A417" s="224" t="s">
        <v>943</v>
      </c>
      <c r="B417" s="225" t="s">
        <v>944</v>
      </c>
      <c r="C417" s="226" t="s">
        <v>946</v>
      </c>
      <c r="D417" s="226" t="s">
        <v>215</v>
      </c>
      <c r="E417" s="226" t="s">
        <v>945</v>
      </c>
      <c r="F417" s="227" t="s">
        <v>0</v>
      </c>
      <c r="G417" s="228" t="s">
        <v>81</v>
      </c>
      <c r="H417" s="228" t="s">
        <v>947</v>
      </c>
      <c r="I417" s="223" t="s">
        <v>948</v>
      </c>
      <c r="J417" s="229">
        <v>5</v>
      </c>
      <c r="K417" s="229">
        <v>100</v>
      </c>
      <c r="L417" s="229" t="s">
        <v>258</v>
      </c>
      <c r="M417" s="229" t="s">
        <v>949</v>
      </c>
      <c r="N417" s="230" t="str">
        <f>IF(ISERROR(MATCH(A417,MemMap!$A$4:$A$98,0)) = FALSE, INDEX(MemMap!$B$4:$B$98,MATCH(A417,MemMap!$A$4:$A$98,0)),IF(F417="Y","TunSetCalSeg",IF(G417="Y", "FlashCalSeg", IF(G417="N", "FlashAppSeg", ""))))</f>
        <v>FlashCalSeg</v>
      </c>
      <c r="O417" s="220"/>
      <c r="P417" s="220"/>
      <c r="Q417" s="221"/>
      <c r="R417" s="221"/>
    </row>
    <row r="418" spans="1:18" ht="135" x14ac:dyDescent="0.2">
      <c r="A418" s="224" t="s">
        <v>958</v>
      </c>
      <c r="B418" s="225" t="s">
        <v>959</v>
      </c>
      <c r="C418" s="226" t="s">
        <v>946</v>
      </c>
      <c r="D418" s="226" t="s">
        <v>215</v>
      </c>
      <c r="E418" s="226" t="s">
        <v>960</v>
      </c>
      <c r="F418" s="227" t="s">
        <v>0</v>
      </c>
      <c r="G418" s="228" t="s">
        <v>81</v>
      </c>
      <c r="H418" s="228" t="s">
        <v>961</v>
      </c>
      <c r="I418" s="223" t="s">
        <v>1749</v>
      </c>
      <c r="J418" s="229">
        <v>0</v>
      </c>
      <c r="K418" s="229">
        <v>5</v>
      </c>
      <c r="L418" s="229" t="s">
        <v>962</v>
      </c>
      <c r="M418" s="229" t="s">
        <v>963</v>
      </c>
      <c r="N418" s="230" t="str">
        <f>IF(ISERROR(MATCH(A418,MemMap!$A$4:$A$98,0)) = FALSE, INDEX(MemMap!$B$4:$B$98,MATCH(A418,MemMap!$A$4:$A$98,0)),IF(F418="Y","TunSetCalSeg",IF(G418="Y", "FlashCalSeg", IF(G418="N", "FlashAppSeg", ""))))</f>
        <v>FlashCalSeg</v>
      </c>
      <c r="O418" s="220"/>
      <c r="P418" s="220"/>
      <c r="Q418" s="221"/>
      <c r="R418" s="221"/>
    </row>
    <row r="419" spans="1:18" ht="135" x14ac:dyDescent="0.2">
      <c r="A419" s="224" t="s">
        <v>964</v>
      </c>
      <c r="B419" s="225" t="s">
        <v>965</v>
      </c>
      <c r="C419" s="226" t="s">
        <v>946</v>
      </c>
      <c r="D419" s="226" t="s">
        <v>215</v>
      </c>
      <c r="E419" s="226" t="s">
        <v>966</v>
      </c>
      <c r="F419" s="227" t="s">
        <v>82</v>
      </c>
      <c r="G419" s="228" t="s">
        <v>82</v>
      </c>
      <c r="H419" s="228" t="s">
        <v>967</v>
      </c>
      <c r="I419" s="223" t="s">
        <v>1749</v>
      </c>
      <c r="J419" s="229">
        <v>0</v>
      </c>
      <c r="K419" s="229">
        <v>5</v>
      </c>
      <c r="L419" s="229" t="s">
        <v>962</v>
      </c>
      <c r="M419" s="229" t="s">
        <v>963</v>
      </c>
      <c r="N419" s="230" t="str">
        <f>IF(ISERROR(MATCH(A419,MemMap!$A$4:$A$98,0)) = FALSE, INDEX(MemMap!$B$4:$B$98,MATCH(A419,MemMap!$A$4:$A$98,0)),IF(F419="Y","TunSetCalSeg",IF(G419="Y", "FlashCalSeg", IF(G419="N", "FlashAppSeg", ""))))</f>
        <v>FlashAppSeg</v>
      </c>
      <c r="O419" s="220"/>
      <c r="P419" s="220"/>
      <c r="Q419" s="221"/>
      <c r="R419" s="221"/>
    </row>
    <row r="420" spans="1:18" ht="135" x14ac:dyDescent="0.2">
      <c r="A420" s="224" t="s">
        <v>950</v>
      </c>
      <c r="B420" s="225" t="s">
        <v>951</v>
      </c>
      <c r="C420" s="226" t="s">
        <v>946</v>
      </c>
      <c r="D420" s="226" t="s">
        <v>215</v>
      </c>
      <c r="E420" s="226" t="s">
        <v>952</v>
      </c>
      <c r="F420" s="227" t="s">
        <v>0</v>
      </c>
      <c r="G420" s="228" t="s">
        <v>81</v>
      </c>
      <c r="H420" s="228" t="s">
        <v>953</v>
      </c>
      <c r="I420" s="223" t="s">
        <v>1748</v>
      </c>
      <c r="J420" s="229">
        <v>0</v>
      </c>
      <c r="K420" s="229">
        <v>10</v>
      </c>
      <c r="L420" s="229" t="s">
        <v>261</v>
      </c>
      <c r="M420" s="229" t="s">
        <v>377</v>
      </c>
      <c r="N420" s="230" t="str">
        <f>IF(ISERROR(MATCH(A420,MemMap!$A$4:$A$98,0)) = FALSE, INDEX(MemMap!$B$4:$B$98,MATCH(A420,MemMap!$A$4:$A$98,0)),IF(F420="Y","TunSetCalSeg",IF(G420="Y", "FlashCalSeg", IF(G420="N", "FlashAppSeg", ""))))</f>
        <v>FlashCalSeg</v>
      </c>
      <c r="O420" s="220"/>
      <c r="P420" s="220"/>
      <c r="Q420" s="221"/>
      <c r="R420" s="221"/>
    </row>
    <row r="421" spans="1:18" ht="135" x14ac:dyDescent="0.2">
      <c r="A421" s="224" t="s">
        <v>954</v>
      </c>
      <c r="B421" s="225" t="s">
        <v>955</v>
      </c>
      <c r="C421" s="226" t="s">
        <v>946</v>
      </c>
      <c r="D421" s="226" t="s">
        <v>215</v>
      </c>
      <c r="E421" s="226" t="s">
        <v>956</v>
      </c>
      <c r="F421" s="227" t="s">
        <v>82</v>
      </c>
      <c r="G421" s="228" t="s">
        <v>82</v>
      </c>
      <c r="H421" s="228" t="s">
        <v>957</v>
      </c>
      <c r="I421" s="223" t="s">
        <v>1748</v>
      </c>
      <c r="J421" s="229">
        <v>0</v>
      </c>
      <c r="K421" s="229">
        <v>10</v>
      </c>
      <c r="L421" s="229" t="s">
        <v>261</v>
      </c>
      <c r="M421" s="229" t="s">
        <v>377</v>
      </c>
      <c r="N421" s="230" t="str">
        <f>IF(ISERROR(MATCH(A421,MemMap!$A$4:$A$98,0)) = FALSE, INDEX(MemMap!$B$4:$B$98,MATCH(A421,MemMap!$A$4:$A$98,0)),IF(F421="Y","TunSetCalSeg",IF(G421="Y", "FlashCalSeg", IF(G421="N", "FlashAppSeg", ""))))</f>
        <v>FlashAppSeg</v>
      </c>
      <c r="O421" s="220"/>
      <c r="P421" s="220"/>
      <c r="Q421" s="221"/>
      <c r="R421" s="221"/>
    </row>
    <row r="422" spans="1:18" ht="67.5" x14ac:dyDescent="0.2">
      <c r="A422" s="224" t="s">
        <v>968</v>
      </c>
      <c r="B422" s="225" t="s">
        <v>969</v>
      </c>
      <c r="C422" s="226" t="s">
        <v>946</v>
      </c>
      <c r="D422" s="226" t="s">
        <v>215</v>
      </c>
      <c r="E422" s="226" t="s">
        <v>375</v>
      </c>
      <c r="F422" s="227" t="s">
        <v>82</v>
      </c>
      <c r="G422" s="228" t="s">
        <v>82</v>
      </c>
      <c r="H422" s="228" t="s">
        <v>970</v>
      </c>
      <c r="I422" s="223" t="s">
        <v>1750</v>
      </c>
      <c r="J422" s="229">
        <v>0</v>
      </c>
      <c r="K422" s="229">
        <v>8</v>
      </c>
      <c r="L422" s="229" t="s">
        <v>252</v>
      </c>
      <c r="M422" s="229" t="s">
        <v>675</v>
      </c>
      <c r="N422" s="230" t="str">
        <f>IF(ISERROR(MATCH(A422,MemMap!$A$4:$A$98,0)) = FALSE, INDEX(MemMap!$B$4:$B$98,MATCH(A422,MemMap!$A$4:$A$98,0)),IF(F422="Y","TunSetCalSeg",IF(G422="Y", "FlashCalSeg", IF(G422="N", "FlashAppSeg", ""))))</f>
        <v>FlashAppSeg</v>
      </c>
      <c r="O422" s="220"/>
      <c r="P422" s="220"/>
      <c r="Q422" s="221"/>
      <c r="R422" s="221"/>
    </row>
    <row r="423" spans="1:18" ht="33.75" x14ac:dyDescent="0.2">
      <c r="A423" s="224" t="s">
        <v>971</v>
      </c>
      <c r="B423" s="225" t="s">
        <v>972</v>
      </c>
      <c r="C423" s="226" t="s">
        <v>946</v>
      </c>
      <c r="D423" s="226" t="s">
        <v>215</v>
      </c>
      <c r="E423" s="226" t="s">
        <v>380</v>
      </c>
      <c r="F423" s="227" t="s">
        <v>82</v>
      </c>
      <c r="G423" s="228" t="s">
        <v>82</v>
      </c>
      <c r="H423" s="228" t="s">
        <v>973</v>
      </c>
      <c r="I423" s="223" t="s">
        <v>1751</v>
      </c>
      <c r="J423" s="229">
        <v>0</v>
      </c>
      <c r="K423" s="229">
        <v>1</v>
      </c>
      <c r="L423" s="229" t="s">
        <v>288</v>
      </c>
      <c r="M423" s="229" t="s">
        <v>666</v>
      </c>
      <c r="N423" s="230" t="str">
        <f>IF(ISERROR(MATCH(A423,MemMap!$A$4:$A$98,0)) = FALSE, INDEX(MemMap!$B$4:$B$98,MATCH(A423,MemMap!$A$4:$A$98,0)),IF(F423="Y","TunSetCalSeg",IF(G423="Y", "FlashCalSeg", IF(G423="N", "FlashAppSeg", ""))))</f>
        <v>FlashAppSeg</v>
      </c>
      <c r="O423" s="220"/>
      <c r="P423" s="220"/>
      <c r="Q423" s="221"/>
      <c r="R423" s="221"/>
    </row>
    <row r="424" spans="1:18" ht="33.75" x14ac:dyDescent="0.2">
      <c r="A424" s="224" t="s">
        <v>979</v>
      </c>
      <c r="B424" s="225" t="s">
        <v>980</v>
      </c>
      <c r="C424" s="226" t="s">
        <v>981</v>
      </c>
      <c r="D424" s="226" t="s">
        <v>206</v>
      </c>
      <c r="E424" s="226"/>
      <c r="F424" s="227" t="s">
        <v>82</v>
      </c>
      <c r="G424" s="228" t="s">
        <v>82</v>
      </c>
      <c r="H424" s="228"/>
      <c r="I424" s="223">
        <v>1130</v>
      </c>
      <c r="J424" s="229">
        <v>0</v>
      </c>
      <c r="K424" s="229">
        <v>2252</v>
      </c>
      <c r="L424" s="229" t="s">
        <v>267</v>
      </c>
      <c r="M424" s="229" t="s">
        <v>263</v>
      </c>
      <c r="N424" s="230" t="str">
        <f>IF(ISERROR(MATCH(A424,MemMap!$A$4:$A$98,0)) = FALSE, INDEX(MemMap!$B$4:$B$98,MATCH(A424,MemMap!$A$4:$A$98,0)),IF(F424="Y","TunSetCalSeg",IF(G424="Y", "FlashCalSeg", IF(G424="N", "FlashAppSeg", ""))))</f>
        <v>FlashAppSeg</v>
      </c>
      <c r="O424" s="220"/>
      <c r="P424" s="220"/>
      <c r="Q424" s="221"/>
      <c r="R424" s="221"/>
    </row>
    <row r="425" spans="1:18" ht="33.75" x14ac:dyDescent="0.2">
      <c r="A425" s="224" t="s">
        <v>992</v>
      </c>
      <c r="B425" s="225" t="s">
        <v>993</v>
      </c>
      <c r="C425" s="226" t="s">
        <v>981</v>
      </c>
      <c r="D425" s="226" t="s">
        <v>206</v>
      </c>
      <c r="E425" s="226" t="s">
        <v>994</v>
      </c>
      <c r="F425" s="227" t="s">
        <v>82</v>
      </c>
      <c r="G425" s="228" t="s">
        <v>82</v>
      </c>
      <c r="H425" s="228"/>
      <c r="I425" s="223">
        <v>0.1015625</v>
      </c>
      <c r="J425" s="229">
        <v>8.0000000000000002E-3</v>
      </c>
      <c r="K425" s="229">
        <v>3</v>
      </c>
      <c r="L425" s="229" t="s">
        <v>252</v>
      </c>
      <c r="M425" s="229" t="s">
        <v>257</v>
      </c>
      <c r="N425" s="230" t="str">
        <f>IF(ISERROR(MATCH(A425,MemMap!$A$4:$A$98,0)) = FALSE, INDEX(MemMap!$B$4:$B$98,MATCH(A425,MemMap!$A$4:$A$98,0)),IF(F425="Y","TunSetCalSeg",IF(G425="Y", "FlashCalSeg", IF(G425="N", "FlashAppSeg", ""))))</f>
        <v>FlashAppSeg</v>
      </c>
      <c r="O425" s="220"/>
      <c r="P425" s="220"/>
      <c r="Q425" s="221"/>
      <c r="R425" s="221"/>
    </row>
    <row r="426" spans="1:18" ht="56.25" x14ac:dyDescent="0.2">
      <c r="A426" s="224" t="s">
        <v>987</v>
      </c>
      <c r="B426" s="225" t="s">
        <v>988</v>
      </c>
      <c r="C426" s="226" t="s">
        <v>981</v>
      </c>
      <c r="D426" s="226" t="s">
        <v>206</v>
      </c>
      <c r="E426" s="226" t="s">
        <v>989</v>
      </c>
      <c r="F426" s="227" t="s">
        <v>82</v>
      </c>
      <c r="G426" s="228" t="s">
        <v>82</v>
      </c>
      <c r="H426" s="228" t="s">
        <v>990</v>
      </c>
      <c r="I426" s="223" t="s">
        <v>991</v>
      </c>
      <c r="J426" s="229">
        <v>0</v>
      </c>
      <c r="K426" s="229">
        <v>8.8000000000000007</v>
      </c>
      <c r="L426" s="229" t="s">
        <v>252</v>
      </c>
      <c r="M426" s="229" t="s">
        <v>253</v>
      </c>
      <c r="N426" s="230" t="str">
        <f>IF(ISERROR(MATCH(A426,MemMap!$A$4:$A$98,0)) = FALSE, INDEX(MemMap!$B$4:$B$98,MATCH(A426,MemMap!$A$4:$A$98,0)),IF(F426="Y","TunSetCalSeg",IF(G426="Y", "FlashCalSeg", IF(G426="N", "FlashAppSeg", ""))))</f>
        <v>FlashAppSeg</v>
      </c>
      <c r="O426" s="220"/>
      <c r="P426" s="220"/>
      <c r="Q426" s="221"/>
      <c r="R426" s="221"/>
    </row>
    <row r="427" spans="1:18" ht="67.5" x14ac:dyDescent="0.2">
      <c r="A427" s="224" t="s">
        <v>982</v>
      </c>
      <c r="B427" s="225" t="s">
        <v>983</v>
      </c>
      <c r="C427" s="226" t="s">
        <v>981</v>
      </c>
      <c r="D427" s="226" t="s">
        <v>206</v>
      </c>
      <c r="E427" s="226" t="s">
        <v>984</v>
      </c>
      <c r="F427" s="227" t="s">
        <v>82</v>
      </c>
      <c r="G427" s="228" t="s">
        <v>82</v>
      </c>
      <c r="H427" s="228" t="s">
        <v>985</v>
      </c>
      <c r="I427" s="223" t="s">
        <v>986</v>
      </c>
      <c r="J427" s="229">
        <v>0</v>
      </c>
      <c r="K427" s="229">
        <v>8.8000000000000007</v>
      </c>
      <c r="L427" s="229" t="s">
        <v>252</v>
      </c>
      <c r="M427" s="229" t="s">
        <v>253</v>
      </c>
      <c r="N427" s="230" t="str">
        <f>IF(ISERROR(MATCH(A427,MemMap!$A$4:$A$98,0)) = FALSE, INDEX(MemMap!$B$4:$B$98,MATCH(A427,MemMap!$A$4:$A$98,0)),IF(F427="Y","TunSetCalSeg",IF(G427="Y", "FlashCalSeg", IF(G427="N", "FlashAppSeg", ""))))</f>
        <v>FlashAppSeg</v>
      </c>
      <c r="O427" s="220"/>
      <c r="P427" s="220"/>
      <c r="Q427" s="221"/>
      <c r="R427" s="221"/>
    </row>
    <row r="428" spans="1:18" ht="56.25" x14ac:dyDescent="0.2">
      <c r="A428" s="224" t="s">
        <v>974</v>
      </c>
      <c r="B428" s="225" t="s">
        <v>975</v>
      </c>
      <c r="C428" s="226" t="s">
        <v>977</v>
      </c>
      <c r="D428" s="226" t="s">
        <v>978</v>
      </c>
      <c r="E428" s="226" t="s">
        <v>976</v>
      </c>
      <c r="F428" s="227" t="s">
        <v>82</v>
      </c>
      <c r="G428" s="228" t="s">
        <v>82</v>
      </c>
      <c r="H428" s="228"/>
      <c r="I428" s="223">
        <v>1.375</v>
      </c>
      <c r="J428" s="229">
        <v>0</v>
      </c>
      <c r="K428" s="229">
        <v>1350</v>
      </c>
      <c r="L428" s="229" t="s">
        <v>259</v>
      </c>
      <c r="M428" s="229" t="s">
        <v>257</v>
      </c>
      <c r="N428" s="230" t="str">
        <f>IF(ISERROR(MATCH(A428,MemMap!$A$4:$A$98,0)) = FALSE, INDEX(MemMap!$B$4:$B$98,MATCH(A428,MemMap!$A$4:$A$98,0)),IF(F428="Y","TunSetCalSeg",IF(G428="Y", "FlashCalSeg", IF(G428="N", "FlashAppSeg", ""))))</f>
        <v>FlashAppSeg</v>
      </c>
      <c r="O428" s="220"/>
      <c r="P428" s="220"/>
      <c r="Q428" s="221"/>
      <c r="R428" s="221"/>
    </row>
    <row r="429" spans="1:18" ht="33.75" x14ac:dyDescent="0.2">
      <c r="A429" s="224" t="s">
        <v>3063</v>
      </c>
      <c r="B429" s="225" t="s">
        <v>3064</v>
      </c>
      <c r="C429" s="226" t="s">
        <v>3026</v>
      </c>
      <c r="D429" s="226" t="s">
        <v>2187</v>
      </c>
      <c r="E429" s="226" t="s">
        <v>3065</v>
      </c>
      <c r="F429" s="227" t="s">
        <v>82</v>
      </c>
      <c r="G429" s="228" t="s">
        <v>82</v>
      </c>
      <c r="H429" s="228"/>
      <c r="I429" s="223">
        <v>0.99</v>
      </c>
      <c r="J429" s="229">
        <v>0</v>
      </c>
      <c r="K429" s="229">
        <v>1</v>
      </c>
      <c r="L429" s="229" t="s">
        <v>256</v>
      </c>
      <c r="M429" s="229" t="s">
        <v>257</v>
      </c>
      <c r="N429" s="230" t="str">
        <f>IF(ISERROR(MATCH(A429,MemMap!$A$4:$A$98,0)) = FALSE, INDEX(MemMap!$B$4:$B$98,MATCH(A429,MemMap!$A$4:$A$98,0)),IF(F429="Y","TunSetCalSeg",IF(G429="Y", "FlashCalSeg", IF(G429="N", "FlashAppSeg", ""))))</f>
        <v>FlashAppSeg</v>
      </c>
      <c r="O429" s="220"/>
      <c r="P429" s="220"/>
      <c r="Q429" s="221"/>
      <c r="R429" s="221"/>
    </row>
    <row r="430" spans="1:18" ht="33.75" x14ac:dyDescent="0.2">
      <c r="A430" s="224" t="s">
        <v>3066</v>
      </c>
      <c r="B430" s="225" t="s">
        <v>3067</v>
      </c>
      <c r="C430" s="226" t="s">
        <v>3026</v>
      </c>
      <c r="D430" s="226" t="s">
        <v>2187</v>
      </c>
      <c r="E430" s="226" t="s">
        <v>3068</v>
      </c>
      <c r="F430" s="227" t="s">
        <v>82</v>
      </c>
      <c r="G430" s="228" t="s">
        <v>82</v>
      </c>
      <c r="H430" s="228"/>
      <c r="I430" s="223">
        <v>0.5</v>
      </c>
      <c r="J430" s="229">
        <v>0.01</v>
      </c>
      <c r="K430" s="229">
        <v>500</v>
      </c>
      <c r="L430" s="229" t="s">
        <v>258</v>
      </c>
      <c r="M430" s="229" t="s">
        <v>257</v>
      </c>
      <c r="N430" s="230" t="str">
        <f>IF(ISERROR(MATCH(A430,MemMap!$A$4:$A$98,0)) = FALSE, INDEX(MemMap!$B$4:$B$98,MATCH(A430,MemMap!$A$4:$A$98,0)),IF(F430="Y","TunSetCalSeg",IF(G430="Y", "FlashCalSeg", IF(G430="N", "FlashAppSeg", ""))))</f>
        <v>FlashAppSeg</v>
      </c>
      <c r="O430" s="220"/>
      <c r="P430" s="220"/>
      <c r="Q430" s="221"/>
      <c r="R430" s="221"/>
    </row>
    <row r="431" spans="1:18" ht="33.75" x14ac:dyDescent="0.2">
      <c r="A431" s="224" t="s">
        <v>3069</v>
      </c>
      <c r="B431" s="225" t="s">
        <v>3070</v>
      </c>
      <c r="C431" s="226" t="s">
        <v>3026</v>
      </c>
      <c r="D431" s="226" t="s">
        <v>2187</v>
      </c>
      <c r="E431" s="226" t="s">
        <v>3071</v>
      </c>
      <c r="F431" s="227" t="s">
        <v>82</v>
      </c>
      <c r="G431" s="228" t="s">
        <v>82</v>
      </c>
      <c r="H431" s="228"/>
      <c r="I431" s="223">
        <v>10</v>
      </c>
      <c r="J431" s="229">
        <v>0</v>
      </c>
      <c r="K431" s="229">
        <v>511</v>
      </c>
      <c r="L431" s="229" t="s">
        <v>296</v>
      </c>
      <c r="M431" s="229" t="s">
        <v>257</v>
      </c>
      <c r="N431" s="230" t="str">
        <f>IF(ISERROR(MATCH(A431,MemMap!$A$4:$A$98,0)) = FALSE, INDEX(MemMap!$B$4:$B$98,MATCH(A431,MemMap!$A$4:$A$98,0)),IF(F431="Y","TunSetCalSeg",IF(G431="Y", "FlashCalSeg", IF(G431="N", "FlashAppSeg", ""))))</f>
        <v>FlashAppSeg</v>
      </c>
      <c r="O431" s="220"/>
      <c r="P431" s="220"/>
      <c r="Q431" s="221"/>
      <c r="R431" s="221"/>
    </row>
    <row r="432" spans="1:18" ht="33.75" x14ac:dyDescent="0.2">
      <c r="A432" s="224" t="s">
        <v>3060</v>
      </c>
      <c r="B432" s="225" t="s">
        <v>3061</v>
      </c>
      <c r="C432" s="226" t="s">
        <v>3026</v>
      </c>
      <c r="D432" s="226" t="s">
        <v>2187</v>
      </c>
      <c r="E432" s="226" t="s">
        <v>3062</v>
      </c>
      <c r="F432" s="227" t="s">
        <v>82</v>
      </c>
      <c r="G432" s="228" t="s">
        <v>82</v>
      </c>
      <c r="H432" s="228"/>
      <c r="I432" s="223">
        <v>2</v>
      </c>
      <c r="J432" s="229">
        <v>0</v>
      </c>
      <c r="K432" s="229">
        <v>1000</v>
      </c>
      <c r="L432" s="229" t="s">
        <v>343</v>
      </c>
      <c r="M432" s="229" t="s">
        <v>257</v>
      </c>
      <c r="N432" s="230" t="str">
        <f>IF(ISERROR(MATCH(A432,MemMap!$A$4:$A$98,0)) = FALSE, INDEX(MemMap!$B$4:$B$98,MATCH(A432,MemMap!$A$4:$A$98,0)),IF(F432="Y","TunSetCalSeg",IF(G432="Y", "FlashCalSeg", IF(G432="N", "FlashAppSeg", ""))))</f>
        <v>FlashAppSeg</v>
      </c>
      <c r="O432" s="220"/>
      <c r="P432" s="220"/>
      <c r="Q432" s="221"/>
      <c r="R432" s="221"/>
    </row>
    <row r="433" spans="1:18" ht="33.75" x14ac:dyDescent="0.2">
      <c r="A433" s="224" t="s">
        <v>3072</v>
      </c>
      <c r="B433" s="225" t="s">
        <v>3073</v>
      </c>
      <c r="C433" s="226" t="s">
        <v>3026</v>
      </c>
      <c r="D433" s="226" t="s">
        <v>2187</v>
      </c>
      <c r="E433" s="226" t="s">
        <v>3074</v>
      </c>
      <c r="F433" s="227" t="s">
        <v>82</v>
      </c>
      <c r="G433" s="228" t="s">
        <v>82</v>
      </c>
      <c r="H433" s="228"/>
      <c r="I433" s="223">
        <v>2</v>
      </c>
      <c r="J433" s="229">
        <v>0.01</v>
      </c>
      <c r="K433" s="229">
        <v>500</v>
      </c>
      <c r="L433" s="229" t="s">
        <v>258</v>
      </c>
      <c r="M433" s="229" t="s">
        <v>257</v>
      </c>
      <c r="N433" s="230" t="str">
        <f>IF(ISERROR(MATCH(A433,MemMap!$A$4:$A$98,0)) = FALSE, INDEX(MemMap!$B$4:$B$98,MATCH(A433,MemMap!$A$4:$A$98,0)),IF(F433="Y","TunSetCalSeg",IF(G433="Y", "FlashCalSeg", IF(G433="N", "FlashAppSeg", ""))))</f>
        <v>FlashAppSeg</v>
      </c>
      <c r="O433" s="220"/>
      <c r="P433" s="220"/>
      <c r="Q433" s="221"/>
      <c r="R433" s="221"/>
    </row>
    <row r="434" spans="1:18" ht="56.25" x14ac:dyDescent="0.2">
      <c r="A434" s="224" t="s">
        <v>3057</v>
      </c>
      <c r="B434" s="225" t="s">
        <v>3058</v>
      </c>
      <c r="C434" s="226" t="s">
        <v>3026</v>
      </c>
      <c r="D434" s="226" t="s">
        <v>2187</v>
      </c>
      <c r="E434" s="226" t="s">
        <v>3059</v>
      </c>
      <c r="F434" s="227" t="s">
        <v>82</v>
      </c>
      <c r="G434" s="228" t="s">
        <v>82</v>
      </c>
      <c r="H434" s="228"/>
      <c r="I434" s="223">
        <v>1</v>
      </c>
      <c r="J434" s="229">
        <v>0.01</v>
      </c>
      <c r="K434" s="229">
        <v>500</v>
      </c>
      <c r="L434" s="229" t="s">
        <v>258</v>
      </c>
      <c r="M434" s="229" t="s">
        <v>257</v>
      </c>
      <c r="N434" s="230" t="str">
        <f>IF(ISERROR(MATCH(A434,MemMap!$A$4:$A$98,0)) = FALSE, INDEX(MemMap!$B$4:$B$98,MATCH(A434,MemMap!$A$4:$A$98,0)),IF(F434="Y","TunSetCalSeg",IF(G434="Y", "FlashCalSeg", IF(G434="N", "FlashAppSeg", ""))))</f>
        <v>FlashAppSeg</v>
      </c>
      <c r="O434" s="220"/>
      <c r="P434" s="220"/>
      <c r="Q434" s="221"/>
      <c r="R434" s="221"/>
    </row>
    <row r="435" spans="1:18" ht="45" x14ac:dyDescent="0.2">
      <c r="A435" s="224" t="s">
        <v>3054</v>
      </c>
      <c r="B435" s="225" t="s">
        <v>3055</v>
      </c>
      <c r="C435" s="226" t="s">
        <v>3026</v>
      </c>
      <c r="D435" s="226" t="s">
        <v>2187</v>
      </c>
      <c r="E435" s="226" t="s">
        <v>3056</v>
      </c>
      <c r="F435" s="227" t="s">
        <v>82</v>
      </c>
      <c r="G435" s="228" t="s">
        <v>82</v>
      </c>
      <c r="H435" s="228"/>
      <c r="I435" s="223">
        <v>7</v>
      </c>
      <c r="J435" s="229">
        <v>0.01</v>
      </c>
      <c r="K435" s="229">
        <v>500</v>
      </c>
      <c r="L435" s="229" t="s">
        <v>258</v>
      </c>
      <c r="M435" s="229" t="s">
        <v>257</v>
      </c>
      <c r="N435" s="230" t="str">
        <f>IF(ISERROR(MATCH(A435,MemMap!$A$4:$A$98,0)) = FALSE, INDEX(MemMap!$B$4:$B$98,MATCH(A435,MemMap!$A$4:$A$98,0)),IF(F435="Y","TunSetCalSeg",IF(G435="Y", "FlashCalSeg", IF(G435="N", "FlashAppSeg", ""))))</f>
        <v>FlashAppSeg</v>
      </c>
      <c r="O435" s="220"/>
      <c r="P435" s="220"/>
      <c r="Q435" s="221"/>
      <c r="R435" s="221"/>
    </row>
    <row r="436" spans="1:18" ht="33.75" x14ac:dyDescent="0.2">
      <c r="A436" s="224" t="s">
        <v>3051</v>
      </c>
      <c r="B436" s="225" t="s">
        <v>3052</v>
      </c>
      <c r="C436" s="226" t="s">
        <v>3026</v>
      </c>
      <c r="D436" s="226" t="s">
        <v>2187</v>
      </c>
      <c r="E436" s="226" t="s">
        <v>3053</v>
      </c>
      <c r="F436" s="227" t="s">
        <v>82</v>
      </c>
      <c r="G436" s="228" t="s">
        <v>82</v>
      </c>
      <c r="H436" s="228"/>
      <c r="I436" s="223">
        <v>7</v>
      </c>
      <c r="J436" s="229">
        <v>0.01</v>
      </c>
      <c r="K436" s="229">
        <v>500</v>
      </c>
      <c r="L436" s="229" t="s">
        <v>258</v>
      </c>
      <c r="M436" s="229" t="s">
        <v>257</v>
      </c>
      <c r="N436" s="230" t="str">
        <f>IF(ISERROR(MATCH(A436,MemMap!$A$4:$A$98,0)) = FALSE, INDEX(MemMap!$B$4:$B$98,MATCH(A436,MemMap!$A$4:$A$98,0)),IF(F436="Y","TunSetCalSeg",IF(G436="Y", "FlashCalSeg", IF(G436="N", "FlashAppSeg", ""))))</f>
        <v>FlashAppSeg</v>
      </c>
      <c r="O436" s="220"/>
      <c r="P436" s="220"/>
      <c r="Q436" s="221"/>
      <c r="R436" s="221"/>
    </row>
    <row r="437" spans="1:18" ht="33.75" x14ac:dyDescent="0.2">
      <c r="A437" s="224" t="s">
        <v>3028</v>
      </c>
      <c r="B437" s="225" t="s">
        <v>3029</v>
      </c>
      <c r="C437" s="226" t="s">
        <v>3026</v>
      </c>
      <c r="D437" s="226" t="s">
        <v>2187</v>
      </c>
      <c r="E437" s="226" t="s">
        <v>3030</v>
      </c>
      <c r="F437" s="227" t="s">
        <v>82</v>
      </c>
      <c r="G437" s="228" t="s">
        <v>82</v>
      </c>
      <c r="H437" s="228"/>
      <c r="I437" s="223" t="s">
        <v>3031</v>
      </c>
      <c r="J437" s="229">
        <v>0</v>
      </c>
      <c r="K437" s="229">
        <v>100</v>
      </c>
      <c r="L437" s="229" t="s">
        <v>256</v>
      </c>
      <c r="M437" s="229" t="s">
        <v>336</v>
      </c>
      <c r="N437" s="230" t="str">
        <f>IF(ISERROR(MATCH(A437,MemMap!$A$4:$A$98,0)) = FALSE, INDEX(MemMap!$B$4:$B$98,MATCH(A437,MemMap!$A$4:$A$98,0)),IF(F437="Y","TunSetCalSeg",IF(G437="Y", "FlashCalSeg", IF(G437="N", "FlashAppSeg", ""))))</f>
        <v>FlashAppSeg</v>
      </c>
      <c r="O437" s="220"/>
      <c r="P437" s="220"/>
      <c r="Q437" s="221"/>
      <c r="R437" s="221"/>
    </row>
    <row r="438" spans="1:18" ht="33.75" x14ac:dyDescent="0.2">
      <c r="A438" s="224" t="s">
        <v>3047</v>
      </c>
      <c r="B438" s="225" t="s">
        <v>3048</v>
      </c>
      <c r="C438" s="226" t="s">
        <v>3026</v>
      </c>
      <c r="D438" s="226" t="s">
        <v>2187</v>
      </c>
      <c r="E438" s="226" t="s">
        <v>3049</v>
      </c>
      <c r="F438" s="227" t="s">
        <v>82</v>
      </c>
      <c r="G438" s="228" t="s">
        <v>82</v>
      </c>
      <c r="H438" s="228"/>
      <c r="I438" s="223" t="s">
        <v>3050</v>
      </c>
      <c r="J438" s="229">
        <v>0</v>
      </c>
      <c r="K438" s="229">
        <v>1</v>
      </c>
      <c r="L438" s="229" t="s">
        <v>256</v>
      </c>
      <c r="M438" s="229" t="s">
        <v>253</v>
      </c>
      <c r="N438" s="230" t="str">
        <f>IF(ISERROR(MATCH(A438,MemMap!$A$4:$A$98,0)) = FALSE, INDEX(MemMap!$B$4:$B$98,MATCH(A438,MemMap!$A$4:$A$98,0)),IF(F438="Y","TunSetCalSeg",IF(G438="Y", "FlashCalSeg", IF(G438="N", "FlashAppSeg", ""))))</f>
        <v>FlashAppSeg</v>
      </c>
      <c r="O438" s="220"/>
      <c r="P438" s="220"/>
      <c r="Q438" s="221"/>
      <c r="R438" s="221"/>
    </row>
    <row r="439" spans="1:18" ht="33.75" x14ac:dyDescent="0.2">
      <c r="A439" s="224" t="s">
        <v>3023</v>
      </c>
      <c r="B439" s="225" t="s">
        <v>3024</v>
      </c>
      <c r="C439" s="226" t="s">
        <v>3026</v>
      </c>
      <c r="D439" s="226" t="s">
        <v>2187</v>
      </c>
      <c r="E439" s="226" t="s">
        <v>3025</v>
      </c>
      <c r="F439" s="227" t="s">
        <v>82</v>
      </c>
      <c r="G439" s="228" t="s">
        <v>82</v>
      </c>
      <c r="H439" s="228"/>
      <c r="I439" s="223" t="s">
        <v>3027</v>
      </c>
      <c r="J439" s="229">
        <v>0</v>
      </c>
      <c r="K439" s="229">
        <v>511.9921875</v>
      </c>
      <c r="L439" s="229" t="s">
        <v>296</v>
      </c>
      <c r="M439" s="229" t="s">
        <v>336</v>
      </c>
      <c r="N439" s="230" t="str">
        <f>IF(ISERROR(MATCH(A439,MemMap!$A$4:$A$98,0)) = FALSE, INDEX(MemMap!$B$4:$B$98,MATCH(A439,MemMap!$A$4:$A$98,0)),IF(F439="Y","TunSetCalSeg",IF(G439="Y", "FlashCalSeg", IF(G439="N", "FlashAppSeg", ""))))</f>
        <v>FlashAppSeg</v>
      </c>
      <c r="O439" s="220"/>
      <c r="P439" s="220"/>
      <c r="Q439" s="221"/>
      <c r="R439" s="221"/>
    </row>
    <row r="440" spans="1:18" ht="33.75" x14ac:dyDescent="0.2">
      <c r="A440" s="224" t="s">
        <v>3032</v>
      </c>
      <c r="B440" s="225" t="s">
        <v>3033</v>
      </c>
      <c r="C440" s="226" t="s">
        <v>3026</v>
      </c>
      <c r="D440" s="226" t="s">
        <v>2187</v>
      </c>
      <c r="E440" s="226" t="s">
        <v>3034</v>
      </c>
      <c r="F440" s="227" t="s">
        <v>82</v>
      </c>
      <c r="G440" s="228" t="s">
        <v>82</v>
      </c>
      <c r="H440" s="228"/>
      <c r="I440" s="223" t="s">
        <v>3035</v>
      </c>
      <c r="J440" s="229">
        <v>0</v>
      </c>
      <c r="K440" s="229">
        <v>10</v>
      </c>
      <c r="L440" s="229" t="s">
        <v>261</v>
      </c>
      <c r="M440" s="229" t="s">
        <v>253</v>
      </c>
      <c r="N440" s="230" t="str">
        <f>IF(ISERROR(MATCH(A440,MemMap!$A$4:$A$98,0)) = FALSE, INDEX(MemMap!$B$4:$B$98,MATCH(A440,MemMap!$A$4:$A$98,0)),IF(F440="Y","TunSetCalSeg",IF(G440="Y", "FlashCalSeg", IF(G440="N", "FlashAppSeg", ""))))</f>
        <v>FlashAppSeg</v>
      </c>
      <c r="O440" s="220"/>
      <c r="P440" s="220"/>
      <c r="Q440" s="221"/>
      <c r="R440" s="221"/>
    </row>
    <row r="441" spans="1:18" ht="33.75" x14ac:dyDescent="0.2">
      <c r="A441" s="224" t="s">
        <v>3036</v>
      </c>
      <c r="B441" s="225" t="s">
        <v>3037</v>
      </c>
      <c r="C441" s="226" t="s">
        <v>3026</v>
      </c>
      <c r="D441" s="226" t="s">
        <v>2187</v>
      </c>
      <c r="E441" s="226" t="s">
        <v>3038</v>
      </c>
      <c r="F441" s="227" t="s">
        <v>82</v>
      </c>
      <c r="G441" s="228" t="s">
        <v>82</v>
      </c>
      <c r="H441" s="228"/>
      <c r="I441" s="223" t="s">
        <v>3039</v>
      </c>
      <c r="J441" s="229">
        <v>-100</v>
      </c>
      <c r="K441" s="229">
        <v>100</v>
      </c>
      <c r="L441" s="229" t="s">
        <v>804</v>
      </c>
      <c r="M441" s="229" t="s">
        <v>760</v>
      </c>
      <c r="N441" s="230" t="str">
        <f>IF(ISERROR(MATCH(A441,MemMap!$A$4:$A$98,0)) = FALSE, INDEX(MemMap!$B$4:$B$98,MATCH(A441,MemMap!$A$4:$A$98,0)),IF(F441="Y","TunSetCalSeg",IF(G441="Y", "FlashCalSeg", IF(G441="N", "FlashAppSeg", ""))))</f>
        <v>FlashAppSeg</v>
      </c>
      <c r="O441" s="220"/>
      <c r="P441" s="220"/>
      <c r="Q441" s="221"/>
      <c r="R441" s="221"/>
    </row>
    <row r="442" spans="1:18" ht="33.75" x14ac:dyDescent="0.2">
      <c r="A442" s="224" t="s">
        <v>3040</v>
      </c>
      <c r="B442" s="225" t="s">
        <v>3041</v>
      </c>
      <c r="C442" s="226" t="s">
        <v>3026</v>
      </c>
      <c r="D442" s="226" t="s">
        <v>2187</v>
      </c>
      <c r="E442" s="226" t="s">
        <v>3042</v>
      </c>
      <c r="F442" s="227" t="s">
        <v>82</v>
      </c>
      <c r="G442" s="228" t="s">
        <v>82</v>
      </c>
      <c r="H442" s="228"/>
      <c r="I442" s="223" t="s">
        <v>3043</v>
      </c>
      <c r="J442" s="229">
        <v>0</v>
      </c>
      <c r="K442" s="229">
        <v>10</v>
      </c>
      <c r="L442" s="229" t="s">
        <v>261</v>
      </c>
      <c r="M442" s="229" t="s">
        <v>253</v>
      </c>
      <c r="N442" s="230" t="str">
        <f>IF(ISERROR(MATCH(A442,MemMap!$A$4:$A$98,0)) = FALSE, INDEX(MemMap!$B$4:$B$98,MATCH(A442,MemMap!$A$4:$A$98,0)),IF(F442="Y","TunSetCalSeg",IF(G442="Y", "FlashCalSeg", IF(G442="N", "FlashAppSeg", ""))))</f>
        <v>FlashAppSeg</v>
      </c>
      <c r="O442" s="220"/>
      <c r="P442" s="220"/>
      <c r="Q442" s="221"/>
      <c r="R442" s="221"/>
    </row>
    <row r="443" spans="1:18" ht="33.75" x14ac:dyDescent="0.2">
      <c r="A443" s="224" t="s">
        <v>3044</v>
      </c>
      <c r="B443" s="225" t="s">
        <v>3045</v>
      </c>
      <c r="C443" s="226" t="s">
        <v>3026</v>
      </c>
      <c r="D443" s="226" t="s">
        <v>2187</v>
      </c>
      <c r="E443" s="226" t="s">
        <v>3046</v>
      </c>
      <c r="F443" s="227" t="s">
        <v>82</v>
      </c>
      <c r="G443" s="228" t="s">
        <v>82</v>
      </c>
      <c r="H443" s="228"/>
      <c r="I443" s="223" t="s">
        <v>3075</v>
      </c>
      <c r="J443" s="229">
        <v>-100</v>
      </c>
      <c r="K443" s="229">
        <v>100</v>
      </c>
      <c r="L443" s="229" t="s">
        <v>804</v>
      </c>
      <c r="M443" s="229" t="s">
        <v>760</v>
      </c>
      <c r="N443" s="230" t="str">
        <f>IF(ISERROR(MATCH(A443,MemMap!$A$4:$A$98,0)) = FALSE, INDEX(MemMap!$B$4:$B$98,MATCH(A443,MemMap!$A$4:$A$98,0)),IF(F443="Y","TunSetCalSeg",IF(G443="Y", "FlashCalSeg", IF(G443="N", "FlashAppSeg", ""))))</f>
        <v>FlashAppSeg</v>
      </c>
      <c r="O443" s="220"/>
      <c r="P443" s="220"/>
      <c r="Q443" s="221"/>
      <c r="R443" s="221"/>
    </row>
    <row r="444" spans="1:18" ht="33.75" x14ac:dyDescent="0.2">
      <c r="A444" s="224" t="s">
        <v>2665</v>
      </c>
      <c r="B444" s="225" t="s">
        <v>2666</v>
      </c>
      <c r="C444" s="226" t="s">
        <v>2668</v>
      </c>
      <c r="D444" s="226" t="s">
        <v>2580</v>
      </c>
      <c r="E444" s="226" t="s">
        <v>2667</v>
      </c>
      <c r="F444" s="227" t="s">
        <v>82</v>
      </c>
      <c r="G444" s="228" t="s">
        <v>82</v>
      </c>
      <c r="H444" s="228"/>
      <c r="I444" s="223">
        <v>0.54347999999999996</v>
      </c>
      <c r="J444" s="229">
        <v>0</v>
      </c>
      <c r="K444" s="229">
        <v>20</v>
      </c>
      <c r="L444" s="229" t="s">
        <v>261</v>
      </c>
      <c r="M444" s="229" t="s">
        <v>257</v>
      </c>
      <c r="N444" s="230" t="str">
        <f>IF(ISERROR(MATCH(A444,MemMap!$A$4:$A$98,0)) = FALSE, INDEX(MemMap!$B$4:$B$98,MATCH(A444,MemMap!$A$4:$A$98,0)),IF(F444="Y","TunSetCalSeg",IF(G444="Y", "FlashCalSeg", IF(G444="N", "FlashAppSeg", ""))))</f>
        <v>FlashAppSeg</v>
      </c>
      <c r="O444" s="220"/>
      <c r="P444" s="220"/>
      <c r="Q444" s="221"/>
      <c r="R444" s="221"/>
    </row>
    <row r="445" spans="1:18" ht="33.75" x14ac:dyDescent="0.2">
      <c r="A445" s="224" t="s">
        <v>2654</v>
      </c>
      <c r="B445" s="225" t="s">
        <v>2654</v>
      </c>
      <c r="C445" s="226" t="s">
        <v>2635</v>
      </c>
      <c r="D445" s="226" t="s">
        <v>2579</v>
      </c>
      <c r="E445" s="226" t="s">
        <v>2655</v>
      </c>
      <c r="F445" s="227" t="s">
        <v>82</v>
      </c>
      <c r="G445" s="228" t="s">
        <v>82</v>
      </c>
      <c r="H445" s="228"/>
      <c r="I445" s="223">
        <v>0.28571429999999998</v>
      </c>
      <c r="J445" s="229">
        <v>0</v>
      </c>
      <c r="K445" s="229">
        <v>20</v>
      </c>
      <c r="L445" s="229" t="s">
        <v>261</v>
      </c>
      <c r="M445" s="229" t="s">
        <v>257</v>
      </c>
      <c r="N445" s="230" t="str">
        <f>IF(ISERROR(MATCH(A445,MemMap!$A$4:$A$98,0)) = FALSE, INDEX(MemMap!$B$4:$B$98,MATCH(A445,MemMap!$A$4:$A$98,0)),IF(F445="Y","TunSetCalSeg",IF(G445="Y", "FlashCalSeg", IF(G445="N", "FlashAppSeg", ""))))</f>
        <v>FlashAppSeg</v>
      </c>
      <c r="O445" s="220"/>
      <c r="P445" s="220"/>
      <c r="Q445" s="221"/>
      <c r="R445" s="221"/>
    </row>
    <row r="446" spans="1:18" ht="33.75" x14ac:dyDescent="0.2">
      <c r="A446" s="224" t="s">
        <v>2633</v>
      </c>
      <c r="B446" s="225" t="s">
        <v>2633</v>
      </c>
      <c r="C446" s="226" t="s">
        <v>2635</v>
      </c>
      <c r="D446" s="226" t="s">
        <v>2579</v>
      </c>
      <c r="E446" s="226" t="s">
        <v>2634</v>
      </c>
      <c r="F446" s="227" t="s">
        <v>82</v>
      </c>
      <c r="G446" s="228" t="s">
        <v>82</v>
      </c>
      <c r="H446" s="228"/>
      <c r="I446" s="223">
        <v>1.9894370000000001E-2</v>
      </c>
      <c r="J446" s="229">
        <v>0</v>
      </c>
      <c r="K446" s="229">
        <v>37.5</v>
      </c>
      <c r="L446" s="229" t="s">
        <v>258</v>
      </c>
      <c r="M446" s="229" t="s">
        <v>257</v>
      </c>
      <c r="N446" s="230" t="str">
        <f>IF(ISERROR(MATCH(A446,MemMap!$A$4:$A$98,0)) = FALSE, INDEX(MemMap!$B$4:$B$98,MATCH(A446,MemMap!$A$4:$A$98,0)),IF(F446="Y","TunSetCalSeg",IF(G446="Y", "FlashCalSeg", IF(G446="N", "FlashAppSeg", ""))))</f>
        <v>FlashAppSeg</v>
      </c>
      <c r="O446" s="220"/>
      <c r="P446" s="220"/>
      <c r="Q446" s="221"/>
      <c r="R446" s="221"/>
    </row>
    <row r="447" spans="1:18" ht="33.75" x14ac:dyDescent="0.2">
      <c r="A447" s="224" t="s">
        <v>2636</v>
      </c>
      <c r="B447" s="225" t="s">
        <v>2636</v>
      </c>
      <c r="C447" s="226" t="s">
        <v>2635</v>
      </c>
      <c r="D447" s="226" t="s">
        <v>2579</v>
      </c>
      <c r="E447" s="226" t="s">
        <v>2637</v>
      </c>
      <c r="F447" s="227" t="s">
        <v>82</v>
      </c>
      <c r="G447" s="228" t="s">
        <v>82</v>
      </c>
      <c r="H447" s="228"/>
      <c r="I447" s="223">
        <v>0.57140000000000002</v>
      </c>
      <c r="J447" s="229">
        <v>0</v>
      </c>
      <c r="K447" s="229">
        <v>20</v>
      </c>
      <c r="L447" s="229" t="s">
        <v>261</v>
      </c>
      <c r="M447" s="229" t="s">
        <v>257</v>
      </c>
      <c r="N447" s="230" t="str">
        <f>IF(ISERROR(MATCH(A447,MemMap!$A$4:$A$98,0)) = FALSE, INDEX(MemMap!$B$4:$B$98,MATCH(A447,MemMap!$A$4:$A$98,0)),IF(F447="Y","TunSetCalSeg",IF(G447="Y", "FlashCalSeg", IF(G447="N", "FlashAppSeg", ""))))</f>
        <v>FlashAppSeg</v>
      </c>
      <c r="O447" s="220"/>
      <c r="P447" s="220"/>
      <c r="Q447" s="221"/>
      <c r="R447" s="221"/>
    </row>
    <row r="448" spans="1:18" ht="33.75" x14ac:dyDescent="0.2">
      <c r="A448" s="224" t="s">
        <v>2638</v>
      </c>
      <c r="B448" s="225" t="s">
        <v>2638</v>
      </c>
      <c r="C448" s="226" t="s">
        <v>2635</v>
      </c>
      <c r="D448" s="226" t="s">
        <v>2579</v>
      </c>
      <c r="E448" s="226" t="s">
        <v>2639</v>
      </c>
      <c r="F448" s="227" t="s">
        <v>82</v>
      </c>
      <c r="G448" s="228" t="s">
        <v>82</v>
      </c>
      <c r="H448" s="228"/>
      <c r="I448" s="223">
        <v>2.85</v>
      </c>
      <c r="J448" s="229">
        <v>0</v>
      </c>
      <c r="K448" s="229">
        <v>20</v>
      </c>
      <c r="L448" s="229" t="s">
        <v>261</v>
      </c>
      <c r="M448" s="229" t="s">
        <v>257</v>
      </c>
      <c r="N448" s="230" t="str">
        <f>IF(ISERROR(MATCH(A448,MemMap!$A$4:$A$98,0)) = FALSE, INDEX(MemMap!$B$4:$B$98,MATCH(A448,MemMap!$A$4:$A$98,0)),IF(F448="Y","TunSetCalSeg",IF(G448="Y", "FlashCalSeg", IF(G448="N", "FlashAppSeg", ""))))</f>
        <v>FlashAppSeg</v>
      </c>
      <c r="O448" s="220"/>
      <c r="P448" s="220"/>
      <c r="Q448" s="221"/>
      <c r="R448" s="221"/>
    </row>
    <row r="449" spans="1:18" ht="33.75" x14ac:dyDescent="0.2">
      <c r="A449" s="224" t="s">
        <v>2640</v>
      </c>
      <c r="B449" s="225" t="s">
        <v>2640</v>
      </c>
      <c r="C449" s="226" t="s">
        <v>2635</v>
      </c>
      <c r="D449" s="226" t="s">
        <v>2579</v>
      </c>
      <c r="E449" s="226" t="s">
        <v>2641</v>
      </c>
      <c r="F449" s="227" t="s">
        <v>82</v>
      </c>
      <c r="G449" s="228" t="s">
        <v>82</v>
      </c>
      <c r="H449" s="228"/>
      <c r="I449" s="223">
        <v>2</v>
      </c>
      <c r="J449" s="229">
        <v>0</v>
      </c>
      <c r="K449" s="229">
        <v>20</v>
      </c>
      <c r="L449" s="229" t="s">
        <v>261</v>
      </c>
      <c r="M449" s="229" t="s">
        <v>257</v>
      </c>
      <c r="N449" s="230" t="str">
        <f>IF(ISERROR(MATCH(A449,MemMap!$A$4:$A$98,0)) = FALSE, INDEX(MemMap!$B$4:$B$98,MATCH(A449,MemMap!$A$4:$A$98,0)),IF(F449="Y","TunSetCalSeg",IF(G449="Y", "FlashCalSeg", IF(G449="N", "FlashAppSeg", ""))))</f>
        <v>FlashAppSeg</v>
      </c>
      <c r="O449" s="220"/>
      <c r="P449" s="220"/>
      <c r="Q449" s="221"/>
      <c r="R449" s="221"/>
    </row>
    <row r="450" spans="1:18" ht="33.75" x14ac:dyDescent="0.2">
      <c r="A450" s="224" t="s">
        <v>2642</v>
      </c>
      <c r="B450" s="225" t="s">
        <v>2642</v>
      </c>
      <c r="C450" s="226" t="s">
        <v>2635</v>
      </c>
      <c r="D450" s="226" t="s">
        <v>2579</v>
      </c>
      <c r="E450" s="226" t="s">
        <v>2643</v>
      </c>
      <c r="F450" s="227" t="s">
        <v>82</v>
      </c>
      <c r="G450" s="228" t="s">
        <v>82</v>
      </c>
      <c r="H450" s="228"/>
      <c r="I450" s="223">
        <v>1.9894370000000001E-2</v>
      </c>
      <c r="J450" s="229">
        <v>0</v>
      </c>
      <c r="K450" s="229">
        <v>37.5</v>
      </c>
      <c r="L450" s="229" t="s">
        <v>258</v>
      </c>
      <c r="M450" s="229" t="s">
        <v>257</v>
      </c>
      <c r="N450" s="230" t="str">
        <f>IF(ISERROR(MATCH(A450,MemMap!$A$4:$A$98,0)) = FALSE, INDEX(MemMap!$B$4:$B$98,MATCH(A450,MemMap!$A$4:$A$98,0)),IF(F450="Y","TunSetCalSeg",IF(G450="Y", "FlashCalSeg", IF(G450="N", "FlashAppSeg", ""))))</f>
        <v>FlashAppSeg</v>
      </c>
      <c r="O450" s="220"/>
      <c r="P450" s="220"/>
      <c r="Q450" s="221"/>
      <c r="R450" s="221"/>
    </row>
    <row r="451" spans="1:18" ht="33.75" x14ac:dyDescent="0.2">
      <c r="A451" s="224" t="s">
        <v>2644</v>
      </c>
      <c r="B451" s="225" t="s">
        <v>2644</v>
      </c>
      <c r="C451" s="226" t="s">
        <v>2635</v>
      </c>
      <c r="D451" s="226" t="s">
        <v>2579</v>
      </c>
      <c r="E451" s="226" t="s">
        <v>2645</v>
      </c>
      <c r="F451" s="227" t="s">
        <v>82</v>
      </c>
      <c r="G451" s="228" t="s">
        <v>82</v>
      </c>
      <c r="H451" s="228"/>
      <c r="I451" s="223">
        <v>2.5150000000000001</v>
      </c>
      <c r="J451" s="229">
        <v>0</v>
      </c>
      <c r="K451" s="229">
        <v>20</v>
      </c>
      <c r="L451" s="229" t="s">
        <v>261</v>
      </c>
      <c r="M451" s="229" t="s">
        <v>257</v>
      </c>
      <c r="N451" s="230" t="str">
        <f>IF(ISERROR(MATCH(A451,MemMap!$A$4:$A$98,0)) = FALSE, INDEX(MemMap!$B$4:$B$98,MATCH(A451,MemMap!$A$4:$A$98,0)),IF(F451="Y","TunSetCalSeg",IF(G451="Y", "FlashCalSeg", IF(G451="N", "FlashAppSeg", ""))))</f>
        <v>FlashAppSeg</v>
      </c>
      <c r="O451" s="220"/>
      <c r="P451" s="220"/>
      <c r="Q451" s="221"/>
      <c r="R451" s="221"/>
    </row>
    <row r="452" spans="1:18" ht="22.5" x14ac:dyDescent="0.2">
      <c r="A452" s="224" t="s">
        <v>2646</v>
      </c>
      <c r="B452" s="225" t="s">
        <v>2646</v>
      </c>
      <c r="C452" s="226" t="s">
        <v>2635</v>
      </c>
      <c r="D452" s="226" t="s">
        <v>2579</v>
      </c>
      <c r="E452" s="226" t="s">
        <v>2647</v>
      </c>
      <c r="F452" s="227" t="s">
        <v>82</v>
      </c>
      <c r="G452" s="228" t="s">
        <v>82</v>
      </c>
      <c r="H452" s="228"/>
      <c r="I452" s="223">
        <v>2.85</v>
      </c>
      <c r="J452" s="229">
        <v>0</v>
      </c>
      <c r="K452" s="229">
        <v>20</v>
      </c>
      <c r="L452" s="229" t="s">
        <v>261</v>
      </c>
      <c r="M452" s="229" t="s">
        <v>257</v>
      </c>
      <c r="N452" s="230" t="str">
        <f>IF(ISERROR(MATCH(A452,MemMap!$A$4:$A$98,0)) = FALSE, INDEX(MemMap!$B$4:$B$98,MATCH(A452,MemMap!$A$4:$A$98,0)),IF(F452="Y","TunSetCalSeg",IF(G452="Y", "FlashCalSeg", IF(G452="N", "FlashAppSeg", ""))))</f>
        <v>FlashAppSeg</v>
      </c>
      <c r="O452" s="220"/>
      <c r="P452" s="220"/>
      <c r="Q452" s="221"/>
      <c r="R452" s="221"/>
    </row>
    <row r="453" spans="1:18" ht="22.5" x14ac:dyDescent="0.2">
      <c r="A453" s="224" t="s">
        <v>2648</v>
      </c>
      <c r="B453" s="225" t="s">
        <v>2648</v>
      </c>
      <c r="C453" s="226" t="s">
        <v>2635</v>
      </c>
      <c r="D453" s="226" t="s">
        <v>2579</v>
      </c>
      <c r="E453" s="226" t="s">
        <v>2649</v>
      </c>
      <c r="F453" s="227" t="s">
        <v>82</v>
      </c>
      <c r="G453" s="228" t="s">
        <v>82</v>
      </c>
      <c r="H453" s="228"/>
      <c r="I453" s="223">
        <v>10</v>
      </c>
      <c r="J453" s="229">
        <v>0</v>
      </c>
      <c r="K453" s="229">
        <v>10</v>
      </c>
      <c r="L453" s="229" t="s">
        <v>261</v>
      </c>
      <c r="M453" s="229" t="s">
        <v>257</v>
      </c>
      <c r="N453" s="230" t="str">
        <f>IF(ISERROR(MATCH(A453,MemMap!$A$4:$A$98,0)) = FALSE, INDEX(MemMap!$B$4:$B$98,MATCH(A453,MemMap!$A$4:$A$98,0)),IF(F453="Y","TunSetCalSeg",IF(G453="Y", "FlashCalSeg", IF(G453="N", "FlashAppSeg", ""))))</f>
        <v>FlashAppSeg</v>
      </c>
      <c r="O453" s="220"/>
      <c r="P453" s="220"/>
      <c r="Q453" s="221"/>
      <c r="R453" s="221"/>
    </row>
    <row r="454" spans="1:18" ht="22.5" x14ac:dyDescent="0.2">
      <c r="A454" s="224" t="s">
        <v>2650</v>
      </c>
      <c r="B454" s="225" t="s">
        <v>2650</v>
      </c>
      <c r="C454" s="226" t="s">
        <v>2635</v>
      </c>
      <c r="D454" s="226" t="s">
        <v>2579</v>
      </c>
      <c r="E454" s="226" t="s">
        <v>2651</v>
      </c>
      <c r="F454" s="227" t="s">
        <v>82</v>
      </c>
      <c r="G454" s="228" t="s">
        <v>82</v>
      </c>
      <c r="H454" s="228"/>
      <c r="I454" s="223">
        <v>1.425</v>
      </c>
      <c r="J454" s="229">
        <v>0</v>
      </c>
      <c r="K454" s="229">
        <v>20</v>
      </c>
      <c r="L454" s="229" t="s">
        <v>261</v>
      </c>
      <c r="M454" s="229" t="s">
        <v>257</v>
      </c>
      <c r="N454" s="230" t="str">
        <f>IF(ISERROR(MATCH(A454,MemMap!$A$4:$A$98,0)) = FALSE, INDEX(MemMap!$B$4:$B$98,MATCH(A454,MemMap!$A$4:$A$98,0)),IF(F454="Y","TunSetCalSeg",IF(G454="Y", "FlashCalSeg", IF(G454="N", "FlashAppSeg", ""))))</f>
        <v>FlashAppSeg</v>
      </c>
      <c r="O454" s="220"/>
      <c r="P454" s="220"/>
      <c r="Q454" s="221"/>
      <c r="R454" s="221"/>
    </row>
    <row r="455" spans="1:18" ht="22.5" x14ac:dyDescent="0.2">
      <c r="A455" s="224" t="s">
        <v>2652</v>
      </c>
      <c r="B455" s="225" t="s">
        <v>2652</v>
      </c>
      <c r="C455" s="226" t="s">
        <v>2635</v>
      </c>
      <c r="D455" s="226" t="s">
        <v>2579</v>
      </c>
      <c r="E455" s="226" t="s">
        <v>2653</v>
      </c>
      <c r="F455" s="227" t="s">
        <v>82</v>
      </c>
      <c r="G455" s="228" t="s">
        <v>82</v>
      </c>
      <c r="H455" s="228"/>
      <c r="I455" s="223">
        <v>2.85</v>
      </c>
      <c r="J455" s="229">
        <v>0</v>
      </c>
      <c r="K455" s="229">
        <v>20</v>
      </c>
      <c r="L455" s="229" t="s">
        <v>261</v>
      </c>
      <c r="M455" s="229" t="s">
        <v>257</v>
      </c>
      <c r="N455" s="230" t="str">
        <f>IF(ISERROR(MATCH(A455,MemMap!$A$4:$A$98,0)) = FALSE, INDEX(MemMap!$B$4:$B$98,MATCH(A455,MemMap!$A$4:$A$98,0)),IF(F455="Y","TunSetCalSeg",IF(G455="Y", "FlashCalSeg", IF(G455="N", "FlashAppSeg", ""))))</f>
        <v>FlashAppSeg</v>
      </c>
      <c r="O455" s="220"/>
      <c r="P455" s="220"/>
      <c r="Q455" s="221"/>
      <c r="R455" s="221"/>
    </row>
    <row r="456" spans="1:18" ht="45" x14ac:dyDescent="0.2">
      <c r="A456" s="224" t="s">
        <v>2656</v>
      </c>
      <c r="B456" s="225" t="s">
        <v>2657</v>
      </c>
      <c r="C456" s="226" t="s">
        <v>2635</v>
      </c>
      <c r="D456" s="226" t="s">
        <v>2579</v>
      </c>
      <c r="E456" s="226" t="s">
        <v>2658</v>
      </c>
      <c r="F456" s="227" t="s">
        <v>82</v>
      </c>
      <c r="G456" s="228" t="s">
        <v>82</v>
      </c>
      <c r="H456" s="228"/>
      <c r="I456" s="223" t="s">
        <v>2663</v>
      </c>
      <c r="J456" s="229">
        <v>0</v>
      </c>
      <c r="K456" s="229">
        <v>37.5</v>
      </c>
      <c r="L456" s="229" t="s">
        <v>258</v>
      </c>
      <c r="M456" s="229" t="s">
        <v>949</v>
      </c>
      <c r="N456" s="230" t="str">
        <f>IF(ISERROR(MATCH(A456,MemMap!$A$4:$A$98,0)) = FALSE, INDEX(MemMap!$B$4:$B$98,MATCH(A456,MemMap!$A$4:$A$98,0)),IF(F456="Y","TunSetCalSeg",IF(G456="Y", "FlashCalSeg", IF(G456="N", "FlashAppSeg", ""))))</f>
        <v>FlashAppSeg</v>
      </c>
      <c r="O456" s="220"/>
      <c r="P456" s="220"/>
      <c r="Q456" s="221"/>
      <c r="R456" s="221"/>
    </row>
    <row r="457" spans="1:18" ht="45" x14ac:dyDescent="0.2">
      <c r="A457" s="224" t="s">
        <v>2659</v>
      </c>
      <c r="B457" s="225" t="s">
        <v>2660</v>
      </c>
      <c r="C457" s="226" t="s">
        <v>2635</v>
      </c>
      <c r="D457" s="226" t="s">
        <v>2579</v>
      </c>
      <c r="E457" s="226" t="s">
        <v>2658</v>
      </c>
      <c r="F457" s="227" t="s">
        <v>82</v>
      </c>
      <c r="G457" s="228" t="s">
        <v>82</v>
      </c>
      <c r="H457" s="228"/>
      <c r="I457" s="223" t="s">
        <v>2661</v>
      </c>
      <c r="J457" s="229">
        <v>0</v>
      </c>
      <c r="K457" s="229">
        <v>20</v>
      </c>
      <c r="L457" s="229" t="s">
        <v>261</v>
      </c>
      <c r="M457" s="229" t="s">
        <v>254</v>
      </c>
      <c r="N457" s="230" t="str">
        <f>IF(ISERROR(MATCH(A457,MemMap!$A$4:$A$98,0)) = FALSE, INDEX(MemMap!$B$4:$B$98,MATCH(A457,MemMap!$A$4:$A$98,0)),IF(F457="Y","TunSetCalSeg",IF(G457="Y", "FlashCalSeg", IF(G457="N", "FlashAppSeg", ""))))</f>
        <v>FlashAppSeg</v>
      </c>
      <c r="O457" s="220"/>
      <c r="P457" s="220"/>
      <c r="Q457" s="221"/>
      <c r="R457" s="221"/>
    </row>
    <row r="458" spans="1:18" ht="33.75" x14ac:dyDescent="0.2">
      <c r="A458" s="224" t="s">
        <v>999</v>
      </c>
      <c r="B458" s="225" t="s">
        <v>1000</v>
      </c>
      <c r="C458" s="226" t="s">
        <v>998</v>
      </c>
      <c r="D458" s="226" t="s">
        <v>201</v>
      </c>
      <c r="E458" s="226" t="s">
        <v>1001</v>
      </c>
      <c r="F458" s="227" t="s">
        <v>0</v>
      </c>
      <c r="G458" s="228" t="s">
        <v>81</v>
      </c>
      <c r="H458" s="228"/>
      <c r="I458" s="223">
        <v>50</v>
      </c>
      <c r="J458" s="229">
        <v>1</v>
      </c>
      <c r="K458" s="229">
        <v>50</v>
      </c>
      <c r="L458" s="229" t="s">
        <v>258</v>
      </c>
      <c r="M458" s="229" t="s">
        <v>257</v>
      </c>
      <c r="N458" s="230" t="str">
        <f>IF(ISERROR(MATCH(A458,MemMap!$A$4:$A$98,0)) = FALSE, INDEX(MemMap!$B$4:$B$98,MATCH(A458,MemMap!$A$4:$A$98,0)),IF(F458="Y","TunSetCalSeg",IF(G458="Y", "FlashCalSeg", IF(G458="N", "FlashAppSeg", ""))))</f>
        <v>FlashCalSeg</v>
      </c>
      <c r="O458" s="220"/>
      <c r="P458" s="220"/>
      <c r="Q458" s="221"/>
      <c r="R458" s="221"/>
    </row>
    <row r="459" spans="1:18" ht="33.75" x14ac:dyDescent="0.2">
      <c r="A459" s="224" t="s">
        <v>995</v>
      </c>
      <c r="B459" s="225" t="s">
        <v>996</v>
      </c>
      <c r="C459" s="226" t="s">
        <v>998</v>
      </c>
      <c r="D459" s="226" t="s">
        <v>201</v>
      </c>
      <c r="E459" s="226" t="s">
        <v>997</v>
      </c>
      <c r="F459" s="227" t="s">
        <v>0</v>
      </c>
      <c r="G459" s="228" t="s">
        <v>81</v>
      </c>
      <c r="H459" s="228"/>
      <c r="I459" s="223">
        <v>50</v>
      </c>
      <c r="J459" s="229">
        <v>1</v>
      </c>
      <c r="K459" s="229">
        <v>50</v>
      </c>
      <c r="L459" s="229" t="s">
        <v>258</v>
      </c>
      <c r="M459" s="229" t="s">
        <v>257</v>
      </c>
      <c r="N459" s="230" t="str">
        <f>IF(ISERROR(MATCH(A459,MemMap!$A$4:$A$98,0)) = FALSE, INDEX(MemMap!$B$4:$B$98,MATCH(A459,MemMap!$A$4:$A$98,0)),IF(F459="Y","TunSetCalSeg",IF(G459="Y", "FlashCalSeg", IF(G459="N", "FlashAppSeg", ""))))</f>
        <v>FlashCalSeg</v>
      </c>
      <c r="O459" s="220"/>
      <c r="P459" s="220"/>
      <c r="Q459" s="221"/>
      <c r="R459" s="221"/>
    </row>
    <row r="460" spans="1:18" ht="33.75" x14ac:dyDescent="0.2">
      <c r="A460" s="224" t="s">
        <v>1002</v>
      </c>
      <c r="B460" s="225" t="s">
        <v>1003</v>
      </c>
      <c r="C460" s="226" t="s">
        <v>998</v>
      </c>
      <c r="D460" s="226" t="s">
        <v>201</v>
      </c>
      <c r="E460" s="226" t="s">
        <v>1004</v>
      </c>
      <c r="F460" s="227" t="s">
        <v>0</v>
      </c>
      <c r="G460" s="228" t="s">
        <v>81</v>
      </c>
      <c r="H460" s="228"/>
      <c r="I460" s="223">
        <v>50</v>
      </c>
      <c r="J460" s="229">
        <v>1</v>
      </c>
      <c r="K460" s="229">
        <v>50</v>
      </c>
      <c r="L460" s="229" t="s">
        <v>258</v>
      </c>
      <c r="M460" s="229" t="s">
        <v>257</v>
      </c>
      <c r="N460" s="230" t="str">
        <f>IF(ISERROR(MATCH(A460,MemMap!$A$4:$A$98,0)) = FALSE, INDEX(MemMap!$B$4:$B$98,MATCH(A460,MemMap!$A$4:$A$98,0)),IF(F460="Y","TunSetCalSeg",IF(G460="Y", "FlashCalSeg", IF(G460="N", "FlashAppSeg", ""))))</f>
        <v>FlashCalSeg</v>
      </c>
      <c r="O460" s="220"/>
      <c r="P460" s="220"/>
      <c r="Q460" s="221"/>
      <c r="R460" s="221"/>
    </row>
    <row r="461" spans="1:18" ht="33.75" x14ac:dyDescent="0.2">
      <c r="A461" s="224" t="s">
        <v>1044</v>
      </c>
      <c r="B461" s="225" t="s">
        <v>1045</v>
      </c>
      <c r="C461" s="226" t="s">
        <v>998</v>
      </c>
      <c r="D461" s="226" t="s">
        <v>201</v>
      </c>
      <c r="E461" s="226" t="s">
        <v>1046</v>
      </c>
      <c r="F461" s="227" t="s">
        <v>0</v>
      </c>
      <c r="G461" s="228" t="s">
        <v>81</v>
      </c>
      <c r="H461" s="228"/>
      <c r="I461" s="223">
        <v>16</v>
      </c>
      <c r="J461" s="229">
        <v>0</v>
      </c>
      <c r="K461" s="229">
        <v>20</v>
      </c>
      <c r="L461" s="229" t="s">
        <v>261</v>
      </c>
      <c r="M461" s="229" t="s">
        <v>257</v>
      </c>
      <c r="N461" s="230" t="str">
        <f>IF(ISERROR(MATCH(A461,MemMap!$A$4:$A$98,0)) = FALSE, INDEX(MemMap!$B$4:$B$98,MATCH(A461,MemMap!$A$4:$A$98,0)),IF(F461="Y","TunSetCalSeg",IF(G461="Y", "FlashCalSeg", IF(G461="N", "FlashAppSeg", ""))))</f>
        <v>FlashCalSeg</v>
      </c>
      <c r="O461" s="220"/>
      <c r="P461" s="220"/>
      <c r="Q461" s="221"/>
      <c r="R461" s="221"/>
    </row>
    <row r="462" spans="1:18" ht="90" x14ac:dyDescent="0.2">
      <c r="A462" s="224" t="s">
        <v>1005</v>
      </c>
      <c r="B462" s="225" t="s">
        <v>1006</v>
      </c>
      <c r="C462" s="226" t="s">
        <v>998</v>
      </c>
      <c r="D462" s="226" t="s">
        <v>201</v>
      </c>
      <c r="E462" s="226" t="s">
        <v>1007</v>
      </c>
      <c r="F462" s="227" t="s">
        <v>0</v>
      </c>
      <c r="G462" s="228" t="s">
        <v>81</v>
      </c>
      <c r="H462" s="228"/>
      <c r="I462" s="223">
        <v>6</v>
      </c>
      <c r="J462" s="229">
        <v>0.1</v>
      </c>
      <c r="K462" s="229">
        <v>15</v>
      </c>
      <c r="L462" s="229" t="s">
        <v>1008</v>
      </c>
      <c r="M462" s="229" t="s">
        <v>257</v>
      </c>
      <c r="N462" s="230" t="str">
        <f>IF(ISERROR(MATCH(A462,MemMap!$A$4:$A$98,0)) = FALSE, INDEX(MemMap!$B$4:$B$98,MATCH(A462,MemMap!$A$4:$A$98,0)),IF(F462="Y","TunSetCalSeg",IF(G462="Y", "FlashCalSeg", IF(G462="N", "FlashAppSeg", ""))))</f>
        <v>FlashCalSeg</v>
      </c>
      <c r="O462" s="220"/>
      <c r="P462" s="220"/>
      <c r="Q462" s="221"/>
      <c r="R462" s="221"/>
    </row>
    <row r="463" spans="1:18" ht="33.75" x14ac:dyDescent="0.2">
      <c r="A463" s="224" t="s">
        <v>1009</v>
      </c>
      <c r="B463" s="225" t="s">
        <v>1010</v>
      </c>
      <c r="C463" s="226" t="s">
        <v>998</v>
      </c>
      <c r="D463" s="226" t="s">
        <v>201</v>
      </c>
      <c r="E463" s="226" t="s">
        <v>1011</v>
      </c>
      <c r="F463" s="227" t="s">
        <v>81</v>
      </c>
      <c r="G463" s="228" t="s">
        <v>81</v>
      </c>
      <c r="H463" s="228"/>
      <c r="I463" s="223">
        <v>100</v>
      </c>
      <c r="J463" s="229">
        <v>0</v>
      </c>
      <c r="K463" s="229">
        <v>255</v>
      </c>
      <c r="L463" s="229" t="s">
        <v>261</v>
      </c>
      <c r="M463" s="229" t="s">
        <v>336</v>
      </c>
      <c r="N463" s="230" t="str">
        <f>IF(ISERROR(MATCH(A463,MemMap!$A$4:$A$98,0)) = FALSE, INDEX(MemMap!$B$4:$B$98,MATCH(A463,MemMap!$A$4:$A$98,0)),IF(F463="Y","TunSetCalSeg",IF(G463="Y", "FlashCalSeg", IF(G463="N", "FlashAppSeg", ""))))</f>
        <v>TunSetCalSeg</v>
      </c>
      <c r="O463" s="220"/>
      <c r="P463" s="220"/>
      <c r="Q463" s="221"/>
      <c r="R463" s="221"/>
    </row>
    <row r="464" spans="1:18" ht="33.75" x14ac:dyDescent="0.2">
      <c r="A464" s="224" t="s">
        <v>1032</v>
      </c>
      <c r="B464" s="225" t="s">
        <v>1033</v>
      </c>
      <c r="C464" s="226" t="s">
        <v>998</v>
      </c>
      <c r="D464" s="226" t="s">
        <v>201</v>
      </c>
      <c r="E464" s="226" t="s">
        <v>1034</v>
      </c>
      <c r="F464" s="227" t="s">
        <v>0</v>
      </c>
      <c r="G464" s="228" t="s">
        <v>81</v>
      </c>
      <c r="H464" s="228" t="s">
        <v>1035</v>
      </c>
      <c r="I464" s="223" t="s">
        <v>1036</v>
      </c>
      <c r="J464" s="229">
        <v>0</v>
      </c>
      <c r="K464" s="229">
        <v>1</v>
      </c>
      <c r="L464" s="229" t="s">
        <v>256</v>
      </c>
      <c r="M464" s="229" t="s">
        <v>675</v>
      </c>
      <c r="N464" s="230" t="str">
        <f>IF(ISERROR(MATCH(A464,MemMap!$A$4:$A$98,0)) = FALSE, INDEX(MemMap!$B$4:$B$98,MATCH(A464,MemMap!$A$4:$A$98,0)),IF(F464="Y","TunSetCalSeg",IF(G464="Y", "FlashCalSeg", IF(G464="N", "FlashAppSeg", ""))))</f>
        <v>FlashCalSeg</v>
      </c>
      <c r="O464" s="220"/>
      <c r="P464" s="220"/>
      <c r="Q464" s="221"/>
      <c r="R464" s="221"/>
    </row>
    <row r="465" spans="1:18" ht="33.75" x14ac:dyDescent="0.2">
      <c r="A465" s="224" t="s">
        <v>1037</v>
      </c>
      <c r="B465" s="225" t="s">
        <v>1038</v>
      </c>
      <c r="C465" s="226" t="s">
        <v>998</v>
      </c>
      <c r="D465" s="226" t="s">
        <v>201</v>
      </c>
      <c r="E465" s="226" t="s">
        <v>1039</v>
      </c>
      <c r="F465" s="227" t="s">
        <v>0</v>
      </c>
      <c r="G465" s="228" t="s">
        <v>81</v>
      </c>
      <c r="H465" s="228" t="s">
        <v>1040</v>
      </c>
      <c r="I465" s="223" t="s">
        <v>1036</v>
      </c>
      <c r="J465" s="229">
        <v>0</v>
      </c>
      <c r="K465" s="229">
        <v>15</v>
      </c>
      <c r="L465" s="229" t="s">
        <v>261</v>
      </c>
      <c r="M465" s="229" t="s">
        <v>336</v>
      </c>
      <c r="N465" s="230" t="str">
        <f>IF(ISERROR(MATCH(A465,MemMap!$A$4:$A$98,0)) = FALSE, INDEX(MemMap!$B$4:$B$98,MATCH(A465,MemMap!$A$4:$A$98,0)),IF(F465="Y","TunSetCalSeg",IF(G465="Y", "FlashCalSeg", IF(G465="N", "FlashAppSeg", ""))))</f>
        <v>FlashCalSeg</v>
      </c>
      <c r="O465" s="220"/>
      <c r="P465" s="220"/>
      <c r="Q465" s="221"/>
      <c r="R465" s="221"/>
    </row>
    <row r="466" spans="1:18" ht="33.75" x14ac:dyDescent="0.2">
      <c r="A466" s="224" t="s">
        <v>1051</v>
      </c>
      <c r="B466" s="225" t="s">
        <v>1052</v>
      </c>
      <c r="C466" s="226" t="s">
        <v>998</v>
      </c>
      <c r="D466" s="226" t="s">
        <v>201</v>
      </c>
      <c r="E466" s="226" t="s">
        <v>1053</v>
      </c>
      <c r="F466" s="227" t="s">
        <v>0</v>
      </c>
      <c r="G466" s="228" t="s">
        <v>81</v>
      </c>
      <c r="H466" s="228" t="s">
        <v>1054</v>
      </c>
      <c r="I466" s="223" t="s">
        <v>1055</v>
      </c>
      <c r="J466" s="229">
        <v>-40</v>
      </c>
      <c r="K466" s="229">
        <v>150</v>
      </c>
      <c r="L466" s="229" t="s">
        <v>519</v>
      </c>
      <c r="M466" s="229" t="s">
        <v>1056</v>
      </c>
      <c r="N466" s="230" t="str">
        <f>IF(ISERROR(MATCH(A466,MemMap!$A$4:$A$98,0)) = FALSE, INDEX(MemMap!$B$4:$B$98,MATCH(A466,MemMap!$A$4:$A$98,0)),IF(F466="Y","TunSetCalSeg",IF(G466="Y", "FlashCalSeg", IF(G466="N", "FlashAppSeg", ""))))</f>
        <v>FlashCalSeg</v>
      </c>
      <c r="O466" s="220"/>
      <c r="P466" s="220"/>
      <c r="Q466" s="221"/>
      <c r="R466" s="221"/>
    </row>
    <row r="467" spans="1:18" ht="33.75" x14ac:dyDescent="0.2">
      <c r="A467" s="224" t="s">
        <v>1057</v>
      </c>
      <c r="B467" s="225" t="s">
        <v>1058</v>
      </c>
      <c r="C467" s="226" t="s">
        <v>998</v>
      </c>
      <c r="D467" s="226" t="s">
        <v>201</v>
      </c>
      <c r="E467" s="226" t="s">
        <v>1059</v>
      </c>
      <c r="F467" s="227" t="s">
        <v>0</v>
      </c>
      <c r="G467" s="228" t="s">
        <v>81</v>
      </c>
      <c r="H467" s="228" t="s">
        <v>1060</v>
      </c>
      <c r="I467" s="223" t="s">
        <v>1061</v>
      </c>
      <c r="J467" s="229">
        <v>0</v>
      </c>
      <c r="K467" s="229">
        <v>10</v>
      </c>
      <c r="L467" s="229" t="s">
        <v>261</v>
      </c>
      <c r="M467" s="229" t="s">
        <v>336</v>
      </c>
      <c r="N467" s="230" t="str">
        <f>IF(ISERROR(MATCH(A467,MemMap!$A$4:$A$98,0)) = FALSE, INDEX(MemMap!$B$4:$B$98,MATCH(A467,MemMap!$A$4:$A$98,0)),IF(F467="Y","TunSetCalSeg",IF(G467="Y", "FlashCalSeg", IF(G467="N", "FlashAppSeg", ""))))</f>
        <v>FlashCalSeg</v>
      </c>
      <c r="O467" s="220"/>
      <c r="P467" s="220"/>
      <c r="Q467" s="221"/>
      <c r="R467" s="221"/>
    </row>
    <row r="468" spans="1:18" ht="33.75" x14ac:dyDescent="0.2">
      <c r="A468" s="224" t="s">
        <v>1067</v>
      </c>
      <c r="B468" s="225" t="s">
        <v>1068</v>
      </c>
      <c r="C468" s="226" t="s">
        <v>998</v>
      </c>
      <c r="D468" s="226" t="s">
        <v>201</v>
      </c>
      <c r="E468" s="226" t="s">
        <v>1069</v>
      </c>
      <c r="F468" s="227" t="s">
        <v>81</v>
      </c>
      <c r="G468" s="228" t="s">
        <v>81</v>
      </c>
      <c r="H468" s="228" t="s">
        <v>1070</v>
      </c>
      <c r="I468" s="223" t="s">
        <v>1071</v>
      </c>
      <c r="J468" s="229">
        <v>0</v>
      </c>
      <c r="K468" s="229">
        <v>8</v>
      </c>
      <c r="L468" s="229" t="s">
        <v>252</v>
      </c>
      <c r="M468" s="229" t="s">
        <v>253</v>
      </c>
      <c r="N468" s="230" t="str">
        <f>IF(ISERROR(MATCH(A468,MemMap!$A$4:$A$98,0)) = FALSE, INDEX(MemMap!$B$4:$B$98,MATCH(A468,MemMap!$A$4:$A$98,0)),IF(F468="Y","TunSetCalSeg",IF(G468="Y", "FlashCalSeg", IF(G468="N", "FlashAppSeg", ""))))</f>
        <v>TunSetCalSeg</v>
      </c>
      <c r="O468" s="220"/>
      <c r="P468" s="220"/>
      <c r="Q468" s="221"/>
      <c r="R468" s="221"/>
    </row>
    <row r="469" spans="1:18" ht="33.75" x14ac:dyDescent="0.2">
      <c r="A469" s="224" t="s">
        <v>1072</v>
      </c>
      <c r="B469" s="225" t="s">
        <v>1073</v>
      </c>
      <c r="C469" s="226" t="s">
        <v>998</v>
      </c>
      <c r="D469" s="226" t="s">
        <v>201</v>
      </c>
      <c r="E469" s="226" t="s">
        <v>1074</v>
      </c>
      <c r="F469" s="227" t="s">
        <v>81</v>
      </c>
      <c r="G469" s="228" t="s">
        <v>81</v>
      </c>
      <c r="H469" s="228" t="s">
        <v>1075</v>
      </c>
      <c r="I469" s="223" t="s">
        <v>1076</v>
      </c>
      <c r="J469" s="229">
        <v>0</v>
      </c>
      <c r="K469" s="229">
        <v>1</v>
      </c>
      <c r="L469" s="229" t="s">
        <v>256</v>
      </c>
      <c r="M469" s="229" t="s">
        <v>340</v>
      </c>
      <c r="N469" s="230" t="str">
        <f>IF(ISERROR(MATCH(A469,MemMap!$A$4:$A$98,0)) = FALSE, INDEX(MemMap!$B$4:$B$98,MATCH(A469,MemMap!$A$4:$A$98,0)),IF(F469="Y","TunSetCalSeg",IF(G469="Y", "FlashCalSeg", IF(G469="N", "FlashAppSeg", ""))))</f>
        <v>TunSetCalSeg</v>
      </c>
      <c r="O469" s="220"/>
      <c r="P469" s="220"/>
      <c r="Q469" s="221"/>
      <c r="R469" s="221"/>
    </row>
    <row r="470" spans="1:18" ht="78.75" x14ac:dyDescent="0.2">
      <c r="A470" s="224" t="s">
        <v>1047</v>
      </c>
      <c r="B470" s="225" t="s">
        <v>1048</v>
      </c>
      <c r="C470" s="226" t="s">
        <v>998</v>
      </c>
      <c r="D470" s="226" t="s">
        <v>201</v>
      </c>
      <c r="E470" s="226" t="s">
        <v>1049</v>
      </c>
      <c r="F470" s="227" t="s">
        <v>0</v>
      </c>
      <c r="G470" s="228" t="s">
        <v>81</v>
      </c>
      <c r="H470" s="228" t="s">
        <v>1050</v>
      </c>
      <c r="I470" s="223" t="s">
        <v>1752</v>
      </c>
      <c r="J470" s="229">
        <v>0</v>
      </c>
      <c r="K470" s="229">
        <v>15</v>
      </c>
      <c r="L470" s="229" t="s">
        <v>261</v>
      </c>
      <c r="M470" s="229" t="s">
        <v>336</v>
      </c>
      <c r="N470" s="230" t="str">
        <f>IF(ISERROR(MATCH(A470,MemMap!$A$4:$A$98,0)) = FALSE, INDEX(MemMap!$B$4:$B$98,MATCH(A470,MemMap!$A$4:$A$98,0)),IF(F470="Y","TunSetCalSeg",IF(G470="Y", "FlashCalSeg", IF(G470="N", "FlashAppSeg", ""))))</f>
        <v>FlashCalSeg</v>
      </c>
      <c r="O470" s="220"/>
      <c r="P470" s="220"/>
      <c r="Q470" s="221"/>
      <c r="R470" s="221"/>
    </row>
    <row r="471" spans="1:18" ht="33.75" x14ac:dyDescent="0.2">
      <c r="A471" s="224" t="s">
        <v>1062</v>
      </c>
      <c r="B471" s="225" t="s">
        <v>1063</v>
      </c>
      <c r="C471" s="226" t="s">
        <v>998</v>
      </c>
      <c r="D471" s="226" t="s">
        <v>201</v>
      </c>
      <c r="E471" s="226" t="s">
        <v>1064</v>
      </c>
      <c r="F471" s="227" t="s">
        <v>0</v>
      </c>
      <c r="G471" s="228" t="s">
        <v>81</v>
      </c>
      <c r="H471" s="228" t="s">
        <v>1065</v>
      </c>
      <c r="I471" s="223" t="s">
        <v>1066</v>
      </c>
      <c r="J471" s="229">
        <v>0</v>
      </c>
      <c r="K471" s="229">
        <v>15</v>
      </c>
      <c r="L471" s="229" t="s">
        <v>261</v>
      </c>
      <c r="M471" s="229" t="s">
        <v>336</v>
      </c>
      <c r="N471" s="230" t="str">
        <f>IF(ISERROR(MATCH(A471,MemMap!$A$4:$A$98,0)) = FALSE, INDEX(MemMap!$B$4:$B$98,MATCH(A471,MemMap!$A$4:$A$98,0)),IF(F471="Y","TunSetCalSeg",IF(G471="Y", "FlashCalSeg", IF(G471="N", "FlashAppSeg", ""))))</f>
        <v>FlashCalSeg</v>
      </c>
      <c r="O471" s="220"/>
      <c r="P471" s="220"/>
      <c r="Q471" s="221"/>
      <c r="R471" s="221"/>
    </row>
    <row r="472" spans="1:18" ht="33.75" x14ac:dyDescent="0.2">
      <c r="A472" s="224" t="s">
        <v>1087</v>
      </c>
      <c r="B472" s="225" t="s">
        <v>1088</v>
      </c>
      <c r="C472" s="226" t="s">
        <v>998</v>
      </c>
      <c r="D472" s="226" t="s">
        <v>201</v>
      </c>
      <c r="E472" s="226" t="s">
        <v>1089</v>
      </c>
      <c r="F472" s="227" t="s">
        <v>0</v>
      </c>
      <c r="G472" s="228" t="s">
        <v>81</v>
      </c>
      <c r="H472" s="228" t="s">
        <v>1090</v>
      </c>
      <c r="I472" s="223" t="s">
        <v>1091</v>
      </c>
      <c r="J472" s="229">
        <v>0</v>
      </c>
      <c r="K472" s="229">
        <v>255</v>
      </c>
      <c r="L472" s="229" t="s">
        <v>261</v>
      </c>
      <c r="M472" s="229" t="s">
        <v>336</v>
      </c>
      <c r="N472" s="230" t="str">
        <f>IF(ISERROR(MATCH(A472,MemMap!$A$4:$A$98,0)) = FALSE, INDEX(MemMap!$B$4:$B$98,MATCH(A472,MemMap!$A$4:$A$98,0)),IF(F472="Y","TunSetCalSeg",IF(G472="Y", "FlashCalSeg", IF(G472="N", "FlashAppSeg", ""))))</f>
        <v>FlashCalSeg</v>
      </c>
      <c r="O472" s="220"/>
      <c r="P472" s="220"/>
      <c r="Q472" s="221"/>
      <c r="R472" s="221"/>
    </row>
    <row r="473" spans="1:18" ht="33.75" x14ac:dyDescent="0.2">
      <c r="A473" s="224" t="s">
        <v>1092</v>
      </c>
      <c r="B473" s="225" t="s">
        <v>1093</v>
      </c>
      <c r="C473" s="226" t="s">
        <v>998</v>
      </c>
      <c r="D473" s="226" t="s">
        <v>201</v>
      </c>
      <c r="E473" s="226" t="s">
        <v>1094</v>
      </c>
      <c r="F473" s="227" t="s">
        <v>0</v>
      </c>
      <c r="G473" s="228" t="s">
        <v>81</v>
      </c>
      <c r="H473" s="228" t="s">
        <v>1095</v>
      </c>
      <c r="I473" s="223" t="s">
        <v>1096</v>
      </c>
      <c r="J473" s="229">
        <v>0</v>
      </c>
      <c r="K473" s="229">
        <v>1</v>
      </c>
      <c r="L473" s="229" t="s">
        <v>256</v>
      </c>
      <c r="M473" s="229" t="s">
        <v>340</v>
      </c>
      <c r="N473" s="230" t="str">
        <f>IF(ISERROR(MATCH(A473,MemMap!$A$4:$A$98,0)) = FALSE, INDEX(MemMap!$B$4:$B$98,MATCH(A473,MemMap!$A$4:$A$98,0)),IF(F473="Y","TunSetCalSeg",IF(G473="Y", "FlashCalSeg", IF(G473="N", "FlashAppSeg", ""))))</f>
        <v>FlashCalSeg</v>
      </c>
      <c r="O473" s="220"/>
      <c r="P473" s="220"/>
      <c r="Q473" s="221"/>
      <c r="R473" s="221"/>
    </row>
    <row r="474" spans="1:18" ht="45" x14ac:dyDescent="0.2">
      <c r="A474" s="224" t="s">
        <v>1077</v>
      </c>
      <c r="B474" s="225" t="s">
        <v>1078</v>
      </c>
      <c r="C474" s="226" t="s">
        <v>998</v>
      </c>
      <c r="D474" s="226" t="s">
        <v>201</v>
      </c>
      <c r="E474" s="226" t="s">
        <v>1079</v>
      </c>
      <c r="F474" s="227" t="s">
        <v>0</v>
      </c>
      <c r="G474" s="228" t="s">
        <v>81</v>
      </c>
      <c r="H474" s="228" t="s">
        <v>1080</v>
      </c>
      <c r="I474" s="223" t="s">
        <v>1081</v>
      </c>
      <c r="J474" s="229">
        <v>0</v>
      </c>
      <c r="K474" s="229">
        <v>8</v>
      </c>
      <c r="L474" s="229" t="s">
        <v>252</v>
      </c>
      <c r="M474" s="229" t="s">
        <v>253</v>
      </c>
      <c r="N474" s="230" t="str">
        <f>IF(ISERROR(MATCH(A474,MemMap!$A$4:$A$98,0)) = FALSE, INDEX(MemMap!$B$4:$B$98,MATCH(A474,MemMap!$A$4:$A$98,0)),IF(F474="Y","TunSetCalSeg",IF(G474="Y", "FlashCalSeg", IF(G474="N", "FlashAppSeg", ""))))</f>
        <v>FlashCalSeg</v>
      </c>
      <c r="O474" s="220"/>
      <c r="P474" s="220"/>
      <c r="Q474" s="221"/>
      <c r="R474" s="221"/>
    </row>
    <row r="475" spans="1:18" ht="56.25" x14ac:dyDescent="0.2">
      <c r="A475" s="224" t="s">
        <v>1082</v>
      </c>
      <c r="B475" s="225" t="s">
        <v>1083</v>
      </c>
      <c r="C475" s="226" t="s">
        <v>998</v>
      </c>
      <c r="D475" s="226" t="s">
        <v>201</v>
      </c>
      <c r="E475" s="226" t="s">
        <v>1084</v>
      </c>
      <c r="F475" s="227" t="s">
        <v>0</v>
      </c>
      <c r="G475" s="228" t="s">
        <v>81</v>
      </c>
      <c r="H475" s="228" t="s">
        <v>1085</v>
      </c>
      <c r="I475" s="223" t="s">
        <v>1086</v>
      </c>
      <c r="J475" s="229">
        <v>0</v>
      </c>
      <c r="K475" s="229">
        <v>15</v>
      </c>
      <c r="L475" s="229" t="s">
        <v>261</v>
      </c>
      <c r="M475" s="229" t="s">
        <v>336</v>
      </c>
      <c r="N475" s="230" t="str">
        <f>IF(ISERROR(MATCH(A475,MemMap!$A$4:$A$98,0)) = FALSE, INDEX(MemMap!$B$4:$B$98,MATCH(A475,MemMap!$A$4:$A$98,0)),IF(F475="Y","TunSetCalSeg",IF(G475="Y", "FlashCalSeg", IF(G475="N", "FlashAppSeg", ""))))</f>
        <v>FlashCalSeg</v>
      </c>
      <c r="O475" s="220"/>
      <c r="P475" s="220"/>
      <c r="Q475" s="221"/>
      <c r="R475" s="221"/>
    </row>
    <row r="476" spans="1:18" ht="45" x14ac:dyDescent="0.2">
      <c r="A476" s="224" t="s">
        <v>1022</v>
      </c>
      <c r="B476" s="225" t="s">
        <v>1023</v>
      </c>
      <c r="C476" s="226" t="s">
        <v>998</v>
      </c>
      <c r="D476" s="226" t="s">
        <v>201</v>
      </c>
      <c r="E476" s="226" t="s">
        <v>1024</v>
      </c>
      <c r="F476" s="227" t="s">
        <v>0</v>
      </c>
      <c r="G476" s="228" t="s">
        <v>81</v>
      </c>
      <c r="H476" s="228" t="s">
        <v>1025</v>
      </c>
      <c r="I476" s="223" t="s">
        <v>1026</v>
      </c>
      <c r="J476" s="229">
        <v>0</v>
      </c>
      <c r="K476" s="229">
        <v>1</v>
      </c>
      <c r="L476" s="229" t="s">
        <v>261</v>
      </c>
      <c r="M476" s="229" t="s">
        <v>340</v>
      </c>
      <c r="N476" s="230" t="str">
        <f>IF(ISERROR(MATCH(A476,MemMap!$A$4:$A$98,0)) = FALSE, INDEX(MemMap!$B$4:$B$98,MATCH(A476,MemMap!$A$4:$A$98,0)),IF(F476="Y","TunSetCalSeg",IF(G476="Y", "FlashCalSeg", IF(G476="N", "FlashAppSeg", ""))))</f>
        <v>FlashCalSeg</v>
      </c>
      <c r="O476" s="220"/>
      <c r="P476" s="220"/>
      <c r="Q476" s="221"/>
      <c r="R476" s="221"/>
    </row>
    <row r="477" spans="1:18" ht="45" x14ac:dyDescent="0.2">
      <c r="A477" s="224" t="s">
        <v>1027</v>
      </c>
      <c r="B477" s="225" t="s">
        <v>1028</v>
      </c>
      <c r="C477" s="226" t="s">
        <v>998</v>
      </c>
      <c r="D477" s="226" t="s">
        <v>201</v>
      </c>
      <c r="E477" s="226" t="s">
        <v>1029</v>
      </c>
      <c r="F477" s="227" t="s">
        <v>0</v>
      </c>
      <c r="G477" s="228" t="s">
        <v>81</v>
      </c>
      <c r="H477" s="228" t="s">
        <v>1030</v>
      </c>
      <c r="I477" s="223" t="s">
        <v>1031</v>
      </c>
      <c r="J477" s="229">
        <v>0</v>
      </c>
      <c r="K477" s="229">
        <v>1</v>
      </c>
      <c r="L477" s="229" t="s">
        <v>256</v>
      </c>
      <c r="M477" s="229" t="s">
        <v>340</v>
      </c>
      <c r="N477" s="230" t="str">
        <f>IF(ISERROR(MATCH(A477,MemMap!$A$4:$A$98,0)) = FALSE, INDEX(MemMap!$B$4:$B$98,MATCH(A477,MemMap!$A$4:$A$98,0)),IF(F477="Y","TunSetCalSeg",IF(G477="Y", "FlashCalSeg", IF(G477="N", "FlashAppSeg", ""))))</f>
        <v>FlashCalSeg</v>
      </c>
      <c r="O477" s="220"/>
      <c r="P477" s="220"/>
      <c r="Q477" s="221"/>
      <c r="R477" s="221"/>
    </row>
    <row r="478" spans="1:18" ht="78.75" x14ac:dyDescent="0.2">
      <c r="A478" s="224" t="s">
        <v>1012</v>
      </c>
      <c r="B478" s="225" t="s">
        <v>1013</v>
      </c>
      <c r="C478" s="226" t="s">
        <v>998</v>
      </c>
      <c r="D478" s="226" t="s">
        <v>201</v>
      </c>
      <c r="E478" s="226" t="s">
        <v>1014</v>
      </c>
      <c r="F478" s="227" t="s">
        <v>0</v>
      </c>
      <c r="G478" s="228" t="s">
        <v>81</v>
      </c>
      <c r="H478" s="228" t="s">
        <v>1015</v>
      </c>
      <c r="I478" s="223" t="s">
        <v>1016</v>
      </c>
      <c r="J478" s="229">
        <v>0</v>
      </c>
      <c r="K478" s="229">
        <v>10</v>
      </c>
      <c r="L478" s="229" t="s">
        <v>261</v>
      </c>
      <c r="M478" s="229" t="s">
        <v>675</v>
      </c>
      <c r="N478" s="230" t="str">
        <f>IF(ISERROR(MATCH(A478,MemMap!$A$4:$A$98,0)) = FALSE, INDEX(MemMap!$B$4:$B$98,MATCH(A478,MemMap!$A$4:$A$98,0)),IF(F478="Y","TunSetCalSeg",IF(G478="Y", "FlashCalSeg", IF(G478="N", "FlashAppSeg", ""))))</f>
        <v>FlashCalSeg</v>
      </c>
      <c r="O478" s="220"/>
      <c r="P478" s="220"/>
      <c r="Q478" s="221"/>
      <c r="R478" s="221"/>
    </row>
    <row r="479" spans="1:18" ht="56.25" x14ac:dyDescent="0.2">
      <c r="A479" s="224" t="s">
        <v>1017</v>
      </c>
      <c r="B479" s="225" t="s">
        <v>1018</v>
      </c>
      <c r="C479" s="226" t="s">
        <v>998</v>
      </c>
      <c r="D479" s="226" t="s">
        <v>201</v>
      </c>
      <c r="E479" s="226" t="s">
        <v>1019</v>
      </c>
      <c r="F479" s="227" t="s">
        <v>0</v>
      </c>
      <c r="G479" s="228" t="s">
        <v>81</v>
      </c>
      <c r="H479" s="228" t="s">
        <v>1020</v>
      </c>
      <c r="I479" s="223" t="s">
        <v>1021</v>
      </c>
      <c r="J479" s="229">
        <v>0</v>
      </c>
      <c r="K479" s="229">
        <v>1</v>
      </c>
      <c r="L479" s="229" t="s">
        <v>256</v>
      </c>
      <c r="M479" s="229" t="s">
        <v>675</v>
      </c>
      <c r="N479" s="230" t="str">
        <f>IF(ISERROR(MATCH(A479,MemMap!$A$4:$A$98,0)) = FALSE, INDEX(MemMap!$B$4:$B$98,MATCH(A479,MemMap!$A$4:$A$98,0)),IF(F479="Y","TunSetCalSeg",IF(G479="Y", "FlashCalSeg", IF(G479="N", "FlashAppSeg", ""))))</f>
        <v>FlashCalSeg</v>
      </c>
      <c r="O479" s="220"/>
      <c r="P479" s="220"/>
      <c r="Q479" s="221"/>
      <c r="R479" s="221"/>
    </row>
    <row r="480" spans="1:18" ht="67.5" x14ac:dyDescent="0.2">
      <c r="A480" s="224" t="s">
        <v>1041</v>
      </c>
      <c r="B480" s="225" t="s">
        <v>1042</v>
      </c>
      <c r="C480" s="226" t="s">
        <v>3262</v>
      </c>
      <c r="D480" s="226" t="s">
        <v>3263</v>
      </c>
      <c r="E480" s="226" t="s">
        <v>1043</v>
      </c>
      <c r="F480" s="227" t="s">
        <v>82</v>
      </c>
      <c r="G480" s="228" t="s">
        <v>81</v>
      </c>
      <c r="H480" s="228"/>
      <c r="I480" s="223">
        <v>20</v>
      </c>
      <c r="J480" s="229">
        <v>1</v>
      </c>
      <c r="K480" s="229">
        <v>100</v>
      </c>
      <c r="L480" s="229" t="s">
        <v>477</v>
      </c>
      <c r="M480" s="229" t="s">
        <v>257</v>
      </c>
      <c r="N480" s="230" t="str">
        <f>IF(ISERROR(MATCH(A480,MemMap!$A$4:$A$98,0)) = FALSE, INDEX(MemMap!$B$4:$B$98,MATCH(A480,MemMap!$A$4:$A$98,0)),IF(F480="Y","TunSetCalSeg",IF(G480="Y", "FlashCalSeg", IF(G480="N", "FlashAppSeg", ""))))</f>
        <v>FlashCalSeg</v>
      </c>
      <c r="O480" s="220"/>
      <c r="P480" s="220"/>
      <c r="Q480" s="221"/>
      <c r="R480" s="221"/>
    </row>
    <row r="481" spans="1:18" ht="33.75" x14ac:dyDescent="0.2">
      <c r="A481" s="224" t="s">
        <v>2239</v>
      </c>
      <c r="B481" s="225" t="s">
        <v>2240</v>
      </c>
      <c r="C481" s="226" t="s">
        <v>2163</v>
      </c>
      <c r="D481" s="226" t="s">
        <v>184</v>
      </c>
      <c r="E481" s="226"/>
      <c r="F481" s="227" t="s">
        <v>82</v>
      </c>
      <c r="G481" s="228" t="s">
        <v>82</v>
      </c>
      <c r="H481" s="228"/>
      <c r="I481" s="223">
        <v>0</v>
      </c>
      <c r="J481" s="229">
        <v>-5</v>
      </c>
      <c r="K481" s="229">
        <v>5</v>
      </c>
      <c r="L481" s="229" t="s">
        <v>615</v>
      </c>
      <c r="M481" s="229" t="s">
        <v>257</v>
      </c>
      <c r="N481" s="230" t="str">
        <f>IF(ISERROR(MATCH(A481,MemMap!$A$4:$A$98,0)) = FALSE, INDEX(MemMap!$B$4:$B$98,MATCH(A481,MemMap!$A$4:$A$98,0)),IF(F481="Y","TunSetCalSeg",IF(G481="Y", "FlashCalSeg", IF(G481="N", "FlashAppSeg", ""))))</f>
        <v>FlashAppSeg</v>
      </c>
      <c r="O481" s="220"/>
      <c r="P481" s="220"/>
      <c r="Q481" s="221"/>
      <c r="R481" s="221"/>
    </row>
    <row r="482" spans="1:18" ht="33.75" x14ac:dyDescent="0.2">
      <c r="A482" s="224" t="s">
        <v>2237</v>
      </c>
      <c r="B482" s="225" t="s">
        <v>2238</v>
      </c>
      <c r="C482" s="226" t="s">
        <v>2163</v>
      </c>
      <c r="D482" s="226" t="s">
        <v>184</v>
      </c>
      <c r="E482" s="226"/>
      <c r="F482" s="227" t="s">
        <v>82</v>
      </c>
      <c r="G482" s="228" t="s">
        <v>82</v>
      </c>
      <c r="H482" s="228"/>
      <c r="I482" s="223">
        <v>1</v>
      </c>
      <c r="J482" s="229">
        <v>1</v>
      </c>
      <c r="K482" s="229">
        <v>100</v>
      </c>
      <c r="L482" s="229" t="s">
        <v>288</v>
      </c>
      <c r="M482" s="229" t="s">
        <v>257</v>
      </c>
      <c r="N482" s="230" t="str">
        <f>IF(ISERROR(MATCH(A482,MemMap!$A$4:$A$98,0)) = FALSE, INDEX(MemMap!$B$4:$B$98,MATCH(A482,MemMap!$A$4:$A$98,0)),IF(F482="Y","TunSetCalSeg",IF(G482="Y", "FlashCalSeg", IF(G482="N", "FlashAppSeg", ""))))</f>
        <v>FlashAppSeg</v>
      </c>
      <c r="O482" s="220"/>
      <c r="P482" s="220"/>
      <c r="Q482" s="221"/>
      <c r="R482" s="221"/>
    </row>
    <row r="483" spans="1:18" ht="33.75" x14ac:dyDescent="0.2">
      <c r="A483" s="224" t="s">
        <v>2241</v>
      </c>
      <c r="B483" s="225" t="s">
        <v>2242</v>
      </c>
      <c r="C483" s="226" t="s">
        <v>2163</v>
      </c>
      <c r="D483" s="226" t="s">
        <v>184</v>
      </c>
      <c r="E483" s="226"/>
      <c r="F483" s="227" t="s">
        <v>82</v>
      </c>
      <c r="G483" s="228" t="s">
        <v>82</v>
      </c>
      <c r="H483" s="228"/>
      <c r="I483" s="223">
        <v>6.7471264367800003</v>
      </c>
      <c r="J483" s="229">
        <v>1</v>
      </c>
      <c r="K483" s="229">
        <v>100</v>
      </c>
      <c r="L483" s="229" t="s">
        <v>288</v>
      </c>
      <c r="M483" s="229" t="s">
        <v>257</v>
      </c>
      <c r="N483" s="230" t="str">
        <f>IF(ISERROR(MATCH(A483,MemMap!$A$4:$A$98,0)) = FALSE, INDEX(MemMap!$B$4:$B$98,MATCH(A483,MemMap!$A$4:$A$98,0)),IF(F483="Y","TunSetCalSeg",IF(G483="Y", "FlashCalSeg", IF(G483="N", "FlashAppSeg", ""))))</f>
        <v>FlashAppSeg</v>
      </c>
      <c r="O483" s="220"/>
      <c r="P483" s="220"/>
      <c r="Q483" s="221"/>
      <c r="R483" s="221"/>
    </row>
    <row r="484" spans="1:18" ht="33.75" x14ac:dyDescent="0.2">
      <c r="A484" s="224" t="s">
        <v>2230</v>
      </c>
      <c r="B484" s="225"/>
      <c r="C484" s="226" t="s">
        <v>2163</v>
      </c>
      <c r="D484" s="226" t="s">
        <v>184</v>
      </c>
      <c r="E484" s="226"/>
      <c r="F484" s="227" t="s">
        <v>82</v>
      </c>
      <c r="G484" s="228" t="s">
        <v>82</v>
      </c>
      <c r="H484" s="228"/>
      <c r="I484" s="223" t="s">
        <v>1795</v>
      </c>
      <c r="J484" s="229"/>
      <c r="K484" s="229"/>
      <c r="L484" s="229"/>
      <c r="M484" s="229" t="s">
        <v>565</v>
      </c>
      <c r="N484" s="230" t="str">
        <f>IF(ISERROR(MATCH(A484,MemMap!$A$4:$A$98,0)) = FALSE, INDEX(MemMap!$B$4:$B$98,MATCH(A484,MemMap!$A$4:$A$98,0)),IF(F484="Y","TunSetCalSeg",IF(G484="Y", "FlashCalSeg", IF(G484="N", "FlashAppSeg", ""))))</f>
        <v>FlashAppSeg</v>
      </c>
      <c r="O484" s="220"/>
      <c r="P484" s="220"/>
      <c r="Q484" s="221"/>
      <c r="R484" s="221"/>
    </row>
    <row r="485" spans="1:18" ht="33.75" x14ac:dyDescent="0.2">
      <c r="A485" s="224" t="s">
        <v>2235</v>
      </c>
      <c r="B485" s="225" t="s">
        <v>2236</v>
      </c>
      <c r="C485" s="226" t="s">
        <v>2163</v>
      </c>
      <c r="D485" s="226" t="s">
        <v>184</v>
      </c>
      <c r="E485" s="226"/>
      <c r="F485" s="227" t="s">
        <v>82</v>
      </c>
      <c r="G485" s="228" t="s">
        <v>82</v>
      </c>
      <c r="H485" s="228"/>
      <c r="I485" s="223">
        <v>1</v>
      </c>
      <c r="J485" s="229">
        <v>0</v>
      </c>
      <c r="K485" s="229">
        <v>255</v>
      </c>
      <c r="L485" s="229" t="s">
        <v>1541</v>
      </c>
      <c r="M485" s="229" t="s">
        <v>263</v>
      </c>
      <c r="N485" s="230" t="str">
        <f>IF(ISERROR(MATCH(A485,MemMap!$A$4:$A$98,0)) = FALSE, INDEX(MemMap!$B$4:$B$98,MATCH(A485,MemMap!$A$4:$A$98,0)),IF(F485="Y","TunSetCalSeg",IF(G485="Y", "FlashCalSeg", IF(G485="N", "FlashAppSeg", ""))))</f>
        <v>FlashAppSeg</v>
      </c>
      <c r="O485" s="220"/>
      <c r="P485" s="220"/>
      <c r="Q485" s="221"/>
      <c r="R485" s="221"/>
    </row>
    <row r="486" spans="1:18" ht="33.75" x14ac:dyDescent="0.2">
      <c r="A486" s="224" t="s">
        <v>2233</v>
      </c>
      <c r="B486" s="225" t="s">
        <v>2234</v>
      </c>
      <c r="C486" s="226" t="s">
        <v>2163</v>
      </c>
      <c r="D486" s="226" t="s">
        <v>184</v>
      </c>
      <c r="E486" s="226"/>
      <c r="F486" s="227" t="s">
        <v>82</v>
      </c>
      <c r="G486" s="228" t="s">
        <v>82</v>
      </c>
      <c r="H486" s="228"/>
      <c r="I486" s="223">
        <v>4</v>
      </c>
      <c r="J486" s="229">
        <v>0</v>
      </c>
      <c r="K486" s="229">
        <v>255</v>
      </c>
      <c r="L486" s="229" t="s">
        <v>1541</v>
      </c>
      <c r="M486" s="229" t="s">
        <v>263</v>
      </c>
      <c r="N486" s="230" t="str">
        <f>IF(ISERROR(MATCH(A486,MemMap!$A$4:$A$98,0)) = FALSE, INDEX(MemMap!$B$4:$B$98,MATCH(A486,MemMap!$A$4:$A$98,0)),IF(F486="Y","TunSetCalSeg",IF(G486="Y", "FlashCalSeg", IF(G486="N", "FlashAppSeg", ""))))</f>
        <v>FlashAppSeg</v>
      </c>
      <c r="O486" s="220"/>
      <c r="P486" s="220"/>
      <c r="Q486" s="221"/>
      <c r="R486" s="221"/>
    </row>
    <row r="487" spans="1:18" ht="33.75" x14ac:dyDescent="0.2">
      <c r="A487" s="224" t="s">
        <v>2231</v>
      </c>
      <c r="B487" s="225" t="s">
        <v>2232</v>
      </c>
      <c r="C487" s="226" t="s">
        <v>2163</v>
      </c>
      <c r="D487" s="226" t="s">
        <v>184</v>
      </c>
      <c r="E487" s="226"/>
      <c r="F487" s="227" t="s">
        <v>82</v>
      </c>
      <c r="G487" s="228" t="s">
        <v>82</v>
      </c>
      <c r="H487" s="228"/>
      <c r="I487" s="223">
        <v>100</v>
      </c>
      <c r="J487" s="229">
        <v>0</v>
      </c>
      <c r="K487" s="229">
        <v>255</v>
      </c>
      <c r="L487" s="229" t="s">
        <v>1541</v>
      </c>
      <c r="M487" s="229" t="s">
        <v>263</v>
      </c>
      <c r="N487" s="230" t="str">
        <f>IF(ISERROR(MATCH(A487,MemMap!$A$4:$A$98,0)) = FALSE, INDEX(MemMap!$B$4:$B$98,MATCH(A487,MemMap!$A$4:$A$98,0)),IF(F487="Y","TunSetCalSeg",IF(G487="Y", "FlashCalSeg", IF(G487="N", "FlashAppSeg", ""))))</f>
        <v>FlashAppSeg</v>
      </c>
      <c r="O487" s="220"/>
      <c r="P487" s="220"/>
      <c r="Q487" s="221"/>
      <c r="R487" s="221"/>
    </row>
    <row r="488" spans="1:18" ht="33.75" x14ac:dyDescent="0.2">
      <c r="A488" s="224" t="s">
        <v>2226</v>
      </c>
      <c r="B488" s="225" t="s">
        <v>2227</v>
      </c>
      <c r="C488" s="226" t="s">
        <v>2163</v>
      </c>
      <c r="D488" s="226" t="s">
        <v>184</v>
      </c>
      <c r="E488" s="226"/>
      <c r="F488" s="227" t="s">
        <v>82</v>
      </c>
      <c r="G488" s="228" t="s">
        <v>82</v>
      </c>
      <c r="H488" s="228"/>
      <c r="I488" s="223">
        <v>3</v>
      </c>
      <c r="J488" s="229">
        <v>0</v>
      </c>
      <c r="K488" s="229">
        <v>6</v>
      </c>
      <c r="L488" s="229" t="s">
        <v>615</v>
      </c>
      <c r="M488" s="229" t="s">
        <v>257</v>
      </c>
      <c r="N488" s="230" t="str">
        <f>IF(ISERROR(MATCH(A488,MemMap!$A$4:$A$98,0)) = FALSE, INDEX(MemMap!$B$4:$B$98,MATCH(A488,MemMap!$A$4:$A$98,0)),IF(F488="Y","TunSetCalSeg",IF(G488="Y", "FlashCalSeg", IF(G488="N", "FlashAppSeg", ""))))</f>
        <v>FlashAppSeg</v>
      </c>
      <c r="O488" s="220"/>
      <c r="P488" s="220"/>
      <c r="Q488" s="221"/>
      <c r="R488" s="221"/>
    </row>
    <row r="489" spans="1:18" ht="33.75" x14ac:dyDescent="0.2">
      <c r="A489" s="224" t="s">
        <v>2228</v>
      </c>
      <c r="B489" s="225" t="s">
        <v>2229</v>
      </c>
      <c r="C489" s="226" t="s">
        <v>2163</v>
      </c>
      <c r="D489" s="226" t="s">
        <v>184</v>
      </c>
      <c r="E489" s="226"/>
      <c r="F489" s="227" t="s">
        <v>82</v>
      </c>
      <c r="G489" s="228" t="s">
        <v>82</v>
      </c>
      <c r="H489" s="228"/>
      <c r="I489" s="223">
        <v>2</v>
      </c>
      <c r="J489" s="229">
        <v>0</v>
      </c>
      <c r="K489" s="229">
        <v>6</v>
      </c>
      <c r="L489" s="229" t="s">
        <v>615</v>
      </c>
      <c r="M489" s="229" t="s">
        <v>257</v>
      </c>
      <c r="N489" s="230" t="str">
        <f>IF(ISERROR(MATCH(A489,MemMap!$A$4:$A$98,0)) = FALSE, INDEX(MemMap!$B$4:$B$98,MATCH(A489,MemMap!$A$4:$A$98,0)),IF(F489="Y","TunSetCalSeg",IF(G489="Y", "FlashCalSeg", IF(G489="N", "FlashAppSeg", ""))))</f>
        <v>FlashAppSeg</v>
      </c>
      <c r="O489" s="220"/>
      <c r="P489" s="220"/>
      <c r="Q489" s="221"/>
      <c r="R489" s="221"/>
    </row>
    <row r="490" spans="1:18" ht="33.75" x14ac:dyDescent="0.2">
      <c r="A490" s="224" t="s">
        <v>2245</v>
      </c>
      <c r="B490" s="225" t="s">
        <v>2246</v>
      </c>
      <c r="C490" s="226" t="s">
        <v>2163</v>
      </c>
      <c r="D490" s="226" t="s">
        <v>184</v>
      </c>
      <c r="E490" s="226"/>
      <c r="F490" s="227" t="s">
        <v>82</v>
      </c>
      <c r="G490" s="228" t="s">
        <v>82</v>
      </c>
      <c r="H490" s="228"/>
      <c r="I490" s="223">
        <v>1</v>
      </c>
      <c r="J490" s="229">
        <v>1</v>
      </c>
      <c r="K490" s="229">
        <v>100</v>
      </c>
      <c r="L490" s="229" t="s">
        <v>288</v>
      </c>
      <c r="M490" s="229" t="s">
        <v>257</v>
      </c>
      <c r="N490" s="230" t="str">
        <f>IF(ISERROR(MATCH(A490,MemMap!$A$4:$A$98,0)) = FALSE, INDEX(MemMap!$B$4:$B$98,MATCH(A490,MemMap!$A$4:$A$98,0)),IF(F490="Y","TunSetCalSeg",IF(G490="Y", "FlashCalSeg", IF(G490="N", "FlashAppSeg", ""))))</f>
        <v>FlashAppSeg</v>
      </c>
      <c r="O490" s="220"/>
      <c r="P490" s="220"/>
      <c r="Q490" s="221"/>
      <c r="R490" s="221"/>
    </row>
    <row r="491" spans="1:18" ht="33.75" x14ac:dyDescent="0.2">
      <c r="A491" s="224" t="s">
        <v>2243</v>
      </c>
      <c r="B491" s="225" t="s">
        <v>2244</v>
      </c>
      <c r="C491" s="226" t="s">
        <v>2163</v>
      </c>
      <c r="D491" s="226" t="s">
        <v>184</v>
      </c>
      <c r="E491" s="226"/>
      <c r="F491" s="227" t="s">
        <v>82</v>
      </c>
      <c r="G491" s="228" t="s">
        <v>82</v>
      </c>
      <c r="H491" s="228"/>
      <c r="I491" s="223">
        <v>3.3696682464499998</v>
      </c>
      <c r="J491" s="229">
        <v>1</v>
      </c>
      <c r="K491" s="229">
        <v>100</v>
      </c>
      <c r="L491" s="229" t="s">
        <v>288</v>
      </c>
      <c r="M491" s="229" t="s">
        <v>257</v>
      </c>
      <c r="N491" s="230" t="str">
        <f>IF(ISERROR(MATCH(A491,MemMap!$A$4:$A$98,0)) = FALSE, INDEX(MemMap!$B$4:$B$98,MATCH(A491,MemMap!$A$4:$A$98,0)),IF(F491="Y","TunSetCalSeg",IF(G491="Y", "FlashCalSeg", IF(G491="N", "FlashAppSeg", ""))))</f>
        <v>FlashAppSeg</v>
      </c>
      <c r="O491" s="220"/>
      <c r="P491" s="220"/>
      <c r="Q491" s="221"/>
      <c r="R491" s="221"/>
    </row>
    <row r="492" spans="1:18" ht="22.5" x14ac:dyDescent="0.2">
      <c r="A492" s="224" t="s">
        <v>1097</v>
      </c>
      <c r="B492" s="225" t="s">
        <v>1098</v>
      </c>
      <c r="C492" s="226" t="s">
        <v>1099</v>
      </c>
      <c r="D492" s="226" t="s">
        <v>248</v>
      </c>
      <c r="E492" s="226"/>
      <c r="F492" s="227" t="s">
        <v>82</v>
      </c>
      <c r="G492" s="228" t="s">
        <v>81</v>
      </c>
      <c r="H492" s="228"/>
      <c r="I492" s="223">
        <v>500</v>
      </c>
      <c r="J492" s="229">
        <v>0.5</v>
      </c>
      <c r="K492" s="229">
        <v>500</v>
      </c>
      <c r="L492" s="229" t="s">
        <v>804</v>
      </c>
      <c r="M492" s="229" t="s">
        <v>257</v>
      </c>
      <c r="N492" s="230" t="str">
        <f>IF(ISERROR(MATCH(A492,MemMap!$A$4:$A$98,0)) = FALSE, INDEX(MemMap!$B$4:$B$98,MATCH(A492,MemMap!$A$4:$A$98,0)),IF(F492="Y","TunSetCalSeg",IF(G492="Y", "FlashCalSeg", IF(G492="N", "FlashAppSeg", ""))))</f>
        <v>FlashCalSeg</v>
      </c>
      <c r="O492" s="220"/>
      <c r="P492" s="220"/>
      <c r="Q492" s="221"/>
      <c r="R492" s="221"/>
    </row>
    <row r="493" spans="1:18" ht="22.5" x14ac:dyDescent="0.2">
      <c r="A493" s="224" t="s">
        <v>1100</v>
      </c>
      <c r="B493" s="225" t="s">
        <v>1101</v>
      </c>
      <c r="C493" s="226" t="s">
        <v>1099</v>
      </c>
      <c r="D493" s="226" t="s">
        <v>248</v>
      </c>
      <c r="E493" s="226"/>
      <c r="F493" s="227" t="s">
        <v>82</v>
      </c>
      <c r="G493" s="228" t="s">
        <v>81</v>
      </c>
      <c r="H493" s="228"/>
      <c r="I493" s="223">
        <v>4400</v>
      </c>
      <c r="J493" s="229">
        <v>1</v>
      </c>
      <c r="K493" s="229">
        <v>4400</v>
      </c>
      <c r="L493" s="229" t="s">
        <v>1102</v>
      </c>
      <c r="M493" s="229" t="s">
        <v>257</v>
      </c>
      <c r="N493" s="230" t="str">
        <f>IF(ISERROR(MATCH(A493,MemMap!$A$4:$A$98,0)) = FALSE, INDEX(MemMap!$B$4:$B$98,MATCH(A493,MemMap!$A$4:$A$98,0)),IF(F493="Y","TunSetCalSeg",IF(G493="Y", "FlashCalSeg", IF(G493="N", "FlashAppSeg", ""))))</f>
        <v>FlashCalSeg</v>
      </c>
      <c r="O493" s="220"/>
      <c r="P493" s="220"/>
      <c r="Q493" s="221"/>
      <c r="R493" s="221"/>
    </row>
    <row r="494" spans="1:18" ht="22.5" x14ac:dyDescent="0.2">
      <c r="A494" s="224" t="s">
        <v>1103</v>
      </c>
      <c r="B494" s="225" t="s">
        <v>1104</v>
      </c>
      <c r="C494" s="226" t="s">
        <v>1099</v>
      </c>
      <c r="D494" s="226" t="s">
        <v>248</v>
      </c>
      <c r="E494" s="226"/>
      <c r="F494" s="227" t="s">
        <v>82</v>
      </c>
      <c r="G494" s="228" t="s">
        <v>81</v>
      </c>
      <c r="H494" s="228"/>
      <c r="I494" s="223" t="s">
        <v>1105</v>
      </c>
      <c r="J494" s="229">
        <v>0</v>
      </c>
      <c r="K494" s="229">
        <v>511</v>
      </c>
      <c r="L494" s="229" t="s">
        <v>296</v>
      </c>
      <c r="M494" s="229" t="s">
        <v>336</v>
      </c>
      <c r="N494" s="230" t="str">
        <f>IF(ISERROR(MATCH(A494,MemMap!$A$4:$A$98,0)) = FALSE, INDEX(MemMap!$B$4:$B$98,MATCH(A494,MemMap!$A$4:$A$98,0)),IF(F494="Y","TunSetCalSeg",IF(G494="Y", "FlashCalSeg", IF(G494="N", "FlashAppSeg", ""))))</f>
        <v>FlashCalSeg</v>
      </c>
      <c r="O494" s="220"/>
      <c r="P494" s="220"/>
      <c r="Q494" s="221"/>
      <c r="R494" s="221"/>
    </row>
    <row r="495" spans="1:18" ht="22.5" x14ac:dyDescent="0.2">
      <c r="A495" s="224" t="s">
        <v>1106</v>
      </c>
      <c r="B495" s="225" t="s">
        <v>1107</v>
      </c>
      <c r="C495" s="226" t="s">
        <v>1099</v>
      </c>
      <c r="D495" s="226" t="s">
        <v>248</v>
      </c>
      <c r="E495" s="226"/>
      <c r="F495" s="227" t="s">
        <v>82</v>
      </c>
      <c r="G495" s="228" t="s">
        <v>81</v>
      </c>
      <c r="H495" s="228"/>
      <c r="I495" s="223" t="s">
        <v>1108</v>
      </c>
      <c r="J495" s="229">
        <v>0.5</v>
      </c>
      <c r="K495" s="229">
        <v>500</v>
      </c>
      <c r="L495" s="229" t="s">
        <v>804</v>
      </c>
      <c r="M495" s="229" t="s">
        <v>336</v>
      </c>
      <c r="N495" s="230" t="str">
        <f>IF(ISERROR(MATCH(A495,MemMap!$A$4:$A$98,0)) = FALSE, INDEX(MemMap!$B$4:$B$98,MATCH(A495,MemMap!$A$4:$A$98,0)),IF(F495="Y","TunSetCalSeg",IF(G495="Y", "FlashCalSeg", IF(G495="N", "FlashAppSeg", ""))))</f>
        <v>FlashCalSeg</v>
      </c>
      <c r="O495" s="220"/>
      <c r="P495" s="220"/>
      <c r="Q495" s="221"/>
      <c r="R495" s="221"/>
    </row>
    <row r="496" spans="1:18" ht="22.5" x14ac:dyDescent="0.2">
      <c r="A496" s="224" t="s">
        <v>1109</v>
      </c>
      <c r="B496" s="225" t="s">
        <v>1110</v>
      </c>
      <c r="C496" s="226" t="s">
        <v>1099</v>
      </c>
      <c r="D496" s="226" t="s">
        <v>248</v>
      </c>
      <c r="E496" s="226"/>
      <c r="F496" s="227" t="s">
        <v>82</v>
      </c>
      <c r="G496" s="228" t="s">
        <v>81</v>
      </c>
      <c r="H496" s="228"/>
      <c r="I496" s="223" t="s">
        <v>1105</v>
      </c>
      <c r="J496" s="229">
        <v>0</v>
      </c>
      <c r="K496" s="229">
        <v>511</v>
      </c>
      <c r="L496" s="229" t="s">
        <v>296</v>
      </c>
      <c r="M496" s="229" t="s">
        <v>336</v>
      </c>
      <c r="N496" s="230" t="str">
        <f>IF(ISERROR(MATCH(A496,MemMap!$A$4:$A$98,0)) = FALSE, INDEX(MemMap!$B$4:$B$98,MATCH(A496,MemMap!$A$4:$A$98,0)),IF(F496="Y","TunSetCalSeg",IF(G496="Y", "FlashCalSeg", IF(G496="N", "FlashAppSeg", ""))))</f>
        <v>FlashCalSeg</v>
      </c>
      <c r="O496" s="220"/>
      <c r="P496" s="220"/>
      <c r="Q496" s="221"/>
      <c r="R496" s="221"/>
    </row>
    <row r="497" spans="1:18" ht="22.5" x14ac:dyDescent="0.2">
      <c r="A497" s="224" t="s">
        <v>1111</v>
      </c>
      <c r="B497" s="225" t="s">
        <v>1112</v>
      </c>
      <c r="C497" s="226" t="s">
        <v>1099</v>
      </c>
      <c r="D497" s="226" t="s">
        <v>248</v>
      </c>
      <c r="E497" s="226"/>
      <c r="F497" s="227" t="s">
        <v>82</v>
      </c>
      <c r="G497" s="228" t="s">
        <v>81</v>
      </c>
      <c r="H497" s="228"/>
      <c r="I497" s="223" t="s">
        <v>1113</v>
      </c>
      <c r="J497" s="229">
        <v>1</v>
      </c>
      <c r="K497" s="229">
        <v>4400</v>
      </c>
      <c r="L497" s="229" t="s">
        <v>1102</v>
      </c>
      <c r="M497" s="229" t="s">
        <v>808</v>
      </c>
      <c r="N497" s="230" t="str">
        <f>IF(ISERROR(MATCH(A497,MemMap!$A$4:$A$98,0)) = FALSE, INDEX(MemMap!$B$4:$B$98,MATCH(A497,MemMap!$A$4:$A$98,0)),IF(F497="Y","TunSetCalSeg",IF(G497="Y", "FlashCalSeg", IF(G497="N", "FlashAppSeg", ""))))</f>
        <v>FlashCalSeg</v>
      </c>
      <c r="O497" s="220"/>
      <c r="P497" s="220"/>
      <c r="Q497" s="221"/>
      <c r="R497" s="221"/>
    </row>
    <row r="498" spans="1:18" ht="22.5" x14ac:dyDescent="0.2">
      <c r="A498" s="224" t="s">
        <v>2736</v>
      </c>
      <c r="B498" s="225" t="s">
        <v>2736</v>
      </c>
      <c r="C498" s="226" t="s">
        <v>2738</v>
      </c>
      <c r="D498" s="226" t="s">
        <v>2492</v>
      </c>
      <c r="E498" s="226" t="s">
        <v>2737</v>
      </c>
      <c r="F498" s="227" t="s">
        <v>82</v>
      </c>
      <c r="G498" s="228" t="s">
        <v>82</v>
      </c>
      <c r="H498" s="228"/>
      <c r="I498" s="223">
        <v>1</v>
      </c>
      <c r="J498" s="229">
        <v>0.01</v>
      </c>
      <c r="K498" s="229">
        <v>500</v>
      </c>
      <c r="L498" s="229" t="s">
        <v>804</v>
      </c>
      <c r="M498" s="229" t="s">
        <v>257</v>
      </c>
      <c r="N498" s="230" t="str">
        <f>IF(ISERROR(MATCH(A498,MemMap!$A$4:$A$98,0)) = FALSE, INDEX(MemMap!$B$4:$B$98,MATCH(A498,MemMap!$A$4:$A$98,0)),IF(F498="Y","TunSetCalSeg",IF(G498="Y", "FlashCalSeg", IF(G498="N", "FlashAppSeg", ""))))</f>
        <v>FlashAppSeg</v>
      </c>
      <c r="O498" s="220"/>
      <c r="P498" s="220"/>
      <c r="Q498" s="221"/>
      <c r="R498" s="221"/>
    </row>
    <row r="499" spans="1:18" ht="22.5" x14ac:dyDescent="0.2">
      <c r="A499" s="224" t="s">
        <v>2741</v>
      </c>
      <c r="B499" s="225" t="s">
        <v>2741</v>
      </c>
      <c r="C499" s="226" t="s">
        <v>2738</v>
      </c>
      <c r="D499" s="226" t="s">
        <v>2492</v>
      </c>
      <c r="E499" s="226" t="s">
        <v>2742</v>
      </c>
      <c r="F499" s="227" t="s">
        <v>82</v>
      </c>
      <c r="G499" s="228" t="s">
        <v>82</v>
      </c>
      <c r="H499" s="228"/>
      <c r="I499" s="223">
        <v>1</v>
      </c>
      <c r="J499" s="229">
        <v>0</v>
      </c>
      <c r="K499" s="229">
        <v>1</v>
      </c>
      <c r="L499" s="229" t="s">
        <v>256</v>
      </c>
      <c r="M499" s="229" t="s">
        <v>257</v>
      </c>
      <c r="N499" s="230" t="str">
        <f>IF(ISERROR(MATCH(A499,MemMap!$A$4:$A$98,0)) = FALSE, INDEX(MemMap!$B$4:$B$98,MATCH(A499,MemMap!$A$4:$A$98,0)),IF(F499="Y","TunSetCalSeg",IF(G499="Y", "FlashCalSeg", IF(G499="N", "FlashAppSeg", ""))))</f>
        <v>FlashAppSeg</v>
      </c>
      <c r="O499" s="220"/>
      <c r="P499" s="220"/>
      <c r="Q499" s="221"/>
      <c r="R499" s="221"/>
    </row>
    <row r="500" spans="1:18" ht="33.75" x14ac:dyDescent="0.2">
      <c r="A500" s="224" t="s">
        <v>2739</v>
      </c>
      <c r="B500" s="225" t="s">
        <v>2739</v>
      </c>
      <c r="C500" s="226" t="s">
        <v>2738</v>
      </c>
      <c r="D500" s="226" t="s">
        <v>2492</v>
      </c>
      <c r="E500" s="226" t="s">
        <v>2740</v>
      </c>
      <c r="F500" s="227" t="s">
        <v>82</v>
      </c>
      <c r="G500" s="228" t="s">
        <v>82</v>
      </c>
      <c r="H500" s="228"/>
      <c r="I500" s="223" t="b">
        <v>0</v>
      </c>
      <c r="J500" s="229" t="b">
        <v>0</v>
      </c>
      <c r="K500" s="229" t="b">
        <v>1</v>
      </c>
      <c r="L500" s="229" t="s">
        <v>387</v>
      </c>
      <c r="M500" s="229" t="s">
        <v>865</v>
      </c>
      <c r="N500" s="230" t="str">
        <f>IF(ISERROR(MATCH(A500,MemMap!$A$4:$A$98,0)) = FALSE, INDEX(MemMap!$B$4:$B$98,MATCH(A500,MemMap!$A$4:$A$98,0)),IF(F500="Y","TunSetCalSeg",IF(G500="Y", "FlashCalSeg", IF(G500="N", "FlashAppSeg", ""))))</f>
        <v>FlashAppSeg</v>
      </c>
      <c r="O500" s="220"/>
      <c r="P500" s="220"/>
      <c r="Q500" s="221"/>
      <c r="R500" s="221"/>
    </row>
    <row r="501" spans="1:18" x14ac:dyDescent="0.2">
      <c r="A501" s="224" t="s">
        <v>2743</v>
      </c>
      <c r="B501" s="225" t="s">
        <v>2743</v>
      </c>
      <c r="C501" s="226" t="s">
        <v>2738</v>
      </c>
      <c r="D501" s="226" t="s">
        <v>2492</v>
      </c>
      <c r="E501" s="226" t="s">
        <v>2744</v>
      </c>
      <c r="F501" s="227" t="s">
        <v>82</v>
      </c>
      <c r="G501" s="228" t="s">
        <v>82</v>
      </c>
      <c r="H501" s="228"/>
      <c r="I501" s="223">
        <v>1</v>
      </c>
      <c r="J501" s="229">
        <v>0.01</v>
      </c>
      <c r="K501" s="229">
        <v>500</v>
      </c>
      <c r="L501" s="229" t="s">
        <v>804</v>
      </c>
      <c r="M501" s="229" t="s">
        <v>257</v>
      </c>
      <c r="N501" s="230" t="str">
        <f>IF(ISERROR(MATCH(A501,MemMap!$A$4:$A$98,0)) = FALSE, INDEX(MemMap!$B$4:$B$98,MATCH(A501,MemMap!$A$4:$A$98,0)),IF(F501="Y","TunSetCalSeg",IF(G501="Y", "FlashCalSeg", IF(G501="N", "FlashAppSeg", ""))))</f>
        <v>FlashAppSeg</v>
      </c>
      <c r="O501" s="220"/>
      <c r="P501" s="220"/>
      <c r="Q501" s="221"/>
      <c r="R501" s="221"/>
    </row>
    <row r="502" spans="1:18" ht="33.75" x14ac:dyDescent="0.2">
      <c r="A502" s="224" t="s">
        <v>2745</v>
      </c>
      <c r="B502" s="225" t="s">
        <v>2745</v>
      </c>
      <c r="C502" s="226" t="s">
        <v>2738</v>
      </c>
      <c r="D502" s="226" t="s">
        <v>2492</v>
      </c>
      <c r="E502" s="226" t="s">
        <v>2746</v>
      </c>
      <c r="F502" s="227" t="s">
        <v>82</v>
      </c>
      <c r="G502" s="228" t="s">
        <v>82</v>
      </c>
      <c r="H502" s="228"/>
      <c r="I502" s="223">
        <v>2</v>
      </c>
      <c r="J502" s="229">
        <v>0</v>
      </c>
      <c r="K502" s="229">
        <v>5</v>
      </c>
      <c r="L502" s="229" t="s">
        <v>387</v>
      </c>
      <c r="M502" s="229" t="s">
        <v>938</v>
      </c>
      <c r="N502" s="230" t="str">
        <f>IF(ISERROR(MATCH(A502,MemMap!$A$4:$A$98,0)) = FALSE, INDEX(MemMap!$B$4:$B$98,MATCH(A502,MemMap!$A$4:$A$98,0)),IF(F502="Y","TunSetCalSeg",IF(G502="Y", "FlashCalSeg", IF(G502="N", "FlashAppSeg", ""))))</f>
        <v>FlashAppSeg</v>
      </c>
      <c r="O502" s="220"/>
      <c r="P502" s="220"/>
      <c r="Q502" s="221"/>
      <c r="R502" s="221"/>
    </row>
    <row r="503" spans="1:18" ht="33.75" x14ac:dyDescent="0.2">
      <c r="A503" s="224" t="s">
        <v>2747</v>
      </c>
      <c r="B503" s="225" t="s">
        <v>2747</v>
      </c>
      <c r="C503" s="226" t="s">
        <v>2738</v>
      </c>
      <c r="D503" s="226" t="s">
        <v>2492</v>
      </c>
      <c r="E503" s="226" t="s">
        <v>2748</v>
      </c>
      <c r="F503" s="227" t="s">
        <v>82</v>
      </c>
      <c r="G503" s="228" t="s">
        <v>82</v>
      </c>
      <c r="H503" s="228"/>
      <c r="I503" s="223">
        <v>4</v>
      </c>
      <c r="J503" s="229">
        <v>0</v>
      </c>
      <c r="K503" s="229">
        <v>5</v>
      </c>
      <c r="L503" s="229" t="s">
        <v>387</v>
      </c>
      <c r="M503" s="229" t="s">
        <v>938</v>
      </c>
      <c r="N503" s="230" t="str">
        <f>IF(ISERROR(MATCH(A503,MemMap!$A$4:$A$98,0)) = FALSE, INDEX(MemMap!$B$4:$B$98,MATCH(A503,MemMap!$A$4:$A$98,0)),IF(F503="Y","TunSetCalSeg",IF(G503="Y", "FlashCalSeg", IF(G503="N", "FlashAppSeg", ""))))</f>
        <v>FlashAppSeg</v>
      </c>
      <c r="O503" s="220"/>
      <c r="P503" s="220"/>
      <c r="Q503" s="221"/>
      <c r="R503" s="221"/>
    </row>
    <row r="504" spans="1:18" ht="33.75" x14ac:dyDescent="0.2">
      <c r="A504" s="224" t="s">
        <v>2749</v>
      </c>
      <c r="B504" s="225" t="s">
        <v>2749</v>
      </c>
      <c r="C504" s="226" t="s">
        <v>2738</v>
      </c>
      <c r="D504" s="226" t="s">
        <v>2492</v>
      </c>
      <c r="E504" s="226" t="s">
        <v>2750</v>
      </c>
      <c r="F504" s="227" t="s">
        <v>82</v>
      </c>
      <c r="G504" s="228" t="s">
        <v>82</v>
      </c>
      <c r="H504" s="228"/>
      <c r="I504" s="223">
        <v>2</v>
      </c>
      <c r="J504" s="229">
        <v>0</v>
      </c>
      <c r="K504" s="229">
        <v>5</v>
      </c>
      <c r="L504" s="229" t="s">
        <v>387</v>
      </c>
      <c r="M504" s="229" t="s">
        <v>938</v>
      </c>
      <c r="N504" s="230" t="str">
        <f>IF(ISERROR(MATCH(A504,MemMap!$A$4:$A$98,0)) = FALSE, INDEX(MemMap!$B$4:$B$98,MATCH(A504,MemMap!$A$4:$A$98,0)),IF(F504="Y","TunSetCalSeg",IF(G504="Y", "FlashCalSeg", IF(G504="N", "FlashAppSeg", ""))))</f>
        <v>FlashAppSeg</v>
      </c>
      <c r="O504" s="220"/>
      <c r="P504" s="220"/>
      <c r="Q504" s="221"/>
      <c r="R504" s="221"/>
    </row>
    <row r="505" spans="1:18" ht="33.75" x14ac:dyDescent="0.2">
      <c r="A505" s="224" t="s">
        <v>2751</v>
      </c>
      <c r="B505" s="225" t="s">
        <v>2751</v>
      </c>
      <c r="C505" s="226" t="s">
        <v>2738</v>
      </c>
      <c r="D505" s="226" t="s">
        <v>2492</v>
      </c>
      <c r="E505" s="226" t="s">
        <v>2752</v>
      </c>
      <c r="F505" s="227" t="s">
        <v>82</v>
      </c>
      <c r="G505" s="228" t="s">
        <v>82</v>
      </c>
      <c r="H505" s="228"/>
      <c r="I505" s="223">
        <v>1</v>
      </c>
      <c r="J505" s="229">
        <v>0</v>
      </c>
      <c r="K505" s="229">
        <v>5</v>
      </c>
      <c r="L505" s="229" t="s">
        <v>387</v>
      </c>
      <c r="M505" s="229" t="s">
        <v>938</v>
      </c>
      <c r="N505" s="230" t="str">
        <f>IF(ISERROR(MATCH(A505,MemMap!$A$4:$A$98,0)) = FALSE, INDEX(MemMap!$B$4:$B$98,MATCH(A505,MemMap!$A$4:$A$98,0)),IF(F505="Y","TunSetCalSeg",IF(G505="Y", "FlashCalSeg", IF(G505="N", "FlashAppSeg", ""))))</f>
        <v>FlashAppSeg</v>
      </c>
      <c r="O505" s="220"/>
      <c r="P505" s="220"/>
      <c r="Q505" s="221"/>
      <c r="R505" s="221"/>
    </row>
    <row r="506" spans="1:18" ht="33.75" x14ac:dyDescent="0.2">
      <c r="A506" s="224" t="s">
        <v>2753</v>
      </c>
      <c r="B506" s="225" t="s">
        <v>2753</v>
      </c>
      <c r="C506" s="226" t="s">
        <v>2738</v>
      </c>
      <c r="D506" s="226" t="s">
        <v>2492</v>
      </c>
      <c r="E506" s="226" t="s">
        <v>2754</v>
      </c>
      <c r="F506" s="227" t="s">
        <v>82</v>
      </c>
      <c r="G506" s="228" t="s">
        <v>82</v>
      </c>
      <c r="H506" s="228"/>
      <c r="I506" s="223">
        <v>0</v>
      </c>
      <c r="J506" s="229">
        <v>0</v>
      </c>
      <c r="K506" s="229">
        <v>5</v>
      </c>
      <c r="L506" s="229" t="s">
        <v>387</v>
      </c>
      <c r="M506" s="229" t="s">
        <v>938</v>
      </c>
      <c r="N506" s="230" t="str">
        <f>IF(ISERROR(MATCH(A506,MemMap!$A$4:$A$98,0)) = FALSE, INDEX(MemMap!$B$4:$B$98,MATCH(A506,MemMap!$A$4:$A$98,0)),IF(F506="Y","TunSetCalSeg",IF(G506="Y", "FlashCalSeg", IF(G506="N", "FlashAppSeg", ""))))</f>
        <v>FlashAppSeg</v>
      </c>
      <c r="O506" s="220"/>
      <c r="P506" s="220"/>
      <c r="Q506" s="221"/>
      <c r="R506" s="221"/>
    </row>
    <row r="507" spans="1:18" ht="33.75" x14ac:dyDescent="0.2">
      <c r="A507" s="224" t="s">
        <v>2755</v>
      </c>
      <c r="B507" s="225" t="s">
        <v>2755</v>
      </c>
      <c r="C507" s="226" t="s">
        <v>2738</v>
      </c>
      <c r="D507" s="226" t="s">
        <v>2492</v>
      </c>
      <c r="E507" s="226" t="s">
        <v>2756</v>
      </c>
      <c r="F507" s="227" t="s">
        <v>82</v>
      </c>
      <c r="G507" s="228" t="s">
        <v>82</v>
      </c>
      <c r="H507" s="228"/>
      <c r="I507" s="223">
        <v>0</v>
      </c>
      <c r="J507" s="229">
        <v>0</v>
      </c>
      <c r="K507" s="229">
        <v>5</v>
      </c>
      <c r="L507" s="229" t="s">
        <v>387</v>
      </c>
      <c r="M507" s="229" t="s">
        <v>938</v>
      </c>
      <c r="N507" s="230" t="str">
        <f>IF(ISERROR(MATCH(A507,MemMap!$A$4:$A$98,0)) = FALSE, INDEX(MemMap!$B$4:$B$98,MATCH(A507,MemMap!$A$4:$A$98,0)),IF(F507="Y","TunSetCalSeg",IF(G507="Y", "FlashCalSeg", IF(G507="N", "FlashAppSeg", ""))))</f>
        <v>FlashAppSeg</v>
      </c>
      <c r="O507" s="220"/>
      <c r="P507" s="220"/>
      <c r="Q507" s="221"/>
      <c r="R507" s="221"/>
    </row>
    <row r="508" spans="1:18" ht="33.75" x14ac:dyDescent="0.2">
      <c r="A508" s="224" t="s">
        <v>2757</v>
      </c>
      <c r="B508" s="225" t="s">
        <v>2757</v>
      </c>
      <c r="C508" s="226" t="s">
        <v>2738</v>
      </c>
      <c r="D508" s="226" t="s">
        <v>2492</v>
      </c>
      <c r="E508" s="226" t="s">
        <v>2758</v>
      </c>
      <c r="F508" s="227" t="s">
        <v>82</v>
      </c>
      <c r="G508" s="228" t="s">
        <v>82</v>
      </c>
      <c r="H508" s="228"/>
      <c r="I508" s="223">
        <v>1</v>
      </c>
      <c r="J508" s="229">
        <v>0</v>
      </c>
      <c r="K508" s="229">
        <v>4</v>
      </c>
      <c r="L508" s="229" t="s">
        <v>387</v>
      </c>
      <c r="M508" s="229" t="s">
        <v>938</v>
      </c>
      <c r="N508" s="230" t="str">
        <f>IF(ISERROR(MATCH(A508,MemMap!$A$4:$A$98,0)) = FALSE, INDEX(MemMap!$B$4:$B$98,MATCH(A508,MemMap!$A$4:$A$98,0)),IF(F508="Y","TunSetCalSeg",IF(G508="Y", "FlashCalSeg", IF(G508="N", "FlashAppSeg", ""))))</f>
        <v>FlashAppSeg</v>
      </c>
      <c r="O508" s="220"/>
      <c r="P508" s="220"/>
      <c r="Q508" s="221"/>
      <c r="R508" s="221"/>
    </row>
    <row r="509" spans="1:18" ht="22.5" x14ac:dyDescent="0.2">
      <c r="A509" s="224" t="s">
        <v>2759</v>
      </c>
      <c r="B509" s="225" t="s">
        <v>2759</v>
      </c>
      <c r="C509" s="226" t="s">
        <v>2738</v>
      </c>
      <c r="D509" s="226" t="s">
        <v>2492</v>
      </c>
      <c r="E509" s="226" t="s">
        <v>2760</v>
      </c>
      <c r="F509" s="227" t="s">
        <v>82</v>
      </c>
      <c r="G509" s="228" t="s">
        <v>82</v>
      </c>
      <c r="H509" s="228"/>
      <c r="I509" s="223">
        <v>1</v>
      </c>
      <c r="J509" s="229">
        <v>0.01</v>
      </c>
      <c r="K509" s="229">
        <v>500</v>
      </c>
      <c r="L509" s="229" t="s">
        <v>804</v>
      </c>
      <c r="M509" s="229" t="s">
        <v>257</v>
      </c>
      <c r="N509" s="230" t="str">
        <f>IF(ISERROR(MATCH(A509,MemMap!$A$4:$A$98,0)) = FALSE, INDEX(MemMap!$B$4:$B$98,MATCH(A509,MemMap!$A$4:$A$98,0)),IF(F509="Y","TunSetCalSeg",IF(G509="Y", "FlashCalSeg", IF(G509="N", "FlashAppSeg", ""))))</f>
        <v>FlashAppSeg</v>
      </c>
      <c r="O509" s="220"/>
      <c r="P509" s="220"/>
      <c r="Q509" s="221"/>
      <c r="R509" s="221"/>
    </row>
    <row r="510" spans="1:18" ht="22.5" x14ac:dyDescent="0.2">
      <c r="A510" s="224" t="s">
        <v>2761</v>
      </c>
      <c r="B510" s="225" t="s">
        <v>2761</v>
      </c>
      <c r="C510" s="226" t="s">
        <v>2738</v>
      </c>
      <c r="D510" s="226" t="s">
        <v>2492</v>
      </c>
      <c r="E510" s="226" t="s">
        <v>2762</v>
      </c>
      <c r="F510" s="227" t="s">
        <v>82</v>
      </c>
      <c r="G510" s="228" t="s">
        <v>82</v>
      </c>
      <c r="H510" s="228"/>
      <c r="I510" s="223">
        <v>1</v>
      </c>
      <c r="J510" s="229">
        <v>0</v>
      </c>
      <c r="K510" s="229">
        <v>1</v>
      </c>
      <c r="L510" s="229" t="s">
        <v>256</v>
      </c>
      <c r="M510" s="229" t="s">
        <v>257</v>
      </c>
      <c r="N510" s="230" t="str">
        <f>IF(ISERROR(MATCH(A510,MemMap!$A$4:$A$98,0)) = FALSE, INDEX(MemMap!$B$4:$B$98,MATCH(A510,MemMap!$A$4:$A$98,0)),IF(F510="Y","TunSetCalSeg",IF(G510="Y", "FlashCalSeg", IF(G510="N", "FlashAppSeg", ""))))</f>
        <v>FlashAppSeg</v>
      </c>
      <c r="O510" s="220"/>
      <c r="P510" s="220"/>
      <c r="Q510" s="221"/>
      <c r="R510" s="221"/>
    </row>
    <row r="511" spans="1:18" ht="22.5" x14ac:dyDescent="0.2">
      <c r="A511" s="224" t="s">
        <v>2763</v>
      </c>
      <c r="B511" s="225" t="s">
        <v>2763</v>
      </c>
      <c r="C511" s="226" t="s">
        <v>2738</v>
      </c>
      <c r="D511" s="226" t="s">
        <v>2492</v>
      </c>
      <c r="E511" s="226" t="s">
        <v>2764</v>
      </c>
      <c r="F511" s="227" t="s">
        <v>82</v>
      </c>
      <c r="G511" s="228" t="s">
        <v>82</v>
      </c>
      <c r="H511" s="228"/>
      <c r="I511" s="223">
        <v>0</v>
      </c>
      <c r="J511" s="229">
        <v>0</v>
      </c>
      <c r="K511" s="229">
        <v>5</v>
      </c>
      <c r="L511" s="229" t="s">
        <v>387</v>
      </c>
      <c r="M511" s="229" t="s">
        <v>938</v>
      </c>
      <c r="N511" s="230" t="str">
        <f>IF(ISERROR(MATCH(A511,MemMap!$A$4:$A$98,0)) = FALSE, INDEX(MemMap!$B$4:$B$98,MATCH(A511,MemMap!$A$4:$A$98,0)),IF(F511="Y","TunSetCalSeg",IF(G511="Y", "FlashCalSeg", IF(G511="N", "FlashAppSeg", ""))))</f>
        <v>FlashAppSeg</v>
      </c>
      <c r="O511" s="220"/>
      <c r="P511" s="220"/>
      <c r="Q511" s="221"/>
      <c r="R511" s="221"/>
    </row>
    <row r="512" spans="1:18" ht="22.5" x14ac:dyDescent="0.2">
      <c r="A512" s="224" t="s">
        <v>2765</v>
      </c>
      <c r="B512" s="225" t="s">
        <v>2765</v>
      </c>
      <c r="C512" s="226" t="s">
        <v>2738</v>
      </c>
      <c r="D512" s="226" t="s">
        <v>2492</v>
      </c>
      <c r="E512" s="226" t="s">
        <v>2766</v>
      </c>
      <c r="F512" s="227" t="s">
        <v>82</v>
      </c>
      <c r="G512" s="228" t="s">
        <v>82</v>
      </c>
      <c r="H512" s="228"/>
      <c r="I512" s="223">
        <v>0</v>
      </c>
      <c r="J512" s="229">
        <v>0</v>
      </c>
      <c r="K512" s="229">
        <v>5</v>
      </c>
      <c r="L512" s="229" t="s">
        <v>387</v>
      </c>
      <c r="M512" s="229" t="s">
        <v>938</v>
      </c>
      <c r="N512" s="230" t="str">
        <f>IF(ISERROR(MATCH(A512,MemMap!$A$4:$A$98,0)) = FALSE, INDEX(MemMap!$B$4:$B$98,MATCH(A512,MemMap!$A$4:$A$98,0)),IF(F512="Y","TunSetCalSeg",IF(G512="Y", "FlashCalSeg", IF(G512="N", "FlashAppSeg", ""))))</f>
        <v>FlashAppSeg</v>
      </c>
      <c r="O512" s="220"/>
      <c r="P512" s="220"/>
      <c r="Q512" s="221"/>
      <c r="R512" s="221"/>
    </row>
    <row r="513" spans="1:18" ht="22.5" x14ac:dyDescent="0.2">
      <c r="A513" s="224" t="s">
        <v>2767</v>
      </c>
      <c r="B513" s="225" t="s">
        <v>2767</v>
      </c>
      <c r="C513" s="226" t="s">
        <v>2738</v>
      </c>
      <c r="D513" s="226" t="s">
        <v>2492</v>
      </c>
      <c r="E513" s="226" t="s">
        <v>2768</v>
      </c>
      <c r="F513" s="227" t="s">
        <v>82</v>
      </c>
      <c r="G513" s="228" t="s">
        <v>82</v>
      </c>
      <c r="H513" s="228"/>
      <c r="I513" s="223">
        <v>0</v>
      </c>
      <c r="J513" s="229">
        <v>0</v>
      </c>
      <c r="K513" s="229">
        <v>2</v>
      </c>
      <c r="L513" s="229" t="s">
        <v>387</v>
      </c>
      <c r="M513" s="229" t="s">
        <v>938</v>
      </c>
      <c r="N513" s="230" t="str">
        <f>IF(ISERROR(MATCH(A513,MemMap!$A$4:$A$98,0)) = FALSE, INDEX(MemMap!$B$4:$B$98,MATCH(A513,MemMap!$A$4:$A$98,0)),IF(F513="Y","TunSetCalSeg",IF(G513="Y", "FlashCalSeg", IF(G513="N", "FlashAppSeg", ""))))</f>
        <v>FlashAppSeg</v>
      </c>
      <c r="O513" s="220"/>
      <c r="P513" s="220"/>
      <c r="Q513" s="221"/>
      <c r="R513" s="221"/>
    </row>
    <row r="514" spans="1:18" x14ac:dyDescent="0.2">
      <c r="A514" s="224" t="s">
        <v>2769</v>
      </c>
      <c r="B514" s="225" t="s">
        <v>2769</v>
      </c>
      <c r="C514" s="226" t="s">
        <v>2738</v>
      </c>
      <c r="D514" s="226" t="s">
        <v>2492</v>
      </c>
      <c r="E514" s="226" t="s">
        <v>2770</v>
      </c>
      <c r="F514" s="227" t="s">
        <v>82</v>
      </c>
      <c r="G514" s="228" t="s">
        <v>82</v>
      </c>
      <c r="H514" s="228"/>
      <c r="I514" s="223">
        <v>1</v>
      </c>
      <c r="J514" s="229">
        <v>0.01</v>
      </c>
      <c r="K514" s="229">
        <v>500</v>
      </c>
      <c r="L514" s="229" t="s">
        <v>804</v>
      </c>
      <c r="M514" s="229" t="s">
        <v>257</v>
      </c>
      <c r="N514" s="230" t="str">
        <f>IF(ISERROR(MATCH(A514,MemMap!$A$4:$A$98,0)) = FALSE, INDEX(MemMap!$B$4:$B$98,MATCH(A514,MemMap!$A$4:$A$98,0)),IF(F514="Y","TunSetCalSeg",IF(G514="Y", "FlashCalSeg", IF(G514="N", "FlashAppSeg", ""))))</f>
        <v>FlashAppSeg</v>
      </c>
      <c r="O514" s="220"/>
      <c r="P514" s="220"/>
      <c r="Q514" s="221"/>
      <c r="R514" s="221"/>
    </row>
    <row r="515" spans="1:18" x14ac:dyDescent="0.2">
      <c r="A515" s="224" t="s">
        <v>2773</v>
      </c>
      <c r="B515" s="225" t="s">
        <v>2773</v>
      </c>
      <c r="C515" s="226" t="s">
        <v>2738</v>
      </c>
      <c r="D515" s="226" t="s">
        <v>2492</v>
      </c>
      <c r="E515" s="226" t="s">
        <v>2774</v>
      </c>
      <c r="F515" s="227" t="s">
        <v>82</v>
      </c>
      <c r="G515" s="228" t="s">
        <v>82</v>
      </c>
      <c r="H515" s="228"/>
      <c r="I515" s="223">
        <v>1</v>
      </c>
      <c r="J515" s="229">
        <v>0</v>
      </c>
      <c r="K515" s="229">
        <v>1</v>
      </c>
      <c r="L515" s="229" t="s">
        <v>256</v>
      </c>
      <c r="M515" s="229" t="s">
        <v>257</v>
      </c>
      <c r="N515" s="230" t="str">
        <f>IF(ISERROR(MATCH(A515,MemMap!$A$4:$A$98,0)) = FALSE, INDEX(MemMap!$B$4:$B$98,MATCH(A515,MemMap!$A$4:$A$98,0)),IF(F515="Y","TunSetCalSeg",IF(G515="Y", "FlashCalSeg", IF(G515="N", "FlashAppSeg", ""))))</f>
        <v>FlashAppSeg</v>
      </c>
      <c r="O515" s="220"/>
      <c r="P515" s="220"/>
      <c r="Q515" s="221"/>
      <c r="R515" s="221"/>
    </row>
    <row r="516" spans="1:18" ht="22.5" x14ac:dyDescent="0.2">
      <c r="A516" s="224" t="s">
        <v>2771</v>
      </c>
      <c r="B516" s="225" t="s">
        <v>2771</v>
      </c>
      <c r="C516" s="226" t="s">
        <v>2738</v>
      </c>
      <c r="D516" s="226" t="s">
        <v>2492</v>
      </c>
      <c r="E516" s="226" t="s">
        <v>2772</v>
      </c>
      <c r="F516" s="227" t="s">
        <v>82</v>
      </c>
      <c r="G516" s="228" t="s">
        <v>82</v>
      </c>
      <c r="H516" s="228"/>
      <c r="I516" s="223" t="b">
        <v>0</v>
      </c>
      <c r="J516" s="229" t="b">
        <v>0</v>
      </c>
      <c r="K516" s="229" t="b">
        <v>1</v>
      </c>
      <c r="L516" s="229" t="s">
        <v>387</v>
      </c>
      <c r="M516" s="229" t="s">
        <v>865</v>
      </c>
      <c r="N516" s="230" t="str">
        <f>IF(ISERROR(MATCH(A516,MemMap!$A$4:$A$98,0)) = FALSE, INDEX(MemMap!$B$4:$B$98,MATCH(A516,MemMap!$A$4:$A$98,0)),IF(F516="Y","TunSetCalSeg",IF(G516="Y", "FlashCalSeg", IF(G516="N", "FlashAppSeg", ""))))</f>
        <v>FlashAppSeg</v>
      </c>
      <c r="O516" s="220"/>
      <c r="P516" s="220"/>
      <c r="Q516" s="221"/>
      <c r="R516" s="221"/>
    </row>
    <row r="517" spans="1:18" ht="33.75" x14ac:dyDescent="0.2">
      <c r="A517" s="224" t="s">
        <v>2775</v>
      </c>
      <c r="B517" s="225" t="s">
        <v>2775</v>
      </c>
      <c r="C517" s="226" t="s">
        <v>2738</v>
      </c>
      <c r="D517" s="226" t="s">
        <v>2492</v>
      </c>
      <c r="E517" s="226" t="s">
        <v>2776</v>
      </c>
      <c r="F517" s="227" t="s">
        <v>82</v>
      </c>
      <c r="G517" s="228" t="s">
        <v>82</v>
      </c>
      <c r="H517" s="228"/>
      <c r="I517" s="223">
        <v>5</v>
      </c>
      <c r="J517" s="229">
        <v>0</v>
      </c>
      <c r="K517" s="229">
        <v>5</v>
      </c>
      <c r="L517" s="229" t="s">
        <v>387</v>
      </c>
      <c r="M517" s="229" t="s">
        <v>938</v>
      </c>
      <c r="N517" s="230" t="str">
        <f>IF(ISERROR(MATCH(A517,MemMap!$A$4:$A$98,0)) = FALSE, INDEX(MemMap!$B$4:$B$98,MATCH(A517,MemMap!$A$4:$A$98,0)),IF(F517="Y","TunSetCalSeg",IF(G517="Y", "FlashCalSeg", IF(G517="N", "FlashAppSeg", ""))))</f>
        <v>FlashAppSeg</v>
      </c>
      <c r="O517" s="220"/>
      <c r="P517" s="220"/>
      <c r="Q517" s="221"/>
      <c r="R517" s="221"/>
    </row>
    <row r="518" spans="1:18" ht="22.5" x14ac:dyDescent="0.2">
      <c r="A518" s="224" t="s">
        <v>2777</v>
      </c>
      <c r="B518" s="225" t="s">
        <v>2777</v>
      </c>
      <c r="C518" s="226" t="s">
        <v>2738</v>
      </c>
      <c r="D518" s="226" t="s">
        <v>2492</v>
      </c>
      <c r="E518" s="226" t="s">
        <v>2778</v>
      </c>
      <c r="F518" s="227" t="s">
        <v>82</v>
      </c>
      <c r="G518" s="228" t="s">
        <v>82</v>
      </c>
      <c r="H518" s="228"/>
      <c r="I518" s="223">
        <v>1</v>
      </c>
      <c r="J518" s="229">
        <v>0</v>
      </c>
      <c r="K518" s="229">
        <v>5</v>
      </c>
      <c r="L518" s="229" t="s">
        <v>387</v>
      </c>
      <c r="M518" s="229" t="s">
        <v>938</v>
      </c>
      <c r="N518" s="230" t="str">
        <f>IF(ISERROR(MATCH(A518,MemMap!$A$4:$A$98,0)) = FALSE, INDEX(MemMap!$B$4:$B$98,MATCH(A518,MemMap!$A$4:$A$98,0)),IF(F518="Y","TunSetCalSeg",IF(G518="Y", "FlashCalSeg", IF(G518="N", "FlashAppSeg", ""))))</f>
        <v>FlashAppSeg</v>
      </c>
      <c r="O518" s="220"/>
      <c r="P518" s="220"/>
      <c r="Q518" s="221"/>
      <c r="R518" s="221"/>
    </row>
    <row r="519" spans="1:18" ht="22.5" x14ac:dyDescent="0.2">
      <c r="A519" s="224" t="s">
        <v>2779</v>
      </c>
      <c r="B519" s="225" t="s">
        <v>2779</v>
      </c>
      <c r="C519" s="226" t="s">
        <v>2738</v>
      </c>
      <c r="D519" s="226" t="s">
        <v>2492</v>
      </c>
      <c r="E519" s="226" t="s">
        <v>2780</v>
      </c>
      <c r="F519" s="227" t="s">
        <v>82</v>
      </c>
      <c r="G519" s="228" t="s">
        <v>82</v>
      </c>
      <c r="H519" s="228"/>
      <c r="I519" s="223">
        <v>0</v>
      </c>
      <c r="J519" s="229">
        <v>0</v>
      </c>
      <c r="K519" s="229">
        <v>5</v>
      </c>
      <c r="L519" s="229" t="s">
        <v>387</v>
      </c>
      <c r="M519" s="229" t="s">
        <v>938</v>
      </c>
      <c r="N519" s="230" t="str">
        <f>IF(ISERROR(MATCH(A519,MemMap!$A$4:$A$98,0)) = FALSE, INDEX(MemMap!$B$4:$B$98,MATCH(A519,MemMap!$A$4:$A$98,0)),IF(F519="Y","TunSetCalSeg",IF(G519="Y", "FlashCalSeg", IF(G519="N", "FlashAppSeg", ""))))</f>
        <v>FlashAppSeg</v>
      </c>
      <c r="O519" s="220"/>
      <c r="P519" s="220"/>
      <c r="Q519" s="221"/>
      <c r="R519" s="221"/>
    </row>
    <row r="520" spans="1:18" ht="22.5" x14ac:dyDescent="0.2">
      <c r="A520" s="224" t="s">
        <v>2781</v>
      </c>
      <c r="B520" s="225" t="s">
        <v>2781</v>
      </c>
      <c r="C520" s="226" t="s">
        <v>2738</v>
      </c>
      <c r="D520" s="226" t="s">
        <v>2492</v>
      </c>
      <c r="E520" s="226" t="s">
        <v>2782</v>
      </c>
      <c r="F520" s="227" t="s">
        <v>82</v>
      </c>
      <c r="G520" s="228" t="s">
        <v>82</v>
      </c>
      <c r="H520" s="228"/>
      <c r="I520" s="223">
        <v>2</v>
      </c>
      <c r="J520" s="229">
        <v>0</v>
      </c>
      <c r="K520" s="229">
        <v>3</v>
      </c>
      <c r="L520" s="229" t="s">
        <v>387</v>
      </c>
      <c r="M520" s="229" t="s">
        <v>938</v>
      </c>
      <c r="N520" s="230" t="str">
        <f>IF(ISERROR(MATCH(A520,MemMap!$A$4:$A$98,0)) = FALSE, INDEX(MemMap!$B$4:$B$98,MATCH(A520,MemMap!$A$4:$A$98,0)),IF(F520="Y","TunSetCalSeg",IF(G520="Y", "FlashCalSeg", IF(G520="N", "FlashAppSeg", ""))))</f>
        <v>FlashAppSeg</v>
      </c>
      <c r="O520" s="220"/>
      <c r="P520" s="220"/>
      <c r="Q520" s="221"/>
      <c r="R520" s="221"/>
    </row>
    <row r="521" spans="1:18" x14ac:dyDescent="0.2">
      <c r="A521" s="224" t="s">
        <v>2783</v>
      </c>
      <c r="B521" s="225" t="s">
        <v>2783</v>
      </c>
      <c r="C521" s="226" t="s">
        <v>2738</v>
      </c>
      <c r="D521" s="226" t="s">
        <v>2492</v>
      </c>
      <c r="E521" s="226" t="s">
        <v>2784</v>
      </c>
      <c r="F521" s="227" t="s">
        <v>82</v>
      </c>
      <c r="G521" s="228" t="s">
        <v>82</v>
      </c>
      <c r="H521" s="228"/>
      <c r="I521" s="223">
        <v>1</v>
      </c>
      <c r="J521" s="229">
        <v>0.01</v>
      </c>
      <c r="K521" s="229">
        <v>500</v>
      </c>
      <c r="L521" s="229" t="s">
        <v>804</v>
      </c>
      <c r="M521" s="229" t="s">
        <v>257</v>
      </c>
      <c r="N521" s="230" t="str">
        <f>IF(ISERROR(MATCH(A521,MemMap!$A$4:$A$98,0)) = FALSE, INDEX(MemMap!$B$4:$B$98,MATCH(A521,MemMap!$A$4:$A$98,0)),IF(F521="Y","TunSetCalSeg",IF(G521="Y", "FlashCalSeg", IF(G521="N", "FlashAppSeg", ""))))</f>
        <v>FlashAppSeg</v>
      </c>
      <c r="O521" s="220"/>
      <c r="P521" s="220"/>
      <c r="Q521" s="221"/>
      <c r="R521" s="221"/>
    </row>
    <row r="522" spans="1:18" ht="22.5" x14ac:dyDescent="0.2">
      <c r="A522" s="224" t="s">
        <v>2787</v>
      </c>
      <c r="B522" s="225" t="s">
        <v>2787</v>
      </c>
      <c r="C522" s="226" t="s">
        <v>2738</v>
      </c>
      <c r="D522" s="226" t="s">
        <v>2492</v>
      </c>
      <c r="E522" s="226" t="s">
        <v>2788</v>
      </c>
      <c r="F522" s="227" t="s">
        <v>82</v>
      </c>
      <c r="G522" s="228" t="s">
        <v>82</v>
      </c>
      <c r="H522" s="228"/>
      <c r="I522" s="223">
        <v>1</v>
      </c>
      <c r="J522" s="229">
        <v>0</v>
      </c>
      <c r="K522" s="229">
        <v>1</v>
      </c>
      <c r="L522" s="229" t="s">
        <v>256</v>
      </c>
      <c r="M522" s="229" t="s">
        <v>257</v>
      </c>
      <c r="N522" s="230" t="str">
        <f>IF(ISERROR(MATCH(A522,MemMap!$A$4:$A$98,0)) = FALSE, INDEX(MemMap!$B$4:$B$98,MATCH(A522,MemMap!$A$4:$A$98,0)),IF(F522="Y","TunSetCalSeg",IF(G522="Y", "FlashCalSeg", IF(G522="N", "FlashAppSeg", ""))))</f>
        <v>FlashAppSeg</v>
      </c>
      <c r="O522" s="220"/>
      <c r="P522" s="220"/>
      <c r="Q522" s="221"/>
      <c r="R522" s="221"/>
    </row>
    <row r="523" spans="1:18" ht="22.5" x14ac:dyDescent="0.2">
      <c r="A523" s="224" t="s">
        <v>2785</v>
      </c>
      <c r="B523" s="225" t="s">
        <v>2785</v>
      </c>
      <c r="C523" s="226" t="s">
        <v>2738</v>
      </c>
      <c r="D523" s="226" t="s">
        <v>2492</v>
      </c>
      <c r="E523" s="226" t="s">
        <v>2786</v>
      </c>
      <c r="F523" s="227" t="s">
        <v>82</v>
      </c>
      <c r="G523" s="228" t="s">
        <v>82</v>
      </c>
      <c r="H523" s="228"/>
      <c r="I523" s="223" t="b">
        <v>0</v>
      </c>
      <c r="J523" s="229" t="b">
        <v>0</v>
      </c>
      <c r="K523" s="229" t="b">
        <v>1</v>
      </c>
      <c r="L523" s="229" t="s">
        <v>387</v>
      </c>
      <c r="M523" s="229" t="s">
        <v>865</v>
      </c>
      <c r="N523" s="230" t="str">
        <f>IF(ISERROR(MATCH(A523,MemMap!$A$4:$A$98,0)) = FALSE, INDEX(MemMap!$B$4:$B$98,MATCH(A523,MemMap!$A$4:$A$98,0)),IF(F523="Y","TunSetCalSeg",IF(G523="Y", "FlashCalSeg", IF(G523="N", "FlashAppSeg", ""))))</f>
        <v>FlashAppSeg</v>
      </c>
      <c r="O523" s="220"/>
      <c r="P523" s="220"/>
      <c r="Q523" s="221"/>
      <c r="R523" s="221"/>
    </row>
    <row r="524" spans="1:18" ht="22.5" x14ac:dyDescent="0.2">
      <c r="A524" s="224" t="s">
        <v>2789</v>
      </c>
      <c r="B524" s="225" t="s">
        <v>2789</v>
      </c>
      <c r="C524" s="226" t="s">
        <v>2738</v>
      </c>
      <c r="D524" s="226" t="s">
        <v>2492</v>
      </c>
      <c r="E524" s="226" t="s">
        <v>2790</v>
      </c>
      <c r="F524" s="227" t="s">
        <v>82</v>
      </c>
      <c r="G524" s="228" t="s">
        <v>82</v>
      </c>
      <c r="H524" s="228"/>
      <c r="I524" s="223">
        <v>2</v>
      </c>
      <c r="J524" s="229">
        <v>0</v>
      </c>
      <c r="K524" s="229">
        <v>5</v>
      </c>
      <c r="L524" s="229" t="s">
        <v>387</v>
      </c>
      <c r="M524" s="229" t="s">
        <v>938</v>
      </c>
      <c r="N524" s="230" t="str">
        <f>IF(ISERROR(MATCH(A524,MemMap!$A$4:$A$98,0)) = FALSE, INDEX(MemMap!$B$4:$B$98,MATCH(A524,MemMap!$A$4:$A$98,0)),IF(F524="Y","TunSetCalSeg",IF(G524="Y", "FlashCalSeg", IF(G524="N", "FlashAppSeg", ""))))</f>
        <v>FlashAppSeg</v>
      </c>
      <c r="O524" s="220"/>
      <c r="P524" s="220"/>
      <c r="Q524" s="221"/>
      <c r="R524" s="221"/>
    </row>
    <row r="525" spans="1:18" ht="22.5" x14ac:dyDescent="0.2">
      <c r="A525" s="224" t="s">
        <v>2791</v>
      </c>
      <c r="B525" s="225" t="s">
        <v>2791</v>
      </c>
      <c r="C525" s="226" t="s">
        <v>2738</v>
      </c>
      <c r="D525" s="226" t="s">
        <v>2492</v>
      </c>
      <c r="E525" s="226" t="s">
        <v>2792</v>
      </c>
      <c r="F525" s="227" t="s">
        <v>82</v>
      </c>
      <c r="G525" s="228" t="s">
        <v>82</v>
      </c>
      <c r="H525" s="228"/>
      <c r="I525" s="223">
        <v>2</v>
      </c>
      <c r="J525" s="229">
        <v>0</v>
      </c>
      <c r="K525" s="229">
        <v>5</v>
      </c>
      <c r="L525" s="229" t="s">
        <v>387</v>
      </c>
      <c r="M525" s="229" t="s">
        <v>938</v>
      </c>
      <c r="N525" s="230" t="str">
        <f>IF(ISERROR(MATCH(A525,MemMap!$A$4:$A$98,0)) = FALSE, INDEX(MemMap!$B$4:$B$98,MATCH(A525,MemMap!$A$4:$A$98,0)),IF(F525="Y","TunSetCalSeg",IF(G525="Y", "FlashCalSeg", IF(G525="N", "FlashAppSeg", ""))))</f>
        <v>FlashAppSeg</v>
      </c>
      <c r="O525" s="220"/>
      <c r="P525" s="220"/>
      <c r="Q525" s="221"/>
      <c r="R525" s="221"/>
    </row>
    <row r="526" spans="1:18" ht="22.5" x14ac:dyDescent="0.2">
      <c r="A526" s="224" t="s">
        <v>2793</v>
      </c>
      <c r="B526" s="225" t="s">
        <v>2793</v>
      </c>
      <c r="C526" s="226" t="s">
        <v>2738</v>
      </c>
      <c r="D526" s="226" t="s">
        <v>2492</v>
      </c>
      <c r="E526" s="226" t="s">
        <v>2794</v>
      </c>
      <c r="F526" s="227" t="s">
        <v>82</v>
      </c>
      <c r="G526" s="228" t="s">
        <v>82</v>
      </c>
      <c r="H526" s="228"/>
      <c r="I526" s="223">
        <v>0</v>
      </c>
      <c r="J526" s="229">
        <v>0</v>
      </c>
      <c r="K526" s="229">
        <v>5</v>
      </c>
      <c r="L526" s="229" t="s">
        <v>387</v>
      </c>
      <c r="M526" s="229" t="s">
        <v>938</v>
      </c>
      <c r="N526" s="230" t="str">
        <f>IF(ISERROR(MATCH(A526,MemMap!$A$4:$A$98,0)) = FALSE, INDEX(MemMap!$B$4:$B$98,MATCH(A526,MemMap!$A$4:$A$98,0)),IF(F526="Y","TunSetCalSeg",IF(G526="Y", "FlashCalSeg", IF(G526="N", "FlashAppSeg", ""))))</f>
        <v>FlashAppSeg</v>
      </c>
      <c r="O526" s="220"/>
      <c r="P526" s="220"/>
      <c r="Q526" s="221"/>
      <c r="R526" s="221"/>
    </row>
    <row r="527" spans="1:18" ht="22.5" x14ac:dyDescent="0.2">
      <c r="A527" s="224" t="s">
        <v>2795</v>
      </c>
      <c r="B527" s="225" t="s">
        <v>2795</v>
      </c>
      <c r="C527" s="226" t="s">
        <v>2738</v>
      </c>
      <c r="D527" s="226" t="s">
        <v>2492</v>
      </c>
      <c r="E527" s="226" t="s">
        <v>2796</v>
      </c>
      <c r="F527" s="227" t="s">
        <v>82</v>
      </c>
      <c r="G527" s="228" t="s">
        <v>82</v>
      </c>
      <c r="H527" s="228"/>
      <c r="I527" s="223">
        <v>0</v>
      </c>
      <c r="J527" s="229">
        <v>0</v>
      </c>
      <c r="K527" s="229">
        <v>5</v>
      </c>
      <c r="L527" s="229" t="s">
        <v>387</v>
      </c>
      <c r="M527" s="229" t="s">
        <v>938</v>
      </c>
      <c r="N527" s="230" t="str">
        <f>IF(ISERROR(MATCH(A527,MemMap!$A$4:$A$98,0)) = FALSE, INDEX(MemMap!$B$4:$B$98,MATCH(A527,MemMap!$A$4:$A$98,0)),IF(F527="Y","TunSetCalSeg",IF(G527="Y", "FlashCalSeg", IF(G527="N", "FlashAppSeg", ""))))</f>
        <v>FlashAppSeg</v>
      </c>
      <c r="O527" s="220"/>
      <c r="P527" s="220"/>
      <c r="Q527" s="221"/>
      <c r="R527" s="221"/>
    </row>
    <row r="528" spans="1:18" ht="45" x14ac:dyDescent="0.2">
      <c r="A528" s="224" t="s">
        <v>2797</v>
      </c>
      <c r="B528" s="225" t="s">
        <v>2797</v>
      </c>
      <c r="C528" s="226" t="s">
        <v>2738</v>
      </c>
      <c r="D528" s="226" t="s">
        <v>2492</v>
      </c>
      <c r="E528" s="226" t="s">
        <v>2798</v>
      </c>
      <c r="F528" s="227" t="s">
        <v>82</v>
      </c>
      <c r="G528" s="228" t="s">
        <v>82</v>
      </c>
      <c r="H528" s="228"/>
      <c r="I528" s="223">
        <v>0</v>
      </c>
      <c r="J528" s="229">
        <v>0</v>
      </c>
      <c r="K528" s="229">
        <v>2</v>
      </c>
      <c r="L528" s="229" t="s">
        <v>387</v>
      </c>
      <c r="M528" s="229" t="s">
        <v>938</v>
      </c>
      <c r="N528" s="230" t="str">
        <f>IF(ISERROR(MATCH(A528,MemMap!$A$4:$A$98,0)) = FALSE, INDEX(MemMap!$B$4:$B$98,MATCH(A528,MemMap!$A$4:$A$98,0)),IF(F528="Y","TunSetCalSeg",IF(G528="Y", "FlashCalSeg", IF(G528="N", "FlashAppSeg", ""))))</f>
        <v>FlashAppSeg</v>
      </c>
      <c r="O528" s="220"/>
      <c r="P528" s="220"/>
      <c r="Q528" s="221"/>
      <c r="R528" s="221"/>
    </row>
    <row r="529" spans="1:18" ht="33.75" x14ac:dyDescent="0.2">
      <c r="A529" s="224" t="s">
        <v>2799</v>
      </c>
      <c r="B529" s="225" t="s">
        <v>2799</v>
      </c>
      <c r="C529" s="226" t="s">
        <v>2738</v>
      </c>
      <c r="D529" s="226" t="s">
        <v>2492</v>
      </c>
      <c r="E529" s="226" t="s">
        <v>2800</v>
      </c>
      <c r="F529" s="227" t="s">
        <v>82</v>
      </c>
      <c r="G529" s="228" t="s">
        <v>82</v>
      </c>
      <c r="H529" s="228"/>
      <c r="I529" s="223">
        <v>1</v>
      </c>
      <c r="J529" s="229">
        <v>0.01</v>
      </c>
      <c r="K529" s="229">
        <v>500</v>
      </c>
      <c r="L529" s="229" t="s">
        <v>804</v>
      </c>
      <c r="M529" s="229" t="s">
        <v>257</v>
      </c>
      <c r="N529" s="230" t="str">
        <f>IF(ISERROR(MATCH(A529,MemMap!$A$4:$A$98,0)) = FALSE, INDEX(MemMap!$B$4:$B$98,MATCH(A529,MemMap!$A$4:$A$98,0)),IF(F529="Y","TunSetCalSeg",IF(G529="Y", "FlashCalSeg", IF(G529="N", "FlashAppSeg", ""))))</f>
        <v>FlashAppSeg</v>
      </c>
      <c r="O529" s="220"/>
      <c r="P529" s="220"/>
      <c r="Q529" s="221"/>
      <c r="R529" s="221"/>
    </row>
    <row r="530" spans="1:18" ht="33.75" x14ac:dyDescent="0.2">
      <c r="A530" s="224" t="s">
        <v>2803</v>
      </c>
      <c r="B530" s="225" t="s">
        <v>2803</v>
      </c>
      <c r="C530" s="226" t="s">
        <v>2738</v>
      </c>
      <c r="D530" s="226" t="s">
        <v>2492</v>
      </c>
      <c r="E530" s="226" t="s">
        <v>2804</v>
      </c>
      <c r="F530" s="227" t="s">
        <v>82</v>
      </c>
      <c r="G530" s="228" t="s">
        <v>82</v>
      </c>
      <c r="H530" s="228"/>
      <c r="I530" s="223">
        <v>1</v>
      </c>
      <c r="J530" s="229">
        <v>0</v>
      </c>
      <c r="K530" s="229">
        <v>1</v>
      </c>
      <c r="L530" s="229" t="s">
        <v>256</v>
      </c>
      <c r="M530" s="229" t="s">
        <v>257</v>
      </c>
      <c r="N530" s="230" t="str">
        <f>IF(ISERROR(MATCH(A530,MemMap!$A$4:$A$98,0)) = FALSE, INDEX(MemMap!$B$4:$B$98,MATCH(A530,MemMap!$A$4:$A$98,0)),IF(F530="Y","TunSetCalSeg",IF(G530="Y", "FlashCalSeg", IF(G530="N", "FlashAppSeg", ""))))</f>
        <v>FlashAppSeg</v>
      </c>
      <c r="O530" s="220"/>
      <c r="P530" s="220"/>
      <c r="Q530" s="221"/>
      <c r="R530" s="221"/>
    </row>
    <row r="531" spans="1:18" ht="33.75" x14ac:dyDescent="0.2">
      <c r="A531" s="224" t="s">
        <v>2801</v>
      </c>
      <c r="B531" s="225" t="s">
        <v>2801</v>
      </c>
      <c r="C531" s="226" t="s">
        <v>2738</v>
      </c>
      <c r="D531" s="226" t="s">
        <v>2492</v>
      </c>
      <c r="E531" s="226" t="s">
        <v>2802</v>
      </c>
      <c r="F531" s="227" t="s">
        <v>82</v>
      </c>
      <c r="G531" s="228" t="s">
        <v>82</v>
      </c>
      <c r="H531" s="228"/>
      <c r="I531" s="223" t="b">
        <v>1</v>
      </c>
      <c r="J531" s="229" t="b">
        <v>0</v>
      </c>
      <c r="K531" s="229" t="b">
        <v>1</v>
      </c>
      <c r="L531" s="229" t="s">
        <v>387</v>
      </c>
      <c r="M531" s="229" t="s">
        <v>865</v>
      </c>
      <c r="N531" s="230" t="str">
        <f>IF(ISERROR(MATCH(A531,MemMap!$A$4:$A$98,0)) = FALSE, INDEX(MemMap!$B$4:$B$98,MATCH(A531,MemMap!$A$4:$A$98,0)),IF(F531="Y","TunSetCalSeg",IF(G531="Y", "FlashCalSeg", IF(G531="N", "FlashAppSeg", ""))))</f>
        <v>FlashAppSeg</v>
      </c>
      <c r="O531" s="220"/>
      <c r="P531" s="220"/>
      <c r="Q531" s="221"/>
      <c r="R531" s="221"/>
    </row>
    <row r="532" spans="1:18" ht="33.75" x14ac:dyDescent="0.2">
      <c r="A532" s="224" t="s">
        <v>2805</v>
      </c>
      <c r="B532" s="225" t="s">
        <v>2805</v>
      </c>
      <c r="C532" s="226" t="s">
        <v>2738</v>
      </c>
      <c r="D532" s="226" t="s">
        <v>2492</v>
      </c>
      <c r="E532" s="226" t="s">
        <v>2806</v>
      </c>
      <c r="F532" s="227" t="s">
        <v>82</v>
      </c>
      <c r="G532" s="228" t="s">
        <v>82</v>
      </c>
      <c r="H532" s="228"/>
      <c r="I532" s="223">
        <v>1</v>
      </c>
      <c r="J532" s="229">
        <v>0.01</v>
      </c>
      <c r="K532" s="229">
        <v>500</v>
      </c>
      <c r="L532" s="229" t="s">
        <v>804</v>
      </c>
      <c r="M532" s="229" t="s">
        <v>257</v>
      </c>
      <c r="N532" s="230" t="str">
        <f>IF(ISERROR(MATCH(A532,MemMap!$A$4:$A$98,0)) = FALSE, INDEX(MemMap!$B$4:$B$98,MATCH(A532,MemMap!$A$4:$A$98,0)),IF(F532="Y","TunSetCalSeg",IF(G532="Y", "FlashCalSeg", IF(G532="N", "FlashAppSeg", ""))))</f>
        <v>FlashAppSeg</v>
      </c>
      <c r="O532" s="220"/>
      <c r="P532" s="220"/>
      <c r="Q532" s="221"/>
      <c r="R532" s="221"/>
    </row>
    <row r="533" spans="1:18" ht="22.5" x14ac:dyDescent="0.2">
      <c r="A533" s="224" t="s">
        <v>2807</v>
      </c>
      <c r="B533" s="225" t="s">
        <v>2807</v>
      </c>
      <c r="C533" s="226" t="s">
        <v>2738</v>
      </c>
      <c r="D533" s="226" t="s">
        <v>2492</v>
      </c>
      <c r="E533" s="226" t="s">
        <v>2808</v>
      </c>
      <c r="F533" s="227" t="s">
        <v>82</v>
      </c>
      <c r="G533" s="228" t="s">
        <v>82</v>
      </c>
      <c r="H533" s="228"/>
      <c r="I533" s="223">
        <v>1</v>
      </c>
      <c r="J533" s="229">
        <v>0</v>
      </c>
      <c r="K533" s="229">
        <v>1</v>
      </c>
      <c r="L533" s="229" t="s">
        <v>256</v>
      </c>
      <c r="M533" s="229" t="s">
        <v>257</v>
      </c>
      <c r="N533" s="230" t="str">
        <f>IF(ISERROR(MATCH(A533,MemMap!$A$4:$A$98,0)) = FALSE, INDEX(MemMap!$B$4:$B$98,MATCH(A533,MemMap!$A$4:$A$98,0)),IF(F533="Y","TunSetCalSeg",IF(G533="Y", "FlashCalSeg", IF(G533="N", "FlashAppSeg", ""))))</f>
        <v>FlashAppSeg</v>
      </c>
      <c r="O533" s="220"/>
      <c r="P533" s="220"/>
      <c r="Q533" s="221"/>
      <c r="R533" s="221"/>
    </row>
    <row r="534" spans="1:18" ht="67.5" x14ac:dyDescent="0.2">
      <c r="A534" s="224" t="s">
        <v>3703</v>
      </c>
      <c r="B534" s="225" t="s">
        <v>3703</v>
      </c>
      <c r="C534" s="226" t="s">
        <v>2738</v>
      </c>
      <c r="D534" s="226" t="s">
        <v>2492</v>
      </c>
      <c r="E534" s="226" t="s">
        <v>3704</v>
      </c>
      <c r="F534" s="227" t="s">
        <v>82</v>
      </c>
      <c r="G534" s="228" t="s">
        <v>82</v>
      </c>
      <c r="H534" s="228"/>
      <c r="I534" s="223" t="b">
        <v>0</v>
      </c>
      <c r="J534" s="229" t="b">
        <v>0</v>
      </c>
      <c r="K534" s="229" t="b">
        <v>1</v>
      </c>
      <c r="L534" s="229" t="s">
        <v>387</v>
      </c>
      <c r="M534" s="229" t="s">
        <v>865</v>
      </c>
      <c r="N534" s="230" t="str">
        <f>IF(ISERROR(MATCH(A534,MemMap!$A$4:$A$98,0)) = FALSE, INDEX(MemMap!$B$4:$B$98,MATCH(A534,MemMap!$A$4:$A$98,0)),IF(F534="Y","TunSetCalSeg",IF(G534="Y", "FlashCalSeg", IF(G534="N", "FlashAppSeg", ""))))</f>
        <v>FlashAppSeg</v>
      </c>
      <c r="O534" s="220"/>
      <c r="P534" s="221"/>
      <c r="Q534" s="221"/>
      <c r="R534" s="221"/>
    </row>
    <row r="535" spans="1:18" ht="56.25" x14ac:dyDescent="0.2">
      <c r="A535" s="224" t="s">
        <v>1121</v>
      </c>
      <c r="B535" s="225" t="s">
        <v>1122</v>
      </c>
      <c r="C535" s="226" t="s">
        <v>1117</v>
      </c>
      <c r="D535" s="226" t="s">
        <v>200</v>
      </c>
      <c r="E535" s="226" t="s">
        <v>1123</v>
      </c>
      <c r="F535" s="227" t="s">
        <v>82</v>
      </c>
      <c r="G535" s="228" t="s">
        <v>82</v>
      </c>
      <c r="H535" s="228"/>
      <c r="I535" s="223">
        <v>1</v>
      </c>
      <c r="J535" s="229">
        <v>0</v>
      </c>
      <c r="K535" s="229">
        <v>1</v>
      </c>
      <c r="L535" s="229" t="s">
        <v>288</v>
      </c>
      <c r="M535" s="229" t="s">
        <v>257</v>
      </c>
      <c r="N535" s="230" t="str">
        <f>IF(ISERROR(MATCH(A535,MemMap!$A$4:$A$98,0)) = FALSE, INDEX(MemMap!$B$4:$B$98,MATCH(A535,MemMap!$A$4:$A$98,0)),IF(F535="Y","TunSetCalSeg",IF(G535="Y", "FlashCalSeg", IF(G535="N", "FlashAppSeg", ""))))</f>
        <v>FlashAppSeg</v>
      </c>
      <c r="O535" s="220"/>
      <c r="P535" s="220"/>
      <c r="Q535" s="221"/>
      <c r="R535" s="221"/>
    </row>
    <row r="536" spans="1:18" ht="56.25" x14ac:dyDescent="0.2">
      <c r="A536" s="224" t="s">
        <v>1118</v>
      </c>
      <c r="B536" s="225" t="s">
        <v>1119</v>
      </c>
      <c r="C536" s="226" t="s">
        <v>1117</v>
      </c>
      <c r="D536" s="226" t="s">
        <v>200</v>
      </c>
      <c r="E536" s="226" t="s">
        <v>1120</v>
      </c>
      <c r="F536" s="227" t="s">
        <v>82</v>
      </c>
      <c r="G536" s="228" t="s">
        <v>82</v>
      </c>
      <c r="H536" s="228"/>
      <c r="I536" s="223">
        <v>100</v>
      </c>
      <c r="J536" s="229">
        <v>0</v>
      </c>
      <c r="K536" s="229">
        <v>10000</v>
      </c>
      <c r="L536" s="229" t="s">
        <v>269</v>
      </c>
      <c r="M536" s="229" t="s">
        <v>263</v>
      </c>
      <c r="N536" s="230" t="str">
        <f>IF(ISERROR(MATCH(A536,MemMap!$A$4:$A$98,0)) = FALSE, INDEX(MemMap!$B$4:$B$98,MATCH(A536,MemMap!$A$4:$A$98,0)),IF(F536="Y","TunSetCalSeg",IF(G536="Y", "FlashCalSeg", IF(G536="N", "FlashAppSeg", ""))))</f>
        <v>FlashAppSeg</v>
      </c>
      <c r="O536" s="220"/>
      <c r="P536" s="220"/>
      <c r="Q536" s="221"/>
      <c r="R536" s="221"/>
    </row>
    <row r="537" spans="1:18" ht="45" x14ac:dyDescent="0.2">
      <c r="A537" s="224" t="s">
        <v>1124</v>
      </c>
      <c r="B537" s="225" t="s">
        <v>1125</v>
      </c>
      <c r="C537" s="226" t="s">
        <v>1117</v>
      </c>
      <c r="D537" s="226" t="s">
        <v>200</v>
      </c>
      <c r="E537" s="226" t="s">
        <v>1126</v>
      </c>
      <c r="F537" s="227" t="s">
        <v>82</v>
      </c>
      <c r="G537" s="228" t="s">
        <v>82</v>
      </c>
      <c r="H537" s="228"/>
      <c r="I537" s="223">
        <v>2</v>
      </c>
      <c r="J537" s="229">
        <v>0</v>
      </c>
      <c r="K537" s="229">
        <v>10</v>
      </c>
      <c r="L537" s="229" t="s">
        <v>261</v>
      </c>
      <c r="M537" s="229" t="s">
        <v>257</v>
      </c>
      <c r="N537" s="230" t="str">
        <f>IF(ISERROR(MATCH(A537,MemMap!$A$4:$A$98,0)) = FALSE, INDEX(MemMap!$B$4:$B$98,MATCH(A537,MemMap!$A$4:$A$98,0)),IF(F537="Y","TunSetCalSeg",IF(G537="Y", "FlashCalSeg", IF(G537="N", "FlashAppSeg", ""))))</f>
        <v>FlashAppSeg</v>
      </c>
      <c r="O537" s="220"/>
      <c r="P537" s="220"/>
      <c r="Q537" s="221"/>
      <c r="R537" s="221"/>
    </row>
    <row r="538" spans="1:18" ht="33.75" x14ac:dyDescent="0.2">
      <c r="A538" s="224" t="s">
        <v>1131</v>
      </c>
      <c r="B538" s="225" t="s">
        <v>1132</v>
      </c>
      <c r="C538" s="226" t="s">
        <v>1117</v>
      </c>
      <c r="D538" s="226" t="s">
        <v>200</v>
      </c>
      <c r="E538" s="226"/>
      <c r="F538" s="227" t="s">
        <v>82</v>
      </c>
      <c r="G538" s="228" t="s">
        <v>82</v>
      </c>
      <c r="H538" s="228"/>
      <c r="I538" s="223">
        <v>450</v>
      </c>
      <c r="J538" s="229">
        <v>360</v>
      </c>
      <c r="K538" s="229">
        <v>1440</v>
      </c>
      <c r="L538" s="229" t="s">
        <v>264</v>
      </c>
      <c r="M538" s="229" t="s">
        <v>257</v>
      </c>
      <c r="N538" s="230" t="str">
        <f>IF(ISERROR(MATCH(A538,MemMap!$A$4:$A$98,0)) = FALSE, INDEX(MemMap!$B$4:$B$98,MATCH(A538,MemMap!$A$4:$A$98,0)),IF(F538="Y","TunSetCalSeg",IF(G538="Y", "FlashCalSeg", IF(G538="N", "FlashAppSeg", ""))))</f>
        <v>FlashAppSeg</v>
      </c>
      <c r="O538" s="220"/>
      <c r="P538" s="220"/>
      <c r="Q538" s="221"/>
      <c r="R538" s="221"/>
    </row>
    <row r="539" spans="1:18" ht="33.75" x14ac:dyDescent="0.2">
      <c r="A539" s="224" t="s">
        <v>1129</v>
      </c>
      <c r="B539" s="225" t="s">
        <v>1130</v>
      </c>
      <c r="C539" s="226" t="s">
        <v>1117</v>
      </c>
      <c r="D539" s="226" t="s">
        <v>200</v>
      </c>
      <c r="E539" s="226"/>
      <c r="F539" s="227" t="s">
        <v>82</v>
      </c>
      <c r="G539" s="228" t="s">
        <v>82</v>
      </c>
      <c r="H539" s="228"/>
      <c r="I539" s="223">
        <v>400</v>
      </c>
      <c r="J539" s="229">
        <v>360</v>
      </c>
      <c r="K539" s="229">
        <v>1440</v>
      </c>
      <c r="L539" s="229" t="s">
        <v>264</v>
      </c>
      <c r="M539" s="229" t="s">
        <v>257</v>
      </c>
      <c r="N539" s="230" t="str">
        <f>IF(ISERROR(MATCH(A539,MemMap!$A$4:$A$98,0)) = FALSE, INDEX(MemMap!$B$4:$B$98,MATCH(A539,MemMap!$A$4:$A$98,0)),IF(F539="Y","TunSetCalSeg",IF(G539="Y", "FlashCalSeg", IF(G539="N", "FlashAppSeg", ""))))</f>
        <v>FlashAppSeg</v>
      </c>
      <c r="O539" s="220"/>
      <c r="P539" s="220"/>
      <c r="Q539" s="221"/>
      <c r="R539" s="221"/>
    </row>
    <row r="540" spans="1:18" ht="33.75" x14ac:dyDescent="0.2">
      <c r="A540" s="224" t="s">
        <v>1127</v>
      </c>
      <c r="B540" s="225" t="s">
        <v>1128</v>
      </c>
      <c r="C540" s="226" t="s">
        <v>1117</v>
      </c>
      <c r="D540" s="226" t="s">
        <v>200</v>
      </c>
      <c r="E540" s="226"/>
      <c r="F540" s="227" t="s">
        <v>82</v>
      </c>
      <c r="G540" s="228" t="s">
        <v>82</v>
      </c>
      <c r="H540" s="228"/>
      <c r="I540" s="223">
        <v>1</v>
      </c>
      <c r="J540" s="229">
        <v>0</v>
      </c>
      <c r="K540" s="229">
        <v>1</v>
      </c>
      <c r="L540" s="229" t="s">
        <v>288</v>
      </c>
      <c r="M540" s="229" t="s">
        <v>257</v>
      </c>
      <c r="N540" s="230" t="str">
        <f>IF(ISERROR(MATCH(A540,MemMap!$A$4:$A$98,0)) = FALSE, INDEX(MemMap!$B$4:$B$98,MATCH(A540,MemMap!$A$4:$A$98,0)),IF(F540="Y","TunSetCalSeg",IF(G540="Y", "FlashCalSeg", IF(G540="N", "FlashAppSeg", ""))))</f>
        <v>FlashAppSeg</v>
      </c>
      <c r="O540" s="220"/>
      <c r="P540" s="220"/>
      <c r="Q540" s="221"/>
      <c r="R540" s="221"/>
    </row>
    <row r="541" spans="1:18" ht="45" x14ac:dyDescent="0.2">
      <c r="A541" s="224" t="s">
        <v>1114</v>
      </c>
      <c r="B541" s="225" t="s">
        <v>1115</v>
      </c>
      <c r="C541" s="226" t="s">
        <v>1117</v>
      </c>
      <c r="D541" s="226" t="s">
        <v>200</v>
      </c>
      <c r="E541" s="226" t="s">
        <v>1116</v>
      </c>
      <c r="F541" s="227" t="s">
        <v>82</v>
      </c>
      <c r="G541" s="228" t="s">
        <v>82</v>
      </c>
      <c r="H541" s="228"/>
      <c r="I541" s="223">
        <v>50</v>
      </c>
      <c r="J541" s="229">
        <v>0</v>
      </c>
      <c r="K541" s="229">
        <v>1100</v>
      </c>
      <c r="L541" s="229" t="s">
        <v>259</v>
      </c>
      <c r="M541" s="229" t="s">
        <v>257</v>
      </c>
      <c r="N541" s="230" t="str">
        <f>IF(ISERROR(MATCH(A541,MemMap!$A$4:$A$98,0)) = FALSE, INDEX(MemMap!$B$4:$B$98,MATCH(A541,MemMap!$A$4:$A$98,0)),IF(F541="Y","TunSetCalSeg",IF(G541="Y", "FlashCalSeg", IF(G541="N", "FlashAppSeg", ""))))</f>
        <v>FlashAppSeg</v>
      </c>
      <c r="O541" s="220"/>
      <c r="P541" s="220"/>
      <c r="Q541" s="221"/>
      <c r="R541" s="221"/>
    </row>
    <row r="542" spans="1:18" x14ac:dyDescent="0.2">
      <c r="A542" s="224" t="s">
        <v>3178</v>
      </c>
      <c r="B542" s="225" t="s">
        <v>3179</v>
      </c>
      <c r="C542" s="226" t="s">
        <v>3180</v>
      </c>
      <c r="D542" s="226" t="s">
        <v>3171</v>
      </c>
      <c r="E542" s="226"/>
      <c r="F542" s="227" t="s">
        <v>82</v>
      </c>
      <c r="G542" s="228" t="s">
        <v>82</v>
      </c>
      <c r="H542" s="228"/>
      <c r="I542" s="223">
        <v>100</v>
      </c>
      <c r="J542" s="229">
        <v>10</v>
      </c>
      <c r="K542" s="229">
        <v>8000</v>
      </c>
      <c r="L542" s="229" t="s">
        <v>804</v>
      </c>
      <c r="M542" s="229" t="s">
        <v>257</v>
      </c>
      <c r="N542" s="230" t="str">
        <f>IF(ISERROR(MATCH(A542,MemMap!$A$4:$A$98,0)) = FALSE, INDEX(MemMap!$B$4:$B$98,MATCH(A542,MemMap!$A$4:$A$98,0)),IF(F542="Y","TunSetCalSeg",IF(G542="Y", "FlashCalSeg", IF(G542="N", "FlashAppSeg", ""))))</f>
        <v>FlashAppSeg</v>
      </c>
      <c r="O542" s="220"/>
      <c r="P542" s="220"/>
      <c r="Q542" s="221"/>
      <c r="R542" s="221"/>
    </row>
    <row r="543" spans="1:18" ht="33.75" x14ac:dyDescent="0.2">
      <c r="A543" s="224" t="s">
        <v>1296</v>
      </c>
      <c r="B543" s="225" t="s">
        <v>2006</v>
      </c>
      <c r="C543" s="226" t="s">
        <v>1272</v>
      </c>
      <c r="D543" s="226" t="s">
        <v>197</v>
      </c>
      <c r="E543" s="226"/>
      <c r="F543" s="227" t="s">
        <v>82</v>
      </c>
      <c r="G543" s="228" t="s">
        <v>82</v>
      </c>
      <c r="H543" s="228"/>
      <c r="I543" s="223">
        <v>2.4E-2</v>
      </c>
      <c r="J543" s="229">
        <v>1.0000000000000001E-5</v>
      </c>
      <c r="K543" s="229">
        <v>0.1</v>
      </c>
      <c r="L543" s="229" t="s">
        <v>258</v>
      </c>
      <c r="M543" s="229" t="s">
        <v>257</v>
      </c>
      <c r="N543" s="230" t="str">
        <f>IF(ISERROR(MATCH(A543,MemMap!$A$4:$A$98,0)) = FALSE, INDEX(MemMap!$B$4:$B$98,MATCH(A543,MemMap!$A$4:$A$98,0)),IF(F543="Y","TunSetCalSeg",IF(G543="Y", "FlashCalSeg", IF(G543="N", "FlashAppSeg", ""))))</f>
        <v>FlashAppSeg</v>
      </c>
      <c r="O543" s="220"/>
      <c r="P543" s="220"/>
      <c r="Q543" s="221"/>
      <c r="R543" s="221"/>
    </row>
    <row r="544" spans="1:18" ht="33.75" x14ac:dyDescent="0.2">
      <c r="A544" s="224" t="s">
        <v>1295</v>
      </c>
      <c r="B544" s="225" t="s">
        <v>2005</v>
      </c>
      <c r="C544" s="226" t="s">
        <v>1272</v>
      </c>
      <c r="D544" s="226" t="s">
        <v>197</v>
      </c>
      <c r="E544" s="226"/>
      <c r="F544" s="227" t="s">
        <v>82</v>
      </c>
      <c r="G544" s="228" t="s">
        <v>82</v>
      </c>
      <c r="H544" s="228"/>
      <c r="I544" s="223">
        <v>0.01</v>
      </c>
      <c r="J544" s="229">
        <v>-1</v>
      </c>
      <c r="K544" s="229">
        <v>1</v>
      </c>
      <c r="L544" s="229" t="s">
        <v>1285</v>
      </c>
      <c r="M544" s="229" t="s">
        <v>257</v>
      </c>
      <c r="N544" s="230" t="str">
        <f>IF(ISERROR(MATCH(A544,MemMap!$A$4:$A$98,0)) = FALSE, INDEX(MemMap!$B$4:$B$98,MATCH(A544,MemMap!$A$4:$A$98,0)),IF(F544="Y","TunSetCalSeg",IF(G544="Y", "FlashCalSeg", IF(G544="N", "FlashAppSeg", ""))))</f>
        <v>FlashAppSeg</v>
      </c>
      <c r="O544" s="220"/>
      <c r="P544" s="220"/>
      <c r="Q544" s="221"/>
      <c r="R544" s="221"/>
    </row>
    <row r="545" spans="1:18" ht="33.75" x14ac:dyDescent="0.2">
      <c r="A545" s="224" t="s">
        <v>1281</v>
      </c>
      <c r="B545" s="225" t="s">
        <v>1994</v>
      </c>
      <c r="C545" s="226" t="s">
        <v>1272</v>
      </c>
      <c r="D545" s="226" t="s">
        <v>197</v>
      </c>
      <c r="E545" s="226"/>
      <c r="F545" s="227" t="s">
        <v>82</v>
      </c>
      <c r="G545" s="228" t="s">
        <v>82</v>
      </c>
      <c r="H545" s="228"/>
      <c r="I545" s="223">
        <v>0.01</v>
      </c>
      <c r="J545" s="229">
        <v>0</v>
      </c>
      <c r="K545" s="229">
        <v>1</v>
      </c>
      <c r="L545" s="229" t="s">
        <v>1282</v>
      </c>
      <c r="M545" s="229" t="s">
        <v>257</v>
      </c>
      <c r="N545" s="230" t="str">
        <f>IF(ISERROR(MATCH(A545,MemMap!$A$4:$A$98,0)) = FALSE, INDEX(MemMap!$B$4:$B$98,MATCH(A545,MemMap!$A$4:$A$98,0)),IF(F545="Y","TunSetCalSeg",IF(G545="Y", "FlashCalSeg", IF(G545="N", "FlashAppSeg", ""))))</f>
        <v>FlashAppSeg</v>
      </c>
      <c r="O545" s="220"/>
      <c r="P545" s="220"/>
      <c r="Q545" s="221"/>
      <c r="R545" s="221"/>
    </row>
    <row r="546" spans="1:18" ht="33.75" x14ac:dyDescent="0.2">
      <c r="A546" s="224" t="s">
        <v>1302</v>
      </c>
      <c r="B546" s="225" t="s">
        <v>2012</v>
      </c>
      <c r="C546" s="226" t="s">
        <v>1272</v>
      </c>
      <c r="D546" s="226" t="s">
        <v>197</v>
      </c>
      <c r="E546" s="226"/>
      <c r="F546" s="227" t="s">
        <v>82</v>
      </c>
      <c r="G546" s="228" t="s">
        <v>82</v>
      </c>
      <c r="H546" s="228"/>
      <c r="I546" s="223">
        <v>0.9</v>
      </c>
      <c r="J546" s="229">
        <v>0</v>
      </c>
      <c r="K546" s="229">
        <v>1</v>
      </c>
      <c r="L546" s="229" t="s">
        <v>256</v>
      </c>
      <c r="M546" s="229" t="s">
        <v>257</v>
      </c>
      <c r="N546" s="230" t="str">
        <f>IF(ISERROR(MATCH(A546,MemMap!$A$4:$A$98,0)) = FALSE, INDEX(MemMap!$B$4:$B$98,MATCH(A546,MemMap!$A$4:$A$98,0)),IF(F546="Y","TunSetCalSeg",IF(G546="Y", "FlashCalSeg", IF(G546="N", "FlashAppSeg", ""))))</f>
        <v>FlashAppSeg</v>
      </c>
      <c r="O546" s="220"/>
      <c r="P546" s="220"/>
      <c r="Q546" s="221"/>
      <c r="R546" s="221"/>
    </row>
    <row r="547" spans="1:18" ht="33.75" x14ac:dyDescent="0.2">
      <c r="A547" s="224" t="s">
        <v>2044</v>
      </c>
      <c r="B547" s="225" t="s">
        <v>2045</v>
      </c>
      <c r="C547" s="226" t="s">
        <v>1272</v>
      </c>
      <c r="D547" s="226" t="s">
        <v>197</v>
      </c>
      <c r="E547" s="226"/>
      <c r="F547" s="227" t="s">
        <v>82</v>
      </c>
      <c r="G547" s="228" t="s">
        <v>82</v>
      </c>
      <c r="H547" s="228"/>
      <c r="I547" s="223">
        <v>60</v>
      </c>
      <c r="J547" s="229">
        <v>-70</v>
      </c>
      <c r="K547" s="229">
        <v>70</v>
      </c>
      <c r="L547" s="229" t="s">
        <v>519</v>
      </c>
      <c r="M547" s="229" t="s">
        <v>257</v>
      </c>
      <c r="N547" s="230" t="str">
        <f>IF(ISERROR(MATCH(A547,MemMap!$A$4:$A$98,0)) = FALSE, INDEX(MemMap!$B$4:$B$98,MATCH(A547,MemMap!$A$4:$A$98,0)),IF(F547="Y","TunSetCalSeg",IF(G547="Y", "FlashCalSeg", IF(G547="N", "FlashAppSeg", ""))))</f>
        <v>FlashAppSeg</v>
      </c>
      <c r="O547" s="220"/>
      <c r="P547" s="220"/>
      <c r="Q547" s="221"/>
      <c r="R547" s="221"/>
    </row>
    <row r="548" spans="1:18" ht="33.75" x14ac:dyDescent="0.2">
      <c r="A548" s="224" t="s">
        <v>1293</v>
      </c>
      <c r="B548" s="225" t="s">
        <v>2004</v>
      </c>
      <c r="C548" s="226" t="s">
        <v>1272</v>
      </c>
      <c r="D548" s="226" t="s">
        <v>197</v>
      </c>
      <c r="E548" s="226"/>
      <c r="F548" s="227" t="s">
        <v>82</v>
      </c>
      <c r="G548" s="228" t="s">
        <v>82</v>
      </c>
      <c r="H548" s="228"/>
      <c r="I548" s="223">
        <v>1E-4</v>
      </c>
      <c r="J548" s="229">
        <v>0</v>
      </c>
      <c r="K548" s="229">
        <v>1</v>
      </c>
      <c r="L548" s="229" t="s">
        <v>1294</v>
      </c>
      <c r="M548" s="229" t="s">
        <v>257</v>
      </c>
      <c r="N548" s="230" t="str">
        <f>IF(ISERROR(MATCH(A548,MemMap!$A$4:$A$98,0)) = FALSE, INDEX(MemMap!$B$4:$B$98,MATCH(A548,MemMap!$A$4:$A$98,0)),IF(F548="Y","TunSetCalSeg",IF(G548="Y", "FlashCalSeg", IF(G548="N", "FlashAppSeg", ""))))</f>
        <v>FlashAppSeg</v>
      </c>
      <c r="O548" s="220"/>
      <c r="P548" s="220"/>
      <c r="Q548" s="221"/>
      <c r="R548" s="221"/>
    </row>
    <row r="549" spans="1:18" ht="33.75" x14ac:dyDescent="0.2">
      <c r="A549" s="224" t="s">
        <v>2046</v>
      </c>
      <c r="B549" s="225" t="s">
        <v>2047</v>
      </c>
      <c r="C549" s="226" t="s">
        <v>1272</v>
      </c>
      <c r="D549" s="226" t="s">
        <v>197</v>
      </c>
      <c r="E549" s="226"/>
      <c r="F549" s="227" t="s">
        <v>82</v>
      </c>
      <c r="G549" s="228" t="s">
        <v>82</v>
      </c>
      <c r="H549" s="228"/>
      <c r="I549" s="223">
        <v>50</v>
      </c>
      <c r="J549" s="229">
        <v>0</v>
      </c>
      <c r="K549" s="229">
        <v>100</v>
      </c>
      <c r="L549" s="229" t="s">
        <v>519</v>
      </c>
      <c r="M549" s="229" t="s">
        <v>257</v>
      </c>
      <c r="N549" s="230" t="str">
        <f>IF(ISERROR(MATCH(A549,MemMap!$A$4:$A$98,0)) = FALSE, INDEX(MemMap!$B$4:$B$98,MATCH(A549,MemMap!$A$4:$A$98,0)),IF(F549="Y","TunSetCalSeg",IF(G549="Y", "FlashCalSeg", IF(G549="N", "FlashAppSeg", ""))))</f>
        <v>FlashAppSeg</v>
      </c>
      <c r="O549" s="220"/>
      <c r="P549" s="220"/>
      <c r="Q549" s="221"/>
      <c r="R549" s="221"/>
    </row>
    <row r="550" spans="1:18" ht="33.75" x14ac:dyDescent="0.2">
      <c r="A550" s="224" t="s">
        <v>1304</v>
      </c>
      <c r="B550" s="225" t="s">
        <v>2014</v>
      </c>
      <c r="C550" s="226" t="s">
        <v>1272</v>
      </c>
      <c r="D550" s="226" t="s">
        <v>197</v>
      </c>
      <c r="E550" s="226"/>
      <c r="F550" s="227" t="s">
        <v>82</v>
      </c>
      <c r="G550" s="228" t="s">
        <v>82</v>
      </c>
      <c r="H550" s="228"/>
      <c r="I550" s="223">
        <v>0.47619869999999997</v>
      </c>
      <c r="J550" s="229">
        <v>-150</v>
      </c>
      <c r="K550" s="229">
        <v>150</v>
      </c>
      <c r="L550" s="229" t="s">
        <v>256</v>
      </c>
      <c r="M550" s="229" t="s">
        <v>257</v>
      </c>
      <c r="N550" s="230" t="str">
        <f>IF(ISERROR(MATCH(A550,MemMap!$A$4:$A$98,0)) = FALSE, INDEX(MemMap!$B$4:$B$98,MATCH(A550,MemMap!$A$4:$A$98,0)),IF(F550="Y","TunSetCalSeg",IF(G550="Y", "FlashCalSeg", IF(G550="N", "FlashAppSeg", ""))))</f>
        <v>FlashAppSeg</v>
      </c>
      <c r="O550" s="220"/>
      <c r="P550" s="220"/>
      <c r="Q550" s="221"/>
      <c r="R550" s="221"/>
    </row>
    <row r="551" spans="1:18" ht="33.75" x14ac:dyDescent="0.2">
      <c r="A551" s="224" t="s">
        <v>1305</v>
      </c>
      <c r="B551" s="225" t="s">
        <v>2015</v>
      </c>
      <c r="C551" s="226" t="s">
        <v>1272</v>
      </c>
      <c r="D551" s="226" t="s">
        <v>197</v>
      </c>
      <c r="E551" s="226"/>
      <c r="F551" s="227" t="s">
        <v>82</v>
      </c>
      <c r="G551" s="228" t="s">
        <v>82</v>
      </c>
      <c r="H551" s="228"/>
      <c r="I551" s="223">
        <v>-0.47616730000000002</v>
      </c>
      <c r="J551" s="229">
        <v>-150</v>
      </c>
      <c r="K551" s="229">
        <v>150</v>
      </c>
      <c r="L551" s="229" t="s">
        <v>256</v>
      </c>
      <c r="M551" s="229" t="s">
        <v>257</v>
      </c>
      <c r="N551" s="230" t="str">
        <f>IF(ISERROR(MATCH(A551,MemMap!$A$4:$A$98,0)) = FALSE, INDEX(MemMap!$B$4:$B$98,MATCH(A551,MemMap!$A$4:$A$98,0)),IF(F551="Y","TunSetCalSeg",IF(G551="Y", "FlashCalSeg", IF(G551="N", "FlashAppSeg", ""))))</f>
        <v>FlashAppSeg</v>
      </c>
      <c r="O551" s="220"/>
      <c r="P551" s="220"/>
      <c r="Q551" s="221"/>
      <c r="R551" s="221"/>
    </row>
    <row r="552" spans="1:18" ht="33.75" x14ac:dyDescent="0.2">
      <c r="A552" s="224" t="s">
        <v>1303</v>
      </c>
      <c r="B552" s="225" t="s">
        <v>2013</v>
      </c>
      <c r="C552" s="226" t="s">
        <v>1272</v>
      </c>
      <c r="D552" s="226" t="s">
        <v>197</v>
      </c>
      <c r="E552" s="226"/>
      <c r="F552" s="227" t="s">
        <v>82</v>
      </c>
      <c r="G552" s="228" t="s">
        <v>82</v>
      </c>
      <c r="H552" s="228"/>
      <c r="I552" s="223">
        <v>0.99996858</v>
      </c>
      <c r="J552" s="229">
        <v>-150</v>
      </c>
      <c r="K552" s="229">
        <v>150</v>
      </c>
      <c r="L552" s="229" t="s">
        <v>256</v>
      </c>
      <c r="M552" s="229" t="s">
        <v>257</v>
      </c>
      <c r="N552" s="230" t="str">
        <f>IF(ISERROR(MATCH(A552,MemMap!$A$4:$A$98,0)) = FALSE, INDEX(MemMap!$B$4:$B$98,MATCH(A552,MemMap!$A$4:$A$98,0)),IF(F552="Y","TunSetCalSeg",IF(G552="Y", "FlashCalSeg", IF(G552="N", "FlashAppSeg", ""))))</f>
        <v>FlashAppSeg</v>
      </c>
      <c r="O552" s="220"/>
      <c r="P552" s="220"/>
      <c r="Q552" s="221"/>
      <c r="R552" s="221"/>
    </row>
    <row r="553" spans="1:18" ht="33.75" x14ac:dyDescent="0.2">
      <c r="A553" s="224" t="s">
        <v>1306</v>
      </c>
      <c r="B553" s="225" t="s">
        <v>2016</v>
      </c>
      <c r="C553" s="226" t="s">
        <v>1272</v>
      </c>
      <c r="D553" s="226" t="s">
        <v>197</v>
      </c>
      <c r="E553" s="226"/>
      <c r="F553" s="227" t="s">
        <v>82</v>
      </c>
      <c r="G553" s="228" t="s">
        <v>82</v>
      </c>
      <c r="H553" s="228"/>
      <c r="I553" s="223">
        <v>1</v>
      </c>
      <c r="J553" s="229">
        <v>0</v>
      </c>
      <c r="K553" s="229">
        <v>100</v>
      </c>
      <c r="L553" s="229" t="s">
        <v>1307</v>
      </c>
      <c r="M553" s="229" t="s">
        <v>257</v>
      </c>
      <c r="N553" s="230" t="str">
        <f>IF(ISERROR(MATCH(A553,MemMap!$A$4:$A$98,0)) = FALSE, INDEX(MemMap!$B$4:$B$98,MATCH(A553,MemMap!$A$4:$A$98,0)),IF(F553="Y","TunSetCalSeg",IF(G553="Y", "FlashCalSeg", IF(G553="N", "FlashAppSeg", ""))))</f>
        <v>FlashAppSeg</v>
      </c>
      <c r="O553" s="220"/>
      <c r="P553" s="220"/>
      <c r="Q553" s="221"/>
      <c r="R553" s="221"/>
    </row>
    <row r="554" spans="1:18" ht="33.75" x14ac:dyDescent="0.2">
      <c r="A554" s="224" t="s">
        <v>1288</v>
      </c>
      <c r="B554" s="225" t="s">
        <v>1999</v>
      </c>
      <c r="C554" s="226" t="s">
        <v>1272</v>
      </c>
      <c r="D554" s="226" t="s">
        <v>197</v>
      </c>
      <c r="E554" s="226"/>
      <c r="F554" s="227" t="s">
        <v>82</v>
      </c>
      <c r="G554" s="228" t="s">
        <v>82</v>
      </c>
      <c r="H554" s="228"/>
      <c r="I554" s="223">
        <v>2.4E-2</v>
      </c>
      <c r="J554" s="229">
        <v>1.0000000000000001E-5</v>
      </c>
      <c r="K554" s="229">
        <v>0.1</v>
      </c>
      <c r="L554" s="229" t="s">
        <v>258</v>
      </c>
      <c r="M554" s="229" t="s">
        <v>257</v>
      </c>
      <c r="N554" s="230" t="str">
        <f>IF(ISERROR(MATCH(A554,MemMap!$A$4:$A$98,0)) = FALSE, INDEX(MemMap!$B$4:$B$98,MATCH(A554,MemMap!$A$4:$A$98,0)),IF(F554="Y","TunSetCalSeg",IF(G554="Y", "FlashCalSeg", IF(G554="N", "FlashAppSeg", ""))))</f>
        <v>FlashAppSeg</v>
      </c>
      <c r="O554" s="220"/>
      <c r="P554" s="220"/>
      <c r="Q554" s="221"/>
      <c r="R554" s="221"/>
    </row>
    <row r="555" spans="1:18" ht="33.75" x14ac:dyDescent="0.2">
      <c r="A555" s="224" t="s">
        <v>1289</v>
      </c>
      <c r="B555" s="225" t="s">
        <v>2000</v>
      </c>
      <c r="C555" s="226" t="s">
        <v>1272</v>
      </c>
      <c r="D555" s="226" t="s">
        <v>197</v>
      </c>
      <c r="E555" s="226"/>
      <c r="F555" s="227" t="s">
        <v>82</v>
      </c>
      <c r="G555" s="228" t="s">
        <v>82</v>
      </c>
      <c r="H555" s="228"/>
      <c r="I555" s="223">
        <v>0.75</v>
      </c>
      <c r="J555" s="229">
        <v>-1</v>
      </c>
      <c r="K555" s="229">
        <v>1</v>
      </c>
      <c r="L555" s="229" t="s">
        <v>1285</v>
      </c>
      <c r="M555" s="229" t="s">
        <v>257</v>
      </c>
      <c r="N555" s="230" t="str">
        <f>IF(ISERROR(MATCH(A555,MemMap!$A$4:$A$98,0)) = FALSE, INDEX(MemMap!$B$4:$B$98,MATCH(A555,MemMap!$A$4:$A$98,0)),IF(F555="Y","TunSetCalSeg",IF(G555="Y", "FlashCalSeg", IF(G555="N", "FlashAppSeg", ""))))</f>
        <v>FlashAppSeg</v>
      </c>
      <c r="O555" s="220"/>
      <c r="P555" s="220"/>
      <c r="Q555" s="221"/>
      <c r="R555" s="221"/>
    </row>
    <row r="556" spans="1:18" ht="33.75" x14ac:dyDescent="0.2">
      <c r="A556" s="224" t="s">
        <v>1292</v>
      </c>
      <c r="B556" s="225" t="s">
        <v>2003</v>
      </c>
      <c r="C556" s="226" t="s">
        <v>1272</v>
      </c>
      <c r="D556" s="226" t="s">
        <v>197</v>
      </c>
      <c r="E556" s="226"/>
      <c r="F556" s="227" t="s">
        <v>82</v>
      </c>
      <c r="G556" s="228" t="s">
        <v>82</v>
      </c>
      <c r="H556" s="228"/>
      <c r="I556" s="223">
        <v>80</v>
      </c>
      <c r="J556" s="229">
        <v>-100</v>
      </c>
      <c r="K556" s="229">
        <v>100</v>
      </c>
      <c r="L556" s="229" t="s">
        <v>519</v>
      </c>
      <c r="M556" s="229" t="s">
        <v>257</v>
      </c>
      <c r="N556" s="230" t="str">
        <f>IF(ISERROR(MATCH(A556,MemMap!$A$4:$A$98,0)) = FALSE, INDEX(MemMap!$B$4:$B$98,MATCH(A556,MemMap!$A$4:$A$98,0)),IF(F556="Y","TunSetCalSeg",IF(G556="Y", "FlashCalSeg", IF(G556="N", "FlashAppSeg", ""))))</f>
        <v>FlashAppSeg</v>
      </c>
      <c r="O556" s="220"/>
      <c r="P556" s="220"/>
      <c r="Q556" s="221"/>
      <c r="R556" s="221"/>
    </row>
    <row r="557" spans="1:18" ht="33.75" x14ac:dyDescent="0.2">
      <c r="A557" s="224" t="s">
        <v>1280</v>
      </c>
      <c r="B557" s="225" t="s">
        <v>1993</v>
      </c>
      <c r="C557" s="226" t="s">
        <v>1272</v>
      </c>
      <c r="D557" s="226" t="s">
        <v>197</v>
      </c>
      <c r="E557" s="226"/>
      <c r="F557" s="227" t="s">
        <v>82</v>
      </c>
      <c r="G557" s="228" t="s">
        <v>82</v>
      </c>
      <c r="H557" s="228"/>
      <c r="I557" s="223">
        <v>0.99994282000000001</v>
      </c>
      <c r="J557" s="229">
        <v>-150</v>
      </c>
      <c r="K557" s="229">
        <v>150</v>
      </c>
      <c r="L557" s="229" t="s">
        <v>256</v>
      </c>
      <c r="M557" s="229" t="s">
        <v>257</v>
      </c>
      <c r="N557" s="230" t="str">
        <f>IF(ISERROR(MATCH(A557,MemMap!$A$4:$A$98,0)) = FALSE, INDEX(MemMap!$B$4:$B$98,MATCH(A557,MemMap!$A$4:$A$98,0)),IF(F557="Y","TunSetCalSeg",IF(G557="Y", "FlashCalSeg", IF(G557="N", "FlashAppSeg", ""))))</f>
        <v>FlashAppSeg</v>
      </c>
      <c r="O557" s="220"/>
      <c r="P557" s="220"/>
      <c r="Q557" s="221"/>
      <c r="R557" s="221"/>
    </row>
    <row r="558" spans="1:18" ht="33.75" x14ac:dyDescent="0.2">
      <c r="A558" s="224" t="s">
        <v>1278</v>
      </c>
      <c r="B558" s="225" t="s">
        <v>1991</v>
      </c>
      <c r="C558" s="226" t="s">
        <v>1272</v>
      </c>
      <c r="D558" s="226" t="s">
        <v>197</v>
      </c>
      <c r="E558" s="226"/>
      <c r="F558" s="227" t="s">
        <v>82</v>
      </c>
      <c r="G558" s="228" t="s">
        <v>82</v>
      </c>
      <c r="H558" s="228"/>
      <c r="I558" s="223">
        <v>0.86667048000000002</v>
      </c>
      <c r="J558" s="229">
        <v>-150</v>
      </c>
      <c r="K558" s="229">
        <v>150</v>
      </c>
      <c r="L558" s="229" t="s">
        <v>256</v>
      </c>
      <c r="M558" s="229" t="s">
        <v>257</v>
      </c>
      <c r="N558" s="230" t="str">
        <f>IF(ISERROR(MATCH(A558,MemMap!$A$4:$A$98,0)) = FALSE, INDEX(MemMap!$B$4:$B$98,MATCH(A558,MemMap!$A$4:$A$98,0)),IF(F558="Y","TunSetCalSeg",IF(G558="Y", "FlashCalSeg", IF(G558="N", "FlashAppSeg", ""))))</f>
        <v>FlashAppSeg</v>
      </c>
      <c r="O558" s="220"/>
      <c r="P558" s="220"/>
      <c r="Q558" s="221"/>
      <c r="R558" s="221"/>
    </row>
    <row r="559" spans="1:18" ht="33.75" x14ac:dyDescent="0.2">
      <c r="A559" s="224" t="s">
        <v>1279</v>
      </c>
      <c r="B559" s="225" t="s">
        <v>1992</v>
      </c>
      <c r="C559" s="226" t="s">
        <v>1272</v>
      </c>
      <c r="D559" s="226" t="s">
        <v>197</v>
      </c>
      <c r="E559" s="226"/>
      <c r="F559" s="227" t="s">
        <v>82</v>
      </c>
      <c r="G559" s="228" t="s">
        <v>82</v>
      </c>
      <c r="H559" s="228"/>
      <c r="I559" s="223">
        <v>-0.86661330000000003</v>
      </c>
      <c r="J559" s="229">
        <v>-150</v>
      </c>
      <c r="K559" s="229">
        <v>150</v>
      </c>
      <c r="L559" s="229" t="s">
        <v>256</v>
      </c>
      <c r="M559" s="229" t="s">
        <v>257</v>
      </c>
      <c r="N559" s="230" t="str">
        <f>IF(ISERROR(MATCH(A559,MemMap!$A$4:$A$98,0)) = FALSE, INDEX(MemMap!$B$4:$B$98,MATCH(A559,MemMap!$A$4:$A$98,0)),IF(F559="Y","TunSetCalSeg",IF(G559="Y", "FlashCalSeg", IF(G559="N", "FlashAppSeg", ""))))</f>
        <v>FlashAppSeg</v>
      </c>
      <c r="O559" s="220"/>
      <c r="P559" s="220"/>
      <c r="Q559" s="221"/>
      <c r="R559" s="221"/>
    </row>
    <row r="560" spans="1:18" ht="33.75" x14ac:dyDescent="0.2">
      <c r="A560" s="224" t="s">
        <v>1301</v>
      </c>
      <c r="B560" s="225" t="s">
        <v>2011</v>
      </c>
      <c r="C560" s="226" t="s">
        <v>1272</v>
      </c>
      <c r="D560" s="226" t="s">
        <v>197</v>
      </c>
      <c r="E560" s="226"/>
      <c r="F560" s="227" t="s">
        <v>82</v>
      </c>
      <c r="G560" s="228" t="s">
        <v>82</v>
      </c>
      <c r="H560" s="228"/>
      <c r="I560" s="223">
        <v>0.1</v>
      </c>
      <c r="J560" s="229">
        <v>0</v>
      </c>
      <c r="K560" s="229">
        <v>1</v>
      </c>
      <c r="L560" s="229" t="s">
        <v>256</v>
      </c>
      <c r="M560" s="229" t="s">
        <v>257</v>
      </c>
      <c r="N560" s="230" t="str">
        <f>IF(ISERROR(MATCH(A560,MemMap!$A$4:$A$98,0)) = FALSE, INDEX(MemMap!$B$4:$B$98,MATCH(A560,MemMap!$A$4:$A$98,0)),IF(F560="Y","TunSetCalSeg",IF(G560="Y", "FlashCalSeg", IF(G560="N", "FlashAppSeg", ""))))</f>
        <v>FlashAppSeg</v>
      </c>
      <c r="O560" s="220"/>
      <c r="P560" s="220"/>
      <c r="Q560" s="221"/>
      <c r="R560" s="221"/>
    </row>
    <row r="561" spans="1:18" ht="33.75" x14ac:dyDescent="0.2">
      <c r="A561" s="224" t="s">
        <v>1286</v>
      </c>
      <c r="B561" s="225" t="s">
        <v>1997</v>
      </c>
      <c r="C561" s="226" t="s">
        <v>1272</v>
      </c>
      <c r="D561" s="226" t="s">
        <v>197</v>
      </c>
      <c r="E561" s="226"/>
      <c r="F561" s="227" t="s">
        <v>82</v>
      </c>
      <c r="G561" s="228" t="s">
        <v>82</v>
      </c>
      <c r="H561" s="228"/>
      <c r="I561" s="223">
        <v>2.4E-2</v>
      </c>
      <c r="J561" s="229">
        <v>1.0000000000000001E-5</v>
      </c>
      <c r="K561" s="229">
        <v>0.1</v>
      </c>
      <c r="L561" s="229" t="s">
        <v>258</v>
      </c>
      <c r="M561" s="229" t="s">
        <v>257</v>
      </c>
      <c r="N561" s="230" t="str">
        <f>IF(ISERROR(MATCH(A561,MemMap!$A$4:$A$98,0)) = FALSE, INDEX(MemMap!$B$4:$B$98,MATCH(A561,MemMap!$A$4:$A$98,0)),IF(F561="Y","TunSetCalSeg",IF(G561="Y", "FlashCalSeg", IF(G561="N", "FlashAppSeg", ""))))</f>
        <v>FlashAppSeg</v>
      </c>
      <c r="O561" s="220"/>
      <c r="P561" s="220"/>
      <c r="Q561" s="221"/>
      <c r="R561" s="221"/>
    </row>
    <row r="562" spans="1:18" ht="33.75" x14ac:dyDescent="0.2">
      <c r="A562" s="224" t="s">
        <v>1287</v>
      </c>
      <c r="B562" s="225" t="s">
        <v>1998</v>
      </c>
      <c r="C562" s="226" t="s">
        <v>1272</v>
      </c>
      <c r="D562" s="226" t="s">
        <v>197</v>
      </c>
      <c r="E562" s="226"/>
      <c r="F562" s="227" t="s">
        <v>82</v>
      </c>
      <c r="G562" s="228" t="s">
        <v>82</v>
      </c>
      <c r="H562" s="228"/>
      <c r="I562" s="223">
        <v>0.01</v>
      </c>
      <c r="J562" s="229">
        <v>-1</v>
      </c>
      <c r="K562" s="229">
        <v>1</v>
      </c>
      <c r="L562" s="229" t="s">
        <v>1285</v>
      </c>
      <c r="M562" s="229" t="s">
        <v>257</v>
      </c>
      <c r="N562" s="230" t="str">
        <f>IF(ISERROR(MATCH(A562,MemMap!$A$4:$A$98,0)) = FALSE, INDEX(MemMap!$B$4:$B$98,MATCH(A562,MemMap!$A$4:$A$98,0)),IF(F562="Y","TunSetCalSeg",IF(G562="Y", "FlashCalSeg", IF(G562="N", "FlashAppSeg", ""))))</f>
        <v>FlashAppSeg</v>
      </c>
      <c r="O562" s="220"/>
      <c r="P562" s="220"/>
      <c r="Q562" s="221"/>
      <c r="R562" s="221"/>
    </row>
    <row r="563" spans="1:18" ht="33.75" x14ac:dyDescent="0.2">
      <c r="A563" s="224" t="s">
        <v>1291</v>
      </c>
      <c r="B563" s="225" t="s">
        <v>2002</v>
      </c>
      <c r="C563" s="226" t="s">
        <v>1272</v>
      </c>
      <c r="D563" s="226" t="s">
        <v>197</v>
      </c>
      <c r="E563" s="226"/>
      <c r="F563" s="227" t="s">
        <v>82</v>
      </c>
      <c r="G563" s="228" t="s">
        <v>82</v>
      </c>
      <c r="H563" s="228"/>
      <c r="I563" s="223">
        <v>60</v>
      </c>
      <c r="J563" s="229">
        <v>-100</v>
      </c>
      <c r="K563" s="229">
        <v>100</v>
      </c>
      <c r="L563" s="229" t="s">
        <v>519</v>
      </c>
      <c r="M563" s="229" t="s">
        <v>257</v>
      </c>
      <c r="N563" s="230" t="str">
        <f>IF(ISERROR(MATCH(A563,MemMap!$A$4:$A$98,0)) = FALSE, INDEX(MemMap!$B$4:$B$98,MATCH(A563,MemMap!$A$4:$A$98,0)),IF(F563="Y","TunSetCalSeg",IF(G563="Y", "FlashCalSeg", IF(G563="N", "FlashAppSeg", ""))))</f>
        <v>FlashAppSeg</v>
      </c>
      <c r="O563" s="220"/>
      <c r="P563" s="220"/>
      <c r="Q563" s="221"/>
      <c r="R563" s="221"/>
    </row>
    <row r="564" spans="1:18" ht="33.75" x14ac:dyDescent="0.2">
      <c r="A564" s="224" t="s">
        <v>1277</v>
      </c>
      <c r="B564" s="225" t="s">
        <v>1990</v>
      </c>
      <c r="C564" s="226" t="s">
        <v>1272</v>
      </c>
      <c r="D564" s="226" t="s">
        <v>197</v>
      </c>
      <c r="E564" s="226"/>
      <c r="F564" s="227" t="s">
        <v>82</v>
      </c>
      <c r="G564" s="228" t="s">
        <v>82</v>
      </c>
      <c r="H564" s="228"/>
      <c r="I564" s="223">
        <v>0.99996229999999997</v>
      </c>
      <c r="J564" s="229">
        <v>-150</v>
      </c>
      <c r="K564" s="229">
        <v>150</v>
      </c>
      <c r="L564" s="229" t="s">
        <v>256</v>
      </c>
      <c r="M564" s="229" t="s">
        <v>257</v>
      </c>
      <c r="N564" s="230" t="str">
        <f>IF(ISERROR(MATCH(A564,MemMap!$A$4:$A$98,0)) = FALSE, INDEX(MemMap!$B$4:$B$98,MATCH(A564,MemMap!$A$4:$A$98,0)),IF(F564="Y","TunSetCalSeg",IF(G564="Y", "FlashCalSeg", IF(G564="N", "FlashAppSeg", ""))))</f>
        <v>FlashAppSeg</v>
      </c>
      <c r="O564" s="220"/>
      <c r="P564" s="220"/>
      <c r="Q564" s="221"/>
      <c r="R564" s="221"/>
    </row>
    <row r="565" spans="1:18" ht="33.75" x14ac:dyDescent="0.2">
      <c r="A565" s="224" t="s">
        <v>1275</v>
      </c>
      <c r="B565" s="225" t="s">
        <v>1988</v>
      </c>
      <c r="C565" s="226" t="s">
        <v>1272</v>
      </c>
      <c r="D565" s="226" t="s">
        <v>197</v>
      </c>
      <c r="E565" s="226"/>
      <c r="F565" s="227" t="s">
        <v>82</v>
      </c>
      <c r="G565" s="228" t="s">
        <v>82</v>
      </c>
      <c r="H565" s="228"/>
      <c r="I565" s="223">
        <v>0.57143664999999999</v>
      </c>
      <c r="J565" s="229">
        <v>-150</v>
      </c>
      <c r="K565" s="229">
        <v>150</v>
      </c>
      <c r="L565" s="229" t="s">
        <v>256</v>
      </c>
      <c r="M565" s="229" t="s">
        <v>257</v>
      </c>
      <c r="N565" s="230" t="str">
        <f>IF(ISERROR(MATCH(A565,MemMap!$A$4:$A$98,0)) = FALSE, INDEX(MemMap!$B$4:$B$98,MATCH(A565,MemMap!$A$4:$A$98,0)),IF(F565="Y","TunSetCalSeg",IF(G565="Y", "FlashCalSeg", IF(G565="N", "FlashAppSeg", ""))))</f>
        <v>FlashAppSeg</v>
      </c>
      <c r="O565" s="220"/>
      <c r="P565" s="220"/>
      <c r="Q565" s="221"/>
      <c r="R565" s="221"/>
    </row>
    <row r="566" spans="1:18" ht="33.75" x14ac:dyDescent="0.2">
      <c r="A566" s="224" t="s">
        <v>1276</v>
      </c>
      <c r="B566" s="225" t="s">
        <v>1989</v>
      </c>
      <c r="C566" s="226" t="s">
        <v>1272</v>
      </c>
      <c r="D566" s="226" t="s">
        <v>197</v>
      </c>
      <c r="E566" s="226"/>
      <c r="F566" s="227" t="s">
        <v>82</v>
      </c>
      <c r="G566" s="228" t="s">
        <v>82</v>
      </c>
      <c r="H566" s="228"/>
      <c r="I566" s="223">
        <v>-0.57139899999999999</v>
      </c>
      <c r="J566" s="229">
        <v>-150</v>
      </c>
      <c r="K566" s="229">
        <v>150</v>
      </c>
      <c r="L566" s="229" t="s">
        <v>256</v>
      </c>
      <c r="M566" s="229" t="s">
        <v>257</v>
      </c>
      <c r="N566" s="230" t="str">
        <f>IF(ISERROR(MATCH(A566,MemMap!$A$4:$A$98,0)) = FALSE, INDEX(MemMap!$B$4:$B$98,MATCH(A566,MemMap!$A$4:$A$98,0)),IF(F566="Y","TunSetCalSeg",IF(G566="Y", "FlashCalSeg", IF(G566="N", "FlashAppSeg", ""))))</f>
        <v>FlashAppSeg</v>
      </c>
      <c r="O566" s="220"/>
      <c r="P566" s="220"/>
      <c r="Q566" s="221"/>
      <c r="R566" s="221"/>
    </row>
    <row r="567" spans="1:18" ht="33.75" x14ac:dyDescent="0.2">
      <c r="A567" s="224" t="s">
        <v>1283</v>
      </c>
      <c r="B567" s="225" t="s">
        <v>1995</v>
      </c>
      <c r="C567" s="226" t="s">
        <v>1272</v>
      </c>
      <c r="D567" s="226" t="s">
        <v>197</v>
      </c>
      <c r="E567" s="226"/>
      <c r="F567" s="227" t="s">
        <v>82</v>
      </c>
      <c r="G567" s="228" t="s">
        <v>82</v>
      </c>
      <c r="H567" s="228"/>
      <c r="I567" s="223">
        <v>2.4E-2</v>
      </c>
      <c r="J567" s="229">
        <v>1.0000000000000001E-5</v>
      </c>
      <c r="K567" s="229">
        <v>0.1</v>
      </c>
      <c r="L567" s="229" t="s">
        <v>258</v>
      </c>
      <c r="M567" s="229" t="s">
        <v>257</v>
      </c>
      <c r="N567" s="230" t="str">
        <f>IF(ISERROR(MATCH(A567,MemMap!$A$4:$A$98,0)) = FALSE, INDEX(MemMap!$B$4:$B$98,MATCH(A567,MemMap!$A$4:$A$98,0)),IF(F567="Y","TunSetCalSeg",IF(G567="Y", "FlashCalSeg", IF(G567="N", "FlashAppSeg", ""))))</f>
        <v>FlashAppSeg</v>
      </c>
      <c r="O567" s="220"/>
      <c r="P567" s="220"/>
      <c r="Q567" s="221"/>
      <c r="R567" s="221"/>
    </row>
    <row r="568" spans="1:18" ht="33.75" x14ac:dyDescent="0.2">
      <c r="A568" s="224" t="s">
        <v>1284</v>
      </c>
      <c r="B568" s="225" t="s">
        <v>1996</v>
      </c>
      <c r="C568" s="226" t="s">
        <v>1272</v>
      </c>
      <c r="D568" s="226" t="s">
        <v>197</v>
      </c>
      <c r="E568" s="226"/>
      <c r="F568" s="227" t="s">
        <v>82</v>
      </c>
      <c r="G568" s="228" t="s">
        <v>82</v>
      </c>
      <c r="H568" s="228"/>
      <c r="I568" s="223">
        <v>0</v>
      </c>
      <c r="J568" s="229">
        <v>-1</v>
      </c>
      <c r="K568" s="229">
        <v>1</v>
      </c>
      <c r="L568" s="229" t="s">
        <v>1285</v>
      </c>
      <c r="M568" s="229" t="s">
        <v>257</v>
      </c>
      <c r="N568" s="230" t="str">
        <f>IF(ISERROR(MATCH(A568,MemMap!$A$4:$A$98,0)) = FALSE, INDEX(MemMap!$B$4:$B$98,MATCH(A568,MemMap!$A$4:$A$98,0)),IF(F568="Y","TunSetCalSeg",IF(G568="Y", "FlashCalSeg", IF(G568="N", "FlashAppSeg", ""))))</f>
        <v>FlashAppSeg</v>
      </c>
      <c r="O568" s="220"/>
      <c r="P568" s="220"/>
      <c r="Q568" s="221"/>
      <c r="R568" s="221"/>
    </row>
    <row r="569" spans="1:18" ht="33.75" x14ac:dyDescent="0.2">
      <c r="A569" s="224" t="s">
        <v>1290</v>
      </c>
      <c r="B569" s="225" t="s">
        <v>2001</v>
      </c>
      <c r="C569" s="226" t="s">
        <v>1272</v>
      </c>
      <c r="D569" s="226" t="s">
        <v>197</v>
      </c>
      <c r="E569" s="226"/>
      <c r="F569" s="227" t="s">
        <v>82</v>
      </c>
      <c r="G569" s="228" t="s">
        <v>82</v>
      </c>
      <c r="H569" s="228"/>
      <c r="I569" s="223">
        <v>60</v>
      </c>
      <c r="J569" s="229">
        <v>-100</v>
      </c>
      <c r="K569" s="229">
        <v>100</v>
      </c>
      <c r="L569" s="229" t="s">
        <v>519</v>
      </c>
      <c r="M569" s="229" t="s">
        <v>257</v>
      </c>
      <c r="N569" s="230" t="str">
        <f>IF(ISERROR(MATCH(A569,MemMap!$A$4:$A$98,0)) = FALSE, INDEX(MemMap!$B$4:$B$98,MATCH(A569,MemMap!$A$4:$A$98,0)),IF(F569="Y","TunSetCalSeg",IF(G569="Y", "FlashCalSeg", IF(G569="N", "FlashAppSeg", ""))))</f>
        <v>FlashAppSeg</v>
      </c>
      <c r="O569" s="220"/>
      <c r="P569" s="220"/>
      <c r="Q569" s="221"/>
      <c r="R569" s="221"/>
    </row>
    <row r="570" spans="1:18" ht="33.75" x14ac:dyDescent="0.2">
      <c r="A570" s="224" t="s">
        <v>1274</v>
      </c>
      <c r="B570" s="225" t="s">
        <v>1987</v>
      </c>
      <c r="C570" s="226" t="s">
        <v>1272</v>
      </c>
      <c r="D570" s="226" t="s">
        <v>197</v>
      </c>
      <c r="E570" s="226"/>
      <c r="F570" s="227" t="s">
        <v>82</v>
      </c>
      <c r="G570" s="228" t="s">
        <v>82</v>
      </c>
      <c r="H570" s="228"/>
      <c r="I570" s="223">
        <v>0.99988878999999997</v>
      </c>
      <c r="J570" s="229">
        <v>-150</v>
      </c>
      <c r="K570" s="229">
        <v>150</v>
      </c>
      <c r="L570" s="229" t="s">
        <v>256</v>
      </c>
      <c r="M570" s="229" t="s">
        <v>257</v>
      </c>
      <c r="N570" s="230" t="str">
        <f>IF(ISERROR(MATCH(A570,MemMap!$A$4:$A$98,0)) = FALSE, INDEX(MemMap!$B$4:$B$98,MATCH(A570,MemMap!$A$4:$A$98,0)),IF(F570="Y","TunSetCalSeg",IF(G570="Y", "FlashCalSeg", IF(G570="N", "FlashAppSeg", ""))))</f>
        <v>FlashAppSeg</v>
      </c>
      <c r="O570" s="220"/>
      <c r="P570" s="220"/>
      <c r="Q570" s="221"/>
      <c r="R570" s="221"/>
    </row>
    <row r="571" spans="1:18" ht="33.75" x14ac:dyDescent="0.2">
      <c r="A571" s="224" t="s">
        <v>1271</v>
      </c>
      <c r="B571" s="225" t="s">
        <v>1985</v>
      </c>
      <c r="C571" s="226" t="s">
        <v>1272</v>
      </c>
      <c r="D571" s="226" t="s">
        <v>197</v>
      </c>
      <c r="E571" s="226"/>
      <c r="F571" s="227" t="s">
        <v>82</v>
      </c>
      <c r="G571" s="228" t="s">
        <v>82</v>
      </c>
      <c r="H571" s="228"/>
      <c r="I571" s="223">
        <v>1.6856761600000001</v>
      </c>
      <c r="J571" s="229">
        <v>-150</v>
      </c>
      <c r="K571" s="229">
        <v>150</v>
      </c>
      <c r="L571" s="229" t="s">
        <v>256</v>
      </c>
      <c r="M571" s="229" t="s">
        <v>257</v>
      </c>
      <c r="N571" s="230" t="str">
        <f>IF(ISERROR(MATCH(A571,MemMap!$A$4:$A$98,0)) = FALSE, INDEX(MemMap!$B$4:$B$98,MATCH(A571,MemMap!$A$4:$A$98,0)),IF(F571="Y","TunSetCalSeg",IF(G571="Y", "FlashCalSeg", IF(G571="N", "FlashAppSeg", ""))))</f>
        <v>FlashAppSeg</v>
      </c>
      <c r="O571" s="220"/>
      <c r="P571" s="220"/>
      <c r="Q571" s="221"/>
      <c r="R571" s="221"/>
    </row>
    <row r="572" spans="1:18" ht="33.75" x14ac:dyDescent="0.2">
      <c r="A572" s="224" t="s">
        <v>1273</v>
      </c>
      <c r="B572" s="225" t="s">
        <v>1986</v>
      </c>
      <c r="C572" s="226" t="s">
        <v>1272</v>
      </c>
      <c r="D572" s="226" t="s">
        <v>197</v>
      </c>
      <c r="E572" s="226"/>
      <c r="F572" s="227" t="s">
        <v>82</v>
      </c>
      <c r="G572" s="228" t="s">
        <v>82</v>
      </c>
      <c r="H572" s="228"/>
      <c r="I572" s="223">
        <v>-1.685565</v>
      </c>
      <c r="J572" s="229">
        <v>-150</v>
      </c>
      <c r="K572" s="229">
        <v>150</v>
      </c>
      <c r="L572" s="229" t="s">
        <v>256</v>
      </c>
      <c r="M572" s="229" t="s">
        <v>257</v>
      </c>
      <c r="N572" s="230" t="str">
        <f>IF(ISERROR(MATCH(A572,MemMap!$A$4:$A$98,0)) = FALSE, INDEX(MemMap!$B$4:$B$98,MATCH(A572,MemMap!$A$4:$A$98,0)),IF(F572="Y","TunSetCalSeg",IF(G572="Y", "FlashCalSeg", IF(G572="N", "FlashAppSeg", ""))))</f>
        <v>FlashAppSeg</v>
      </c>
      <c r="O572" s="220"/>
      <c r="P572" s="220"/>
      <c r="Q572" s="221"/>
      <c r="R572" s="221"/>
    </row>
    <row r="573" spans="1:18" ht="33.75" x14ac:dyDescent="0.2">
      <c r="A573" s="224" t="s">
        <v>1300</v>
      </c>
      <c r="B573" s="225" t="s">
        <v>2010</v>
      </c>
      <c r="C573" s="226" t="s">
        <v>1272</v>
      </c>
      <c r="D573" s="226" t="s">
        <v>197</v>
      </c>
      <c r="E573" s="226"/>
      <c r="F573" s="227" t="s">
        <v>82</v>
      </c>
      <c r="G573" s="228" t="s">
        <v>82</v>
      </c>
      <c r="H573" s="228"/>
      <c r="I573" s="223">
        <v>0</v>
      </c>
      <c r="J573" s="229">
        <v>-20</v>
      </c>
      <c r="K573" s="229">
        <v>20</v>
      </c>
      <c r="L573" s="229" t="s">
        <v>519</v>
      </c>
      <c r="M573" s="229" t="s">
        <v>257</v>
      </c>
      <c r="N573" s="230" t="str">
        <f>IF(ISERROR(MATCH(A573,MemMap!$A$4:$A$98,0)) = FALSE, INDEX(MemMap!$B$4:$B$98,MATCH(A573,MemMap!$A$4:$A$98,0)),IF(F573="Y","TunSetCalSeg",IF(G573="Y", "FlashCalSeg", IF(G573="N", "FlashAppSeg", ""))))</f>
        <v>FlashAppSeg</v>
      </c>
      <c r="O573" s="220"/>
      <c r="P573" s="220"/>
      <c r="Q573" s="221"/>
      <c r="R573" s="221"/>
    </row>
    <row r="574" spans="1:18" ht="33.75" x14ac:dyDescent="0.2">
      <c r="A574" s="224" t="s">
        <v>1299</v>
      </c>
      <c r="B574" s="225" t="s">
        <v>2009</v>
      </c>
      <c r="C574" s="226" t="s">
        <v>1272</v>
      </c>
      <c r="D574" s="226" t="s">
        <v>197</v>
      </c>
      <c r="E574" s="226"/>
      <c r="F574" s="227" t="s">
        <v>82</v>
      </c>
      <c r="G574" s="228" t="s">
        <v>82</v>
      </c>
      <c r="H574" s="228"/>
      <c r="I574" s="223">
        <v>0</v>
      </c>
      <c r="J574" s="229">
        <v>-20</v>
      </c>
      <c r="K574" s="229">
        <v>20</v>
      </c>
      <c r="L574" s="229" t="s">
        <v>519</v>
      </c>
      <c r="M574" s="229" t="s">
        <v>257</v>
      </c>
      <c r="N574" s="230" t="str">
        <f>IF(ISERROR(MATCH(A574,MemMap!$A$4:$A$98,0)) = FALSE, INDEX(MemMap!$B$4:$B$98,MATCH(A574,MemMap!$A$4:$A$98,0)),IF(F574="Y","TunSetCalSeg",IF(G574="Y", "FlashCalSeg", IF(G574="N", "FlashAppSeg", ""))))</f>
        <v>FlashAppSeg</v>
      </c>
      <c r="O574" s="220"/>
      <c r="P574" s="220"/>
      <c r="Q574" s="221"/>
      <c r="R574" s="221"/>
    </row>
    <row r="575" spans="1:18" ht="33.75" x14ac:dyDescent="0.2">
      <c r="A575" s="224" t="s">
        <v>1298</v>
      </c>
      <c r="B575" s="225" t="s">
        <v>2008</v>
      </c>
      <c r="C575" s="226" t="s">
        <v>1272</v>
      </c>
      <c r="D575" s="226" t="s">
        <v>197</v>
      </c>
      <c r="E575" s="226"/>
      <c r="F575" s="227" t="s">
        <v>82</v>
      </c>
      <c r="G575" s="228" t="s">
        <v>82</v>
      </c>
      <c r="H575" s="228"/>
      <c r="I575" s="223">
        <v>0</v>
      </c>
      <c r="J575" s="229">
        <v>-20</v>
      </c>
      <c r="K575" s="229">
        <v>20</v>
      </c>
      <c r="L575" s="229" t="s">
        <v>519</v>
      </c>
      <c r="M575" s="229" t="s">
        <v>257</v>
      </c>
      <c r="N575" s="230" t="str">
        <f>IF(ISERROR(MATCH(A575,MemMap!$A$4:$A$98,0)) = FALSE, INDEX(MemMap!$B$4:$B$98,MATCH(A575,MemMap!$A$4:$A$98,0)),IF(F575="Y","TunSetCalSeg",IF(G575="Y", "FlashCalSeg", IF(G575="N", "FlashAppSeg", ""))))</f>
        <v>FlashAppSeg</v>
      </c>
      <c r="O575" s="220"/>
      <c r="P575" s="220"/>
      <c r="Q575" s="221"/>
      <c r="R575" s="221"/>
    </row>
    <row r="576" spans="1:18" ht="33.75" x14ac:dyDescent="0.2">
      <c r="A576" s="224" t="s">
        <v>1297</v>
      </c>
      <c r="B576" s="225" t="s">
        <v>2007</v>
      </c>
      <c r="C576" s="226" t="s">
        <v>1272</v>
      </c>
      <c r="D576" s="226" t="s">
        <v>197</v>
      </c>
      <c r="E576" s="226"/>
      <c r="F576" s="227" t="s">
        <v>82</v>
      </c>
      <c r="G576" s="228" t="s">
        <v>82</v>
      </c>
      <c r="H576" s="228"/>
      <c r="I576" s="223">
        <v>0</v>
      </c>
      <c r="J576" s="229">
        <v>-20</v>
      </c>
      <c r="K576" s="229">
        <v>20</v>
      </c>
      <c r="L576" s="229" t="s">
        <v>519</v>
      </c>
      <c r="M576" s="229" t="s">
        <v>257</v>
      </c>
      <c r="N576" s="230" t="str">
        <f>IF(ISERROR(MATCH(A576,MemMap!$A$4:$A$98,0)) = FALSE, INDEX(MemMap!$B$4:$B$98,MATCH(A576,MemMap!$A$4:$A$98,0)),IF(F576="Y","TunSetCalSeg",IF(G576="Y", "FlashCalSeg", IF(G576="N", "FlashAppSeg", ""))))</f>
        <v>FlashAppSeg</v>
      </c>
      <c r="O576" s="220"/>
      <c r="P576" s="220"/>
      <c r="Q576" s="221"/>
      <c r="R576" s="221"/>
    </row>
    <row r="577" spans="1:18" ht="33.75" x14ac:dyDescent="0.2">
      <c r="A577" s="224" t="s">
        <v>1308</v>
      </c>
      <c r="B577" s="225" t="s">
        <v>1309</v>
      </c>
      <c r="C577" s="226" t="s">
        <v>1272</v>
      </c>
      <c r="D577" s="226" t="s">
        <v>197</v>
      </c>
      <c r="E577" s="226"/>
      <c r="F577" s="227" t="s">
        <v>82</v>
      </c>
      <c r="G577" s="228" t="s">
        <v>82</v>
      </c>
      <c r="H577" s="228"/>
      <c r="I577" s="223" t="b">
        <v>0</v>
      </c>
      <c r="J577" s="229" t="b">
        <v>1</v>
      </c>
      <c r="K577" s="229" t="b">
        <v>0</v>
      </c>
      <c r="L577" s="229" t="s">
        <v>267</v>
      </c>
      <c r="M577" s="229" t="s">
        <v>865</v>
      </c>
      <c r="N577" s="230" t="str">
        <f>IF(ISERROR(MATCH(A577,MemMap!$A$4:$A$98,0)) = FALSE, INDEX(MemMap!$B$4:$B$98,MATCH(A577,MemMap!$A$4:$A$98,0)),IF(F577="Y","TunSetCalSeg",IF(G577="Y", "FlashCalSeg", IF(G577="N", "FlashAppSeg", ""))))</f>
        <v>FlashAppSeg</v>
      </c>
      <c r="O577" s="220"/>
      <c r="P577" s="220"/>
      <c r="Q577" s="221"/>
      <c r="R577" s="221"/>
    </row>
    <row r="578" spans="1:18" ht="78.75" x14ac:dyDescent="0.2">
      <c r="A578" s="224" t="s">
        <v>1314</v>
      </c>
      <c r="B578" s="225" t="s">
        <v>1856</v>
      </c>
      <c r="C578" s="226" t="s">
        <v>1857</v>
      </c>
      <c r="D578" s="226" t="s">
        <v>1858</v>
      </c>
      <c r="E578" s="226" t="s">
        <v>255</v>
      </c>
      <c r="F578" s="227" t="s">
        <v>82</v>
      </c>
      <c r="G578" s="228" t="s">
        <v>82</v>
      </c>
      <c r="H578" s="228"/>
      <c r="I578" s="223">
        <v>4.54545454545454E-2</v>
      </c>
      <c r="J578" s="229">
        <v>2.8571428571428501E-2</v>
      </c>
      <c r="K578" s="229">
        <v>6.6666666666666596E-2</v>
      </c>
      <c r="L578" s="229" t="s">
        <v>256</v>
      </c>
      <c r="M578" s="229" t="s">
        <v>257</v>
      </c>
      <c r="N578" s="230" t="str">
        <f>IF(ISERROR(MATCH(A578,MemMap!$A$4:$A$98,0)) = FALSE, INDEX(MemMap!$B$4:$B$98,MATCH(A578,MemMap!$A$4:$A$98,0)),IF(F578="Y","TunSetCalSeg",IF(G578="Y", "FlashCalSeg", IF(G578="N", "FlashAppSeg", ""))))</f>
        <v>FlashAppSeg</v>
      </c>
      <c r="O578" s="220"/>
      <c r="P578" s="220"/>
      <c r="Q578" s="221"/>
      <c r="R578" s="221"/>
    </row>
    <row r="579" spans="1:18" x14ac:dyDescent="0.2">
      <c r="A579" s="224" t="s">
        <v>1323</v>
      </c>
      <c r="B579" s="225"/>
      <c r="C579" s="226" t="s">
        <v>1840</v>
      </c>
      <c r="D579" s="226" t="s">
        <v>1842</v>
      </c>
      <c r="E579" s="226"/>
      <c r="F579" s="227" t="s">
        <v>82</v>
      </c>
      <c r="G579" s="228" t="s">
        <v>82</v>
      </c>
      <c r="H579" s="228"/>
      <c r="I579" s="223" t="s">
        <v>1316</v>
      </c>
      <c r="J579" s="229">
        <v>0</v>
      </c>
      <c r="K579" s="229">
        <v>255</v>
      </c>
      <c r="L579" s="229" t="s">
        <v>267</v>
      </c>
      <c r="M579" s="229" t="s">
        <v>565</v>
      </c>
      <c r="N579" s="230" t="str">
        <f>IF(ISERROR(MATCH(A579,MemMap!$A$4:$A$98,0)) = FALSE, INDEX(MemMap!$B$4:$B$98,MATCH(A579,MemMap!$A$4:$A$98,0)),IF(F579="Y","TunSetCalSeg",IF(G579="Y", "FlashCalSeg", IF(G579="N", "FlashAppSeg", ""))))</f>
        <v>FlashAppSeg</v>
      </c>
      <c r="O579" s="220"/>
      <c r="P579" s="220"/>
      <c r="Q579" s="221"/>
      <c r="R579" s="221"/>
    </row>
    <row r="580" spans="1:18" ht="45" x14ac:dyDescent="0.2">
      <c r="A580" s="224" t="s">
        <v>1328</v>
      </c>
      <c r="B580" s="225" t="s">
        <v>1329</v>
      </c>
      <c r="C580" s="226" t="s">
        <v>1840</v>
      </c>
      <c r="D580" s="226" t="s">
        <v>1841</v>
      </c>
      <c r="E580" s="226"/>
      <c r="F580" s="227" t="s">
        <v>82</v>
      </c>
      <c r="G580" s="228" t="s">
        <v>82</v>
      </c>
      <c r="H580" s="228"/>
      <c r="I580" s="223">
        <v>1</v>
      </c>
      <c r="J580" s="229">
        <v>0</v>
      </c>
      <c r="K580" s="229">
        <v>20</v>
      </c>
      <c r="L580" s="229" t="s">
        <v>267</v>
      </c>
      <c r="M580" s="229" t="s">
        <v>263</v>
      </c>
      <c r="N580" s="230" t="str">
        <f>IF(ISERROR(MATCH(A580,MemMap!$A$4:$A$98,0)) = FALSE, INDEX(MemMap!$B$4:$B$98,MATCH(A580,MemMap!$A$4:$A$98,0)),IF(F580="Y","TunSetCalSeg",IF(G580="Y", "FlashCalSeg", IF(G580="N", "FlashAppSeg", ""))))</f>
        <v>FlashAppSeg</v>
      </c>
      <c r="O580" s="220"/>
      <c r="P580" s="220"/>
      <c r="Q580" s="221"/>
      <c r="R580" s="221"/>
    </row>
    <row r="581" spans="1:18" ht="45" x14ac:dyDescent="0.2">
      <c r="A581" s="224" t="s">
        <v>1326</v>
      </c>
      <c r="B581" s="225" t="s">
        <v>1327</v>
      </c>
      <c r="C581" s="226" t="s">
        <v>1840</v>
      </c>
      <c r="D581" s="226" t="s">
        <v>1841</v>
      </c>
      <c r="E581" s="226"/>
      <c r="F581" s="227" t="s">
        <v>82</v>
      </c>
      <c r="G581" s="228" t="s">
        <v>82</v>
      </c>
      <c r="H581" s="228"/>
      <c r="I581" s="223">
        <v>3</v>
      </c>
      <c r="J581" s="229">
        <v>0</v>
      </c>
      <c r="K581" s="229">
        <v>255</v>
      </c>
      <c r="L581" s="229" t="s">
        <v>267</v>
      </c>
      <c r="M581" s="229" t="s">
        <v>263</v>
      </c>
      <c r="N581" s="230" t="str">
        <f>IF(ISERROR(MATCH(A581,MemMap!$A$4:$A$98,0)) = FALSE, INDEX(MemMap!$B$4:$B$98,MATCH(A581,MemMap!$A$4:$A$98,0)),IF(F581="Y","TunSetCalSeg",IF(G581="Y", "FlashCalSeg", IF(G581="N", "FlashAppSeg", ""))))</f>
        <v>FlashAppSeg</v>
      </c>
      <c r="O581" s="220"/>
      <c r="P581" s="220"/>
      <c r="Q581" s="221"/>
      <c r="R581" s="221"/>
    </row>
    <row r="582" spans="1:18" ht="45" x14ac:dyDescent="0.2">
      <c r="A582" s="224" t="s">
        <v>1324</v>
      </c>
      <c r="B582" s="225" t="s">
        <v>1325</v>
      </c>
      <c r="C582" s="226" t="s">
        <v>1840</v>
      </c>
      <c r="D582" s="226" t="s">
        <v>1841</v>
      </c>
      <c r="E582" s="226"/>
      <c r="F582" s="227" t="s">
        <v>82</v>
      </c>
      <c r="G582" s="228" t="s">
        <v>82</v>
      </c>
      <c r="H582" s="228"/>
      <c r="I582" s="223">
        <v>12</v>
      </c>
      <c r="J582" s="229">
        <v>0</v>
      </c>
      <c r="K582" s="229">
        <v>255</v>
      </c>
      <c r="L582" s="229" t="s">
        <v>267</v>
      </c>
      <c r="M582" s="229" t="s">
        <v>263</v>
      </c>
      <c r="N582" s="230" t="str">
        <f>IF(ISERROR(MATCH(A582,MemMap!$A$4:$A$98,0)) = FALSE, INDEX(MemMap!$B$4:$B$98,MATCH(A582,MemMap!$A$4:$A$98,0)),IF(F582="Y","TunSetCalSeg",IF(G582="Y", "FlashCalSeg", IF(G582="N", "FlashAppSeg", ""))))</f>
        <v>FlashAppSeg</v>
      </c>
      <c r="O582" s="220"/>
      <c r="P582" s="220"/>
      <c r="Q582" s="221"/>
      <c r="R582" s="221"/>
    </row>
    <row r="583" spans="1:18" ht="45" x14ac:dyDescent="0.2">
      <c r="A583" s="224" t="s">
        <v>1332</v>
      </c>
      <c r="B583" s="225" t="s">
        <v>1333</v>
      </c>
      <c r="C583" s="226" t="s">
        <v>1840</v>
      </c>
      <c r="D583" s="226" t="s">
        <v>1841</v>
      </c>
      <c r="E583" s="226"/>
      <c r="F583" s="227" t="s">
        <v>82</v>
      </c>
      <c r="G583" s="228" t="s">
        <v>82</v>
      </c>
      <c r="H583" s="228"/>
      <c r="I583" s="223">
        <v>6.4</v>
      </c>
      <c r="J583" s="229">
        <v>-32</v>
      </c>
      <c r="K583" s="229">
        <v>32</v>
      </c>
      <c r="L583" s="229" t="s">
        <v>1334</v>
      </c>
      <c r="M583" s="229" t="s">
        <v>257</v>
      </c>
      <c r="N583" s="230" t="str">
        <f>IF(ISERROR(MATCH(A583,MemMap!$A$4:$A$98,0)) = FALSE, INDEX(MemMap!$B$4:$B$98,MATCH(A583,MemMap!$A$4:$A$98,0)),IF(F583="Y","TunSetCalSeg",IF(G583="Y", "FlashCalSeg", IF(G583="N", "FlashAppSeg", ""))))</f>
        <v>FlashAppSeg</v>
      </c>
      <c r="O583" s="220"/>
      <c r="P583" s="220"/>
      <c r="Q583" s="221"/>
      <c r="R583" s="221"/>
    </row>
    <row r="584" spans="1:18" x14ac:dyDescent="0.2">
      <c r="A584" s="224" t="s">
        <v>1315</v>
      </c>
      <c r="B584" s="225"/>
      <c r="C584" s="226" t="s">
        <v>1840</v>
      </c>
      <c r="D584" s="226" t="s">
        <v>1842</v>
      </c>
      <c r="E584" s="226"/>
      <c r="F584" s="227" t="s">
        <v>82</v>
      </c>
      <c r="G584" s="228" t="s">
        <v>82</v>
      </c>
      <c r="H584" s="228"/>
      <c r="I584" s="223" t="s">
        <v>1316</v>
      </c>
      <c r="J584" s="229">
        <v>0</v>
      </c>
      <c r="K584" s="229">
        <v>255</v>
      </c>
      <c r="L584" s="229" t="s">
        <v>267</v>
      </c>
      <c r="M584" s="229" t="s">
        <v>565</v>
      </c>
      <c r="N584" s="230" t="str">
        <f>IF(ISERROR(MATCH(A584,MemMap!$A$4:$A$98,0)) = FALSE, INDEX(MemMap!$B$4:$B$98,MATCH(A584,MemMap!$A$4:$A$98,0)),IF(F584="Y","TunSetCalSeg",IF(G584="Y", "FlashCalSeg", IF(G584="N", "FlashAppSeg", ""))))</f>
        <v>FlashAppSeg</v>
      </c>
      <c r="O584" s="220"/>
      <c r="P584" s="220"/>
      <c r="Q584" s="221"/>
      <c r="R584" s="221"/>
    </row>
    <row r="585" spans="1:18" ht="45" x14ac:dyDescent="0.2">
      <c r="A585" s="224" t="s">
        <v>1321</v>
      </c>
      <c r="B585" s="225" t="s">
        <v>1322</v>
      </c>
      <c r="C585" s="226" t="s">
        <v>1840</v>
      </c>
      <c r="D585" s="226" t="s">
        <v>1841</v>
      </c>
      <c r="E585" s="226"/>
      <c r="F585" s="227" t="s">
        <v>82</v>
      </c>
      <c r="G585" s="228" t="s">
        <v>82</v>
      </c>
      <c r="H585" s="228"/>
      <c r="I585" s="223">
        <v>1</v>
      </c>
      <c r="J585" s="229">
        <v>0</v>
      </c>
      <c r="K585" s="229">
        <v>20</v>
      </c>
      <c r="L585" s="229" t="s">
        <v>267</v>
      </c>
      <c r="M585" s="229" t="s">
        <v>263</v>
      </c>
      <c r="N585" s="230" t="str">
        <f>IF(ISERROR(MATCH(A585,MemMap!$A$4:$A$98,0)) = FALSE, INDEX(MemMap!$B$4:$B$98,MATCH(A585,MemMap!$A$4:$A$98,0)),IF(F585="Y","TunSetCalSeg",IF(G585="Y", "FlashCalSeg", IF(G585="N", "FlashAppSeg", ""))))</f>
        <v>FlashAppSeg</v>
      </c>
      <c r="O585" s="220"/>
      <c r="P585" s="220"/>
      <c r="Q585" s="221"/>
      <c r="R585" s="221"/>
    </row>
    <row r="586" spans="1:18" ht="45" x14ac:dyDescent="0.2">
      <c r="A586" s="224" t="s">
        <v>1319</v>
      </c>
      <c r="B586" s="225" t="s">
        <v>1320</v>
      </c>
      <c r="C586" s="226" t="s">
        <v>1840</v>
      </c>
      <c r="D586" s="226" t="s">
        <v>1841</v>
      </c>
      <c r="E586" s="226"/>
      <c r="F586" s="227" t="s">
        <v>82</v>
      </c>
      <c r="G586" s="228" t="s">
        <v>82</v>
      </c>
      <c r="H586" s="228"/>
      <c r="I586" s="223">
        <v>3</v>
      </c>
      <c r="J586" s="229">
        <v>0</v>
      </c>
      <c r="K586" s="229">
        <v>255</v>
      </c>
      <c r="L586" s="229" t="s">
        <v>267</v>
      </c>
      <c r="M586" s="229" t="s">
        <v>263</v>
      </c>
      <c r="N586" s="230" t="str">
        <f>IF(ISERROR(MATCH(A586,MemMap!$A$4:$A$98,0)) = FALSE, INDEX(MemMap!$B$4:$B$98,MATCH(A586,MemMap!$A$4:$A$98,0)),IF(F586="Y","TunSetCalSeg",IF(G586="Y", "FlashCalSeg", IF(G586="N", "FlashAppSeg", ""))))</f>
        <v>FlashAppSeg</v>
      </c>
      <c r="O586" s="220"/>
      <c r="P586" s="220"/>
      <c r="Q586" s="221"/>
      <c r="R586" s="221"/>
    </row>
    <row r="587" spans="1:18" ht="45" x14ac:dyDescent="0.2">
      <c r="A587" s="224" t="s">
        <v>1317</v>
      </c>
      <c r="B587" s="225" t="s">
        <v>1318</v>
      </c>
      <c r="C587" s="226" t="s">
        <v>1840</v>
      </c>
      <c r="D587" s="226" t="s">
        <v>1841</v>
      </c>
      <c r="E587" s="226"/>
      <c r="F587" s="227" t="s">
        <v>82</v>
      </c>
      <c r="G587" s="228" t="s">
        <v>82</v>
      </c>
      <c r="H587" s="228"/>
      <c r="I587" s="223">
        <v>12</v>
      </c>
      <c r="J587" s="229">
        <v>0</v>
      </c>
      <c r="K587" s="229">
        <v>255</v>
      </c>
      <c r="L587" s="229" t="s">
        <v>267</v>
      </c>
      <c r="M587" s="229" t="s">
        <v>263</v>
      </c>
      <c r="N587" s="230" t="str">
        <f>IF(ISERROR(MATCH(A587,MemMap!$A$4:$A$98,0)) = FALSE, INDEX(MemMap!$B$4:$B$98,MATCH(A587,MemMap!$A$4:$A$98,0)),IF(F587="Y","TunSetCalSeg",IF(G587="Y", "FlashCalSeg", IF(G587="N", "FlashAppSeg", ""))))</f>
        <v>FlashAppSeg</v>
      </c>
      <c r="O587" s="220"/>
      <c r="P587" s="220"/>
      <c r="Q587" s="221"/>
      <c r="R587" s="221"/>
    </row>
    <row r="588" spans="1:18" ht="45" x14ac:dyDescent="0.2">
      <c r="A588" s="224" t="s">
        <v>1330</v>
      </c>
      <c r="B588" s="225" t="s">
        <v>1331</v>
      </c>
      <c r="C588" s="226" t="s">
        <v>1840</v>
      </c>
      <c r="D588" s="226" t="s">
        <v>1841</v>
      </c>
      <c r="E588" s="226"/>
      <c r="F588" s="227" t="s">
        <v>82</v>
      </c>
      <c r="G588" s="228" t="s">
        <v>82</v>
      </c>
      <c r="H588" s="228"/>
      <c r="I588" s="223">
        <v>225</v>
      </c>
      <c r="J588" s="229">
        <v>-1118</v>
      </c>
      <c r="K588" s="229">
        <v>1118</v>
      </c>
      <c r="L588" s="229" t="s">
        <v>259</v>
      </c>
      <c r="M588" s="229" t="s">
        <v>257</v>
      </c>
      <c r="N588" s="230" t="str">
        <f>IF(ISERROR(MATCH(A588,MemMap!$A$4:$A$98,0)) = FALSE, INDEX(MemMap!$B$4:$B$98,MATCH(A588,MemMap!$A$4:$A$98,0)),IF(F588="Y","TunSetCalSeg",IF(G588="Y", "FlashCalSeg", IF(G588="N", "FlashAppSeg", ""))))</f>
        <v>FlashAppSeg</v>
      </c>
      <c r="O588" s="220"/>
      <c r="P588" s="220"/>
      <c r="Q588" s="221"/>
      <c r="R588" s="221"/>
    </row>
    <row r="589" spans="1:18" ht="45" x14ac:dyDescent="0.2">
      <c r="A589" s="224" t="s">
        <v>1310</v>
      </c>
      <c r="B589" s="225" t="s">
        <v>1311</v>
      </c>
      <c r="C589" s="226" t="s">
        <v>1840</v>
      </c>
      <c r="D589" s="226" t="s">
        <v>1841</v>
      </c>
      <c r="E589" s="226" t="s">
        <v>1312</v>
      </c>
      <c r="F589" s="227" t="s">
        <v>82</v>
      </c>
      <c r="G589" s="228" t="s">
        <v>82</v>
      </c>
      <c r="H589" s="228"/>
      <c r="I589" s="223" t="s">
        <v>1313</v>
      </c>
      <c r="J589" s="229">
        <v>0</v>
      </c>
      <c r="K589" s="229">
        <v>1</v>
      </c>
      <c r="L589" s="229" t="s">
        <v>259</v>
      </c>
      <c r="M589" s="229" t="s">
        <v>653</v>
      </c>
      <c r="N589" s="230" t="str">
        <f>IF(ISERROR(MATCH(A589,MemMap!$A$4:$A$98,0)) = FALSE, INDEX(MemMap!$B$4:$B$98,MATCH(A589,MemMap!$A$4:$A$98,0)),IF(F589="Y","TunSetCalSeg",IF(G589="Y", "FlashCalSeg", IF(G589="N", "FlashAppSeg", ""))))</f>
        <v>FlashAppSeg</v>
      </c>
      <c r="O589" s="220"/>
      <c r="P589" s="220"/>
      <c r="Q589" s="221"/>
      <c r="R589" s="221"/>
    </row>
    <row r="590" spans="1:18" ht="45" x14ac:dyDescent="0.2">
      <c r="A590" s="224" t="s">
        <v>3096</v>
      </c>
      <c r="B590" s="225" t="s">
        <v>3097</v>
      </c>
      <c r="C590" s="226" t="s">
        <v>3152</v>
      </c>
      <c r="D590" s="226" t="s">
        <v>3153</v>
      </c>
      <c r="E590" s="226" t="s">
        <v>3098</v>
      </c>
      <c r="F590" s="227" t="s">
        <v>82</v>
      </c>
      <c r="G590" s="228" t="s">
        <v>82</v>
      </c>
      <c r="H590" s="228"/>
      <c r="I590" s="223">
        <v>1</v>
      </c>
      <c r="J590" s="229">
        <v>0</v>
      </c>
      <c r="K590" s="229">
        <v>255</v>
      </c>
      <c r="L590" s="229" t="s">
        <v>267</v>
      </c>
      <c r="M590" s="229" t="s">
        <v>938</v>
      </c>
      <c r="N590" s="230" t="str">
        <f>IF(ISERROR(MATCH(A590,MemMap!$A$4:$A$98,0)) = FALSE, INDEX(MemMap!$B$4:$B$98,MATCH(A590,MemMap!$A$4:$A$98,0)),IF(F590="Y","TunSetCalSeg",IF(G590="Y", "FlashCalSeg", IF(G590="N", "FlashAppSeg", ""))))</f>
        <v>FlashAppSeg</v>
      </c>
      <c r="O590" s="220"/>
      <c r="P590" s="220"/>
      <c r="Q590" s="221"/>
      <c r="R590" s="221"/>
    </row>
    <row r="591" spans="1:18" ht="45" x14ac:dyDescent="0.2">
      <c r="A591" s="224" t="s">
        <v>3093</v>
      </c>
      <c r="B591" s="225" t="s">
        <v>3094</v>
      </c>
      <c r="C591" s="226" t="s">
        <v>3152</v>
      </c>
      <c r="D591" s="226" t="s">
        <v>3153</v>
      </c>
      <c r="E591" s="226" t="s">
        <v>3095</v>
      </c>
      <c r="F591" s="227" t="s">
        <v>82</v>
      </c>
      <c r="G591" s="228" t="s">
        <v>82</v>
      </c>
      <c r="H591" s="228"/>
      <c r="I591" s="223">
        <v>20</v>
      </c>
      <c r="J591" s="229">
        <v>0</v>
      </c>
      <c r="K591" s="229">
        <v>255</v>
      </c>
      <c r="L591" s="229" t="s">
        <v>267</v>
      </c>
      <c r="M591" s="229" t="s">
        <v>938</v>
      </c>
      <c r="N591" s="230" t="str">
        <f>IF(ISERROR(MATCH(A591,MemMap!$A$4:$A$98,0)) = FALSE, INDEX(MemMap!$B$4:$B$98,MATCH(A591,MemMap!$A$4:$A$98,0)),IF(F591="Y","TunSetCalSeg",IF(G591="Y", "FlashCalSeg", IF(G591="N", "FlashAppSeg", ""))))</f>
        <v>FlashAppSeg</v>
      </c>
      <c r="O591" s="220"/>
      <c r="P591" s="220"/>
      <c r="Q591" s="221"/>
      <c r="R591" s="221"/>
    </row>
    <row r="592" spans="1:18" ht="22.5" x14ac:dyDescent="0.2">
      <c r="A592" s="224" t="s">
        <v>2947</v>
      </c>
      <c r="B592" s="225" t="s">
        <v>2948</v>
      </c>
      <c r="C592" s="226" t="s">
        <v>3176</v>
      </c>
      <c r="D592" s="226" t="s">
        <v>3148</v>
      </c>
      <c r="E592" s="226"/>
      <c r="F592" s="227" t="s">
        <v>82</v>
      </c>
      <c r="G592" s="228" t="s">
        <v>82</v>
      </c>
      <c r="H592" s="228"/>
      <c r="I592" s="223">
        <v>100</v>
      </c>
      <c r="J592" s="229">
        <v>10</v>
      </c>
      <c r="K592" s="229">
        <v>8000</v>
      </c>
      <c r="L592" s="229" t="s">
        <v>804</v>
      </c>
      <c r="M592" s="229" t="s">
        <v>257</v>
      </c>
      <c r="N592" s="230" t="str">
        <f>IF(ISERROR(MATCH(A592,MemMap!$A$4:$A$98,0)) = FALSE, INDEX(MemMap!$B$4:$B$98,MATCH(A592,MemMap!$A$4:$A$98,0)),IF(F592="Y","TunSetCalSeg",IF(G592="Y", "FlashCalSeg", IF(G592="N", "FlashAppSeg", ""))))</f>
        <v>FlashAppSeg</v>
      </c>
      <c r="O592" s="220"/>
      <c r="P592" s="220"/>
      <c r="Q592" s="221"/>
      <c r="R592" s="221"/>
    </row>
    <row r="593" spans="1:18" ht="22.5" x14ac:dyDescent="0.2">
      <c r="A593" s="224" t="s">
        <v>1180</v>
      </c>
      <c r="B593" s="225" t="s">
        <v>1181</v>
      </c>
      <c r="C593" s="226" t="s">
        <v>3176</v>
      </c>
      <c r="D593" s="226" t="s">
        <v>3148</v>
      </c>
      <c r="E593" s="226"/>
      <c r="F593" s="227" t="s">
        <v>82</v>
      </c>
      <c r="G593" s="228" t="s">
        <v>82</v>
      </c>
      <c r="H593" s="228"/>
      <c r="I593" s="223">
        <v>3.9300000000000003E-3</v>
      </c>
      <c r="J593" s="229">
        <v>0</v>
      </c>
      <c r="K593" s="229">
        <v>4.4999999999999997E-3</v>
      </c>
      <c r="L593" s="229" t="s">
        <v>1179</v>
      </c>
      <c r="M593" s="229" t="s">
        <v>257</v>
      </c>
      <c r="N593" s="230" t="str">
        <f>IF(ISERROR(MATCH(A593,MemMap!$A$4:$A$98,0)) = FALSE, INDEX(MemMap!$B$4:$B$98,MATCH(A593,MemMap!$A$4:$A$98,0)),IF(F593="Y","TunSetCalSeg",IF(G593="Y", "FlashCalSeg", IF(G593="N", "FlashAppSeg", ""))))</f>
        <v>FlashAppSeg</v>
      </c>
      <c r="O593" s="220"/>
      <c r="P593" s="220"/>
      <c r="Q593" s="221"/>
      <c r="R593" s="221"/>
    </row>
    <row r="594" spans="1:18" ht="56.25" x14ac:dyDescent="0.2">
      <c r="A594" s="224" t="s">
        <v>1268</v>
      </c>
      <c r="B594" s="225" t="s">
        <v>1269</v>
      </c>
      <c r="C594" s="226" t="s">
        <v>3176</v>
      </c>
      <c r="D594" s="226" t="s">
        <v>3148</v>
      </c>
      <c r="E594" s="226" t="s">
        <v>1270</v>
      </c>
      <c r="F594" s="227" t="s">
        <v>82</v>
      </c>
      <c r="G594" s="228" t="s">
        <v>82</v>
      </c>
      <c r="H594" s="228"/>
      <c r="I594" s="223">
        <v>1</v>
      </c>
      <c r="J594" s="229">
        <v>0.95</v>
      </c>
      <c r="K594" s="229">
        <v>1</v>
      </c>
      <c r="L594" s="229" t="s">
        <v>256</v>
      </c>
      <c r="M594" s="229" t="s">
        <v>257</v>
      </c>
      <c r="N594" s="230" t="str">
        <f>IF(ISERROR(MATCH(A594,MemMap!$A$4:$A$98,0)) = FALSE, INDEX(MemMap!$B$4:$B$98,MATCH(A594,MemMap!$A$4:$A$98,0)),IF(F594="Y","TunSetCalSeg",IF(G594="Y", "FlashCalSeg", IF(G594="N", "FlashAppSeg", ""))))</f>
        <v>FlashAppSeg</v>
      </c>
      <c r="O594" s="220"/>
      <c r="P594" s="220"/>
      <c r="Q594" s="221"/>
      <c r="R594" s="221"/>
    </row>
    <row r="595" spans="1:18" ht="56.25" x14ac:dyDescent="0.2">
      <c r="A595" s="224" t="s">
        <v>1211</v>
      </c>
      <c r="B595" s="225" t="s">
        <v>1212</v>
      </c>
      <c r="C595" s="226" t="s">
        <v>3176</v>
      </c>
      <c r="D595" s="226" t="s">
        <v>3148</v>
      </c>
      <c r="E595" s="226" t="s">
        <v>1213</v>
      </c>
      <c r="F595" s="227" t="s">
        <v>82</v>
      </c>
      <c r="G595" s="228" t="s">
        <v>82</v>
      </c>
      <c r="H595" s="228"/>
      <c r="I595" s="223">
        <v>6268</v>
      </c>
      <c r="J595" s="229">
        <v>82</v>
      </c>
      <c r="K595" s="229">
        <v>7739</v>
      </c>
      <c r="L595" s="229" t="s">
        <v>256</v>
      </c>
      <c r="M595" s="229" t="s">
        <v>263</v>
      </c>
      <c r="N595" s="230" t="str">
        <f>IF(ISERROR(MATCH(A595,MemMap!$A$4:$A$98,0)) = FALSE, INDEX(MemMap!$B$4:$B$98,MATCH(A595,MemMap!$A$4:$A$98,0)),IF(F595="Y","TunSetCalSeg",IF(G595="Y", "FlashCalSeg", IF(G595="N", "FlashAppSeg", ""))))</f>
        <v>FlashAppSeg</v>
      </c>
      <c r="O595" s="220"/>
      <c r="P595" s="220"/>
      <c r="Q595" s="221"/>
      <c r="R595" s="221"/>
    </row>
    <row r="596" spans="1:18" ht="45" x14ac:dyDescent="0.2">
      <c r="A596" s="224" t="s">
        <v>1214</v>
      </c>
      <c r="B596" s="225" t="s">
        <v>1215</v>
      </c>
      <c r="C596" s="226" t="s">
        <v>3176</v>
      </c>
      <c r="D596" s="226" t="s">
        <v>3148</v>
      </c>
      <c r="E596" s="226" t="s">
        <v>1216</v>
      </c>
      <c r="F596" s="227" t="s">
        <v>82</v>
      </c>
      <c r="G596" s="228" t="s">
        <v>82</v>
      </c>
      <c r="H596" s="228"/>
      <c r="I596" s="223">
        <v>1224</v>
      </c>
      <c r="J596" s="229">
        <v>500</v>
      </c>
      <c r="K596" s="229">
        <v>4836</v>
      </c>
      <c r="L596" s="229" t="s">
        <v>256</v>
      </c>
      <c r="M596" s="229" t="s">
        <v>263</v>
      </c>
      <c r="N596" s="230" t="str">
        <f>IF(ISERROR(MATCH(A596,MemMap!$A$4:$A$98,0)) = FALSE, INDEX(MemMap!$B$4:$B$98,MATCH(A596,MemMap!$A$4:$A$98,0)),IF(F596="Y","TunSetCalSeg",IF(G596="Y", "FlashCalSeg", IF(G596="N", "FlashAppSeg", ""))))</f>
        <v>FlashAppSeg</v>
      </c>
      <c r="O596" s="220"/>
      <c r="P596" s="220"/>
      <c r="Q596" s="221"/>
      <c r="R596" s="221"/>
    </row>
    <row r="597" spans="1:18" ht="22.5" x14ac:dyDescent="0.2">
      <c r="A597" s="224" t="s">
        <v>1822</v>
      </c>
      <c r="B597" s="225" t="s">
        <v>1823</v>
      </c>
      <c r="C597" s="226" t="s">
        <v>3176</v>
      </c>
      <c r="D597" s="226" t="s">
        <v>3148</v>
      </c>
      <c r="E597" s="226" t="s">
        <v>1219</v>
      </c>
      <c r="F597" s="227" t="s">
        <v>82</v>
      </c>
      <c r="G597" s="228" t="s">
        <v>82</v>
      </c>
      <c r="H597" s="228"/>
      <c r="I597" s="223">
        <v>12</v>
      </c>
      <c r="J597" s="229">
        <v>1</v>
      </c>
      <c r="K597" s="229">
        <v>18</v>
      </c>
      <c r="L597" s="229" t="s">
        <v>288</v>
      </c>
      <c r="M597" s="229" t="s">
        <v>257</v>
      </c>
      <c r="N597" s="230" t="str">
        <f>IF(ISERROR(MATCH(A597,MemMap!$A$4:$A$98,0)) = FALSE, INDEX(MemMap!$B$4:$B$98,MATCH(A597,MemMap!$A$4:$A$98,0)),IF(F597="Y","TunSetCalSeg",IF(G597="Y", "FlashCalSeg", IF(G597="N", "FlashAppSeg", ""))))</f>
        <v>FlashAppSeg</v>
      </c>
      <c r="O597" s="220"/>
      <c r="P597" s="220"/>
      <c r="Q597" s="221"/>
      <c r="R597" s="221"/>
    </row>
    <row r="598" spans="1:18" ht="22.5" x14ac:dyDescent="0.2">
      <c r="A598" s="224" t="s">
        <v>1824</v>
      </c>
      <c r="B598" s="225" t="s">
        <v>1825</v>
      </c>
      <c r="C598" s="226" t="s">
        <v>3176</v>
      </c>
      <c r="D598" s="226" t="s">
        <v>3148</v>
      </c>
      <c r="E598" s="226" t="s">
        <v>1826</v>
      </c>
      <c r="F598" s="227" t="s">
        <v>82</v>
      </c>
      <c r="G598" s="228" t="s">
        <v>82</v>
      </c>
      <c r="H598" s="228"/>
      <c r="I598" s="223">
        <v>18</v>
      </c>
      <c r="J598" s="229">
        <v>1</v>
      </c>
      <c r="K598" s="229">
        <v>18</v>
      </c>
      <c r="L598" s="229" t="s">
        <v>288</v>
      </c>
      <c r="M598" s="229" t="s">
        <v>257</v>
      </c>
      <c r="N598" s="230" t="str">
        <f>IF(ISERROR(MATCH(A598,MemMap!$A$4:$A$98,0)) = FALSE, INDEX(MemMap!$B$4:$B$98,MATCH(A598,MemMap!$A$4:$A$98,0)),IF(F598="Y","TunSetCalSeg",IF(G598="Y", "FlashCalSeg", IF(G598="N", "FlashAppSeg", ""))))</f>
        <v>FlashAppSeg</v>
      </c>
      <c r="O598" s="220"/>
      <c r="P598" s="220"/>
      <c r="Q598" s="221"/>
      <c r="R598" s="221"/>
    </row>
    <row r="599" spans="1:18" ht="22.5" x14ac:dyDescent="0.2">
      <c r="A599" s="224" t="s">
        <v>1820</v>
      </c>
      <c r="B599" s="225" t="s">
        <v>1821</v>
      </c>
      <c r="C599" s="226" t="s">
        <v>3176</v>
      </c>
      <c r="D599" s="226" t="s">
        <v>3148</v>
      </c>
      <c r="E599" s="226" t="s">
        <v>1218</v>
      </c>
      <c r="F599" s="227" t="s">
        <v>82</v>
      </c>
      <c r="G599" s="228" t="s">
        <v>82</v>
      </c>
      <c r="H599" s="228"/>
      <c r="I599" s="223">
        <v>6</v>
      </c>
      <c r="J599" s="229">
        <v>1</v>
      </c>
      <c r="K599" s="229">
        <v>18</v>
      </c>
      <c r="L599" s="229" t="s">
        <v>288</v>
      </c>
      <c r="M599" s="229" t="s">
        <v>257</v>
      </c>
      <c r="N599" s="230" t="str">
        <f>IF(ISERROR(MATCH(A599,MemMap!$A$4:$A$98,0)) = FALSE, INDEX(MemMap!$B$4:$B$98,MATCH(A599,MemMap!$A$4:$A$98,0)),IF(F599="Y","TunSetCalSeg",IF(G599="Y", "FlashCalSeg", IF(G599="N", "FlashAppSeg", ""))))</f>
        <v>FlashAppSeg</v>
      </c>
      <c r="O599" s="220"/>
      <c r="P599" s="220"/>
      <c r="Q599" s="221"/>
      <c r="R599" s="221"/>
    </row>
    <row r="600" spans="1:18" ht="22.5" x14ac:dyDescent="0.2">
      <c r="A600" s="224" t="s">
        <v>2034</v>
      </c>
      <c r="B600" s="225" t="s">
        <v>2035</v>
      </c>
      <c r="C600" s="226" t="s">
        <v>3176</v>
      </c>
      <c r="D600" s="226" t="s">
        <v>3148</v>
      </c>
      <c r="E600" s="226"/>
      <c r="F600" s="227" t="s">
        <v>82</v>
      </c>
      <c r="G600" s="228" t="s">
        <v>82</v>
      </c>
      <c r="H600" s="228"/>
      <c r="I600" s="223">
        <v>0</v>
      </c>
      <c r="J600" s="229">
        <v>0</v>
      </c>
      <c r="K600" s="229">
        <v>1</v>
      </c>
      <c r="L600" s="229" t="s">
        <v>256</v>
      </c>
      <c r="M600" s="229" t="s">
        <v>257</v>
      </c>
      <c r="N600" s="230" t="str">
        <f>IF(ISERROR(MATCH(A600,MemMap!$A$4:$A$98,0)) = FALSE, INDEX(MemMap!$B$4:$B$98,MATCH(A600,MemMap!$A$4:$A$98,0)),IF(F600="Y","TunSetCalSeg",IF(G600="Y", "FlashCalSeg", IF(G600="N", "FlashAppSeg", ""))))</f>
        <v>FlashAppSeg</v>
      </c>
      <c r="O600" s="220"/>
      <c r="P600" s="220"/>
      <c r="Q600" s="221"/>
      <c r="R600" s="221"/>
    </row>
    <row r="601" spans="1:18" ht="22.5" x14ac:dyDescent="0.2">
      <c r="A601" s="224" t="s">
        <v>2036</v>
      </c>
      <c r="B601" s="225" t="s">
        <v>2037</v>
      </c>
      <c r="C601" s="226" t="s">
        <v>3176</v>
      </c>
      <c r="D601" s="226" t="s">
        <v>3148</v>
      </c>
      <c r="E601" s="226"/>
      <c r="F601" s="227" t="s">
        <v>82</v>
      </c>
      <c r="G601" s="228" t="s">
        <v>82</v>
      </c>
      <c r="H601" s="228"/>
      <c r="I601" s="223">
        <v>0.25</v>
      </c>
      <c r="J601" s="229">
        <v>0</v>
      </c>
      <c r="K601" s="229">
        <v>1</v>
      </c>
      <c r="L601" s="229" t="s">
        <v>256</v>
      </c>
      <c r="M601" s="229" t="s">
        <v>257</v>
      </c>
      <c r="N601" s="230" t="str">
        <f>IF(ISERROR(MATCH(A601,MemMap!$A$4:$A$98,0)) = FALSE, INDEX(MemMap!$B$4:$B$98,MATCH(A601,MemMap!$A$4:$A$98,0)),IF(F601="Y","TunSetCalSeg",IF(G601="Y", "FlashCalSeg", IF(G601="N", "FlashAppSeg", ""))))</f>
        <v>FlashAppSeg</v>
      </c>
      <c r="O601" s="220"/>
      <c r="P601" s="220"/>
      <c r="Q601" s="221"/>
      <c r="R601" s="221"/>
    </row>
    <row r="602" spans="1:18" ht="22.5" x14ac:dyDescent="0.2">
      <c r="A602" s="224" t="s">
        <v>1262</v>
      </c>
      <c r="B602" s="225" t="s">
        <v>1263</v>
      </c>
      <c r="C602" s="226" t="s">
        <v>3176</v>
      </c>
      <c r="D602" s="226" t="s">
        <v>3148</v>
      </c>
      <c r="E602" s="226" t="s">
        <v>1264</v>
      </c>
      <c r="F602" s="227" t="s">
        <v>82</v>
      </c>
      <c r="G602" s="228" t="s">
        <v>82</v>
      </c>
      <c r="H602" s="228"/>
      <c r="I602" s="223">
        <v>3</v>
      </c>
      <c r="J602" s="229">
        <v>1</v>
      </c>
      <c r="K602" s="229">
        <v>5</v>
      </c>
      <c r="L602" s="229" t="s">
        <v>267</v>
      </c>
      <c r="M602" s="229" t="s">
        <v>263</v>
      </c>
      <c r="N602" s="230" t="str">
        <f>IF(ISERROR(MATCH(A602,MemMap!$A$4:$A$98,0)) = FALSE, INDEX(MemMap!$B$4:$B$98,MATCH(A602,MemMap!$A$4:$A$98,0)),IF(F602="Y","TunSetCalSeg",IF(G602="Y", "FlashCalSeg", IF(G602="N", "FlashAppSeg", ""))))</f>
        <v>FlashAppSeg</v>
      </c>
      <c r="O602" s="220"/>
      <c r="P602" s="220"/>
      <c r="Q602" s="221"/>
      <c r="R602" s="221"/>
    </row>
    <row r="603" spans="1:18" ht="22.5" x14ac:dyDescent="0.2">
      <c r="A603" s="224" t="s">
        <v>1259</v>
      </c>
      <c r="B603" s="225" t="s">
        <v>1260</v>
      </c>
      <c r="C603" s="226" t="s">
        <v>3176</v>
      </c>
      <c r="D603" s="226" t="s">
        <v>3148</v>
      </c>
      <c r="E603" s="226" t="s">
        <v>1261</v>
      </c>
      <c r="F603" s="227" t="s">
        <v>82</v>
      </c>
      <c r="G603" s="228" t="s">
        <v>82</v>
      </c>
      <c r="H603" s="228"/>
      <c r="I603" s="223">
        <v>0.1</v>
      </c>
      <c r="J603" s="229">
        <v>0.01</v>
      </c>
      <c r="K603" s="229">
        <v>20</v>
      </c>
      <c r="L603" s="229" t="s">
        <v>609</v>
      </c>
      <c r="M603" s="229" t="s">
        <v>257</v>
      </c>
      <c r="N603" s="230" t="str">
        <f>IF(ISERROR(MATCH(A603,MemMap!$A$4:$A$98,0)) = FALSE, INDEX(MemMap!$B$4:$B$98,MATCH(A603,MemMap!$A$4:$A$98,0)),IF(F603="Y","TunSetCalSeg",IF(G603="Y", "FlashCalSeg", IF(G603="N", "FlashAppSeg", ""))))</f>
        <v>FlashAppSeg</v>
      </c>
      <c r="O603" s="220"/>
      <c r="P603" s="220"/>
      <c r="Q603" s="221"/>
      <c r="R603" s="221"/>
    </row>
    <row r="604" spans="1:18" ht="22.5" x14ac:dyDescent="0.2">
      <c r="A604" s="224" t="s">
        <v>1265</v>
      </c>
      <c r="B604" s="225" t="s">
        <v>1266</v>
      </c>
      <c r="C604" s="226" t="s">
        <v>3176</v>
      </c>
      <c r="D604" s="226" t="s">
        <v>3148</v>
      </c>
      <c r="E604" s="226" t="s">
        <v>1267</v>
      </c>
      <c r="F604" s="227" t="s">
        <v>82</v>
      </c>
      <c r="G604" s="228" t="s">
        <v>82</v>
      </c>
      <c r="H604" s="228"/>
      <c r="I604" s="223">
        <v>10</v>
      </c>
      <c r="J604" s="229">
        <v>1</v>
      </c>
      <c r="K604" s="229">
        <v>20</v>
      </c>
      <c r="L604" s="229" t="s">
        <v>267</v>
      </c>
      <c r="M604" s="229" t="s">
        <v>263</v>
      </c>
      <c r="N604" s="230" t="str">
        <f>IF(ISERROR(MATCH(A604,MemMap!$A$4:$A$98,0)) = FALSE, INDEX(MemMap!$B$4:$B$98,MATCH(A604,MemMap!$A$4:$A$98,0)),IF(F604="Y","TunSetCalSeg",IF(G604="Y", "FlashCalSeg", IF(G604="N", "FlashAppSeg", ""))))</f>
        <v>FlashAppSeg</v>
      </c>
      <c r="O604" s="220"/>
      <c r="P604" s="220"/>
      <c r="Q604" s="221"/>
      <c r="R604" s="221"/>
    </row>
    <row r="605" spans="1:18" ht="22.5" x14ac:dyDescent="0.2">
      <c r="A605" s="224" t="s">
        <v>1256</v>
      </c>
      <c r="B605" s="225" t="s">
        <v>1257</v>
      </c>
      <c r="C605" s="226" t="s">
        <v>3176</v>
      </c>
      <c r="D605" s="226" t="s">
        <v>3148</v>
      </c>
      <c r="E605" s="226" t="s">
        <v>1258</v>
      </c>
      <c r="F605" s="227" t="s">
        <v>82</v>
      </c>
      <c r="G605" s="228" t="s">
        <v>82</v>
      </c>
      <c r="H605" s="228"/>
      <c r="I605" s="223">
        <v>3</v>
      </c>
      <c r="J605" s="229">
        <v>1</v>
      </c>
      <c r="K605" s="229">
        <v>5</v>
      </c>
      <c r="L605" s="229" t="s">
        <v>267</v>
      </c>
      <c r="M605" s="229" t="s">
        <v>263</v>
      </c>
      <c r="N605" s="230" t="str">
        <f>IF(ISERROR(MATCH(A605,MemMap!$A$4:$A$98,0)) = FALSE, INDEX(MemMap!$B$4:$B$98,MATCH(A605,MemMap!$A$4:$A$98,0)),IF(F605="Y","TunSetCalSeg",IF(G605="Y", "FlashCalSeg", IF(G605="N", "FlashAppSeg", ""))))</f>
        <v>FlashAppSeg</v>
      </c>
      <c r="O605" s="220"/>
      <c r="P605" s="220"/>
      <c r="Q605" s="221"/>
      <c r="R605" s="221"/>
    </row>
    <row r="606" spans="1:18" ht="22.5" x14ac:dyDescent="0.2">
      <c r="A606" s="224" t="s">
        <v>1253</v>
      </c>
      <c r="B606" s="225" t="s">
        <v>1254</v>
      </c>
      <c r="C606" s="226" t="s">
        <v>3176</v>
      </c>
      <c r="D606" s="226" t="s">
        <v>3148</v>
      </c>
      <c r="E606" s="226" t="s">
        <v>1255</v>
      </c>
      <c r="F606" s="227" t="s">
        <v>82</v>
      </c>
      <c r="G606" s="228" t="s">
        <v>82</v>
      </c>
      <c r="H606" s="228"/>
      <c r="I606" s="223">
        <v>1.4999999999999999E-2</v>
      </c>
      <c r="J606" s="229">
        <v>1E-3</v>
      </c>
      <c r="K606" s="229">
        <v>0.1</v>
      </c>
      <c r="L606" s="229" t="s">
        <v>1217</v>
      </c>
      <c r="M606" s="229" t="s">
        <v>257</v>
      </c>
      <c r="N606" s="230" t="str">
        <f>IF(ISERROR(MATCH(A606,MemMap!$A$4:$A$98,0)) = FALSE, INDEX(MemMap!$B$4:$B$98,MATCH(A606,MemMap!$A$4:$A$98,0)),IF(F606="Y","TunSetCalSeg",IF(G606="Y", "FlashCalSeg", IF(G606="N", "FlashAppSeg", ""))))</f>
        <v>FlashAppSeg</v>
      </c>
      <c r="O606" s="220"/>
      <c r="P606" s="220"/>
      <c r="Q606" s="221"/>
      <c r="R606" s="221"/>
    </row>
    <row r="607" spans="1:18" ht="22.5" x14ac:dyDescent="0.2">
      <c r="A607" s="224" t="s">
        <v>2949</v>
      </c>
      <c r="B607" s="225" t="s">
        <v>2950</v>
      </c>
      <c r="C607" s="226" t="s">
        <v>3176</v>
      </c>
      <c r="D607" s="226" t="s">
        <v>3148</v>
      </c>
      <c r="E607" s="226"/>
      <c r="F607" s="227" t="s">
        <v>82</v>
      </c>
      <c r="G607" s="228" t="s">
        <v>82</v>
      </c>
      <c r="H607" s="228"/>
      <c r="I607" s="223">
        <v>100</v>
      </c>
      <c r="J607" s="229">
        <v>10</v>
      </c>
      <c r="K607" s="229">
        <v>8000</v>
      </c>
      <c r="L607" s="229" t="s">
        <v>804</v>
      </c>
      <c r="M607" s="229" t="s">
        <v>257</v>
      </c>
      <c r="N607" s="230" t="str">
        <f>IF(ISERROR(MATCH(A607,MemMap!$A$4:$A$98,0)) = FALSE, INDEX(MemMap!$B$4:$B$98,MATCH(A607,MemMap!$A$4:$A$98,0)),IF(F607="Y","TunSetCalSeg",IF(G607="Y", "FlashCalSeg", IF(G607="N", "FlashAppSeg", ""))))</f>
        <v>FlashAppSeg</v>
      </c>
      <c r="O607" s="220"/>
      <c r="P607" s="220"/>
      <c r="Q607" s="221"/>
      <c r="R607" s="221"/>
    </row>
    <row r="608" spans="1:18" ht="67.5" x14ac:dyDescent="0.2">
      <c r="A608" s="224" t="s">
        <v>1227</v>
      </c>
      <c r="B608" s="225" t="s">
        <v>1228</v>
      </c>
      <c r="C608" s="226" t="s">
        <v>3176</v>
      </c>
      <c r="D608" s="226" t="s">
        <v>3148</v>
      </c>
      <c r="E608" s="226" t="s">
        <v>1229</v>
      </c>
      <c r="F608" s="227" t="s">
        <v>82</v>
      </c>
      <c r="G608" s="228" t="s">
        <v>82</v>
      </c>
      <c r="H608" s="228"/>
      <c r="I608" s="223">
        <v>2.5</v>
      </c>
      <c r="J608" s="229">
        <v>0</v>
      </c>
      <c r="K608" s="229">
        <v>6.25</v>
      </c>
      <c r="L608" s="229" t="s">
        <v>1230</v>
      </c>
      <c r="M608" s="229" t="s">
        <v>257</v>
      </c>
      <c r="N608" s="230" t="str">
        <f>IF(ISERROR(MATCH(A608,MemMap!$A$4:$A$98,0)) = FALSE, INDEX(MemMap!$B$4:$B$98,MATCH(A608,MemMap!$A$4:$A$98,0)),IF(F608="Y","TunSetCalSeg",IF(G608="Y", "FlashCalSeg", IF(G608="N", "FlashAppSeg", ""))))</f>
        <v>FlashAppSeg</v>
      </c>
      <c r="O608" s="220"/>
      <c r="P608" s="220"/>
      <c r="Q608" s="221"/>
      <c r="R608" s="221"/>
    </row>
    <row r="609" spans="1:18" ht="22.5" x14ac:dyDescent="0.2">
      <c r="A609" s="224" t="s">
        <v>1172</v>
      </c>
      <c r="B609" s="225" t="s">
        <v>1173</v>
      </c>
      <c r="C609" s="226" t="s">
        <v>3176</v>
      </c>
      <c r="D609" s="226" t="s">
        <v>3148</v>
      </c>
      <c r="E609" s="226"/>
      <c r="F609" s="227" t="s">
        <v>82</v>
      </c>
      <c r="G609" s="228" t="s">
        <v>82</v>
      </c>
      <c r="H609" s="228"/>
      <c r="I609" s="223">
        <v>-1E-3</v>
      </c>
      <c r="J609" s="229">
        <v>-1.5E-3</v>
      </c>
      <c r="K609" s="229">
        <v>1.5E-3</v>
      </c>
      <c r="L609" s="229" t="s">
        <v>1174</v>
      </c>
      <c r="M609" s="229" t="s">
        <v>257</v>
      </c>
      <c r="N609" s="230" t="str">
        <f>IF(ISERROR(MATCH(A609,MemMap!$A$4:$A$98,0)) = FALSE, INDEX(MemMap!$B$4:$B$98,MATCH(A609,MemMap!$A$4:$A$98,0)),IF(F609="Y","TunSetCalSeg",IF(G609="Y", "FlashCalSeg", IF(G609="N", "FlashAppSeg", ""))))</f>
        <v>FlashAppSeg</v>
      </c>
      <c r="O609" s="220"/>
      <c r="P609" s="220"/>
      <c r="Q609" s="221"/>
      <c r="R609" s="221"/>
    </row>
    <row r="610" spans="1:18" ht="22.5" x14ac:dyDescent="0.2">
      <c r="A610" s="224" t="s">
        <v>1154</v>
      </c>
      <c r="B610" s="225" t="s">
        <v>1155</v>
      </c>
      <c r="C610" s="226" t="s">
        <v>3176</v>
      </c>
      <c r="D610" s="226" t="s">
        <v>3148</v>
      </c>
      <c r="E610" s="226"/>
      <c r="F610" s="227" t="s">
        <v>82</v>
      </c>
      <c r="G610" s="228" t="s">
        <v>82</v>
      </c>
      <c r="H610" s="228"/>
      <c r="I610" s="223">
        <v>0.06</v>
      </c>
      <c r="J610" s="229">
        <v>2.5000000000000001E-2</v>
      </c>
      <c r="K610" s="229">
        <v>7.4999999999999997E-2</v>
      </c>
      <c r="L610" s="229" t="s">
        <v>1153</v>
      </c>
      <c r="M610" s="229" t="s">
        <v>257</v>
      </c>
      <c r="N610" s="230" t="str">
        <f>IF(ISERROR(MATCH(A610,MemMap!$A$4:$A$98,0)) = FALSE, INDEX(MemMap!$B$4:$B$98,MATCH(A610,MemMap!$A$4:$A$98,0)),IF(F610="Y","TunSetCalSeg",IF(G610="Y", "FlashCalSeg", IF(G610="N", "FlashAppSeg", ""))))</f>
        <v>FlashAppSeg</v>
      </c>
      <c r="O610" s="220"/>
      <c r="P610" s="220"/>
      <c r="Q610" s="221"/>
      <c r="R610" s="221"/>
    </row>
    <row r="611" spans="1:18" ht="22.5" x14ac:dyDescent="0.2">
      <c r="A611" s="224" t="s">
        <v>1168</v>
      </c>
      <c r="B611" s="225" t="s">
        <v>1169</v>
      </c>
      <c r="C611" s="226" t="s">
        <v>3176</v>
      </c>
      <c r="D611" s="226" t="s">
        <v>3148</v>
      </c>
      <c r="E611" s="226"/>
      <c r="F611" s="227" t="s">
        <v>82</v>
      </c>
      <c r="G611" s="228" t="s">
        <v>82</v>
      </c>
      <c r="H611" s="228"/>
      <c r="I611" s="223">
        <v>2.0000000000000001E-4</v>
      </c>
      <c r="J611" s="229">
        <v>3.0000000000000001E-5</v>
      </c>
      <c r="K611" s="229">
        <v>4.0999999999999999E-4</v>
      </c>
      <c r="L611" s="229" t="s">
        <v>1163</v>
      </c>
      <c r="M611" s="229" t="s">
        <v>257</v>
      </c>
      <c r="N611" s="230" t="str">
        <f>IF(ISERROR(MATCH(A611,MemMap!$A$4:$A$98,0)) = FALSE, INDEX(MemMap!$B$4:$B$98,MATCH(A611,MemMap!$A$4:$A$98,0)),IF(F611="Y","TunSetCalSeg",IF(G611="Y", "FlashCalSeg", IF(G611="N", "FlashAppSeg", ""))))</f>
        <v>FlashAppSeg</v>
      </c>
      <c r="O611" s="220"/>
      <c r="P611" s="220"/>
      <c r="Q611" s="221"/>
      <c r="R611" s="221"/>
    </row>
    <row r="612" spans="1:18" ht="22.5" x14ac:dyDescent="0.2">
      <c r="A612" s="224" t="s">
        <v>1164</v>
      </c>
      <c r="B612" s="225" t="s">
        <v>1165</v>
      </c>
      <c r="C612" s="226" t="s">
        <v>3176</v>
      </c>
      <c r="D612" s="226" t="s">
        <v>3148</v>
      </c>
      <c r="E612" s="226"/>
      <c r="F612" s="227" t="s">
        <v>82</v>
      </c>
      <c r="G612" s="228" t="s">
        <v>82</v>
      </c>
      <c r="H612" s="228"/>
      <c r="I612" s="223">
        <v>2.0000000000000001E-4</v>
      </c>
      <c r="J612" s="229">
        <v>3.0000000000000001E-5</v>
      </c>
      <c r="K612" s="229">
        <v>4.0999999999999999E-4</v>
      </c>
      <c r="L612" s="229" t="s">
        <v>1163</v>
      </c>
      <c r="M612" s="229" t="s">
        <v>257</v>
      </c>
      <c r="N612" s="230" t="str">
        <f>IF(ISERROR(MATCH(A612,MemMap!$A$4:$A$98,0)) = FALSE, INDEX(MemMap!$B$4:$B$98,MATCH(A612,MemMap!$A$4:$A$98,0)),IF(F612="Y","TunSetCalSeg",IF(G612="Y", "FlashCalSeg", IF(G612="N", "FlashAppSeg", ""))))</f>
        <v>FlashAppSeg</v>
      </c>
      <c r="O612" s="220"/>
      <c r="P612" s="220"/>
      <c r="Q612" s="221"/>
      <c r="R612" s="221"/>
    </row>
    <row r="613" spans="1:18" ht="22.5" x14ac:dyDescent="0.2">
      <c r="A613" s="224" t="s">
        <v>1159</v>
      </c>
      <c r="B613" s="225" t="s">
        <v>1160</v>
      </c>
      <c r="C613" s="226" t="s">
        <v>3176</v>
      </c>
      <c r="D613" s="226" t="s">
        <v>3148</v>
      </c>
      <c r="E613" s="226"/>
      <c r="F613" s="227" t="s">
        <v>82</v>
      </c>
      <c r="G613" s="228" t="s">
        <v>82</v>
      </c>
      <c r="H613" s="228"/>
      <c r="I613" s="223">
        <v>0.06</v>
      </c>
      <c r="J613" s="229">
        <v>5.0000000000000001E-3</v>
      </c>
      <c r="K613" s="229">
        <v>0.12565000000000001</v>
      </c>
      <c r="L613" s="229" t="s">
        <v>1158</v>
      </c>
      <c r="M613" s="229" t="s">
        <v>257</v>
      </c>
      <c r="N613" s="230" t="str">
        <f>IF(ISERROR(MATCH(A613,MemMap!$A$4:$A$98,0)) = FALSE, INDEX(MemMap!$B$4:$B$98,MATCH(A613,MemMap!$A$4:$A$98,0)),IF(F613="Y","TunSetCalSeg",IF(G613="Y", "FlashCalSeg", IF(G613="N", "FlashAppSeg", ""))))</f>
        <v>FlashAppSeg</v>
      </c>
      <c r="O613" s="220"/>
      <c r="P613" s="220"/>
      <c r="Q613" s="221"/>
      <c r="R613" s="221"/>
    </row>
    <row r="614" spans="1:18" ht="33.75" x14ac:dyDescent="0.2">
      <c r="A614" s="224" t="s">
        <v>1137</v>
      </c>
      <c r="B614" s="225" t="s">
        <v>1138</v>
      </c>
      <c r="C614" s="226" t="s">
        <v>3176</v>
      </c>
      <c r="D614" s="226" t="s">
        <v>3149</v>
      </c>
      <c r="E614" s="226" t="s">
        <v>1139</v>
      </c>
      <c r="F614" s="227" t="s">
        <v>82</v>
      </c>
      <c r="G614" s="228" t="s">
        <v>82</v>
      </c>
      <c r="H614" s="228"/>
      <c r="I614" s="223">
        <v>1.1000000000000001</v>
      </c>
      <c r="J614" s="229">
        <v>0.9</v>
      </c>
      <c r="K614" s="229">
        <v>1.1000000000000001</v>
      </c>
      <c r="L614" s="229" t="s">
        <v>256</v>
      </c>
      <c r="M614" s="229" t="s">
        <v>257</v>
      </c>
      <c r="N614" s="230" t="str">
        <f>IF(ISERROR(MATCH(A614,MemMap!$A$4:$A$98,0)) = FALSE, INDEX(MemMap!$B$4:$B$98,MATCH(A614,MemMap!$A$4:$A$98,0)),IF(F614="Y","TunSetCalSeg",IF(G614="Y", "FlashCalSeg", IF(G614="N", "FlashAppSeg", ""))))</f>
        <v>FlashAppSeg</v>
      </c>
      <c r="O614" s="220"/>
      <c r="P614" s="220"/>
      <c r="Q614" s="221"/>
      <c r="R614" s="221"/>
    </row>
    <row r="615" spans="1:18" ht="22.5" x14ac:dyDescent="0.2">
      <c r="A615" s="224" t="s">
        <v>1151</v>
      </c>
      <c r="B615" s="225" t="s">
        <v>1152</v>
      </c>
      <c r="C615" s="226" t="s">
        <v>3176</v>
      </c>
      <c r="D615" s="226" t="s">
        <v>3148</v>
      </c>
      <c r="E615" s="226"/>
      <c r="F615" s="227" t="s">
        <v>82</v>
      </c>
      <c r="G615" s="228" t="s">
        <v>82</v>
      </c>
      <c r="H615" s="228"/>
      <c r="I615" s="223">
        <v>2.5999999999999999E-2</v>
      </c>
      <c r="J615" s="229">
        <v>2.5000000000000001E-2</v>
      </c>
      <c r="K615" s="229">
        <v>7.4999999999999997E-2</v>
      </c>
      <c r="L615" s="229" t="s">
        <v>1153</v>
      </c>
      <c r="M615" s="229" t="s">
        <v>257</v>
      </c>
      <c r="N615" s="230" t="str">
        <f>IF(ISERROR(MATCH(A615,MemMap!$A$4:$A$98,0)) = FALSE, INDEX(MemMap!$B$4:$B$98,MATCH(A615,MemMap!$A$4:$A$98,0)),IF(F615="Y","TunSetCalSeg",IF(G615="Y", "FlashCalSeg", IF(G615="N", "FlashAppSeg", ""))))</f>
        <v>FlashAppSeg</v>
      </c>
      <c r="O615" s="220"/>
      <c r="P615" s="220"/>
      <c r="Q615" s="221"/>
      <c r="R615" s="221"/>
    </row>
    <row r="616" spans="1:18" ht="22.5" x14ac:dyDescent="0.2">
      <c r="A616" s="224" t="s">
        <v>1166</v>
      </c>
      <c r="B616" s="225" t="s">
        <v>1167</v>
      </c>
      <c r="C616" s="226" t="s">
        <v>3176</v>
      </c>
      <c r="D616" s="226" t="s">
        <v>3148</v>
      </c>
      <c r="E616" s="226"/>
      <c r="F616" s="227" t="s">
        <v>82</v>
      </c>
      <c r="G616" s="228" t="s">
        <v>82</v>
      </c>
      <c r="H616" s="228"/>
      <c r="I616" s="223">
        <v>1E-4</v>
      </c>
      <c r="J616" s="229">
        <v>3.0000000000000001E-5</v>
      </c>
      <c r="K616" s="229">
        <v>4.0999999999999999E-4</v>
      </c>
      <c r="L616" s="229" t="s">
        <v>1163</v>
      </c>
      <c r="M616" s="229" t="s">
        <v>257</v>
      </c>
      <c r="N616" s="230" t="str">
        <f>IF(ISERROR(MATCH(A616,MemMap!$A$4:$A$98,0)) = FALSE, INDEX(MemMap!$B$4:$B$98,MATCH(A616,MemMap!$A$4:$A$98,0)),IF(F616="Y","TunSetCalSeg",IF(G616="Y", "FlashCalSeg", IF(G616="N", "FlashAppSeg", ""))))</f>
        <v>FlashAppSeg</v>
      </c>
      <c r="O616" s="220"/>
      <c r="P616" s="220"/>
      <c r="Q616" s="221"/>
      <c r="R616" s="221"/>
    </row>
    <row r="617" spans="1:18" ht="22.5" x14ac:dyDescent="0.2">
      <c r="A617" s="224" t="s">
        <v>1161</v>
      </c>
      <c r="B617" s="225" t="s">
        <v>1162</v>
      </c>
      <c r="C617" s="226" t="s">
        <v>3176</v>
      </c>
      <c r="D617" s="226" t="s">
        <v>3148</v>
      </c>
      <c r="E617" s="226"/>
      <c r="F617" s="227" t="s">
        <v>82</v>
      </c>
      <c r="G617" s="228" t="s">
        <v>82</v>
      </c>
      <c r="H617" s="228"/>
      <c r="I617" s="223">
        <v>1E-4</v>
      </c>
      <c r="J617" s="229">
        <v>3.0000000000000001E-5</v>
      </c>
      <c r="K617" s="229">
        <v>4.0999999999999999E-4</v>
      </c>
      <c r="L617" s="229" t="s">
        <v>1163</v>
      </c>
      <c r="M617" s="229" t="s">
        <v>257</v>
      </c>
      <c r="N617" s="230" t="str">
        <f>IF(ISERROR(MATCH(A617,MemMap!$A$4:$A$98,0)) = FALSE, INDEX(MemMap!$B$4:$B$98,MATCH(A617,MemMap!$A$4:$A$98,0)),IF(F617="Y","TunSetCalSeg",IF(G617="Y", "FlashCalSeg", IF(G617="N", "FlashAppSeg", ""))))</f>
        <v>FlashAppSeg</v>
      </c>
      <c r="O617" s="220"/>
      <c r="P617" s="220"/>
      <c r="Q617" s="221"/>
      <c r="R617" s="221"/>
    </row>
    <row r="618" spans="1:18" ht="22.5" x14ac:dyDescent="0.2">
      <c r="A618" s="224" t="s">
        <v>1156</v>
      </c>
      <c r="B618" s="225" t="s">
        <v>1157</v>
      </c>
      <c r="C618" s="226" t="s">
        <v>3176</v>
      </c>
      <c r="D618" s="226" t="s">
        <v>3148</v>
      </c>
      <c r="E618" s="226"/>
      <c r="F618" s="227" t="s">
        <v>82</v>
      </c>
      <c r="G618" s="228" t="s">
        <v>82</v>
      </c>
      <c r="H618" s="228"/>
      <c r="I618" s="223">
        <v>0.01</v>
      </c>
      <c r="J618" s="229">
        <v>5.0000000000000001E-3</v>
      </c>
      <c r="K618" s="229">
        <v>0.12565000000000001</v>
      </c>
      <c r="L618" s="229" t="s">
        <v>1158</v>
      </c>
      <c r="M618" s="229" t="s">
        <v>257</v>
      </c>
      <c r="N618" s="230" t="str">
        <f>IF(ISERROR(MATCH(A618,MemMap!$A$4:$A$98,0)) = FALSE, INDEX(MemMap!$B$4:$B$98,MATCH(A618,MemMap!$A$4:$A$98,0)),IF(F618="Y","TunSetCalSeg",IF(G618="Y", "FlashCalSeg", IF(G618="N", "FlashAppSeg", ""))))</f>
        <v>FlashAppSeg</v>
      </c>
      <c r="O618" s="220"/>
      <c r="P618" s="220"/>
      <c r="Q618" s="221"/>
      <c r="R618" s="221"/>
    </row>
    <row r="619" spans="1:18" ht="33.75" x14ac:dyDescent="0.2">
      <c r="A619" s="224" t="s">
        <v>1134</v>
      </c>
      <c r="B619" s="225" t="s">
        <v>1135</v>
      </c>
      <c r="C619" s="226" t="s">
        <v>3176</v>
      </c>
      <c r="D619" s="226" t="s">
        <v>3149</v>
      </c>
      <c r="E619" s="226" t="s">
        <v>1136</v>
      </c>
      <c r="F619" s="227" t="s">
        <v>82</v>
      </c>
      <c r="G619" s="228" t="s">
        <v>82</v>
      </c>
      <c r="H619" s="228"/>
      <c r="I619" s="223">
        <v>0.9</v>
      </c>
      <c r="J619" s="229">
        <v>0.9</v>
      </c>
      <c r="K619" s="229">
        <v>1.1000000000000001</v>
      </c>
      <c r="L619" s="229" t="s">
        <v>256</v>
      </c>
      <c r="M619" s="229" t="s">
        <v>257</v>
      </c>
      <c r="N619" s="230" t="str">
        <f>IF(ISERROR(MATCH(A619,MemMap!$A$4:$A$98,0)) = FALSE, INDEX(MemMap!$B$4:$B$98,MATCH(A619,MemMap!$A$4:$A$98,0)),IF(F619="Y","TunSetCalSeg",IF(G619="Y", "FlashCalSeg", IF(G619="N", "FlashAppSeg", ""))))</f>
        <v>FlashAppSeg</v>
      </c>
      <c r="O619" s="220"/>
      <c r="P619" s="220"/>
      <c r="Q619" s="221"/>
      <c r="R619" s="221"/>
    </row>
    <row r="620" spans="1:18" ht="22.5" x14ac:dyDescent="0.2">
      <c r="A620" s="224" t="s">
        <v>2895</v>
      </c>
      <c r="B620" s="225" t="s">
        <v>2896</v>
      </c>
      <c r="C620" s="226" t="s">
        <v>3176</v>
      </c>
      <c r="D620" s="226" t="s">
        <v>3148</v>
      </c>
      <c r="E620" s="226"/>
      <c r="F620" s="227" t="s">
        <v>82</v>
      </c>
      <c r="G620" s="228" t="s">
        <v>82</v>
      </c>
      <c r="H620" s="228"/>
      <c r="I620" s="223" t="b">
        <v>0</v>
      </c>
      <c r="J620" s="229" t="b">
        <v>0</v>
      </c>
      <c r="K620" s="229" t="b">
        <v>1</v>
      </c>
      <c r="L620" s="229" t="s">
        <v>267</v>
      </c>
      <c r="M620" s="229" t="s">
        <v>462</v>
      </c>
      <c r="N620" s="230" t="str">
        <f>IF(ISERROR(MATCH(A620,MemMap!$A$4:$A$98,0)) = FALSE, INDEX(MemMap!$B$4:$B$98,MATCH(A620,MemMap!$A$4:$A$98,0)),IF(F620="Y","TunSetCalSeg",IF(G620="Y", "FlashCalSeg", IF(G620="N", "FlashAppSeg", ""))))</f>
        <v>FlashAppSeg</v>
      </c>
      <c r="O620" s="220"/>
      <c r="P620" s="220"/>
      <c r="Q620" s="221"/>
      <c r="R620" s="221"/>
    </row>
    <row r="621" spans="1:18" ht="22.5" x14ac:dyDescent="0.2">
      <c r="A621" s="224" t="s">
        <v>2897</v>
      </c>
      <c r="B621" s="225" t="s">
        <v>2898</v>
      </c>
      <c r="C621" s="226" t="s">
        <v>3176</v>
      </c>
      <c r="D621" s="226" t="s">
        <v>3148</v>
      </c>
      <c r="E621" s="226"/>
      <c r="F621" s="227" t="s">
        <v>82</v>
      </c>
      <c r="G621" s="228" t="s">
        <v>82</v>
      </c>
      <c r="H621" s="228"/>
      <c r="I621" s="223" t="b">
        <v>0</v>
      </c>
      <c r="J621" s="229" t="b">
        <v>0</v>
      </c>
      <c r="K621" s="229" t="b">
        <v>1</v>
      </c>
      <c r="L621" s="229" t="s">
        <v>267</v>
      </c>
      <c r="M621" s="229" t="s">
        <v>462</v>
      </c>
      <c r="N621" s="230" t="str">
        <f>IF(ISERROR(MATCH(A621,MemMap!$A$4:$A$98,0)) = FALSE, INDEX(MemMap!$B$4:$B$98,MATCH(A621,MemMap!$A$4:$A$98,0)),IF(F621="Y","TunSetCalSeg",IF(G621="Y", "FlashCalSeg", IF(G621="N", "FlashAppSeg", ""))))</f>
        <v>FlashAppSeg</v>
      </c>
      <c r="O621" s="220"/>
      <c r="P621" s="220"/>
      <c r="Q621" s="221"/>
      <c r="R621" s="221"/>
    </row>
    <row r="622" spans="1:18" ht="22.5" x14ac:dyDescent="0.2">
      <c r="A622" s="224" t="s">
        <v>2905</v>
      </c>
      <c r="B622" s="225" t="s">
        <v>2906</v>
      </c>
      <c r="C622" s="226" t="s">
        <v>3176</v>
      </c>
      <c r="D622" s="226" t="s">
        <v>3148</v>
      </c>
      <c r="E622" s="226"/>
      <c r="F622" s="227" t="s">
        <v>82</v>
      </c>
      <c r="G622" s="228" t="s">
        <v>82</v>
      </c>
      <c r="H622" s="228"/>
      <c r="I622" s="223">
        <v>0</v>
      </c>
      <c r="J622" s="229">
        <v>0</v>
      </c>
      <c r="K622" s="229">
        <v>0.2</v>
      </c>
      <c r="L622" s="229" t="s">
        <v>1158</v>
      </c>
      <c r="M622" s="229" t="s">
        <v>257</v>
      </c>
      <c r="N622" s="230" t="str">
        <f>IF(ISERROR(MATCH(A622,MemMap!$A$4:$A$98,0)) = FALSE, INDEX(MemMap!$B$4:$B$98,MATCH(A622,MemMap!$A$4:$A$98,0)),IF(F622="Y","TunSetCalSeg",IF(G622="Y", "FlashCalSeg", IF(G622="N", "FlashAppSeg", ""))))</f>
        <v>FlashAppSeg</v>
      </c>
      <c r="O622" s="220"/>
      <c r="P622" s="220"/>
      <c r="Q622" s="221"/>
      <c r="R622" s="221"/>
    </row>
    <row r="623" spans="1:18" ht="22.5" x14ac:dyDescent="0.2">
      <c r="A623" s="224" t="s">
        <v>2903</v>
      </c>
      <c r="B623" s="225" t="s">
        <v>2904</v>
      </c>
      <c r="C623" s="226" t="s">
        <v>3176</v>
      </c>
      <c r="D623" s="226" t="s">
        <v>3148</v>
      </c>
      <c r="E623" s="226"/>
      <c r="F623" s="227" t="s">
        <v>82</v>
      </c>
      <c r="G623" s="228" t="s">
        <v>82</v>
      </c>
      <c r="H623" s="228"/>
      <c r="I623" s="223">
        <v>0</v>
      </c>
      <c r="J623" s="229">
        <v>0</v>
      </c>
      <c r="K623" s="229">
        <v>0.2</v>
      </c>
      <c r="L623" s="229" t="s">
        <v>1158</v>
      </c>
      <c r="M623" s="229" t="s">
        <v>257</v>
      </c>
      <c r="N623" s="230" t="str">
        <f>IF(ISERROR(MATCH(A623,MemMap!$A$4:$A$98,0)) = FALSE, INDEX(MemMap!$B$4:$B$98,MATCH(A623,MemMap!$A$4:$A$98,0)),IF(F623="Y","TunSetCalSeg",IF(G623="Y", "FlashCalSeg", IF(G623="N", "FlashAppSeg", ""))))</f>
        <v>FlashAppSeg</v>
      </c>
      <c r="O623" s="220"/>
      <c r="P623" s="220"/>
      <c r="Q623" s="221"/>
      <c r="R623" s="221"/>
    </row>
    <row r="624" spans="1:18" ht="22.5" x14ac:dyDescent="0.2">
      <c r="A624" s="224" t="s">
        <v>2907</v>
      </c>
      <c r="B624" s="225" t="s">
        <v>2908</v>
      </c>
      <c r="C624" s="226" t="s">
        <v>3176</v>
      </c>
      <c r="D624" s="226" t="s">
        <v>3148</v>
      </c>
      <c r="E624" s="226"/>
      <c r="F624" s="227" t="s">
        <v>82</v>
      </c>
      <c r="G624" s="228" t="s">
        <v>82</v>
      </c>
      <c r="H624" s="228"/>
      <c r="I624" s="223">
        <v>0</v>
      </c>
      <c r="J624" s="229">
        <v>0</v>
      </c>
      <c r="K624" s="229">
        <v>100</v>
      </c>
      <c r="L624" s="229" t="s">
        <v>267</v>
      </c>
      <c r="M624" s="229" t="s">
        <v>257</v>
      </c>
      <c r="N624" s="230" t="str">
        <f>IF(ISERROR(MATCH(A624,MemMap!$A$4:$A$98,0)) = FALSE, INDEX(MemMap!$B$4:$B$98,MATCH(A624,MemMap!$A$4:$A$98,0)),IF(F624="Y","TunSetCalSeg",IF(G624="Y", "FlashCalSeg", IF(G624="N", "FlashAppSeg", ""))))</f>
        <v>FlashAppSeg</v>
      </c>
      <c r="O624" s="220"/>
      <c r="P624" s="220"/>
      <c r="Q624" s="221"/>
      <c r="R624" s="221"/>
    </row>
    <row r="625" spans="1:18" ht="22.5" x14ac:dyDescent="0.2">
      <c r="A625" s="224" t="s">
        <v>2945</v>
      </c>
      <c r="B625" s="225" t="s">
        <v>2946</v>
      </c>
      <c r="C625" s="226" t="s">
        <v>3176</v>
      </c>
      <c r="D625" s="226" t="s">
        <v>3148</v>
      </c>
      <c r="E625" s="226"/>
      <c r="F625" s="227" t="s">
        <v>82</v>
      </c>
      <c r="G625" s="228" t="s">
        <v>82</v>
      </c>
      <c r="H625" s="228"/>
      <c r="I625" s="223" t="b">
        <v>0</v>
      </c>
      <c r="J625" s="229" t="b">
        <v>0</v>
      </c>
      <c r="K625" s="229" t="b">
        <v>1</v>
      </c>
      <c r="L625" s="229" t="s">
        <v>267</v>
      </c>
      <c r="M625" s="229" t="s">
        <v>462</v>
      </c>
      <c r="N625" s="230" t="str">
        <f>IF(ISERROR(MATCH(A625,MemMap!$A$4:$A$98,0)) = FALSE, INDEX(MemMap!$B$4:$B$98,MATCH(A625,MemMap!$A$4:$A$98,0)),IF(F625="Y","TunSetCalSeg",IF(G625="Y", "FlashCalSeg", IF(G625="N", "FlashAppSeg", ""))))</f>
        <v>FlashAppSeg</v>
      </c>
      <c r="O625" s="220"/>
      <c r="P625" s="220"/>
      <c r="Q625" s="221"/>
      <c r="R625" s="221"/>
    </row>
    <row r="626" spans="1:18" ht="22.5" x14ac:dyDescent="0.2">
      <c r="A626" s="224" t="s">
        <v>2961</v>
      </c>
      <c r="B626" s="225" t="s">
        <v>2962</v>
      </c>
      <c r="C626" s="226" t="s">
        <v>3176</v>
      </c>
      <c r="D626" s="226" t="s">
        <v>3148</v>
      </c>
      <c r="E626" s="226"/>
      <c r="F626" s="227" t="s">
        <v>82</v>
      </c>
      <c r="G626" s="228" t="s">
        <v>82</v>
      </c>
      <c r="H626" s="228"/>
      <c r="I626" s="223" t="b">
        <v>1</v>
      </c>
      <c r="J626" s="229" t="b">
        <v>0</v>
      </c>
      <c r="K626" s="229" t="b">
        <v>1</v>
      </c>
      <c r="L626" s="229" t="s">
        <v>267</v>
      </c>
      <c r="M626" s="229" t="s">
        <v>462</v>
      </c>
      <c r="N626" s="230" t="str">
        <f>IF(ISERROR(MATCH(A626,MemMap!$A$4:$A$98,0)) = FALSE, INDEX(MemMap!$B$4:$B$98,MATCH(A626,MemMap!$A$4:$A$98,0)),IF(F626="Y","TunSetCalSeg",IF(G626="Y", "FlashCalSeg", IF(G626="N", "FlashAppSeg", ""))))</f>
        <v>FlashAppSeg</v>
      </c>
      <c r="O626" s="220"/>
      <c r="P626" s="220"/>
      <c r="Q626" s="221"/>
      <c r="R626" s="221"/>
    </row>
    <row r="627" spans="1:18" ht="22.5" x14ac:dyDescent="0.2">
      <c r="A627" s="224" t="s">
        <v>2909</v>
      </c>
      <c r="B627" s="225" t="s">
        <v>2910</v>
      </c>
      <c r="C627" s="226" t="s">
        <v>3176</v>
      </c>
      <c r="D627" s="226" t="s">
        <v>3148</v>
      </c>
      <c r="E627" s="226"/>
      <c r="F627" s="227" t="s">
        <v>82</v>
      </c>
      <c r="G627" s="228" t="s">
        <v>82</v>
      </c>
      <c r="H627" s="228"/>
      <c r="I627" s="223">
        <v>1</v>
      </c>
      <c r="J627" s="229">
        <v>0</v>
      </c>
      <c r="K627" s="229">
        <v>20</v>
      </c>
      <c r="L627" s="229" t="s">
        <v>256</v>
      </c>
      <c r="M627" s="229" t="s">
        <v>257</v>
      </c>
      <c r="N627" s="230" t="str">
        <f>IF(ISERROR(MATCH(A627,MemMap!$A$4:$A$98,0)) = FALSE, INDEX(MemMap!$B$4:$B$98,MATCH(A627,MemMap!$A$4:$A$98,0)),IF(F627="Y","TunSetCalSeg",IF(G627="Y", "FlashCalSeg", IF(G627="N", "FlashAppSeg", ""))))</f>
        <v>FlashAppSeg</v>
      </c>
      <c r="O627" s="220"/>
      <c r="P627" s="220"/>
      <c r="Q627" s="221"/>
      <c r="R627" s="221"/>
    </row>
    <row r="628" spans="1:18" ht="22.5" x14ac:dyDescent="0.2">
      <c r="A628" s="224" t="s">
        <v>2911</v>
      </c>
      <c r="B628" s="225" t="s">
        <v>2912</v>
      </c>
      <c r="C628" s="226" t="s">
        <v>3176</v>
      </c>
      <c r="D628" s="226" t="s">
        <v>3148</v>
      </c>
      <c r="E628" s="226"/>
      <c r="F628" s="227" t="s">
        <v>82</v>
      </c>
      <c r="G628" s="228" t="s">
        <v>82</v>
      </c>
      <c r="H628" s="228"/>
      <c r="I628" s="223">
        <v>1</v>
      </c>
      <c r="J628" s="229">
        <v>0</v>
      </c>
      <c r="K628" s="229">
        <v>20</v>
      </c>
      <c r="L628" s="229" t="s">
        <v>256</v>
      </c>
      <c r="M628" s="229" t="s">
        <v>257</v>
      </c>
      <c r="N628" s="230" t="str">
        <f>IF(ISERROR(MATCH(A628,MemMap!$A$4:$A$98,0)) = FALSE, INDEX(MemMap!$B$4:$B$98,MATCH(A628,MemMap!$A$4:$A$98,0)),IF(F628="Y","TunSetCalSeg",IF(G628="Y", "FlashCalSeg", IF(G628="N", "FlashAppSeg", ""))))</f>
        <v>FlashAppSeg</v>
      </c>
      <c r="O628" s="220"/>
      <c r="P628" s="220"/>
      <c r="Q628" s="221"/>
      <c r="R628" s="221"/>
    </row>
    <row r="629" spans="1:18" ht="409.5" x14ac:dyDescent="0.2">
      <c r="A629" s="224" t="s">
        <v>1148</v>
      </c>
      <c r="B629" s="225" t="s">
        <v>1149</v>
      </c>
      <c r="C629" s="226" t="s">
        <v>3176</v>
      </c>
      <c r="D629" s="226" t="s">
        <v>3713</v>
      </c>
      <c r="E629" s="226" t="s">
        <v>1150</v>
      </c>
      <c r="F629" s="227" t="s">
        <v>82</v>
      </c>
      <c r="G629" s="228" t="s">
        <v>82</v>
      </c>
      <c r="H629" s="228"/>
      <c r="I629" s="223">
        <v>9.3750000000000002E-5</v>
      </c>
      <c r="J629" s="229">
        <v>0</v>
      </c>
      <c r="K629" s="229">
        <v>2.0000000000000001E-4</v>
      </c>
      <c r="L629" s="229" t="s">
        <v>612</v>
      </c>
      <c r="M629" s="229" t="s">
        <v>257</v>
      </c>
      <c r="N629" s="230" t="str">
        <f>IF(ISERROR(MATCH(A629,MemMap!$A$4:$A$98,0)) = FALSE, INDEX(MemMap!$B$4:$B$98,MATCH(A629,MemMap!$A$4:$A$98,0)),IF(F629="Y","TunSetCalSeg",IF(G629="Y", "FlashCalSeg", IF(G629="N", "FlashAppSeg", ""))))</f>
        <v>FlashAppSeg</v>
      </c>
      <c r="O629" s="220"/>
      <c r="P629" s="220"/>
      <c r="Q629" s="221"/>
      <c r="R629" s="221"/>
    </row>
    <row r="630" spans="1:18" ht="22.5" x14ac:dyDescent="0.2">
      <c r="A630" s="224" t="s">
        <v>2951</v>
      </c>
      <c r="B630" s="225" t="s">
        <v>2952</v>
      </c>
      <c r="C630" s="226" t="s">
        <v>3176</v>
      </c>
      <c r="D630" s="226" t="s">
        <v>3148</v>
      </c>
      <c r="E630" s="226"/>
      <c r="F630" s="227" t="s">
        <v>82</v>
      </c>
      <c r="G630" s="228" t="s">
        <v>82</v>
      </c>
      <c r="H630" s="228"/>
      <c r="I630" s="223">
        <v>9.3750000000000002E-5</v>
      </c>
      <c r="J630" s="229">
        <v>0</v>
      </c>
      <c r="K630" s="229">
        <v>2.0000000000000001E-4</v>
      </c>
      <c r="L630" s="229" t="s">
        <v>612</v>
      </c>
      <c r="M630" s="229" t="s">
        <v>257</v>
      </c>
      <c r="N630" s="230" t="str">
        <f>IF(ISERROR(MATCH(A630,MemMap!$A$4:$A$98,0)) = FALSE, INDEX(MemMap!$B$4:$B$98,MATCH(A630,MemMap!$A$4:$A$98,0)),IF(F630="Y","TunSetCalSeg",IF(G630="Y", "FlashCalSeg", IF(G630="N", "FlashAppSeg", ""))))</f>
        <v>FlashAppSeg</v>
      </c>
      <c r="O630" s="220"/>
      <c r="P630" s="220"/>
      <c r="Q630" s="221"/>
      <c r="R630" s="221"/>
    </row>
    <row r="631" spans="1:18" ht="22.5" x14ac:dyDescent="0.2">
      <c r="A631" s="224" t="s">
        <v>2891</v>
      </c>
      <c r="B631" s="225" t="s">
        <v>2892</v>
      </c>
      <c r="C631" s="226" t="s">
        <v>3176</v>
      </c>
      <c r="D631" s="226" t="s">
        <v>3148</v>
      </c>
      <c r="E631" s="226" t="s">
        <v>658</v>
      </c>
      <c r="F631" s="227" t="s">
        <v>82</v>
      </c>
      <c r="G631" s="228" t="s">
        <v>82</v>
      </c>
      <c r="H631" s="228"/>
      <c r="I631" s="223">
        <v>125</v>
      </c>
      <c r="J631" s="229">
        <v>1</v>
      </c>
      <c r="K631" s="229">
        <v>1000</v>
      </c>
      <c r="L631" s="229" t="s">
        <v>258</v>
      </c>
      <c r="M631" s="229" t="s">
        <v>257</v>
      </c>
      <c r="N631" s="230" t="str">
        <f>IF(ISERROR(MATCH(A631,MemMap!$A$4:$A$98,0)) = FALSE, INDEX(MemMap!$B$4:$B$98,MATCH(A631,MemMap!$A$4:$A$98,0)),IF(F631="Y","TunSetCalSeg",IF(G631="Y", "FlashCalSeg", IF(G631="N", "FlashAppSeg", ""))))</f>
        <v>FlashAppSeg</v>
      </c>
      <c r="O631" s="220"/>
      <c r="P631" s="220"/>
      <c r="Q631" s="221"/>
      <c r="R631" s="221"/>
    </row>
    <row r="632" spans="1:18" ht="22.5" x14ac:dyDescent="0.2">
      <c r="A632" s="224" t="s">
        <v>2893</v>
      </c>
      <c r="B632" s="225" t="s">
        <v>2894</v>
      </c>
      <c r="C632" s="226" t="s">
        <v>3176</v>
      </c>
      <c r="D632" s="226" t="s">
        <v>3148</v>
      </c>
      <c r="E632" s="226" t="s">
        <v>658</v>
      </c>
      <c r="F632" s="227" t="s">
        <v>82</v>
      </c>
      <c r="G632" s="228" t="s">
        <v>82</v>
      </c>
      <c r="H632" s="228"/>
      <c r="I632" s="223">
        <v>10</v>
      </c>
      <c r="J632" s="229">
        <v>1</v>
      </c>
      <c r="K632" s="229">
        <v>1000</v>
      </c>
      <c r="L632" s="229" t="s">
        <v>258</v>
      </c>
      <c r="M632" s="229" t="s">
        <v>257</v>
      </c>
      <c r="N632" s="230" t="str">
        <f>IF(ISERROR(MATCH(A632,MemMap!$A$4:$A$98,0)) = FALSE, INDEX(MemMap!$B$4:$B$98,MATCH(A632,MemMap!$A$4:$A$98,0)),IF(F632="Y","TunSetCalSeg",IF(G632="Y", "FlashCalSeg", IF(G632="N", "FlashAppSeg", ""))))</f>
        <v>FlashAppSeg</v>
      </c>
      <c r="O632" s="220"/>
      <c r="P632" s="220"/>
      <c r="Q632" s="221"/>
      <c r="R632" s="221"/>
    </row>
    <row r="633" spans="1:18" ht="22.5" x14ac:dyDescent="0.2">
      <c r="A633" s="224" t="s">
        <v>2969</v>
      </c>
      <c r="B633" s="225" t="s">
        <v>2970</v>
      </c>
      <c r="C633" s="226" t="s">
        <v>3176</v>
      </c>
      <c r="D633" s="226" t="s">
        <v>3148</v>
      </c>
      <c r="E633" s="226"/>
      <c r="F633" s="227" t="s">
        <v>82</v>
      </c>
      <c r="G633" s="228" t="s">
        <v>82</v>
      </c>
      <c r="H633" s="228"/>
      <c r="I633" s="223">
        <v>9</v>
      </c>
      <c r="J633" s="229">
        <v>0</v>
      </c>
      <c r="K633" s="229">
        <v>31</v>
      </c>
      <c r="L633" s="229" t="s">
        <v>615</v>
      </c>
      <c r="M633" s="229" t="s">
        <v>257</v>
      </c>
      <c r="N633" s="230" t="str">
        <f>IF(ISERROR(MATCH(A633,MemMap!$A$4:$A$98,0)) = FALSE, INDEX(MemMap!$B$4:$B$98,MATCH(A633,MemMap!$A$4:$A$98,0)),IF(F633="Y","TunSetCalSeg",IF(G633="Y", "FlashCalSeg", IF(G633="N", "FlashAppSeg", ""))))</f>
        <v>FlashAppSeg</v>
      </c>
      <c r="O633" s="220"/>
      <c r="P633" s="220"/>
      <c r="Q633" s="221"/>
      <c r="R633" s="221"/>
    </row>
    <row r="634" spans="1:18" ht="22.5" x14ac:dyDescent="0.2">
      <c r="A634" s="224" t="s">
        <v>2967</v>
      </c>
      <c r="B634" s="225" t="s">
        <v>2968</v>
      </c>
      <c r="C634" s="226" t="s">
        <v>3176</v>
      </c>
      <c r="D634" s="226" t="s">
        <v>3148</v>
      </c>
      <c r="E634" s="226"/>
      <c r="F634" s="227" t="s">
        <v>82</v>
      </c>
      <c r="G634" s="228" t="s">
        <v>82</v>
      </c>
      <c r="H634" s="228"/>
      <c r="I634" s="223">
        <v>-4.5</v>
      </c>
      <c r="J634" s="229">
        <v>-31</v>
      </c>
      <c r="K634" s="229">
        <v>0</v>
      </c>
      <c r="L634" s="229" t="s">
        <v>615</v>
      </c>
      <c r="M634" s="229" t="s">
        <v>257</v>
      </c>
      <c r="N634" s="230" t="str">
        <f>IF(ISERROR(MATCH(A634,MemMap!$A$4:$A$98,0)) = FALSE, INDEX(MemMap!$B$4:$B$98,MATCH(A634,MemMap!$A$4:$A$98,0)),IF(F634="Y","TunSetCalSeg",IF(G634="Y", "FlashCalSeg", IF(G634="N", "FlashAppSeg", ""))))</f>
        <v>FlashAppSeg</v>
      </c>
      <c r="O634" s="220"/>
      <c r="P634" s="220"/>
      <c r="Q634" s="221"/>
      <c r="R634" s="221"/>
    </row>
    <row r="635" spans="1:18" ht="22.5" x14ac:dyDescent="0.2">
      <c r="A635" s="224" t="s">
        <v>2901</v>
      </c>
      <c r="B635" s="225" t="s">
        <v>2902</v>
      </c>
      <c r="C635" s="226" t="s">
        <v>3176</v>
      </c>
      <c r="D635" s="226" t="s">
        <v>3148</v>
      </c>
      <c r="E635" s="226"/>
      <c r="F635" s="227" t="s">
        <v>82</v>
      </c>
      <c r="G635" s="228" t="s">
        <v>82</v>
      </c>
      <c r="H635" s="228"/>
      <c r="I635" s="223">
        <v>3.1800000000000001E-3</v>
      </c>
      <c r="J635" s="229">
        <v>0</v>
      </c>
      <c r="K635" s="229">
        <v>0.05</v>
      </c>
      <c r="L635" s="229" t="s">
        <v>612</v>
      </c>
      <c r="M635" s="229" t="s">
        <v>257</v>
      </c>
      <c r="N635" s="230" t="str">
        <f>IF(ISERROR(MATCH(A635,MemMap!$A$4:$A$98,0)) = FALSE, INDEX(MemMap!$B$4:$B$98,MATCH(A635,MemMap!$A$4:$A$98,0)),IF(F635="Y","TunSetCalSeg",IF(G635="Y", "FlashCalSeg", IF(G635="N", "FlashAppSeg", ""))))</f>
        <v>FlashAppSeg</v>
      </c>
      <c r="O635" s="220"/>
      <c r="P635" s="220"/>
      <c r="Q635" s="221"/>
      <c r="R635" s="221"/>
    </row>
    <row r="636" spans="1:18" ht="22.5" x14ac:dyDescent="0.2">
      <c r="A636" s="224" t="s">
        <v>2955</v>
      </c>
      <c r="B636" s="225" t="s">
        <v>2956</v>
      </c>
      <c r="C636" s="226" t="s">
        <v>3176</v>
      </c>
      <c r="D636" s="226" t="s">
        <v>3148</v>
      </c>
      <c r="E636" s="226"/>
      <c r="F636" s="227" t="s">
        <v>82</v>
      </c>
      <c r="G636" s="228" t="s">
        <v>82</v>
      </c>
      <c r="H636" s="228"/>
      <c r="I636" s="223" t="b">
        <v>1</v>
      </c>
      <c r="J636" s="229" t="b">
        <v>0</v>
      </c>
      <c r="K636" s="229" t="b">
        <v>1</v>
      </c>
      <c r="L636" s="229" t="s">
        <v>267</v>
      </c>
      <c r="M636" s="229" t="s">
        <v>462</v>
      </c>
      <c r="N636" s="230" t="str">
        <f>IF(ISERROR(MATCH(A636,MemMap!$A$4:$A$98,0)) = FALSE, INDEX(MemMap!$B$4:$B$98,MATCH(A636,MemMap!$A$4:$A$98,0)),IF(F636="Y","TunSetCalSeg",IF(G636="Y", "FlashCalSeg", IF(G636="N", "FlashAppSeg", ""))))</f>
        <v>FlashAppSeg</v>
      </c>
      <c r="O636" s="220"/>
      <c r="P636" s="220"/>
      <c r="Q636" s="221"/>
      <c r="R636" s="221"/>
    </row>
    <row r="637" spans="1:18" ht="22.5" x14ac:dyDescent="0.2">
      <c r="A637" s="224" t="s">
        <v>2953</v>
      </c>
      <c r="B637" s="225" t="s">
        <v>2954</v>
      </c>
      <c r="C637" s="226" t="s">
        <v>3176</v>
      </c>
      <c r="D637" s="226" t="s">
        <v>3148</v>
      </c>
      <c r="E637" s="226"/>
      <c r="F637" s="227" t="s">
        <v>82</v>
      </c>
      <c r="G637" s="228" t="s">
        <v>82</v>
      </c>
      <c r="H637" s="228"/>
      <c r="I637" s="223">
        <v>500</v>
      </c>
      <c r="J637" s="229">
        <v>0</v>
      </c>
      <c r="K637" s="229">
        <v>1000</v>
      </c>
      <c r="L637" s="229" t="s">
        <v>258</v>
      </c>
      <c r="M637" s="229" t="s">
        <v>257</v>
      </c>
      <c r="N637" s="230" t="str">
        <f>IF(ISERROR(MATCH(A637,MemMap!$A$4:$A$98,0)) = FALSE, INDEX(MemMap!$B$4:$B$98,MATCH(A637,MemMap!$A$4:$A$98,0)),IF(F637="Y","TunSetCalSeg",IF(G637="Y", "FlashCalSeg", IF(G637="N", "FlashAppSeg", ""))))</f>
        <v>FlashAppSeg</v>
      </c>
      <c r="O637" s="220"/>
      <c r="P637" s="220"/>
      <c r="Q637" s="221"/>
      <c r="R637" s="221"/>
    </row>
    <row r="638" spans="1:18" ht="22.5" x14ac:dyDescent="0.2">
      <c r="A638" s="224" t="s">
        <v>2965</v>
      </c>
      <c r="B638" s="225" t="s">
        <v>2966</v>
      </c>
      <c r="C638" s="226" t="s">
        <v>3176</v>
      </c>
      <c r="D638" s="226" t="s">
        <v>3148</v>
      </c>
      <c r="E638" s="226"/>
      <c r="F638" s="227" t="s">
        <v>82</v>
      </c>
      <c r="G638" s="228" t="s">
        <v>82</v>
      </c>
      <c r="H638" s="228"/>
      <c r="I638" s="223">
        <v>14.5</v>
      </c>
      <c r="J638" s="229">
        <v>0</v>
      </c>
      <c r="K638" s="229">
        <v>31</v>
      </c>
      <c r="L638" s="229" t="s">
        <v>615</v>
      </c>
      <c r="M638" s="229" t="s">
        <v>257</v>
      </c>
      <c r="N638" s="230" t="str">
        <f>IF(ISERROR(MATCH(A638,MemMap!$A$4:$A$98,0)) = FALSE, INDEX(MemMap!$B$4:$B$98,MATCH(A638,MemMap!$A$4:$A$98,0)),IF(F638="Y","TunSetCalSeg",IF(G638="Y", "FlashCalSeg", IF(G638="N", "FlashAppSeg", ""))))</f>
        <v>FlashAppSeg</v>
      </c>
      <c r="O638" s="220"/>
      <c r="P638" s="220"/>
      <c r="Q638" s="221"/>
      <c r="R638" s="221"/>
    </row>
    <row r="639" spans="1:18" ht="22.5" x14ac:dyDescent="0.2">
      <c r="A639" s="224" t="s">
        <v>2963</v>
      </c>
      <c r="B639" s="225" t="s">
        <v>2964</v>
      </c>
      <c r="C639" s="226" t="s">
        <v>3176</v>
      </c>
      <c r="D639" s="226" t="s">
        <v>3148</v>
      </c>
      <c r="E639" s="226"/>
      <c r="F639" s="227" t="s">
        <v>82</v>
      </c>
      <c r="G639" s="228" t="s">
        <v>82</v>
      </c>
      <c r="H639" s="228"/>
      <c r="I639" s="223">
        <v>-14.5</v>
      </c>
      <c r="J639" s="229">
        <v>-31</v>
      </c>
      <c r="K639" s="229">
        <v>0</v>
      </c>
      <c r="L639" s="229" t="s">
        <v>615</v>
      </c>
      <c r="M639" s="229" t="s">
        <v>257</v>
      </c>
      <c r="N639" s="230" t="str">
        <f>IF(ISERROR(MATCH(A639,MemMap!$A$4:$A$98,0)) = FALSE, INDEX(MemMap!$B$4:$B$98,MATCH(A639,MemMap!$A$4:$A$98,0)),IF(F639="Y","TunSetCalSeg",IF(G639="Y", "FlashCalSeg", IF(G639="N", "FlashAppSeg", ""))))</f>
        <v>FlashAppSeg</v>
      </c>
      <c r="O639" s="220"/>
      <c r="P639" s="220"/>
      <c r="Q639" s="221"/>
      <c r="R639" s="221"/>
    </row>
    <row r="640" spans="1:18" ht="22.5" x14ac:dyDescent="0.2">
      <c r="A640" s="224" t="s">
        <v>2959</v>
      </c>
      <c r="B640" s="225" t="s">
        <v>2960</v>
      </c>
      <c r="C640" s="226" t="s">
        <v>3176</v>
      </c>
      <c r="D640" s="226" t="s">
        <v>3148</v>
      </c>
      <c r="E640" s="226"/>
      <c r="F640" s="227" t="s">
        <v>82</v>
      </c>
      <c r="G640" s="228" t="s">
        <v>82</v>
      </c>
      <c r="H640" s="228"/>
      <c r="I640" s="223" t="b">
        <v>1</v>
      </c>
      <c r="J640" s="229" t="b">
        <v>0</v>
      </c>
      <c r="K640" s="229" t="b">
        <v>1</v>
      </c>
      <c r="L640" s="229" t="s">
        <v>267</v>
      </c>
      <c r="M640" s="229" t="s">
        <v>462</v>
      </c>
      <c r="N640" s="230" t="str">
        <f>IF(ISERROR(MATCH(A640,MemMap!$A$4:$A$98,0)) = FALSE, INDEX(MemMap!$B$4:$B$98,MATCH(A640,MemMap!$A$4:$A$98,0)),IF(F640="Y","TunSetCalSeg",IF(G640="Y", "FlashCalSeg", IF(G640="N", "FlashAppSeg", ""))))</f>
        <v>FlashAppSeg</v>
      </c>
      <c r="O640" s="220"/>
      <c r="P640" s="220"/>
      <c r="Q640" s="221"/>
      <c r="R640" s="221"/>
    </row>
    <row r="641" spans="1:18" ht="22.5" x14ac:dyDescent="0.2">
      <c r="A641" s="224" t="s">
        <v>2957</v>
      </c>
      <c r="B641" s="225" t="s">
        <v>2958</v>
      </c>
      <c r="C641" s="226" t="s">
        <v>3176</v>
      </c>
      <c r="D641" s="226" t="s">
        <v>3148</v>
      </c>
      <c r="E641" s="226"/>
      <c r="F641" s="227" t="s">
        <v>82</v>
      </c>
      <c r="G641" s="228" t="s">
        <v>82</v>
      </c>
      <c r="H641" s="228"/>
      <c r="I641" s="223">
        <v>200</v>
      </c>
      <c r="J641" s="229">
        <v>0</v>
      </c>
      <c r="K641" s="229">
        <v>1000</v>
      </c>
      <c r="L641" s="229" t="s">
        <v>258</v>
      </c>
      <c r="M641" s="229" t="s">
        <v>257</v>
      </c>
      <c r="N641" s="230" t="str">
        <f>IF(ISERROR(MATCH(A641,MemMap!$A$4:$A$98,0)) = FALSE, INDEX(MemMap!$B$4:$B$98,MATCH(A641,MemMap!$A$4:$A$98,0)),IF(F641="Y","TunSetCalSeg",IF(G641="Y", "FlashCalSeg", IF(G641="N", "FlashAppSeg", ""))))</f>
        <v>FlashAppSeg</v>
      </c>
      <c r="O641" s="220"/>
      <c r="P641" s="220"/>
      <c r="Q641" s="221"/>
      <c r="R641" s="221"/>
    </row>
    <row r="642" spans="1:18" ht="22.5" x14ac:dyDescent="0.2">
      <c r="A642" s="224" t="s">
        <v>1234</v>
      </c>
      <c r="B642" s="225" t="s">
        <v>1235</v>
      </c>
      <c r="C642" s="226" t="s">
        <v>3176</v>
      </c>
      <c r="D642" s="226" t="s">
        <v>3148</v>
      </c>
      <c r="E642" s="226" t="s">
        <v>1236</v>
      </c>
      <c r="F642" s="227" t="s">
        <v>82</v>
      </c>
      <c r="G642" s="228" t="s">
        <v>82</v>
      </c>
      <c r="H642" s="228"/>
      <c r="I642" s="223">
        <v>1.1889E-4</v>
      </c>
      <c r="J642" s="229">
        <v>3.0000000000000001E-5</v>
      </c>
      <c r="K642" s="229">
        <v>4.0999999999999999E-4</v>
      </c>
      <c r="L642" s="229" t="s">
        <v>1163</v>
      </c>
      <c r="M642" s="229" t="s">
        <v>257</v>
      </c>
      <c r="N642" s="230" t="str">
        <f>IF(ISERROR(MATCH(A642,MemMap!$A$4:$A$98,0)) = FALSE, INDEX(MemMap!$B$4:$B$98,MATCH(A642,MemMap!$A$4:$A$98,0)),IF(F642="Y","TunSetCalSeg",IF(G642="Y", "FlashCalSeg", IF(G642="N", "FlashAppSeg", ""))))</f>
        <v>FlashAppSeg</v>
      </c>
      <c r="O642" s="220"/>
      <c r="P642" s="220"/>
      <c r="Q642" s="221"/>
      <c r="R642" s="221"/>
    </row>
    <row r="643" spans="1:18" ht="22.5" x14ac:dyDescent="0.2">
      <c r="A643" s="224" t="s">
        <v>1231</v>
      </c>
      <c r="B643" s="225" t="s">
        <v>1232</v>
      </c>
      <c r="C643" s="226" t="s">
        <v>3176</v>
      </c>
      <c r="D643" s="226" t="s">
        <v>3148</v>
      </c>
      <c r="E643" s="226" t="s">
        <v>1233</v>
      </c>
      <c r="F643" s="227" t="s">
        <v>82</v>
      </c>
      <c r="G643" s="228" t="s">
        <v>82</v>
      </c>
      <c r="H643" s="228"/>
      <c r="I643" s="223">
        <v>1.1889E-4</v>
      </c>
      <c r="J643" s="229">
        <v>3.0000000000000001E-5</v>
      </c>
      <c r="K643" s="229">
        <v>4.0999999999999999E-4</v>
      </c>
      <c r="L643" s="229" t="s">
        <v>1163</v>
      </c>
      <c r="M643" s="229" t="s">
        <v>257</v>
      </c>
      <c r="N643" s="230" t="str">
        <f>IF(ISERROR(MATCH(A643,MemMap!$A$4:$A$98,0)) = FALSE, INDEX(MemMap!$B$4:$B$98,MATCH(A643,MemMap!$A$4:$A$98,0)),IF(F643="Y","TunSetCalSeg",IF(G643="Y", "FlashCalSeg", IF(G643="N", "FlashAppSeg", ""))))</f>
        <v>FlashAppSeg</v>
      </c>
      <c r="O643" s="220"/>
      <c r="P643" s="220"/>
      <c r="Q643" s="221"/>
      <c r="R643" s="221"/>
    </row>
    <row r="644" spans="1:18" ht="22.5" x14ac:dyDescent="0.2">
      <c r="A644" s="224" t="s">
        <v>1175</v>
      </c>
      <c r="B644" s="225" t="s">
        <v>1176</v>
      </c>
      <c r="C644" s="226" t="s">
        <v>3176</v>
      </c>
      <c r="D644" s="226" t="s">
        <v>3148</v>
      </c>
      <c r="E644" s="226"/>
      <c r="F644" s="227" t="s">
        <v>82</v>
      </c>
      <c r="G644" s="228" t="s">
        <v>82</v>
      </c>
      <c r="H644" s="228"/>
      <c r="I644" s="223">
        <v>6.2500000000000003E-3</v>
      </c>
      <c r="J644" s="229">
        <v>0</v>
      </c>
      <c r="K644" s="229">
        <v>0.12565000000000001</v>
      </c>
      <c r="L644" s="229" t="s">
        <v>1158</v>
      </c>
      <c r="M644" s="229" t="s">
        <v>257</v>
      </c>
      <c r="N644" s="230" t="str">
        <f>IF(ISERROR(MATCH(A644,MemMap!$A$4:$A$98,0)) = FALSE, INDEX(MemMap!$B$4:$B$98,MATCH(A644,MemMap!$A$4:$A$98,0)),IF(F644="Y","TunSetCalSeg",IF(G644="Y", "FlashCalSeg", IF(G644="N", "FlashAppSeg", ""))))</f>
        <v>FlashAppSeg</v>
      </c>
      <c r="O644" s="220"/>
      <c r="P644" s="220"/>
      <c r="Q644" s="221"/>
      <c r="R644" s="221"/>
    </row>
    <row r="645" spans="1:18" ht="22.5" x14ac:dyDescent="0.2">
      <c r="A645" s="224" t="s">
        <v>1170</v>
      </c>
      <c r="B645" s="225" t="s">
        <v>1171</v>
      </c>
      <c r="C645" s="226" t="s">
        <v>3176</v>
      </c>
      <c r="D645" s="226" t="s">
        <v>3148</v>
      </c>
      <c r="E645" s="226"/>
      <c r="F645" s="227" t="s">
        <v>82</v>
      </c>
      <c r="G645" s="228" t="s">
        <v>82</v>
      </c>
      <c r="H645" s="228"/>
      <c r="I645" s="223">
        <v>25</v>
      </c>
      <c r="J645" s="229">
        <v>-40</v>
      </c>
      <c r="K645" s="229">
        <v>150</v>
      </c>
      <c r="L645" s="229" t="s">
        <v>519</v>
      </c>
      <c r="M645" s="229" t="s">
        <v>257</v>
      </c>
      <c r="N645" s="230" t="str">
        <f>IF(ISERROR(MATCH(A645,MemMap!$A$4:$A$98,0)) = FALSE, INDEX(MemMap!$B$4:$B$98,MATCH(A645,MemMap!$A$4:$A$98,0)),IF(F645="Y","TunSetCalSeg",IF(G645="Y", "FlashCalSeg", IF(G645="N", "FlashAppSeg", ""))))</f>
        <v>FlashAppSeg</v>
      </c>
      <c r="O645" s="220"/>
      <c r="P645" s="220"/>
      <c r="Q645" s="221"/>
      <c r="R645" s="221"/>
    </row>
    <row r="646" spans="1:18" ht="409.5" x14ac:dyDescent="0.2">
      <c r="A646" s="224" t="s">
        <v>1140</v>
      </c>
      <c r="B646" s="225" t="s">
        <v>1141</v>
      </c>
      <c r="C646" s="226" t="s">
        <v>3176</v>
      </c>
      <c r="D646" s="226" t="s">
        <v>3713</v>
      </c>
      <c r="E646" s="226" t="s">
        <v>1142</v>
      </c>
      <c r="F646" s="227" t="s">
        <v>82</v>
      </c>
      <c r="G646" s="228" t="s">
        <v>82</v>
      </c>
      <c r="H646" s="228"/>
      <c r="I646" s="223">
        <v>6</v>
      </c>
      <c r="J646" s="229">
        <v>2</v>
      </c>
      <c r="K646" s="229">
        <v>12</v>
      </c>
      <c r="L646" s="229" t="s">
        <v>288</v>
      </c>
      <c r="M646" s="229" t="s">
        <v>257</v>
      </c>
      <c r="N646" s="230" t="str">
        <f>IF(ISERROR(MATCH(A646,MemMap!$A$4:$A$98,0)) = FALSE, INDEX(MemMap!$B$4:$B$98,MATCH(A646,MemMap!$A$4:$A$98,0)),IF(F646="Y","TunSetCalSeg",IF(G646="Y", "FlashCalSeg", IF(G646="N", "FlashAppSeg", ""))))</f>
        <v>FlashAppSeg</v>
      </c>
      <c r="O646" s="220"/>
      <c r="P646" s="220"/>
      <c r="Q646" s="221"/>
      <c r="R646" s="221"/>
    </row>
    <row r="647" spans="1:18" ht="33.75" x14ac:dyDescent="0.2">
      <c r="A647" s="224" t="s">
        <v>1144</v>
      </c>
      <c r="B647" s="225" t="s">
        <v>1145</v>
      </c>
      <c r="C647" s="226" t="s">
        <v>3176</v>
      </c>
      <c r="D647" s="226" t="s">
        <v>3148</v>
      </c>
      <c r="E647" s="226" t="s">
        <v>1143</v>
      </c>
      <c r="F647" s="227" t="s">
        <v>82</v>
      </c>
      <c r="G647" s="228" t="s">
        <v>82</v>
      </c>
      <c r="H647" s="228"/>
      <c r="I647" s="223">
        <v>3</v>
      </c>
      <c r="J647" s="229">
        <v>0</v>
      </c>
      <c r="K647" s="229">
        <v>255</v>
      </c>
      <c r="L647" s="229" t="s">
        <v>260</v>
      </c>
      <c r="M647" s="229" t="s">
        <v>257</v>
      </c>
      <c r="N647" s="230" t="str">
        <f>IF(ISERROR(MATCH(A647,MemMap!$A$4:$A$98,0)) = FALSE, INDEX(MemMap!$B$4:$B$98,MATCH(A647,MemMap!$A$4:$A$98,0)),IF(F647="Y","TunSetCalSeg",IF(G647="Y", "FlashCalSeg", IF(G647="N", "FlashAppSeg", ""))))</f>
        <v>FlashAppSeg</v>
      </c>
      <c r="O647" s="220"/>
      <c r="P647" s="220"/>
      <c r="Q647" s="221"/>
      <c r="R647" s="221"/>
    </row>
    <row r="648" spans="1:18" ht="22.5" x14ac:dyDescent="0.2">
      <c r="A648" s="224" t="s">
        <v>1200</v>
      </c>
      <c r="B648" s="225" t="s">
        <v>1201</v>
      </c>
      <c r="C648" s="226" t="s">
        <v>3176</v>
      </c>
      <c r="D648" s="226" t="s">
        <v>3148</v>
      </c>
      <c r="E648" s="226" t="s">
        <v>1202</v>
      </c>
      <c r="F648" s="227" t="s">
        <v>82</v>
      </c>
      <c r="G648" s="228" t="s">
        <v>82</v>
      </c>
      <c r="H648" s="228"/>
      <c r="I648" s="223">
        <v>1.25E-4</v>
      </c>
      <c r="J648" s="229">
        <v>0</v>
      </c>
      <c r="K648" s="229">
        <v>1E-3</v>
      </c>
      <c r="L648" s="229" t="s">
        <v>1203</v>
      </c>
      <c r="M648" s="229" t="s">
        <v>257</v>
      </c>
      <c r="N648" s="230" t="str">
        <f>IF(ISERROR(MATCH(A648,MemMap!$A$4:$A$98,0)) = FALSE, INDEX(MemMap!$B$4:$B$98,MATCH(A648,MemMap!$A$4:$A$98,0)),IF(F648="Y","TunSetCalSeg",IF(G648="Y", "FlashCalSeg", IF(G648="N", "FlashAppSeg", ""))))</f>
        <v>FlashAppSeg</v>
      </c>
      <c r="O648" s="220"/>
      <c r="P648" s="220"/>
      <c r="Q648" s="221"/>
      <c r="R648" s="221"/>
    </row>
    <row r="649" spans="1:18" ht="22.5" x14ac:dyDescent="0.2">
      <c r="A649" s="224" t="s">
        <v>1177</v>
      </c>
      <c r="B649" s="225" t="s">
        <v>1178</v>
      </c>
      <c r="C649" s="226" t="s">
        <v>3176</v>
      </c>
      <c r="D649" s="226" t="s">
        <v>3148</v>
      </c>
      <c r="E649" s="226"/>
      <c r="F649" s="227" t="s">
        <v>82</v>
      </c>
      <c r="G649" s="228" t="s">
        <v>82</v>
      </c>
      <c r="H649" s="228"/>
      <c r="I649" s="223">
        <v>5.0000000000000001E-3</v>
      </c>
      <c r="J649" s="229">
        <v>0</v>
      </c>
      <c r="K649" s="229">
        <v>6.0000000000000001E-3</v>
      </c>
      <c r="L649" s="229" t="s">
        <v>1179</v>
      </c>
      <c r="M649" s="229" t="s">
        <v>257</v>
      </c>
      <c r="N649" s="230" t="str">
        <f>IF(ISERROR(MATCH(A649,MemMap!$A$4:$A$98,0)) = FALSE, INDEX(MemMap!$B$4:$B$98,MATCH(A649,MemMap!$A$4:$A$98,0)),IF(F649="Y","TunSetCalSeg",IF(G649="Y", "FlashCalSeg", IF(G649="N", "FlashAppSeg", ""))))</f>
        <v>FlashAppSeg</v>
      </c>
      <c r="O649" s="220"/>
      <c r="P649" s="220"/>
      <c r="Q649" s="221"/>
      <c r="R649" s="221"/>
    </row>
    <row r="650" spans="1:18" ht="22.5" x14ac:dyDescent="0.2">
      <c r="A650" s="224" t="s">
        <v>2899</v>
      </c>
      <c r="B650" s="225" t="s">
        <v>2900</v>
      </c>
      <c r="C650" s="226" t="s">
        <v>3176</v>
      </c>
      <c r="D650" s="226" t="s">
        <v>3148</v>
      </c>
      <c r="E650" s="226"/>
      <c r="F650" s="227" t="s">
        <v>82</v>
      </c>
      <c r="G650" s="228" t="s">
        <v>82</v>
      </c>
      <c r="H650" s="228"/>
      <c r="I650" s="223" t="b">
        <v>0</v>
      </c>
      <c r="J650" s="229" t="b">
        <v>0</v>
      </c>
      <c r="K650" s="229" t="b">
        <v>1</v>
      </c>
      <c r="L650" s="229" t="s">
        <v>267</v>
      </c>
      <c r="M650" s="229" t="s">
        <v>462</v>
      </c>
      <c r="N650" s="230" t="str">
        <f>IF(ISERROR(MATCH(A650,MemMap!$A$4:$A$98,0)) = FALSE, INDEX(MemMap!$B$4:$B$98,MATCH(A650,MemMap!$A$4:$A$98,0)),IF(F650="Y","TunSetCalSeg",IF(G650="Y", "FlashCalSeg", IF(G650="N", "FlashAppSeg", ""))))</f>
        <v>FlashAppSeg</v>
      </c>
      <c r="O650" s="220"/>
      <c r="P650" s="220"/>
      <c r="Q650" s="221"/>
      <c r="R650" s="221"/>
    </row>
    <row r="651" spans="1:18" ht="22.5" x14ac:dyDescent="0.2">
      <c r="A651" s="224" t="s">
        <v>2941</v>
      </c>
      <c r="B651" s="225" t="s">
        <v>2942</v>
      </c>
      <c r="C651" s="226" t="s">
        <v>3176</v>
      </c>
      <c r="D651" s="226" t="s">
        <v>3148</v>
      </c>
      <c r="E651" s="226"/>
      <c r="F651" s="227" t="s">
        <v>82</v>
      </c>
      <c r="G651" s="228" t="s">
        <v>82</v>
      </c>
      <c r="H651" s="228"/>
      <c r="I651" s="223">
        <v>0</v>
      </c>
      <c r="J651" s="229">
        <v>-25</v>
      </c>
      <c r="K651" s="229">
        <v>25</v>
      </c>
      <c r="L651" s="229" t="s">
        <v>256</v>
      </c>
      <c r="M651" s="229" t="s">
        <v>257</v>
      </c>
      <c r="N651" s="230" t="str">
        <f>IF(ISERROR(MATCH(A651,MemMap!$A$4:$A$98,0)) = FALSE, INDEX(MemMap!$B$4:$B$98,MATCH(A651,MemMap!$A$4:$A$98,0)),IF(F651="Y","TunSetCalSeg",IF(G651="Y", "FlashCalSeg", IF(G651="N", "FlashAppSeg", ""))))</f>
        <v>FlashAppSeg</v>
      </c>
      <c r="O651" s="220"/>
      <c r="P651" s="220"/>
      <c r="Q651" s="221"/>
      <c r="R651" s="221"/>
    </row>
    <row r="652" spans="1:18" ht="22.5" x14ac:dyDescent="0.2">
      <c r="A652" s="224" t="s">
        <v>2943</v>
      </c>
      <c r="B652" s="225" t="s">
        <v>2944</v>
      </c>
      <c r="C652" s="226" t="s">
        <v>3176</v>
      </c>
      <c r="D652" s="226" t="s">
        <v>3148</v>
      </c>
      <c r="E652" s="226"/>
      <c r="F652" s="227" t="s">
        <v>82</v>
      </c>
      <c r="G652" s="228" t="s">
        <v>82</v>
      </c>
      <c r="H652" s="228"/>
      <c r="I652" s="223">
        <v>0</v>
      </c>
      <c r="J652" s="229">
        <v>-25</v>
      </c>
      <c r="K652" s="229">
        <v>25</v>
      </c>
      <c r="L652" s="229" t="s">
        <v>256</v>
      </c>
      <c r="M652" s="229" t="s">
        <v>257</v>
      </c>
      <c r="N652" s="230" t="str">
        <f>IF(ISERROR(MATCH(A652,MemMap!$A$4:$A$98,0)) = FALSE, INDEX(MemMap!$B$4:$B$98,MATCH(A652,MemMap!$A$4:$A$98,0)),IF(F652="Y","TunSetCalSeg",IF(G652="Y", "FlashCalSeg", IF(G652="N", "FlashAppSeg", ""))))</f>
        <v>FlashAppSeg</v>
      </c>
      <c r="O652" s="220"/>
      <c r="P652" s="220"/>
      <c r="Q652" s="221"/>
      <c r="R652" s="221"/>
    </row>
    <row r="653" spans="1:18" ht="56.25" x14ac:dyDescent="0.2">
      <c r="A653" s="224" t="s">
        <v>1204</v>
      </c>
      <c r="B653" s="225" t="s">
        <v>1205</v>
      </c>
      <c r="C653" s="226" t="s">
        <v>3176</v>
      </c>
      <c r="D653" s="226" t="s">
        <v>3150</v>
      </c>
      <c r="E653" s="226" t="s">
        <v>1206</v>
      </c>
      <c r="F653" s="227" t="s">
        <v>82</v>
      </c>
      <c r="G653" s="228" t="s">
        <v>82</v>
      </c>
      <c r="H653" s="228"/>
      <c r="I653" s="223" t="s">
        <v>1207</v>
      </c>
      <c r="J653" s="229">
        <v>0</v>
      </c>
      <c r="K653" s="229">
        <v>1</v>
      </c>
      <c r="L653" s="229" t="s">
        <v>256</v>
      </c>
      <c r="M653" s="229" t="s">
        <v>963</v>
      </c>
      <c r="N653" s="230" t="str">
        <f>IF(ISERROR(MATCH(A653,MemMap!$A$4:$A$98,0)) = FALSE, INDEX(MemMap!$B$4:$B$98,MATCH(A653,MemMap!$A$4:$A$98,0)),IF(F653="Y","TunSetCalSeg",IF(G653="Y", "FlashCalSeg", IF(G653="N", "FlashAppSeg", ""))))</f>
        <v>FlashAppSeg</v>
      </c>
      <c r="O653" s="220"/>
      <c r="P653" s="220"/>
      <c r="Q653" s="221"/>
      <c r="R653" s="221"/>
    </row>
    <row r="654" spans="1:18" ht="22.5" x14ac:dyDescent="0.2">
      <c r="A654" s="224" t="s">
        <v>1188</v>
      </c>
      <c r="B654" s="225" t="s">
        <v>1189</v>
      </c>
      <c r="C654" s="226" t="s">
        <v>3176</v>
      </c>
      <c r="D654" s="226" t="s">
        <v>3148</v>
      </c>
      <c r="E654" s="226"/>
      <c r="F654" s="227" t="s">
        <v>82</v>
      </c>
      <c r="G654" s="228" t="s">
        <v>82</v>
      </c>
      <c r="H654" s="228"/>
      <c r="I654" s="223" t="s">
        <v>1190</v>
      </c>
      <c r="J654" s="229">
        <v>0</v>
      </c>
      <c r="K654" s="229">
        <v>220</v>
      </c>
      <c r="L654" s="229" t="s">
        <v>609</v>
      </c>
      <c r="M654" s="229" t="s">
        <v>336</v>
      </c>
      <c r="N654" s="230" t="str">
        <f>IF(ISERROR(MATCH(A654,MemMap!$A$4:$A$98,0)) = FALSE, INDEX(MemMap!$B$4:$B$98,MATCH(A654,MemMap!$A$4:$A$98,0)),IF(F654="Y","TunSetCalSeg",IF(G654="Y", "FlashCalSeg", IF(G654="N", "FlashAppSeg", ""))))</f>
        <v>FlashAppSeg</v>
      </c>
      <c r="O654" s="220"/>
      <c r="P654" s="220"/>
      <c r="Q654" s="221"/>
      <c r="R654" s="221"/>
    </row>
    <row r="655" spans="1:18" ht="22.5" x14ac:dyDescent="0.2">
      <c r="A655" s="224" t="s">
        <v>1191</v>
      </c>
      <c r="B655" s="225" t="s">
        <v>1192</v>
      </c>
      <c r="C655" s="226" t="s">
        <v>3176</v>
      </c>
      <c r="D655" s="226" t="s">
        <v>3148</v>
      </c>
      <c r="E655" s="226"/>
      <c r="F655" s="227" t="s">
        <v>82</v>
      </c>
      <c r="G655" s="228" t="s">
        <v>82</v>
      </c>
      <c r="H655" s="228"/>
      <c r="I655" s="223" t="s">
        <v>1193</v>
      </c>
      <c r="J655" s="229">
        <v>0</v>
      </c>
      <c r="K655" s="229">
        <v>220</v>
      </c>
      <c r="L655" s="229" t="s">
        <v>609</v>
      </c>
      <c r="M655" s="229" t="s">
        <v>336</v>
      </c>
      <c r="N655" s="230" t="str">
        <f>IF(ISERROR(MATCH(A655,MemMap!$A$4:$A$98,0)) = FALSE, INDEX(MemMap!$B$4:$B$98,MATCH(A655,MemMap!$A$4:$A$98,0)),IF(F655="Y","TunSetCalSeg",IF(G655="Y", "FlashCalSeg", IF(G655="N", "FlashAppSeg", ""))))</f>
        <v>FlashAppSeg</v>
      </c>
      <c r="O655" s="220"/>
      <c r="P655" s="220"/>
      <c r="Q655" s="221"/>
      <c r="R655" s="221"/>
    </row>
    <row r="656" spans="1:18" ht="22.5" x14ac:dyDescent="0.2">
      <c r="A656" s="224" t="s">
        <v>2041</v>
      </c>
      <c r="B656" s="225" t="s">
        <v>2042</v>
      </c>
      <c r="C656" s="226" t="s">
        <v>3176</v>
      </c>
      <c r="D656" s="226" t="s">
        <v>3148</v>
      </c>
      <c r="E656" s="226"/>
      <c r="F656" s="227" t="s">
        <v>82</v>
      </c>
      <c r="G656" s="228" t="s">
        <v>82</v>
      </c>
      <c r="H656" s="228"/>
      <c r="I656" s="223" t="s">
        <v>2043</v>
      </c>
      <c r="J656" s="229">
        <v>0</v>
      </c>
      <c r="K656" s="229">
        <v>1</v>
      </c>
      <c r="L656" s="229" t="s">
        <v>256</v>
      </c>
      <c r="M656" s="229" t="s">
        <v>666</v>
      </c>
      <c r="N656" s="230" t="str">
        <f>IF(ISERROR(MATCH(A656,MemMap!$A$4:$A$98,0)) = FALSE, INDEX(MemMap!$B$4:$B$98,MATCH(A656,MemMap!$A$4:$A$98,0)),IF(F656="Y","TunSetCalSeg",IF(G656="Y", "FlashCalSeg", IF(G656="N", "FlashAppSeg", ""))))</f>
        <v>FlashAppSeg</v>
      </c>
      <c r="O656" s="220"/>
      <c r="P656" s="220"/>
      <c r="Q656" s="221"/>
      <c r="R656" s="221"/>
    </row>
    <row r="657" spans="1:18" ht="22.5" x14ac:dyDescent="0.2">
      <c r="A657" s="224" t="s">
        <v>2038</v>
      </c>
      <c r="B657" s="225" t="s">
        <v>2039</v>
      </c>
      <c r="C657" s="226" t="s">
        <v>3176</v>
      </c>
      <c r="D657" s="226" t="s">
        <v>3148</v>
      </c>
      <c r="E657" s="226"/>
      <c r="F657" s="227" t="s">
        <v>82</v>
      </c>
      <c r="G657" s="228" t="s">
        <v>82</v>
      </c>
      <c r="H657" s="228"/>
      <c r="I657" s="223" t="s">
        <v>2040</v>
      </c>
      <c r="J657" s="229">
        <v>0</v>
      </c>
      <c r="K657" s="229">
        <v>8.8000000000000007</v>
      </c>
      <c r="L657" s="229" t="s">
        <v>252</v>
      </c>
      <c r="M657" s="229" t="s">
        <v>675</v>
      </c>
      <c r="N657" s="230" t="str">
        <f>IF(ISERROR(MATCH(A657,MemMap!$A$4:$A$98,0)) = FALSE, INDEX(MemMap!$B$4:$B$98,MATCH(A657,MemMap!$A$4:$A$98,0)),IF(F657="Y","TunSetCalSeg",IF(G657="Y", "FlashCalSeg", IF(G657="N", "FlashAppSeg", ""))))</f>
        <v>FlashAppSeg</v>
      </c>
      <c r="O657" s="220"/>
      <c r="P657" s="220"/>
      <c r="Q657" s="221"/>
      <c r="R657" s="221"/>
    </row>
    <row r="658" spans="1:18" ht="22.5" x14ac:dyDescent="0.2">
      <c r="A658" s="224" t="s">
        <v>1182</v>
      </c>
      <c r="B658" s="225" t="s">
        <v>1183</v>
      </c>
      <c r="C658" s="226" t="s">
        <v>3176</v>
      </c>
      <c r="D658" s="226" t="s">
        <v>3148</v>
      </c>
      <c r="E658" s="226"/>
      <c r="F658" s="227" t="s">
        <v>82</v>
      </c>
      <c r="G658" s="228" t="s">
        <v>82</v>
      </c>
      <c r="H658" s="228"/>
      <c r="I658" s="223" t="s">
        <v>1184</v>
      </c>
      <c r="J658" s="229">
        <v>0</v>
      </c>
      <c r="K658" s="229">
        <v>220</v>
      </c>
      <c r="L658" s="229" t="s">
        <v>609</v>
      </c>
      <c r="M658" s="229" t="s">
        <v>336</v>
      </c>
      <c r="N658" s="230" t="str">
        <f>IF(ISERROR(MATCH(A658,MemMap!$A$4:$A$98,0)) = FALSE, INDEX(MemMap!$B$4:$B$98,MATCH(A658,MemMap!$A$4:$A$98,0)),IF(F658="Y","TunSetCalSeg",IF(G658="Y", "FlashCalSeg", IF(G658="N", "FlashAppSeg", ""))))</f>
        <v>FlashAppSeg</v>
      </c>
      <c r="O658" s="220"/>
      <c r="P658" s="220"/>
      <c r="Q658" s="221"/>
      <c r="R658" s="221"/>
    </row>
    <row r="659" spans="1:18" ht="56.25" x14ac:dyDescent="0.2">
      <c r="A659" s="224" t="s">
        <v>1185</v>
      </c>
      <c r="B659" s="225" t="s">
        <v>1186</v>
      </c>
      <c r="C659" s="226" t="s">
        <v>3176</v>
      </c>
      <c r="D659" s="226" t="s">
        <v>3148</v>
      </c>
      <c r="E659" s="226"/>
      <c r="F659" s="227" t="s">
        <v>82</v>
      </c>
      <c r="G659" s="228" t="s">
        <v>82</v>
      </c>
      <c r="H659" s="228"/>
      <c r="I659" s="223" t="s">
        <v>1187</v>
      </c>
      <c r="J659" s="229">
        <v>0</v>
      </c>
      <c r="K659" s="229">
        <v>2</v>
      </c>
      <c r="L659" s="229" t="s">
        <v>288</v>
      </c>
      <c r="M659" s="229" t="s">
        <v>340</v>
      </c>
      <c r="N659" s="230" t="str">
        <f>IF(ISERROR(MATCH(A659,MemMap!$A$4:$A$98,0)) = FALSE, INDEX(MemMap!$B$4:$B$98,MATCH(A659,MemMap!$A$4:$A$98,0)),IF(F659="Y","TunSetCalSeg",IF(G659="Y", "FlashCalSeg", IF(G659="N", "FlashAppSeg", ""))))</f>
        <v>FlashAppSeg</v>
      </c>
      <c r="O659" s="220"/>
      <c r="P659" s="220"/>
      <c r="Q659" s="221"/>
      <c r="R659" s="221"/>
    </row>
    <row r="660" spans="1:18" ht="22.5" x14ac:dyDescent="0.2">
      <c r="A660" s="224" t="s">
        <v>2913</v>
      </c>
      <c r="B660" s="225" t="s">
        <v>2914</v>
      </c>
      <c r="C660" s="226" t="s">
        <v>3176</v>
      </c>
      <c r="D660" s="226" t="s">
        <v>3148</v>
      </c>
      <c r="E660" s="226"/>
      <c r="F660" s="227" t="s">
        <v>82</v>
      </c>
      <c r="G660" s="228" t="s">
        <v>82</v>
      </c>
      <c r="H660" s="228"/>
      <c r="I660" s="223" t="s">
        <v>2915</v>
      </c>
      <c r="J660" s="229">
        <v>0</v>
      </c>
      <c r="K660" s="229">
        <v>1000</v>
      </c>
      <c r="L660" s="229" t="s">
        <v>258</v>
      </c>
      <c r="M660" s="229" t="s">
        <v>587</v>
      </c>
      <c r="N660" s="230" t="str">
        <f>IF(ISERROR(MATCH(A660,MemMap!$A$4:$A$98,0)) = FALSE, INDEX(MemMap!$B$4:$B$98,MATCH(A660,MemMap!$A$4:$A$98,0)),IF(F660="Y","TunSetCalSeg",IF(G660="Y", "FlashCalSeg", IF(G660="N", "FlashAppSeg", ""))))</f>
        <v>FlashAppSeg</v>
      </c>
      <c r="O660" s="220"/>
      <c r="P660" s="220"/>
      <c r="Q660" s="221"/>
      <c r="R660" s="221"/>
    </row>
    <row r="661" spans="1:18" ht="22.5" x14ac:dyDescent="0.2">
      <c r="A661" s="224" t="s">
        <v>2916</v>
      </c>
      <c r="B661" s="225" t="s">
        <v>2917</v>
      </c>
      <c r="C661" s="226" t="s">
        <v>3176</v>
      </c>
      <c r="D661" s="226" t="s">
        <v>3148</v>
      </c>
      <c r="E661" s="226"/>
      <c r="F661" s="227" t="s">
        <v>82</v>
      </c>
      <c r="G661" s="228" t="s">
        <v>82</v>
      </c>
      <c r="H661" s="228"/>
      <c r="I661" s="223" t="s">
        <v>2915</v>
      </c>
      <c r="J661" s="229">
        <v>0</v>
      </c>
      <c r="K661" s="229">
        <v>1000</v>
      </c>
      <c r="L661" s="229" t="s">
        <v>258</v>
      </c>
      <c r="M661" s="229" t="s">
        <v>587</v>
      </c>
      <c r="N661" s="230" t="str">
        <f>IF(ISERROR(MATCH(A661,MemMap!$A$4:$A$98,0)) = FALSE, INDEX(MemMap!$B$4:$B$98,MATCH(A661,MemMap!$A$4:$A$98,0)),IF(F661="Y","TunSetCalSeg",IF(G661="Y", "FlashCalSeg", IF(G661="N", "FlashAppSeg", ""))))</f>
        <v>FlashAppSeg</v>
      </c>
      <c r="O661" s="220"/>
      <c r="P661" s="220"/>
      <c r="Q661" s="221"/>
      <c r="R661" s="221"/>
    </row>
    <row r="662" spans="1:18" ht="22.5" x14ac:dyDescent="0.2">
      <c r="A662" s="224" t="s">
        <v>2973</v>
      </c>
      <c r="B662" s="225" t="s">
        <v>1222</v>
      </c>
      <c r="C662" s="226" t="s">
        <v>3176</v>
      </c>
      <c r="D662" s="226" t="s">
        <v>3148</v>
      </c>
      <c r="E662" s="226" t="s">
        <v>1223</v>
      </c>
      <c r="F662" s="227" t="s">
        <v>82</v>
      </c>
      <c r="G662" s="228" t="s">
        <v>82</v>
      </c>
      <c r="H662" s="228"/>
      <c r="I662" s="223" t="s">
        <v>2974</v>
      </c>
      <c r="J662" s="229">
        <v>0</v>
      </c>
      <c r="K662" s="229">
        <v>220</v>
      </c>
      <c r="L662" s="229" t="s">
        <v>609</v>
      </c>
      <c r="M662" s="229" t="s">
        <v>336</v>
      </c>
      <c r="N662" s="230" t="str">
        <f>IF(ISERROR(MATCH(A662,MemMap!$A$4:$A$98,0)) = FALSE, INDEX(MemMap!$B$4:$B$98,MATCH(A662,MemMap!$A$4:$A$98,0)),IF(F662="Y","TunSetCalSeg",IF(G662="Y", "FlashCalSeg", IF(G662="N", "FlashAppSeg", ""))))</f>
        <v>FlashAppSeg</v>
      </c>
      <c r="O662" s="220"/>
      <c r="P662" s="220"/>
      <c r="Q662" s="221"/>
      <c r="R662" s="221"/>
    </row>
    <row r="663" spans="1:18" ht="22.5" x14ac:dyDescent="0.2">
      <c r="A663" s="224" t="s">
        <v>2975</v>
      </c>
      <c r="B663" s="225" t="s">
        <v>1220</v>
      </c>
      <c r="C663" s="226" t="s">
        <v>3176</v>
      </c>
      <c r="D663" s="226" t="s">
        <v>3148</v>
      </c>
      <c r="E663" s="226" t="s">
        <v>1221</v>
      </c>
      <c r="F663" s="227" t="s">
        <v>82</v>
      </c>
      <c r="G663" s="228" t="s">
        <v>82</v>
      </c>
      <c r="H663" s="228"/>
      <c r="I663" s="223" t="s">
        <v>2976</v>
      </c>
      <c r="J663" s="229">
        <v>0</v>
      </c>
      <c r="K663" s="229">
        <v>220</v>
      </c>
      <c r="L663" s="229" t="s">
        <v>609</v>
      </c>
      <c r="M663" s="229" t="s">
        <v>336</v>
      </c>
      <c r="N663" s="230" t="str">
        <f>IF(ISERROR(MATCH(A663,MemMap!$A$4:$A$98,0)) = FALSE, INDEX(MemMap!$B$4:$B$98,MATCH(A663,MemMap!$A$4:$A$98,0)),IF(F663="Y","TunSetCalSeg",IF(G663="Y", "FlashCalSeg", IF(G663="N", "FlashAppSeg", ""))))</f>
        <v>FlashAppSeg</v>
      </c>
      <c r="O663" s="220"/>
      <c r="P663" s="220"/>
      <c r="Q663" s="221"/>
      <c r="R663" s="221"/>
    </row>
    <row r="664" spans="1:18" ht="22.5" x14ac:dyDescent="0.2">
      <c r="A664" s="224" t="s">
        <v>2923</v>
      </c>
      <c r="B664" s="225" t="s">
        <v>2910</v>
      </c>
      <c r="C664" s="226" t="s">
        <v>3176</v>
      </c>
      <c r="D664" s="226" t="s">
        <v>3148</v>
      </c>
      <c r="E664" s="226"/>
      <c r="F664" s="227" t="s">
        <v>82</v>
      </c>
      <c r="G664" s="228" t="s">
        <v>82</v>
      </c>
      <c r="H664" s="228"/>
      <c r="I664" s="223" t="s">
        <v>2915</v>
      </c>
      <c r="J664" s="229">
        <v>0</v>
      </c>
      <c r="K664" s="229">
        <v>500</v>
      </c>
      <c r="L664" s="229" t="s">
        <v>258</v>
      </c>
      <c r="M664" s="229" t="s">
        <v>336</v>
      </c>
      <c r="N664" s="230" t="str">
        <f>IF(ISERROR(MATCH(A664,MemMap!$A$4:$A$98,0)) = FALSE, INDEX(MemMap!$B$4:$B$98,MATCH(A664,MemMap!$A$4:$A$98,0)),IF(F664="Y","TunSetCalSeg",IF(G664="Y", "FlashCalSeg", IF(G664="N", "FlashAppSeg", ""))))</f>
        <v>FlashAppSeg</v>
      </c>
      <c r="O664" s="220"/>
      <c r="P664" s="220"/>
      <c r="Q664" s="221"/>
      <c r="R664" s="221"/>
    </row>
    <row r="665" spans="1:18" ht="22.5" x14ac:dyDescent="0.2">
      <c r="A665" s="224" t="s">
        <v>2921</v>
      </c>
      <c r="B665" s="225" t="s">
        <v>2922</v>
      </c>
      <c r="C665" s="226" t="s">
        <v>3176</v>
      </c>
      <c r="D665" s="226" t="s">
        <v>3148</v>
      </c>
      <c r="E665" s="226"/>
      <c r="F665" s="227" t="s">
        <v>82</v>
      </c>
      <c r="G665" s="228" t="s">
        <v>82</v>
      </c>
      <c r="H665" s="228"/>
      <c r="I665" s="223" t="s">
        <v>2915</v>
      </c>
      <c r="J665" s="229">
        <v>0</v>
      </c>
      <c r="K665" s="229">
        <v>500</v>
      </c>
      <c r="L665" s="229" t="s">
        <v>258</v>
      </c>
      <c r="M665" s="229" t="s">
        <v>336</v>
      </c>
      <c r="N665" s="230" t="str">
        <f>IF(ISERROR(MATCH(A665,MemMap!$A$4:$A$98,0)) = FALSE, INDEX(MemMap!$B$4:$B$98,MATCH(A665,MemMap!$A$4:$A$98,0)),IF(F665="Y","TunSetCalSeg",IF(G665="Y", "FlashCalSeg", IF(G665="N", "FlashAppSeg", ""))))</f>
        <v>FlashAppSeg</v>
      </c>
      <c r="O665" s="220"/>
      <c r="P665" s="220"/>
      <c r="Q665" s="221"/>
      <c r="R665" s="221"/>
    </row>
    <row r="666" spans="1:18" ht="22.5" x14ac:dyDescent="0.2">
      <c r="A666" s="224" t="s">
        <v>2924</v>
      </c>
      <c r="B666" s="225" t="s">
        <v>2925</v>
      </c>
      <c r="C666" s="226" t="s">
        <v>3176</v>
      </c>
      <c r="D666" s="226" t="s">
        <v>3148</v>
      </c>
      <c r="E666" s="226"/>
      <c r="F666" s="227" t="s">
        <v>82</v>
      </c>
      <c r="G666" s="228" t="s">
        <v>82</v>
      </c>
      <c r="H666" s="228"/>
      <c r="I666" s="223" t="s">
        <v>2926</v>
      </c>
      <c r="J666" s="229">
        <v>0</v>
      </c>
      <c r="K666" s="229">
        <v>10</v>
      </c>
      <c r="L666" s="229" t="s">
        <v>252</v>
      </c>
      <c r="M666" s="229" t="s">
        <v>377</v>
      </c>
      <c r="N666" s="230" t="str">
        <f>IF(ISERROR(MATCH(A666,MemMap!$A$4:$A$98,0)) = FALSE, INDEX(MemMap!$B$4:$B$98,MATCH(A666,MemMap!$A$4:$A$98,0)),IF(F666="Y","TunSetCalSeg",IF(G666="Y", "FlashCalSeg", IF(G666="N", "FlashAppSeg", ""))))</f>
        <v>FlashAppSeg</v>
      </c>
      <c r="O666" s="220"/>
      <c r="P666" s="220"/>
      <c r="Q666" s="221"/>
      <c r="R666" s="221"/>
    </row>
    <row r="667" spans="1:18" ht="22.5" x14ac:dyDescent="0.2">
      <c r="A667" s="224" t="s">
        <v>2918</v>
      </c>
      <c r="B667" s="225" t="s">
        <v>2919</v>
      </c>
      <c r="C667" s="226" t="s">
        <v>3176</v>
      </c>
      <c r="D667" s="226" t="s">
        <v>3148</v>
      </c>
      <c r="E667" s="226"/>
      <c r="F667" s="227" t="s">
        <v>82</v>
      </c>
      <c r="G667" s="228" t="s">
        <v>82</v>
      </c>
      <c r="H667" s="228"/>
      <c r="I667" s="223" t="s">
        <v>2920</v>
      </c>
      <c r="J667" s="229">
        <v>0</v>
      </c>
      <c r="K667" s="229">
        <v>1350</v>
      </c>
      <c r="L667" s="229" t="s">
        <v>1147</v>
      </c>
      <c r="M667" s="229" t="s">
        <v>653</v>
      </c>
      <c r="N667" s="230" t="str">
        <f>IF(ISERROR(MATCH(A667,MemMap!$A$4:$A$98,0)) = FALSE, INDEX(MemMap!$B$4:$B$98,MATCH(A667,MemMap!$A$4:$A$98,0)),IF(F667="Y","TunSetCalSeg",IF(G667="Y", "FlashCalSeg", IF(G667="N", "FlashAppSeg", ""))))</f>
        <v>FlashAppSeg</v>
      </c>
      <c r="O667" s="220"/>
      <c r="P667" s="220"/>
      <c r="Q667" s="221"/>
      <c r="R667" s="221"/>
    </row>
    <row r="668" spans="1:18" ht="33.75" x14ac:dyDescent="0.2">
      <c r="A668" s="224" t="s">
        <v>2977</v>
      </c>
      <c r="B668" s="225" t="s">
        <v>1224</v>
      </c>
      <c r="C668" s="226" t="s">
        <v>3176</v>
      </c>
      <c r="D668" s="226" t="s">
        <v>3148</v>
      </c>
      <c r="E668" s="226" t="s">
        <v>1225</v>
      </c>
      <c r="F668" s="227" t="s">
        <v>82</v>
      </c>
      <c r="G668" s="228" t="s">
        <v>82</v>
      </c>
      <c r="H668" s="228"/>
      <c r="I668" s="223" t="s">
        <v>2978</v>
      </c>
      <c r="J668" s="229">
        <v>0</v>
      </c>
      <c r="K668" s="229">
        <v>12000</v>
      </c>
      <c r="L668" s="229" t="s">
        <v>1147</v>
      </c>
      <c r="M668" s="229" t="s">
        <v>263</v>
      </c>
      <c r="N668" s="230" t="str">
        <f>IF(ISERROR(MATCH(A668,MemMap!$A$4:$A$98,0)) = FALSE, INDEX(MemMap!$B$4:$B$98,MATCH(A668,MemMap!$A$4:$A$98,0)),IF(F668="Y","TunSetCalSeg",IF(G668="Y", "FlashCalSeg", IF(G668="N", "FlashAppSeg", ""))))</f>
        <v>FlashAppSeg</v>
      </c>
      <c r="O668" s="220"/>
      <c r="P668" s="220"/>
      <c r="Q668" s="221"/>
      <c r="R668" s="221"/>
    </row>
    <row r="669" spans="1:18" ht="22.5" x14ac:dyDescent="0.2">
      <c r="A669" s="224" t="s">
        <v>1241</v>
      </c>
      <c r="B669" s="225" t="s">
        <v>1242</v>
      </c>
      <c r="C669" s="226" t="s">
        <v>3176</v>
      </c>
      <c r="D669" s="226" t="s">
        <v>3148</v>
      </c>
      <c r="E669" s="226" t="s">
        <v>1243</v>
      </c>
      <c r="F669" s="227" t="s">
        <v>82</v>
      </c>
      <c r="G669" s="228" t="s">
        <v>82</v>
      </c>
      <c r="H669" s="228"/>
      <c r="I669" s="223" t="s">
        <v>1244</v>
      </c>
      <c r="J669" s="229">
        <v>0</v>
      </c>
      <c r="K669" s="229">
        <v>1118</v>
      </c>
      <c r="L669" s="229" t="s">
        <v>1147</v>
      </c>
      <c r="M669" s="229" t="s">
        <v>653</v>
      </c>
      <c r="N669" s="230" t="str">
        <f>IF(ISERROR(MATCH(A669,MemMap!$A$4:$A$98,0)) = FALSE, INDEX(MemMap!$B$4:$B$98,MATCH(A669,MemMap!$A$4:$A$98,0)),IF(F669="Y","TunSetCalSeg",IF(G669="Y", "FlashCalSeg", IF(G669="N", "FlashAppSeg", ""))))</f>
        <v>FlashAppSeg</v>
      </c>
      <c r="O669" s="220"/>
      <c r="P669" s="220"/>
      <c r="Q669" s="221"/>
      <c r="R669" s="221"/>
    </row>
    <row r="670" spans="1:18" ht="22.5" x14ac:dyDescent="0.2">
      <c r="A670" s="224" t="s">
        <v>1245</v>
      </c>
      <c r="B670" s="225" t="s">
        <v>1246</v>
      </c>
      <c r="C670" s="226" t="s">
        <v>3176</v>
      </c>
      <c r="D670" s="226" t="s">
        <v>3148</v>
      </c>
      <c r="E670" s="226" t="s">
        <v>1243</v>
      </c>
      <c r="F670" s="227" t="s">
        <v>82</v>
      </c>
      <c r="G670" s="228" t="s">
        <v>82</v>
      </c>
      <c r="H670" s="228"/>
      <c r="I670" s="223" t="s">
        <v>1247</v>
      </c>
      <c r="J670" s="229">
        <v>0</v>
      </c>
      <c r="K670" s="229">
        <v>5</v>
      </c>
      <c r="L670" s="229" t="s">
        <v>615</v>
      </c>
      <c r="M670" s="229" t="s">
        <v>377</v>
      </c>
      <c r="N670" s="230" t="str">
        <f>IF(ISERROR(MATCH(A670,MemMap!$A$4:$A$98,0)) = FALSE, INDEX(MemMap!$B$4:$B$98,MATCH(A670,MemMap!$A$4:$A$98,0)),IF(F670="Y","TunSetCalSeg",IF(G670="Y", "FlashCalSeg", IF(G670="N", "FlashAppSeg", ""))))</f>
        <v>FlashAppSeg</v>
      </c>
      <c r="O670" s="220"/>
      <c r="P670" s="220"/>
      <c r="Q670" s="221"/>
      <c r="R670" s="221"/>
    </row>
    <row r="671" spans="1:18" ht="22.5" x14ac:dyDescent="0.2">
      <c r="A671" s="224" t="s">
        <v>1248</v>
      </c>
      <c r="B671" s="225" t="s">
        <v>1249</v>
      </c>
      <c r="C671" s="226" t="s">
        <v>3176</v>
      </c>
      <c r="D671" s="226" t="s">
        <v>3148</v>
      </c>
      <c r="E671" s="226" t="s">
        <v>1250</v>
      </c>
      <c r="F671" s="227" t="s">
        <v>82</v>
      </c>
      <c r="G671" s="228" t="s">
        <v>82</v>
      </c>
      <c r="H671" s="228"/>
      <c r="I671" s="223" t="s">
        <v>1244</v>
      </c>
      <c r="J671" s="229">
        <v>0</v>
      </c>
      <c r="K671" s="229">
        <v>1118</v>
      </c>
      <c r="L671" s="229" t="s">
        <v>1147</v>
      </c>
      <c r="M671" s="229" t="s">
        <v>653</v>
      </c>
      <c r="N671" s="230" t="str">
        <f>IF(ISERROR(MATCH(A671,MemMap!$A$4:$A$98,0)) = FALSE, INDEX(MemMap!$B$4:$B$98,MATCH(A671,MemMap!$A$4:$A$98,0)),IF(F671="Y","TunSetCalSeg",IF(G671="Y", "FlashCalSeg", IF(G671="N", "FlashAppSeg", ""))))</f>
        <v>FlashAppSeg</v>
      </c>
      <c r="O671" s="220"/>
      <c r="P671" s="220"/>
      <c r="Q671" s="221"/>
      <c r="R671" s="221"/>
    </row>
    <row r="672" spans="1:18" ht="22.5" x14ac:dyDescent="0.2">
      <c r="A672" s="224" t="s">
        <v>1251</v>
      </c>
      <c r="B672" s="225" t="s">
        <v>1252</v>
      </c>
      <c r="C672" s="226" t="s">
        <v>3176</v>
      </c>
      <c r="D672" s="226" t="s">
        <v>3148</v>
      </c>
      <c r="E672" s="226" t="s">
        <v>1250</v>
      </c>
      <c r="F672" s="227" t="s">
        <v>82</v>
      </c>
      <c r="G672" s="228" t="s">
        <v>82</v>
      </c>
      <c r="H672" s="228"/>
      <c r="I672" s="223" t="s">
        <v>1247</v>
      </c>
      <c r="J672" s="229">
        <v>0</v>
      </c>
      <c r="K672" s="229">
        <v>5</v>
      </c>
      <c r="L672" s="229" t="s">
        <v>615</v>
      </c>
      <c r="M672" s="229" t="s">
        <v>377</v>
      </c>
      <c r="N672" s="230" t="str">
        <f>IF(ISERROR(MATCH(A672,MemMap!$A$4:$A$98,0)) = FALSE, INDEX(MemMap!$B$4:$B$98,MATCH(A672,MemMap!$A$4:$A$98,0)),IF(F672="Y","TunSetCalSeg",IF(G672="Y", "FlashCalSeg", IF(G672="N", "FlashAppSeg", ""))))</f>
        <v>FlashAppSeg</v>
      </c>
      <c r="O672" s="220"/>
      <c r="P672" s="220"/>
      <c r="Q672" s="221"/>
      <c r="R672" s="221"/>
    </row>
    <row r="673" spans="1:18" ht="56.25" x14ac:dyDescent="0.2">
      <c r="A673" s="224" t="s">
        <v>1237</v>
      </c>
      <c r="B673" s="225" t="s">
        <v>1238</v>
      </c>
      <c r="C673" s="226" t="s">
        <v>3176</v>
      </c>
      <c r="D673" s="226" t="s">
        <v>3148</v>
      </c>
      <c r="E673" s="226" t="s">
        <v>1239</v>
      </c>
      <c r="F673" s="227" t="s">
        <v>82</v>
      </c>
      <c r="G673" s="228" t="s">
        <v>82</v>
      </c>
      <c r="H673" s="228"/>
      <c r="I673" s="223" t="s">
        <v>1240</v>
      </c>
      <c r="J673" s="229">
        <v>-3.14159265358979</v>
      </c>
      <c r="K673" s="229">
        <v>3.14159265358979</v>
      </c>
      <c r="L673" s="229" t="s">
        <v>1217</v>
      </c>
      <c r="M673" s="229" t="s">
        <v>257</v>
      </c>
      <c r="N673" s="230" t="str">
        <f>IF(ISERROR(MATCH(A673,MemMap!$A$4:$A$98,0)) = FALSE, INDEX(MemMap!$B$4:$B$98,MATCH(A673,MemMap!$A$4:$A$98,0)),IF(F673="Y","TunSetCalSeg",IF(G673="Y", "FlashCalSeg", IF(G673="N", "FlashAppSeg", ""))))</f>
        <v>FlashAppSeg</v>
      </c>
      <c r="O673" s="220"/>
      <c r="P673" s="220"/>
      <c r="Q673" s="221"/>
      <c r="R673" s="221"/>
    </row>
    <row r="674" spans="1:18" ht="78.75" x14ac:dyDescent="0.2">
      <c r="A674" s="224" t="s">
        <v>1194</v>
      </c>
      <c r="B674" s="225" t="s">
        <v>1195</v>
      </c>
      <c r="C674" s="226" t="s">
        <v>3176</v>
      </c>
      <c r="D674" s="226" t="s">
        <v>3148</v>
      </c>
      <c r="E674" s="226"/>
      <c r="F674" s="227" t="s">
        <v>82</v>
      </c>
      <c r="G674" s="228" t="s">
        <v>82</v>
      </c>
      <c r="H674" s="228"/>
      <c r="I674" s="223" t="s">
        <v>1196</v>
      </c>
      <c r="J674" s="229">
        <v>0</v>
      </c>
      <c r="K674" s="229">
        <v>2</v>
      </c>
      <c r="L674" s="229" t="s">
        <v>1197</v>
      </c>
      <c r="M674" s="229" t="s">
        <v>340</v>
      </c>
      <c r="N674" s="230" t="str">
        <f>IF(ISERROR(MATCH(A674,MemMap!$A$4:$A$98,0)) = FALSE, INDEX(MemMap!$B$4:$B$98,MATCH(A674,MemMap!$A$4:$A$98,0)),IF(F674="Y","TunSetCalSeg",IF(G674="Y", "FlashCalSeg", IF(G674="N", "FlashAppSeg", ""))))</f>
        <v>FlashAppSeg</v>
      </c>
      <c r="O674" s="220"/>
      <c r="P674" s="220"/>
      <c r="Q674" s="221"/>
      <c r="R674" s="221"/>
    </row>
    <row r="675" spans="1:18" ht="78.75" x14ac:dyDescent="0.2">
      <c r="A675" s="224" t="s">
        <v>1198</v>
      </c>
      <c r="B675" s="225" t="s">
        <v>1199</v>
      </c>
      <c r="C675" s="226" t="s">
        <v>3176</v>
      </c>
      <c r="D675" s="226" t="s">
        <v>3148</v>
      </c>
      <c r="E675" s="226"/>
      <c r="F675" s="227" t="s">
        <v>82</v>
      </c>
      <c r="G675" s="228" t="s">
        <v>82</v>
      </c>
      <c r="H675" s="228"/>
      <c r="I675" s="223" t="s">
        <v>1196</v>
      </c>
      <c r="J675" s="229">
        <v>0</v>
      </c>
      <c r="K675" s="229">
        <v>2</v>
      </c>
      <c r="L675" s="229" t="s">
        <v>256</v>
      </c>
      <c r="M675" s="229" t="s">
        <v>340</v>
      </c>
      <c r="N675" s="230" t="str">
        <f>IF(ISERROR(MATCH(A675,MemMap!$A$4:$A$98,0)) = FALSE, INDEX(MemMap!$B$4:$B$98,MATCH(A675,MemMap!$A$4:$A$98,0)),IF(F675="Y","TunSetCalSeg",IF(G675="Y", "FlashCalSeg", IF(G675="N", "FlashAppSeg", ""))))</f>
        <v>FlashAppSeg</v>
      </c>
      <c r="O675" s="220"/>
      <c r="P675" s="220"/>
      <c r="Q675" s="221"/>
      <c r="R675" s="221"/>
    </row>
    <row r="676" spans="1:18" ht="90" x14ac:dyDescent="0.2">
      <c r="A676" s="224" t="s">
        <v>2979</v>
      </c>
      <c r="B676" s="225" t="s">
        <v>1827</v>
      </c>
      <c r="C676" s="226" t="s">
        <v>3176</v>
      </c>
      <c r="D676" s="226" t="s">
        <v>3148</v>
      </c>
      <c r="E676" s="226" t="s">
        <v>1143</v>
      </c>
      <c r="F676" s="227" t="s">
        <v>82</v>
      </c>
      <c r="G676" s="228" t="s">
        <v>82</v>
      </c>
      <c r="H676" s="228"/>
      <c r="I676" s="223" t="s">
        <v>2980</v>
      </c>
      <c r="J676" s="229">
        <v>0</v>
      </c>
      <c r="K676" s="229">
        <v>10</v>
      </c>
      <c r="L676" s="229" t="s">
        <v>256</v>
      </c>
      <c r="M676" s="229" t="s">
        <v>254</v>
      </c>
      <c r="N676" s="230" t="str">
        <f>IF(ISERROR(MATCH(A676,MemMap!$A$4:$A$98,0)) = FALSE, INDEX(MemMap!$B$4:$B$98,MATCH(A676,MemMap!$A$4:$A$98,0)),IF(F676="Y","TunSetCalSeg",IF(G676="Y", "FlashCalSeg", IF(G676="N", "FlashAppSeg", ""))))</f>
        <v>FlashAppSeg</v>
      </c>
      <c r="O676" s="220"/>
      <c r="P676" s="220"/>
      <c r="Q676" s="221"/>
      <c r="R676" s="221"/>
    </row>
    <row r="677" spans="1:18" ht="90" x14ac:dyDescent="0.2">
      <c r="A677" s="224" t="s">
        <v>2981</v>
      </c>
      <c r="B677" s="225" t="s">
        <v>1828</v>
      </c>
      <c r="C677" s="226" t="s">
        <v>3176</v>
      </c>
      <c r="D677" s="226" t="s">
        <v>3148</v>
      </c>
      <c r="E677" s="226" t="s">
        <v>1146</v>
      </c>
      <c r="F677" s="227" t="s">
        <v>82</v>
      </c>
      <c r="G677" s="228" t="s">
        <v>82</v>
      </c>
      <c r="H677" s="228"/>
      <c r="I677" s="223" t="s">
        <v>2980</v>
      </c>
      <c r="J677" s="229">
        <v>0</v>
      </c>
      <c r="K677" s="229">
        <v>0.99998474121093806</v>
      </c>
      <c r="L677" s="229" t="s">
        <v>1226</v>
      </c>
      <c r="M677" s="229" t="s">
        <v>913</v>
      </c>
      <c r="N677" s="230" t="str">
        <f>IF(ISERROR(MATCH(A677,MemMap!$A$4:$A$98,0)) = FALSE, INDEX(MemMap!$B$4:$B$98,MATCH(A677,MemMap!$A$4:$A$98,0)),IF(F677="Y","TunSetCalSeg",IF(G677="Y", "FlashCalSeg", IF(G677="N", "FlashAppSeg", ""))))</f>
        <v>FlashAppSeg</v>
      </c>
      <c r="O677" s="220"/>
      <c r="P677" s="220"/>
      <c r="Q677" s="221"/>
      <c r="R677" s="221"/>
    </row>
    <row r="678" spans="1:18" ht="112.5" x14ac:dyDescent="0.2">
      <c r="A678" s="224" t="s">
        <v>2935</v>
      </c>
      <c r="B678" s="225" t="s">
        <v>2936</v>
      </c>
      <c r="C678" s="226" t="s">
        <v>3176</v>
      </c>
      <c r="D678" s="226" t="s">
        <v>3148</v>
      </c>
      <c r="E678" s="226"/>
      <c r="F678" s="227" t="s">
        <v>82</v>
      </c>
      <c r="G678" s="228" t="s">
        <v>82</v>
      </c>
      <c r="H678" s="228"/>
      <c r="I678" s="223" t="s">
        <v>2929</v>
      </c>
      <c r="J678" s="229">
        <v>-0.5</v>
      </c>
      <c r="K678" s="229">
        <v>0.5</v>
      </c>
      <c r="L678" s="229" t="s">
        <v>252</v>
      </c>
      <c r="M678" s="229" t="s">
        <v>2930</v>
      </c>
      <c r="N678" s="230" t="str">
        <f>IF(ISERROR(MATCH(A678,MemMap!$A$4:$A$98,0)) = FALSE, INDEX(MemMap!$B$4:$B$98,MATCH(A678,MemMap!$A$4:$A$98,0)),IF(F678="Y","TunSetCalSeg",IF(G678="Y", "FlashCalSeg", IF(G678="N", "FlashAppSeg", ""))))</f>
        <v>FlashAppSeg</v>
      </c>
      <c r="O678" s="220"/>
      <c r="P678" s="220"/>
      <c r="Q678" s="221"/>
      <c r="R678" s="221"/>
    </row>
    <row r="679" spans="1:18" ht="112.5" x14ac:dyDescent="0.2">
      <c r="A679" s="224" t="s">
        <v>2933</v>
      </c>
      <c r="B679" s="225" t="s">
        <v>2934</v>
      </c>
      <c r="C679" s="226" t="s">
        <v>3176</v>
      </c>
      <c r="D679" s="226" t="s">
        <v>3148</v>
      </c>
      <c r="E679" s="226"/>
      <c r="F679" s="227" t="s">
        <v>82</v>
      </c>
      <c r="G679" s="228" t="s">
        <v>82</v>
      </c>
      <c r="H679" s="228"/>
      <c r="I679" s="223" t="s">
        <v>2929</v>
      </c>
      <c r="J679" s="229">
        <v>-0.5</v>
      </c>
      <c r="K679" s="229">
        <v>0.5</v>
      </c>
      <c r="L679" s="229" t="s">
        <v>252</v>
      </c>
      <c r="M679" s="229" t="s">
        <v>2930</v>
      </c>
      <c r="N679" s="230" t="str">
        <f>IF(ISERROR(MATCH(A679,MemMap!$A$4:$A$98,0)) = FALSE, INDEX(MemMap!$B$4:$B$98,MATCH(A679,MemMap!$A$4:$A$98,0)),IF(F679="Y","TunSetCalSeg",IF(G679="Y", "FlashCalSeg", IF(G679="N", "FlashAppSeg", ""))))</f>
        <v>FlashAppSeg</v>
      </c>
      <c r="O679" s="220"/>
      <c r="P679" s="220"/>
      <c r="Q679" s="221"/>
      <c r="R679" s="221"/>
    </row>
    <row r="680" spans="1:18" ht="112.5" x14ac:dyDescent="0.2">
      <c r="A680" s="224" t="s">
        <v>2931</v>
      </c>
      <c r="B680" s="225" t="s">
        <v>2932</v>
      </c>
      <c r="C680" s="226" t="s">
        <v>3176</v>
      </c>
      <c r="D680" s="226" t="s">
        <v>3148</v>
      </c>
      <c r="E680" s="226"/>
      <c r="F680" s="227" t="s">
        <v>82</v>
      </c>
      <c r="G680" s="228" t="s">
        <v>82</v>
      </c>
      <c r="H680" s="228"/>
      <c r="I680" s="223" t="s">
        <v>2929</v>
      </c>
      <c r="J680" s="229">
        <v>-0.5</v>
      </c>
      <c r="K680" s="229">
        <v>0.5</v>
      </c>
      <c r="L680" s="229" t="s">
        <v>252</v>
      </c>
      <c r="M680" s="229" t="s">
        <v>2930</v>
      </c>
      <c r="N680" s="230" t="str">
        <f>IF(ISERROR(MATCH(A680,MemMap!$A$4:$A$98,0)) = FALSE, INDEX(MemMap!$B$4:$B$98,MATCH(A680,MemMap!$A$4:$A$98,0)),IF(F680="Y","TunSetCalSeg",IF(G680="Y", "FlashCalSeg", IF(G680="N", "FlashAppSeg", ""))))</f>
        <v>FlashAppSeg</v>
      </c>
      <c r="O680" s="220"/>
      <c r="P680" s="220"/>
      <c r="Q680" s="221"/>
      <c r="R680" s="221"/>
    </row>
    <row r="681" spans="1:18" ht="112.5" x14ac:dyDescent="0.2">
      <c r="A681" s="224" t="s">
        <v>2927</v>
      </c>
      <c r="B681" s="225" t="s">
        <v>2928</v>
      </c>
      <c r="C681" s="226" t="s">
        <v>3176</v>
      </c>
      <c r="D681" s="226" t="s">
        <v>3148</v>
      </c>
      <c r="E681" s="226"/>
      <c r="F681" s="227" t="s">
        <v>82</v>
      </c>
      <c r="G681" s="228" t="s">
        <v>82</v>
      </c>
      <c r="H681" s="228"/>
      <c r="I681" s="223" t="s">
        <v>2929</v>
      </c>
      <c r="J681" s="229">
        <v>-0.5</v>
      </c>
      <c r="K681" s="229">
        <v>0.5</v>
      </c>
      <c r="L681" s="229" t="s">
        <v>252</v>
      </c>
      <c r="M681" s="229" t="s">
        <v>2930</v>
      </c>
      <c r="N681" s="230" t="str">
        <f>IF(ISERROR(MATCH(A681,MemMap!$A$4:$A$98,0)) = FALSE, INDEX(MemMap!$B$4:$B$98,MATCH(A681,MemMap!$A$4:$A$98,0)),IF(F681="Y","TunSetCalSeg",IF(G681="Y", "FlashCalSeg", IF(G681="N", "FlashAppSeg", ""))))</f>
        <v>FlashAppSeg</v>
      </c>
      <c r="O681" s="220"/>
      <c r="P681" s="220"/>
      <c r="Q681" s="221"/>
      <c r="R681" s="221"/>
    </row>
    <row r="682" spans="1:18" ht="112.5" x14ac:dyDescent="0.2">
      <c r="A682" s="224" t="s">
        <v>2937</v>
      </c>
      <c r="B682" s="225" t="s">
        <v>2938</v>
      </c>
      <c r="C682" s="226" t="s">
        <v>3176</v>
      </c>
      <c r="D682" s="226" t="s">
        <v>3148</v>
      </c>
      <c r="E682" s="226"/>
      <c r="F682" s="227" t="s">
        <v>82</v>
      </c>
      <c r="G682" s="228" t="s">
        <v>82</v>
      </c>
      <c r="H682" s="228"/>
      <c r="I682" s="223" t="s">
        <v>2929</v>
      </c>
      <c r="J682" s="229">
        <v>-0.5</v>
      </c>
      <c r="K682" s="229">
        <v>0.5</v>
      </c>
      <c r="L682" s="229" t="s">
        <v>252</v>
      </c>
      <c r="M682" s="229" t="s">
        <v>2930</v>
      </c>
      <c r="N682" s="230" t="str">
        <f>IF(ISERROR(MATCH(A682,MemMap!$A$4:$A$98,0)) = FALSE, INDEX(MemMap!$B$4:$B$98,MATCH(A682,MemMap!$A$4:$A$98,0)),IF(F682="Y","TunSetCalSeg",IF(G682="Y", "FlashCalSeg", IF(G682="N", "FlashAppSeg", ""))))</f>
        <v>FlashAppSeg</v>
      </c>
      <c r="O682" s="220"/>
      <c r="P682" s="220"/>
      <c r="Q682" s="221"/>
      <c r="R682" s="221"/>
    </row>
    <row r="683" spans="1:18" ht="112.5" x14ac:dyDescent="0.2">
      <c r="A683" s="224" t="s">
        <v>2939</v>
      </c>
      <c r="B683" s="225" t="s">
        <v>2940</v>
      </c>
      <c r="C683" s="226" t="s">
        <v>3176</v>
      </c>
      <c r="D683" s="226" t="s">
        <v>3148</v>
      </c>
      <c r="E683" s="226"/>
      <c r="F683" s="227" t="s">
        <v>82</v>
      </c>
      <c r="G683" s="228" t="s">
        <v>82</v>
      </c>
      <c r="H683" s="228"/>
      <c r="I683" s="223" t="s">
        <v>2929</v>
      </c>
      <c r="J683" s="229">
        <v>-0.5</v>
      </c>
      <c r="K683" s="229">
        <v>0.5</v>
      </c>
      <c r="L683" s="229" t="s">
        <v>252</v>
      </c>
      <c r="M683" s="229" t="s">
        <v>2930</v>
      </c>
      <c r="N683" s="230" t="str">
        <f>IF(ISERROR(MATCH(A683,MemMap!$A$4:$A$98,0)) = FALSE, INDEX(MemMap!$B$4:$B$98,MATCH(A683,MemMap!$A$4:$A$98,0)),IF(F683="Y","TunSetCalSeg",IF(G683="Y", "FlashCalSeg", IF(G683="N", "FlashAppSeg", ""))))</f>
        <v>FlashAppSeg</v>
      </c>
      <c r="O683" s="220"/>
      <c r="P683" s="220"/>
      <c r="Q683" s="221"/>
      <c r="R683" s="221"/>
    </row>
    <row r="684" spans="1:18" ht="78.75" x14ac:dyDescent="0.2">
      <c r="A684" s="224" t="s">
        <v>1208</v>
      </c>
      <c r="B684" s="225" t="s">
        <v>1209</v>
      </c>
      <c r="C684" s="226" t="s">
        <v>3177</v>
      </c>
      <c r="D684" s="226" t="s">
        <v>3151</v>
      </c>
      <c r="E684" s="226" t="s">
        <v>1206</v>
      </c>
      <c r="F684" s="227" t="s">
        <v>82</v>
      </c>
      <c r="G684" s="228" t="s">
        <v>82</v>
      </c>
      <c r="H684" s="228"/>
      <c r="I684" s="223" t="s">
        <v>1210</v>
      </c>
      <c r="J684" s="229">
        <v>0</v>
      </c>
      <c r="K684" s="229">
        <v>2000</v>
      </c>
      <c r="L684" s="229" t="s">
        <v>267</v>
      </c>
      <c r="M684" s="229" t="s">
        <v>263</v>
      </c>
      <c r="N684" s="230" t="str">
        <f>IF(ISERROR(MATCH(A684,MemMap!$A$4:$A$98,0)) = FALSE, INDEX(MemMap!$B$4:$B$98,MATCH(A684,MemMap!$A$4:$A$98,0)),IF(F684="Y","TunSetCalSeg",IF(G684="Y", "FlashCalSeg", IF(G684="N", "FlashAppSeg", ""))))</f>
        <v>FlashAppSeg</v>
      </c>
      <c r="O684" s="220"/>
      <c r="P684" s="220"/>
      <c r="Q684" s="221"/>
      <c r="R684" s="221"/>
    </row>
    <row r="685" spans="1:18" ht="22.5" x14ac:dyDescent="0.2">
      <c r="A685" s="224" t="s">
        <v>1335</v>
      </c>
      <c r="B685" s="225"/>
      <c r="C685" s="226" t="s">
        <v>1336</v>
      </c>
      <c r="D685" s="226" t="s">
        <v>230</v>
      </c>
      <c r="E685" s="226"/>
      <c r="F685" s="227" t="s">
        <v>82</v>
      </c>
      <c r="G685" s="228" t="s">
        <v>82</v>
      </c>
      <c r="H685" s="228"/>
      <c r="I685" s="223" t="s">
        <v>1337</v>
      </c>
      <c r="J685" s="229">
        <v>0</v>
      </c>
      <c r="K685" s="229">
        <v>512</v>
      </c>
      <c r="L685" s="229" t="s">
        <v>267</v>
      </c>
      <c r="M685" s="229" t="s">
        <v>565</v>
      </c>
      <c r="N685" s="230" t="str">
        <f>IF(ISERROR(MATCH(A685,MemMap!$A$4:$A$98,0)) = FALSE, INDEX(MemMap!$B$4:$B$98,MATCH(A685,MemMap!$A$4:$A$98,0)),IF(F685="Y","TunSetCalSeg",IF(G685="Y", "FlashCalSeg", IF(G685="N", "FlashAppSeg", ""))))</f>
        <v>FlashAppSeg</v>
      </c>
      <c r="O685" s="220"/>
      <c r="P685" s="220"/>
      <c r="Q685" s="221"/>
      <c r="R685" s="221"/>
    </row>
    <row r="686" spans="1:18" ht="22.5" x14ac:dyDescent="0.2">
      <c r="A686" s="224" t="s">
        <v>1342</v>
      </c>
      <c r="B686" s="225" t="s">
        <v>1343</v>
      </c>
      <c r="C686" s="226" t="s">
        <v>1336</v>
      </c>
      <c r="D686" s="226" t="s">
        <v>230</v>
      </c>
      <c r="E686" s="226"/>
      <c r="F686" s="227" t="s">
        <v>82</v>
      </c>
      <c r="G686" s="228" t="s">
        <v>82</v>
      </c>
      <c r="H686" s="228"/>
      <c r="I686" s="223">
        <v>1</v>
      </c>
      <c r="J686" s="229">
        <v>0</v>
      </c>
      <c r="K686" s="229">
        <v>512</v>
      </c>
      <c r="L686" s="229" t="s">
        <v>267</v>
      </c>
      <c r="M686" s="229" t="s">
        <v>263</v>
      </c>
      <c r="N686" s="230" t="str">
        <f>IF(ISERROR(MATCH(A686,MemMap!$A$4:$A$98,0)) = FALSE, INDEX(MemMap!$B$4:$B$98,MATCH(A686,MemMap!$A$4:$A$98,0)),IF(F686="Y","TunSetCalSeg",IF(G686="Y", "FlashCalSeg", IF(G686="N", "FlashAppSeg", ""))))</f>
        <v>FlashAppSeg</v>
      </c>
      <c r="O686" s="220"/>
      <c r="P686" s="220"/>
      <c r="Q686" s="221"/>
      <c r="R686" s="221"/>
    </row>
    <row r="687" spans="1:18" ht="22.5" x14ac:dyDescent="0.2">
      <c r="A687" s="224" t="s">
        <v>1340</v>
      </c>
      <c r="B687" s="225" t="s">
        <v>1341</v>
      </c>
      <c r="C687" s="226" t="s">
        <v>1336</v>
      </c>
      <c r="D687" s="226" t="s">
        <v>230</v>
      </c>
      <c r="E687" s="226"/>
      <c r="F687" s="227" t="s">
        <v>82</v>
      </c>
      <c r="G687" s="228" t="s">
        <v>82</v>
      </c>
      <c r="H687" s="228"/>
      <c r="I687" s="223">
        <v>10</v>
      </c>
      <c r="J687" s="229">
        <v>0</v>
      </c>
      <c r="K687" s="229">
        <v>512</v>
      </c>
      <c r="L687" s="229" t="s">
        <v>267</v>
      </c>
      <c r="M687" s="229" t="s">
        <v>263</v>
      </c>
      <c r="N687" s="230" t="str">
        <f>IF(ISERROR(MATCH(A687,MemMap!$A$4:$A$98,0)) = FALSE, INDEX(MemMap!$B$4:$B$98,MATCH(A687,MemMap!$A$4:$A$98,0)),IF(F687="Y","TunSetCalSeg",IF(G687="Y", "FlashCalSeg", IF(G687="N", "FlashAppSeg", ""))))</f>
        <v>FlashAppSeg</v>
      </c>
      <c r="O687" s="220"/>
      <c r="P687" s="220"/>
      <c r="Q687" s="221"/>
      <c r="R687" s="221"/>
    </row>
    <row r="688" spans="1:18" ht="22.5" x14ac:dyDescent="0.2">
      <c r="A688" s="224" t="s">
        <v>1338</v>
      </c>
      <c r="B688" s="225" t="s">
        <v>1339</v>
      </c>
      <c r="C688" s="226" t="s">
        <v>1336</v>
      </c>
      <c r="D688" s="226" t="s">
        <v>230</v>
      </c>
      <c r="E688" s="226"/>
      <c r="F688" s="227" t="s">
        <v>82</v>
      </c>
      <c r="G688" s="228" t="s">
        <v>82</v>
      </c>
      <c r="H688" s="228"/>
      <c r="I688" s="223">
        <v>10</v>
      </c>
      <c r="J688" s="229">
        <v>0</v>
      </c>
      <c r="K688" s="229">
        <v>512</v>
      </c>
      <c r="L688" s="229" t="s">
        <v>267</v>
      </c>
      <c r="M688" s="229" t="s">
        <v>263</v>
      </c>
      <c r="N688" s="230" t="str">
        <f>IF(ISERROR(MATCH(A688,MemMap!$A$4:$A$98,0)) = FALSE, INDEX(MemMap!$B$4:$B$98,MATCH(A688,MemMap!$A$4:$A$98,0)),IF(F688="Y","TunSetCalSeg",IF(G688="Y", "FlashCalSeg", IF(G688="N", "FlashAppSeg", ""))))</f>
        <v>FlashAppSeg</v>
      </c>
      <c r="O688" s="220"/>
      <c r="P688" s="220"/>
      <c r="Q688" s="221"/>
      <c r="R688" s="221"/>
    </row>
    <row r="689" spans="1:18" ht="33.75" x14ac:dyDescent="0.2">
      <c r="A689" s="224" t="s">
        <v>3514</v>
      </c>
      <c r="B689" s="225" t="s">
        <v>3514</v>
      </c>
      <c r="C689" s="226" t="s">
        <v>2289</v>
      </c>
      <c r="D689" s="226" t="s">
        <v>209</v>
      </c>
      <c r="E689" s="226" t="s">
        <v>3515</v>
      </c>
      <c r="F689" s="227" t="s">
        <v>81</v>
      </c>
      <c r="G689" s="228" t="s">
        <v>81</v>
      </c>
      <c r="H689" s="228"/>
      <c r="I689" s="223">
        <v>3.2578</v>
      </c>
      <c r="J689" s="229">
        <v>-100</v>
      </c>
      <c r="K689" s="229">
        <v>100</v>
      </c>
      <c r="L689" s="229" t="s">
        <v>252</v>
      </c>
      <c r="M689" s="229" t="s">
        <v>257</v>
      </c>
      <c r="N689" s="230" t="str">
        <f>IF(ISERROR(MATCH(A689,MemMap!$A$4:$A$98,0)) = FALSE, INDEX(MemMap!$B$4:$B$98,MATCH(A689,MemMap!$A$4:$A$98,0)),IF(F689="Y","TunSetCalSeg",IF(G689="Y", "FlashCalSeg", IF(G689="N", "FlashAppSeg", ""))))</f>
        <v>TunSetCalSeg</v>
      </c>
      <c r="O689" s="220"/>
      <c r="P689" s="220"/>
      <c r="Q689" s="221"/>
      <c r="R689" s="221"/>
    </row>
    <row r="690" spans="1:18" ht="33.75" x14ac:dyDescent="0.2">
      <c r="A690" s="224" t="s">
        <v>2314</v>
      </c>
      <c r="B690" s="225" t="s">
        <v>3520</v>
      </c>
      <c r="C690" s="226" t="s">
        <v>2289</v>
      </c>
      <c r="D690" s="226" t="s">
        <v>209</v>
      </c>
      <c r="E690" s="226" t="s">
        <v>3521</v>
      </c>
      <c r="F690" s="227" t="s">
        <v>81</v>
      </c>
      <c r="G690" s="228" t="s">
        <v>81</v>
      </c>
      <c r="H690" s="228"/>
      <c r="I690" s="223">
        <v>2</v>
      </c>
      <c r="J690" s="229">
        <v>0</v>
      </c>
      <c r="K690" s="229">
        <v>100</v>
      </c>
      <c r="L690" s="229" t="s">
        <v>258</v>
      </c>
      <c r="M690" s="229" t="s">
        <v>257</v>
      </c>
      <c r="N690" s="230" t="str">
        <f>IF(ISERROR(MATCH(A690,MemMap!$A$4:$A$98,0)) = FALSE, INDEX(MemMap!$B$4:$B$98,MATCH(A690,MemMap!$A$4:$A$98,0)),IF(F690="Y","TunSetCalSeg",IF(G690="Y", "FlashCalSeg", IF(G690="N", "FlashAppSeg", ""))))</f>
        <v>TunSetCalSeg</v>
      </c>
      <c r="O690" s="220"/>
      <c r="P690" s="220"/>
      <c r="Q690" s="221"/>
      <c r="R690" s="221"/>
    </row>
    <row r="691" spans="1:18" ht="33.75" x14ac:dyDescent="0.2">
      <c r="A691" s="224" t="s">
        <v>2290</v>
      </c>
      <c r="B691" s="225" t="s">
        <v>3522</v>
      </c>
      <c r="C691" s="226" t="s">
        <v>2289</v>
      </c>
      <c r="D691" s="226" t="s">
        <v>209</v>
      </c>
      <c r="E691" s="226" t="s">
        <v>2291</v>
      </c>
      <c r="F691" s="227" t="s">
        <v>81</v>
      </c>
      <c r="G691" s="228" t="s">
        <v>81</v>
      </c>
      <c r="H691" s="228"/>
      <c r="I691" s="223">
        <v>0.5</v>
      </c>
      <c r="J691" s="229">
        <v>0</v>
      </c>
      <c r="K691" s="229">
        <v>5</v>
      </c>
      <c r="L691" s="229" t="s">
        <v>804</v>
      </c>
      <c r="M691" s="229" t="s">
        <v>257</v>
      </c>
      <c r="N691" s="230" t="str">
        <f>IF(ISERROR(MATCH(A691,MemMap!$A$4:$A$98,0)) = FALSE, INDEX(MemMap!$B$4:$B$98,MATCH(A691,MemMap!$A$4:$A$98,0)),IF(F691="Y","TunSetCalSeg",IF(G691="Y", "FlashCalSeg", IF(G691="N", "FlashAppSeg", ""))))</f>
        <v>TunSetCalSeg</v>
      </c>
      <c r="O691" s="220"/>
      <c r="P691" s="220"/>
      <c r="Q691" s="221"/>
      <c r="R691" s="221"/>
    </row>
    <row r="692" spans="1:18" ht="33.75" x14ac:dyDescent="0.2">
      <c r="A692" s="224" t="s">
        <v>2305</v>
      </c>
      <c r="B692" s="225" t="s">
        <v>3523</v>
      </c>
      <c r="C692" s="226" t="s">
        <v>2289</v>
      </c>
      <c r="D692" s="226" t="s">
        <v>209</v>
      </c>
      <c r="E692" s="226" t="s">
        <v>3524</v>
      </c>
      <c r="F692" s="227" t="s">
        <v>81</v>
      </c>
      <c r="G692" s="228" t="s">
        <v>81</v>
      </c>
      <c r="H692" s="228"/>
      <c r="I692" s="223">
        <v>2</v>
      </c>
      <c r="J692" s="229">
        <v>0</v>
      </c>
      <c r="K692" s="229">
        <v>100</v>
      </c>
      <c r="L692" s="229" t="s">
        <v>258</v>
      </c>
      <c r="M692" s="229" t="s">
        <v>257</v>
      </c>
      <c r="N692" s="230" t="str">
        <f>IF(ISERROR(MATCH(A692,MemMap!$A$4:$A$98,0)) = FALSE, INDEX(MemMap!$B$4:$B$98,MATCH(A692,MemMap!$A$4:$A$98,0)),IF(F692="Y","TunSetCalSeg",IF(G692="Y", "FlashCalSeg", IF(G692="N", "FlashAppSeg", ""))))</f>
        <v>TunSetCalSeg</v>
      </c>
      <c r="O692" s="220"/>
      <c r="P692" s="220"/>
      <c r="Q692" s="221"/>
      <c r="R692" s="221"/>
    </row>
    <row r="693" spans="1:18" ht="33.75" x14ac:dyDescent="0.2">
      <c r="A693" s="224" t="s">
        <v>2288</v>
      </c>
      <c r="B693" s="225" t="s">
        <v>3525</v>
      </c>
      <c r="C693" s="226" t="s">
        <v>2289</v>
      </c>
      <c r="D693" s="226" t="s">
        <v>209</v>
      </c>
      <c r="E693" s="226" t="s">
        <v>3526</v>
      </c>
      <c r="F693" s="227" t="s">
        <v>81</v>
      </c>
      <c r="G693" s="228" t="s">
        <v>81</v>
      </c>
      <c r="H693" s="228"/>
      <c r="I693" s="223">
        <v>2</v>
      </c>
      <c r="J693" s="229">
        <v>0</v>
      </c>
      <c r="K693" s="229">
        <v>100</v>
      </c>
      <c r="L693" s="229" t="s">
        <v>258</v>
      </c>
      <c r="M693" s="229" t="s">
        <v>257</v>
      </c>
      <c r="N693" s="230" t="str">
        <f>IF(ISERROR(MATCH(A693,MemMap!$A$4:$A$98,0)) = FALSE, INDEX(MemMap!$B$4:$B$98,MATCH(A693,MemMap!$A$4:$A$98,0)),IF(F693="Y","TunSetCalSeg",IF(G693="Y", "FlashCalSeg", IF(G693="N", "FlashAppSeg", ""))))</f>
        <v>TunSetCalSeg</v>
      </c>
      <c r="O693" s="220"/>
      <c r="P693" s="220"/>
      <c r="Q693" s="221"/>
      <c r="R693" s="221"/>
    </row>
    <row r="694" spans="1:18" ht="33.75" x14ac:dyDescent="0.2">
      <c r="A694" s="224" t="s">
        <v>3539</v>
      </c>
      <c r="B694" s="225" t="s">
        <v>3540</v>
      </c>
      <c r="C694" s="226" t="s">
        <v>2289</v>
      </c>
      <c r="D694" s="226" t="s">
        <v>209</v>
      </c>
      <c r="E694" s="226" t="s">
        <v>3541</v>
      </c>
      <c r="F694" s="227" t="s">
        <v>81</v>
      </c>
      <c r="G694" s="228" t="s">
        <v>81</v>
      </c>
      <c r="H694" s="228"/>
      <c r="I694" s="223" t="s">
        <v>3542</v>
      </c>
      <c r="J694" s="229">
        <v>0</v>
      </c>
      <c r="K694" s="229">
        <v>1000</v>
      </c>
      <c r="L694" s="229" t="s">
        <v>1739</v>
      </c>
      <c r="M694" s="229" t="s">
        <v>653</v>
      </c>
      <c r="N694" s="230" t="str">
        <f>IF(ISERROR(MATCH(A694,MemMap!$A$4:$A$98,0)) = FALSE, INDEX(MemMap!$B$4:$B$98,MATCH(A694,MemMap!$A$4:$A$98,0)),IF(F694="Y","TunSetCalSeg",IF(G694="Y", "FlashCalSeg", IF(G694="N", "FlashAppSeg", ""))))</f>
        <v>TunSetCalSeg</v>
      </c>
      <c r="O694" s="220"/>
      <c r="P694" s="220"/>
      <c r="Q694" s="221"/>
      <c r="R694" s="221"/>
    </row>
    <row r="695" spans="1:18" ht="33.75" x14ac:dyDescent="0.2">
      <c r="A695" s="224" t="s">
        <v>2319</v>
      </c>
      <c r="B695" s="225" t="s">
        <v>3547</v>
      </c>
      <c r="C695" s="226" t="s">
        <v>2289</v>
      </c>
      <c r="D695" s="226" t="s">
        <v>209</v>
      </c>
      <c r="E695" s="226" t="s">
        <v>3548</v>
      </c>
      <c r="F695" s="227" t="s">
        <v>81</v>
      </c>
      <c r="G695" s="228" t="s">
        <v>81</v>
      </c>
      <c r="H695" s="228" t="s">
        <v>2320</v>
      </c>
      <c r="I695" s="223" t="s">
        <v>3549</v>
      </c>
      <c r="J695" s="229">
        <v>0</v>
      </c>
      <c r="K695" s="229">
        <v>511</v>
      </c>
      <c r="L695" s="229" t="s">
        <v>296</v>
      </c>
      <c r="M695" s="229" t="s">
        <v>336</v>
      </c>
      <c r="N695" s="230" t="str">
        <f>IF(ISERROR(MATCH(A695,MemMap!$A$4:$A$98,0)) = FALSE, INDEX(MemMap!$B$4:$B$98,MATCH(A695,MemMap!$A$4:$A$98,0)),IF(F695="Y","TunSetCalSeg",IF(G695="Y", "FlashCalSeg", IF(G695="N", "FlashAppSeg", ""))))</f>
        <v>TunSetCalSeg</v>
      </c>
      <c r="O695" s="220"/>
      <c r="P695" s="220"/>
      <c r="Q695" s="221"/>
      <c r="R695" s="221"/>
    </row>
    <row r="696" spans="1:18" ht="33.75" x14ac:dyDescent="0.2">
      <c r="A696" s="224" t="s">
        <v>2321</v>
      </c>
      <c r="B696" s="225" t="s">
        <v>3550</v>
      </c>
      <c r="C696" s="226" t="s">
        <v>2289</v>
      </c>
      <c r="D696" s="226" t="s">
        <v>209</v>
      </c>
      <c r="E696" s="226" t="s">
        <v>3551</v>
      </c>
      <c r="F696" s="227" t="s">
        <v>81</v>
      </c>
      <c r="G696" s="228" t="s">
        <v>81</v>
      </c>
      <c r="H696" s="228" t="s">
        <v>2322</v>
      </c>
      <c r="I696" s="223" t="s">
        <v>2323</v>
      </c>
      <c r="J696" s="229">
        <v>0</v>
      </c>
      <c r="K696" s="229">
        <v>8.8000000000000007</v>
      </c>
      <c r="L696" s="229" t="s">
        <v>252</v>
      </c>
      <c r="M696" s="229" t="s">
        <v>377</v>
      </c>
      <c r="N696" s="230" t="str">
        <f>IF(ISERROR(MATCH(A696,MemMap!$A$4:$A$98,0)) = FALSE, INDEX(MemMap!$B$4:$B$98,MATCH(A696,MemMap!$A$4:$A$98,0)),IF(F696="Y","TunSetCalSeg",IF(G696="Y", "FlashCalSeg", IF(G696="N", "FlashAppSeg", ""))))</f>
        <v>TunSetCalSeg</v>
      </c>
      <c r="O696" s="220"/>
      <c r="P696" s="220"/>
      <c r="Q696" s="221"/>
      <c r="R696" s="221"/>
    </row>
    <row r="697" spans="1:18" ht="33.75" x14ac:dyDescent="0.2">
      <c r="A697" s="224" t="s">
        <v>3533</v>
      </c>
      <c r="B697" s="225" t="s">
        <v>3534</v>
      </c>
      <c r="C697" s="226" t="s">
        <v>2289</v>
      </c>
      <c r="D697" s="226" t="s">
        <v>209</v>
      </c>
      <c r="E697" s="226" t="s">
        <v>3535</v>
      </c>
      <c r="F697" s="227" t="s">
        <v>81</v>
      </c>
      <c r="G697" s="228" t="s">
        <v>81</v>
      </c>
      <c r="H697" s="228" t="s">
        <v>2312</v>
      </c>
      <c r="I697" s="223" t="s">
        <v>3536</v>
      </c>
      <c r="J697" s="229">
        <v>0</v>
      </c>
      <c r="K697" s="229">
        <v>63.999000000000002</v>
      </c>
      <c r="L697" s="229" t="s">
        <v>2313</v>
      </c>
      <c r="M697" s="229" t="s">
        <v>949</v>
      </c>
      <c r="N697" s="230" t="str">
        <f>IF(ISERROR(MATCH(A697,MemMap!$A$4:$A$98,0)) = FALSE, INDEX(MemMap!$B$4:$B$98,MATCH(A697,MemMap!$A$4:$A$98,0)),IF(F697="Y","TunSetCalSeg",IF(G697="Y", "FlashCalSeg", IF(G697="N", "FlashAppSeg", ""))))</f>
        <v>TunSetCalSeg</v>
      </c>
      <c r="O697" s="220"/>
      <c r="P697" s="220"/>
      <c r="Q697" s="221"/>
      <c r="R697" s="221"/>
    </row>
    <row r="698" spans="1:18" ht="33.75" x14ac:dyDescent="0.2">
      <c r="A698" s="224" t="s">
        <v>2293</v>
      </c>
      <c r="B698" s="225" t="s">
        <v>3537</v>
      </c>
      <c r="C698" s="226" t="s">
        <v>2289</v>
      </c>
      <c r="D698" s="226" t="s">
        <v>209</v>
      </c>
      <c r="E698" s="226" t="s">
        <v>2519</v>
      </c>
      <c r="F698" s="227" t="s">
        <v>81</v>
      </c>
      <c r="G698" s="228" t="s">
        <v>81</v>
      </c>
      <c r="H698" s="228" t="s">
        <v>2294</v>
      </c>
      <c r="I698" s="223" t="s">
        <v>2295</v>
      </c>
      <c r="J698" s="229">
        <v>0</v>
      </c>
      <c r="K698" s="229">
        <v>10</v>
      </c>
      <c r="L698" s="229" t="s">
        <v>261</v>
      </c>
      <c r="M698" s="229" t="s">
        <v>471</v>
      </c>
      <c r="N698" s="230" t="str">
        <f>IF(ISERROR(MATCH(A698,MemMap!$A$4:$A$98,0)) = FALSE, INDEX(MemMap!$B$4:$B$98,MATCH(A698,MemMap!$A$4:$A$98,0)),IF(F698="Y","TunSetCalSeg",IF(G698="Y", "FlashCalSeg", IF(G698="N", "FlashAppSeg", ""))))</f>
        <v>TunSetCalSeg</v>
      </c>
      <c r="O698" s="220"/>
      <c r="P698" s="220"/>
      <c r="Q698" s="221"/>
      <c r="R698" s="221"/>
    </row>
    <row r="699" spans="1:18" ht="33.75" x14ac:dyDescent="0.2">
      <c r="A699" s="224" t="s">
        <v>2296</v>
      </c>
      <c r="B699" s="225" t="s">
        <v>3538</v>
      </c>
      <c r="C699" s="226" t="s">
        <v>2289</v>
      </c>
      <c r="D699" s="226" t="s">
        <v>209</v>
      </c>
      <c r="E699" s="226" t="s">
        <v>2521</v>
      </c>
      <c r="F699" s="227" t="s">
        <v>81</v>
      </c>
      <c r="G699" s="228" t="s">
        <v>81</v>
      </c>
      <c r="H699" s="228" t="s">
        <v>2297</v>
      </c>
      <c r="I699" s="223" t="s">
        <v>2298</v>
      </c>
      <c r="J699" s="229">
        <v>0</v>
      </c>
      <c r="K699" s="229">
        <v>100</v>
      </c>
      <c r="L699" s="229" t="s">
        <v>2292</v>
      </c>
      <c r="M699" s="229" t="s">
        <v>653</v>
      </c>
      <c r="N699" s="230" t="str">
        <f>IF(ISERROR(MATCH(A699,MemMap!$A$4:$A$98,0)) = FALSE, INDEX(MemMap!$B$4:$B$98,MATCH(A699,MemMap!$A$4:$A$98,0)),IF(F699="Y","TunSetCalSeg",IF(G699="Y", "FlashCalSeg", IF(G699="N", "FlashAppSeg", ""))))</f>
        <v>TunSetCalSeg</v>
      </c>
      <c r="O699" s="220"/>
      <c r="P699" s="220"/>
      <c r="Q699" s="221"/>
      <c r="R699" s="221"/>
    </row>
    <row r="700" spans="1:18" ht="33.75" x14ac:dyDescent="0.2">
      <c r="A700" s="224" t="s">
        <v>2315</v>
      </c>
      <c r="B700" s="225" t="s">
        <v>3531</v>
      </c>
      <c r="C700" s="226" t="s">
        <v>2289</v>
      </c>
      <c r="D700" s="226" t="s">
        <v>209</v>
      </c>
      <c r="E700" s="226" t="s">
        <v>3532</v>
      </c>
      <c r="F700" s="227" t="s">
        <v>81</v>
      </c>
      <c r="G700" s="228" t="s">
        <v>81</v>
      </c>
      <c r="H700" s="228" t="s">
        <v>2316</v>
      </c>
      <c r="I700" s="223" t="s">
        <v>2317</v>
      </c>
      <c r="J700" s="229">
        <v>0</v>
      </c>
      <c r="K700" s="229">
        <v>1350</v>
      </c>
      <c r="L700" s="229" t="s">
        <v>259</v>
      </c>
      <c r="M700" s="229" t="s">
        <v>471</v>
      </c>
      <c r="N700" s="230" t="str">
        <f>IF(ISERROR(MATCH(A700,MemMap!$A$4:$A$98,0)) = FALSE, INDEX(MemMap!$B$4:$B$98,MATCH(A700,MemMap!$A$4:$A$98,0)),IF(F700="Y","TunSetCalSeg",IF(G700="Y", "FlashCalSeg", IF(G700="N", "FlashAppSeg", ""))))</f>
        <v>TunSetCalSeg</v>
      </c>
      <c r="O700" s="220"/>
      <c r="P700" s="220"/>
      <c r="Q700" s="221"/>
      <c r="R700" s="221"/>
    </row>
    <row r="701" spans="1:18" ht="33.75" x14ac:dyDescent="0.2">
      <c r="A701" s="224" t="s">
        <v>3543</v>
      </c>
      <c r="B701" s="225" t="s">
        <v>3544</v>
      </c>
      <c r="C701" s="226" t="s">
        <v>2289</v>
      </c>
      <c r="D701" s="226" t="s">
        <v>209</v>
      </c>
      <c r="E701" s="226" t="s">
        <v>3545</v>
      </c>
      <c r="F701" s="227" t="s">
        <v>81</v>
      </c>
      <c r="G701" s="228" t="s">
        <v>81</v>
      </c>
      <c r="H701" s="228" t="s">
        <v>2309</v>
      </c>
      <c r="I701" s="223" t="s">
        <v>3546</v>
      </c>
      <c r="J701" s="229">
        <v>0</v>
      </c>
      <c r="K701" s="229">
        <v>3.9998</v>
      </c>
      <c r="L701" s="229" t="s">
        <v>2310</v>
      </c>
      <c r="M701" s="229" t="s">
        <v>340</v>
      </c>
      <c r="N701" s="230" t="str">
        <f>IF(ISERROR(MATCH(A701,MemMap!$A$4:$A$98,0)) = FALSE, INDEX(MemMap!$B$4:$B$98,MATCH(A701,MemMap!$A$4:$A$98,0)),IF(F701="Y","TunSetCalSeg",IF(G701="Y", "FlashCalSeg", IF(G701="N", "FlashAppSeg", ""))))</f>
        <v>TunSetCalSeg</v>
      </c>
      <c r="O701" s="220"/>
      <c r="P701" s="220"/>
      <c r="Q701" s="221"/>
      <c r="R701" s="221"/>
    </row>
    <row r="702" spans="1:18" ht="33.75" x14ac:dyDescent="0.2">
      <c r="A702" s="224" t="s">
        <v>3527</v>
      </c>
      <c r="B702" s="225" t="s">
        <v>3528</v>
      </c>
      <c r="C702" s="226" t="s">
        <v>2289</v>
      </c>
      <c r="D702" s="226" t="s">
        <v>209</v>
      </c>
      <c r="E702" s="226" t="s">
        <v>3529</v>
      </c>
      <c r="F702" s="227" t="s">
        <v>81</v>
      </c>
      <c r="G702" s="228" t="s">
        <v>81</v>
      </c>
      <c r="H702" s="228" t="s">
        <v>2311</v>
      </c>
      <c r="I702" s="223" t="s">
        <v>3530</v>
      </c>
      <c r="J702" s="229">
        <v>0.01</v>
      </c>
      <c r="K702" s="229">
        <v>3.9998999999999998</v>
      </c>
      <c r="L702" s="229" t="s">
        <v>252</v>
      </c>
      <c r="M702" s="229" t="s">
        <v>336</v>
      </c>
      <c r="N702" s="230" t="str">
        <f>IF(ISERROR(MATCH(A702,MemMap!$A$4:$A$98,0)) = FALSE, INDEX(MemMap!$B$4:$B$98,MATCH(A702,MemMap!$A$4:$A$98,0)),IF(F702="Y","TunSetCalSeg",IF(G702="Y", "FlashCalSeg", IF(G702="N", "FlashAppSeg", ""))))</f>
        <v>TunSetCalSeg</v>
      </c>
      <c r="O702" s="220"/>
      <c r="P702" s="220"/>
      <c r="Q702" s="221"/>
      <c r="R702" s="221"/>
    </row>
    <row r="703" spans="1:18" ht="33.75" x14ac:dyDescent="0.2">
      <c r="A703" s="224" t="s">
        <v>2299</v>
      </c>
      <c r="B703" s="225" t="s">
        <v>3552</v>
      </c>
      <c r="C703" s="226" t="s">
        <v>2289</v>
      </c>
      <c r="D703" s="226" t="s">
        <v>209</v>
      </c>
      <c r="E703" s="226" t="s">
        <v>3553</v>
      </c>
      <c r="F703" s="227" t="s">
        <v>81</v>
      </c>
      <c r="G703" s="228" t="s">
        <v>81</v>
      </c>
      <c r="H703" s="228" t="s">
        <v>2300</v>
      </c>
      <c r="I703" s="223" t="s">
        <v>2301</v>
      </c>
      <c r="J703" s="229">
        <v>0</v>
      </c>
      <c r="K703" s="229">
        <v>1</v>
      </c>
      <c r="L703" s="229" t="s">
        <v>256</v>
      </c>
      <c r="M703" s="229" t="s">
        <v>254</v>
      </c>
      <c r="N703" s="230" t="str">
        <f>IF(ISERROR(MATCH(A703,MemMap!$A$4:$A$98,0)) = FALSE, INDEX(MemMap!$B$4:$B$98,MATCH(A703,MemMap!$A$4:$A$98,0)),IF(F703="Y","TunSetCalSeg",IF(G703="Y", "FlashCalSeg", IF(G703="N", "FlashAppSeg", ""))))</f>
        <v>TunSetCalSeg</v>
      </c>
      <c r="O703" s="220"/>
      <c r="P703" s="220"/>
      <c r="Q703" s="221"/>
      <c r="R703" s="221"/>
    </row>
    <row r="704" spans="1:18" ht="33.75" x14ac:dyDescent="0.2">
      <c r="A704" s="224" t="s">
        <v>2302</v>
      </c>
      <c r="B704" s="225" t="s">
        <v>3554</v>
      </c>
      <c r="C704" s="226" t="s">
        <v>2289</v>
      </c>
      <c r="D704" s="226" t="s">
        <v>209</v>
      </c>
      <c r="E704" s="226" t="s">
        <v>3555</v>
      </c>
      <c r="F704" s="227" t="s">
        <v>81</v>
      </c>
      <c r="G704" s="228" t="s">
        <v>81</v>
      </c>
      <c r="H704" s="228" t="s">
        <v>2303</v>
      </c>
      <c r="I704" s="223" t="s">
        <v>2304</v>
      </c>
      <c r="J704" s="229">
        <v>0</v>
      </c>
      <c r="K704" s="229">
        <v>1</v>
      </c>
      <c r="L704" s="229" t="s">
        <v>256</v>
      </c>
      <c r="M704" s="229" t="s">
        <v>254</v>
      </c>
      <c r="N704" s="230" t="str">
        <f>IF(ISERROR(MATCH(A704,MemMap!$A$4:$A$98,0)) = FALSE, INDEX(MemMap!$B$4:$B$98,MATCH(A704,MemMap!$A$4:$A$98,0)),IF(F704="Y","TunSetCalSeg",IF(G704="Y", "FlashCalSeg", IF(G704="N", "FlashAppSeg", ""))))</f>
        <v>TunSetCalSeg</v>
      </c>
      <c r="O704" s="220"/>
      <c r="P704" s="220"/>
      <c r="Q704" s="221"/>
      <c r="R704" s="221"/>
    </row>
    <row r="705" spans="1:18" ht="112.5" x14ac:dyDescent="0.2">
      <c r="A705" s="224" t="s">
        <v>3556</v>
      </c>
      <c r="B705" s="225" t="s">
        <v>3557</v>
      </c>
      <c r="C705" s="226" t="s">
        <v>2289</v>
      </c>
      <c r="D705" s="226" t="s">
        <v>209</v>
      </c>
      <c r="E705" s="226" t="s">
        <v>3558</v>
      </c>
      <c r="F705" s="227" t="s">
        <v>81</v>
      </c>
      <c r="G705" s="228" t="s">
        <v>81</v>
      </c>
      <c r="H705" s="228" t="s">
        <v>2306</v>
      </c>
      <c r="I705" s="223" t="s">
        <v>3559</v>
      </c>
      <c r="J705" s="229">
        <v>0</v>
      </c>
      <c r="K705" s="229">
        <v>511</v>
      </c>
      <c r="L705" s="229" t="s">
        <v>296</v>
      </c>
      <c r="M705" s="229" t="s">
        <v>336</v>
      </c>
      <c r="N705" s="230" t="str">
        <f>IF(ISERROR(MATCH(A705,MemMap!$A$4:$A$98,0)) = FALSE, INDEX(MemMap!$B$4:$B$98,MATCH(A705,MemMap!$A$4:$A$98,0)),IF(F705="Y","TunSetCalSeg",IF(G705="Y", "FlashCalSeg", IF(G705="N", "FlashAppSeg", ""))))</f>
        <v>TunSetCalSeg</v>
      </c>
      <c r="O705" s="220"/>
      <c r="P705" s="220"/>
      <c r="Q705" s="221"/>
      <c r="R705" s="221"/>
    </row>
    <row r="706" spans="1:18" ht="236.25" x14ac:dyDescent="0.2">
      <c r="A706" s="224" t="s">
        <v>3560</v>
      </c>
      <c r="B706" s="225" t="s">
        <v>3561</v>
      </c>
      <c r="C706" s="226" t="s">
        <v>2289</v>
      </c>
      <c r="D706" s="226" t="s">
        <v>209</v>
      </c>
      <c r="E706" s="226" t="s">
        <v>3562</v>
      </c>
      <c r="F706" s="227" t="s">
        <v>81</v>
      </c>
      <c r="G706" s="228" t="s">
        <v>81</v>
      </c>
      <c r="H706" s="228" t="s">
        <v>2318</v>
      </c>
      <c r="I706" s="223" t="s">
        <v>3563</v>
      </c>
      <c r="J706" s="229">
        <v>0</v>
      </c>
      <c r="K706" s="229">
        <v>7.9997999999999996</v>
      </c>
      <c r="L706" s="229" t="s">
        <v>252</v>
      </c>
      <c r="M706" s="229" t="s">
        <v>675</v>
      </c>
      <c r="N706" s="230" t="str">
        <f>IF(ISERROR(MATCH(A706,MemMap!$A$4:$A$98,0)) = FALSE, INDEX(MemMap!$B$4:$B$98,MATCH(A706,MemMap!$A$4:$A$98,0)),IF(F706="Y","TunSetCalSeg",IF(G706="Y", "FlashCalSeg", IF(G706="N", "FlashAppSeg", ""))))</f>
        <v>TunSetCalSeg</v>
      </c>
      <c r="O706" s="220"/>
      <c r="P706" s="220"/>
      <c r="Q706" s="221"/>
      <c r="R706" s="221"/>
    </row>
    <row r="707" spans="1:18" ht="56.25" x14ac:dyDescent="0.2">
      <c r="A707" s="224" t="s">
        <v>3516</v>
      </c>
      <c r="B707" s="225" t="s">
        <v>3517</v>
      </c>
      <c r="C707" s="226" t="s">
        <v>2289</v>
      </c>
      <c r="D707" s="226" t="s">
        <v>209</v>
      </c>
      <c r="E707" s="226" t="s">
        <v>3518</v>
      </c>
      <c r="F707" s="227" t="s">
        <v>81</v>
      </c>
      <c r="G707" s="228" t="s">
        <v>81</v>
      </c>
      <c r="H707" s="228" t="s">
        <v>2307</v>
      </c>
      <c r="I707" s="223" t="s">
        <v>3519</v>
      </c>
      <c r="J707" s="229">
        <v>0</v>
      </c>
      <c r="K707" s="229">
        <v>511</v>
      </c>
      <c r="L707" s="229" t="s">
        <v>264</v>
      </c>
      <c r="M707" s="229" t="s">
        <v>653</v>
      </c>
      <c r="N707" s="230" t="str">
        <f>IF(ISERROR(MATCH(A707,MemMap!$A$4:$A$98,0)) = FALSE, INDEX(MemMap!$B$4:$B$98,MATCH(A707,MemMap!$A$4:$A$98,0)),IF(F707="Y","TunSetCalSeg",IF(G707="Y", "FlashCalSeg", IF(G707="N", "FlashAppSeg", ""))))</f>
        <v>TunSetCalSeg</v>
      </c>
      <c r="O707" s="220"/>
      <c r="P707" s="221"/>
      <c r="Q707" s="221"/>
      <c r="R707" s="221"/>
    </row>
    <row r="708" spans="1:18" ht="90" x14ac:dyDescent="0.2">
      <c r="A708" s="224" t="s">
        <v>3564</v>
      </c>
      <c r="B708" s="225" t="s">
        <v>3565</v>
      </c>
      <c r="C708" s="226" t="s">
        <v>2289</v>
      </c>
      <c r="D708" s="226" t="s">
        <v>209</v>
      </c>
      <c r="E708" s="226" t="s">
        <v>3566</v>
      </c>
      <c r="F708" s="227" t="s">
        <v>81</v>
      </c>
      <c r="G708" s="228" t="s">
        <v>81</v>
      </c>
      <c r="H708" s="228" t="s">
        <v>2308</v>
      </c>
      <c r="I708" s="223" t="s">
        <v>3567</v>
      </c>
      <c r="J708" s="229">
        <v>0</v>
      </c>
      <c r="K708" s="229">
        <v>15.999700000000001</v>
      </c>
      <c r="L708" s="229" t="s">
        <v>252</v>
      </c>
      <c r="M708" s="229" t="s">
        <v>336</v>
      </c>
      <c r="N708" s="230" t="str">
        <f>IF(ISERROR(MATCH(A708,MemMap!$A$4:$A$98,0)) = FALSE, INDEX(MemMap!$B$4:$B$98,MATCH(A708,MemMap!$A$4:$A$98,0)),IF(F708="Y","TunSetCalSeg",IF(G708="Y", "FlashCalSeg", IF(G708="N", "FlashAppSeg", ""))))</f>
        <v>TunSetCalSeg</v>
      </c>
      <c r="O708" s="220"/>
      <c r="P708" s="221"/>
      <c r="Q708" s="221"/>
      <c r="R708" s="221"/>
    </row>
    <row r="709" spans="1:18" x14ac:dyDescent="0.2">
      <c r="A709" s="224" t="s">
        <v>3181</v>
      </c>
      <c r="B709" s="225" t="s">
        <v>3181</v>
      </c>
      <c r="C709" s="226" t="s">
        <v>3183</v>
      </c>
      <c r="D709" s="226" t="s">
        <v>3236</v>
      </c>
      <c r="E709" s="226" t="s">
        <v>3182</v>
      </c>
      <c r="F709" s="227" t="s">
        <v>81</v>
      </c>
      <c r="G709" s="228" t="s">
        <v>81</v>
      </c>
      <c r="H709" s="228"/>
      <c r="I709" s="223">
        <v>20</v>
      </c>
      <c r="J709" s="229">
        <v>0</v>
      </c>
      <c r="K709" s="229">
        <v>30</v>
      </c>
      <c r="L709" s="229" t="s">
        <v>264</v>
      </c>
      <c r="M709" s="229" t="s">
        <v>257</v>
      </c>
      <c r="N709" s="230" t="str">
        <f>IF(ISERROR(MATCH(A709,MemMap!$A$4:$A$98,0)) = FALSE, INDEX(MemMap!$B$4:$B$98,MATCH(A709,MemMap!$A$4:$A$98,0)),IF(F709="Y","TunSetCalSeg",IF(G709="Y", "FlashCalSeg", IF(G709="N", "FlashAppSeg", ""))))</f>
        <v>TunSetCalSeg</v>
      </c>
      <c r="O709" s="220"/>
      <c r="P709" s="221"/>
      <c r="Q709" s="221"/>
      <c r="R709" s="221"/>
    </row>
    <row r="710" spans="1:18" x14ac:dyDescent="0.2">
      <c r="A710" s="224" t="s">
        <v>3184</v>
      </c>
      <c r="B710" s="225" t="s">
        <v>3184</v>
      </c>
      <c r="C710" s="226" t="s">
        <v>3183</v>
      </c>
      <c r="D710" s="226" t="s">
        <v>3236</v>
      </c>
      <c r="E710" s="226" t="s">
        <v>3185</v>
      </c>
      <c r="F710" s="227" t="s">
        <v>81</v>
      </c>
      <c r="G710" s="228" t="s">
        <v>81</v>
      </c>
      <c r="H710" s="228"/>
      <c r="I710" s="223">
        <v>8</v>
      </c>
      <c r="J710" s="229">
        <v>0</v>
      </c>
      <c r="K710" s="229">
        <v>30</v>
      </c>
      <c r="L710" s="229" t="s">
        <v>264</v>
      </c>
      <c r="M710" s="229" t="s">
        <v>257</v>
      </c>
      <c r="N710" s="230" t="str">
        <f>IF(ISERROR(MATCH(A710,MemMap!$A$4:$A$98,0)) = FALSE, INDEX(MemMap!$B$4:$B$98,MATCH(A710,MemMap!$A$4:$A$98,0)),IF(F710="Y","TunSetCalSeg",IF(G710="Y", "FlashCalSeg", IF(G710="N", "FlashAppSeg", ""))))</f>
        <v>TunSetCalSeg</v>
      </c>
      <c r="O710" s="220"/>
      <c r="P710" s="221"/>
      <c r="Q710" s="221"/>
      <c r="R710" s="221"/>
    </row>
    <row r="711" spans="1:18" x14ac:dyDescent="0.2">
      <c r="A711" s="224" t="s">
        <v>3186</v>
      </c>
      <c r="B711" s="225" t="s">
        <v>3186</v>
      </c>
      <c r="C711" s="226" t="s">
        <v>3183</v>
      </c>
      <c r="D711" s="226" t="s">
        <v>3236</v>
      </c>
      <c r="E711" s="226" t="s">
        <v>3187</v>
      </c>
      <c r="F711" s="227" t="s">
        <v>81</v>
      </c>
      <c r="G711" s="228" t="s">
        <v>81</v>
      </c>
      <c r="H711" s="228"/>
      <c r="I711" s="223">
        <v>2</v>
      </c>
      <c r="J711" s="229">
        <v>0</v>
      </c>
      <c r="K711" s="229">
        <v>20</v>
      </c>
      <c r="L711" s="229" t="s">
        <v>264</v>
      </c>
      <c r="M711" s="229" t="s">
        <v>257</v>
      </c>
      <c r="N711" s="230" t="str">
        <f>IF(ISERROR(MATCH(A711,MemMap!$A$4:$A$98,0)) = FALSE, INDEX(MemMap!$B$4:$B$98,MATCH(A711,MemMap!$A$4:$A$98,0)),IF(F711="Y","TunSetCalSeg",IF(G711="Y", "FlashCalSeg", IF(G711="N", "FlashAppSeg", ""))))</f>
        <v>TunSetCalSeg</v>
      </c>
      <c r="O711" s="220"/>
      <c r="P711" s="221"/>
      <c r="Q711" s="221"/>
      <c r="R711" s="221"/>
    </row>
    <row r="712" spans="1:18" x14ac:dyDescent="0.2">
      <c r="A712" s="224" t="s">
        <v>3251</v>
      </c>
      <c r="B712" s="225" t="s">
        <v>3188</v>
      </c>
      <c r="C712" s="226" t="s">
        <v>3183</v>
      </c>
      <c r="D712" s="226" t="s">
        <v>3236</v>
      </c>
      <c r="E712" s="226" t="s">
        <v>3189</v>
      </c>
      <c r="F712" s="227" t="s">
        <v>81</v>
      </c>
      <c r="G712" s="228" t="s">
        <v>81</v>
      </c>
      <c r="H712" s="228"/>
      <c r="I712" s="223">
        <v>1</v>
      </c>
      <c r="J712" s="229">
        <v>0</v>
      </c>
      <c r="K712" s="229">
        <v>20</v>
      </c>
      <c r="L712" s="229" t="s">
        <v>264</v>
      </c>
      <c r="M712" s="229" t="s">
        <v>257</v>
      </c>
      <c r="N712" s="230" t="str">
        <f>IF(ISERROR(MATCH(A712,MemMap!$A$4:$A$98,0)) = FALSE, INDEX(MemMap!$B$4:$B$98,MATCH(A712,MemMap!$A$4:$A$98,0)),IF(F712="Y","TunSetCalSeg",IF(G712="Y", "FlashCalSeg", IF(G712="N", "FlashAppSeg", ""))))</f>
        <v>TunSetCalSeg</v>
      </c>
      <c r="O712" s="220"/>
      <c r="P712" s="221"/>
      <c r="Q712" s="221"/>
      <c r="R712" s="221"/>
    </row>
    <row r="713" spans="1:18" x14ac:dyDescent="0.2">
      <c r="A713" s="224" t="s">
        <v>3190</v>
      </c>
      <c r="B713" s="225" t="s">
        <v>3190</v>
      </c>
      <c r="C713" s="226" t="s">
        <v>3183</v>
      </c>
      <c r="D713" s="226" t="s">
        <v>3236</v>
      </c>
      <c r="E713" s="226" t="s">
        <v>3191</v>
      </c>
      <c r="F713" s="227" t="s">
        <v>81</v>
      </c>
      <c r="G713" s="228" t="s">
        <v>81</v>
      </c>
      <c r="H713" s="228"/>
      <c r="I713" s="223">
        <v>10</v>
      </c>
      <c r="J713" s="229">
        <v>0</v>
      </c>
      <c r="K713" s="229">
        <v>500</v>
      </c>
      <c r="L713" s="229" t="s">
        <v>258</v>
      </c>
      <c r="M713" s="229" t="s">
        <v>257</v>
      </c>
      <c r="N713" s="230" t="str">
        <f>IF(ISERROR(MATCH(A713,MemMap!$A$4:$A$98,0)) = FALSE, INDEX(MemMap!$B$4:$B$98,MATCH(A713,MemMap!$A$4:$A$98,0)),IF(F713="Y","TunSetCalSeg",IF(G713="Y", "FlashCalSeg", IF(G713="N", "FlashAppSeg", ""))))</f>
        <v>TunSetCalSeg</v>
      </c>
      <c r="O713" s="220"/>
      <c r="P713" s="221"/>
      <c r="Q713" s="221"/>
      <c r="R713" s="221"/>
    </row>
    <row r="714" spans="1:18" x14ac:dyDescent="0.2">
      <c r="A714" s="224" t="s">
        <v>3192</v>
      </c>
      <c r="B714" s="225" t="s">
        <v>3192</v>
      </c>
      <c r="C714" s="226" t="s">
        <v>3183</v>
      </c>
      <c r="D714" s="226" t="s">
        <v>3236</v>
      </c>
      <c r="E714" s="226" t="s">
        <v>3193</v>
      </c>
      <c r="F714" s="227" t="s">
        <v>81</v>
      </c>
      <c r="G714" s="228" t="s">
        <v>81</v>
      </c>
      <c r="H714" s="228"/>
      <c r="I714" s="223">
        <v>2</v>
      </c>
      <c r="J714" s="229">
        <v>0</v>
      </c>
      <c r="K714" s="229">
        <v>500</v>
      </c>
      <c r="L714" s="229" t="s">
        <v>264</v>
      </c>
      <c r="M714" s="229" t="s">
        <v>257</v>
      </c>
      <c r="N714" s="230" t="str">
        <f>IF(ISERROR(MATCH(A714,MemMap!$A$4:$A$98,0)) = FALSE, INDEX(MemMap!$B$4:$B$98,MATCH(A714,MemMap!$A$4:$A$98,0)),IF(F714="Y","TunSetCalSeg",IF(G714="Y", "FlashCalSeg", IF(G714="N", "FlashAppSeg", ""))))</f>
        <v>TunSetCalSeg</v>
      </c>
      <c r="O714" s="220"/>
      <c r="P714" s="221"/>
      <c r="Q714" s="221"/>
      <c r="R714" s="221"/>
    </row>
    <row r="715" spans="1:18" x14ac:dyDescent="0.2">
      <c r="A715" s="224" t="s">
        <v>3194</v>
      </c>
      <c r="B715" s="225" t="s">
        <v>3194</v>
      </c>
      <c r="C715" s="226" t="s">
        <v>3183</v>
      </c>
      <c r="D715" s="226" t="s">
        <v>3236</v>
      </c>
      <c r="E715" s="226" t="s">
        <v>3195</v>
      </c>
      <c r="F715" s="227" t="s">
        <v>81</v>
      </c>
      <c r="G715" s="228" t="s">
        <v>81</v>
      </c>
      <c r="H715" s="228"/>
      <c r="I715" s="223">
        <v>15</v>
      </c>
      <c r="J715" s="229">
        <v>0</v>
      </c>
      <c r="K715" s="229">
        <v>500</v>
      </c>
      <c r="L715" s="229" t="s">
        <v>258</v>
      </c>
      <c r="M715" s="229" t="s">
        <v>257</v>
      </c>
      <c r="N715" s="230" t="str">
        <f>IF(ISERROR(MATCH(A715,MemMap!$A$4:$A$98,0)) = FALSE, INDEX(MemMap!$B$4:$B$98,MATCH(A715,MemMap!$A$4:$A$98,0)),IF(F715="Y","TunSetCalSeg",IF(G715="Y", "FlashCalSeg", IF(G715="N", "FlashAppSeg", ""))))</f>
        <v>TunSetCalSeg</v>
      </c>
      <c r="O715" s="220"/>
      <c r="P715" s="221"/>
      <c r="Q715" s="221"/>
      <c r="R715" s="221"/>
    </row>
    <row r="716" spans="1:18" x14ac:dyDescent="0.2">
      <c r="A716" s="224" t="s">
        <v>3255</v>
      </c>
      <c r="B716" s="225" t="s">
        <v>3255</v>
      </c>
      <c r="C716" s="226" t="s">
        <v>3183</v>
      </c>
      <c r="D716" s="226" t="s">
        <v>3236</v>
      </c>
      <c r="E716" s="226" t="s">
        <v>3256</v>
      </c>
      <c r="F716" s="227" t="s">
        <v>81</v>
      </c>
      <c r="G716" s="228" t="s">
        <v>81</v>
      </c>
      <c r="H716" s="228"/>
      <c r="I716" s="223">
        <v>1630</v>
      </c>
      <c r="J716" s="229">
        <v>-1630</v>
      </c>
      <c r="K716" s="229">
        <v>1630</v>
      </c>
      <c r="L716" s="229" t="s">
        <v>264</v>
      </c>
      <c r="M716" s="229" t="s">
        <v>257</v>
      </c>
      <c r="N716" s="230" t="str">
        <f>IF(ISERROR(MATCH(A716,MemMap!$A$4:$A$98,0)) = FALSE, INDEX(MemMap!$B$4:$B$98,MATCH(A716,MemMap!$A$4:$A$98,0)),IF(F716="Y","TunSetCalSeg",IF(G716="Y", "FlashCalSeg", IF(G716="N", "FlashAppSeg", ""))))</f>
        <v>TunSetCalSeg</v>
      </c>
      <c r="O716" s="220"/>
      <c r="P716" s="221"/>
      <c r="Q716" s="221"/>
      <c r="R716" s="221"/>
    </row>
    <row r="717" spans="1:18" x14ac:dyDescent="0.2">
      <c r="A717" s="224" t="s">
        <v>3258</v>
      </c>
      <c r="B717" s="225" t="s">
        <v>3258</v>
      </c>
      <c r="C717" s="226" t="s">
        <v>3183</v>
      </c>
      <c r="D717" s="226" t="s">
        <v>3236</v>
      </c>
      <c r="E717" s="226" t="s">
        <v>3259</v>
      </c>
      <c r="F717" s="227" t="s">
        <v>81</v>
      </c>
      <c r="G717" s="228" t="s">
        <v>81</v>
      </c>
      <c r="H717" s="228"/>
      <c r="I717" s="223">
        <v>0</v>
      </c>
      <c r="J717" s="229">
        <v>0</v>
      </c>
      <c r="K717" s="229">
        <v>2</v>
      </c>
      <c r="L717" s="229" t="s">
        <v>267</v>
      </c>
      <c r="M717" s="229" t="s">
        <v>938</v>
      </c>
      <c r="N717" s="230" t="str">
        <f>IF(ISERROR(MATCH(A717,MemMap!$A$4:$A$98,0)) = FALSE, INDEX(MemMap!$B$4:$B$98,MATCH(A717,MemMap!$A$4:$A$98,0)),IF(F717="Y","TunSetCalSeg",IF(G717="Y", "FlashCalSeg", IF(G717="N", "FlashAppSeg", ""))))</f>
        <v>TunSetCalSeg</v>
      </c>
      <c r="O717" s="220"/>
      <c r="P717" s="221"/>
      <c r="Q717" s="221"/>
      <c r="R717" s="221"/>
    </row>
    <row r="718" spans="1:18" x14ac:dyDescent="0.2">
      <c r="A718" s="224" t="s">
        <v>3257</v>
      </c>
      <c r="B718" s="225" t="s">
        <v>3257</v>
      </c>
      <c r="C718" s="226" t="s">
        <v>3183</v>
      </c>
      <c r="D718" s="226" t="s">
        <v>3236</v>
      </c>
      <c r="E718" s="226" t="s">
        <v>3256</v>
      </c>
      <c r="F718" s="227" t="s">
        <v>81</v>
      </c>
      <c r="G718" s="228" t="s">
        <v>81</v>
      </c>
      <c r="H718" s="228"/>
      <c r="I718" s="223">
        <v>-1630</v>
      </c>
      <c r="J718" s="229">
        <v>-1630</v>
      </c>
      <c r="K718" s="229">
        <v>1630</v>
      </c>
      <c r="L718" s="229" t="s">
        <v>264</v>
      </c>
      <c r="M718" s="229" t="s">
        <v>257</v>
      </c>
      <c r="N718" s="230" t="str">
        <f>IF(ISERROR(MATCH(A718,MemMap!$A$4:$A$98,0)) = FALSE, INDEX(MemMap!$B$4:$B$98,MATCH(A718,MemMap!$A$4:$A$98,0)),IF(F718="Y","TunSetCalSeg",IF(G718="Y", "FlashCalSeg", IF(G718="N", "FlashAppSeg", ""))))</f>
        <v>TunSetCalSeg</v>
      </c>
      <c r="O718" s="220"/>
      <c r="P718" s="221"/>
      <c r="Q718" s="221"/>
      <c r="R718" s="221"/>
    </row>
    <row r="719" spans="1:18" x14ac:dyDescent="0.2">
      <c r="A719" s="224" t="s">
        <v>3260</v>
      </c>
      <c r="B719" s="225" t="s">
        <v>3260</v>
      </c>
      <c r="C719" s="226" t="s">
        <v>3183</v>
      </c>
      <c r="D719" s="226" t="s">
        <v>3236</v>
      </c>
      <c r="E719" s="226" t="s">
        <v>3261</v>
      </c>
      <c r="F719" s="227" t="s">
        <v>81</v>
      </c>
      <c r="G719" s="228" t="s">
        <v>81</v>
      </c>
      <c r="H719" s="228"/>
      <c r="I719" s="223">
        <v>0</v>
      </c>
      <c r="J719" s="229">
        <v>0</v>
      </c>
      <c r="K719" s="229">
        <v>2</v>
      </c>
      <c r="L719" s="229" t="s">
        <v>267</v>
      </c>
      <c r="M719" s="229" t="s">
        <v>938</v>
      </c>
      <c r="N719" s="230" t="str">
        <f>IF(ISERROR(MATCH(A719,MemMap!$A$4:$A$98,0)) = FALSE, INDEX(MemMap!$B$4:$B$98,MATCH(A719,MemMap!$A$4:$A$98,0)),IF(F719="Y","TunSetCalSeg",IF(G719="Y", "FlashCalSeg", IF(G719="N", "FlashAppSeg", ""))))</f>
        <v>TunSetCalSeg</v>
      </c>
      <c r="O719" s="220"/>
      <c r="P719" s="221"/>
      <c r="Q719" s="221"/>
      <c r="R719" s="221"/>
    </row>
    <row r="720" spans="1:18" x14ac:dyDescent="0.2">
      <c r="A720" s="224" t="s">
        <v>3196</v>
      </c>
      <c r="B720" s="225" t="s">
        <v>3196</v>
      </c>
      <c r="C720" s="226" t="s">
        <v>3183</v>
      </c>
      <c r="D720" s="226" t="s">
        <v>3236</v>
      </c>
      <c r="E720" s="226" t="s">
        <v>3197</v>
      </c>
      <c r="F720" s="227" t="s">
        <v>81</v>
      </c>
      <c r="G720" s="228" t="s">
        <v>81</v>
      </c>
      <c r="H720" s="228"/>
      <c r="I720" s="223">
        <v>-1</v>
      </c>
      <c r="J720" s="229">
        <v>-1</v>
      </c>
      <c r="K720" s="229">
        <v>1</v>
      </c>
      <c r="L720" s="229" t="s">
        <v>264</v>
      </c>
      <c r="M720" s="229" t="s">
        <v>257</v>
      </c>
      <c r="N720" s="230" t="str">
        <f>IF(ISERROR(MATCH(A720,MemMap!$A$4:$A$98,0)) = FALSE, INDEX(MemMap!$B$4:$B$98,MATCH(A720,MemMap!$A$4:$A$98,0)),IF(F720="Y","TunSetCalSeg",IF(G720="Y", "FlashCalSeg", IF(G720="N", "FlashAppSeg", ""))))</f>
        <v>TunSetCalSeg</v>
      </c>
      <c r="O720" s="220"/>
      <c r="P720" s="221"/>
      <c r="Q720" s="221"/>
      <c r="R720" s="221"/>
    </row>
    <row r="721" spans="1:18" x14ac:dyDescent="0.2">
      <c r="A721" s="224" t="s">
        <v>3198</v>
      </c>
      <c r="B721" s="225" t="s">
        <v>3198</v>
      </c>
      <c r="C721" s="226" t="s">
        <v>3183</v>
      </c>
      <c r="D721" s="226" t="s">
        <v>3236</v>
      </c>
      <c r="E721" s="226" t="s">
        <v>3199</v>
      </c>
      <c r="F721" s="227" t="s">
        <v>81</v>
      </c>
      <c r="G721" s="228" t="s">
        <v>81</v>
      </c>
      <c r="H721" s="228"/>
      <c r="I721" s="223">
        <v>17</v>
      </c>
      <c r="J721" s="229">
        <v>0</v>
      </c>
      <c r="K721" s="229">
        <v>500</v>
      </c>
      <c r="L721" s="229" t="s">
        <v>258</v>
      </c>
      <c r="M721" s="229" t="s">
        <v>257</v>
      </c>
      <c r="N721" s="230" t="str">
        <f>IF(ISERROR(MATCH(A721,MemMap!$A$4:$A$98,0)) = FALSE, INDEX(MemMap!$B$4:$B$98,MATCH(A721,MemMap!$A$4:$A$98,0)),IF(F721="Y","TunSetCalSeg",IF(G721="Y", "FlashCalSeg", IF(G721="N", "FlashAppSeg", ""))))</f>
        <v>TunSetCalSeg</v>
      </c>
      <c r="O721" s="220"/>
      <c r="P721" s="221"/>
      <c r="Q721" s="221"/>
      <c r="R721" s="221"/>
    </row>
    <row r="722" spans="1:18" ht="22.5" x14ac:dyDescent="0.2">
      <c r="A722" s="224" t="s">
        <v>3200</v>
      </c>
      <c r="B722" s="225" t="s">
        <v>3200</v>
      </c>
      <c r="C722" s="226" t="s">
        <v>3183</v>
      </c>
      <c r="D722" s="226" t="s">
        <v>3236</v>
      </c>
      <c r="E722" s="226" t="s">
        <v>3201</v>
      </c>
      <c r="F722" s="227" t="s">
        <v>81</v>
      </c>
      <c r="G722" s="228" t="s">
        <v>81</v>
      </c>
      <c r="H722" s="228"/>
      <c r="I722" s="223">
        <v>0.5</v>
      </c>
      <c r="J722" s="229">
        <v>0</v>
      </c>
      <c r="K722" s="229">
        <v>10</v>
      </c>
      <c r="L722" s="229" t="s">
        <v>261</v>
      </c>
      <c r="M722" s="229" t="s">
        <v>257</v>
      </c>
      <c r="N722" s="230" t="str">
        <f>IF(ISERROR(MATCH(A722,MemMap!$A$4:$A$98,0)) = FALSE, INDEX(MemMap!$B$4:$B$98,MATCH(A722,MemMap!$A$4:$A$98,0)),IF(F722="Y","TunSetCalSeg",IF(G722="Y", "FlashCalSeg", IF(G722="N", "FlashAppSeg", ""))))</f>
        <v>TunSetCalSeg</v>
      </c>
      <c r="O722" s="220"/>
      <c r="P722" s="221"/>
      <c r="Q722" s="221"/>
      <c r="R722" s="221"/>
    </row>
    <row r="723" spans="1:18" x14ac:dyDescent="0.2">
      <c r="A723" s="224" t="s">
        <v>3202</v>
      </c>
      <c r="B723" s="225" t="s">
        <v>3202</v>
      </c>
      <c r="C723" s="226" t="s">
        <v>3183</v>
      </c>
      <c r="D723" s="226" t="s">
        <v>3236</v>
      </c>
      <c r="E723" s="226" t="s">
        <v>3203</v>
      </c>
      <c r="F723" s="227" t="s">
        <v>81</v>
      </c>
      <c r="G723" s="228" t="s">
        <v>81</v>
      </c>
      <c r="H723" s="228"/>
      <c r="I723" s="223">
        <v>0.01</v>
      </c>
      <c r="J723" s="229">
        <v>0</v>
      </c>
      <c r="K723" s="229">
        <v>0.5</v>
      </c>
      <c r="L723" s="229" t="s">
        <v>259</v>
      </c>
      <c r="M723" s="229" t="s">
        <v>257</v>
      </c>
      <c r="N723" s="230" t="str">
        <f>IF(ISERROR(MATCH(A723,MemMap!$A$4:$A$98,0)) = FALSE, INDEX(MemMap!$B$4:$B$98,MATCH(A723,MemMap!$A$4:$A$98,0)),IF(F723="Y","TunSetCalSeg",IF(G723="Y", "FlashCalSeg", IF(G723="N", "FlashAppSeg", ""))))</f>
        <v>TunSetCalSeg</v>
      </c>
      <c r="O723" s="220"/>
      <c r="P723" s="221"/>
      <c r="Q723" s="221"/>
      <c r="R723" s="221"/>
    </row>
    <row r="724" spans="1:18" x14ac:dyDescent="0.2">
      <c r="A724" s="224" t="s">
        <v>3204</v>
      </c>
      <c r="B724" s="225" t="s">
        <v>3204</v>
      </c>
      <c r="C724" s="226" t="s">
        <v>3183</v>
      </c>
      <c r="D724" s="226" t="s">
        <v>3236</v>
      </c>
      <c r="E724" s="226" t="s">
        <v>3205</v>
      </c>
      <c r="F724" s="227" t="s">
        <v>81</v>
      </c>
      <c r="G724" s="228" t="s">
        <v>81</v>
      </c>
      <c r="H724" s="228"/>
      <c r="I724" s="223">
        <v>0.7</v>
      </c>
      <c r="J724" s="229">
        <v>-3</v>
      </c>
      <c r="K724" s="229">
        <v>10</v>
      </c>
      <c r="L724" s="229" t="s">
        <v>261</v>
      </c>
      <c r="M724" s="229" t="s">
        <v>257</v>
      </c>
      <c r="N724" s="230" t="str">
        <f>IF(ISERROR(MATCH(A724,MemMap!$A$4:$A$98,0)) = FALSE, INDEX(MemMap!$B$4:$B$98,MATCH(A724,MemMap!$A$4:$A$98,0)),IF(F724="Y","TunSetCalSeg",IF(G724="Y", "FlashCalSeg", IF(G724="N", "FlashAppSeg", ""))))</f>
        <v>TunSetCalSeg</v>
      </c>
      <c r="O724" s="220"/>
      <c r="P724" s="221"/>
      <c r="Q724" s="221"/>
      <c r="R724" s="221"/>
    </row>
    <row r="725" spans="1:18" x14ac:dyDescent="0.2">
      <c r="A725" s="224" t="s">
        <v>3206</v>
      </c>
      <c r="B725" s="225" t="s">
        <v>3206</v>
      </c>
      <c r="C725" s="226" t="s">
        <v>3183</v>
      </c>
      <c r="D725" s="226" t="s">
        <v>3236</v>
      </c>
      <c r="E725" s="226" t="s">
        <v>3207</v>
      </c>
      <c r="F725" s="227" t="s">
        <v>81</v>
      </c>
      <c r="G725" s="228" t="s">
        <v>81</v>
      </c>
      <c r="H725" s="228"/>
      <c r="I725" s="223">
        <v>3</v>
      </c>
      <c r="J725" s="229">
        <v>0</v>
      </c>
      <c r="K725" s="229">
        <v>10</v>
      </c>
      <c r="L725" s="229" t="s">
        <v>296</v>
      </c>
      <c r="M725" s="229" t="s">
        <v>257</v>
      </c>
      <c r="N725" s="230" t="str">
        <f>IF(ISERROR(MATCH(A725,MemMap!$A$4:$A$98,0)) = FALSE, INDEX(MemMap!$B$4:$B$98,MATCH(A725,MemMap!$A$4:$A$98,0)),IF(F725="Y","TunSetCalSeg",IF(G725="Y", "FlashCalSeg", IF(G725="N", "FlashAppSeg", ""))))</f>
        <v>TunSetCalSeg</v>
      </c>
      <c r="O725" s="220"/>
      <c r="P725" s="221"/>
      <c r="Q725" s="221"/>
      <c r="R725" s="221"/>
    </row>
    <row r="726" spans="1:18" x14ac:dyDescent="0.2">
      <c r="A726" s="224" t="s">
        <v>3208</v>
      </c>
      <c r="B726" s="225" t="s">
        <v>3208</v>
      </c>
      <c r="C726" s="226" t="s">
        <v>3183</v>
      </c>
      <c r="D726" s="226" t="s">
        <v>3236</v>
      </c>
      <c r="E726" s="226" t="s">
        <v>3209</v>
      </c>
      <c r="F726" s="227" t="s">
        <v>81</v>
      </c>
      <c r="G726" s="228" t="s">
        <v>81</v>
      </c>
      <c r="H726" s="228"/>
      <c r="I726" s="223">
        <v>200</v>
      </c>
      <c r="J726" s="229">
        <v>0</v>
      </c>
      <c r="K726" s="229">
        <v>10000</v>
      </c>
      <c r="L726" s="229" t="s">
        <v>269</v>
      </c>
      <c r="M726" s="229" t="s">
        <v>303</v>
      </c>
      <c r="N726" s="230" t="str">
        <f>IF(ISERROR(MATCH(A726,MemMap!$A$4:$A$98,0)) = FALSE, INDEX(MemMap!$B$4:$B$98,MATCH(A726,MemMap!$A$4:$A$98,0)),IF(F726="Y","TunSetCalSeg",IF(G726="Y", "FlashCalSeg", IF(G726="N", "FlashAppSeg", ""))))</f>
        <v>TunSetCalSeg</v>
      </c>
      <c r="O726" s="220"/>
      <c r="P726" s="221"/>
      <c r="Q726" s="221"/>
      <c r="R726" s="221"/>
    </row>
    <row r="727" spans="1:18" ht="22.5" x14ac:dyDescent="0.2">
      <c r="A727" s="224" t="s">
        <v>3252</v>
      </c>
      <c r="B727" s="225" t="s">
        <v>3210</v>
      </c>
      <c r="C727" s="226" t="s">
        <v>3183</v>
      </c>
      <c r="D727" s="226" t="s">
        <v>3236</v>
      </c>
      <c r="E727" s="226" t="s">
        <v>3211</v>
      </c>
      <c r="F727" s="227" t="s">
        <v>82</v>
      </c>
      <c r="G727" s="228" t="s">
        <v>81</v>
      </c>
      <c r="H727" s="228"/>
      <c r="I727" s="223" t="s">
        <v>2825</v>
      </c>
      <c r="J727" s="229">
        <v>0</v>
      </c>
      <c r="K727" s="229">
        <v>1</v>
      </c>
      <c r="L727" s="229" t="s">
        <v>256</v>
      </c>
      <c r="M727" s="229" t="s">
        <v>666</v>
      </c>
      <c r="N727" s="230" t="str">
        <f>IF(ISERROR(MATCH(A727,MemMap!$A$4:$A$98,0)) = FALSE, INDEX(MemMap!$B$4:$B$98,MATCH(A727,MemMap!$A$4:$A$98,0)),IF(F727="Y","TunSetCalSeg",IF(G727="Y", "FlashCalSeg", IF(G727="N", "FlashAppSeg", ""))))</f>
        <v>FlashCalSeg</v>
      </c>
      <c r="O727" s="220"/>
      <c r="P727" s="221"/>
      <c r="Q727" s="221"/>
      <c r="R727" s="221"/>
    </row>
    <row r="728" spans="1:18" ht="22.5" x14ac:dyDescent="0.2">
      <c r="A728" s="224" t="s">
        <v>3253</v>
      </c>
      <c r="B728" s="225" t="s">
        <v>3212</v>
      </c>
      <c r="C728" s="226" t="s">
        <v>3183</v>
      </c>
      <c r="D728" s="226" t="s">
        <v>3236</v>
      </c>
      <c r="E728" s="226" t="s">
        <v>3213</v>
      </c>
      <c r="F728" s="227" t="s">
        <v>82</v>
      </c>
      <c r="G728" s="228" t="s">
        <v>81</v>
      </c>
      <c r="H728" s="228"/>
      <c r="I728" s="223" t="s">
        <v>3254</v>
      </c>
      <c r="J728" s="229">
        <v>0</v>
      </c>
      <c r="K728" s="229">
        <v>1630</v>
      </c>
      <c r="L728" s="229" t="s">
        <v>264</v>
      </c>
      <c r="M728" s="229" t="s">
        <v>388</v>
      </c>
      <c r="N728" s="230" t="str">
        <f>IF(ISERROR(MATCH(A728,MemMap!$A$4:$A$98,0)) = FALSE, INDEX(MemMap!$B$4:$B$98,MATCH(A728,MemMap!$A$4:$A$98,0)),IF(F728="Y","TunSetCalSeg",IF(G728="Y", "FlashCalSeg", IF(G728="N", "FlashAppSeg", ""))))</f>
        <v>FlashCalSeg</v>
      </c>
      <c r="O728" s="220"/>
      <c r="P728" s="221"/>
      <c r="Q728" s="221"/>
      <c r="R728" s="221"/>
    </row>
    <row r="729" spans="1:18" ht="33.75" x14ac:dyDescent="0.2">
      <c r="A729" s="224" t="s">
        <v>3469</v>
      </c>
      <c r="B729" s="225" t="s">
        <v>3470</v>
      </c>
      <c r="C729" s="226" t="s">
        <v>3463</v>
      </c>
      <c r="D729" s="226" t="s">
        <v>3464</v>
      </c>
      <c r="E729" s="226" t="s">
        <v>3471</v>
      </c>
      <c r="F729" s="227" t="s">
        <v>0</v>
      </c>
      <c r="G729" s="228" t="s">
        <v>81</v>
      </c>
      <c r="H729" s="228"/>
      <c r="I729" s="223" t="s">
        <v>3472</v>
      </c>
      <c r="J729" s="229">
        <v>0</v>
      </c>
      <c r="K729" s="229">
        <v>511</v>
      </c>
      <c r="L729" s="229" t="s">
        <v>296</v>
      </c>
      <c r="M729" s="229" t="s">
        <v>336</v>
      </c>
      <c r="N729" s="230" t="str">
        <f>IF(ISERROR(MATCH(A729,MemMap!$A$4:$A$98,0)) = FALSE, INDEX(MemMap!$B$4:$B$98,MATCH(A729,MemMap!$A$4:$A$98,0)),IF(F729="Y","TunSetCalSeg",IF(G729="Y", "FlashCalSeg", IF(G729="N", "FlashAppSeg", ""))))</f>
        <v>FlashCalSeg</v>
      </c>
      <c r="O729" s="220"/>
      <c r="P729" s="221"/>
      <c r="Q729" s="221"/>
      <c r="R729" s="221"/>
    </row>
    <row r="730" spans="1:18" ht="33.75" x14ac:dyDescent="0.2">
      <c r="A730" s="224" t="s">
        <v>3460</v>
      </c>
      <c r="B730" s="225" t="s">
        <v>3461</v>
      </c>
      <c r="C730" s="226" t="s">
        <v>3463</v>
      </c>
      <c r="D730" s="226" t="s">
        <v>3464</v>
      </c>
      <c r="E730" s="226" t="s">
        <v>3462</v>
      </c>
      <c r="F730" s="227" t="s">
        <v>0</v>
      </c>
      <c r="G730" s="228" t="s">
        <v>81</v>
      </c>
      <c r="H730" s="228"/>
      <c r="I730" s="223" t="s">
        <v>3465</v>
      </c>
      <c r="J730" s="229">
        <v>0</v>
      </c>
      <c r="K730" s="229">
        <v>10</v>
      </c>
      <c r="L730" s="229" t="s">
        <v>261</v>
      </c>
      <c r="M730" s="229" t="s">
        <v>675</v>
      </c>
      <c r="N730" s="230" t="str">
        <f>IF(ISERROR(MATCH(A730,MemMap!$A$4:$A$98,0)) = FALSE, INDEX(MemMap!$B$4:$B$98,MATCH(A730,MemMap!$A$4:$A$98,0)),IF(F730="Y","TunSetCalSeg",IF(G730="Y", "FlashCalSeg", IF(G730="N", "FlashAppSeg", ""))))</f>
        <v>FlashCalSeg</v>
      </c>
      <c r="O730" s="220"/>
      <c r="P730" s="221"/>
      <c r="Q730" s="221"/>
      <c r="R730" s="221"/>
    </row>
    <row r="731" spans="1:18" ht="33.75" x14ac:dyDescent="0.2">
      <c r="A731" s="224" t="s">
        <v>3466</v>
      </c>
      <c r="B731" s="225" t="s">
        <v>3467</v>
      </c>
      <c r="C731" s="226" t="s">
        <v>3463</v>
      </c>
      <c r="D731" s="226" t="s">
        <v>3464</v>
      </c>
      <c r="E731" s="226" t="s">
        <v>3468</v>
      </c>
      <c r="F731" s="227" t="s">
        <v>0</v>
      </c>
      <c r="G731" s="228" t="s">
        <v>81</v>
      </c>
      <c r="H731" s="228"/>
      <c r="I731" s="223" t="s">
        <v>3465</v>
      </c>
      <c r="J731" s="229">
        <v>0</v>
      </c>
      <c r="K731" s="229">
        <v>1</v>
      </c>
      <c r="L731" s="229" t="s">
        <v>256</v>
      </c>
      <c r="M731" s="229" t="s">
        <v>666</v>
      </c>
      <c r="N731" s="230" t="str">
        <f>IF(ISERROR(MATCH(A731,MemMap!$A$4:$A$98,0)) = FALSE, INDEX(MemMap!$B$4:$B$98,MATCH(A731,MemMap!$A$4:$A$98,0)),IF(F731="Y","TunSetCalSeg",IF(G731="Y", "FlashCalSeg", IF(G731="N", "FlashAppSeg", ""))))</f>
        <v>FlashCalSeg</v>
      </c>
      <c r="O731" s="220"/>
      <c r="P731" s="221"/>
      <c r="Q731" s="221"/>
      <c r="R731" s="221"/>
    </row>
    <row r="732" spans="1:18" ht="22.5" x14ac:dyDescent="0.2">
      <c r="A732" s="224" t="s">
        <v>3291</v>
      </c>
      <c r="B732" s="225" t="s">
        <v>3291</v>
      </c>
      <c r="C732" s="226" t="s">
        <v>2982</v>
      </c>
      <c r="D732" s="226" t="s">
        <v>2481</v>
      </c>
      <c r="E732" s="226" t="s">
        <v>2512</v>
      </c>
      <c r="F732" s="227" t="s">
        <v>81</v>
      </c>
      <c r="G732" s="228" t="s">
        <v>81</v>
      </c>
      <c r="H732" s="228"/>
      <c r="I732" s="223">
        <v>1</v>
      </c>
      <c r="J732" s="229">
        <v>0</v>
      </c>
      <c r="K732" s="229">
        <v>8</v>
      </c>
      <c r="L732" s="229" t="s">
        <v>252</v>
      </c>
      <c r="M732" s="229" t="s">
        <v>257</v>
      </c>
      <c r="N732" s="230" t="str">
        <f>IF(ISERROR(MATCH(A732,MemMap!$A$4:$A$98,0)) = FALSE, INDEX(MemMap!$B$4:$B$98,MATCH(A732,MemMap!$A$4:$A$98,0)),IF(F732="Y","TunSetCalSeg",IF(G732="Y", "FlashCalSeg", IF(G732="N", "FlashAppSeg", ""))))</f>
        <v>TunSetCalSeg</v>
      </c>
      <c r="O732" s="220"/>
      <c r="P732" s="221"/>
      <c r="Q732" s="221"/>
      <c r="R732" s="221"/>
    </row>
    <row r="733" spans="1:18" ht="22.5" x14ac:dyDescent="0.2">
      <c r="A733" s="224" t="s">
        <v>3292</v>
      </c>
      <c r="B733" s="225" t="s">
        <v>3292</v>
      </c>
      <c r="C733" s="226" t="s">
        <v>2982</v>
      </c>
      <c r="D733" s="226" t="s">
        <v>2481</v>
      </c>
      <c r="E733" s="226" t="s">
        <v>3154</v>
      </c>
      <c r="F733" s="227" t="s">
        <v>81</v>
      </c>
      <c r="G733" s="228" t="s">
        <v>81</v>
      </c>
      <c r="H733" s="228"/>
      <c r="I733" s="223" t="s">
        <v>3155</v>
      </c>
      <c r="J733" s="229" t="s">
        <v>3156</v>
      </c>
      <c r="K733" s="229" t="s">
        <v>3157</v>
      </c>
      <c r="L733" s="229" t="s">
        <v>267</v>
      </c>
      <c r="M733" s="229" t="s">
        <v>565</v>
      </c>
      <c r="N733" s="230" t="str">
        <f>IF(ISERROR(MATCH(A733,MemMap!$A$4:$A$98,0)) = FALSE, INDEX(MemMap!$B$4:$B$98,MATCH(A733,MemMap!$A$4:$A$98,0)),IF(F733="Y","TunSetCalSeg",IF(G733="Y", "FlashCalSeg", IF(G733="N", "FlashAppSeg", ""))))</f>
        <v>TunSetCalSeg</v>
      </c>
      <c r="O733" s="220"/>
      <c r="P733" s="221"/>
      <c r="Q733" s="221"/>
      <c r="R733" s="221"/>
    </row>
    <row r="734" spans="1:18" ht="22.5" x14ac:dyDescent="0.2">
      <c r="A734" s="224" t="s">
        <v>3295</v>
      </c>
      <c r="B734" s="225" t="s">
        <v>3295</v>
      </c>
      <c r="C734" s="226" t="s">
        <v>2982</v>
      </c>
      <c r="D734" s="226" t="s">
        <v>2481</v>
      </c>
      <c r="E734" s="226" t="s">
        <v>3160</v>
      </c>
      <c r="F734" s="227" t="s">
        <v>81</v>
      </c>
      <c r="G734" s="228" t="s">
        <v>81</v>
      </c>
      <c r="H734" s="228"/>
      <c r="I734" s="223" t="s">
        <v>638</v>
      </c>
      <c r="J734" s="229" t="s">
        <v>638</v>
      </c>
      <c r="K734" s="229" t="s">
        <v>638</v>
      </c>
      <c r="L734" s="229" t="s">
        <v>267</v>
      </c>
      <c r="M734" s="229" t="s">
        <v>565</v>
      </c>
      <c r="N734" s="230" t="str">
        <f>IF(ISERROR(MATCH(A734,MemMap!$A$4:$A$98,0)) = FALSE, INDEX(MemMap!$B$4:$B$98,MATCH(A734,MemMap!$A$4:$A$98,0)),IF(F734="Y","TunSetCalSeg",IF(G734="Y", "FlashCalSeg", IF(G734="N", "FlashAppSeg", ""))))</f>
        <v>TunSetCalSeg</v>
      </c>
      <c r="O734" s="220"/>
      <c r="P734" s="221"/>
      <c r="Q734" s="221"/>
      <c r="R734" s="221"/>
    </row>
    <row r="735" spans="1:18" ht="22.5" x14ac:dyDescent="0.2">
      <c r="A735" s="224" t="s">
        <v>3294</v>
      </c>
      <c r="B735" s="225" t="s">
        <v>3294</v>
      </c>
      <c r="C735" s="226" t="s">
        <v>2982</v>
      </c>
      <c r="D735" s="226" t="s">
        <v>2481</v>
      </c>
      <c r="E735" s="226" t="s">
        <v>3159</v>
      </c>
      <c r="F735" s="227" t="s">
        <v>81</v>
      </c>
      <c r="G735" s="228" t="s">
        <v>81</v>
      </c>
      <c r="H735" s="228"/>
      <c r="I735" s="223" t="s">
        <v>638</v>
      </c>
      <c r="J735" s="229" t="s">
        <v>638</v>
      </c>
      <c r="K735" s="229" t="s">
        <v>638</v>
      </c>
      <c r="L735" s="229" t="s">
        <v>267</v>
      </c>
      <c r="M735" s="229" t="s">
        <v>565</v>
      </c>
      <c r="N735" s="230" t="str">
        <f>IF(ISERROR(MATCH(A735,MemMap!$A$4:$A$98,0)) = FALSE, INDEX(MemMap!$B$4:$B$98,MATCH(A735,MemMap!$A$4:$A$98,0)),IF(F735="Y","TunSetCalSeg",IF(G735="Y", "FlashCalSeg", IF(G735="N", "FlashAppSeg", ""))))</f>
        <v>TunSetCalSeg</v>
      </c>
      <c r="O735" s="220"/>
      <c r="P735" s="221"/>
      <c r="Q735" s="221"/>
      <c r="R735" s="221"/>
    </row>
    <row r="736" spans="1:18" ht="22.5" x14ac:dyDescent="0.2">
      <c r="A736" s="224" t="s">
        <v>3293</v>
      </c>
      <c r="B736" s="225" t="s">
        <v>3293</v>
      </c>
      <c r="C736" s="226" t="s">
        <v>2982</v>
      </c>
      <c r="D736" s="226" t="s">
        <v>2481</v>
      </c>
      <c r="E736" s="226" t="s">
        <v>3158</v>
      </c>
      <c r="F736" s="227" t="s">
        <v>81</v>
      </c>
      <c r="G736" s="228" t="s">
        <v>81</v>
      </c>
      <c r="H736" s="228"/>
      <c r="I736" s="223" t="s">
        <v>638</v>
      </c>
      <c r="J736" s="229" t="s">
        <v>638</v>
      </c>
      <c r="K736" s="229" t="s">
        <v>638</v>
      </c>
      <c r="L736" s="229" t="s">
        <v>267</v>
      </c>
      <c r="M736" s="229" t="s">
        <v>565</v>
      </c>
      <c r="N736" s="230" t="str">
        <f>IF(ISERROR(MATCH(A736,MemMap!$A$4:$A$98,0)) = FALSE, INDEX(MemMap!$B$4:$B$98,MATCH(A736,MemMap!$A$4:$A$98,0)),IF(F736="Y","TunSetCalSeg",IF(G736="Y", "FlashCalSeg", IF(G736="N", "FlashAppSeg", ""))))</f>
        <v>TunSetCalSeg</v>
      </c>
      <c r="O736" s="220"/>
      <c r="P736" s="221"/>
      <c r="Q736" s="221"/>
      <c r="R736" s="221"/>
    </row>
    <row r="737" spans="1:18" ht="33.75" x14ac:dyDescent="0.2">
      <c r="A737" s="224" t="s">
        <v>3296</v>
      </c>
      <c r="B737" s="225" t="s">
        <v>3296</v>
      </c>
      <c r="C737" s="226" t="s">
        <v>2982</v>
      </c>
      <c r="D737" s="226" t="s">
        <v>2481</v>
      </c>
      <c r="E737" s="226" t="s">
        <v>3297</v>
      </c>
      <c r="F737" s="227" t="s">
        <v>81</v>
      </c>
      <c r="G737" s="228" t="s">
        <v>81</v>
      </c>
      <c r="H737" s="228"/>
      <c r="I737" s="223">
        <v>1</v>
      </c>
      <c r="J737" s="229">
        <v>0</v>
      </c>
      <c r="K737" s="229">
        <v>1440</v>
      </c>
      <c r="L737" s="229" t="s">
        <v>264</v>
      </c>
      <c r="M737" s="229" t="s">
        <v>263</v>
      </c>
      <c r="N737" s="230" t="str">
        <f>IF(ISERROR(MATCH(A737,MemMap!$A$4:$A$98,0)) = FALSE, INDEX(MemMap!$B$4:$B$98,MATCH(A737,MemMap!$A$4:$A$98,0)),IF(F737="Y","TunSetCalSeg",IF(G737="Y", "FlashCalSeg", IF(G737="N", "FlashAppSeg", ""))))</f>
        <v>TunSetCalSeg</v>
      </c>
      <c r="O737" s="220"/>
      <c r="P737" s="221"/>
      <c r="Q737" s="221"/>
      <c r="R737" s="221"/>
    </row>
    <row r="738" spans="1:18" ht="22.5" x14ac:dyDescent="0.2">
      <c r="A738" s="224" t="s">
        <v>3298</v>
      </c>
      <c r="B738" s="225" t="s">
        <v>3298</v>
      </c>
      <c r="C738" s="226" t="s">
        <v>2982</v>
      </c>
      <c r="D738" s="226" t="s">
        <v>2481</v>
      </c>
      <c r="E738" s="226" t="s">
        <v>3161</v>
      </c>
      <c r="F738" s="227" t="s">
        <v>81</v>
      </c>
      <c r="G738" s="228" t="s">
        <v>81</v>
      </c>
      <c r="H738" s="228"/>
      <c r="I738" s="223">
        <v>1000</v>
      </c>
      <c r="J738" s="229">
        <v>0</v>
      </c>
      <c r="K738" s="229">
        <v>10000</v>
      </c>
      <c r="L738" s="229" t="s">
        <v>269</v>
      </c>
      <c r="M738" s="229" t="s">
        <v>263</v>
      </c>
      <c r="N738" s="230" t="str">
        <f>IF(ISERROR(MATCH(A738,MemMap!$A$4:$A$98,0)) = FALSE, INDEX(MemMap!$B$4:$B$98,MATCH(A738,MemMap!$A$4:$A$98,0)),IF(F738="Y","TunSetCalSeg",IF(G738="Y", "FlashCalSeg", IF(G738="N", "FlashAppSeg", ""))))</f>
        <v>TunSetCalSeg</v>
      </c>
      <c r="O738" s="220"/>
      <c r="P738" s="221"/>
      <c r="Q738" s="221"/>
      <c r="R738" s="221"/>
    </row>
    <row r="739" spans="1:18" ht="33.75" x14ac:dyDescent="0.2">
      <c r="A739" s="224" t="s">
        <v>3300</v>
      </c>
      <c r="B739" s="225" t="s">
        <v>3300</v>
      </c>
      <c r="C739" s="226" t="s">
        <v>2982</v>
      </c>
      <c r="D739" s="226" t="s">
        <v>2481</v>
      </c>
      <c r="E739" s="226" t="s">
        <v>2983</v>
      </c>
      <c r="F739" s="227" t="s">
        <v>81</v>
      </c>
      <c r="G739" s="228" t="s">
        <v>81</v>
      </c>
      <c r="H739" s="228"/>
      <c r="I739" s="223">
        <v>0.3</v>
      </c>
      <c r="J739" s="229">
        <v>0</v>
      </c>
      <c r="K739" s="229">
        <v>1</v>
      </c>
      <c r="L739" s="229" t="s">
        <v>256</v>
      </c>
      <c r="M739" s="229" t="s">
        <v>257</v>
      </c>
      <c r="N739" s="230" t="str">
        <f>IF(ISERROR(MATCH(A739,MemMap!$A$4:$A$98,0)) = FALSE, INDEX(MemMap!$B$4:$B$98,MATCH(A739,MemMap!$A$4:$A$98,0)),IF(F739="Y","TunSetCalSeg",IF(G739="Y", "FlashCalSeg", IF(G739="N", "FlashAppSeg", ""))))</f>
        <v>TunSetCalSeg</v>
      </c>
      <c r="O739" s="220"/>
      <c r="P739" s="221"/>
      <c r="Q739" s="221"/>
      <c r="R739" s="221"/>
    </row>
    <row r="740" spans="1:18" ht="22.5" x14ac:dyDescent="0.2">
      <c r="A740" s="224" t="s">
        <v>3301</v>
      </c>
      <c r="B740" s="225" t="s">
        <v>3301</v>
      </c>
      <c r="C740" s="226" t="s">
        <v>2982</v>
      </c>
      <c r="D740" s="226" t="s">
        <v>2481</v>
      </c>
      <c r="E740" s="226" t="s">
        <v>3302</v>
      </c>
      <c r="F740" s="227" t="s">
        <v>81</v>
      </c>
      <c r="G740" s="228" t="s">
        <v>81</v>
      </c>
      <c r="H740" s="228"/>
      <c r="I740" s="223">
        <v>4</v>
      </c>
      <c r="J740" s="229">
        <v>0</v>
      </c>
      <c r="K740" s="229">
        <v>8</v>
      </c>
      <c r="L740" s="229" t="s">
        <v>261</v>
      </c>
      <c r="M740" s="229" t="s">
        <v>257</v>
      </c>
      <c r="N740" s="230" t="str">
        <f>IF(ISERROR(MATCH(A740,MemMap!$A$4:$A$98,0)) = FALSE, INDEX(MemMap!$B$4:$B$98,MATCH(A740,MemMap!$A$4:$A$98,0)),IF(F740="Y","TunSetCalSeg",IF(G740="Y", "FlashCalSeg", IF(G740="N", "FlashAppSeg", ""))))</f>
        <v>TunSetCalSeg</v>
      </c>
      <c r="O740" s="220"/>
      <c r="P740" s="221"/>
      <c r="Q740" s="221"/>
      <c r="R740" s="221"/>
    </row>
    <row r="741" spans="1:18" ht="22.5" x14ac:dyDescent="0.2">
      <c r="A741" s="224" t="s">
        <v>3303</v>
      </c>
      <c r="B741" s="225" t="s">
        <v>3303</v>
      </c>
      <c r="C741" s="226" t="s">
        <v>2982</v>
      </c>
      <c r="D741" s="226" t="s">
        <v>2481</v>
      </c>
      <c r="E741" s="226" t="s">
        <v>3304</v>
      </c>
      <c r="F741" s="227" t="s">
        <v>81</v>
      </c>
      <c r="G741" s="228" t="s">
        <v>81</v>
      </c>
      <c r="H741" s="228"/>
      <c r="I741" s="223">
        <v>150</v>
      </c>
      <c r="J741" s="229">
        <v>0</v>
      </c>
      <c r="K741" s="229">
        <v>10000</v>
      </c>
      <c r="L741" s="229" t="s">
        <v>269</v>
      </c>
      <c r="M741" s="229" t="s">
        <v>303</v>
      </c>
      <c r="N741" s="230" t="str">
        <f>IF(ISERROR(MATCH(A741,MemMap!$A$4:$A$98,0)) = FALSE, INDEX(MemMap!$B$4:$B$98,MATCH(A741,MemMap!$A$4:$A$98,0)),IF(F741="Y","TunSetCalSeg",IF(G741="Y", "FlashCalSeg", IF(G741="N", "FlashAppSeg", ""))))</f>
        <v>TunSetCalSeg</v>
      </c>
      <c r="O741" s="220"/>
      <c r="P741" s="221"/>
      <c r="Q741" s="221"/>
      <c r="R741" s="221"/>
    </row>
    <row r="742" spans="1:18" ht="22.5" x14ac:dyDescent="0.2">
      <c r="A742" s="224" t="s">
        <v>3305</v>
      </c>
      <c r="B742" s="225" t="s">
        <v>3305</v>
      </c>
      <c r="C742" s="226" t="s">
        <v>2982</v>
      </c>
      <c r="D742" s="226" t="s">
        <v>2481</v>
      </c>
      <c r="E742" s="226" t="s">
        <v>3306</v>
      </c>
      <c r="F742" s="227" t="s">
        <v>81</v>
      </c>
      <c r="G742" s="228" t="s">
        <v>81</v>
      </c>
      <c r="H742" s="228"/>
      <c r="I742" s="223">
        <v>3</v>
      </c>
      <c r="J742" s="229">
        <v>0</v>
      </c>
      <c r="K742" s="229">
        <v>10</v>
      </c>
      <c r="L742" s="229" t="s">
        <v>261</v>
      </c>
      <c r="M742" s="229" t="s">
        <v>257</v>
      </c>
      <c r="N742" s="230" t="str">
        <f>IF(ISERROR(MATCH(A742,MemMap!$A$4:$A$98,0)) = FALSE, INDEX(MemMap!$B$4:$B$98,MATCH(A742,MemMap!$A$4:$A$98,0)),IF(F742="Y","TunSetCalSeg",IF(G742="Y", "FlashCalSeg", IF(G742="N", "FlashAppSeg", ""))))</f>
        <v>TunSetCalSeg</v>
      </c>
      <c r="O742" s="220"/>
      <c r="P742" s="221"/>
      <c r="Q742" s="221"/>
      <c r="R742" s="221"/>
    </row>
    <row r="743" spans="1:18" ht="22.5" x14ac:dyDescent="0.2">
      <c r="A743" s="224" t="s">
        <v>3307</v>
      </c>
      <c r="B743" s="225" t="s">
        <v>3307</v>
      </c>
      <c r="C743" s="226" t="s">
        <v>2982</v>
      </c>
      <c r="D743" s="226" t="s">
        <v>2481</v>
      </c>
      <c r="E743" s="226" t="s">
        <v>3163</v>
      </c>
      <c r="F743" s="227" t="s">
        <v>81</v>
      </c>
      <c r="G743" s="228" t="s">
        <v>81</v>
      </c>
      <c r="H743" s="228"/>
      <c r="I743" s="223">
        <v>200</v>
      </c>
      <c r="J743" s="229">
        <v>0</v>
      </c>
      <c r="K743" s="229">
        <v>10000</v>
      </c>
      <c r="L743" s="229" t="s">
        <v>269</v>
      </c>
      <c r="M743" s="229" t="s">
        <v>303</v>
      </c>
      <c r="N743" s="230" t="str">
        <f>IF(ISERROR(MATCH(A743,MemMap!$A$4:$A$98,0)) = FALSE, INDEX(MemMap!$B$4:$B$98,MATCH(A743,MemMap!$A$4:$A$98,0)),IF(F743="Y","TunSetCalSeg",IF(G743="Y", "FlashCalSeg", IF(G743="N", "FlashAppSeg", ""))))</f>
        <v>TunSetCalSeg</v>
      </c>
      <c r="O743" s="220"/>
      <c r="P743" s="221"/>
      <c r="Q743" s="221"/>
      <c r="R743" s="221"/>
    </row>
    <row r="744" spans="1:18" ht="22.5" x14ac:dyDescent="0.2">
      <c r="A744" s="224" t="s">
        <v>3308</v>
      </c>
      <c r="B744" s="225" t="s">
        <v>3308</v>
      </c>
      <c r="C744" s="226" t="s">
        <v>2982</v>
      </c>
      <c r="D744" s="226" t="s">
        <v>2481</v>
      </c>
      <c r="E744" s="226" t="s">
        <v>3164</v>
      </c>
      <c r="F744" s="227" t="s">
        <v>81</v>
      </c>
      <c r="G744" s="228" t="s">
        <v>81</v>
      </c>
      <c r="H744" s="228"/>
      <c r="I744" s="223">
        <v>10</v>
      </c>
      <c r="J744" s="229">
        <v>0.1</v>
      </c>
      <c r="K744" s="229">
        <v>100</v>
      </c>
      <c r="L744" s="229" t="s">
        <v>258</v>
      </c>
      <c r="M744" s="229" t="s">
        <v>257</v>
      </c>
      <c r="N744" s="230" t="str">
        <f>IF(ISERROR(MATCH(A744,MemMap!$A$4:$A$98,0)) = FALSE, INDEX(MemMap!$B$4:$B$98,MATCH(A744,MemMap!$A$4:$A$98,0)),IF(F744="Y","TunSetCalSeg",IF(G744="Y", "FlashCalSeg", IF(G744="N", "FlashAppSeg", ""))))</f>
        <v>TunSetCalSeg</v>
      </c>
      <c r="O744" s="220"/>
      <c r="P744" s="221"/>
      <c r="Q744" s="221"/>
      <c r="R744" s="221"/>
    </row>
    <row r="745" spans="1:18" ht="22.5" x14ac:dyDescent="0.2">
      <c r="A745" s="224" t="s">
        <v>3309</v>
      </c>
      <c r="B745" s="225" t="s">
        <v>3309</v>
      </c>
      <c r="C745" s="226" t="s">
        <v>2982</v>
      </c>
      <c r="D745" s="226" t="s">
        <v>2481</v>
      </c>
      <c r="E745" s="226" t="s">
        <v>3165</v>
      </c>
      <c r="F745" s="227" t="s">
        <v>81</v>
      </c>
      <c r="G745" s="228" t="s">
        <v>81</v>
      </c>
      <c r="H745" s="228"/>
      <c r="I745" s="223" t="s">
        <v>3310</v>
      </c>
      <c r="J745" s="229" t="s">
        <v>3156</v>
      </c>
      <c r="K745" s="229" t="s">
        <v>3157</v>
      </c>
      <c r="L745" s="229" t="s">
        <v>267</v>
      </c>
      <c r="M745" s="229" t="s">
        <v>565</v>
      </c>
      <c r="N745" s="230" t="str">
        <f>IF(ISERROR(MATCH(A745,MemMap!$A$4:$A$98,0)) = FALSE, INDEX(MemMap!$B$4:$B$98,MATCH(A745,MemMap!$A$4:$A$98,0)),IF(F745="Y","TunSetCalSeg",IF(G745="Y", "FlashCalSeg", IF(G745="N", "FlashAppSeg", ""))))</f>
        <v>TunSetCalSeg</v>
      </c>
      <c r="O745" s="220"/>
      <c r="P745" s="221"/>
      <c r="Q745" s="221"/>
      <c r="R745" s="221"/>
    </row>
    <row r="746" spans="1:18" ht="22.5" x14ac:dyDescent="0.2">
      <c r="A746" s="224" t="s">
        <v>3312</v>
      </c>
      <c r="B746" s="225" t="s">
        <v>3312</v>
      </c>
      <c r="C746" s="226" t="s">
        <v>2982</v>
      </c>
      <c r="D746" s="226" t="s">
        <v>2481</v>
      </c>
      <c r="E746" s="226" t="s">
        <v>3160</v>
      </c>
      <c r="F746" s="227" t="s">
        <v>81</v>
      </c>
      <c r="G746" s="228" t="s">
        <v>81</v>
      </c>
      <c r="H746" s="228"/>
      <c r="I746" s="223" t="s">
        <v>638</v>
      </c>
      <c r="J746" s="229" t="s">
        <v>638</v>
      </c>
      <c r="K746" s="229" t="s">
        <v>638</v>
      </c>
      <c r="L746" s="229" t="s">
        <v>267</v>
      </c>
      <c r="M746" s="229" t="s">
        <v>565</v>
      </c>
      <c r="N746" s="230" t="str">
        <f>IF(ISERROR(MATCH(A746,MemMap!$A$4:$A$98,0)) = FALSE, INDEX(MemMap!$B$4:$B$98,MATCH(A746,MemMap!$A$4:$A$98,0)),IF(F746="Y","TunSetCalSeg",IF(G746="Y", "FlashCalSeg", IF(G746="N", "FlashAppSeg", ""))))</f>
        <v>TunSetCalSeg</v>
      </c>
      <c r="O746" s="220"/>
      <c r="P746" s="221"/>
      <c r="Q746" s="221"/>
      <c r="R746" s="221"/>
    </row>
    <row r="747" spans="1:18" ht="22.5" x14ac:dyDescent="0.2">
      <c r="A747" s="224" t="s">
        <v>3474</v>
      </c>
      <c r="B747" s="225" t="s">
        <v>3311</v>
      </c>
      <c r="C747" s="226" t="s">
        <v>2982</v>
      </c>
      <c r="D747" s="226" t="s">
        <v>2481</v>
      </c>
      <c r="E747" s="226" t="s">
        <v>3159</v>
      </c>
      <c r="F747" s="227" t="s">
        <v>81</v>
      </c>
      <c r="G747" s="228" t="s">
        <v>81</v>
      </c>
      <c r="H747" s="228"/>
      <c r="I747" s="223" t="s">
        <v>638</v>
      </c>
      <c r="J747" s="229" t="s">
        <v>638</v>
      </c>
      <c r="K747" s="229" t="s">
        <v>638</v>
      </c>
      <c r="L747" s="229" t="s">
        <v>267</v>
      </c>
      <c r="M747" s="229" t="s">
        <v>565</v>
      </c>
      <c r="N747" s="230" t="str">
        <f>IF(ISERROR(MATCH(A747,MemMap!$A$4:$A$98,0)) = FALSE, INDEX(MemMap!$B$4:$B$98,MATCH(A747,MemMap!$A$4:$A$98,0)),IF(F747="Y","TunSetCalSeg",IF(G747="Y", "FlashCalSeg", IF(G747="N", "FlashAppSeg", ""))))</f>
        <v>TunSetCalSeg</v>
      </c>
      <c r="O747" s="220"/>
      <c r="P747" s="221"/>
      <c r="Q747" s="221"/>
      <c r="R747" s="221"/>
    </row>
    <row r="748" spans="1:18" ht="22.5" x14ac:dyDescent="0.2">
      <c r="A748" s="224" t="s">
        <v>3473</v>
      </c>
      <c r="B748" s="225" t="s">
        <v>3473</v>
      </c>
      <c r="C748" s="226" t="s">
        <v>2982</v>
      </c>
      <c r="D748" s="226" t="s">
        <v>2481</v>
      </c>
      <c r="E748" s="226" t="s">
        <v>3158</v>
      </c>
      <c r="F748" s="227" t="s">
        <v>81</v>
      </c>
      <c r="G748" s="228" t="s">
        <v>81</v>
      </c>
      <c r="H748" s="228"/>
      <c r="I748" s="223" t="s">
        <v>638</v>
      </c>
      <c r="J748" s="229" t="s">
        <v>638</v>
      </c>
      <c r="K748" s="229" t="s">
        <v>638</v>
      </c>
      <c r="L748" s="229" t="s">
        <v>267</v>
      </c>
      <c r="M748" s="229" t="s">
        <v>565</v>
      </c>
      <c r="N748" s="230" t="str">
        <f>IF(ISERROR(MATCH(A748,MemMap!$A$4:$A$98,0)) = FALSE, INDEX(MemMap!$B$4:$B$98,MATCH(A748,MemMap!$A$4:$A$98,0)),IF(F748="Y","TunSetCalSeg",IF(G748="Y", "FlashCalSeg", IF(G748="N", "FlashAppSeg", ""))))</f>
        <v>TunSetCalSeg</v>
      </c>
      <c r="O748" s="220"/>
      <c r="P748" s="221"/>
      <c r="Q748" s="221"/>
      <c r="R748" s="221"/>
    </row>
    <row r="749" spans="1:18" ht="33.75" x14ac:dyDescent="0.2">
      <c r="A749" s="224" t="s">
        <v>3299</v>
      </c>
      <c r="B749" s="225" t="s">
        <v>3299</v>
      </c>
      <c r="C749" s="226" t="s">
        <v>2982</v>
      </c>
      <c r="D749" s="226" t="s">
        <v>2481</v>
      </c>
      <c r="E749" s="226" t="s">
        <v>3162</v>
      </c>
      <c r="F749" s="227" t="s">
        <v>81</v>
      </c>
      <c r="G749" s="228" t="s">
        <v>81</v>
      </c>
      <c r="H749" s="228"/>
      <c r="I749" s="223">
        <v>10</v>
      </c>
      <c r="J749" s="229">
        <v>0</v>
      </c>
      <c r="K749" s="229">
        <v>1440</v>
      </c>
      <c r="L749" s="229" t="s">
        <v>264</v>
      </c>
      <c r="M749" s="229" t="s">
        <v>263</v>
      </c>
      <c r="N749" s="230" t="str">
        <f>IF(ISERROR(MATCH(A749,MemMap!$A$4:$A$98,0)) = FALSE, INDEX(MemMap!$B$4:$B$98,MATCH(A749,MemMap!$A$4:$A$98,0)),IF(F749="Y","TunSetCalSeg",IF(G749="Y", "FlashCalSeg", IF(G749="N", "FlashAppSeg", ""))))</f>
        <v>TunSetCalSeg</v>
      </c>
      <c r="O749" s="220"/>
      <c r="P749" s="221"/>
      <c r="Q749" s="221"/>
      <c r="R749" s="221"/>
    </row>
    <row r="750" spans="1:18" ht="22.5" x14ac:dyDescent="0.2">
      <c r="A750" s="224" t="s">
        <v>3313</v>
      </c>
      <c r="B750" s="225" t="s">
        <v>3313</v>
      </c>
      <c r="C750" s="226" t="s">
        <v>2982</v>
      </c>
      <c r="D750" s="226" t="s">
        <v>2481</v>
      </c>
      <c r="E750" s="226" t="s">
        <v>3314</v>
      </c>
      <c r="F750" s="227" t="s">
        <v>81</v>
      </c>
      <c r="G750" s="228" t="s">
        <v>81</v>
      </c>
      <c r="H750" s="228"/>
      <c r="I750" s="223">
        <v>0.1</v>
      </c>
      <c r="J750" s="229">
        <v>0</v>
      </c>
      <c r="K750" s="229">
        <v>1</v>
      </c>
      <c r="L750" s="229" t="s">
        <v>256</v>
      </c>
      <c r="M750" s="229" t="s">
        <v>257</v>
      </c>
      <c r="N750" s="230" t="str">
        <f>IF(ISERROR(MATCH(A750,MemMap!$A$4:$A$98,0)) = FALSE, INDEX(MemMap!$B$4:$B$98,MATCH(A750,MemMap!$A$4:$A$98,0)),IF(F750="Y","TunSetCalSeg",IF(G750="Y", "FlashCalSeg", IF(G750="N", "FlashAppSeg", ""))))</f>
        <v>TunSetCalSeg</v>
      </c>
      <c r="O750" s="220"/>
      <c r="P750" s="221"/>
      <c r="Q750" s="221"/>
      <c r="R750" s="221"/>
    </row>
    <row r="751" spans="1:18" ht="22.5" x14ac:dyDescent="0.2">
      <c r="A751" s="224" t="s">
        <v>3315</v>
      </c>
      <c r="B751" s="225" t="s">
        <v>3315</v>
      </c>
      <c r="C751" s="226" t="s">
        <v>2982</v>
      </c>
      <c r="D751" s="226" t="s">
        <v>2481</v>
      </c>
      <c r="E751" s="226" t="s">
        <v>3316</v>
      </c>
      <c r="F751" s="227" t="s">
        <v>81</v>
      </c>
      <c r="G751" s="228" t="s">
        <v>81</v>
      </c>
      <c r="H751" s="228"/>
      <c r="I751" s="223">
        <v>10</v>
      </c>
      <c r="J751" s="229">
        <v>0</v>
      </c>
      <c r="K751" s="229">
        <v>511</v>
      </c>
      <c r="L751" s="229" t="s">
        <v>296</v>
      </c>
      <c r="M751" s="229" t="s">
        <v>257</v>
      </c>
      <c r="N751" s="230" t="str">
        <f>IF(ISERROR(MATCH(A751,MemMap!$A$4:$A$98,0)) = FALSE, INDEX(MemMap!$B$4:$B$98,MATCH(A751,MemMap!$A$4:$A$98,0)),IF(F751="Y","TunSetCalSeg",IF(G751="Y", "FlashCalSeg", IF(G751="N", "FlashAppSeg", ""))))</f>
        <v>TunSetCalSeg</v>
      </c>
      <c r="O751" s="220"/>
      <c r="P751" s="221"/>
      <c r="Q751" s="221"/>
      <c r="R751" s="221"/>
    </row>
    <row r="752" spans="1:18" ht="22.5" x14ac:dyDescent="0.2">
      <c r="A752" s="224" t="s">
        <v>3475</v>
      </c>
      <c r="B752" s="225" t="s">
        <v>3475</v>
      </c>
      <c r="C752" s="226" t="s">
        <v>2982</v>
      </c>
      <c r="D752" s="226" t="s">
        <v>2481</v>
      </c>
      <c r="E752" s="226" t="s">
        <v>3476</v>
      </c>
      <c r="F752" s="227" t="s">
        <v>81</v>
      </c>
      <c r="G752" s="228" t="s">
        <v>81</v>
      </c>
      <c r="H752" s="228"/>
      <c r="I752" s="223">
        <v>1.1000000000000001</v>
      </c>
      <c r="J752" s="229">
        <v>0</v>
      </c>
      <c r="K752" s="229">
        <v>100</v>
      </c>
      <c r="L752" s="229" t="s">
        <v>804</v>
      </c>
      <c r="M752" s="229" t="s">
        <v>257</v>
      </c>
      <c r="N752" s="230" t="str">
        <f>IF(ISERROR(MATCH(A752,MemMap!$A$4:$A$98,0)) = FALSE, INDEX(MemMap!$B$4:$B$98,MATCH(A752,MemMap!$A$4:$A$98,0)),IF(F752="Y","TunSetCalSeg",IF(G752="Y", "FlashCalSeg", IF(G752="N", "FlashAppSeg", ""))))</f>
        <v>TunSetCalSeg</v>
      </c>
      <c r="O752" s="220"/>
      <c r="P752" s="221"/>
      <c r="Q752" s="221"/>
      <c r="R752" s="221"/>
    </row>
    <row r="753" spans="1:18" ht="45" x14ac:dyDescent="0.2">
      <c r="A753" s="224" t="s">
        <v>3716</v>
      </c>
      <c r="B753" s="225" t="s">
        <v>3716</v>
      </c>
      <c r="C753" s="226" t="s">
        <v>2982</v>
      </c>
      <c r="D753" s="226" t="s">
        <v>2481</v>
      </c>
      <c r="E753" s="226" t="s">
        <v>3717</v>
      </c>
      <c r="F753" s="227" t="s">
        <v>81</v>
      </c>
      <c r="G753" s="228" t="s">
        <v>81</v>
      </c>
      <c r="H753" s="228"/>
      <c r="I753" s="291">
        <v>1.1920928960000001E-7</v>
      </c>
      <c r="J753" s="229">
        <v>0</v>
      </c>
      <c r="K753" s="229">
        <v>1</v>
      </c>
      <c r="L753" s="229" t="s">
        <v>256</v>
      </c>
      <c r="M753" s="229" t="s">
        <v>257</v>
      </c>
      <c r="N753" s="230" t="str">
        <f>IF(ISERROR(MATCH(A753,MemMap!$A$4:$A$98,0)) = FALSE, INDEX(MemMap!$B$4:$B$98,MATCH(A753,MemMap!$A$4:$A$98,0)),IF(F753="Y","TunSetCalSeg",IF(G753="Y", "FlashCalSeg", IF(G753="N", "FlashAppSeg", ""))))</f>
        <v>TunSetCalSeg</v>
      </c>
      <c r="O753" s="220"/>
      <c r="P753" s="221"/>
      <c r="Q753" s="221"/>
      <c r="R753" s="221"/>
    </row>
    <row r="754" spans="1:18" ht="22.5" x14ac:dyDescent="0.2">
      <c r="A754" s="224" t="s">
        <v>3317</v>
      </c>
      <c r="B754" s="225" t="s">
        <v>3317</v>
      </c>
      <c r="C754" s="226" t="s">
        <v>2982</v>
      </c>
      <c r="D754" s="226" t="s">
        <v>2481</v>
      </c>
      <c r="E754" s="226" t="s">
        <v>3318</v>
      </c>
      <c r="F754" s="227" t="s">
        <v>81</v>
      </c>
      <c r="G754" s="228" t="s">
        <v>81</v>
      </c>
      <c r="H754" s="228"/>
      <c r="I754" s="223">
        <v>10</v>
      </c>
      <c r="J754" s="229">
        <v>0</v>
      </c>
      <c r="K754" s="229">
        <v>40</v>
      </c>
      <c r="L754" s="229" t="s">
        <v>612</v>
      </c>
      <c r="M754" s="229" t="s">
        <v>257</v>
      </c>
      <c r="N754" s="230" t="str">
        <f>IF(ISERROR(MATCH(A754,MemMap!$A$4:$A$98,0)) = FALSE, INDEX(MemMap!$B$4:$B$98,MATCH(A754,MemMap!$A$4:$A$98,0)),IF(F754="Y","TunSetCalSeg",IF(G754="Y", "FlashCalSeg", IF(G754="N", "FlashAppSeg", ""))))</f>
        <v>TunSetCalSeg</v>
      </c>
      <c r="O754" s="220"/>
      <c r="P754" s="221"/>
      <c r="Q754" s="221"/>
      <c r="R754" s="221"/>
    </row>
    <row r="755" spans="1:18" ht="45" x14ac:dyDescent="0.2">
      <c r="A755" s="224" t="s">
        <v>3394</v>
      </c>
      <c r="B755" s="225" t="s">
        <v>3394</v>
      </c>
      <c r="C755" s="226" t="s">
        <v>2982</v>
      </c>
      <c r="D755" s="226" t="s">
        <v>2481</v>
      </c>
      <c r="E755" s="226" t="s">
        <v>3395</v>
      </c>
      <c r="F755" s="227" t="s">
        <v>81</v>
      </c>
      <c r="G755" s="228" t="s">
        <v>81</v>
      </c>
      <c r="H755" s="228"/>
      <c r="I755" s="223">
        <v>0</v>
      </c>
      <c r="J755" s="229">
        <v>-3</v>
      </c>
      <c r="K755" s="229">
        <v>3</v>
      </c>
      <c r="L755" s="229" t="s">
        <v>256</v>
      </c>
      <c r="M755" s="229" t="s">
        <v>1738</v>
      </c>
      <c r="N755" s="230" t="str">
        <f>IF(ISERROR(MATCH(A755,MemMap!$A$4:$A$98,0)) = FALSE, INDEX(MemMap!$B$4:$B$98,MATCH(A755,MemMap!$A$4:$A$98,0)),IF(F755="Y","TunSetCalSeg",IF(G755="Y", "FlashCalSeg", IF(G755="N", "FlashAppSeg", ""))))</f>
        <v>TunSetCalSeg</v>
      </c>
      <c r="O755" s="220"/>
      <c r="P755" s="221"/>
      <c r="Q755" s="221"/>
      <c r="R755" s="221"/>
    </row>
    <row r="756" spans="1:18" ht="22.5" x14ac:dyDescent="0.2">
      <c r="A756" s="224" t="s">
        <v>3319</v>
      </c>
      <c r="B756" s="225" t="s">
        <v>3319</v>
      </c>
      <c r="C756" s="226" t="s">
        <v>2982</v>
      </c>
      <c r="D756" s="226" t="s">
        <v>2481</v>
      </c>
      <c r="E756" s="226" t="s">
        <v>3320</v>
      </c>
      <c r="F756" s="227" t="s">
        <v>81</v>
      </c>
      <c r="G756" s="228" t="s">
        <v>81</v>
      </c>
      <c r="H756" s="228"/>
      <c r="I756" s="223">
        <v>3</v>
      </c>
      <c r="J756" s="229">
        <v>0</v>
      </c>
      <c r="K756" s="229">
        <v>40</v>
      </c>
      <c r="L756" s="229" t="s">
        <v>612</v>
      </c>
      <c r="M756" s="229" t="s">
        <v>257</v>
      </c>
      <c r="N756" s="230" t="str">
        <f>IF(ISERROR(MATCH(A756,MemMap!$A$4:$A$98,0)) = FALSE, INDEX(MemMap!$B$4:$B$98,MATCH(A756,MemMap!$A$4:$A$98,0)),IF(F756="Y","TunSetCalSeg",IF(G756="Y", "FlashCalSeg", IF(G756="N", "FlashAppSeg", ""))))</f>
        <v>TunSetCalSeg</v>
      </c>
      <c r="O756" s="220"/>
      <c r="P756" s="221"/>
      <c r="Q756" s="221"/>
      <c r="R756" s="221"/>
    </row>
    <row r="757" spans="1:18" ht="33.75" x14ac:dyDescent="0.2">
      <c r="A757" s="224" t="s">
        <v>3325</v>
      </c>
      <c r="B757" s="225" t="s">
        <v>3325</v>
      </c>
      <c r="C757" s="226" t="s">
        <v>2982</v>
      </c>
      <c r="D757" s="226" t="s">
        <v>2481</v>
      </c>
      <c r="E757" s="226" t="s">
        <v>3326</v>
      </c>
      <c r="F757" s="227" t="s">
        <v>81</v>
      </c>
      <c r="G757" s="228" t="s">
        <v>81</v>
      </c>
      <c r="H757" s="228"/>
      <c r="I757" s="223">
        <v>200</v>
      </c>
      <c r="J757" s="229">
        <v>0</v>
      </c>
      <c r="K757" s="229">
        <v>65535</v>
      </c>
      <c r="L757" s="229" t="s">
        <v>267</v>
      </c>
      <c r="M757" s="229" t="s">
        <v>263</v>
      </c>
      <c r="N757" s="230" t="str">
        <f>IF(ISERROR(MATCH(A757,MemMap!$A$4:$A$98,0)) = FALSE, INDEX(MemMap!$B$4:$B$98,MATCH(A757,MemMap!$A$4:$A$98,0)),IF(F757="Y","TunSetCalSeg",IF(G757="Y", "FlashCalSeg", IF(G757="N", "FlashAppSeg", ""))))</f>
        <v>TunSetCalSeg</v>
      </c>
      <c r="O757" s="220"/>
      <c r="P757" s="221"/>
      <c r="Q757" s="221"/>
      <c r="R757" s="221"/>
    </row>
    <row r="758" spans="1:18" ht="22.5" x14ac:dyDescent="0.2">
      <c r="A758" s="224" t="s">
        <v>3321</v>
      </c>
      <c r="B758" s="225" t="s">
        <v>3321</v>
      </c>
      <c r="C758" s="226" t="s">
        <v>2982</v>
      </c>
      <c r="D758" s="226" t="s">
        <v>2481</v>
      </c>
      <c r="E758" s="226" t="s">
        <v>3322</v>
      </c>
      <c r="F758" s="227" t="s">
        <v>81</v>
      </c>
      <c r="G758" s="228" t="s">
        <v>81</v>
      </c>
      <c r="H758" s="228"/>
      <c r="I758" s="223">
        <v>0.3</v>
      </c>
      <c r="J758" s="229">
        <v>0</v>
      </c>
      <c r="K758" s="229">
        <v>1</v>
      </c>
      <c r="L758" s="229" t="s">
        <v>256</v>
      </c>
      <c r="M758" s="229" t="s">
        <v>257</v>
      </c>
      <c r="N758" s="230" t="str">
        <f>IF(ISERROR(MATCH(A758,MemMap!$A$4:$A$98,0)) = FALSE, INDEX(MemMap!$B$4:$B$98,MATCH(A758,MemMap!$A$4:$A$98,0)),IF(F758="Y","TunSetCalSeg",IF(G758="Y", "FlashCalSeg", IF(G758="N", "FlashAppSeg", ""))))</f>
        <v>TunSetCalSeg</v>
      </c>
      <c r="O758" s="220"/>
      <c r="P758" s="221"/>
      <c r="Q758" s="221"/>
      <c r="R758" s="221"/>
    </row>
    <row r="759" spans="1:18" ht="45" x14ac:dyDescent="0.2">
      <c r="A759" s="224" t="s">
        <v>3329</v>
      </c>
      <c r="B759" s="225" t="s">
        <v>3329</v>
      </c>
      <c r="C759" s="226" t="s">
        <v>2982</v>
      </c>
      <c r="D759" s="226" t="s">
        <v>2481</v>
      </c>
      <c r="E759" s="226" t="s">
        <v>3330</v>
      </c>
      <c r="F759" s="227" t="s">
        <v>81</v>
      </c>
      <c r="G759" s="228" t="s">
        <v>81</v>
      </c>
      <c r="H759" s="228"/>
      <c r="I759" s="223">
        <v>0</v>
      </c>
      <c r="J759" s="229">
        <v>0</v>
      </c>
      <c r="K759" s="229">
        <v>2</v>
      </c>
      <c r="L759" s="229" t="s">
        <v>612</v>
      </c>
      <c r="M759" s="229" t="s">
        <v>257</v>
      </c>
      <c r="N759" s="230" t="str">
        <f>IF(ISERROR(MATCH(A759,MemMap!$A$4:$A$98,0)) = FALSE, INDEX(MemMap!$B$4:$B$98,MATCH(A759,MemMap!$A$4:$A$98,0)),IF(F759="Y","TunSetCalSeg",IF(G759="Y", "FlashCalSeg", IF(G759="N", "FlashAppSeg", ""))))</f>
        <v>TunSetCalSeg</v>
      </c>
      <c r="O759" s="220"/>
      <c r="P759" s="221"/>
      <c r="Q759" s="221"/>
      <c r="R759" s="221"/>
    </row>
    <row r="760" spans="1:18" ht="45" x14ac:dyDescent="0.2">
      <c r="A760" s="224" t="s">
        <v>3332</v>
      </c>
      <c r="B760" s="225" t="s">
        <v>3332</v>
      </c>
      <c r="C760" s="226" t="s">
        <v>2982</v>
      </c>
      <c r="D760" s="226" t="s">
        <v>2481</v>
      </c>
      <c r="E760" s="226" t="s">
        <v>2984</v>
      </c>
      <c r="F760" s="227" t="s">
        <v>81</v>
      </c>
      <c r="G760" s="228" t="s">
        <v>81</v>
      </c>
      <c r="H760" s="228"/>
      <c r="I760" s="223">
        <v>0.2</v>
      </c>
      <c r="J760" s="229">
        <v>0</v>
      </c>
      <c r="K760" s="229">
        <v>40</v>
      </c>
      <c r="L760" s="229" t="s">
        <v>612</v>
      </c>
      <c r="M760" s="229" t="s">
        <v>257</v>
      </c>
      <c r="N760" s="230" t="str">
        <f>IF(ISERROR(MATCH(A760,MemMap!$A$4:$A$98,0)) = FALSE, INDEX(MemMap!$B$4:$B$98,MATCH(A760,MemMap!$A$4:$A$98,0)),IF(F760="Y","TunSetCalSeg",IF(G760="Y", "FlashCalSeg", IF(G760="N", "FlashAppSeg", ""))))</f>
        <v>TunSetCalSeg</v>
      </c>
      <c r="O760" s="220"/>
      <c r="P760" s="221"/>
      <c r="Q760" s="221"/>
      <c r="R760" s="221"/>
    </row>
    <row r="761" spans="1:18" ht="22.5" x14ac:dyDescent="0.2">
      <c r="A761" s="224" t="s">
        <v>3331</v>
      </c>
      <c r="B761" s="225" t="s">
        <v>3331</v>
      </c>
      <c r="C761" s="226" t="s">
        <v>2982</v>
      </c>
      <c r="D761" s="226" t="s">
        <v>2481</v>
      </c>
      <c r="E761" s="226" t="s">
        <v>2984</v>
      </c>
      <c r="F761" s="227" t="s">
        <v>81</v>
      </c>
      <c r="G761" s="228" t="s">
        <v>81</v>
      </c>
      <c r="H761" s="228"/>
      <c r="I761" s="223">
        <v>1</v>
      </c>
      <c r="J761" s="229">
        <v>0</v>
      </c>
      <c r="K761" s="229">
        <v>100</v>
      </c>
      <c r="L761" s="229" t="s">
        <v>343</v>
      </c>
      <c r="M761" s="229" t="s">
        <v>257</v>
      </c>
      <c r="N761" s="230" t="str">
        <f>IF(ISERROR(MATCH(A761,MemMap!$A$4:$A$98,0)) = FALSE, INDEX(MemMap!$B$4:$B$98,MATCH(A761,MemMap!$A$4:$A$98,0)),IF(F761="Y","TunSetCalSeg",IF(G761="Y", "FlashCalSeg", IF(G761="N", "FlashAppSeg", ""))))</f>
        <v>TunSetCalSeg</v>
      </c>
      <c r="O761" s="220"/>
      <c r="P761" s="221"/>
      <c r="Q761" s="221"/>
      <c r="R761" s="221"/>
    </row>
    <row r="762" spans="1:18" ht="22.5" x14ac:dyDescent="0.2">
      <c r="A762" s="224" t="s">
        <v>3333</v>
      </c>
      <c r="B762" s="225" t="s">
        <v>3333</v>
      </c>
      <c r="C762" s="226" t="s">
        <v>2982</v>
      </c>
      <c r="D762" s="226" t="s">
        <v>2481</v>
      </c>
      <c r="E762" s="226" t="s">
        <v>2985</v>
      </c>
      <c r="F762" s="227" t="s">
        <v>81</v>
      </c>
      <c r="G762" s="228" t="s">
        <v>81</v>
      </c>
      <c r="H762" s="228"/>
      <c r="I762" s="223">
        <v>0.2</v>
      </c>
      <c r="J762" s="229">
        <v>0</v>
      </c>
      <c r="K762" s="229">
        <v>100</v>
      </c>
      <c r="L762" s="229" t="s">
        <v>258</v>
      </c>
      <c r="M762" s="229" t="s">
        <v>257</v>
      </c>
      <c r="N762" s="230" t="str">
        <f>IF(ISERROR(MATCH(A762,MemMap!$A$4:$A$98,0)) = FALSE, INDEX(MemMap!$B$4:$B$98,MATCH(A762,MemMap!$A$4:$A$98,0)),IF(F762="Y","TunSetCalSeg",IF(G762="Y", "FlashCalSeg", IF(G762="N", "FlashAppSeg", ""))))</f>
        <v>TunSetCalSeg</v>
      </c>
      <c r="O762" s="220"/>
      <c r="P762" s="221"/>
      <c r="Q762" s="221"/>
      <c r="R762" s="221"/>
    </row>
    <row r="763" spans="1:18" ht="22.5" x14ac:dyDescent="0.2">
      <c r="A763" s="224" t="s">
        <v>3327</v>
      </c>
      <c r="B763" s="225" t="s">
        <v>3327</v>
      </c>
      <c r="C763" s="226" t="s">
        <v>2982</v>
      </c>
      <c r="D763" s="226" t="s">
        <v>2481</v>
      </c>
      <c r="E763" s="226" t="s">
        <v>3328</v>
      </c>
      <c r="F763" s="227" t="s">
        <v>81</v>
      </c>
      <c r="G763" s="228" t="s">
        <v>81</v>
      </c>
      <c r="H763" s="228"/>
      <c r="I763" s="223">
        <v>200</v>
      </c>
      <c r="J763" s="229">
        <v>0</v>
      </c>
      <c r="K763" s="229">
        <v>65535</v>
      </c>
      <c r="L763" s="229" t="s">
        <v>267</v>
      </c>
      <c r="M763" s="229" t="s">
        <v>263</v>
      </c>
      <c r="N763" s="230" t="str">
        <f>IF(ISERROR(MATCH(A763,MemMap!$A$4:$A$98,0)) = FALSE, INDEX(MemMap!$B$4:$B$98,MATCH(A763,MemMap!$A$4:$A$98,0)),IF(F763="Y","TunSetCalSeg",IF(G763="Y", "FlashCalSeg", IF(G763="N", "FlashAppSeg", ""))))</f>
        <v>TunSetCalSeg</v>
      </c>
      <c r="O763" s="220"/>
      <c r="P763" s="221"/>
      <c r="Q763" s="221"/>
      <c r="R763" s="221"/>
    </row>
    <row r="764" spans="1:18" ht="33.75" x14ac:dyDescent="0.2">
      <c r="A764" s="224" t="s">
        <v>3323</v>
      </c>
      <c r="B764" s="225" t="s">
        <v>3323</v>
      </c>
      <c r="C764" s="226" t="s">
        <v>2982</v>
      </c>
      <c r="D764" s="226" t="s">
        <v>2481</v>
      </c>
      <c r="E764" s="226" t="s">
        <v>3324</v>
      </c>
      <c r="F764" s="227" t="s">
        <v>81</v>
      </c>
      <c r="G764" s="228" t="s">
        <v>81</v>
      </c>
      <c r="H764" s="228"/>
      <c r="I764" s="223">
        <v>5</v>
      </c>
      <c r="J764" s="229">
        <v>1</v>
      </c>
      <c r="K764" s="229">
        <v>100</v>
      </c>
      <c r="L764" s="229" t="s">
        <v>261</v>
      </c>
      <c r="M764" s="229" t="s">
        <v>257</v>
      </c>
      <c r="N764" s="230" t="str">
        <f>IF(ISERROR(MATCH(A764,MemMap!$A$4:$A$98,0)) = FALSE, INDEX(MemMap!$B$4:$B$98,MATCH(A764,MemMap!$A$4:$A$98,0)),IF(F764="Y","TunSetCalSeg",IF(G764="Y", "FlashCalSeg", IF(G764="N", "FlashAppSeg", ""))))</f>
        <v>TunSetCalSeg</v>
      </c>
      <c r="O764" s="220"/>
      <c r="P764" s="221"/>
      <c r="Q764" s="221"/>
      <c r="R764" s="221"/>
    </row>
    <row r="765" spans="1:18" ht="56.25" x14ac:dyDescent="0.2">
      <c r="A765" s="224" t="s">
        <v>3334</v>
      </c>
      <c r="B765" s="225" t="s">
        <v>3334</v>
      </c>
      <c r="C765" s="226" t="s">
        <v>2982</v>
      </c>
      <c r="D765" s="226" t="s">
        <v>2481</v>
      </c>
      <c r="E765" s="226" t="s">
        <v>3335</v>
      </c>
      <c r="F765" s="227" t="s">
        <v>81</v>
      </c>
      <c r="G765" s="228" t="s">
        <v>81</v>
      </c>
      <c r="H765" s="228"/>
      <c r="I765" s="223">
        <v>0</v>
      </c>
      <c r="J765" s="229">
        <v>0</v>
      </c>
      <c r="K765" s="229">
        <v>10</v>
      </c>
      <c r="L765" s="229" t="s">
        <v>296</v>
      </c>
      <c r="M765" s="229" t="s">
        <v>257</v>
      </c>
      <c r="N765" s="230" t="str">
        <f>IF(ISERROR(MATCH(A765,MemMap!$A$4:$A$98,0)) = FALSE, INDEX(MemMap!$B$4:$B$98,MATCH(A765,MemMap!$A$4:$A$98,0)),IF(F765="Y","TunSetCalSeg",IF(G765="Y", "FlashCalSeg", IF(G765="N", "FlashAppSeg", ""))))</f>
        <v>TunSetCalSeg</v>
      </c>
      <c r="O765" s="220"/>
      <c r="P765" s="221"/>
      <c r="Q765" s="221"/>
      <c r="R765" s="221"/>
    </row>
    <row r="766" spans="1:18" ht="33.75" x14ac:dyDescent="0.2">
      <c r="A766" s="292" t="s">
        <v>3718</v>
      </c>
      <c r="B766" s="233" t="s">
        <v>3719</v>
      </c>
      <c r="C766" s="295" t="s">
        <v>2982</v>
      </c>
      <c r="D766" s="295" t="s">
        <v>2481</v>
      </c>
      <c r="E766" s="296" t="s">
        <v>2994</v>
      </c>
      <c r="F766" s="297" t="s">
        <v>81</v>
      </c>
      <c r="G766" s="299" t="s">
        <v>81</v>
      </c>
      <c r="H766" s="299"/>
      <c r="I766" s="300" t="s">
        <v>3354</v>
      </c>
      <c r="J766" s="302">
        <v>0</v>
      </c>
      <c r="K766" s="304">
        <v>511</v>
      </c>
      <c r="L766" s="302" t="s">
        <v>296</v>
      </c>
      <c r="M766" s="302" t="s">
        <v>336</v>
      </c>
      <c r="N766" s="230" t="str">
        <f>IF(ISERROR(MATCH(A766,MemMap!$A$4:$A$98,0)) = FALSE, INDEX(MemMap!$B$4:$B$98,MATCH(A766,MemMap!$A$4:$A$98,0)),IF(F766="Y","TunSetCalSeg",IF(G766="Y", "FlashCalSeg", IF(G766="N", "FlashAppSeg", ""))))</f>
        <v>TunSetCalSeg</v>
      </c>
      <c r="O766" s="220"/>
      <c r="P766" s="221"/>
      <c r="Q766" s="221"/>
      <c r="R766" s="221"/>
    </row>
    <row r="767" spans="1:18" ht="56.25" x14ac:dyDescent="0.2">
      <c r="A767" s="292" t="s">
        <v>3720</v>
      </c>
      <c r="B767" s="233" t="s">
        <v>3721</v>
      </c>
      <c r="C767" s="295" t="s">
        <v>2982</v>
      </c>
      <c r="D767" s="295" t="s">
        <v>2481</v>
      </c>
      <c r="E767" s="296" t="s">
        <v>3722</v>
      </c>
      <c r="F767" s="297" t="s">
        <v>81</v>
      </c>
      <c r="G767" s="299" t="s">
        <v>81</v>
      </c>
      <c r="H767" s="299"/>
      <c r="I767" s="300" t="s">
        <v>3377</v>
      </c>
      <c r="J767" s="302">
        <v>0</v>
      </c>
      <c r="K767" s="304">
        <v>1000</v>
      </c>
      <c r="L767" s="302" t="s">
        <v>496</v>
      </c>
      <c r="M767" s="302" t="s">
        <v>471</v>
      </c>
      <c r="N767" s="230" t="str">
        <f>IF(ISERROR(MATCH(A767,MemMap!$A$4:$A$98,0)) = FALSE, INDEX(MemMap!$B$4:$B$98,MATCH(A767,MemMap!$A$4:$A$98,0)),IF(F767="Y","TunSetCalSeg",IF(G767="Y", "FlashCalSeg", IF(G767="N", "FlashAppSeg", ""))))</f>
        <v>TunSetCalSeg</v>
      </c>
      <c r="O767" s="220"/>
      <c r="P767" s="221"/>
      <c r="Q767" s="221"/>
      <c r="R767" s="221"/>
    </row>
    <row r="768" spans="1:18" ht="45" x14ac:dyDescent="0.2">
      <c r="A768" s="224" t="s">
        <v>3336</v>
      </c>
      <c r="B768" s="225" t="s">
        <v>3337</v>
      </c>
      <c r="C768" s="226" t="s">
        <v>2982</v>
      </c>
      <c r="D768" s="226" t="s">
        <v>2481</v>
      </c>
      <c r="E768" s="226" t="s">
        <v>3338</v>
      </c>
      <c r="F768" s="227" t="s">
        <v>81</v>
      </c>
      <c r="G768" s="228" t="s">
        <v>81</v>
      </c>
      <c r="H768" s="228"/>
      <c r="I768" s="223" t="s">
        <v>3339</v>
      </c>
      <c r="J768" s="229">
        <v>0</v>
      </c>
      <c r="K768" s="229">
        <v>511</v>
      </c>
      <c r="L768" s="229" t="s">
        <v>296</v>
      </c>
      <c r="M768" s="229" t="s">
        <v>336</v>
      </c>
      <c r="N768" s="230" t="str">
        <f>IF(ISERROR(MATCH(A768,MemMap!$A$4:$A$98,0)) = FALSE, INDEX(MemMap!$B$4:$B$98,MATCH(A768,MemMap!$A$4:$A$98,0)),IF(F768="Y","TunSetCalSeg",IF(G768="Y", "FlashCalSeg", IF(G768="N", "FlashAppSeg", ""))))</f>
        <v>TunSetCalSeg</v>
      </c>
      <c r="O768" s="220"/>
      <c r="P768" s="221"/>
      <c r="Q768" s="221"/>
      <c r="R768" s="221"/>
    </row>
    <row r="769" spans="1:18" ht="45" x14ac:dyDescent="0.2">
      <c r="A769" s="224" t="s">
        <v>3340</v>
      </c>
      <c r="B769" s="225" t="s">
        <v>3341</v>
      </c>
      <c r="C769" s="226" t="s">
        <v>2982</v>
      </c>
      <c r="D769" s="226" t="s">
        <v>2481</v>
      </c>
      <c r="E769" s="226" t="s">
        <v>2986</v>
      </c>
      <c r="F769" s="227" t="s">
        <v>81</v>
      </c>
      <c r="G769" s="228" t="s">
        <v>81</v>
      </c>
      <c r="H769" s="228"/>
      <c r="I769" s="223" t="s">
        <v>3342</v>
      </c>
      <c r="J769" s="229">
        <v>0</v>
      </c>
      <c r="K769" s="229">
        <v>500</v>
      </c>
      <c r="L769" s="229" t="s">
        <v>612</v>
      </c>
      <c r="M769" s="229" t="s">
        <v>336</v>
      </c>
      <c r="N769" s="230" t="str">
        <f>IF(ISERROR(MATCH(A769,MemMap!$A$4:$A$98,0)) = FALSE, INDEX(MemMap!$B$4:$B$98,MATCH(A769,MemMap!$A$4:$A$98,0)),IF(F769="Y","TunSetCalSeg",IF(G769="Y", "FlashCalSeg", IF(G769="N", "FlashAppSeg", ""))))</f>
        <v>TunSetCalSeg</v>
      </c>
      <c r="O769" s="220"/>
      <c r="P769" s="221"/>
      <c r="Q769" s="221"/>
      <c r="R769" s="221"/>
    </row>
    <row r="770" spans="1:18" ht="22.5" x14ac:dyDescent="0.2">
      <c r="A770" s="224" t="s">
        <v>3351</v>
      </c>
      <c r="B770" s="225" t="s">
        <v>3352</v>
      </c>
      <c r="C770" s="226" t="s">
        <v>2982</v>
      </c>
      <c r="D770" s="226" t="s">
        <v>2481</v>
      </c>
      <c r="E770" s="226" t="s">
        <v>3353</v>
      </c>
      <c r="F770" s="227" t="s">
        <v>81</v>
      </c>
      <c r="G770" s="228" t="s">
        <v>81</v>
      </c>
      <c r="H770" s="228"/>
      <c r="I770" s="223" t="s">
        <v>3354</v>
      </c>
      <c r="J770" s="229">
        <v>0</v>
      </c>
      <c r="K770" s="229">
        <v>511</v>
      </c>
      <c r="L770" s="229" t="s">
        <v>296</v>
      </c>
      <c r="M770" s="229" t="s">
        <v>336</v>
      </c>
      <c r="N770" s="230" t="str">
        <f>IF(ISERROR(MATCH(A770,MemMap!$A$4:$A$98,0)) = FALSE, INDEX(MemMap!$B$4:$B$98,MATCH(A770,MemMap!$A$4:$A$98,0)),IF(F770="Y","TunSetCalSeg",IF(G770="Y", "FlashCalSeg", IF(G770="N", "FlashAppSeg", ""))))</f>
        <v>TunSetCalSeg</v>
      </c>
      <c r="O770" s="220"/>
      <c r="P770" s="221"/>
      <c r="Q770" s="221"/>
      <c r="R770" s="221"/>
    </row>
    <row r="771" spans="1:18" ht="45" x14ac:dyDescent="0.2">
      <c r="A771" s="224" t="s">
        <v>3355</v>
      </c>
      <c r="B771" s="225" t="s">
        <v>3356</v>
      </c>
      <c r="C771" s="226" t="s">
        <v>2982</v>
      </c>
      <c r="D771" s="226" t="s">
        <v>2481</v>
      </c>
      <c r="E771" s="226" t="s">
        <v>3357</v>
      </c>
      <c r="F771" s="227" t="s">
        <v>81</v>
      </c>
      <c r="G771" s="228" t="s">
        <v>81</v>
      </c>
      <c r="H771" s="228"/>
      <c r="I771" s="223" t="s">
        <v>3358</v>
      </c>
      <c r="J771" s="229">
        <v>0</v>
      </c>
      <c r="K771" s="229">
        <v>100</v>
      </c>
      <c r="L771" s="229" t="s">
        <v>1334</v>
      </c>
      <c r="M771" s="229" t="s">
        <v>949</v>
      </c>
      <c r="N771" s="230" t="str">
        <f>IF(ISERROR(MATCH(A771,MemMap!$A$4:$A$98,0)) = FALSE, INDEX(MemMap!$B$4:$B$98,MATCH(A771,MemMap!$A$4:$A$98,0)),IF(F771="Y","TunSetCalSeg",IF(G771="Y", "FlashCalSeg", IF(G771="N", "FlashAppSeg", ""))))</f>
        <v>TunSetCalSeg</v>
      </c>
      <c r="O771" s="220"/>
      <c r="P771" s="221"/>
      <c r="Q771" s="221"/>
      <c r="R771" s="221"/>
    </row>
    <row r="772" spans="1:18" ht="22.5" x14ac:dyDescent="0.2">
      <c r="A772" s="224" t="s">
        <v>3372</v>
      </c>
      <c r="B772" s="225" t="s">
        <v>3373</v>
      </c>
      <c r="C772" s="226" t="s">
        <v>2982</v>
      </c>
      <c r="D772" s="226" t="s">
        <v>2481</v>
      </c>
      <c r="E772" s="226" t="s">
        <v>2994</v>
      </c>
      <c r="F772" s="227" t="s">
        <v>81</v>
      </c>
      <c r="G772" s="228" t="s">
        <v>81</v>
      </c>
      <c r="H772" s="228"/>
      <c r="I772" s="223" t="s">
        <v>3354</v>
      </c>
      <c r="J772" s="229">
        <v>0</v>
      </c>
      <c r="K772" s="229">
        <v>511</v>
      </c>
      <c r="L772" s="229" t="s">
        <v>296</v>
      </c>
      <c r="M772" s="229" t="s">
        <v>336</v>
      </c>
      <c r="N772" s="230" t="str">
        <f>IF(ISERROR(MATCH(A772,MemMap!$A$4:$A$98,0)) = FALSE, INDEX(MemMap!$B$4:$B$98,MATCH(A772,MemMap!$A$4:$A$98,0)),IF(F772="Y","TunSetCalSeg",IF(G772="Y", "FlashCalSeg", IF(G772="N", "FlashAppSeg", ""))))</f>
        <v>TunSetCalSeg</v>
      </c>
      <c r="O772" s="220"/>
      <c r="P772" s="221"/>
      <c r="Q772" s="221"/>
      <c r="R772" s="221"/>
    </row>
    <row r="773" spans="1:18" ht="45" x14ac:dyDescent="0.2">
      <c r="A773" s="224" t="s">
        <v>3374</v>
      </c>
      <c r="B773" s="225" t="s">
        <v>3375</v>
      </c>
      <c r="C773" s="226" t="s">
        <v>2982</v>
      </c>
      <c r="D773" s="226" t="s">
        <v>2481</v>
      </c>
      <c r="E773" s="226" t="s">
        <v>3376</v>
      </c>
      <c r="F773" s="227" t="s">
        <v>81</v>
      </c>
      <c r="G773" s="228" t="s">
        <v>81</v>
      </c>
      <c r="H773" s="228"/>
      <c r="I773" s="223" t="s">
        <v>3377</v>
      </c>
      <c r="J773" s="229">
        <v>0</v>
      </c>
      <c r="K773" s="229">
        <v>150</v>
      </c>
      <c r="L773" s="229" t="s">
        <v>496</v>
      </c>
      <c r="M773" s="229" t="s">
        <v>471</v>
      </c>
      <c r="N773" s="230" t="str">
        <f>IF(ISERROR(MATCH(A773,MemMap!$A$4:$A$98,0)) = FALSE, INDEX(MemMap!$B$4:$B$98,MATCH(A773,MemMap!$A$4:$A$98,0)),IF(F773="Y","TunSetCalSeg",IF(G773="Y", "FlashCalSeg", IF(G773="N", "FlashAppSeg", ""))))</f>
        <v>TunSetCalSeg</v>
      </c>
      <c r="O773" s="220"/>
      <c r="P773" s="221"/>
      <c r="Q773" s="221"/>
      <c r="R773" s="221"/>
    </row>
    <row r="774" spans="1:18" ht="33.75" x14ac:dyDescent="0.2">
      <c r="A774" s="224" t="s">
        <v>3359</v>
      </c>
      <c r="B774" s="225" t="s">
        <v>3360</v>
      </c>
      <c r="C774" s="226" t="s">
        <v>2982</v>
      </c>
      <c r="D774" s="226" t="s">
        <v>2481</v>
      </c>
      <c r="E774" s="226" t="s">
        <v>2990</v>
      </c>
      <c r="F774" s="227" t="s">
        <v>81</v>
      </c>
      <c r="G774" s="228" t="s">
        <v>81</v>
      </c>
      <c r="H774" s="228"/>
      <c r="I774" s="223" t="s">
        <v>3354</v>
      </c>
      <c r="J774" s="229">
        <v>0</v>
      </c>
      <c r="K774" s="229">
        <v>511</v>
      </c>
      <c r="L774" s="229" t="s">
        <v>296</v>
      </c>
      <c r="M774" s="229" t="s">
        <v>336</v>
      </c>
      <c r="N774" s="230" t="str">
        <f>IF(ISERROR(MATCH(A774,MemMap!$A$4:$A$98,0)) = FALSE, INDEX(MemMap!$B$4:$B$98,MATCH(A774,MemMap!$A$4:$A$98,0)),IF(F774="Y","TunSetCalSeg",IF(G774="Y", "FlashCalSeg", IF(G774="N", "FlashAppSeg", ""))))</f>
        <v>TunSetCalSeg</v>
      </c>
      <c r="O774" s="220"/>
      <c r="P774" s="221"/>
      <c r="Q774" s="221"/>
      <c r="R774" s="221"/>
    </row>
    <row r="775" spans="1:18" ht="22.5" x14ac:dyDescent="0.2">
      <c r="A775" s="224" t="s">
        <v>3361</v>
      </c>
      <c r="B775" s="225" t="s">
        <v>3362</v>
      </c>
      <c r="C775" s="226" t="s">
        <v>2982</v>
      </c>
      <c r="D775" s="226" t="s">
        <v>2481</v>
      </c>
      <c r="E775" s="226" t="s">
        <v>3363</v>
      </c>
      <c r="F775" s="227" t="s">
        <v>81</v>
      </c>
      <c r="G775" s="228" t="s">
        <v>81</v>
      </c>
      <c r="H775" s="228"/>
      <c r="I775" s="223" t="s">
        <v>3364</v>
      </c>
      <c r="J775" s="229">
        <v>0</v>
      </c>
      <c r="K775" s="229">
        <v>1440</v>
      </c>
      <c r="L775" s="229" t="s">
        <v>264</v>
      </c>
      <c r="M775" s="229" t="s">
        <v>263</v>
      </c>
      <c r="N775" s="230" t="str">
        <f>IF(ISERROR(MATCH(A775,MemMap!$A$4:$A$98,0)) = FALSE, INDEX(MemMap!$B$4:$B$98,MATCH(A775,MemMap!$A$4:$A$98,0)),IF(F775="Y","TunSetCalSeg",IF(G775="Y", "FlashCalSeg", IF(G775="N", "FlashAppSeg", ""))))</f>
        <v>TunSetCalSeg</v>
      </c>
      <c r="O775" s="220"/>
      <c r="P775" s="221"/>
      <c r="Q775" s="221"/>
      <c r="R775" s="221"/>
    </row>
    <row r="776" spans="1:18" ht="33.75" x14ac:dyDescent="0.2">
      <c r="A776" s="224" t="s">
        <v>3378</v>
      </c>
      <c r="B776" s="225" t="s">
        <v>3379</v>
      </c>
      <c r="C776" s="226" t="s">
        <v>2982</v>
      </c>
      <c r="D776" s="226" t="s">
        <v>2481</v>
      </c>
      <c r="E776" s="226" t="s">
        <v>3380</v>
      </c>
      <c r="F776" s="227" t="s">
        <v>81</v>
      </c>
      <c r="G776" s="228" t="s">
        <v>81</v>
      </c>
      <c r="H776" s="228"/>
      <c r="I776" s="223" t="s">
        <v>3354</v>
      </c>
      <c r="J776" s="229">
        <v>0</v>
      </c>
      <c r="K776" s="229">
        <v>511</v>
      </c>
      <c r="L776" s="229" t="s">
        <v>296</v>
      </c>
      <c r="M776" s="229" t="s">
        <v>336</v>
      </c>
      <c r="N776" s="230" t="str">
        <f>IF(ISERROR(MATCH(A776,MemMap!$A$4:$A$98,0)) = FALSE, INDEX(MemMap!$B$4:$B$98,MATCH(A776,MemMap!$A$4:$A$98,0)),IF(F776="Y","TunSetCalSeg",IF(G776="Y", "FlashCalSeg", IF(G776="N", "FlashAppSeg", ""))))</f>
        <v>TunSetCalSeg</v>
      </c>
      <c r="O776" s="220"/>
      <c r="P776" s="221"/>
      <c r="Q776" s="221"/>
      <c r="R776" s="221"/>
    </row>
    <row r="777" spans="1:18" ht="33.75" x14ac:dyDescent="0.2">
      <c r="A777" s="224" t="s">
        <v>3381</v>
      </c>
      <c r="B777" s="225" t="s">
        <v>3382</v>
      </c>
      <c r="C777" s="226" t="s">
        <v>2982</v>
      </c>
      <c r="D777" s="226" t="s">
        <v>2481</v>
      </c>
      <c r="E777" s="226" t="s">
        <v>3383</v>
      </c>
      <c r="F777" s="227" t="s">
        <v>81</v>
      </c>
      <c r="G777" s="228" t="s">
        <v>81</v>
      </c>
      <c r="H777" s="228"/>
      <c r="I777" s="223" t="s">
        <v>3358</v>
      </c>
      <c r="J777" s="229">
        <v>0</v>
      </c>
      <c r="K777" s="229">
        <v>1600</v>
      </c>
      <c r="L777" s="229" t="s">
        <v>264</v>
      </c>
      <c r="M777" s="229" t="s">
        <v>263</v>
      </c>
      <c r="N777" s="230" t="str">
        <f>IF(ISERROR(MATCH(A777,MemMap!$A$4:$A$98,0)) = FALSE, INDEX(MemMap!$B$4:$B$98,MATCH(A777,MemMap!$A$4:$A$98,0)),IF(F777="Y","TunSetCalSeg",IF(G777="Y", "FlashCalSeg", IF(G777="N", "FlashAppSeg", ""))))</f>
        <v>TunSetCalSeg</v>
      </c>
      <c r="O777" s="220"/>
      <c r="P777" s="221"/>
      <c r="Q777" s="221"/>
      <c r="R777" s="221"/>
    </row>
    <row r="778" spans="1:18" ht="22.5" x14ac:dyDescent="0.2">
      <c r="A778" s="224" t="s">
        <v>3485</v>
      </c>
      <c r="B778" s="225" t="s">
        <v>3486</v>
      </c>
      <c r="C778" s="226" t="s">
        <v>2982</v>
      </c>
      <c r="D778" s="226" t="s">
        <v>2481</v>
      </c>
      <c r="E778" s="226" t="s">
        <v>3487</v>
      </c>
      <c r="F778" s="227" t="s">
        <v>81</v>
      </c>
      <c r="G778" s="228" t="s">
        <v>81</v>
      </c>
      <c r="H778" s="228"/>
      <c r="I778" s="223" t="s">
        <v>3488</v>
      </c>
      <c r="J778" s="229">
        <v>0</v>
      </c>
      <c r="K778" s="229">
        <v>10</v>
      </c>
      <c r="L778" s="229" t="s">
        <v>261</v>
      </c>
      <c r="M778" s="229" t="s">
        <v>377</v>
      </c>
      <c r="N778" s="230" t="str">
        <f>IF(ISERROR(MATCH(A778,MemMap!$A$4:$A$98,0)) = FALSE, INDEX(MemMap!$B$4:$B$98,MATCH(A778,MemMap!$A$4:$A$98,0)),IF(F778="Y","TunSetCalSeg",IF(G778="Y", "FlashCalSeg", IF(G778="N", "FlashAppSeg", ""))))</f>
        <v>TunSetCalSeg</v>
      </c>
      <c r="O778" s="220"/>
      <c r="P778" s="221"/>
      <c r="Q778" s="221"/>
      <c r="R778" s="221"/>
    </row>
    <row r="779" spans="1:18" ht="56.25" x14ac:dyDescent="0.2">
      <c r="A779" s="224" t="s">
        <v>3489</v>
      </c>
      <c r="B779" s="225" t="s">
        <v>3490</v>
      </c>
      <c r="C779" s="226" t="s">
        <v>2982</v>
      </c>
      <c r="D779" s="226" t="s">
        <v>2481</v>
      </c>
      <c r="E779" s="226" t="s">
        <v>3491</v>
      </c>
      <c r="F779" s="227" t="s">
        <v>81</v>
      </c>
      <c r="G779" s="228" t="s">
        <v>81</v>
      </c>
      <c r="H779" s="228"/>
      <c r="I779" s="223" t="s">
        <v>3492</v>
      </c>
      <c r="J779" s="229">
        <v>0</v>
      </c>
      <c r="K779" s="229">
        <v>511</v>
      </c>
      <c r="L779" s="229" t="s">
        <v>296</v>
      </c>
      <c r="M779" s="229" t="s">
        <v>336</v>
      </c>
      <c r="N779" s="230" t="str">
        <f>IF(ISERROR(MATCH(A779,MemMap!$A$4:$A$98,0)) = FALSE, INDEX(MemMap!$B$4:$B$98,MATCH(A779,MemMap!$A$4:$A$98,0)),IF(F779="Y","TunSetCalSeg",IF(G779="Y", "FlashCalSeg", IF(G779="N", "FlashAppSeg", ""))))</f>
        <v>TunSetCalSeg</v>
      </c>
      <c r="O779" s="220"/>
      <c r="P779" s="221"/>
      <c r="Q779" s="221"/>
      <c r="R779" s="221"/>
    </row>
    <row r="780" spans="1:18" ht="56.25" x14ac:dyDescent="0.2">
      <c r="A780" s="224" t="s">
        <v>3493</v>
      </c>
      <c r="B780" s="225" t="s">
        <v>3494</v>
      </c>
      <c r="C780" s="226" t="s">
        <v>2982</v>
      </c>
      <c r="D780" s="226" t="s">
        <v>2481</v>
      </c>
      <c r="E780" s="226" t="s">
        <v>3491</v>
      </c>
      <c r="F780" s="227" t="s">
        <v>81</v>
      </c>
      <c r="G780" s="228" t="s">
        <v>81</v>
      </c>
      <c r="H780" s="228"/>
      <c r="I780" s="223" t="s">
        <v>3495</v>
      </c>
      <c r="J780" s="229">
        <v>0</v>
      </c>
      <c r="K780" s="229">
        <v>100</v>
      </c>
      <c r="L780" s="229" t="s">
        <v>612</v>
      </c>
      <c r="M780" s="229" t="s">
        <v>949</v>
      </c>
      <c r="N780" s="230" t="str">
        <f>IF(ISERROR(MATCH(A780,MemMap!$A$4:$A$98,0)) = FALSE, INDEX(MemMap!$B$4:$B$98,MATCH(A780,MemMap!$A$4:$A$98,0)),IF(F780="Y","TunSetCalSeg",IF(G780="Y", "FlashCalSeg", IF(G780="N", "FlashAppSeg", ""))))</f>
        <v>TunSetCalSeg</v>
      </c>
      <c r="O780" s="220"/>
      <c r="P780" s="221"/>
      <c r="Q780" s="221"/>
      <c r="R780" s="221"/>
    </row>
    <row r="781" spans="1:18" ht="67.5" x14ac:dyDescent="0.2">
      <c r="A781" s="224" t="s">
        <v>3390</v>
      </c>
      <c r="B781" s="225" t="s">
        <v>3391</v>
      </c>
      <c r="C781" s="226" t="s">
        <v>2982</v>
      </c>
      <c r="D781" s="226" t="s">
        <v>2481</v>
      </c>
      <c r="E781" s="226" t="s">
        <v>3392</v>
      </c>
      <c r="F781" s="227" t="s">
        <v>81</v>
      </c>
      <c r="G781" s="228" t="s">
        <v>81</v>
      </c>
      <c r="H781" s="228"/>
      <c r="I781" s="223" t="s">
        <v>3393</v>
      </c>
      <c r="J781" s="229">
        <v>0</v>
      </c>
      <c r="K781" s="229">
        <v>511</v>
      </c>
      <c r="L781" s="229" t="s">
        <v>296</v>
      </c>
      <c r="M781" s="229" t="s">
        <v>336</v>
      </c>
      <c r="N781" s="230" t="str">
        <f>IF(ISERROR(MATCH(A781,MemMap!$A$4:$A$98,0)) = FALSE, INDEX(MemMap!$B$4:$B$98,MATCH(A781,MemMap!$A$4:$A$98,0)),IF(F781="Y","TunSetCalSeg",IF(G781="Y", "FlashCalSeg", IF(G781="N", "FlashAppSeg", ""))))</f>
        <v>TunSetCalSeg</v>
      </c>
      <c r="O781" s="220"/>
      <c r="P781" s="221"/>
      <c r="Q781" s="221"/>
      <c r="R781" s="221"/>
    </row>
    <row r="782" spans="1:18" ht="56.25" x14ac:dyDescent="0.2">
      <c r="A782" s="224" t="s">
        <v>3346</v>
      </c>
      <c r="B782" s="225" t="s">
        <v>3347</v>
      </c>
      <c r="C782" s="226" t="s">
        <v>2982</v>
      </c>
      <c r="D782" s="226" t="s">
        <v>2481</v>
      </c>
      <c r="E782" s="226" t="s">
        <v>2988</v>
      </c>
      <c r="F782" s="227" t="s">
        <v>81</v>
      </c>
      <c r="G782" s="228" t="s">
        <v>81</v>
      </c>
      <c r="H782" s="228"/>
      <c r="I782" s="223" t="s">
        <v>3345</v>
      </c>
      <c r="J782" s="229">
        <v>0</v>
      </c>
      <c r="K782" s="229">
        <v>65535</v>
      </c>
      <c r="L782" s="229" t="s">
        <v>267</v>
      </c>
      <c r="M782" s="229" t="s">
        <v>388</v>
      </c>
      <c r="N782" s="230" t="str">
        <f>IF(ISERROR(MATCH(A782,MemMap!$A$4:$A$98,0)) = FALSE, INDEX(MemMap!$B$4:$B$98,MATCH(A782,MemMap!$A$4:$A$98,0)),IF(F782="Y","TunSetCalSeg",IF(G782="Y", "FlashCalSeg", IF(G782="N", "FlashAppSeg", ""))))</f>
        <v>TunSetCalSeg</v>
      </c>
      <c r="O782" s="220"/>
      <c r="P782" s="221"/>
      <c r="Q782" s="221"/>
      <c r="R782" s="221"/>
    </row>
    <row r="783" spans="1:18" ht="56.25" x14ac:dyDescent="0.2">
      <c r="A783" s="224" t="s">
        <v>3343</v>
      </c>
      <c r="B783" s="225" t="s">
        <v>3344</v>
      </c>
      <c r="C783" s="226" t="s">
        <v>2982</v>
      </c>
      <c r="D783" s="226" t="s">
        <v>2481</v>
      </c>
      <c r="E783" s="226" t="s">
        <v>2987</v>
      </c>
      <c r="F783" s="227" t="s">
        <v>81</v>
      </c>
      <c r="G783" s="228" t="s">
        <v>81</v>
      </c>
      <c r="H783" s="228"/>
      <c r="I783" s="223" t="s">
        <v>3345</v>
      </c>
      <c r="J783" s="229">
        <v>0</v>
      </c>
      <c r="K783" s="229">
        <v>65535</v>
      </c>
      <c r="L783" s="229" t="s">
        <v>267</v>
      </c>
      <c r="M783" s="229" t="s">
        <v>388</v>
      </c>
      <c r="N783" s="230" t="str">
        <f>IF(ISERROR(MATCH(A783,MemMap!$A$4:$A$98,0)) = FALSE, INDEX(MemMap!$B$4:$B$98,MATCH(A783,MemMap!$A$4:$A$98,0)),IF(F783="Y","TunSetCalSeg",IF(G783="Y", "FlashCalSeg", IF(G783="N", "FlashAppSeg", ""))))</f>
        <v>TunSetCalSeg</v>
      </c>
      <c r="O783" s="220"/>
      <c r="P783" s="221"/>
      <c r="Q783" s="221"/>
      <c r="R783" s="221"/>
    </row>
    <row r="784" spans="1:18" ht="101.25" x14ac:dyDescent="0.2">
      <c r="A784" s="224" t="s">
        <v>3348</v>
      </c>
      <c r="B784" s="225" t="s">
        <v>3349</v>
      </c>
      <c r="C784" s="226" t="s">
        <v>2982</v>
      </c>
      <c r="D784" s="226" t="s">
        <v>2481</v>
      </c>
      <c r="E784" s="226" t="s">
        <v>2989</v>
      </c>
      <c r="F784" s="227" t="s">
        <v>81</v>
      </c>
      <c r="G784" s="228" t="s">
        <v>81</v>
      </c>
      <c r="H784" s="228"/>
      <c r="I784" s="223" t="s">
        <v>3350</v>
      </c>
      <c r="J784" s="229">
        <v>0</v>
      </c>
      <c r="K784" s="229">
        <v>31</v>
      </c>
      <c r="L784" s="229" t="s">
        <v>1334</v>
      </c>
      <c r="M784" s="229" t="s">
        <v>377</v>
      </c>
      <c r="N784" s="230" t="str">
        <f>IF(ISERROR(MATCH(A784,MemMap!$A$4:$A$98,0)) = FALSE, INDEX(MemMap!$B$4:$B$98,MATCH(A784,MemMap!$A$4:$A$98,0)),IF(F784="Y","TunSetCalSeg",IF(G784="Y", "FlashCalSeg", IF(G784="N", "FlashAppSeg", ""))))</f>
        <v>TunSetCalSeg</v>
      </c>
      <c r="O784" s="220"/>
      <c r="P784" s="221"/>
      <c r="Q784" s="221"/>
      <c r="R784" s="221"/>
    </row>
    <row r="785" spans="1:18" ht="56.25" x14ac:dyDescent="0.2">
      <c r="A785" s="224" t="s">
        <v>3365</v>
      </c>
      <c r="B785" s="225" t="s">
        <v>3366</v>
      </c>
      <c r="C785" s="226" t="s">
        <v>2982</v>
      </c>
      <c r="D785" s="226" t="s">
        <v>2481</v>
      </c>
      <c r="E785" s="226" t="s">
        <v>2991</v>
      </c>
      <c r="F785" s="227" t="s">
        <v>81</v>
      </c>
      <c r="G785" s="228" t="s">
        <v>81</v>
      </c>
      <c r="H785" s="228"/>
      <c r="I785" s="223" t="s">
        <v>3345</v>
      </c>
      <c r="J785" s="229">
        <v>0</v>
      </c>
      <c r="K785" s="229">
        <v>65535</v>
      </c>
      <c r="L785" s="229" t="s">
        <v>267</v>
      </c>
      <c r="M785" s="229" t="s">
        <v>263</v>
      </c>
      <c r="N785" s="230" t="str">
        <f>IF(ISERROR(MATCH(A785,MemMap!$A$4:$A$98,0)) = FALSE, INDEX(MemMap!$B$4:$B$98,MATCH(A785,MemMap!$A$4:$A$98,0)),IF(F785="Y","TunSetCalSeg",IF(G785="Y", "FlashCalSeg", IF(G785="N", "FlashAppSeg", ""))))</f>
        <v>TunSetCalSeg</v>
      </c>
      <c r="O785" s="220"/>
      <c r="P785" s="221"/>
      <c r="Q785" s="221"/>
      <c r="R785" s="221"/>
    </row>
    <row r="786" spans="1:18" ht="56.25" x14ac:dyDescent="0.2">
      <c r="A786" s="224" t="s">
        <v>3367</v>
      </c>
      <c r="B786" s="225" t="s">
        <v>3368</v>
      </c>
      <c r="C786" s="226" t="s">
        <v>2982</v>
      </c>
      <c r="D786" s="226" t="s">
        <v>2481</v>
      </c>
      <c r="E786" s="226" t="s">
        <v>2992</v>
      </c>
      <c r="F786" s="227" t="s">
        <v>81</v>
      </c>
      <c r="G786" s="228" t="s">
        <v>81</v>
      </c>
      <c r="H786" s="228"/>
      <c r="I786" s="223" t="s">
        <v>3345</v>
      </c>
      <c r="J786" s="229">
        <v>0</v>
      </c>
      <c r="K786" s="229">
        <v>65535</v>
      </c>
      <c r="L786" s="229" t="s">
        <v>267</v>
      </c>
      <c r="M786" s="229" t="s">
        <v>263</v>
      </c>
      <c r="N786" s="230" t="str">
        <f>IF(ISERROR(MATCH(A786,MemMap!$A$4:$A$98,0)) = FALSE, INDEX(MemMap!$B$4:$B$98,MATCH(A786,MemMap!$A$4:$A$98,0)),IF(F786="Y","TunSetCalSeg",IF(G786="Y", "FlashCalSeg", IF(G786="N", "FlashAppSeg", ""))))</f>
        <v>TunSetCalSeg</v>
      </c>
      <c r="O786" s="220"/>
      <c r="P786" s="221"/>
      <c r="Q786" s="221"/>
      <c r="R786" s="221"/>
    </row>
    <row r="787" spans="1:18" ht="67.5" x14ac:dyDescent="0.2">
      <c r="A787" s="224" t="s">
        <v>3369</v>
      </c>
      <c r="B787" s="225" t="s">
        <v>3370</v>
      </c>
      <c r="C787" s="226" t="s">
        <v>2982</v>
      </c>
      <c r="D787" s="226" t="s">
        <v>2481</v>
      </c>
      <c r="E787" s="226" t="s">
        <v>2993</v>
      </c>
      <c r="F787" s="227" t="s">
        <v>81</v>
      </c>
      <c r="G787" s="228" t="s">
        <v>81</v>
      </c>
      <c r="H787" s="228"/>
      <c r="I787" s="223" t="s">
        <v>3371</v>
      </c>
      <c r="J787" s="229">
        <v>0</v>
      </c>
      <c r="K787" s="229">
        <v>1600</v>
      </c>
      <c r="L787" s="229" t="s">
        <v>264</v>
      </c>
      <c r="M787" s="229" t="s">
        <v>471</v>
      </c>
      <c r="N787" s="230" t="str">
        <f>IF(ISERROR(MATCH(A787,MemMap!$A$4:$A$98,0)) = FALSE, INDEX(MemMap!$B$4:$B$98,MATCH(A787,MemMap!$A$4:$A$98,0)),IF(F787="Y","TunSetCalSeg",IF(G787="Y", "FlashCalSeg", IF(G787="N", "FlashAppSeg", ""))))</f>
        <v>TunSetCalSeg</v>
      </c>
      <c r="O787" s="220"/>
      <c r="P787" s="221"/>
      <c r="Q787" s="221"/>
      <c r="R787" s="221"/>
    </row>
    <row r="788" spans="1:18" ht="90" x14ac:dyDescent="0.2">
      <c r="A788" s="224" t="s">
        <v>3384</v>
      </c>
      <c r="B788" s="225" t="s">
        <v>3385</v>
      </c>
      <c r="C788" s="226" t="s">
        <v>2982</v>
      </c>
      <c r="D788" s="226" t="s">
        <v>2481</v>
      </c>
      <c r="E788" s="226" t="s">
        <v>2995</v>
      </c>
      <c r="F788" s="227" t="s">
        <v>81</v>
      </c>
      <c r="G788" s="228" t="s">
        <v>81</v>
      </c>
      <c r="H788" s="228"/>
      <c r="I788" s="223" t="s">
        <v>3345</v>
      </c>
      <c r="J788" s="229">
        <v>0</v>
      </c>
      <c r="K788" s="229">
        <v>65535</v>
      </c>
      <c r="L788" s="229" t="s">
        <v>267</v>
      </c>
      <c r="M788" s="229" t="s">
        <v>263</v>
      </c>
      <c r="N788" s="230" t="str">
        <f>IF(ISERROR(MATCH(A788,MemMap!$A$4:$A$98,0)) = FALSE, INDEX(MemMap!$B$4:$B$98,MATCH(A788,MemMap!$A$4:$A$98,0)),IF(F788="Y","TunSetCalSeg",IF(G788="Y", "FlashCalSeg", IF(G788="N", "FlashAppSeg", ""))))</f>
        <v>TunSetCalSeg</v>
      </c>
      <c r="O788" s="220"/>
      <c r="P788" s="221"/>
      <c r="Q788" s="221"/>
      <c r="R788" s="221"/>
    </row>
    <row r="789" spans="1:18" ht="78.75" x14ac:dyDescent="0.2">
      <c r="A789" s="224" t="s">
        <v>3386</v>
      </c>
      <c r="B789" s="225" t="s">
        <v>3387</v>
      </c>
      <c r="C789" s="226" t="s">
        <v>2982</v>
      </c>
      <c r="D789" s="226" t="s">
        <v>2481</v>
      </c>
      <c r="E789" s="226" t="s">
        <v>2996</v>
      </c>
      <c r="F789" s="227" t="s">
        <v>81</v>
      </c>
      <c r="G789" s="228" t="s">
        <v>81</v>
      </c>
      <c r="H789" s="228"/>
      <c r="I789" s="223" t="s">
        <v>3345</v>
      </c>
      <c r="J789" s="229">
        <v>0</v>
      </c>
      <c r="K789" s="229">
        <v>65535</v>
      </c>
      <c r="L789" s="229" t="s">
        <v>267</v>
      </c>
      <c r="M789" s="229" t="s">
        <v>263</v>
      </c>
      <c r="N789" s="230" t="str">
        <f>IF(ISERROR(MATCH(A789,MemMap!$A$4:$A$98,0)) = FALSE, INDEX(MemMap!$B$4:$B$98,MATCH(A789,MemMap!$A$4:$A$98,0)),IF(F789="Y","TunSetCalSeg",IF(G789="Y", "FlashCalSeg", IF(G789="N", "FlashAppSeg", ""))))</f>
        <v>TunSetCalSeg</v>
      </c>
      <c r="O789" s="220"/>
      <c r="P789" s="221"/>
      <c r="Q789" s="221"/>
      <c r="R789" s="221"/>
    </row>
    <row r="790" spans="1:18" ht="45" x14ac:dyDescent="0.2">
      <c r="A790" s="224" t="s">
        <v>3388</v>
      </c>
      <c r="B790" s="225" t="s">
        <v>3389</v>
      </c>
      <c r="C790" s="226" t="s">
        <v>2982</v>
      </c>
      <c r="D790" s="226" t="s">
        <v>2481</v>
      </c>
      <c r="E790" s="226" t="s">
        <v>2997</v>
      </c>
      <c r="F790" s="227" t="s">
        <v>81</v>
      </c>
      <c r="G790" s="228" t="s">
        <v>81</v>
      </c>
      <c r="H790" s="228"/>
      <c r="I790" s="223" t="s">
        <v>3350</v>
      </c>
      <c r="J790" s="229">
        <v>0</v>
      </c>
      <c r="K790" s="229">
        <v>31</v>
      </c>
      <c r="L790" s="229" t="s">
        <v>1334</v>
      </c>
      <c r="M790" s="229" t="s">
        <v>377</v>
      </c>
      <c r="N790" s="230" t="str">
        <f>IF(ISERROR(MATCH(A790,MemMap!$A$4:$A$98,0)) = FALSE, INDEX(MemMap!$B$4:$B$98,MATCH(A790,MemMap!$A$4:$A$98,0)),IF(F790="Y","TunSetCalSeg",IF(G790="Y", "FlashCalSeg", IF(G790="N", "FlashAppSeg", ""))))</f>
        <v>TunSetCalSeg</v>
      </c>
      <c r="O790" s="220"/>
      <c r="P790" s="221"/>
      <c r="Q790" s="221"/>
      <c r="R790" s="221"/>
    </row>
    <row r="791" spans="1:18" ht="33.75" x14ac:dyDescent="0.2">
      <c r="A791" s="224" t="s">
        <v>3477</v>
      </c>
      <c r="B791" s="225" t="s">
        <v>3478</v>
      </c>
      <c r="C791" s="226" t="s">
        <v>2982</v>
      </c>
      <c r="D791" s="226" t="s">
        <v>2481</v>
      </c>
      <c r="E791" s="226" t="s">
        <v>3479</v>
      </c>
      <c r="F791" s="227" t="s">
        <v>81</v>
      </c>
      <c r="G791" s="228" t="s">
        <v>81</v>
      </c>
      <c r="H791" s="228"/>
      <c r="I791" s="223" t="s">
        <v>3480</v>
      </c>
      <c r="J791" s="229">
        <v>0</v>
      </c>
      <c r="K791" s="229">
        <v>511</v>
      </c>
      <c r="L791" s="229" t="s">
        <v>296</v>
      </c>
      <c r="M791" s="229" t="s">
        <v>336</v>
      </c>
      <c r="N791" s="230" t="str">
        <f>IF(ISERROR(MATCH(A791,MemMap!$A$4:$A$98,0)) = FALSE, INDEX(MemMap!$B$4:$B$98,MATCH(A791,MemMap!$A$4:$A$98,0)),IF(F791="Y","TunSetCalSeg",IF(G791="Y", "FlashCalSeg", IF(G791="N", "FlashAppSeg", ""))))</f>
        <v>TunSetCalSeg</v>
      </c>
      <c r="O791" s="220"/>
      <c r="P791" s="221"/>
      <c r="Q791" s="221"/>
      <c r="R791" s="221"/>
    </row>
    <row r="792" spans="1:18" ht="33.75" x14ac:dyDescent="0.2">
      <c r="A792" s="224" t="s">
        <v>3481</v>
      </c>
      <c r="B792" s="225" t="s">
        <v>3482</v>
      </c>
      <c r="C792" s="226" t="s">
        <v>2982</v>
      </c>
      <c r="D792" s="226" t="s">
        <v>2481</v>
      </c>
      <c r="E792" s="226" t="s">
        <v>3483</v>
      </c>
      <c r="F792" s="227" t="s">
        <v>81</v>
      </c>
      <c r="G792" s="228" t="s">
        <v>81</v>
      </c>
      <c r="H792" s="228"/>
      <c r="I792" s="223" t="s">
        <v>3484</v>
      </c>
      <c r="J792" s="229">
        <v>0</v>
      </c>
      <c r="K792" s="229">
        <v>32</v>
      </c>
      <c r="L792" s="229" t="s">
        <v>1334</v>
      </c>
      <c r="M792" s="229" t="s">
        <v>949</v>
      </c>
      <c r="N792" s="230" t="str">
        <f>IF(ISERROR(MATCH(A792,MemMap!$A$4:$A$98,0)) = FALSE, INDEX(MemMap!$B$4:$B$98,MATCH(A792,MemMap!$A$4:$A$98,0)),IF(F792="Y","TunSetCalSeg",IF(G792="Y", "FlashCalSeg", IF(G792="N", "FlashAppSeg", ""))))</f>
        <v>TunSetCalSeg</v>
      </c>
      <c r="O792" s="220"/>
      <c r="P792" s="221"/>
      <c r="Q792" s="221"/>
      <c r="R792" s="221"/>
    </row>
    <row r="793" spans="1:18" ht="33.75" x14ac:dyDescent="0.2">
      <c r="A793" s="224" t="s">
        <v>3396</v>
      </c>
      <c r="B793" s="225" t="s">
        <v>3396</v>
      </c>
      <c r="C793" s="226" t="s">
        <v>2514</v>
      </c>
      <c r="D793" s="226" t="s">
        <v>2482</v>
      </c>
      <c r="E793" s="226" t="s">
        <v>2513</v>
      </c>
      <c r="F793" s="227" t="s">
        <v>81</v>
      </c>
      <c r="G793" s="228" t="s">
        <v>81</v>
      </c>
      <c r="H793" s="228"/>
      <c r="I793" s="223">
        <v>1</v>
      </c>
      <c r="J793" s="229">
        <v>0.1</v>
      </c>
      <c r="K793" s="229">
        <v>500</v>
      </c>
      <c r="L793" s="229" t="s">
        <v>804</v>
      </c>
      <c r="M793" s="229" t="s">
        <v>257</v>
      </c>
      <c r="N793" s="230" t="str">
        <f>IF(ISERROR(MATCH(A793,MemMap!$A$4:$A$98,0)) = FALSE, INDEX(MemMap!$B$4:$B$98,MATCH(A793,MemMap!$A$4:$A$98,0)),IF(F793="Y","TunSetCalSeg",IF(G793="Y", "FlashCalSeg", IF(G793="N", "FlashAppSeg", ""))))</f>
        <v>TunSetCalSeg</v>
      </c>
      <c r="O793" s="220"/>
      <c r="P793" s="221"/>
      <c r="Q793" s="221"/>
      <c r="R793" s="221"/>
    </row>
    <row r="794" spans="1:18" ht="33.75" x14ac:dyDescent="0.2">
      <c r="A794" s="224" t="s">
        <v>3499</v>
      </c>
      <c r="B794" s="225" t="s">
        <v>3499</v>
      </c>
      <c r="C794" s="226" t="s">
        <v>2514</v>
      </c>
      <c r="D794" s="226" t="s">
        <v>2482</v>
      </c>
      <c r="E794" s="226" t="s">
        <v>3500</v>
      </c>
      <c r="F794" s="227" t="s">
        <v>81</v>
      </c>
      <c r="G794" s="228" t="s">
        <v>81</v>
      </c>
      <c r="H794" s="228"/>
      <c r="I794" s="223">
        <v>0.02</v>
      </c>
      <c r="J794" s="229">
        <v>0</v>
      </c>
      <c r="K794" s="229">
        <v>1</v>
      </c>
      <c r="L794" s="229" t="s">
        <v>256</v>
      </c>
      <c r="M794" s="229" t="s">
        <v>257</v>
      </c>
      <c r="N794" s="230" t="str">
        <f>IF(ISERROR(MATCH(A794,MemMap!$A$4:$A$98,0)) = FALSE, INDEX(MemMap!$B$4:$B$98,MATCH(A794,MemMap!$A$4:$A$98,0)),IF(F794="Y","TunSetCalSeg",IF(G794="Y", "FlashCalSeg", IF(G794="N", "FlashAppSeg", ""))))</f>
        <v>TunSetCalSeg</v>
      </c>
      <c r="O794" s="220"/>
      <c r="P794" s="221"/>
      <c r="Q794" s="221"/>
      <c r="R794" s="221"/>
    </row>
    <row r="795" spans="1:18" ht="33.75" x14ac:dyDescent="0.2">
      <c r="A795" s="224" t="s">
        <v>3443</v>
      </c>
      <c r="B795" s="233" t="s">
        <v>3443</v>
      </c>
      <c r="C795" s="226" t="s">
        <v>2514</v>
      </c>
      <c r="D795" s="226" t="s">
        <v>2482</v>
      </c>
      <c r="E795" s="234" t="s">
        <v>3510</v>
      </c>
      <c r="F795" s="227" t="s">
        <v>81</v>
      </c>
      <c r="G795" s="228" t="s">
        <v>81</v>
      </c>
      <c r="H795" s="228"/>
      <c r="I795" s="223" t="s">
        <v>3508</v>
      </c>
      <c r="J795" s="229"/>
      <c r="K795" s="229"/>
      <c r="L795" s="229" t="s">
        <v>267</v>
      </c>
      <c r="M795" s="229" t="s">
        <v>565</v>
      </c>
      <c r="N795" s="230" t="str">
        <f>IF(ISERROR(MATCH(A795,MemMap!$A$4:$A$98,0)) = FALSE, INDEX(MemMap!$B$4:$B$98,MATCH(A795,MemMap!$A$4:$A$98,0)),IF(F795="Y","TunSetCalSeg",IF(G795="Y", "FlashCalSeg", IF(G795="N", "FlashAppSeg", ""))))</f>
        <v>TunSetCalSeg</v>
      </c>
      <c r="O795" s="220"/>
      <c r="P795" s="221"/>
      <c r="Q795" s="221"/>
      <c r="R795" s="221"/>
    </row>
    <row r="796" spans="1:18" ht="33.75" x14ac:dyDescent="0.2">
      <c r="A796" s="224" t="s">
        <v>3498</v>
      </c>
      <c r="B796" s="225" t="s">
        <v>3498</v>
      </c>
      <c r="C796" s="226" t="s">
        <v>2514</v>
      </c>
      <c r="D796" s="226" t="s">
        <v>2482</v>
      </c>
      <c r="E796" s="226"/>
      <c r="F796" s="227" t="s">
        <v>81</v>
      </c>
      <c r="G796" s="228" t="s">
        <v>81</v>
      </c>
      <c r="H796" s="228"/>
      <c r="I796" s="223">
        <v>1</v>
      </c>
      <c r="J796" s="229">
        <v>0</v>
      </c>
      <c r="K796" s="229">
        <v>65535</v>
      </c>
      <c r="L796" s="229" t="s">
        <v>267</v>
      </c>
      <c r="M796" s="229" t="s">
        <v>263</v>
      </c>
      <c r="N796" s="230" t="str">
        <f>IF(ISERROR(MATCH(A796,MemMap!$A$4:$A$98,0)) = FALSE, INDEX(MemMap!$B$4:$B$98,MATCH(A796,MemMap!$A$4:$A$98,0)),IF(F796="Y","TunSetCalSeg",IF(G796="Y", "FlashCalSeg", IF(G796="N", "FlashAppSeg", ""))))</f>
        <v>TunSetCalSeg</v>
      </c>
      <c r="O796" s="220"/>
      <c r="P796" s="221"/>
      <c r="Q796" s="221"/>
      <c r="R796" s="221"/>
    </row>
    <row r="797" spans="1:18" ht="33.75" x14ac:dyDescent="0.2">
      <c r="A797" s="224" t="s">
        <v>3497</v>
      </c>
      <c r="B797" s="225" t="s">
        <v>3497</v>
      </c>
      <c r="C797" s="226" t="s">
        <v>2514</v>
      </c>
      <c r="D797" s="226" t="s">
        <v>2482</v>
      </c>
      <c r="E797" s="226"/>
      <c r="F797" s="227" t="s">
        <v>81</v>
      </c>
      <c r="G797" s="228" t="s">
        <v>81</v>
      </c>
      <c r="H797" s="228"/>
      <c r="I797" s="223">
        <v>1</v>
      </c>
      <c r="J797" s="229">
        <v>0</v>
      </c>
      <c r="K797" s="229">
        <v>65535</v>
      </c>
      <c r="L797" s="229" t="s">
        <v>267</v>
      </c>
      <c r="M797" s="229" t="s">
        <v>263</v>
      </c>
      <c r="N797" s="230" t="str">
        <f>IF(ISERROR(MATCH(A797,MemMap!$A$4:$A$98,0)) = FALSE, INDEX(MemMap!$B$4:$B$98,MATCH(A797,MemMap!$A$4:$A$98,0)),IF(F797="Y","TunSetCalSeg",IF(G797="Y", "FlashCalSeg", IF(G797="N", "FlashAppSeg", ""))))</f>
        <v>TunSetCalSeg</v>
      </c>
      <c r="O797" s="220"/>
      <c r="P797" s="221"/>
      <c r="Q797" s="221"/>
      <c r="R797" s="221"/>
    </row>
    <row r="798" spans="1:18" ht="33.75" x14ac:dyDescent="0.2">
      <c r="A798" s="224" t="s">
        <v>3496</v>
      </c>
      <c r="B798" s="225" t="s">
        <v>3496</v>
      </c>
      <c r="C798" s="226" t="s">
        <v>2514</v>
      </c>
      <c r="D798" s="226" t="s">
        <v>2482</v>
      </c>
      <c r="E798" s="226"/>
      <c r="F798" s="227" t="s">
        <v>81</v>
      </c>
      <c r="G798" s="228" t="s">
        <v>81</v>
      </c>
      <c r="H798" s="228"/>
      <c r="I798" s="223">
        <v>10</v>
      </c>
      <c r="J798" s="229">
        <v>0</v>
      </c>
      <c r="K798" s="229">
        <v>65535</v>
      </c>
      <c r="L798" s="229" t="s">
        <v>267</v>
      </c>
      <c r="M798" s="229" t="s">
        <v>263</v>
      </c>
      <c r="N798" s="230" t="str">
        <f>IF(ISERROR(MATCH(A798,MemMap!$A$4:$A$98,0)) = FALSE, INDEX(MemMap!$B$4:$B$98,MATCH(A798,MemMap!$A$4:$A$98,0)),IF(F798="Y","TunSetCalSeg",IF(G798="Y", "FlashCalSeg", IF(G798="N", "FlashAppSeg", ""))))</f>
        <v>TunSetCalSeg</v>
      </c>
      <c r="O798" s="220"/>
      <c r="P798" s="221"/>
      <c r="Q798" s="221"/>
      <c r="R798" s="221"/>
    </row>
    <row r="799" spans="1:18" ht="33.75" x14ac:dyDescent="0.2">
      <c r="A799" s="224" t="s">
        <v>3397</v>
      </c>
      <c r="B799" s="225" t="s">
        <v>3397</v>
      </c>
      <c r="C799" s="226" t="s">
        <v>2514</v>
      </c>
      <c r="D799" s="226" t="s">
        <v>2482</v>
      </c>
      <c r="E799" s="226" t="s">
        <v>2515</v>
      </c>
      <c r="F799" s="227" t="s">
        <v>81</v>
      </c>
      <c r="G799" s="228" t="s">
        <v>81</v>
      </c>
      <c r="H799" s="228"/>
      <c r="I799" s="223">
        <v>0.2</v>
      </c>
      <c r="J799" s="229">
        <v>0</v>
      </c>
      <c r="K799" s="229">
        <v>1</v>
      </c>
      <c r="L799" s="229" t="s">
        <v>804</v>
      </c>
      <c r="M799" s="229" t="s">
        <v>257</v>
      </c>
      <c r="N799" s="230" t="str">
        <f>IF(ISERROR(MATCH(A799,MemMap!$A$4:$A$98,0)) = FALSE, INDEX(MemMap!$B$4:$B$98,MATCH(A799,MemMap!$A$4:$A$98,0)),IF(F799="Y","TunSetCalSeg",IF(G799="Y", "FlashCalSeg", IF(G799="N", "FlashAppSeg", ""))))</f>
        <v>TunSetCalSeg</v>
      </c>
      <c r="O799" s="220"/>
      <c r="P799" s="221"/>
      <c r="Q799" s="221"/>
      <c r="R799" s="221"/>
    </row>
    <row r="800" spans="1:18" ht="33.75" x14ac:dyDescent="0.2">
      <c r="A800" s="224" t="s">
        <v>3398</v>
      </c>
      <c r="B800" s="225" t="s">
        <v>3398</v>
      </c>
      <c r="C800" s="226" t="s">
        <v>2514</v>
      </c>
      <c r="D800" s="226" t="s">
        <v>2482</v>
      </c>
      <c r="E800" s="226" t="s">
        <v>2516</v>
      </c>
      <c r="F800" s="227" t="s">
        <v>81</v>
      </c>
      <c r="G800" s="228" t="s">
        <v>81</v>
      </c>
      <c r="H800" s="228"/>
      <c r="I800" s="223">
        <v>0.2</v>
      </c>
      <c r="J800" s="229">
        <v>0</v>
      </c>
      <c r="K800" s="229">
        <v>2</v>
      </c>
      <c r="L800" s="229" t="s">
        <v>258</v>
      </c>
      <c r="M800" s="229" t="s">
        <v>257</v>
      </c>
      <c r="N800" s="230" t="str">
        <f>IF(ISERROR(MATCH(A800,MemMap!$A$4:$A$98,0)) = FALSE, INDEX(MemMap!$B$4:$B$98,MATCH(A800,MemMap!$A$4:$A$98,0)),IF(F800="Y","TunSetCalSeg",IF(G800="Y", "FlashCalSeg", IF(G800="N", "FlashAppSeg", ""))))</f>
        <v>TunSetCalSeg</v>
      </c>
      <c r="O800" s="220"/>
      <c r="P800" s="221"/>
      <c r="Q800" s="221"/>
      <c r="R800" s="221"/>
    </row>
    <row r="801" spans="1:18" ht="33.75" x14ac:dyDescent="0.2">
      <c r="A801" s="224" t="s">
        <v>3399</v>
      </c>
      <c r="B801" s="225" t="s">
        <v>3399</v>
      </c>
      <c r="C801" s="226" t="s">
        <v>2514</v>
      </c>
      <c r="D801" s="226" t="s">
        <v>2482</v>
      </c>
      <c r="E801" s="234" t="s">
        <v>3511</v>
      </c>
      <c r="F801" s="227" t="s">
        <v>81</v>
      </c>
      <c r="G801" s="228" t="s">
        <v>81</v>
      </c>
      <c r="H801" s="228"/>
      <c r="I801" s="223">
        <v>0.2</v>
      </c>
      <c r="J801" s="229">
        <v>0.1</v>
      </c>
      <c r="K801" s="229">
        <v>2</v>
      </c>
      <c r="L801" s="229" t="s">
        <v>612</v>
      </c>
      <c r="M801" s="229" t="s">
        <v>257</v>
      </c>
      <c r="N801" s="230" t="str">
        <f>IF(ISERROR(MATCH(A801,MemMap!$A$4:$A$98,0)) = FALSE, INDEX(MemMap!$B$4:$B$98,MATCH(A801,MemMap!$A$4:$A$98,0)),IF(F801="Y","TunSetCalSeg",IF(G801="Y", "FlashCalSeg", IF(G801="N", "FlashAppSeg", ""))))</f>
        <v>TunSetCalSeg</v>
      </c>
      <c r="O801" s="220"/>
      <c r="P801" s="221"/>
      <c r="Q801" s="221"/>
      <c r="R801" s="221"/>
    </row>
    <row r="802" spans="1:18" ht="33.75" x14ac:dyDescent="0.2">
      <c r="A802" s="224" t="s">
        <v>3400</v>
      </c>
      <c r="B802" s="225" t="s">
        <v>3400</v>
      </c>
      <c r="C802" s="226" t="s">
        <v>2514</v>
      </c>
      <c r="D802" s="226" t="s">
        <v>2482</v>
      </c>
      <c r="E802" s="226" t="s">
        <v>2998</v>
      </c>
      <c r="F802" s="227" t="s">
        <v>81</v>
      </c>
      <c r="G802" s="228" t="s">
        <v>81</v>
      </c>
      <c r="H802" s="228"/>
      <c r="I802" s="223" t="s">
        <v>3215</v>
      </c>
      <c r="J802" s="229"/>
      <c r="K802" s="229"/>
      <c r="L802" s="229" t="s">
        <v>267</v>
      </c>
      <c r="M802" s="229" t="s">
        <v>565</v>
      </c>
      <c r="N802" s="230" t="str">
        <f>IF(ISERROR(MATCH(A802,MemMap!$A$4:$A$98,0)) = FALSE, INDEX(MemMap!$B$4:$B$98,MATCH(A802,MemMap!$A$4:$A$98,0)),IF(F802="Y","TunSetCalSeg",IF(G802="Y", "FlashCalSeg", IF(G802="N", "FlashAppSeg", ""))))</f>
        <v>TunSetCalSeg</v>
      </c>
      <c r="O802" s="220"/>
      <c r="P802" s="221"/>
      <c r="Q802" s="221"/>
      <c r="R802" s="221"/>
    </row>
    <row r="803" spans="1:18" ht="33.75" x14ac:dyDescent="0.2">
      <c r="A803" s="224" t="s">
        <v>3402</v>
      </c>
      <c r="B803" s="225" t="s">
        <v>3402</v>
      </c>
      <c r="C803" s="226" t="s">
        <v>2514</v>
      </c>
      <c r="D803" s="226" t="s">
        <v>2482</v>
      </c>
      <c r="E803" s="226"/>
      <c r="F803" s="227" t="s">
        <v>81</v>
      </c>
      <c r="G803" s="228" t="s">
        <v>81</v>
      </c>
      <c r="H803" s="228"/>
      <c r="I803" s="223">
        <v>1</v>
      </c>
      <c r="J803" s="229">
        <v>0</v>
      </c>
      <c r="K803" s="229">
        <v>65535</v>
      </c>
      <c r="L803" s="229" t="s">
        <v>267</v>
      </c>
      <c r="M803" s="229" t="s">
        <v>263</v>
      </c>
      <c r="N803" s="230" t="str">
        <f>IF(ISERROR(MATCH(A803,MemMap!$A$4:$A$98,0)) = FALSE, INDEX(MemMap!$B$4:$B$98,MATCH(A803,MemMap!$A$4:$A$98,0)),IF(F803="Y","TunSetCalSeg",IF(G803="Y", "FlashCalSeg", IF(G803="N", "FlashAppSeg", ""))))</f>
        <v>TunSetCalSeg</v>
      </c>
      <c r="O803" s="220"/>
      <c r="P803" s="221"/>
      <c r="Q803" s="221"/>
      <c r="R803" s="221"/>
    </row>
    <row r="804" spans="1:18" ht="33.75" x14ac:dyDescent="0.2">
      <c r="A804" s="224" t="s">
        <v>3401</v>
      </c>
      <c r="B804" s="225" t="s">
        <v>3401</v>
      </c>
      <c r="C804" s="226" t="s">
        <v>2514</v>
      </c>
      <c r="D804" s="226" t="s">
        <v>2482</v>
      </c>
      <c r="E804" s="226"/>
      <c r="F804" s="227" t="s">
        <v>81</v>
      </c>
      <c r="G804" s="228" t="s">
        <v>81</v>
      </c>
      <c r="H804" s="228"/>
      <c r="I804" s="223">
        <v>1</v>
      </c>
      <c r="J804" s="229">
        <v>0</v>
      </c>
      <c r="K804" s="229">
        <v>65535</v>
      </c>
      <c r="L804" s="229" t="s">
        <v>267</v>
      </c>
      <c r="M804" s="229" t="s">
        <v>263</v>
      </c>
      <c r="N804" s="230" t="str">
        <f>IF(ISERROR(MATCH(A804,MemMap!$A$4:$A$98,0)) = FALSE, INDEX(MemMap!$B$4:$B$98,MATCH(A804,MemMap!$A$4:$A$98,0)),IF(F804="Y","TunSetCalSeg",IF(G804="Y", "FlashCalSeg", IF(G804="N", "FlashAppSeg", ""))))</f>
        <v>TunSetCalSeg</v>
      </c>
      <c r="O804" s="220"/>
      <c r="P804" s="221"/>
      <c r="Q804" s="221"/>
      <c r="R804" s="221"/>
    </row>
    <row r="805" spans="1:18" ht="33.75" x14ac:dyDescent="0.2">
      <c r="A805" s="224" t="s">
        <v>3501</v>
      </c>
      <c r="B805" s="225" t="s">
        <v>3501</v>
      </c>
      <c r="C805" s="226" t="s">
        <v>2514</v>
      </c>
      <c r="D805" s="226" t="s">
        <v>2482</v>
      </c>
      <c r="E805" s="226"/>
      <c r="F805" s="227" t="s">
        <v>81</v>
      </c>
      <c r="G805" s="228" t="s">
        <v>81</v>
      </c>
      <c r="H805" s="228"/>
      <c r="I805" s="223">
        <v>120</v>
      </c>
      <c r="J805" s="229">
        <v>0</v>
      </c>
      <c r="K805" s="229">
        <v>65535</v>
      </c>
      <c r="L805" s="229" t="s">
        <v>267</v>
      </c>
      <c r="M805" s="229" t="s">
        <v>263</v>
      </c>
      <c r="N805" s="230" t="str">
        <f>IF(ISERROR(MATCH(A805,MemMap!$A$4:$A$98,0)) = FALSE, INDEX(MemMap!$B$4:$B$98,MATCH(A805,MemMap!$A$4:$A$98,0)),IF(F805="Y","TunSetCalSeg",IF(G805="Y", "FlashCalSeg", IF(G805="N", "FlashAppSeg", ""))))</f>
        <v>TunSetCalSeg</v>
      </c>
      <c r="O805" s="220"/>
      <c r="P805" s="221"/>
      <c r="Q805" s="221"/>
      <c r="R805" s="221"/>
    </row>
    <row r="806" spans="1:18" ht="33.75" x14ac:dyDescent="0.2">
      <c r="A806" s="224" t="s">
        <v>3439</v>
      </c>
      <c r="B806" s="225" t="s">
        <v>3439</v>
      </c>
      <c r="C806" s="226" t="s">
        <v>2514</v>
      </c>
      <c r="D806" s="226" t="s">
        <v>2482</v>
      </c>
      <c r="E806" s="226" t="s">
        <v>3214</v>
      </c>
      <c r="F806" s="227" t="s">
        <v>81</v>
      </c>
      <c r="G806" s="228" t="s">
        <v>81</v>
      </c>
      <c r="H806" s="228"/>
      <c r="I806" s="223" t="s">
        <v>3215</v>
      </c>
      <c r="J806" s="229"/>
      <c r="K806" s="229"/>
      <c r="L806" s="229" t="s">
        <v>267</v>
      </c>
      <c r="M806" s="229" t="s">
        <v>565</v>
      </c>
      <c r="N806" s="230" t="str">
        <f>IF(ISERROR(MATCH(A806,MemMap!$A$4:$A$98,0)) = FALSE, INDEX(MemMap!$B$4:$B$98,MATCH(A806,MemMap!$A$4:$A$98,0)),IF(F806="Y","TunSetCalSeg",IF(G806="Y", "FlashCalSeg", IF(G806="N", "FlashAppSeg", ""))))</f>
        <v>TunSetCalSeg</v>
      </c>
      <c r="O806" s="220"/>
      <c r="P806" s="221"/>
      <c r="Q806" s="221"/>
      <c r="R806" s="221"/>
    </row>
    <row r="807" spans="1:18" ht="45" x14ac:dyDescent="0.2">
      <c r="A807" s="224" t="s">
        <v>3441</v>
      </c>
      <c r="B807" s="225" t="s">
        <v>3441</v>
      </c>
      <c r="C807" s="226" t="s">
        <v>2514</v>
      </c>
      <c r="D807" s="226" t="s">
        <v>2482</v>
      </c>
      <c r="E807" s="226"/>
      <c r="F807" s="227" t="s">
        <v>81</v>
      </c>
      <c r="G807" s="228" t="s">
        <v>81</v>
      </c>
      <c r="H807" s="228"/>
      <c r="I807" s="223">
        <v>1</v>
      </c>
      <c r="J807" s="229">
        <v>0</v>
      </c>
      <c r="K807" s="229">
        <v>65535</v>
      </c>
      <c r="L807" s="229" t="s">
        <v>267</v>
      </c>
      <c r="M807" s="229" t="s">
        <v>263</v>
      </c>
      <c r="N807" s="230" t="str">
        <f>IF(ISERROR(MATCH(A807,MemMap!$A$4:$A$98,0)) = FALSE, INDEX(MemMap!$B$4:$B$98,MATCH(A807,MemMap!$A$4:$A$98,0)),IF(F807="Y","TunSetCalSeg",IF(G807="Y", "FlashCalSeg", IF(G807="N", "FlashAppSeg", ""))))</f>
        <v>TunSetCalSeg</v>
      </c>
      <c r="O807" s="220"/>
      <c r="P807" s="221"/>
      <c r="Q807" s="221"/>
      <c r="R807" s="221"/>
    </row>
    <row r="808" spans="1:18" ht="33.75" x14ac:dyDescent="0.2">
      <c r="A808" s="224" t="s">
        <v>3440</v>
      </c>
      <c r="B808" s="225" t="s">
        <v>3440</v>
      </c>
      <c r="C808" s="226" t="s">
        <v>2514</v>
      </c>
      <c r="D808" s="226" t="s">
        <v>2482</v>
      </c>
      <c r="E808" s="226"/>
      <c r="F808" s="227" t="s">
        <v>81</v>
      </c>
      <c r="G808" s="228" t="s">
        <v>81</v>
      </c>
      <c r="H808" s="228"/>
      <c r="I808" s="223">
        <v>1</v>
      </c>
      <c r="J808" s="229">
        <v>0</v>
      </c>
      <c r="K808" s="229">
        <v>65535</v>
      </c>
      <c r="L808" s="229" t="s">
        <v>267</v>
      </c>
      <c r="M808" s="229" t="s">
        <v>263</v>
      </c>
      <c r="N808" s="230" t="str">
        <f>IF(ISERROR(MATCH(A808,MemMap!$A$4:$A$98,0)) = FALSE, INDEX(MemMap!$B$4:$B$98,MATCH(A808,MemMap!$A$4:$A$98,0)),IF(F808="Y","TunSetCalSeg",IF(G808="Y", "FlashCalSeg", IF(G808="N", "FlashAppSeg", ""))))</f>
        <v>TunSetCalSeg</v>
      </c>
      <c r="O808" s="220"/>
      <c r="P808" s="221"/>
      <c r="Q808" s="221"/>
      <c r="R808" s="221"/>
    </row>
    <row r="809" spans="1:18" ht="33.75" x14ac:dyDescent="0.2">
      <c r="A809" s="224" t="s">
        <v>3502</v>
      </c>
      <c r="B809" s="225" t="s">
        <v>3502</v>
      </c>
      <c r="C809" s="226" t="s">
        <v>2514</v>
      </c>
      <c r="D809" s="226" t="s">
        <v>2482</v>
      </c>
      <c r="E809" s="226"/>
      <c r="F809" s="227" t="s">
        <v>81</v>
      </c>
      <c r="G809" s="228" t="s">
        <v>81</v>
      </c>
      <c r="H809" s="228"/>
      <c r="I809" s="223">
        <v>120</v>
      </c>
      <c r="J809" s="229">
        <v>0</v>
      </c>
      <c r="K809" s="229">
        <v>65535</v>
      </c>
      <c r="L809" s="229" t="s">
        <v>267</v>
      </c>
      <c r="M809" s="229" t="s">
        <v>263</v>
      </c>
      <c r="N809" s="230" t="str">
        <f>IF(ISERROR(MATCH(A809,MemMap!$A$4:$A$98,0)) = FALSE, INDEX(MemMap!$B$4:$B$98,MATCH(A809,MemMap!$A$4:$A$98,0)),IF(F809="Y","TunSetCalSeg",IF(G809="Y", "FlashCalSeg", IF(G809="N", "FlashAppSeg", ""))))</f>
        <v>TunSetCalSeg</v>
      </c>
      <c r="O809" s="220"/>
      <c r="P809" s="221"/>
      <c r="Q809" s="221"/>
      <c r="R809" s="221"/>
    </row>
    <row r="810" spans="1:18" ht="33.75" x14ac:dyDescent="0.2">
      <c r="A810" s="224" t="s">
        <v>3442</v>
      </c>
      <c r="B810" s="225" t="s">
        <v>3442</v>
      </c>
      <c r="C810" s="226" t="s">
        <v>2514</v>
      </c>
      <c r="D810" s="226" t="s">
        <v>2482</v>
      </c>
      <c r="E810" s="226" t="s">
        <v>3216</v>
      </c>
      <c r="F810" s="227" t="s">
        <v>81</v>
      </c>
      <c r="G810" s="228" t="s">
        <v>81</v>
      </c>
      <c r="H810" s="228"/>
      <c r="I810" s="223">
        <v>1</v>
      </c>
      <c r="J810" s="229">
        <v>0</v>
      </c>
      <c r="K810" s="229">
        <v>300</v>
      </c>
      <c r="L810" s="229" t="s">
        <v>343</v>
      </c>
      <c r="M810" s="229" t="s">
        <v>257</v>
      </c>
      <c r="N810" s="230" t="str">
        <f>IF(ISERROR(MATCH(A810,MemMap!$A$4:$A$98,0)) = FALSE, INDEX(MemMap!$B$4:$B$98,MATCH(A810,MemMap!$A$4:$A$98,0)),IF(F810="Y","TunSetCalSeg",IF(G810="Y", "FlashCalSeg", IF(G810="N", "FlashAppSeg", ""))))</f>
        <v>TunSetCalSeg</v>
      </c>
      <c r="O810" s="220"/>
      <c r="P810" s="221"/>
      <c r="Q810" s="221"/>
      <c r="R810" s="221"/>
    </row>
    <row r="811" spans="1:18" ht="33.75" x14ac:dyDescent="0.2">
      <c r="A811" s="224" t="s">
        <v>3403</v>
      </c>
      <c r="B811" s="225" t="s">
        <v>3403</v>
      </c>
      <c r="C811" s="226" t="s">
        <v>2514</v>
      </c>
      <c r="D811" s="226" t="s">
        <v>2482</v>
      </c>
      <c r="E811" s="226" t="s">
        <v>2999</v>
      </c>
      <c r="F811" s="227" t="s">
        <v>81</v>
      </c>
      <c r="G811" s="228" t="s">
        <v>81</v>
      </c>
      <c r="H811" s="228"/>
      <c r="I811" s="223" t="s">
        <v>3215</v>
      </c>
      <c r="J811" s="229"/>
      <c r="K811" s="229"/>
      <c r="L811" s="229" t="s">
        <v>267</v>
      </c>
      <c r="M811" s="229" t="s">
        <v>565</v>
      </c>
      <c r="N811" s="230" t="str">
        <f>IF(ISERROR(MATCH(A811,MemMap!$A$4:$A$98,0)) = FALSE, INDEX(MemMap!$B$4:$B$98,MATCH(A811,MemMap!$A$4:$A$98,0)),IF(F811="Y","TunSetCalSeg",IF(G811="Y", "FlashCalSeg", IF(G811="N", "FlashAppSeg", ""))))</f>
        <v>TunSetCalSeg</v>
      </c>
      <c r="O811" s="220"/>
      <c r="P811" s="221"/>
      <c r="Q811" s="221"/>
      <c r="R811" s="221"/>
    </row>
    <row r="812" spans="1:18" ht="33.75" x14ac:dyDescent="0.2">
      <c r="A812" s="224" t="s">
        <v>3405</v>
      </c>
      <c r="B812" s="225" t="s">
        <v>3405</v>
      </c>
      <c r="C812" s="226" t="s">
        <v>2514</v>
      </c>
      <c r="D812" s="226" t="s">
        <v>2482</v>
      </c>
      <c r="E812" s="226"/>
      <c r="F812" s="227" t="s">
        <v>81</v>
      </c>
      <c r="G812" s="228" t="s">
        <v>81</v>
      </c>
      <c r="H812" s="228"/>
      <c r="I812" s="223">
        <v>1</v>
      </c>
      <c r="J812" s="229">
        <v>0</v>
      </c>
      <c r="K812" s="229">
        <v>65535</v>
      </c>
      <c r="L812" s="229" t="s">
        <v>267</v>
      </c>
      <c r="M812" s="229" t="s">
        <v>263</v>
      </c>
      <c r="N812" s="230" t="str">
        <f>IF(ISERROR(MATCH(A812,MemMap!$A$4:$A$98,0)) = FALSE, INDEX(MemMap!$B$4:$B$98,MATCH(A812,MemMap!$A$4:$A$98,0)),IF(F812="Y","TunSetCalSeg",IF(G812="Y", "FlashCalSeg", IF(G812="N", "FlashAppSeg", ""))))</f>
        <v>TunSetCalSeg</v>
      </c>
      <c r="O812" s="220"/>
      <c r="P812" s="221"/>
      <c r="Q812" s="221"/>
      <c r="R812" s="221"/>
    </row>
    <row r="813" spans="1:18" ht="33.75" x14ac:dyDescent="0.2">
      <c r="A813" s="224" t="s">
        <v>3404</v>
      </c>
      <c r="B813" s="225" t="s">
        <v>3404</v>
      </c>
      <c r="C813" s="226" t="s">
        <v>2514</v>
      </c>
      <c r="D813" s="226" t="s">
        <v>2482</v>
      </c>
      <c r="E813" s="226"/>
      <c r="F813" s="227" t="s">
        <v>81</v>
      </c>
      <c r="G813" s="228" t="s">
        <v>81</v>
      </c>
      <c r="H813" s="228"/>
      <c r="I813" s="223">
        <v>1</v>
      </c>
      <c r="J813" s="229">
        <v>0</v>
      </c>
      <c r="K813" s="229">
        <v>65535</v>
      </c>
      <c r="L813" s="229" t="s">
        <v>267</v>
      </c>
      <c r="M813" s="229" t="s">
        <v>263</v>
      </c>
      <c r="N813" s="230" t="str">
        <f>IF(ISERROR(MATCH(A813,MemMap!$A$4:$A$98,0)) = FALSE, INDEX(MemMap!$B$4:$B$98,MATCH(A813,MemMap!$A$4:$A$98,0)),IF(F813="Y","TunSetCalSeg",IF(G813="Y", "FlashCalSeg", IF(G813="N", "FlashAppSeg", ""))))</f>
        <v>TunSetCalSeg</v>
      </c>
      <c r="O813" s="220"/>
      <c r="P813" s="221"/>
      <c r="Q813" s="221"/>
      <c r="R813" s="221"/>
    </row>
    <row r="814" spans="1:18" ht="33.75" x14ac:dyDescent="0.2">
      <c r="A814" s="224" t="s">
        <v>3503</v>
      </c>
      <c r="B814" s="225" t="s">
        <v>3503</v>
      </c>
      <c r="C814" s="226" t="s">
        <v>2514</v>
      </c>
      <c r="D814" s="226" t="s">
        <v>2482</v>
      </c>
      <c r="E814" s="226"/>
      <c r="F814" s="227" t="s">
        <v>81</v>
      </c>
      <c r="G814" s="228" t="s">
        <v>81</v>
      </c>
      <c r="H814" s="228"/>
      <c r="I814" s="223">
        <v>120</v>
      </c>
      <c r="J814" s="229">
        <v>0</v>
      </c>
      <c r="K814" s="229">
        <v>65535</v>
      </c>
      <c r="L814" s="229" t="s">
        <v>267</v>
      </c>
      <c r="M814" s="229" t="s">
        <v>263</v>
      </c>
      <c r="N814" s="230" t="str">
        <f>IF(ISERROR(MATCH(A814,MemMap!$A$4:$A$98,0)) = FALSE, INDEX(MemMap!$B$4:$B$98,MATCH(A814,MemMap!$A$4:$A$98,0)),IF(F814="Y","TunSetCalSeg",IF(G814="Y", "FlashCalSeg", IF(G814="N", "FlashAppSeg", ""))))</f>
        <v>TunSetCalSeg</v>
      </c>
      <c r="O814" s="220"/>
      <c r="P814" s="221"/>
      <c r="Q814" s="221"/>
      <c r="R814" s="221"/>
    </row>
    <row r="815" spans="1:18" ht="33.75" x14ac:dyDescent="0.2">
      <c r="A815" s="224" t="s">
        <v>3406</v>
      </c>
      <c r="B815" s="225" t="s">
        <v>3406</v>
      </c>
      <c r="C815" s="226" t="s">
        <v>2514</v>
      </c>
      <c r="D815" s="226" t="s">
        <v>2482</v>
      </c>
      <c r="E815" s="234" t="s">
        <v>3509</v>
      </c>
      <c r="F815" s="227" t="s">
        <v>81</v>
      </c>
      <c r="G815" s="228" t="s">
        <v>81</v>
      </c>
      <c r="H815" s="228"/>
      <c r="I815" s="223">
        <v>1</v>
      </c>
      <c r="J815" s="229">
        <v>0</v>
      </c>
      <c r="K815" s="229">
        <v>10</v>
      </c>
      <c r="L815" s="229" t="s">
        <v>804</v>
      </c>
      <c r="M815" s="229" t="s">
        <v>257</v>
      </c>
      <c r="N815" s="230" t="str">
        <f>IF(ISERROR(MATCH(A815,MemMap!$A$4:$A$98,0)) = FALSE, INDEX(MemMap!$B$4:$B$98,MATCH(A815,MemMap!$A$4:$A$98,0)),IF(F815="Y","TunSetCalSeg",IF(G815="Y", "FlashCalSeg", IF(G815="N", "FlashAppSeg", ""))))</f>
        <v>TunSetCalSeg</v>
      </c>
      <c r="O815" s="220"/>
      <c r="P815" s="221"/>
      <c r="Q815" s="221"/>
      <c r="R815" s="221"/>
    </row>
    <row r="816" spans="1:18" ht="33.75" x14ac:dyDescent="0.2">
      <c r="A816" s="224" t="s">
        <v>3407</v>
      </c>
      <c r="B816" s="225" t="s">
        <v>3407</v>
      </c>
      <c r="C816" s="226" t="s">
        <v>2514</v>
      </c>
      <c r="D816" s="226" t="s">
        <v>2482</v>
      </c>
      <c r="E816" s="226" t="s">
        <v>3000</v>
      </c>
      <c r="F816" s="227" t="s">
        <v>81</v>
      </c>
      <c r="G816" s="228" t="s">
        <v>81</v>
      </c>
      <c r="H816" s="228"/>
      <c r="I816" s="223" t="s">
        <v>3508</v>
      </c>
      <c r="J816" s="229"/>
      <c r="K816" s="229"/>
      <c r="L816" s="229" t="s">
        <v>267</v>
      </c>
      <c r="M816" s="229" t="s">
        <v>565</v>
      </c>
      <c r="N816" s="230" t="str">
        <f>IF(ISERROR(MATCH(A816,MemMap!$A$4:$A$98,0)) = FALSE, INDEX(MemMap!$B$4:$B$98,MATCH(A816,MemMap!$A$4:$A$98,0)),IF(F816="Y","TunSetCalSeg",IF(G816="Y", "FlashCalSeg", IF(G816="N", "FlashAppSeg", ""))))</f>
        <v>TunSetCalSeg</v>
      </c>
      <c r="O816" s="220"/>
      <c r="P816" s="221"/>
      <c r="Q816" s="221"/>
      <c r="R816" s="221"/>
    </row>
    <row r="817" spans="1:18" ht="33.75" x14ac:dyDescent="0.2">
      <c r="A817" s="224" t="s">
        <v>3409</v>
      </c>
      <c r="B817" s="225" t="s">
        <v>3409</v>
      </c>
      <c r="C817" s="226" t="s">
        <v>2514</v>
      </c>
      <c r="D817" s="226" t="s">
        <v>2482</v>
      </c>
      <c r="E817" s="226"/>
      <c r="F817" s="227" t="s">
        <v>81</v>
      </c>
      <c r="G817" s="228" t="s">
        <v>81</v>
      </c>
      <c r="H817" s="228"/>
      <c r="I817" s="223">
        <v>1</v>
      </c>
      <c r="J817" s="229">
        <v>0</v>
      </c>
      <c r="K817" s="229">
        <v>65535</v>
      </c>
      <c r="L817" s="229" t="s">
        <v>267</v>
      </c>
      <c r="M817" s="229" t="s">
        <v>263</v>
      </c>
      <c r="N817" s="230" t="str">
        <f>IF(ISERROR(MATCH(A817,MemMap!$A$4:$A$98,0)) = FALSE, INDEX(MemMap!$B$4:$B$98,MATCH(A817,MemMap!$A$4:$A$98,0)),IF(F817="Y","TunSetCalSeg",IF(G817="Y", "FlashCalSeg", IF(G817="N", "FlashAppSeg", ""))))</f>
        <v>TunSetCalSeg</v>
      </c>
      <c r="O817" s="220"/>
      <c r="P817" s="221"/>
      <c r="Q817" s="221"/>
      <c r="R817" s="221"/>
    </row>
    <row r="818" spans="1:18" ht="33.75" x14ac:dyDescent="0.2">
      <c r="A818" s="224" t="s">
        <v>3408</v>
      </c>
      <c r="B818" s="225" t="s">
        <v>3408</v>
      </c>
      <c r="C818" s="226" t="s">
        <v>2514</v>
      </c>
      <c r="D818" s="226" t="s">
        <v>2482</v>
      </c>
      <c r="E818" s="226"/>
      <c r="F818" s="227" t="s">
        <v>81</v>
      </c>
      <c r="G818" s="228" t="s">
        <v>81</v>
      </c>
      <c r="H818" s="228"/>
      <c r="I818" s="223">
        <v>1</v>
      </c>
      <c r="J818" s="229">
        <v>0</v>
      </c>
      <c r="K818" s="229">
        <v>65535</v>
      </c>
      <c r="L818" s="229" t="s">
        <v>267</v>
      </c>
      <c r="M818" s="229" t="s">
        <v>263</v>
      </c>
      <c r="N818" s="230" t="str">
        <f>IF(ISERROR(MATCH(A818,MemMap!$A$4:$A$98,0)) = FALSE, INDEX(MemMap!$B$4:$B$98,MATCH(A818,MemMap!$A$4:$A$98,0)),IF(F818="Y","TunSetCalSeg",IF(G818="Y", "FlashCalSeg", IF(G818="N", "FlashAppSeg", ""))))</f>
        <v>TunSetCalSeg</v>
      </c>
      <c r="O818" s="220"/>
      <c r="P818" s="221"/>
      <c r="Q818" s="221"/>
      <c r="R818" s="221"/>
    </row>
    <row r="819" spans="1:18" ht="45" x14ac:dyDescent="0.2">
      <c r="A819" s="224" t="s">
        <v>3504</v>
      </c>
      <c r="B819" s="225" t="s">
        <v>3504</v>
      </c>
      <c r="C819" s="226" t="s">
        <v>2514</v>
      </c>
      <c r="D819" s="226" t="s">
        <v>2482</v>
      </c>
      <c r="E819" s="226" t="s">
        <v>3505</v>
      </c>
      <c r="F819" s="227" t="s">
        <v>81</v>
      </c>
      <c r="G819" s="228" t="s">
        <v>81</v>
      </c>
      <c r="H819" s="228"/>
      <c r="I819" s="223">
        <v>10</v>
      </c>
      <c r="J819" s="229">
        <v>0</v>
      </c>
      <c r="K819" s="229">
        <v>65535</v>
      </c>
      <c r="L819" s="229" t="s">
        <v>267</v>
      </c>
      <c r="M819" s="229" t="s">
        <v>263</v>
      </c>
      <c r="N819" s="230" t="str">
        <f>IF(ISERROR(MATCH(A819,MemMap!$A$4:$A$98,0)) = FALSE, INDEX(MemMap!$B$4:$B$98,MATCH(A819,MemMap!$A$4:$A$98,0)),IF(F819="Y","TunSetCalSeg",IF(G819="Y", "FlashCalSeg", IF(G819="N", "FlashAppSeg", ""))))</f>
        <v>TunSetCalSeg</v>
      </c>
      <c r="O819" s="220"/>
      <c r="P819" s="221"/>
      <c r="Q819" s="221"/>
      <c r="R819" s="221"/>
    </row>
    <row r="820" spans="1:18" ht="33.75" x14ac:dyDescent="0.2">
      <c r="A820" s="224" t="s">
        <v>3506</v>
      </c>
      <c r="B820" s="225" t="s">
        <v>3506</v>
      </c>
      <c r="C820" s="226" t="s">
        <v>2514</v>
      </c>
      <c r="D820" s="226" t="s">
        <v>2482</v>
      </c>
      <c r="E820" s="226" t="s">
        <v>3507</v>
      </c>
      <c r="F820" s="227" t="s">
        <v>81</v>
      </c>
      <c r="G820" s="228" t="s">
        <v>81</v>
      </c>
      <c r="H820" s="228"/>
      <c r="I820" s="223">
        <v>0.02</v>
      </c>
      <c r="J820" s="229">
        <v>0</v>
      </c>
      <c r="K820" s="229">
        <v>1</v>
      </c>
      <c r="L820" s="229" t="s">
        <v>256</v>
      </c>
      <c r="M820" s="229" t="s">
        <v>257</v>
      </c>
      <c r="N820" s="230" t="str">
        <f>IF(ISERROR(MATCH(A820,MemMap!$A$4:$A$98,0)) = FALSE, INDEX(MemMap!$B$4:$B$98,MATCH(A820,MemMap!$A$4:$A$98,0)),IF(F820="Y","TunSetCalSeg",IF(G820="Y", "FlashCalSeg", IF(G820="N", "FlashAppSeg", ""))))</f>
        <v>TunSetCalSeg</v>
      </c>
      <c r="O820" s="220"/>
      <c r="P820" s="221"/>
      <c r="Q820" s="221"/>
      <c r="R820" s="221"/>
    </row>
    <row r="821" spans="1:18" ht="33.75" x14ac:dyDescent="0.2">
      <c r="A821" s="224" t="s">
        <v>3410</v>
      </c>
      <c r="B821" s="225" t="s">
        <v>3410</v>
      </c>
      <c r="C821" s="226" t="s">
        <v>2514</v>
      </c>
      <c r="D821" s="226" t="s">
        <v>2482</v>
      </c>
      <c r="E821" s="234" t="s">
        <v>3512</v>
      </c>
      <c r="F821" s="227" t="s">
        <v>81</v>
      </c>
      <c r="G821" s="228" t="s">
        <v>81</v>
      </c>
      <c r="H821" s="228"/>
      <c r="I821" s="223">
        <v>5</v>
      </c>
      <c r="J821" s="229">
        <v>0</v>
      </c>
      <c r="K821" s="229">
        <v>100</v>
      </c>
      <c r="L821" s="229" t="s">
        <v>261</v>
      </c>
      <c r="M821" s="229" t="s">
        <v>257</v>
      </c>
      <c r="N821" s="230" t="str">
        <f>IF(ISERROR(MATCH(A821,MemMap!$A$4:$A$98,0)) = FALSE, INDEX(MemMap!$B$4:$B$98,MATCH(A821,MemMap!$A$4:$A$98,0)),IF(F821="Y","TunSetCalSeg",IF(G821="Y", "FlashCalSeg", IF(G821="N", "FlashAppSeg", ""))))</f>
        <v>TunSetCalSeg</v>
      </c>
      <c r="O821" s="220"/>
      <c r="P821" s="221"/>
      <c r="Q821" s="221"/>
      <c r="R821" s="221"/>
    </row>
    <row r="822" spans="1:18" ht="33.75" x14ac:dyDescent="0.2">
      <c r="A822" s="224" t="s">
        <v>3411</v>
      </c>
      <c r="B822" s="225" t="s">
        <v>3411</v>
      </c>
      <c r="C822" s="226" t="s">
        <v>2514</v>
      </c>
      <c r="D822" s="226" t="s">
        <v>2482</v>
      </c>
      <c r="E822" s="226" t="s">
        <v>2517</v>
      </c>
      <c r="F822" s="227" t="s">
        <v>81</v>
      </c>
      <c r="G822" s="228" t="s">
        <v>81</v>
      </c>
      <c r="H822" s="228"/>
      <c r="I822" s="223">
        <v>1</v>
      </c>
      <c r="J822" s="229">
        <v>0</v>
      </c>
      <c r="K822" s="229">
        <v>8</v>
      </c>
      <c r="L822" s="229" t="s">
        <v>252</v>
      </c>
      <c r="M822" s="229" t="s">
        <v>257</v>
      </c>
      <c r="N822" s="230" t="str">
        <f>IF(ISERROR(MATCH(A822,MemMap!$A$4:$A$98,0)) = FALSE, INDEX(MemMap!$B$4:$B$98,MATCH(A822,MemMap!$A$4:$A$98,0)),IF(F822="Y","TunSetCalSeg",IF(G822="Y", "FlashCalSeg", IF(G822="N", "FlashAppSeg", ""))))</f>
        <v>TunSetCalSeg</v>
      </c>
      <c r="O822" s="220"/>
      <c r="P822" s="221"/>
      <c r="Q822" s="221"/>
      <c r="R822" s="221"/>
    </row>
    <row r="823" spans="1:18" ht="33.75" x14ac:dyDescent="0.2">
      <c r="A823" s="224" t="s">
        <v>3412</v>
      </c>
      <c r="B823" s="225" t="s">
        <v>3412</v>
      </c>
      <c r="C823" s="226" t="s">
        <v>2514</v>
      </c>
      <c r="D823" s="226" t="s">
        <v>2482</v>
      </c>
      <c r="E823" s="226" t="s">
        <v>2518</v>
      </c>
      <c r="F823" s="227" t="s">
        <v>81</v>
      </c>
      <c r="G823" s="228" t="s">
        <v>81</v>
      </c>
      <c r="H823" s="228"/>
      <c r="I823" s="223">
        <v>2</v>
      </c>
      <c r="J823" s="229">
        <v>0</v>
      </c>
      <c r="K823" s="229">
        <v>10</v>
      </c>
      <c r="L823" s="229" t="s">
        <v>296</v>
      </c>
      <c r="M823" s="229" t="s">
        <v>257</v>
      </c>
      <c r="N823" s="230" t="str">
        <f>IF(ISERROR(MATCH(A823,MemMap!$A$4:$A$98,0)) = FALSE, INDEX(MemMap!$B$4:$B$98,MATCH(A823,MemMap!$A$4:$A$98,0)),IF(F823="Y","TunSetCalSeg",IF(G823="Y", "FlashCalSeg", IF(G823="N", "FlashAppSeg", ""))))</f>
        <v>TunSetCalSeg</v>
      </c>
      <c r="O823" s="220"/>
      <c r="P823" s="221"/>
      <c r="Q823" s="221"/>
      <c r="R823" s="221"/>
    </row>
    <row r="824" spans="1:18" ht="33.75" x14ac:dyDescent="0.2">
      <c r="A824" s="224" t="s">
        <v>3413</v>
      </c>
      <c r="B824" s="225" t="s">
        <v>3414</v>
      </c>
      <c r="C824" s="226" t="s">
        <v>2514</v>
      </c>
      <c r="D824" s="226" t="s">
        <v>2482</v>
      </c>
      <c r="E824" s="226" t="s">
        <v>2519</v>
      </c>
      <c r="F824" s="227" t="s">
        <v>81</v>
      </c>
      <c r="G824" s="228" t="s">
        <v>81</v>
      </c>
      <c r="H824" s="228"/>
      <c r="I824" s="223" t="s">
        <v>2520</v>
      </c>
      <c r="J824" s="229">
        <v>0</v>
      </c>
      <c r="K824" s="229">
        <v>7</v>
      </c>
      <c r="L824" s="229" t="s">
        <v>261</v>
      </c>
      <c r="M824" s="229" t="s">
        <v>471</v>
      </c>
      <c r="N824" s="230" t="str">
        <f>IF(ISERROR(MATCH(A824,MemMap!$A$4:$A$98,0)) = FALSE, INDEX(MemMap!$B$4:$B$98,MATCH(A824,MemMap!$A$4:$A$98,0)),IF(F824="Y","TunSetCalSeg",IF(G824="Y", "FlashCalSeg", IF(G824="N", "FlashAppSeg", ""))))</f>
        <v>TunSetCalSeg</v>
      </c>
      <c r="O824" s="220"/>
      <c r="P824" s="221"/>
      <c r="Q824" s="221"/>
      <c r="R824" s="221"/>
    </row>
    <row r="825" spans="1:18" ht="33.75" x14ac:dyDescent="0.2">
      <c r="A825" s="224" t="s">
        <v>3415</v>
      </c>
      <c r="B825" s="225" t="s">
        <v>3416</v>
      </c>
      <c r="C825" s="226" t="s">
        <v>2514</v>
      </c>
      <c r="D825" s="226" t="s">
        <v>2482</v>
      </c>
      <c r="E825" s="226" t="s">
        <v>2521</v>
      </c>
      <c r="F825" s="227" t="s">
        <v>81</v>
      </c>
      <c r="G825" s="228" t="s">
        <v>81</v>
      </c>
      <c r="H825" s="228"/>
      <c r="I825" s="223" t="s">
        <v>2522</v>
      </c>
      <c r="J825" s="229">
        <v>0.2</v>
      </c>
      <c r="K825" s="229">
        <v>5</v>
      </c>
      <c r="L825" s="229" t="s">
        <v>804</v>
      </c>
      <c r="M825" s="229" t="s">
        <v>471</v>
      </c>
      <c r="N825" s="230" t="str">
        <f>IF(ISERROR(MATCH(A825,MemMap!$A$4:$A$98,0)) = FALSE, INDEX(MemMap!$B$4:$B$98,MATCH(A825,MemMap!$A$4:$A$98,0)),IF(F825="Y","TunSetCalSeg",IF(G825="Y", "FlashCalSeg", IF(G825="N", "FlashAppSeg", ""))))</f>
        <v>TunSetCalSeg</v>
      </c>
      <c r="O825" s="220"/>
      <c r="P825" s="221"/>
      <c r="Q825" s="221"/>
      <c r="R825" s="221"/>
    </row>
    <row r="826" spans="1:18" ht="33.75" x14ac:dyDescent="0.2">
      <c r="A826" s="224" t="s">
        <v>3423</v>
      </c>
      <c r="B826" s="225" t="s">
        <v>3424</v>
      </c>
      <c r="C826" s="226" t="s">
        <v>2514</v>
      </c>
      <c r="D826" s="226" t="s">
        <v>2482</v>
      </c>
      <c r="E826" s="234" t="s">
        <v>3513</v>
      </c>
      <c r="F826" s="227" t="s">
        <v>81</v>
      </c>
      <c r="G826" s="228" t="s">
        <v>81</v>
      </c>
      <c r="H826" s="228"/>
      <c r="I826" s="223" t="s">
        <v>3002</v>
      </c>
      <c r="J826" s="229">
        <v>0</v>
      </c>
      <c r="K826" s="229">
        <v>255</v>
      </c>
      <c r="L826" s="229" t="s">
        <v>296</v>
      </c>
      <c r="M826" s="229" t="s">
        <v>336</v>
      </c>
      <c r="N826" s="230" t="str">
        <f>IF(ISERROR(MATCH(A826,MemMap!$A$4:$A$98,0)) = FALSE, INDEX(MemMap!$B$4:$B$98,MATCH(A826,MemMap!$A$4:$A$98,0)),IF(F826="Y","TunSetCalSeg",IF(G826="Y", "FlashCalSeg", IF(G826="N", "FlashAppSeg", ""))))</f>
        <v>TunSetCalSeg</v>
      </c>
      <c r="O826" s="220"/>
      <c r="P826" s="221"/>
      <c r="Q826" s="221"/>
      <c r="R826" s="221"/>
    </row>
    <row r="827" spans="1:18" ht="33.75" x14ac:dyDescent="0.2">
      <c r="A827" s="224" t="s">
        <v>3421</v>
      </c>
      <c r="B827" s="225" t="s">
        <v>3422</v>
      </c>
      <c r="C827" s="226" t="s">
        <v>2514</v>
      </c>
      <c r="D827" s="226" t="s">
        <v>2482</v>
      </c>
      <c r="E827" s="226" t="s">
        <v>3001</v>
      </c>
      <c r="F827" s="227" t="s">
        <v>81</v>
      </c>
      <c r="G827" s="228" t="s">
        <v>81</v>
      </c>
      <c r="H827" s="228"/>
      <c r="I827" s="223" t="s">
        <v>3140</v>
      </c>
      <c r="J827" s="229">
        <v>0</v>
      </c>
      <c r="K827" s="229">
        <v>100</v>
      </c>
      <c r="L827" s="229" t="s">
        <v>1334</v>
      </c>
      <c r="M827" s="229" t="s">
        <v>949</v>
      </c>
      <c r="N827" s="230" t="str">
        <f>IF(ISERROR(MATCH(A827,MemMap!$A$4:$A$98,0)) = FALSE, INDEX(MemMap!$B$4:$B$98,MATCH(A827,MemMap!$A$4:$A$98,0)),IF(F827="Y","TunSetCalSeg",IF(G827="Y", "FlashCalSeg", IF(G827="N", "FlashAppSeg", ""))))</f>
        <v>TunSetCalSeg</v>
      </c>
      <c r="O827" s="220"/>
      <c r="P827" s="221"/>
      <c r="Q827" s="221"/>
      <c r="R827" s="221"/>
    </row>
    <row r="828" spans="1:18" ht="33.75" x14ac:dyDescent="0.2">
      <c r="A828" s="224" t="s">
        <v>3425</v>
      </c>
      <c r="B828" s="225" t="s">
        <v>3426</v>
      </c>
      <c r="C828" s="226" t="s">
        <v>2514</v>
      </c>
      <c r="D828" s="226" t="s">
        <v>2482</v>
      </c>
      <c r="E828" s="226" t="s">
        <v>3003</v>
      </c>
      <c r="F828" s="227" t="s">
        <v>81</v>
      </c>
      <c r="G828" s="228" t="s">
        <v>81</v>
      </c>
      <c r="H828" s="228"/>
      <c r="I828" s="223" t="s">
        <v>3004</v>
      </c>
      <c r="J828" s="229">
        <v>0</v>
      </c>
      <c r="K828" s="229">
        <v>511</v>
      </c>
      <c r="L828" s="229" t="s">
        <v>296</v>
      </c>
      <c r="M828" s="229" t="s">
        <v>336</v>
      </c>
      <c r="N828" s="230" t="str">
        <f>IF(ISERROR(MATCH(A828,MemMap!$A$4:$A$98,0)) = FALSE, INDEX(MemMap!$B$4:$B$98,MATCH(A828,MemMap!$A$4:$A$98,0)),IF(F828="Y","TunSetCalSeg",IF(G828="Y", "FlashCalSeg", IF(G828="N", "FlashAppSeg", ""))))</f>
        <v>TunSetCalSeg</v>
      </c>
      <c r="O828" s="220"/>
      <c r="P828" s="221"/>
      <c r="Q828" s="221"/>
      <c r="R828" s="221"/>
    </row>
    <row r="829" spans="1:18" ht="33.75" x14ac:dyDescent="0.2">
      <c r="A829" s="224" t="s">
        <v>3427</v>
      </c>
      <c r="B829" s="225" t="s">
        <v>3428</v>
      </c>
      <c r="C829" s="226" t="s">
        <v>2514</v>
      </c>
      <c r="D829" s="226" t="s">
        <v>2482</v>
      </c>
      <c r="E829" s="226" t="s">
        <v>3005</v>
      </c>
      <c r="F829" s="227" t="s">
        <v>81</v>
      </c>
      <c r="G829" s="228" t="s">
        <v>81</v>
      </c>
      <c r="H829" s="228"/>
      <c r="I829" s="223" t="s">
        <v>3006</v>
      </c>
      <c r="J829" s="229">
        <v>0</v>
      </c>
      <c r="K829" s="229">
        <v>8.8000000000000007</v>
      </c>
      <c r="L829" s="229" t="s">
        <v>252</v>
      </c>
      <c r="M829" s="229" t="s">
        <v>675</v>
      </c>
      <c r="N829" s="230" t="str">
        <f>IF(ISERROR(MATCH(A829,MemMap!$A$4:$A$98,0)) = FALSE, INDEX(MemMap!$B$4:$B$98,MATCH(A829,MemMap!$A$4:$A$98,0)),IF(F829="Y","TunSetCalSeg",IF(G829="Y", "FlashCalSeg", IF(G829="N", "FlashAppSeg", ""))))</f>
        <v>TunSetCalSeg</v>
      </c>
      <c r="O829" s="220"/>
      <c r="P829" s="221"/>
      <c r="Q829" s="221"/>
      <c r="R829" s="221"/>
    </row>
    <row r="830" spans="1:18" ht="33.75" x14ac:dyDescent="0.2">
      <c r="A830" s="224" t="s">
        <v>3429</v>
      </c>
      <c r="B830" s="225" t="s">
        <v>3430</v>
      </c>
      <c r="C830" s="226" t="s">
        <v>2514</v>
      </c>
      <c r="D830" s="226" t="s">
        <v>2482</v>
      </c>
      <c r="E830" s="226" t="s">
        <v>3007</v>
      </c>
      <c r="F830" s="227" t="s">
        <v>81</v>
      </c>
      <c r="G830" s="228" t="s">
        <v>81</v>
      </c>
      <c r="H830" s="228"/>
      <c r="I830" s="223" t="s">
        <v>3006</v>
      </c>
      <c r="J830" s="229">
        <v>0</v>
      </c>
      <c r="K830" s="229">
        <v>8.8000000000000007</v>
      </c>
      <c r="L830" s="229" t="s">
        <v>252</v>
      </c>
      <c r="M830" s="229" t="s">
        <v>675</v>
      </c>
      <c r="N830" s="230" t="str">
        <f>IF(ISERROR(MATCH(A830,MemMap!$A$4:$A$98,0)) = FALSE, INDEX(MemMap!$B$4:$B$98,MATCH(A830,MemMap!$A$4:$A$98,0)),IF(F830="Y","TunSetCalSeg",IF(G830="Y", "FlashCalSeg", IF(G830="N", "FlashAppSeg", ""))))</f>
        <v>TunSetCalSeg</v>
      </c>
      <c r="O830" s="220"/>
      <c r="P830" s="221"/>
      <c r="Q830" s="221"/>
      <c r="R830" s="221"/>
    </row>
    <row r="831" spans="1:18" ht="33.75" x14ac:dyDescent="0.2">
      <c r="A831" s="224" t="s">
        <v>3431</v>
      </c>
      <c r="B831" s="225" t="s">
        <v>3432</v>
      </c>
      <c r="C831" s="226" t="s">
        <v>2514</v>
      </c>
      <c r="D831" s="226" t="s">
        <v>2482</v>
      </c>
      <c r="E831" s="226" t="s">
        <v>3008</v>
      </c>
      <c r="F831" s="227" t="s">
        <v>81</v>
      </c>
      <c r="G831" s="228" t="s">
        <v>81</v>
      </c>
      <c r="H831" s="228"/>
      <c r="I831" s="223" t="s">
        <v>3009</v>
      </c>
      <c r="J831" s="229">
        <v>0</v>
      </c>
      <c r="K831" s="229">
        <v>1</v>
      </c>
      <c r="L831" s="229" t="s">
        <v>256</v>
      </c>
      <c r="M831" s="229" t="s">
        <v>254</v>
      </c>
      <c r="N831" s="230" t="str">
        <f>IF(ISERROR(MATCH(A831,MemMap!$A$4:$A$98,0)) = FALSE, INDEX(MemMap!$B$4:$B$98,MATCH(A831,MemMap!$A$4:$A$98,0)),IF(F831="Y","TunSetCalSeg",IF(G831="Y", "FlashCalSeg", IF(G831="N", "FlashAppSeg", ""))))</f>
        <v>TunSetCalSeg</v>
      </c>
      <c r="O831" s="220"/>
      <c r="P831" s="221"/>
      <c r="Q831" s="221"/>
      <c r="R831" s="221"/>
    </row>
    <row r="832" spans="1:18" ht="33.75" x14ac:dyDescent="0.2">
      <c r="A832" s="224" t="s">
        <v>3433</v>
      </c>
      <c r="B832" s="225" t="s">
        <v>3434</v>
      </c>
      <c r="C832" s="226" t="s">
        <v>2514</v>
      </c>
      <c r="D832" s="226" t="s">
        <v>2482</v>
      </c>
      <c r="E832" s="226" t="s">
        <v>3010</v>
      </c>
      <c r="F832" s="227" t="s">
        <v>81</v>
      </c>
      <c r="G832" s="228" t="s">
        <v>81</v>
      </c>
      <c r="H832" s="228"/>
      <c r="I832" s="223" t="s">
        <v>3011</v>
      </c>
      <c r="J832" s="229">
        <v>0</v>
      </c>
      <c r="K832" s="229">
        <v>1</v>
      </c>
      <c r="L832" s="229" t="s">
        <v>256</v>
      </c>
      <c r="M832" s="229" t="s">
        <v>254</v>
      </c>
      <c r="N832" s="230" t="str">
        <f>IF(ISERROR(MATCH(A832,MemMap!$A$4:$A$98,0)) = FALSE, INDEX(MemMap!$B$4:$B$98,MATCH(A832,MemMap!$A$4:$A$98,0)),IF(F832="Y","TunSetCalSeg",IF(G832="Y", "FlashCalSeg", IF(G832="N", "FlashAppSeg", ""))))</f>
        <v>TunSetCalSeg</v>
      </c>
      <c r="O832" s="220"/>
      <c r="P832" s="221"/>
      <c r="Q832" s="221"/>
      <c r="R832" s="221"/>
    </row>
    <row r="833" spans="1:18" ht="33.75" x14ac:dyDescent="0.2">
      <c r="A833" s="224" t="s">
        <v>3435</v>
      </c>
      <c r="B833" s="225" t="s">
        <v>3436</v>
      </c>
      <c r="C833" s="226" t="s">
        <v>2514</v>
      </c>
      <c r="D833" s="226" t="s">
        <v>2482</v>
      </c>
      <c r="E833" s="226" t="s">
        <v>3012</v>
      </c>
      <c r="F833" s="227" t="s">
        <v>81</v>
      </c>
      <c r="G833" s="228" t="s">
        <v>81</v>
      </c>
      <c r="H833" s="228"/>
      <c r="I833" s="223" t="s">
        <v>3004</v>
      </c>
      <c r="J833" s="229">
        <v>0</v>
      </c>
      <c r="K833" s="229">
        <v>500</v>
      </c>
      <c r="L833" s="229" t="s">
        <v>296</v>
      </c>
      <c r="M833" s="229" t="s">
        <v>336</v>
      </c>
      <c r="N833" s="230" t="str">
        <f>IF(ISERROR(MATCH(A833,MemMap!$A$4:$A$98,0)) = FALSE, INDEX(MemMap!$B$4:$B$98,MATCH(A833,MemMap!$A$4:$A$98,0)),IF(F833="Y","TunSetCalSeg",IF(G833="Y", "FlashCalSeg", IF(G833="N", "FlashAppSeg", ""))))</f>
        <v>TunSetCalSeg</v>
      </c>
      <c r="O833" s="220"/>
      <c r="P833" s="221"/>
      <c r="Q833" s="221"/>
      <c r="R833" s="221"/>
    </row>
    <row r="834" spans="1:18" s="221" customFormat="1" ht="33.75" x14ac:dyDescent="0.2">
      <c r="A834" s="224" t="s">
        <v>3437</v>
      </c>
      <c r="B834" s="225" t="s">
        <v>3438</v>
      </c>
      <c r="C834" s="226" t="s">
        <v>2514</v>
      </c>
      <c r="D834" s="226" t="s">
        <v>2482</v>
      </c>
      <c r="E834" s="226" t="s">
        <v>3013</v>
      </c>
      <c r="F834" s="227" t="s">
        <v>81</v>
      </c>
      <c r="G834" s="228" t="s">
        <v>81</v>
      </c>
      <c r="H834" s="228"/>
      <c r="I834" s="223" t="s">
        <v>3014</v>
      </c>
      <c r="J834" s="229">
        <v>0</v>
      </c>
      <c r="K834" s="229">
        <v>1</v>
      </c>
      <c r="L834" s="229" t="s">
        <v>256</v>
      </c>
      <c r="M834" s="229" t="s">
        <v>254</v>
      </c>
      <c r="N834" s="230" t="str">
        <f>IF(ISERROR(MATCH(A834,MemMap!$A$4:$A$98,0)) = FALSE, INDEX(MemMap!$B$4:$B$98,MATCH(A834,MemMap!$A$4:$A$98,0)),IF(F834="Y","TunSetCalSeg",IF(G834="Y", "FlashCalSeg", IF(G834="N", "FlashAppSeg", ""))))</f>
        <v>TunSetCalSeg</v>
      </c>
      <c r="O834" s="220"/>
    </row>
    <row r="835" spans="1:18" ht="22.5" x14ac:dyDescent="0.2">
      <c r="A835" s="224" t="s">
        <v>3417</v>
      </c>
      <c r="B835" s="225" t="s">
        <v>3418</v>
      </c>
      <c r="C835" s="226" t="s">
        <v>2514</v>
      </c>
      <c r="D835" s="226" t="s">
        <v>2482</v>
      </c>
      <c r="E835" s="226" t="s">
        <v>2523</v>
      </c>
      <c r="F835" s="227" t="s">
        <v>81</v>
      </c>
      <c r="G835" s="228" t="s">
        <v>81</v>
      </c>
      <c r="H835" s="228"/>
      <c r="I835" s="223" t="s">
        <v>3009</v>
      </c>
      <c r="J835" s="229">
        <v>0</v>
      </c>
      <c r="K835" s="229">
        <v>1</v>
      </c>
      <c r="L835" s="229" t="s">
        <v>256</v>
      </c>
      <c r="M835" s="229" t="s">
        <v>254</v>
      </c>
      <c r="N835" s="230" t="str">
        <f>IF(ISERROR(MATCH(A835,MemMap!$A$4:$A$98,0)) = FALSE, INDEX(MemMap!$B$4:$B$98,MATCH(A835,MemMap!$A$4:$A$98,0)),IF(F835="Y","TunSetCalSeg",IF(G835="Y", "FlashCalSeg", IF(G835="N", "FlashAppSeg", ""))))</f>
        <v>TunSetCalSeg</v>
      </c>
      <c r="O835" s="220"/>
      <c r="P835" s="221"/>
      <c r="Q835" s="221"/>
      <c r="R835" s="221"/>
    </row>
    <row r="836" spans="1:18" ht="22.5" x14ac:dyDescent="0.2">
      <c r="A836" s="224" t="s">
        <v>3419</v>
      </c>
      <c r="B836" s="225" t="s">
        <v>3420</v>
      </c>
      <c r="C836" s="226" t="s">
        <v>2514</v>
      </c>
      <c r="D836" s="226" t="s">
        <v>2482</v>
      </c>
      <c r="E836" s="226" t="s">
        <v>2524</v>
      </c>
      <c r="F836" s="227" t="s">
        <v>81</v>
      </c>
      <c r="G836" s="228" t="s">
        <v>81</v>
      </c>
      <c r="H836" s="228"/>
      <c r="I836" s="223" t="s">
        <v>3015</v>
      </c>
      <c r="J836" s="229">
        <v>0</v>
      </c>
      <c r="K836" s="229">
        <v>1</v>
      </c>
      <c r="L836" s="229" t="s">
        <v>256</v>
      </c>
      <c r="M836" s="229" t="s">
        <v>254</v>
      </c>
      <c r="N836" s="230" t="str">
        <f>IF(ISERROR(MATCH(A836,MemMap!$A$4:$A$98,0)) = FALSE, INDEX(MemMap!$B$4:$B$98,MATCH(A836,MemMap!$A$4:$A$98,0)),IF(F836="Y","TunSetCalSeg",IF(G836="Y", "FlashCalSeg", IF(G836="N", "FlashAppSeg", ""))))</f>
        <v>TunSetCalSeg</v>
      </c>
      <c r="O836" s="220"/>
      <c r="P836" s="221"/>
      <c r="Q836" s="221"/>
      <c r="R836" s="221"/>
    </row>
    <row r="837" spans="1:18" ht="33.75" x14ac:dyDescent="0.2">
      <c r="A837" s="224" t="s">
        <v>1374</v>
      </c>
      <c r="B837" s="225" t="s">
        <v>1375</v>
      </c>
      <c r="C837" s="226" t="s">
        <v>1346</v>
      </c>
      <c r="D837" s="226" t="s">
        <v>1347</v>
      </c>
      <c r="E837" s="226" t="s">
        <v>1376</v>
      </c>
      <c r="F837" s="227" t="s">
        <v>82</v>
      </c>
      <c r="G837" s="228" t="s">
        <v>82</v>
      </c>
      <c r="H837" s="228"/>
      <c r="I837" s="223">
        <v>0.36499999999999999</v>
      </c>
      <c r="J837" s="229">
        <v>0.1</v>
      </c>
      <c r="K837" s="229">
        <v>1</v>
      </c>
      <c r="L837" s="229" t="s">
        <v>258</v>
      </c>
      <c r="M837" s="229" t="s">
        <v>257</v>
      </c>
      <c r="N837" s="230" t="str">
        <f>IF(ISERROR(MATCH(A837,MemMap!$A$4:$A$98,0)) = FALSE, INDEX(MemMap!$B$4:$B$98,MATCH(A837,MemMap!$A$4:$A$98,0)),IF(F837="Y","TunSetCalSeg",IF(G837="Y", "FlashCalSeg", IF(G837="N", "FlashAppSeg", ""))))</f>
        <v>FlashAppSeg</v>
      </c>
      <c r="O837" s="220"/>
      <c r="P837" s="221"/>
      <c r="Q837" s="221"/>
      <c r="R837" s="221"/>
    </row>
    <row r="838" spans="1:18" ht="45" x14ac:dyDescent="0.2">
      <c r="A838" s="224" t="s">
        <v>2083</v>
      </c>
      <c r="B838" s="225" t="s">
        <v>1380</v>
      </c>
      <c r="C838" s="226" t="s">
        <v>1346</v>
      </c>
      <c r="D838" s="226" t="s">
        <v>1347</v>
      </c>
      <c r="E838" s="226" t="s">
        <v>1381</v>
      </c>
      <c r="F838" s="227" t="s">
        <v>82</v>
      </c>
      <c r="G838" s="228" t="s">
        <v>82</v>
      </c>
      <c r="H838" s="228"/>
      <c r="I838" s="223">
        <v>0.6</v>
      </c>
      <c r="J838" s="229">
        <v>0</v>
      </c>
      <c r="K838" s="229">
        <v>1</v>
      </c>
      <c r="L838" s="229" t="s">
        <v>288</v>
      </c>
      <c r="M838" s="229" t="s">
        <v>257</v>
      </c>
      <c r="N838" s="230" t="str">
        <f>IF(ISERROR(MATCH(A838,MemMap!$A$4:$A$98,0)) = FALSE, INDEX(MemMap!$B$4:$B$98,MATCH(A838,MemMap!$A$4:$A$98,0)),IF(F838="Y","TunSetCalSeg",IF(G838="Y", "FlashCalSeg", IF(G838="N", "FlashAppSeg", ""))))</f>
        <v>FlashAppSeg</v>
      </c>
      <c r="O838" s="220"/>
      <c r="P838" s="221"/>
      <c r="Q838" s="221"/>
      <c r="R838" s="221"/>
    </row>
    <row r="839" spans="1:18" ht="33.75" x14ac:dyDescent="0.2">
      <c r="A839" s="224" t="s">
        <v>2079</v>
      </c>
      <c r="B839" s="225" t="s">
        <v>1357</v>
      </c>
      <c r="C839" s="226" t="s">
        <v>1346</v>
      </c>
      <c r="D839" s="226" t="s">
        <v>1347</v>
      </c>
      <c r="E839" s="226" t="s">
        <v>1358</v>
      </c>
      <c r="F839" s="227" t="s">
        <v>82</v>
      </c>
      <c r="G839" s="228" t="s">
        <v>82</v>
      </c>
      <c r="H839" s="228"/>
      <c r="I839" s="223">
        <v>3.3599853999999998E-2</v>
      </c>
      <c r="J839" s="229">
        <v>2.5000000000000001E-2</v>
      </c>
      <c r="K839" s="229">
        <v>7.4999999999999997E-2</v>
      </c>
      <c r="L839" s="229" t="s">
        <v>1359</v>
      </c>
      <c r="M839" s="229" t="s">
        <v>257</v>
      </c>
      <c r="N839" s="230" t="str">
        <f>IF(ISERROR(MATCH(A839,MemMap!$A$4:$A$98,0)) = FALSE, INDEX(MemMap!$B$4:$B$98,MATCH(A839,MemMap!$A$4:$A$98,0)),IF(F839="Y","TunSetCalSeg",IF(G839="Y", "FlashCalSeg", IF(G839="N", "FlashAppSeg", ""))))</f>
        <v>FlashAppSeg</v>
      </c>
      <c r="O839" s="220"/>
      <c r="P839" s="221"/>
      <c r="Q839" s="221"/>
      <c r="R839" s="221"/>
    </row>
    <row r="840" spans="1:18" ht="45" x14ac:dyDescent="0.2">
      <c r="A840" s="224" t="s">
        <v>1385</v>
      </c>
      <c r="B840" s="225" t="s">
        <v>1386</v>
      </c>
      <c r="C840" s="226" t="s">
        <v>1346</v>
      </c>
      <c r="D840" s="226" t="s">
        <v>1347</v>
      </c>
      <c r="E840" s="226" t="s">
        <v>1387</v>
      </c>
      <c r="F840" s="227" t="s">
        <v>82</v>
      </c>
      <c r="G840" s="228" t="s">
        <v>82</v>
      </c>
      <c r="H840" s="228"/>
      <c r="I840" s="223">
        <v>13.5</v>
      </c>
      <c r="J840" s="229">
        <v>0</v>
      </c>
      <c r="K840" s="229">
        <v>18</v>
      </c>
      <c r="L840" s="229" t="s">
        <v>560</v>
      </c>
      <c r="M840" s="229" t="s">
        <v>257</v>
      </c>
      <c r="N840" s="230" t="str">
        <f>IF(ISERROR(MATCH(A840,MemMap!$A$4:$A$98,0)) = FALSE, INDEX(MemMap!$B$4:$B$98,MATCH(A840,MemMap!$A$4:$A$98,0)),IF(F840="Y","TunSetCalSeg",IF(G840="Y", "FlashCalSeg", IF(G840="N", "FlashAppSeg", ""))))</f>
        <v>FlashAppSeg</v>
      </c>
      <c r="O840" s="220"/>
      <c r="P840" s="221"/>
      <c r="Q840" s="221"/>
      <c r="R840" s="221"/>
    </row>
    <row r="841" spans="1:18" ht="56.25" x14ac:dyDescent="0.2">
      <c r="A841" s="224" t="s">
        <v>1382</v>
      </c>
      <c r="B841" s="225" t="s">
        <v>1383</v>
      </c>
      <c r="C841" s="226" t="s">
        <v>1346</v>
      </c>
      <c r="D841" s="226" t="s">
        <v>1347</v>
      </c>
      <c r="E841" s="226" t="s">
        <v>1384</v>
      </c>
      <c r="F841" s="227" t="s">
        <v>82</v>
      </c>
      <c r="G841" s="228" t="s">
        <v>82</v>
      </c>
      <c r="H841" s="228"/>
      <c r="I841" s="223">
        <v>2000</v>
      </c>
      <c r="J841" s="229">
        <v>0</v>
      </c>
      <c r="K841" s="229">
        <v>65535</v>
      </c>
      <c r="L841" s="229" t="s">
        <v>269</v>
      </c>
      <c r="M841" s="229" t="s">
        <v>263</v>
      </c>
      <c r="N841" s="230" t="str">
        <f>IF(ISERROR(MATCH(A841,MemMap!$A$4:$A$98,0)) = FALSE, INDEX(MemMap!$B$4:$B$98,MATCH(A841,MemMap!$A$4:$A$98,0)),IF(F841="Y","TunSetCalSeg",IF(G841="Y", "FlashCalSeg", IF(G841="N", "FlashAppSeg", ""))))</f>
        <v>FlashAppSeg</v>
      </c>
      <c r="O841" s="220"/>
      <c r="P841" s="221"/>
      <c r="Q841" s="221"/>
      <c r="R841" s="221"/>
    </row>
    <row r="842" spans="1:18" ht="33.75" x14ac:dyDescent="0.2">
      <c r="A842" s="224" t="s">
        <v>1377</v>
      </c>
      <c r="B842" s="225" t="s">
        <v>1378</v>
      </c>
      <c r="C842" s="226" t="s">
        <v>1346</v>
      </c>
      <c r="D842" s="226" t="s">
        <v>1347</v>
      </c>
      <c r="E842" s="226" t="s">
        <v>1379</v>
      </c>
      <c r="F842" s="227" t="s">
        <v>82</v>
      </c>
      <c r="G842" s="228" t="s">
        <v>82</v>
      </c>
      <c r="H842" s="228"/>
      <c r="I842" s="223">
        <v>100</v>
      </c>
      <c r="J842" s="229">
        <v>0</v>
      </c>
      <c r="K842" s="229">
        <v>250</v>
      </c>
      <c r="L842" s="229" t="s">
        <v>258</v>
      </c>
      <c r="M842" s="229" t="s">
        <v>257</v>
      </c>
      <c r="N842" s="230" t="str">
        <f>IF(ISERROR(MATCH(A842,MemMap!$A$4:$A$98,0)) = FALSE, INDEX(MemMap!$B$4:$B$98,MATCH(A842,MemMap!$A$4:$A$98,0)),IF(F842="Y","TunSetCalSeg",IF(G842="Y", "FlashCalSeg", IF(G842="N", "FlashAppSeg", ""))))</f>
        <v>FlashAppSeg</v>
      </c>
      <c r="O842" s="220"/>
      <c r="P842" s="221"/>
      <c r="Q842" s="221"/>
      <c r="R842" s="221"/>
    </row>
    <row r="843" spans="1:18" ht="22.5" x14ac:dyDescent="0.2">
      <c r="A843" s="224" t="s">
        <v>2087</v>
      </c>
      <c r="B843" s="225" t="s">
        <v>2088</v>
      </c>
      <c r="C843" s="226" t="s">
        <v>1346</v>
      </c>
      <c r="D843" s="226" t="s">
        <v>1347</v>
      </c>
      <c r="E843" s="226" t="s">
        <v>2089</v>
      </c>
      <c r="F843" s="227" t="s">
        <v>82</v>
      </c>
      <c r="G843" s="228" t="s">
        <v>82</v>
      </c>
      <c r="H843" s="228"/>
      <c r="I843" s="223">
        <v>1E-3</v>
      </c>
      <c r="J843" s="229">
        <v>4.8828125E-4</v>
      </c>
      <c r="K843" s="229">
        <v>0.01</v>
      </c>
      <c r="L843" s="229" t="s">
        <v>2090</v>
      </c>
      <c r="M843" s="229" t="s">
        <v>257</v>
      </c>
      <c r="N843" s="230" t="str">
        <f>IF(ISERROR(MATCH(A843,MemMap!$A$4:$A$98,0)) = FALSE, INDEX(MemMap!$B$4:$B$98,MATCH(A843,MemMap!$A$4:$A$98,0)),IF(F843="Y","TunSetCalSeg",IF(G843="Y", "FlashCalSeg", IF(G843="N", "FlashAppSeg", ""))))</f>
        <v>FlashAppSeg</v>
      </c>
      <c r="O843" s="220"/>
      <c r="P843" s="221"/>
      <c r="Q843" s="221"/>
      <c r="R843" s="221"/>
    </row>
    <row r="844" spans="1:18" ht="33.75" x14ac:dyDescent="0.2">
      <c r="A844" s="224" t="s">
        <v>2084</v>
      </c>
      <c r="B844" s="225" t="s">
        <v>2085</v>
      </c>
      <c r="C844" s="226" t="s">
        <v>1346</v>
      </c>
      <c r="D844" s="226" t="s">
        <v>1347</v>
      </c>
      <c r="E844" s="226" t="s">
        <v>2086</v>
      </c>
      <c r="F844" s="227" t="s">
        <v>82</v>
      </c>
      <c r="G844" s="228" t="s">
        <v>82</v>
      </c>
      <c r="H844" s="228"/>
      <c r="I844" s="223">
        <v>1</v>
      </c>
      <c r="J844" s="229">
        <v>0</v>
      </c>
      <c r="K844" s="229">
        <v>3</v>
      </c>
      <c r="L844" s="229" t="s">
        <v>560</v>
      </c>
      <c r="M844" s="229" t="s">
        <v>257</v>
      </c>
      <c r="N844" s="230" t="str">
        <f>IF(ISERROR(MATCH(A844,MemMap!$A$4:$A$98,0)) = FALSE, INDEX(MemMap!$B$4:$B$98,MATCH(A844,MemMap!$A$4:$A$98,0)),IF(F844="Y","TunSetCalSeg",IF(G844="Y", "FlashCalSeg", IF(G844="N", "FlashAppSeg", ""))))</f>
        <v>FlashAppSeg</v>
      </c>
      <c r="O844" s="220"/>
      <c r="P844" s="221"/>
      <c r="Q844" s="221"/>
      <c r="R844" s="221"/>
    </row>
    <row r="845" spans="1:18" ht="45" x14ac:dyDescent="0.2">
      <c r="A845" s="224" t="s">
        <v>1369</v>
      </c>
      <c r="B845" s="225" t="s">
        <v>1370</v>
      </c>
      <c r="C845" s="226" t="s">
        <v>1346</v>
      </c>
      <c r="D845" s="226" t="s">
        <v>1347</v>
      </c>
      <c r="E845" s="226" t="s">
        <v>1368</v>
      </c>
      <c r="F845" s="227" t="s">
        <v>82</v>
      </c>
      <c r="G845" s="228" t="s">
        <v>82</v>
      </c>
      <c r="H845" s="228"/>
      <c r="I845" s="223">
        <v>6.25E-2</v>
      </c>
      <c r="J845" s="229">
        <v>1E-3</v>
      </c>
      <c r="K845" s="229">
        <v>10</v>
      </c>
      <c r="L845" s="229" t="s">
        <v>259</v>
      </c>
      <c r="M845" s="229" t="s">
        <v>257</v>
      </c>
      <c r="N845" s="230" t="str">
        <f>IF(ISERROR(MATCH(A845,MemMap!$A$4:$A$98,0)) = FALSE, INDEX(MemMap!$B$4:$B$98,MATCH(A845,MemMap!$A$4:$A$98,0)),IF(F845="Y","TunSetCalSeg",IF(G845="Y", "FlashCalSeg", IF(G845="N", "FlashAppSeg", ""))))</f>
        <v>FlashAppSeg</v>
      </c>
      <c r="O845" s="220"/>
      <c r="P845" s="221"/>
      <c r="Q845" s="221"/>
      <c r="R845" s="221"/>
    </row>
    <row r="846" spans="1:18" ht="33.75" x14ac:dyDescent="0.2">
      <c r="A846" s="224" t="s">
        <v>1371</v>
      </c>
      <c r="B846" s="225" t="s">
        <v>1372</v>
      </c>
      <c r="C846" s="226" t="s">
        <v>1346</v>
      </c>
      <c r="D846" s="226" t="s">
        <v>1347</v>
      </c>
      <c r="E846" s="226" t="s">
        <v>1373</v>
      </c>
      <c r="F846" s="227" t="s">
        <v>82</v>
      </c>
      <c r="G846" s="228" t="s">
        <v>82</v>
      </c>
      <c r="H846" s="228"/>
      <c r="I846" s="223" t="b">
        <v>1</v>
      </c>
      <c r="J846" s="229" t="b">
        <v>0</v>
      </c>
      <c r="K846" s="229" t="b">
        <v>1</v>
      </c>
      <c r="L846" s="229" t="s">
        <v>387</v>
      </c>
      <c r="M846" s="229" t="s">
        <v>462</v>
      </c>
      <c r="N846" s="230" t="str">
        <f>IF(ISERROR(MATCH(A846,MemMap!$A$4:$A$98,0)) = FALSE, INDEX(MemMap!$B$4:$B$98,MATCH(A846,MemMap!$A$4:$A$98,0)),IF(F846="Y","TunSetCalSeg",IF(G846="Y", "FlashCalSeg", IF(G846="N", "FlashAppSeg", ""))))</f>
        <v>FlashAppSeg</v>
      </c>
      <c r="O846" s="220"/>
      <c r="P846" s="221"/>
      <c r="Q846" s="221"/>
      <c r="R846" s="221"/>
    </row>
    <row r="847" spans="1:18" ht="45" x14ac:dyDescent="0.2">
      <c r="A847" s="224" t="s">
        <v>1366</v>
      </c>
      <c r="B847" s="225" t="s">
        <v>1367</v>
      </c>
      <c r="C847" s="226" t="s">
        <v>1346</v>
      </c>
      <c r="D847" s="226" t="s">
        <v>1347</v>
      </c>
      <c r="E847" s="226" t="s">
        <v>1368</v>
      </c>
      <c r="F847" s="227" t="s">
        <v>82</v>
      </c>
      <c r="G847" s="228" t="s">
        <v>82</v>
      </c>
      <c r="H847" s="228"/>
      <c r="I847" s="223">
        <v>6.25</v>
      </c>
      <c r="J847" s="229">
        <v>1E-3</v>
      </c>
      <c r="K847" s="229">
        <v>10</v>
      </c>
      <c r="L847" s="229" t="s">
        <v>259</v>
      </c>
      <c r="M847" s="229" t="s">
        <v>257</v>
      </c>
      <c r="N847" s="230" t="str">
        <f>IF(ISERROR(MATCH(A847,MemMap!$A$4:$A$98,0)) = FALSE, INDEX(MemMap!$B$4:$B$98,MATCH(A847,MemMap!$A$4:$A$98,0)),IF(F847="Y","TunSetCalSeg",IF(G847="Y", "FlashCalSeg", IF(G847="N", "FlashAppSeg", ""))))</f>
        <v>FlashAppSeg</v>
      </c>
      <c r="O847" s="220"/>
      <c r="P847" s="221"/>
      <c r="Q847" s="221"/>
      <c r="R847" s="221"/>
    </row>
    <row r="848" spans="1:18" ht="33.75" x14ac:dyDescent="0.2">
      <c r="A848" s="224" t="s">
        <v>2071</v>
      </c>
      <c r="B848" s="225" t="s">
        <v>2072</v>
      </c>
      <c r="C848" s="226" t="s">
        <v>1346</v>
      </c>
      <c r="D848" s="226" t="s">
        <v>1347</v>
      </c>
      <c r="E848" s="226" t="s">
        <v>1345</v>
      </c>
      <c r="F848" s="227" t="s">
        <v>82</v>
      </c>
      <c r="G848" s="228" t="s">
        <v>82</v>
      </c>
      <c r="H848" s="228" t="s">
        <v>1348</v>
      </c>
      <c r="I848" s="223" t="s">
        <v>2073</v>
      </c>
      <c r="J848" s="229">
        <v>5</v>
      </c>
      <c r="K848" s="229">
        <v>31</v>
      </c>
      <c r="L848" s="229" t="s">
        <v>560</v>
      </c>
      <c r="M848" s="229" t="s">
        <v>377</v>
      </c>
      <c r="N848" s="230" t="str">
        <f>IF(ISERROR(MATCH(A848,MemMap!$A$4:$A$98,0)) = FALSE, INDEX(MemMap!$B$4:$B$98,MATCH(A848,MemMap!$A$4:$A$98,0)),IF(F848="Y","TunSetCalSeg",IF(G848="Y", "FlashCalSeg", IF(G848="N", "FlashAppSeg", ""))))</f>
        <v>FlashAppSeg</v>
      </c>
      <c r="O848" s="220"/>
      <c r="P848" s="221"/>
      <c r="Q848" s="221"/>
      <c r="R848" s="221"/>
    </row>
    <row r="849" spans="1:18" ht="56.25" x14ac:dyDescent="0.2">
      <c r="A849" s="224" t="s">
        <v>2074</v>
      </c>
      <c r="B849" s="225" t="s">
        <v>1349</v>
      </c>
      <c r="C849" s="226" t="s">
        <v>1346</v>
      </c>
      <c r="D849" s="226" t="s">
        <v>1347</v>
      </c>
      <c r="E849" s="226" t="s">
        <v>1345</v>
      </c>
      <c r="F849" s="227" t="s">
        <v>82</v>
      </c>
      <c r="G849" s="228" t="s">
        <v>82</v>
      </c>
      <c r="H849" s="228" t="s">
        <v>1350</v>
      </c>
      <c r="I849" s="223" t="s">
        <v>2075</v>
      </c>
      <c r="J849" s="229">
        <v>0</v>
      </c>
      <c r="K849" s="229">
        <v>571.35</v>
      </c>
      <c r="L849" s="229" t="s">
        <v>259</v>
      </c>
      <c r="M849" s="229" t="s">
        <v>471</v>
      </c>
      <c r="N849" s="230" t="str">
        <f>IF(ISERROR(MATCH(A849,MemMap!$A$4:$A$98,0)) = FALSE, INDEX(MemMap!$B$4:$B$98,MATCH(A849,MemMap!$A$4:$A$98,0)),IF(F849="Y","TunSetCalSeg",IF(G849="Y", "FlashCalSeg", IF(G849="N", "FlashAppSeg", ""))))</f>
        <v>FlashAppSeg</v>
      </c>
      <c r="O849" s="220"/>
      <c r="P849" s="221"/>
      <c r="Q849" s="221"/>
      <c r="R849" s="221"/>
    </row>
    <row r="850" spans="1:18" ht="56.25" x14ac:dyDescent="0.2">
      <c r="A850" s="224" t="s">
        <v>2076</v>
      </c>
      <c r="B850" s="225" t="s">
        <v>1344</v>
      </c>
      <c r="C850" s="226" t="s">
        <v>1346</v>
      </c>
      <c r="D850" s="226" t="s">
        <v>1347</v>
      </c>
      <c r="E850" s="226" t="s">
        <v>2077</v>
      </c>
      <c r="F850" s="227" t="s">
        <v>82</v>
      </c>
      <c r="G850" s="228" t="s">
        <v>82</v>
      </c>
      <c r="H850" s="228" t="s">
        <v>1351</v>
      </c>
      <c r="I850" s="223" t="s">
        <v>1352</v>
      </c>
      <c r="J850" s="229">
        <v>-1143</v>
      </c>
      <c r="K850" s="229">
        <v>1143</v>
      </c>
      <c r="L850" s="229" t="s">
        <v>259</v>
      </c>
      <c r="M850" s="229" t="s">
        <v>1353</v>
      </c>
      <c r="N850" s="230" t="str">
        <f>IF(ISERROR(MATCH(A850,MemMap!$A$4:$A$98,0)) = FALSE, INDEX(MemMap!$B$4:$B$98,MATCH(A850,MemMap!$A$4:$A$98,0)),IF(F850="Y","TunSetCalSeg",IF(G850="Y", "FlashCalSeg", IF(G850="N", "FlashAppSeg", ""))))</f>
        <v>FlashAppSeg</v>
      </c>
      <c r="O850" s="220"/>
      <c r="P850" s="221"/>
      <c r="Q850" s="221"/>
      <c r="R850" s="221"/>
    </row>
    <row r="851" spans="1:18" x14ac:dyDescent="0.2">
      <c r="A851" s="224" t="s">
        <v>2078</v>
      </c>
      <c r="B851" s="225" t="s">
        <v>1354</v>
      </c>
      <c r="C851" s="226" t="s">
        <v>1346</v>
      </c>
      <c r="D851" s="226" t="s">
        <v>1347</v>
      </c>
      <c r="E851" s="226" t="s">
        <v>2077</v>
      </c>
      <c r="F851" s="227" t="s">
        <v>82</v>
      </c>
      <c r="G851" s="228" t="s">
        <v>82</v>
      </c>
      <c r="H851" s="228" t="s">
        <v>1355</v>
      </c>
      <c r="I851" s="223" t="s">
        <v>1356</v>
      </c>
      <c r="J851" s="229">
        <v>0</v>
      </c>
      <c r="K851" s="229">
        <v>8.8000000000000007</v>
      </c>
      <c r="L851" s="229" t="s">
        <v>252</v>
      </c>
      <c r="M851" s="229" t="s">
        <v>377</v>
      </c>
      <c r="N851" s="230" t="str">
        <f>IF(ISERROR(MATCH(A851,MemMap!$A$4:$A$98,0)) = FALSE, INDEX(MemMap!$B$4:$B$98,MATCH(A851,MemMap!$A$4:$A$98,0)),IF(F851="Y","TunSetCalSeg",IF(G851="Y", "FlashCalSeg", IF(G851="N", "FlashAppSeg", ""))))</f>
        <v>FlashAppSeg</v>
      </c>
      <c r="O851" s="220"/>
      <c r="P851" s="221"/>
      <c r="Q851" s="221"/>
      <c r="R851" s="221"/>
    </row>
    <row r="852" spans="1:18" ht="33.75" x14ac:dyDescent="0.2">
      <c r="A852" s="224" t="s">
        <v>2080</v>
      </c>
      <c r="B852" s="225" t="s">
        <v>1360</v>
      </c>
      <c r="C852" s="226" t="s">
        <v>1346</v>
      </c>
      <c r="D852" s="226" t="s">
        <v>1347</v>
      </c>
      <c r="E852" s="226" t="s">
        <v>2081</v>
      </c>
      <c r="F852" s="227" t="s">
        <v>82</v>
      </c>
      <c r="G852" s="228" t="s">
        <v>82</v>
      </c>
      <c r="H852" s="228" t="s">
        <v>1361</v>
      </c>
      <c r="I852" s="223" t="s">
        <v>1362</v>
      </c>
      <c r="J852" s="229">
        <v>0</v>
      </c>
      <c r="K852" s="229">
        <v>1143</v>
      </c>
      <c r="L852" s="229" t="s">
        <v>259</v>
      </c>
      <c r="M852" s="229" t="s">
        <v>471</v>
      </c>
      <c r="N852" s="230" t="str">
        <f>IF(ISERROR(MATCH(A852,MemMap!$A$4:$A$98,0)) = FALSE, INDEX(MemMap!$B$4:$B$98,MATCH(A852,MemMap!$A$4:$A$98,0)),IF(F852="Y","TunSetCalSeg",IF(G852="Y", "FlashCalSeg", IF(G852="N", "FlashAppSeg", ""))))</f>
        <v>FlashAppSeg</v>
      </c>
      <c r="O852" s="220"/>
      <c r="P852" s="221"/>
      <c r="Q852" s="221"/>
      <c r="R852" s="221"/>
    </row>
    <row r="853" spans="1:18" x14ac:dyDescent="0.2">
      <c r="A853" s="224" t="s">
        <v>2082</v>
      </c>
      <c r="B853" s="225" t="s">
        <v>1363</v>
      </c>
      <c r="C853" s="226" t="s">
        <v>1346</v>
      </c>
      <c r="D853" s="226" t="s">
        <v>1347</v>
      </c>
      <c r="E853" s="226" t="s">
        <v>2081</v>
      </c>
      <c r="F853" s="227" t="s">
        <v>82</v>
      </c>
      <c r="G853" s="228" t="s">
        <v>82</v>
      </c>
      <c r="H853" s="228" t="s">
        <v>1364</v>
      </c>
      <c r="I853" s="223" t="s">
        <v>1365</v>
      </c>
      <c r="J853" s="229">
        <v>0</v>
      </c>
      <c r="K853" s="229">
        <v>8.8000000000000007</v>
      </c>
      <c r="L853" s="229" t="s">
        <v>252</v>
      </c>
      <c r="M853" s="229" t="s">
        <v>675</v>
      </c>
      <c r="N853" s="230" t="str">
        <f>IF(ISERROR(MATCH(A853,MemMap!$A$4:$A$98,0)) = FALSE, INDEX(MemMap!$B$4:$B$98,MATCH(A853,MemMap!$A$4:$A$98,0)),IF(F853="Y","TunSetCalSeg",IF(G853="Y", "FlashCalSeg", IF(G853="N", "FlashAppSeg", ""))))</f>
        <v>FlashAppSeg</v>
      </c>
      <c r="O853" s="220"/>
      <c r="P853" s="221"/>
      <c r="Q853" s="221"/>
      <c r="R853" s="221"/>
    </row>
    <row r="854" spans="1:18" x14ac:dyDescent="0.2">
      <c r="A854" s="224" t="s">
        <v>1440</v>
      </c>
      <c r="B854" s="225" t="s">
        <v>1441</v>
      </c>
      <c r="C854" s="226" t="s">
        <v>1391</v>
      </c>
      <c r="D854" s="226" t="s">
        <v>190</v>
      </c>
      <c r="E854" s="226" t="s">
        <v>1419</v>
      </c>
      <c r="F854" s="227" t="s">
        <v>0</v>
      </c>
      <c r="G854" s="228" t="s">
        <v>81</v>
      </c>
      <c r="H854" s="228"/>
      <c r="I854" s="223">
        <v>0.5</v>
      </c>
      <c r="J854" s="229">
        <v>0.1</v>
      </c>
      <c r="K854" s="229">
        <v>10</v>
      </c>
      <c r="L854" s="229" t="s">
        <v>804</v>
      </c>
      <c r="M854" s="229" t="s">
        <v>257</v>
      </c>
      <c r="N854" s="230" t="str">
        <f>IF(ISERROR(MATCH(A854,MemMap!$A$4:$A$98,0)) = FALSE, INDEX(MemMap!$B$4:$B$98,MATCH(A854,MemMap!$A$4:$A$98,0)),IF(F854="Y","TunSetCalSeg",IF(G854="Y", "FlashCalSeg", IF(G854="N", "FlashAppSeg", ""))))</f>
        <v>FlashCalSeg</v>
      </c>
      <c r="O854" s="220"/>
      <c r="P854" s="221"/>
      <c r="Q854" s="221"/>
      <c r="R854" s="221"/>
    </row>
    <row r="855" spans="1:18" ht="33.75" x14ac:dyDescent="0.2">
      <c r="A855" s="224" t="s">
        <v>1442</v>
      </c>
      <c r="B855" s="225" t="s">
        <v>1443</v>
      </c>
      <c r="C855" s="226" t="s">
        <v>1391</v>
      </c>
      <c r="D855" s="226" t="s">
        <v>190</v>
      </c>
      <c r="E855" s="226" t="s">
        <v>1444</v>
      </c>
      <c r="F855" s="227" t="s">
        <v>82</v>
      </c>
      <c r="G855" s="228" t="s">
        <v>82</v>
      </c>
      <c r="H855" s="228"/>
      <c r="I855" s="223">
        <v>0.1</v>
      </c>
      <c r="J855" s="229">
        <v>-10</v>
      </c>
      <c r="K855" s="229">
        <v>10</v>
      </c>
      <c r="L855" s="229" t="s">
        <v>252</v>
      </c>
      <c r="M855" s="229" t="s">
        <v>257</v>
      </c>
      <c r="N855" s="230" t="str">
        <f>IF(ISERROR(MATCH(A855,MemMap!$A$4:$A$98,0)) = FALSE, INDEX(MemMap!$B$4:$B$98,MATCH(A855,MemMap!$A$4:$A$98,0)),IF(F855="Y","TunSetCalSeg",IF(G855="Y", "FlashCalSeg", IF(G855="N", "FlashAppSeg", ""))))</f>
        <v>FlashAppSeg</v>
      </c>
      <c r="O855" s="220"/>
      <c r="P855" s="221"/>
      <c r="Q855" s="221"/>
      <c r="R855" s="221"/>
    </row>
    <row r="856" spans="1:18" ht="33.75" x14ac:dyDescent="0.2">
      <c r="A856" s="224" t="s">
        <v>1420</v>
      </c>
      <c r="B856" s="225" t="s">
        <v>1421</v>
      </c>
      <c r="C856" s="226" t="s">
        <v>1391</v>
      </c>
      <c r="D856" s="226" t="s">
        <v>190</v>
      </c>
      <c r="E856" s="226" t="s">
        <v>1422</v>
      </c>
      <c r="F856" s="227" t="s">
        <v>81</v>
      </c>
      <c r="G856" s="228" t="s">
        <v>81</v>
      </c>
      <c r="H856" s="228"/>
      <c r="I856" s="223">
        <v>17</v>
      </c>
      <c r="J856" s="229">
        <v>0</v>
      </c>
      <c r="K856" s="229">
        <v>20</v>
      </c>
      <c r="L856" s="229" t="s">
        <v>1423</v>
      </c>
      <c r="M856" s="229" t="s">
        <v>257</v>
      </c>
      <c r="N856" s="230" t="str">
        <f>IF(ISERROR(MATCH(A856,MemMap!$A$4:$A$98,0)) = FALSE, INDEX(MemMap!$B$4:$B$98,MATCH(A856,MemMap!$A$4:$A$98,0)),IF(F856="Y","TunSetCalSeg",IF(G856="Y", "FlashCalSeg", IF(G856="N", "FlashAppSeg", ""))))</f>
        <v>TunSetCalSeg</v>
      </c>
      <c r="O856" s="220"/>
      <c r="P856" s="221"/>
      <c r="Q856" s="221"/>
      <c r="R856" s="221"/>
    </row>
    <row r="857" spans="1:18" ht="22.5" x14ac:dyDescent="0.2">
      <c r="A857" s="224" t="s">
        <v>1417</v>
      </c>
      <c r="B857" s="225" t="s">
        <v>1418</v>
      </c>
      <c r="C857" s="226" t="s">
        <v>1391</v>
      </c>
      <c r="D857" s="226" t="s">
        <v>190</v>
      </c>
      <c r="E857" s="226" t="s">
        <v>1419</v>
      </c>
      <c r="F857" s="227" t="s">
        <v>81</v>
      </c>
      <c r="G857" s="228" t="s">
        <v>81</v>
      </c>
      <c r="H857" s="228"/>
      <c r="I857" s="223">
        <v>0.04</v>
      </c>
      <c r="J857" s="229">
        <v>0</v>
      </c>
      <c r="K857" s="229">
        <v>0.5</v>
      </c>
      <c r="L857" s="229" t="s">
        <v>496</v>
      </c>
      <c r="M857" s="229" t="s">
        <v>257</v>
      </c>
      <c r="N857" s="230" t="str">
        <f>IF(ISERROR(MATCH(A857,MemMap!$A$4:$A$98,0)) = FALSE, INDEX(MemMap!$B$4:$B$98,MATCH(A857,MemMap!$A$4:$A$98,0)),IF(F857="Y","TunSetCalSeg",IF(G857="Y", "FlashCalSeg", IF(G857="N", "FlashAppSeg", ""))))</f>
        <v>TunSetCalSeg</v>
      </c>
      <c r="O857" s="220"/>
      <c r="P857" s="221"/>
      <c r="Q857" s="221"/>
      <c r="R857" s="221"/>
    </row>
    <row r="858" spans="1:18" ht="22.5" x14ac:dyDescent="0.2">
      <c r="A858" s="224" t="s">
        <v>1432</v>
      </c>
      <c r="B858" s="225" t="s">
        <v>1433</v>
      </c>
      <c r="C858" s="226" t="s">
        <v>1391</v>
      </c>
      <c r="D858" s="226" t="s">
        <v>190</v>
      </c>
      <c r="E858" s="226" t="s">
        <v>1434</v>
      </c>
      <c r="F858" s="227" t="s">
        <v>0</v>
      </c>
      <c r="G858" s="228" t="s">
        <v>81</v>
      </c>
      <c r="H858" s="228"/>
      <c r="I858" s="223" t="s">
        <v>1435</v>
      </c>
      <c r="J858" s="229">
        <v>0</v>
      </c>
      <c r="K858" s="229">
        <v>1</v>
      </c>
      <c r="L858" s="229" t="s">
        <v>256</v>
      </c>
      <c r="M858" s="229" t="s">
        <v>253</v>
      </c>
      <c r="N858" s="230" t="str">
        <f>IF(ISERROR(MATCH(A858,MemMap!$A$4:$A$98,0)) = FALSE, INDEX(MemMap!$B$4:$B$98,MATCH(A858,MemMap!$A$4:$A$98,0)),IF(F858="Y","TunSetCalSeg",IF(G858="Y", "FlashCalSeg", IF(G858="N", "FlashAppSeg", ""))))</f>
        <v>FlashCalSeg</v>
      </c>
      <c r="O858" s="220"/>
      <c r="P858" s="221"/>
      <c r="Q858" s="221"/>
      <c r="R858" s="221"/>
    </row>
    <row r="859" spans="1:18" ht="33.75" x14ac:dyDescent="0.2">
      <c r="A859" s="224" t="s">
        <v>1436</v>
      </c>
      <c r="B859" s="225" t="s">
        <v>1437</v>
      </c>
      <c r="C859" s="226" t="s">
        <v>1391</v>
      </c>
      <c r="D859" s="226" t="s">
        <v>190</v>
      </c>
      <c r="E859" s="226" t="s">
        <v>1438</v>
      </c>
      <c r="F859" s="227" t="s">
        <v>0</v>
      </c>
      <c r="G859" s="228" t="s">
        <v>81</v>
      </c>
      <c r="H859" s="228"/>
      <c r="I859" s="223" t="s">
        <v>1439</v>
      </c>
      <c r="J859" s="229">
        <v>0</v>
      </c>
      <c r="K859" s="229">
        <v>1</v>
      </c>
      <c r="L859" s="229" t="s">
        <v>256</v>
      </c>
      <c r="M859" s="229" t="s">
        <v>336</v>
      </c>
      <c r="N859" s="230" t="str">
        <f>IF(ISERROR(MATCH(A859,MemMap!$A$4:$A$98,0)) = FALSE, INDEX(MemMap!$B$4:$B$98,MATCH(A859,MemMap!$A$4:$A$98,0)),IF(F859="Y","TunSetCalSeg",IF(G859="Y", "FlashCalSeg", IF(G859="N", "FlashAppSeg", ""))))</f>
        <v>FlashCalSeg</v>
      </c>
      <c r="O859" s="220"/>
      <c r="P859" s="221"/>
      <c r="Q859" s="221"/>
      <c r="R859" s="221"/>
    </row>
    <row r="860" spans="1:18" ht="135" x14ac:dyDescent="0.2">
      <c r="A860" s="224" t="s">
        <v>1428</v>
      </c>
      <c r="B860" s="225" t="s">
        <v>1429</v>
      </c>
      <c r="C860" s="226" t="s">
        <v>1391</v>
      </c>
      <c r="D860" s="226" t="s">
        <v>190</v>
      </c>
      <c r="E860" s="226" t="s">
        <v>1430</v>
      </c>
      <c r="F860" s="227" t="s">
        <v>81</v>
      </c>
      <c r="G860" s="228" t="s">
        <v>81</v>
      </c>
      <c r="H860" s="228"/>
      <c r="I860" s="223" t="s">
        <v>1431</v>
      </c>
      <c r="J860" s="229">
        <v>0</v>
      </c>
      <c r="K860" s="229">
        <v>10</v>
      </c>
      <c r="L860" s="229" t="s">
        <v>256</v>
      </c>
      <c r="M860" s="229" t="s">
        <v>253</v>
      </c>
      <c r="N860" s="230" t="str">
        <f>IF(ISERROR(MATCH(A860,MemMap!$A$4:$A$98,0)) = FALSE, INDEX(MemMap!$B$4:$B$98,MATCH(A860,MemMap!$A$4:$A$98,0)),IF(F860="Y","TunSetCalSeg",IF(G860="Y", "FlashCalSeg", IF(G860="N", "FlashAppSeg", ""))))</f>
        <v>TunSetCalSeg</v>
      </c>
      <c r="O860" s="220"/>
      <c r="P860" s="221"/>
      <c r="Q860" s="221"/>
      <c r="R860" s="221"/>
    </row>
    <row r="861" spans="1:18" ht="78.75" x14ac:dyDescent="0.2">
      <c r="A861" s="224" t="s">
        <v>1424</v>
      </c>
      <c r="B861" s="225" t="s">
        <v>1425</v>
      </c>
      <c r="C861" s="226" t="s">
        <v>1391</v>
      </c>
      <c r="D861" s="226" t="s">
        <v>190</v>
      </c>
      <c r="E861" s="226" t="s">
        <v>1426</v>
      </c>
      <c r="F861" s="227" t="s">
        <v>81</v>
      </c>
      <c r="G861" s="228" t="s">
        <v>81</v>
      </c>
      <c r="H861" s="228"/>
      <c r="I861" s="223" t="s">
        <v>1427</v>
      </c>
      <c r="J861" s="229">
        <v>-40</v>
      </c>
      <c r="K861" s="229">
        <v>150</v>
      </c>
      <c r="L861" s="229" t="s">
        <v>519</v>
      </c>
      <c r="M861" s="229" t="s">
        <v>1353</v>
      </c>
      <c r="N861" s="230" t="str">
        <f>IF(ISERROR(MATCH(A861,MemMap!$A$4:$A$98,0)) = FALSE, INDEX(MemMap!$B$4:$B$98,MATCH(A861,MemMap!$A$4:$A$98,0)),IF(F861="Y","TunSetCalSeg",IF(G861="Y", "FlashCalSeg", IF(G861="N", "FlashAppSeg", ""))))</f>
        <v>TunSetCalSeg</v>
      </c>
      <c r="O861" s="220"/>
      <c r="P861" s="221"/>
      <c r="Q861" s="221"/>
      <c r="R861" s="221"/>
    </row>
    <row r="862" spans="1:18" ht="45" x14ac:dyDescent="0.2">
      <c r="A862" s="224" t="s">
        <v>1388</v>
      </c>
      <c r="B862" s="225" t="s">
        <v>1389</v>
      </c>
      <c r="C862" s="226" t="s">
        <v>1391</v>
      </c>
      <c r="D862" s="226" t="s">
        <v>190</v>
      </c>
      <c r="E862" s="226" t="s">
        <v>1390</v>
      </c>
      <c r="F862" s="227" t="s">
        <v>81</v>
      </c>
      <c r="G862" s="228" t="s">
        <v>81</v>
      </c>
      <c r="H862" s="228"/>
      <c r="I862" s="223" t="s">
        <v>1392</v>
      </c>
      <c r="J862" s="229">
        <v>0</v>
      </c>
      <c r="K862" s="229">
        <v>512</v>
      </c>
      <c r="L862" s="229" t="s">
        <v>260</v>
      </c>
      <c r="M862" s="229" t="s">
        <v>336</v>
      </c>
      <c r="N862" s="230" t="str">
        <f>IF(ISERROR(MATCH(A862,MemMap!$A$4:$A$98,0)) = FALSE, INDEX(MemMap!$B$4:$B$98,MATCH(A862,MemMap!$A$4:$A$98,0)),IF(F862="Y","TunSetCalSeg",IF(G862="Y", "FlashCalSeg", IF(G862="N", "FlashAppSeg", ""))))</f>
        <v>TunSetCalSeg</v>
      </c>
      <c r="O862" s="220"/>
      <c r="P862" s="221"/>
      <c r="Q862" s="221"/>
      <c r="R862" s="221"/>
    </row>
    <row r="863" spans="1:18" ht="45" x14ac:dyDescent="0.2">
      <c r="A863" s="224" t="s">
        <v>1393</v>
      </c>
      <c r="B863" s="225" t="s">
        <v>1394</v>
      </c>
      <c r="C863" s="226" t="s">
        <v>1391</v>
      </c>
      <c r="D863" s="226" t="s">
        <v>190</v>
      </c>
      <c r="E863" s="226" t="s">
        <v>1395</v>
      </c>
      <c r="F863" s="227" t="s">
        <v>0</v>
      </c>
      <c r="G863" s="228" t="s">
        <v>81</v>
      </c>
      <c r="H863" s="228"/>
      <c r="I863" s="223" t="s">
        <v>1396</v>
      </c>
      <c r="J863" s="229">
        <v>0</v>
      </c>
      <c r="K863" s="229">
        <v>1620</v>
      </c>
      <c r="L863" s="229" t="s">
        <v>264</v>
      </c>
      <c r="M863" s="229" t="s">
        <v>653</v>
      </c>
      <c r="N863" s="230" t="str">
        <f>IF(ISERROR(MATCH(A863,MemMap!$A$4:$A$98,0)) = FALSE, INDEX(MemMap!$B$4:$B$98,MATCH(A863,MemMap!$A$4:$A$98,0)),IF(F863="Y","TunSetCalSeg",IF(G863="Y", "FlashCalSeg", IF(G863="N", "FlashAppSeg", ""))))</f>
        <v>FlashCalSeg</v>
      </c>
      <c r="O863" s="220"/>
      <c r="P863" s="221"/>
      <c r="Q863" s="221"/>
      <c r="R863" s="221"/>
    </row>
    <row r="864" spans="1:18" ht="33.75" x14ac:dyDescent="0.2">
      <c r="A864" s="224" t="s">
        <v>1397</v>
      </c>
      <c r="B864" s="225" t="s">
        <v>1398</v>
      </c>
      <c r="C864" s="226" t="s">
        <v>1391</v>
      </c>
      <c r="D864" s="226" t="s">
        <v>190</v>
      </c>
      <c r="E864" s="226" t="s">
        <v>1399</v>
      </c>
      <c r="F864" s="227" t="s">
        <v>0</v>
      </c>
      <c r="G864" s="228" t="s">
        <v>81</v>
      </c>
      <c r="H864" s="228"/>
      <c r="I864" s="223" t="s">
        <v>1400</v>
      </c>
      <c r="J864" s="229">
        <v>0</v>
      </c>
      <c r="K864" s="229">
        <v>0.5</v>
      </c>
      <c r="L864" s="229" t="s">
        <v>252</v>
      </c>
      <c r="M864" s="229" t="s">
        <v>377</v>
      </c>
      <c r="N864" s="230" t="str">
        <f>IF(ISERROR(MATCH(A864,MemMap!$A$4:$A$98,0)) = FALSE, INDEX(MemMap!$B$4:$B$98,MATCH(A864,MemMap!$A$4:$A$98,0)),IF(F864="Y","TunSetCalSeg",IF(G864="Y", "FlashCalSeg", IF(G864="N", "FlashAppSeg", ""))))</f>
        <v>FlashCalSeg</v>
      </c>
      <c r="O864" s="220"/>
      <c r="P864" s="221"/>
      <c r="Q864" s="221"/>
      <c r="R864" s="221"/>
    </row>
    <row r="865" spans="1:18" ht="45" x14ac:dyDescent="0.2">
      <c r="A865" s="224" t="s">
        <v>1401</v>
      </c>
      <c r="B865" s="225" t="s">
        <v>1402</v>
      </c>
      <c r="C865" s="226" t="s">
        <v>1391</v>
      </c>
      <c r="D865" s="226" t="s">
        <v>190</v>
      </c>
      <c r="E865" s="226" t="s">
        <v>1403</v>
      </c>
      <c r="F865" s="227" t="s">
        <v>0</v>
      </c>
      <c r="G865" s="228" t="s">
        <v>81</v>
      </c>
      <c r="H865" s="228"/>
      <c r="I865" s="223" t="s">
        <v>1404</v>
      </c>
      <c r="J865" s="229">
        <v>0</v>
      </c>
      <c r="K865" s="229">
        <v>10</v>
      </c>
      <c r="L865" s="229" t="s">
        <v>264</v>
      </c>
      <c r="M865" s="229" t="s">
        <v>253</v>
      </c>
      <c r="N865" s="230" t="str">
        <f>IF(ISERROR(MATCH(A865,MemMap!$A$4:$A$98,0)) = FALSE, INDEX(MemMap!$B$4:$B$98,MATCH(A865,MemMap!$A$4:$A$98,0)),IF(F865="Y","TunSetCalSeg",IF(G865="Y", "FlashCalSeg", IF(G865="N", "FlashAppSeg", ""))))</f>
        <v>FlashCalSeg</v>
      </c>
      <c r="O865" s="220"/>
      <c r="P865" s="221"/>
      <c r="Q865" s="221"/>
      <c r="R865" s="221"/>
    </row>
    <row r="866" spans="1:18" ht="45" x14ac:dyDescent="0.2">
      <c r="A866" s="224" t="s">
        <v>1405</v>
      </c>
      <c r="B866" s="225" t="s">
        <v>1406</v>
      </c>
      <c r="C866" s="226" t="s">
        <v>1391</v>
      </c>
      <c r="D866" s="226" t="s">
        <v>190</v>
      </c>
      <c r="E866" s="226" t="s">
        <v>1407</v>
      </c>
      <c r="F866" s="227" t="s">
        <v>0</v>
      </c>
      <c r="G866" s="228" t="s">
        <v>81</v>
      </c>
      <c r="H866" s="228"/>
      <c r="I866" s="223" t="s">
        <v>1408</v>
      </c>
      <c r="J866" s="229">
        <v>0</v>
      </c>
      <c r="K866" s="229">
        <v>1</v>
      </c>
      <c r="L866" s="229" t="s">
        <v>256</v>
      </c>
      <c r="M866" s="229" t="s">
        <v>253</v>
      </c>
      <c r="N866" s="230" t="str">
        <f>IF(ISERROR(MATCH(A866,MemMap!$A$4:$A$98,0)) = FALSE, INDEX(MemMap!$B$4:$B$98,MATCH(A866,MemMap!$A$4:$A$98,0)),IF(F866="Y","TunSetCalSeg",IF(G866="Y", "FlashCalSeg", IF(G866="N", "FlashAppSeg", ""))))</f>
        <v>FlashCalSeg</v>
      </c>
      <c r="O866" s="220"/>
      <c r="P866" s="221"/>
      <c r="Q866" s="221"/>
      <c r="R866" s="221"/>
    </row>
    <row r="867" spans="1:18" ht="45" x14ac:dyDescent="0.2">
      <c r="A867" s="224" t="s">
        <v>1409</v>
      </c>
      <c r="B867" s="225" t="s">
        <v>1410</v>
      </c>
      <c r="C867" s="226" t="s">
        <v>1391</v>
      </c>
      <c r="D867" s="226" t="s">
        <v>190</v>
      </c>
      <c r="E867" s="226" t="s">
        <v>1411</v>
      </c>
      <c r="F867" s="227" t="s">
        <v>0</v>
      </c>
      <c r="G867" s="228" t="s">
        <v>81</v>
      </c>
      <c r="H867" s="228"/>
      <c r="I867" s="223" t="s">
        <v>1412</v>
      </c>
      <c r="J867" s="229">
        <v>0</v>
      </c>
      <c r="K867" s="229">
        <v>50</v>
      </c>
      <c r="L867" s="229" t="s">
        <v>1334</v>
      </c>
      <c r="M867" s="229" t="s">
        <v>949</v>
      </c>
      <c r="N867" s="230" t="str">
        <f>IF(ISERROR(MATCH(A867,MemMap!$A$4:$A$98,0)) = FALSE, INDEX(MemMap!$B$4:$B$98,MATCH(A867,MemMap!$A$4:$A$98,0)),IF(F867="Y","TunSetCalSeg",IF(G867="Y", "FlashCalSeg", IF(G867="N", "FlashAppSeg", ""))))</f>
        <v>FlashCalSeg</v>
      </c>
      <c r="O867" s="220"/>
      <c r="P867" s="221"/>
      <c r="Q867" s="221"/>
      <c r="R867" s="221"/>
    </row>
    <row r="868" spans="1:18" ht="409.5" x14ac:dyDescent="0.2">
      <c r="A868" s="224" t="s">
        <v>1413</v>
      </c>
      <c r="B868" s="225" t="s">
        <v>1414</v>
      </c>
      <c r="C868" s="226" t="s">
        <v>1391</v>
      </c>
      <c r="D868" s="226" t="s">
        <v>190</v>
      </c>
      <c r="E868" s="226" t="s">
        <v>1415</v>
      </c>
      <c r="F868" s="227" t="s">
        <v>0</v>
      </c>
      <c r="G868" s="228" t="s">
        <v>81</v>
      </c>
      <c r="H868" s="228"/>
      <c r="I868" s="223" t="s">
        <v>1416</v>
      </c>
      <c r="J868" s="229">
        <v>0</v>
      </c>
      <c r="K868" s="229">
        <v>2.5</v>
      </c>
      <c r="L868" s="229" t="s">
        <v>256</v>
      </c>
      <c r="M868" s="229" t="s">
        <v>253</v>
      </c>
      <c r="N868" s="230" t="str">
        <f>IF(ISERROR(MATCH(A868,MemMap!$A$4:$A$98,0)) = FALSE, INDEX(MemMap!$B$4:$B$98,MATCH(A868,MemMap!$A$4:$A$98,0)),IF(F868="Y","TunSetCalSeg",IF(G868="Y", "FlashCalSeg", IF(G868="N", "FlashAppSeg", ""))))</f>
        <v>FlashCalSeg</v>
      </c>
      <c r="O868" s="220"/>
      <c r="P868" s="221"/>
      <c r="Q868" s="221"/>
      <c r="R868" s="221"/>
    </row>
    <row r="869" spans="1:18" x14ac:dyDescent="0.2">
      <c r="A869" s="224" t="s">
        <v>1450</v>
      </c>
      <c r="B869" s="225" t="s">
        <v>1451</v>
      </c>
      <c r="C869" s="226" t="s">
        <v>1447</v>
      </c>
      <c r="D869" s="226" t="s">
        <v>246</v>
      </c>
      <c r="E869" s="226" t="s">
        <v>417</v>
      </c>
      <c r="F869" s="227" t="s">
        <v>0</v>
      </c>
      <c r="G869" s="228" t="s">
        <v>81</v>
      </c>
      <c r="H869" s="228" t="s">
        <v>1452</v>
      </c>
      <c r="I869" s="223" t="s">
        <v>1453</v>
      </c>
      <c r="J869" s="229">
        <v>-1080</v>
      </c>
      <c r="K869" s="229">
        <v>1080</v>
      </c>
      <c r="L869" s="229" t="s">
        <v>264</v>
      </c>
      <c r="M869" s="229" t="s">
        <v>1353</v>
      </c>
      <c r="N869" s="230" t="str">
        <f>IF(ISERROR(MATCH(A869,MemMap!$A$4:$A$98,0)) = FALSE, INDEX(MemMap!$B$4:$B$98,MATCH(A869,MemMap!$A$4:$A$98,0)),IF(F869="Y","TunSetCalSeg",IF(G869="Y", "FlashCalSeg", IF(G869="N", "FlashAppSeg", ""))))</f>
        <v>FlashCalSeg</v>
      </c>
      <c r="O869" s="220"/>
      <c r="P869" s="221"/>
      <c r="Q869" s="221"/>
      <c r="R869" s="221"/>
    </row>
    <row r="870" spans="1:18" ht="22.5" x14ac:dyDescent="0.2">
      <c r="A870" s="224" t="s">
        <v>1445</v>
      </c>
      <c r="B870" s="225" t="s">
        <v>1446</v>
      </c>
      <c r="C870" s="226" t="s">
        <v>1447</v>
      </c>
      <c r="D870" s="226" t="s">
        <v>246</v>
      </c>
      <c r="E870" s="226" t="s">
        <v>370</v>
      </c>
      <c r="F870" s="227" t="s">
        <v>81</v>
      </c>
      <c r="G870" s="228" t="s">
        <v>81</v>
      </c>
      <c r="H870" s="228" t="s">
        <v>1448</v>
      </c>
      <c r="I870" s="223" t="s">
        <v>1449</v>
      </c>
      <c r="J870" s="229">
        <v>0</v>
      </c>
      <c r="K870" s="229">
        <v>511</v>
      </c>
      <c r="L870" s="229" t="s">
        <v>296</v>
      </c>
      <c r="M870" s="229" t="s">
        <v>336</v>
      </c>
      <c r="N870" s="230" t="str">
        <f>IF(ISERROR(MATCH(A870,MemMap!$A$4:$A$98,0)) = FALSE, INDEX(MemMap!$B$4:$B$98,MATCH(A870,MemMap!$A$4:$A$98,0)),IF(F870="Y","TunSetCalSeg",IF(G870="Y", "FlashCalSeg", IF(G870="N", "FlashAppSeg", ""))))</f>
        <v>TunSetCalSeg</v>
      </c>
      <c r="O870" s="220"/>
      <c r="P870" s="221"/>
      <c r="Q870" s="221"/>
      <c r="R870" s="221"/>
    </row>
    <row r="871" spans="1:18" x14ac:dyDescent="0.2">
      <c r="A871" s="224" t="s">
        <v>1454</v>
      </c>
      <c r="B871" s="225" t="s">
        <v>1455</v>
      </c>
      <c r="C871" s="226" t="s">
        <v>1447</v>
      </c>
      <c r="D871" s="226" t="s">
        <v>246</v>
      </c>
      <c r="E871" s="226" t="s">
        <v>422</v>
      </c>
      <c r="F871" s="227" t="s">
        <v>0</v>
      </c>
      <c r="G871" s="228" t="s">
        <v>81</v>
      </c>
      <c r="H871" s="228" t="s">
        <v>1456</v>
      </c>
      <c r="I871" s="223" t="s">
        <v>1457</v>
      </c>
      <c r="J871" s="229">
        <v>-16</v>
      </c>
      <c r="K871" s="229">
        <v>15.99951171875</v>
      </c>
      <c r="L871" s="229" t="s">
        <v>252</v>
      </c>
      <c r="M871" s="229" t="s">
        <v>363</v>
      </c>
      <c r="N871" s="230" t="str">
        <f>IF(ISERROR(MATCH(A871,MemMap!$A$4:$A$98,0)) = FALSE, INDEX(MemMap!$B$4:$B$98,MATCH(A871,MemMap!$A$4:$A$98,0)),IF(F871="Y","TunSetCalSeg",IF(G871="Y", "FlashCalSeg", IF(G871="N", "FlashAppSeg", ""))))</f>
        <v>FlashCalSeg</v>
      </c>
      <c r="O871" s="220"/>
      <c r="P871" s="221"/>
      <c r="Q871" s="221"/>
      <c r="R871" s="221"/>
    </row>
    <row r="872" spans="1:18" x14ac:dyDescent="0.2">
      <c r="A872" s="224" t="s">
        <v>1463</v>
      </c>
      <c r="B872" s="225" t="s">
        <v>1464</v>
      </c>
      <c r="C872" s="226" t="s">
        <v>1461</v>
      </c>
      <c r="D872" s="226" t="s">
        <v>925</v>
      </c>
      <c r="E872" s="226"/>
      <c r="F872" s="227" t="s">
        <v>82</v>
      </c>
      <c r="G872" s="228" t="s">
        <v>82</v>
      </c>
      <c r="H872" s="228"/>
      <c r="I872" s="223">
        <v>150</v>
      </c>
      <c r="J872" s="229">
        <v>0</v>
      </c>
      <c r="K872" s="229">
        <v>999</v>
      </c>
      <c r="L872" s="229" t="s">
        <v>1465</v>
      </c>
      <c r="M872" s="229" t="s">
        <v>257</v>
      </c>
      <c r="N872" s="230" t="str">
        <f>IF(ISERROR(MATCH(A872,MemMap!$A$4:$A$98,0)) = FALSE, INDEX(MemMap!$B$4:$B$98,MATCH(A872,MemMap!$A$4:$A$98,0)),IF(F872="Y","TunSetCalSeg",IF(G872="Y", "FlashCalSeg", IF(G872="N", "FlashAppSeg", ""))))</f>
        <v>FlashAppSeg</v>
      </c>
      <c r="O872" s="220"/>
      <c r="P872" s="221"/>
      <c r="Q872" s="221"/>
      <c r="R872" s="221"/>
    </row>
    <row r="873" spans="1:18" x14ac:dyDescent="0.2">
      <c r="A873" s="224" t="s">
        <v>1458</v>
      </c>
      <c r="B873" s="225" t="s">
        <v>1459</v>
      </c>
      <c r="C873" s="226" t="s">
        <v>1461</v>
      </c>
      <c r="D873" s="226" t="s">
        <v>925</v>
      </c>
      <c r="E873" s="226" t="s">
        <v>1460</v>
      </c>
      <c r="F873" s="227" t="s">
        <v>82</v>
      </c>
      <c r="G873" s="228" t="s">
        <v>82</v>
      </c>
      <c r="H873" s="228"/>
      <c r="I873" s="223">
        <v>35</v>
      </c>
      <c r="J873" s="229">
        <v>1</v>
      </c>
      <c r="K873" s="229">
        <v>255</v>
      </c>
      <c r="L873" s="229" t="s">
        <v>1462</v>
      </c>
      <c r="M873" s="229" t="s">
        <v>257</v>
      </c>
      <c r="N873" s="230" t="str">
        <f>IF(ISERROR(MATCH(A873,MemMap!$A$4:$A$98,0)) = FALSE, INDEX(MemMap!$B$4:$B$98,MATCH(A873,MemMap!$A$4:$A$98,0)),IF(F873="Y","TunSetCalSeg",IF(G873="Y", "FlashCalSeg", IF(G873="N", "FlashAppSeg", ""))))</f>
        <v>FlashAppSeg</v>
      </c>
      <c r="O873" s="220"/>
      <c r="P873" s="221"/>
      <c r="Q873" s="221"/>
      <c r="R873" s="221"/>
    </row>
    <row r="874" spans="1:18" x14ac:dyDescent="0.2">
      <c r="A874" s="224" t="s">
        <v>3270</v>
      </c>
      <c r="B874" s="225" t="s">
        <v>2184</v>
      </c>
      <c r="C874" s="226" t="s">
        <v>2253</v>
      </c>
      <c r="D874" s="226" t="s">
        <v>220</v>
      </c>
      <c r="E874" s="226"/>
      <c r="F874" s="227" t="s">
        <v>82</v>
      </c>
      <c r="G874" s="228" t="s">
        <v>81</v>
      </c>
      <c r="H874" s="228"/>
      <c r="I874" s="223">
        <v>2000</v>
      </c>
      <c r="J874" s="229">
        <v>0</v>
      </c>
      <c r="K874" s="229">
        <v>65535</v>
      </c>
      <c r="L874" s="229" t="s">
        <v>269</v>
      </c>
      <c r="M874" s="229" t="s">
        <v>263</v>
      </c>
      <c r="N874" s="230" t="str">
        <f>IF(ISERROR(MATCH(A874,MemMap!$A$4:$A$98,0)) = FALSE, INDEX(MemMap!$B$4:$B$98,MATCH(A874,MemMap!$A$4:$A$98,0)),IF(F874="Y","TunSetCalSeg",IF(G874="Y", "FlashCalSeg", IF(G874="N", "FlashAppSeg", ""))))</f>
        <v>FlashCalSeg</v>
      </c>
      <c r="O874" s="220"/>
      <c r="P874" s="221"/>
      <c r="Q874" s="221"/>
      <c r="R874" s="221"/>
    </row>
    <row r="875" spans="1:18" x14ac:dyDescent="0.2">
      <c r="A875" s="224" t="s">
        <v>3677</v>
      </c>
      <c r="B875" s="225" t="s">
        <v>2329</v>
      </c>
      <c r="C875" s="226" t="s">
        <v>1850</v>
      </c>
      <c r="D875" s="226" t="s">
        <v>220</v>
      </c>
      <c r="E875" s="226" t="s">
        <v>2330</v>
      </c>
      <c r="F875" s="227" t="s">
        <v>82</v>
      </c>
      <c r="G875" s="228" t="s">
        <v>81</v>
      </c>
      <c r="H875" s="228"/>
      <c r="I875" s="223">
        <v>200</v>
      </c>
      <c r="J875" s="229">
        <v>0</v>
      </c>
      <c r="K875" s="229">
        <v>65535</v>
      </c>
      <c r="L875" s="229" t="s">
        <v>269</v>
      </c>
      <c r="M875" s="229" t="s">
        <v>263</v>
      </c>
      <c r="N875" s="230" t="str">
        <f>IF(ISERROR(MATCH(A875,MemMap!$A$4:$A$98,0)) = FALSE, INDEX(MemMap!$B$4:$B$98,MATCH(A875,MemMap!$A$4:$A$98,0)),IF(F875="Y","TunSetCalSeg",IF(G875="Y", "FlashCalSeg", IF(G875="N", "FlashAppSeg", ""))))</f>
        <v>FlashCalSeg</v>
      </c>
      <c r="O875" s="220"/>
      <c r="P875" s="221"/>
      <c r="Q875" s="221"/>
      <c r="R875" s="221"/>
    </row>
    <row r="876" spans="1:18" x14ac:dyDescent="0.2">
      <c r="A876" s="224" t="s">
        <v>2585</v>
      </c>
      <c r="B876" s="225"/>
      <c r="C876" s="226" t="s">
        <v>1850</v>
      </c>
      <c r="D876" s="226" t="s">
        <v>220</v>
      </c>
      <c r="E876" s="226" t="s">
        <v>2586</v>
      </c>
      <c r="F876" s="227" t="s">
        <v>82</v>
      </c>
      <c r="G876" s="228" t="s">
        <v>81</v>
      </c>
      <c r="H876" s="228"/>
      <c r="I876" s="223">
        <v>4</v>
      </c>
      <c r="J876" s="229">
        <v>0</v>
      </c>
      <c r="K876" s="229">
        <v>65535</v>
      </c>
      <c r="L876" s="229" t="s">
        <v>1541</v>
      </c>
      <c r="M876" s="229" t="s">
        <v>263</v>
      </c>
      <c r="N876" s="230" t="str">
        <f>IF(ISERROR(MATCH(A876,MemMap!$A$4:$A$98,0)) = FALSE, INDEX(MemMap!$B$4:$B$98,MATCH(A876,MemMap!$A$4:$A$98,0)),IF(F876="Y","TunSetCalSeg",IF(G876="Y", "FlashCalSeg", IF(G876="N", "FlashAppSeg", ""))))</f>
        <v>FlashCalSeg</v>
      </c>
      <c r="O876" s="220"/>
      <c r="P876" s="221"/>
      <c r="Q876" s="221"/>
      <c r="R876" s="221"/>
    </row>
    <row r="877" spans="1:18" x14ac:dyDescent="0.2">
      <c r="A877" s="224" t="s">
        <v>2606</v>
      </c>
      <c r="B877" s="225"/>
      <c r="C877" s="226" t="s">
        <v>1850</v>
      </c>
      <c r="D877" s="226" t="s">
        <v>220</v>
      </c>
      <c r="E877" s="226" t="s">
        <v>2603</v>
      </c>
      <c r="F877" s="227" t="s">
        <v>82</v>
      </c>
      <c r="G877" s="228" t="s">
        <v>81</v>
      </c>
      <c r="H877" s="228"/>
      <c r="I877" s="223">
        <v>20</v>
      </c>
      <c r="J877" s="229">
        <v>0</v>
      </c>
      <c r="K877" s="229">
        <v>65535</v>
      </c>
      <c r="L877" s="229" t="s">
        <v>1541</v>
      </c>
      <c r="M877" s="229" t="s">
        <v>263</v>
      </c>
      <c r="N877" s="230" t="str">
        <f>IF(ISERROR(MATCH(A877,MemMap!$A$4:$A$98,0)) = FALSE, INDEX(MemMap!$B$4:$B$98,MATCH(A877,MemMap!$A$4:$A$98,0)),IF(F877="Y","TunSetCalSeg",IF(G877="Y", "FlashCalSeg", IF(G877="N", "FlashAppSeg", ""))))</f>
        <v>FlashCalSeg</v>
      </c>
      <c r="O877" s="220"/>
      <c r="P877" s="221"/>
      <c r="Q877" s="221"/>
      <c r="R877" s="221"/>
    </row>
    <row r="878" spans="1:18" x14ac:dyDescent="0.2">
      <c r="A878" s="224" t="s">
        <v>2587</v>
      </c>
      <c r="B878" s="225"/>
      <c r="C878" s="226" t="s">
        <v>1850</v>
      </c>
      <c r="D878" s="226" t="s">
        <v>220</v>
      </c>
      <c r="E878" s="226" t="s">
        <v>2586</v>
      </c>
      <c r="F878" s="227" t="s">
        <v>82</v>
      </c>
      <c r="G878" s="228" t="s">
        <v>81</v>
      </c>
      <c r="H878" s="228"/>
      <c r="I878" s="223">
        <v>10</v>
      </c>
      <c r="J878" s="229">
        <v>0</v>
      </c>
      <c r="K878" s="229">
        <v>65535</v>
      </c>
      <c r="L878" s="229" t="s">
        <v>1541</v>
      </c>
      <c r="M878" s="229" t="s">
        <v>263</v>
      </c>
      <c r="N878" s="230" t="str">
        <f>IF(ISERROR(MATCH(A878,MemMap!$A$4:$A$98,0)) = FALSE, INDEX(MemMap!$B$4:$B$98,MATCH(A878,MemMap!$A$4:$A$98,0)),IF(F878="Y","TunSetCalSeg",IF(G878="Y", "FlashCalSeg", IF(G878="N", "FlashAppSeg", ""))))</f>
        <v>FlashCalSeg</v>
      </c>
      <c r="O878" s="220"/>
      <c r="P878" s="221"/>
      <c r="Q878" s="221"/>
      <c r="R878" s="221"/>
    </row>
    <row r="879" spans="1:18" x14ac:dyDescent="0.2">
      <c r="A879" s="224" t="s">
        <v>2602</v>
      </c>
      <c r="B879" s="225"/>
      <c r="C879" s="226" t="s">
        <v>1850</v>
      </c>
      <c r="D879" s="226" t="s">
        <v>2604</v>
      </c>
      <c r="E879" s="226" t="s">
        <v>2603</v>
      </c>
      <c r="F879" s="227" t="s">
        <v>82</v>
      </c>
      <c r="G879" s="228" t="s">
        <v>81</v>
      </c>
      <c r="H879" s="228"/>
      <c r="I879" s="223">
        <v>10</v>
      </c>
      <c r="J879" s="229">
        <v>0</v>
      </c>
      <c r="K879" s="229">
        <v>65535</v>
      </c>
      <c r="L879" s="229" t="s">
        <v>1541</v>
      </c>
      <c r="M879" s="229" t="s">
        <v>263</v>
      </c>
      <c r="N879" s="230" t="str">
        <f>IF(ISERROR(MATCH(A879,MemMap!$A$4:$A$98,0)) = FALSE, INDEX(MemMap!$B$4:$B$98,MATCH(A879,MemMap!$A$4:$A$98,0)),IF(F879="Y","TunSetCalSeg",IF(G879="Y", "FlashCalSeg", IF(G879="N", "FlashAppSeg", ""))))</f>
        <v>FlashCalSeg</v>
      </c>
      <c r="O879" s="220"/>
      <c r="P879" s="221"/>
      <c r="Q879" s="221"/>
      <c r="R879" s="221"/>
    </row>
    <row r="880" spans="1:18" x14ac:dyDescent="0.2">
      <c r="A880" s="224" t="s">
        <v>2359</v>
      </c>
      <c r="B880" s="225"/>
      <c r="C880" s="226" t="s">
        <v>1850</v>
      </c>
      <c r="D880" s="226" t="s">
        <v>220</v>
      </c>
      <c r="E880" s="226" t="s">
        <v>2358</v>
      </c>
      <c r="F880" s="227" t="s">
        <v>82</v>
      </c>
      <c r="G880" s="228" t="s">
        <v>81</v>
      </c>
      <c r="H880" s="228"/>
      <c r="I880" s="223">
        <v>20</v>
      </c>
      <c r="J880" s="229">
        <v>0</v>
      </c>
      <c r="K880" s="229">
        <v>65535</v>
      </c>
      <c r="L880" s="229" t="s">
        <v>387</v>
      </c>
      <c r="M880" s="229" t="s">
        <v>263</v>
      </c>
      <c r="N880" s="230" t="str">
        <f>IF(ISERROR(MATCH(A880,MemMap!$A$4:$A$98,0)) = FALSE, INDEX(MemMap!$B$4:$B$98,MATCH(A880,MemMap!$A$4:$A$98,0)),IF(F880="Y","TunSetCalSeg",IF(G880="Y", "FlashCalSeg", IF(G880="N", "FlashAppSeg", ""))))</f>
        <v>FlashCalSeg</v>
      </c>
      <c r="O880" s="220"/>
      <c r="P880" s="221"/>
      <c r="Q880" s="221"/>
      <c r="R880" s="221"/>
    </row>
    <row r="881" spans="1:18" x14ac:dyDescent="0.2">
      <c r="A881" s="224" t="s">
        <v>2357</v>
      </c>
      <c r="B881" s="225"/>
      <c r="C881" s="226" t="s">
        <v>1850</v>
      </c>
      <c r="D881" s="226" t="s">
        <v>220</v>
      </c>
      <c r="E881" s="226" t="s">
        <v>2358</v>
      </c>
      <c r="F881" s="227" t="s">
        <v>82</v>
      </c>
      <c r="G881" s="228" t="s">
        <v>81</v>
      </c>
      <c r="H881" s="228"/>
      <c r="I881" s="223">
        <v>10</v>
      </c>
      <c r="J881" s="229">
        <v>0</v>
      </c>
      <c r="K881" s="229">
        <v>65535</v>
      </c>
      <c r="L881" s="229" t="s">
        <v>387</v>
      </c>
      <c r="M881" s="229" t="s">
        <v>263</v>
      </c>
      <c r="N881" s="230" t="str">
        <f>IF(ISERROR(MATCH(A881,MemMap!$A$4:$A$98,0)) = FALSE, INDEX(MemMap!$B$4:$B$98,MATCH(A881,MemMap!$A$4:$A$98,0)),IF(F881="Y","TunSetCalSeg",IF(G881="Y", "FlashCalSeg", IF(G881="N", "FlashAppSeg", ""))))</f>
        <v>FlashCalSeg</v>
      </c>
      <c r="O881" s="220"/>
      <c r="P881" s="221"/>
      <c r="Q881" s="221"/>
      <c r="R881" s="221"/>
    </row>
    <row r="882" spans="1:18" x14ac:dyDescent="0.2">
      <c r="A882" s="224" t="s">
        <v>2170</v>
      </c>
      <c r="B882" s="225" t="s">
        <v>2171</v>
      </c>
      <c r="C882" s="226" t="s">
        <v>1850</v>
      </c>
      <c r="D882" s="226" t="s">
        <v>220</v>
      </c>
      <c r="E882" s="226" t="s">
        <v>2172</v>
      </c>
      <c r="F882" s="227" t="s">
        <v>82</v>
      </c>
      <c r="G882" s="228" t="s">
        <v>81</v>
      </c>
      <c r="H882" s="228"/>
      <c r="I882" s="223">
        <v>18</v>
      </c>
      <c r="J882" s="229">
        <v>0</v>
      </c>
      <c r="K882" s="229">
        <v>31.5</v>
      </c>
      <c r="L882" s="229" t="s">
        <v>560</v>
      </c>
      <c r="M882" s="229" t="s">
        <v>257</v>
      </c>
      <c r="N882" s="230" t="str">
        <f>IF(ISERROR(MATCH(A882,MemMap!$A$4:$A$98,0)) = FALSE, INDEX(MemMap!$B$4:$B$98,MATCH(A882,MemMap!$A$4:$A$98,0)),IF(F882="Y","TunSetCalSeg",IF(G882="Y", "FlashCalSeg", IF(G882="N", "FlashAppSeg", ""))))</f>
        <v>FlashCalSeg</v>
      </c>
      <c r="O882" s="220"/>
      <c r="P882" s="221"/>
      <c r="Q882" s="221"/>
      <c r="R882" s="221"/>
    </row>
    <row r="883" spans="1:18" x14ac:dyDescent="0.2">
      <c r="A883" s="224" t="s">
        <v>2173</v>
      </c>
      <c r="B883" s="225" t="s">
        <v>2174</v>
      </c>
      <c r="C883" s="226" t="s">
        <v>1850</v>
      </c>
      <c r="D883" s="226" t="s">
        <v>220</v>
      </c>
      <c r="E883" s="226" t="s">
        <v>2172</v>
      </c>
      <c r="F883" s="227" t="s">
        <v>82</v>
      </c>
      <c r="G883" s="228" t="s">
        <v>81</v>
      </c>
      <c r="H883" s="228"/>
      <c r="I883" s="223">
        <v>16</v>
      </c>
      <c r="J883" s="229">
        <v>0</v>
      </c>
      <c r="K883" s="229">
        <v>31.5</v>
      </c>
      <c r="L883" s="229" t="s">
        <v>560</v>
      </c>
      <c r="M883" s="229" t="s">
        <v>257</v>
      </c>
      <c r="N883" s="230" t="str">
        <f>IF(ISERROR(MATCH(A883,MemMap!$A$4:$A$98,0)) = FALSE, INDEX(MemMap!$B$4:$B$98,MATCH(A883,MemMap!$A$4:$A$98,0)),IF(F883="Y","TunSetCalSeg",IF(G883="Y", "FlashCalSeg", IF(G883="N", "FlashAppSeg", ""))))</f>
        <v>FlashCalSeg</v>
      </c>
      <c r="O883" s="220"/>
      <c r="P883" s="221"/>
      <c r="Q883" s="221"/>
      <c r="R883" s="221"/>
    </row>
    <row r="884" spans="1:18" x14ac:dyDescent="0.2">
      <c r="A884" s="224" t="s">
        <v>2175</v>
      </c>
      <c r="B884" s="225" t="s">
        <v>2176</v>
      </c>
      <c r="C884" s="226" t="s">
        <v>1850</v>
      </c>
      <c r="D884" s="226" t="s">
        <v>220</v>
      </c>
      <c r="E884" s="226" t="s">
        <v>2172</v>
      </c>
      <c r="F884" s="227" t="s">
        <v>82</v>
      </c>
      <c r="G884" s="228" t="s">
        <v>81</v>
      </c>
      <c r="H884" s="228"/>
      <c r="I884" s="223">
        <v>10</v>
      </c>
      <c r="J884" s="229">
        <v>0</v>
      </c>
      <c r="K884" s="229">
        <v>31.5</v>
      </c>
      <c r="L884" s="229" t="s">
        <v>560</v>
      </c>
      <c r="M884" s="229" t="s">
        <v>257</v>
      </c>
      <c r="N884" s="230" t="str">
        <f>IF(ISERROR(MATCH(A884,MemMap!$A$4:$A$98,0)) = FALSE, INDEX(MemMap!$B$4:$B$98,MATCH(A884,MemMap!$A$4:$A$98,0)),IF(F884="Y","TunSetCalSeg",IF(G884="Y", "FlashCalSeg", IF(G884="N", "FlashAppSeg", ""))))</f>
        <v>FlashCalSeg</v>
      </c>
      <c r="O884" s="220"/>
      <c r="P884" s="221"/>
      <c r="Q884" s="221"/>
      <c r="R884" s="221"/>
    </row>
    <row r="885" spans="1:18" x14ac:dyDescent="0.2">
      <c r="A885" s="224" t="s">
        <v>2177</v>
      </c>
      <c r="B885" s="225" t="s">
        <v>2178</v>
      </c>
      <c r="C885" s="226" t="s">
        <v>1850</v>
      </c>
      <c r="D885" s="226" t="s">
        <v>220</v>
      </c>
      <c r="E885" s="226" t="s">
        <v>2172</v>
      </c>
      <c r="F885" s="227" t="s">
        <v>82</v>
      </c>
      <c r="G885" s="228" t="s">
        <v>81</v>
      </c>
      <c r="H885" s="228"/>
      <c r="I885" s="223">
        <v>8</v>
      </c>
      <c r="J885" s="229">
        <v>0</v>
      </c>
      <c r="K885" s="229">
        <v>31.5</v>
      </c>
      <c r="L885" s="229" t="s">
        <v>560</v>
      </c>
      <c r="M885" s="229" t="s">
        <v>257</v>
      </c>
      <c r="N885" s="230" t="str">
        <f>IF(ISERROR(MATCH(A885,MemMap!$A$4:$A$98,0)) = FALSE, INDEX(MemMap!$B$4:$B$98,MATCH(A885,MemMap!$A$4:$A$98,0)),IF(F885="Y","TunSetCalSeg",IF(G885="Y", "FlashCalSeg", IF(G885="N", "FlashAppSeg", ""))))</f>
        <v>FlashCalSeg</v>
      </c>
      <c r="O885" s="220"/>
      <c r="P885" s="221"/>
      <c r="Q885" s="221"/>
      <c r="R885" s="221"/>
    </row>
    <row r="886" spans="1:18" x14ac:dyDescent="0.2">
      <c r="A886" s="224" t="s">
        <v>3678</v>
      </c>
      <c r="B886" s="225" t="s">
        <v>2592</v>
      </c>
      <c r="C886" s="226" t="s">
        <v>1850</v>
      </c>
      <c r="D886" s="226" t="s">
        <v>220</v>
      </c>
      <c r="E886" s="226" t="s">
        <v>2377</v>
      </c>
      <c r="F886" s="227" t="s">
        <v>82</v>
      </c>
      <c r="G886" s="228" t="s">
        <v>81</v>
      </c>
      <c r="H886" s="228"/>
      <c r="I886" s="223">
        <v>200</v>
      </c>
      <c r="J886" s="229">
        <v>0</v>
      </c>
      <c r="K886" s="229">
        <v>65535</v>
      </c>
      <c r="L886" s="229" t="s">
        <v>269</v>
      </c>
      <c r="M886" s="229" t="s">
        <v>263</v>
      </c>
      <c r="N886" s="230" t="str">
        <f>IF(ISERROR(MATCH(A886,MemMap!$A$4:$A$98,0)) = FALSE, INDEX(MemMap!$B$4:$B$98,MATCH(A886,MemMap!$A$4:$A$98,0)),IF(F886="Y","TunSetCalSeg",IF(G886="Y", "FlashCalSeg", IF(G886="N", "FlashAppSeg", ""))))</f>
        <v>FlashCalSeg</v>
      </c>
      <c r="O886" s="220"/>
      <c r="P886" s="221"/>
      <c r="Q886" s="221"/>
      <c r="R886" s="221"/>
    </row>
    <row r="887" spans="1:18" x14ac:dyDescent="0.2">
      <c r="A887" s="224" t="s">
        <v>3679</v>
      </c>
      <c r="B887" s="225" t="s">
        <v>2140</v>
      </c>
      <c r="C887" s="226" t="s">
        <v>1850</v>
      </c>
      <c r="D887" s="226" t="s">
        <v>220</v>
      </c>
      <c r="E887" s="226" t="s">
        <v>2366</v>
      </c>
      <c r="F887" s="227" t="s">
        <v>82</v>
      </c>
      <c r="G887" s="228" t="s">
        <v>81</v>
      </c>
      <c r="H887" s="228"/>
      <c r="I887" s="223">
        <v>200</v>
      </c>
      <c r="J887" s="229">
        <v>0</v>
      </c>
      <c r="K887" s="229">
        <v>65535</v>
      </c>
      <c r="L887" s="229" t="s">
        <v>269</v>
      </c>
      <c r="M887" s="229" t="s">
        <v>263</v>
      </c>
      <c r="N887" s="230" t="str">
        <f>IF(ISERROR(MATCH(A887,MemMap!$A$4:$A$98,0)) = FALSE, INDEX(MemMap!$B$4:$B$98,MATCH(A887,MemMap!$A$4:$A$98,0)),IF(F887="Y","TunSetCalSeg",IF(G887="Y", "FlashCalSeg", IF(G887="N", "FlashAppSeg", ""))))</f>
        <v>FlashCalSeg</v>
      </c>
      <c r="O887" s="220"/>
      <c r="P887" s="221"/>
      <c r="Q887" s="221"/>
      <c r="R887" s="221"/>
    </row>
    <row r="888" spans="1:18" x14ac:dyDescent="0.2">
      <c r="A888" s="224" t="s">
        <v>3680</v>
      </c>
      <c r="B888" s="225" t="s">
        <v>2140</v>
      </c>
      <c r="C888" s="226" t="s">
        <v>1850</v>
      </c>
      <c r="D888" s="226" t="s">
        <v>220</v>
      </c>
      <c r="E888" s="226" t="s">
        <v>2142</v>
      </c>
      <c r="F888" s="227" t="s">
        <v>82</v>
      </c>
      <c r="G888" s="228" t="s">
        <v>81</v>
      </c>
      <c r="H888" s="228"/>
      <c r="I888" s="223">
        <v>500</v>
      </c>
      <c r="J888" s="229">
        <v>0</v>
      </c>
      <c r="K888" s="229">
        <v>65535</v>
      </c>
      <c r="L888" s="229" t="s">
        <v>269</v>
      </c>
      <c r="M888" s="229" t="s">
        <v>263</v>
      </c>
      <c r="N888" s="230" t="str">
        <f>IF(ISERROR(MATCH(A888,MemMap!$A$4:$A$98,0)) = FALSE, INDEX(MemMap!$B$4:$B$98,MATCH(A888,MemMap!$A$4:$A$98,0)),IF(F888="Y","TunSetCalSeg",IF(G888="Y", "FlashCalSeg", IF(G888="N", "FlashAppSeg", ""))))</f>
        <v>FlashCalSeg</v>
      </c>
      <c r="O888" s="220"/>
      <c r="P888" s="221"/>
      <c r="Q888" s="221"/>
      <c r="R888" s="221"/>
    </row>
    <row r="889" spans="1:18" x14ac:dyDescent="0.2">
      <c r="A889" s="224" t="s">
        <v>3681</v>
      </c>
      <c r="B889" s="225" t="s">
        <v>2540</v>
      </c>
      <c r="C889" s="226" t="s">
        <v>1850</v>
      </c>
      <c r="D889" s="226" t="s">
        <v>220</v>
      </c>
      <c r="E889" s="226" t="s">
        <v>2385</v>
      </c>
      <c r="F889" s="227" t="s">
        <v>82</v>
      </c>
      <c r="G889" s="228" t="s">
        <v>81</v>
      </c>
      <c r="H889" s="228"/>
      <c r="I889" s="223">
        <v>10000</v>
      </c>
      <c r="J889" s="229">
        <v>0</v>
      </c>
      <c r="K889" s="229">
        <v>65535</v>
      </c>
      <c r="L889" s="229" t="s">
        <v>269</v>
      </c>
      <c r="M889" s="229" t="s">
        <v>263</v>
      </c>
      <c r="N889" s="230" t="str">
        <f>IF(ISERROR(MATCH(A889,MemMap!$A$4:$A$98,0)) = FALSE, INDEX(MemMap!$B$4:$B$98,MATCH(A889,MemMap!$A$4:$A$98,0)),IF(F889="Y","TunSetCalSeg",IF(G889="Y", "FlashCalSeg", IF(G889="N", "FlashAppSeg", ""))))</f>
        <v>FlashCalSeg</v>
      </c>
      <c r="O889" s="220"/>
      <c r="P889" s="221"/>
      <c r="Q889" s="221"/>
      <c r="R889" s="221"/>
    </row>
    <row r="890" spans="1:18" x14ac:dyDescent="0.2">
      <c r="A890" s="224" t="s">
        <v>3682</v>
      </c>
      <c r="B890" s="225" t="s">
        <v>2140</v>
      </c>
      <c r="C890" s="226" t="s">
        <v>1850</v>
      </c>
      <c r="D890" s="226" t="s">
        <v>220</v>
      </c>
      <c r="E890" s="226" t="s">
        <v>3240</v>
      </c>
      <c r="F890" s="227" t="s">
        <v>82</v>
      </c>
      <c r="G890" s="228" t="s">
        <v>81</v>
      </c>
      <c r="H890" s="228"/>
      <c r="I890" s="223">
        <v>500</v>
      </c>
      <c r="J890" s="229">
        <v>0</v>
      </c>
      <c r="K890" s="229">
        <v>65535</v>
      </c>
      <c r="L890" s="229" t="s">
        <v>269</v>
      </c>
      <c r="M890" s="229" t="s">
        <v>263</v>
      </c>
      <c r="N890" s="230" t="str">
        <f>IF(ISERROR(MATCH(A890,MemMap!$A$4:$A$98,0)) = FALSE, INDEX(MemMap!$B$4:$B$98,MATCH(A890,MemMap!$A$4:$A$98,0)),IF(F890="Y","TunSetCalSeg",IF(G890="Y", "FlashCalSeg", IF(G890="N", "FlashAppSeg", ""))))</f>
        <v>FlashCalSeg</v>
      </c>
      <c r="O890" s="220"/>
      <c r="P890" s="221"/>
      <c r="Q890" s="221"/>
      <c r="R890" s="221"/>
    </row>
    <row r="891" spans="1:18" x14ac:dyDescent="0.2">
      <c r="A891" s="224" t="s">
        <v>3683</v>
      </c>
      <c r="B891" s="225" t="s">
        <v>2349</v>
      </c>
      <c r="C891" s="226" t="s">
        <v>1850</v>
      </c>
      <c r="D891" s="226" t="s">
        <v>220</v>
      </c>
      <c r="E891" s="226" t="s">
        <v>2350</v>
      </c>
      <c r="F891" s="227" t="s">
        <v>82</v>
      </c>
      <c r="G891" s="228" t="s">
        <v>81</v>
      </c>
      <c r="H891" s="228"/>
      <c r="I891" s="223">
        <v>200</v>
      </c>
      <c r="J891" s="229">
        <v>0</v>
      </c>
      <c r="K891" s="229">
        <v>65535</v>
      </c>
      <c r="L891" s="229" t="s">
        <v>269</v>
      </c>
      <c r="M891" s="229" t="s">
        <v>263</v>
      </c>
      <c r="N891" s="230" t="str">
        <f>IF(ISERROR(MATCH(A891,MemMap!$A$4:$A$98,0)) = FALSE, INDEX(MemMap!$B$4:$B$98,MATCH(A891,MemMap!$A$4:$A$98,0)),IF(F891="Y","TunSetCalSeg",IF(G891="Y", "FlashCalSeg", IF(G891="N", "FlashAppSeg", ""))))</f>
        <v>FlashCalSeg</v>
      </c>
      <c r="O891" s="220"/>
      <c r="P891" s="221"/>
      <c r="Q891" s="221"/>
      <c r="R891" s="221"/>
    </row>
    <row r="892" spans="1:18" x14ac:dyDescent="0.2">
      <c r="A892" s="224" t="s">
        <v>2591</v>
      </c>
      <c r="B892" s="225" t="s">
        <v>2592</v>
      </c>
      <c r="C892" s="226" t="s">
        <v>1850</v>
      </c>
      <c r="D892" s="226" t="s">
        <v>220</v>
      </c>
      <c r="E892" s="226" t="s">
        <v>3241</v>
      </c>
      <c r="F892" s="227" t="s">
        <v>82</v>
      </c>
      <c r="G892" s="228" t="s">
        <v>81</v>
      </c>
      <c r="H892" s="228"/>
      <c r="I892" s="223">
        <v>200</v>
      </c>
      <c r="J892" s="229">
        <v>0</v>
      </c>
      <c r="K892" s="229">
        <v>65535</v>
      </c>
      <c r="L892" s="229" t="s">
        <v>269</v>
      </c>
      <c r="M892" s="229" t="s">
        <v>263</v>
      </c>
      <c r="N892" s="230" t="str">
        <f>IF(ISERROR(MATCH(A892,MemMap!$A$4:$A$98,0)) = FALSE, INDEX(MemMap!$B$4:$B$98,MATCH(A892,MemMap!$A$4:$A$98,0)),IF(F892="Y","TunSetCalSeg",IF(G892="Y", "FlashCalSeg", IF(G892="N", "FlashAppSeg", ""))))</f>
        <v>FlashCalSeg</v>
      </c>
      <c r="O892" s="220"/>
      <c r="P892" s="221"/>
      <c r="Q892" s="221"/>
      <c r="R892" s="221"/>
    </row>
    <row r="893" spans="1:18" x14ac:dyDescent="0.2">
      <c r="A893" s="224" t="s">
        <v>3166</v>
      </c>
      <c r="B893" s="225" t="s">
        <v>3167</v>
      </c>
      <c r="C893" s="226" t="s">
        <v>1850</v>
      </c>
      <c r="D893" s="226" t="s">
        <v>2604</v>
      </c>
      <c r="E893" s="226" t="s">
        <v>2596</v>
      </c>
      <c r="F893" s="227" t="s">
        <v>82</v>
      </c>
      <c r="G893" s="228" t="s">
        <v>81</v>
      </c>
      <c r="H893" s="228"/>
      <c r="I893" s="223">
        <v>300</v>
      </c>
      <c r="J893" s="229">
        <v>0</v>
      </c>
      <c r="K893" s="229">
        <v>65535</v>
      </c>
      <c r="L893" s="229" t="s">
        <v>1541</v>
      </c>
      <c r="M893" s="229" t="s">
        <v>263</v>
      </c>
      <c r="N893" s="230" t="str">
        <f>IF(ISERROR(MATCH(A893,MemMap!$A$4:$A$98,0)) = FALSE, INDEX(MemMap!$B$4:$B$98,MATCH(A893,MemMap!$A$4:$A$98,0)),IF(F893="Y","TunSetCalSeg",IF(G893="Y", "FlashCalSeg", IF(G893="N", "FlashAppSeg", ""))))</f>
        <v>FlashCalSeg</v>
      </c>
      <c r="O893" s="220"/>
      <c r="P893" s="221"/>
      <c r="Q893" s="221"/>
      <c r="R893" s="221"/>
    </row>
    <row r="894" spans="1:18" x14ac:dyDescent="0.2">
      <c r="A894" s="224" t="s">
        <v>2393</v>
      </c>
      <c r="B894" s="225" t="s">
        <v>2394</v>
      </c>
      <c r="C894" s="226" t="s">
        <v>1850</v>
      </c>
      <c r="D894" s="226" t="s">
        <v>220</v>
      </c>
      <c r="E894" s="226" t="s">
        <v>2395</v>
      </c>
      <c r="F894" s="227" t="s">
        <v>82</v>
      </c>
      <c r="G894" s="228" t="s">
        <v>81</v>
      </c>
      <c r="H894" s="228"/>
      <c r="I894" s="223">
        <v>200</v>
      </c>
      <c r="J894" s="229">
        <v>0</v>
      </c>
      <c r="K894" s="229">
        <v>65535</v>
      </c>
      <c r="L894" s="229" t="s">
        <v>269</v>
      </c>
      <c r="M894" s="229" t="s">
        <v>263</v>
      </c>
      <c r="N894" s="230" t="str">
        <f>IF(ISERROR(MATCH(A894,MemMap!$A$4:$A$98,0)) = FALSE, INDEX(MemMap!$B$4:$B$98,MATCH(A894,MemMap!$A$4:$A$98,0)),IF(F894="Y","TunSetCalSeg",IF(G894="Y", "FlashCalSeg", IF(G894="N", "FlashAppSeg", ""))))</f>
        <v>FlashCalSeg</v>
      </c>
      <c r="O894" s="220"/>
      <c r="P894" s="221"/>
      <c r="Q894" s="221"/>
      <c r="R894" s="221"/>
    </row>
    <row r="895" spans="1:18" x14ac:dyDescent="0.2">
      <c r="A895" s="224" t="s">
        <v>2610</v>
      </c>
      <c r="B895" s="225"/>
      <c r="C895" s="226" t="s">
        <v>1850</v>
      </c>
      <c r="D895" s="226" t="s">
        <v>220</v>
      </c>
      <c r="E895" s="226" t="s">
        <v>2611</v>
      </c>
      <c r="F895" s="227" t="s">
        <v>82</v>
      </c>
      <c r="G895" s="228" t="s">
        <v>81</v>
      </c>
      <c r="H895" s="228"/>
      <c r="I895" s="223">
        <v>4</v>
      </c>
      <c r="J895" s="229">
        <v>0</v>
      </c>
      <c r="K895" s="229">
        <v>65535</v>
      </c>
      <c r="L895" s="229" t="s">
        <v>1541</v>
      </c>
      <c r="M895" s="229" t="s">
        <v>263</v>
      </c>
      <c r="N895" s="230" t="str">
        <f>IF(ISERROR(MATCH(A895,MemMap!$A$4:$A$98,0)) = FALSE, INDEX(MemMap!$B$4:$B$98,MATCH(A895,MemMap!$A$4:$A$98,0)),IF(F895="Y","TunSetCalSeg",IF(G895="Y", "FlashCalSeg", IF(G895="N", "FlashAppSeg", ""))))</f>
        <v>FlashCalSeg</v>
      </c>
      <c r="O895" s="220"/>
      <c r="P895" s="221"/>
      <c r="Q895" s="221"/>
      <c r="R895" s="221"/>
    </row>
    <row r="896" spans="1:18" x14ac:dyDescent="0.2">
      <c r="A896" s="224" t="s">
        <v>2614</v>
      </c>
      <c r="B896" s="225"/>
      <c r="C896" s="226" t="s">
        <v>1850</v>
      </c>
      <c r="D896" s="226" t="s">
        <v>220</v>
      </c>
      <c r="E896" s="226"/>
      <c r="F896" s="227" t="s">
        <v>82</v>
      </c>
      <c r="G896" s="228" t="s">
        <v>81</v>
      </c>
      <c r="H896" s="228"/>
      <c r="I896" s="223">
        <v>500</v>
      </c>
      <c r="J896" s="229">
        <v>-780</v>
      </c>
      <c r="K896" s="229">
        <v>780</v>
      </c>
      <c r="L896" s="229" t="s">
        <v>264</v>
      </c>
      <c r="M896" s="229" t="s">
        <v>257</v>
      </c>
      <c r="N896" s="230" t="str">
        <f>IF(ISERROR(MATCH(A896,MemMap!$A$4:$A$98,0)) = FALSE, INDEX(MemMap!$B$4:$B$98,MATCH(A896,MemMap!$A$4:$A$98,0)),IF(F896="Y","TunSetCalSeg",IF(G896="Y", "FlashCalSeg", IF(G896="N", "FlashAppSeg", ""))))</f>
        <v>FlashCalSeg</v>
      </c>
      <c r="O896" s="220"/>
      <c r="P896" s="221"/>
      <c r="Q896" s="221"/>
      <c r="R896" s="221"/>
    </row>
    <row r="897" spans="1:18" x14ac:dyDescent="0.2">
      <c r="A897" s="224" t="s">
        <v>2612</v>
      </c>
      <c r="B897" s="225"/>
      <c r="C897" s="226" t="s">
        <v>1850</v>
      </c>
      <c r="D897" s="226" t="s">
        <v>220</v>
      </c>
      <c r="E897" s="226" t="s">
        <v>2613</v>
      </c>
      <c r="F897" s="227" t="s">
        <v>82</v>
      </c>
      <c r="G897" s="228" t="s">
        <v>81</v>
      </c>
      <c r="H897" s="228"/>
      <c r="I897" s="223">
        <v>10</v>
      </c>
      <c r="J897" s="229">
        <v>0</v>
      </c>
      <c r="K897" s="229">
        <v>65535</v>
      </c>
      <c r="L897" s="229" t="s">
        <v>1541</v>
      </c>
      <c r="M897" s="229" t="s">
        <v>263</v>
      </c>
      <c r="N897" s="230" t="str">
        <f>IF(ISERROR(MATCH(A897,MemMap!$A$4:$A$98,0)) = FALSE, INDEX(MemMap!$B$4:$B$98,MATCH(A897,MemMap!$A$4:$A$98,0)),IF(F897="Y","TunSetCalSeg",IF(G897="Y", "FlashCalSeg", IF(G897="N", "FlashAppSeg", ""))))</f>
        <v>FlashCalSeg</v>
      </c>
      <c r="O897" s="220"/>
      <c r="P897" s="221"/>
      <c r="Q897" s="221"/>
      <c r="R897" s="221"/>
    </row>
    <row r="898" spans="1:18" x14ac:dyDescent="0.2">
      <c r="A898" s="224" t="s">
        <v>3684</v>
      </c>
      <c r="B898" s="225" t="s">
        <v>2540</v>
      </c>
      <c r="C898" s="226" t="s">
        <v>1850</v>
      </c>
      <c r="D898" s="226" t="s">
        <v>220</v>
      </c>
      <c r="E898" s="226" t="s">
        <v>2389</v>
      </c>
      <c r="F898" s="227" t="s">
        <v>82</v>
      </c>
      <c r="G898" s="228" t="s">
        <v>81</v>
      </c>
      <c r="H898" s="228"/>
      <c r="I898" s="223">
        <v>10000</v>
      </c>
      <c r="J898" s="229">
        <v>0</v>
      </c>
      <c r="K898" s="229">
        <v>65535</v>
      </c>
      <c r="L898" s="229" t="s">
        <v>269</v>
      </c>
      <c r="M898" s="229" t="s">
        <v>263</v>
      </c>
      <c r="N898" s="230" t="str">
        <f>IF(ISERROR(MATCH(A898,MemMap!$A$4:$A$98,0)) = FALSE, INDEX(MemMap!$B$4:$B$98,MATCH(A898,MemMap!$A$4:$A$98,0)),IF(F898="Y","TunSetCalSeg",IF(G898="Y", "FlashCalSeg", IF(G898="N", "FlashAppSeg", ""))))</f>
        <v>FlashCalSeg</v>
      </c>
      <c r="O898" s="220"/>
      <c r="P898" s="221"/>
      <c r="Q898" s="221"/>
      <c r="R898" s="221"/>
    </row>
    <row r="899" spans="1:18" x14ac:dyDescent="0.2">
      <c r="A899" s="224" t="s">
        <v>2388</v>
      </c>
      <c r="B899" s="225"/>
      <c r="C899" s="226" t="s">
        <v>1850</v>
      </c>
      <c r="D899" s="226" t="s">
        <v>220</v>
      </c>
      <c r="E899" s="226" t="s">
        <v>2389</v>
      </c>
      <c r="F899" s="227" t="s">
        <v>82</v>
      </c>
      <c r="G899" s="228" t="s">
        <v>81</v>
      </c>
      <c r="H899" s="228"/>
      <c r="I899" s="223">
        <v>10</v>
      </c>
      <c r="J899" s="229">
        <v>0</v>
      </c>
      <c r="K899" s="229">
        <v>65535</v>
      </c>
      <c r="L899" s="229" t="s">
        <v>387</v>
      </c>
      <c r="M899" s="229" t="s">
        <v>263</v>
      </c>
      <c r="N899" s="230" t="str">
        <f>IF(ISERROR(MATCH(A899,MemMap!$A$4:$A$98,0)) = FALSE, INDEX(MemMap!$B$4:$B$98,MATCH(A899,MemMap!$A$4:$A$98,0)),IF(F899="Y","TunSetCalSeg",IF(G899="Y", "FlashCalSeg", IF(G899="N", "FlashAppSeg", ""))))</f>
        <v>FlashCalSeg</v>
      </c>
      <c r="O899" s="220"/>
      <c r="P899" s="221"/>
      <c r="Q899" s="221"/>
      <c r="R899" s="221"/>
    </row>
    <row r="900" spans="1:18" x14ac:dyDescent="0.2">
      <c r="A900" s="224" t="s">
        <v>3219</v>
      </c>
      <c r="B900" s="225"/>
      <c r="C900" s="226" t="s">
        <v>1850</v>
      </c>
      <c r="D900" s="226" t="s">
        <v>220</v>
      </c>
      <c r="E900" s="226"/>
      <c r="F900" s="227" t="s">
        <v>82</v>
      </c>
      <c r="G900" s="228" t="s">
        <v>81</v>
      </c>
      <c r="H900" s="228"/>
      <c r="I900" s="223">
        <v>5</v>
      </c>
      <c r="J900" s="229">
        <v>0</v>
      </c>
      <c r="K900" s="229">
        <v>65535</v>
      </c>
      <c r="L900" s="229" t="s">
        <v>1541</v>
      </c>
      <c r="M900" s="229" t="s">
        <v>263</v>
      </c>
      <c r="N900" s="230" t="str">
        <f>IF(ISERROR(MATCH(A900,MemMap!$A$4:$A$98,0)) = FALSE, INDEX(MemMap!$B$4:$B$98,MATCH(A900,MemMap!$A$4:$A$98,0)),IF(F900="Y","TunSetCalSeg",IF(G900="Y", "FlashCalSeg", IF(G900="N", "FlashAppSeg", ""))))</f>
        <v>FlashCalSeg</v>
      </c>
      <c r="O900" s="220"/>
      <c r="P900" s="221"/>
      <c r="Q900" s="221"/>
      <c r="R900" s="221"/>
    </row>
    <row r="901" spans="1:18" x14ac:dyDescent="0.2">
      <c r="A901" s="224" t="s">
        <v>3218</v>
      </c>
      <c r="B901" s="225"/>
      <c r="C901" s="226" t="s">
        <v>1850</v>
      </c>
      <c r="D901" s="226" t="s">
        <v>220</v>
      </c>
      <c r="E901" s="226"/>
      <c r="F901" s="227" t="s">
        <v>82</v>
      </c>
      <c r="G901" s="228" t="s">
        <v>81</v>
      </c>
      <c r="H901" s="228"/>
      <c r="I901" s="223">
        <v>10</v>
      </c>
      <c r="J901" s="229">
        <v>0</v>
      </c>
      <c r="K901" s="229">
        <v>65535</v>
      </c>
      <c r="L901" s="229" t="s">
        <v>1541</v>
      </c>
      <c r="M901" s="229" t="s">
        <v>263</v>
      </c>
      <c r="N901" s="230" t="str">
        <f>IF(ISERROR(MATCH(A901,MemMap!$A$4:$A$98,0)) = FALSE, INDEX(MemMap!$B$4:$B$98,MATCH(A901,MemMap!$A$4:$A$98,0)),IF(F901="Y","TunSetCalSeg",IF(G901="Y", "FlashCalSeg", IF(G901="N", "FlashAppSeg", ""))))</f>
        <v>FlashCalSeg</v>
      </c>
      <c r="O901" s="220"/>
      <c r="P901" s="221"/>
      <c r="Q901" s="221"/>
      <c r="R901" s="221"/>
    </row>
    <row r="902" spans="1:18" x14ac:dyDescent="0.2">
      <c r="A902" s="224" t="s">
        <v>2508</v>
      </c>
      <c r="B902" s="225"/>
      <c r="C902" s="226" t="s">
        <v>1850</v>
      </c>
      <c r="D902" s="226" t="s">
        <v>220</v>
      </c>
      <c r="E902" s="226"/>
      <c r="F902" s="227" t="s">
        <v>82</v>
      </c>
      <c r="G902" s="228" t="s">
        <v>81</v>
      </c>
      <c r="H902" s="228"/>
      <c r="I902" s="223">
        <v>500</v>
      </c>
      <c r="J902" s="229">
        <v>0</v>
      </c>
      <c r="K902" s="229">
        <v>780</v>
      </c>
      <c r="L902" s="229" t="s">
        <v>264</v>
      </c>
      <c r="M902" s="229" t="s">
        <v>257</v>
      </c>
      <c r="N902" s="230" t="str">
        <f>IF(ISERROR(MATCH(A902,MemMap!$A$4:$A$98,0)) = FALSE, INDEX(MemMap!$B$4:$B$98,MATCH(A902,MemMap!$A$4:$A$98,0)),IF(F902="Y","TunSetCalSeg",IF(G902="Y", "FlashCalSeg", IF(G902="N", "FlashAppSeg", ""))))</f>
        <v>FlashCalSeg</v>
      </c>
      <c r="O902" s="220"/>
      <c r="P902" s="221"/>
      <c r="Q902" s="221"/>
      <c r="R902" s="221"/>
    </row>
    <row r="903" spans="1:18" x14ac:dyDescent="0.2">
      <c r="A903" s="224" t="s">
        <v>2507</v>
      </c>
      <c r="B903" s="225"/>
      <c r="C903" s="226" t="s">
        <v>1850</v>
      </c>
      <c r="D903" s="226" t="s">
        <v>220</v>
      </c>
      <c r="E903" s="226"/>
      <c r="F903" s="227" t="s">
        <v>82</v>
      </c>
      <c r="G903" s="228" t="s">
        <v>81</v>
      </c>
      <c r="H903" s="228"/>
      <c r="I903" s="223">
        <v>-500</v>
      </c>
      <c r="J903" s="229">
        <v>-780</v>
      </c>
      <c r="K903" s="229">
        <v>0</v>
      </c>
      <c r="L903" s="229" t="s">
        <v>264</v>
      </c>
      <c r="M903" s="229" t="s">
        <v>257</v>
      </c>
      <c r="N903" s="230" t="str">
        <f>IF(ISERROR(MATCH(A903,MemMap!$A$4:$A$98,0)) = FALSE, INDEX(MemMap!$B$4:$B$98,MATCH(A903,MemMap!$A$4:$A$98,0)),IF(F903="Y","TunSetCalSeg",IF(G903="Y", "FlashCalSeg", IF(G903="N", "FlashAppSeg", ""))))</f>
        <v>FlashCalSeg</v>
      </c>
      <c r="O903" s="220"/>
      <c r="P903" s="221"/>
      <c r="Q903" s="221"/>
      <c r="R903" s="221"/>
    </row>
    <row r="904" spans="1:18" x14ac:dyDescent="0.2">
      <c r="A904" s="224" t="s">
        <v>2339</v>
      </c>
      <c r="B904" s="225"/>
      <c r="C904" s="226" t="s">
        <v>1850</v>
      </c>
      <c r="D904" s="226" t="s">
        <v>220</v>
      </c>
      <c r="E904" s="226" t="s">
        <v>2338</v>
      </c>
      <c r="F904" s="227" t="s">
        <v>82</v>
      </c>
      <c r="G904" s="228" t="s">
        <v>81</v>
      </c>
      <c r="H904" s="228"/>
      <c r="I904" s="223">
        <v>10</v>
      </c>
      <c r="J904" s="229">
        <v>0</v>
      </c>
      <c r="K904" s="229">
        <v>65535</v>
      </c>
      <c r="L904" s="229" t="s">
        <v>387</v>
      </c>
      <c r="M904" s="229" t="s">
        <v>263</v>
      </c>
      <c r="N904" s="230" t="str">
        <f>IF(ISERROR(MATCH(A904,MemMap!$A$4:$A$98,0)) = FALSE, INDEX(MemMap!$B$4:$B$98,MATCH(A904,MemMap!$A$4:$A$98,0)),IF(F904="Y","TunSetCalSeg",IF(G904="Y", "FlashCalSeg", IF(G904="N", "FlashAppSeg", ""))))</f>
        <v>FlashCalSeg</v>
      </c>
      <c r="O904" s="220"/>
      <c r="P904" s="221"/>
      <c r="Q904" s="221"/>
      <c r="R904" s="221"/>
    </row>
    <row r="905" spans="1:18" x14ac:dyDescent="0.2">
      <c r="A905" s="224" t="s">
        <v>2337</v>
      </c>
      <c r="B905" s="225"/>
      <c r="C905" s="226" t="s">
        <v>1850</v>
      </c>
      <c r="D905" s="226" t="s">
        <v>220</v>
      </c>
      <c r="E905" s="226" t="s">
        <v>2338</v>
      </c>
      <c r="F905" s="227" t="s">
        <v>82</v>
      </c>
      <c r="G905" s="228" t="s">
        <v>81</v>
      </c>
      <c r="H905" s="228"/>
      <c r="I905" s="223">
        <v>10</v>
      </c>
      <c r="J905" s="229">
        <v>0</v>
      </c>
      <c r="K905" s="229">
        <v>65535</v>
      </c>
      <c r="L905" s="229" t="s">
        <v>387</v>
      </c>
      <c r="M905" s="229" t="s">
        <v>263</v>
      </c>
      <c r="N905" s="230" t="str">
        <f>IF(ISERROR(MATCH(A905,MemMap!$A$4:$A$98,0)) = FALSE, INDEX(MemMap!$B$4:$B$98,MATCH(A905,MemMap!$A$4:$A$98,0)),IF(F905="Y","TunSetCalSeg",IF(G905="Y", "FlashCalSeg", IF(G905="N", "FlashAppSeg", ""))))</f>
        <v>FlashCalSeg</v>
      </c>
      <c r="O905" s="220"/>
      <c r="P905" s="221"/>
      <c r="Q905" s="221"/>
      <c r="R905" s="221"/>
    </row>
    <row r="906" spans="1:18" x14ac:dyDescent="0.2">
      <c r="A906" s="224" t="s">
        <v>3685</v>
      </c>
      <c r="B906" s="225" t="s">
        <v>2540</v>
      </c>
      <c r="C906" s="226" t="s">
        <v>1850</v>
      </c>
      <c r="D906" s="226" t="s">
        <v>220</v>
      </c>
      <c r="E906" s="226" t="s">
        <v>2387</v>
      </c>
      <c r="F906" s="227" t="s">
        <v>82</v>
      </c>
      <c r="G906" s="228" t="s">
        <v>81</v>
      </c>
      <c r="H906" s="228"/>
      <c r="I906" s="223">
        <v>10000</v>
      </c>
      <c r="J906" s="229">
        <v>0</v>
      </c>
      <c r="K906" s="229">
        <v>65535</v>
      </c>
      <c r="L906" s="229" t="s">
        <v>269</v>
      </c>
      <c r="M906" s="229" t="s">
        <v>263</v>
      </c>
      <c r="N906" s="230" t="str">
        <f>IF(ISERROR(MATCH(A906,MemMap!$A$4:$A$98,0)) = FALSE, INDEX(MemMap!$B$4:$B$98,MATCH(A906,MemMap!$A$4:$A$98,0)),IF(F906="Y","TunSetCalSeg",IF(G906="Y", "FlashCalSeg", IF(G906="N", "FlashAppSeg", ""))))</f>
        <v>FlashCalSeg</v>
      </c>
      <c r="O906" s="220"/>
      <c r="P906" s="221"/>
      <c r="Q906" s="221"/>
      <c r="R906" s="221"/>
    </row>
    <row r="907" spans="1:18" x14ac:dyDescent="0.2">
      <c r="A907" s="224" t="s">
        <v>2386</v>
      </c>
      <c r="B907" s="225"/>
      <c r="C907" s="226" t="s">
        <v>1850</v>
      </c>
      <c r="D907" s="226" t="s">
        <v>220</v>
      </c>
      <c r="E907" s="226" t="s">
        <v>2387</v>
      </c>
      <c r="F907" s="227" t="s">
        <v>82</v>
      </c>
      <c r="G907" s="228" t="s">
        <v>81</v>
      </c>
      <c r="H907" s="228"/>
      <c r="I907" s="223">
        <v>10</v>
      </c>
      <c r="J907" s="229">
        <v>0</v>
      </c>
      <c r="K907" s="229">
        <v>65535</v>
      </c>
      <c r="L907" s="229" t="s">
        <v>387</v>
      </c>
      <c r="M907" s="229" t="s">
        <v>263</v>
      </c>
      <c r="N907" s="230" t="str">
        <f>IF(ISERROR(MATCH(A907,MemMap!$A$4:$A$98,0)) = FALSE, INDEX(MemMap!$B$4:$B$98,MATCH(A907,MemMap!$A$4:$A$98,0)),IF(F907="Y","TunSetCalSeg",IF(G907="Y", "FlashCalSeg", IF(G907="N", "FlashAppSeg", ""))))</f>
        <v>FlashCalSeg</v>
      </c>
      <c r="O907" s="220"/>
      <c r="P907" s="221"/>
      <c r="Q907" s="221"/>
      <c r="R907" s="221"/>
    </row>
    <row r="908" spans="1:18" x14ac:dyDescent="0.2">
      <c r="A908" s="224" t="s">
        <v>3686</v>
      </c>
      <c r="B908" s="225" t="s">
        <v>2540</v>
      </c>
      <c r="C908" s="226" t="s">
        <v>1850</v>
      </c>
      <c r="D908" s="226" t="s">
        <v>220</v>
      </c>
      <c r="E908" s="226" t="s">
        <v>2571</v>
      </c>
      <c r="F908" s="227" t="s">
        <v>82</v>
      </c>
      <c r="G908" s="228" t="s">
        <v>81</v>
      </c>
      <c r="H908" s="228"/>
      <c r="I908" s="223">
        <v>10000</v>
      </c>
      <c r="J908" s="229">
        <v>0</v>
      </c>
      <c r="K908" s="229">
        <v>65535</v>
      </c>
      <c r="L908" s="229" t="s">
        <v>269</v>
      </c>
      <c r="M908" s="229" t="s">
        <v>263</v>
      </c>
      <c r="N908" s="230" t="str">
        <f>IF(ISERROR(MATCH(A908,MemMap!$A$4:$A$98,0)) = FALSE, INDEX(MemMap!$B$4:$B$98,MATCH(A908,MemMap!$A$4:$A$98,0)),IF(F908="Y","TunSetCalSeg",IF(G908="Y", "FlashCalSeg", IF(G908="N", "FlashAppSeg", ""))))</f>
        <v>FlashCalSeg</v>
      </c>
      <c r="O908" s="220"/>
      <c r="P908" s="221"/>
      <c r="Q908" s="221"/>
      <c r="R908" s="221"/>
    </row>
    <row r="909" spans="1:18" x14ac:dyDescent="0.2">
      <c r="A909" s="224" t="s">
        <v>2570</v>
      </c>
      <c r="B909" s="225"/>
      <c r="C909" s="226" t="s">
        <v>1850</v>
      </c>
      <c r="D909" s="226" t="s">
        <v>220</v>
      </c>
      <c r="E909" s="226" t="s">
        <v>2571</v>
      </c>
      <c r="F909" s="227" t="s">
        <v>82</v>
      </c>
      <c r="G909" s="228" t="s">
        <v>81</v>
      </c>
      <c r="H909" s="228"/>
      <c r="I909" s="223">
        <v>10</v>
      </c>
      <c r="J909" s="229">
        <v>0</v>
      </c>
      <c r="K909" s="229">
        <v>65535</v>
      </c>
      <c r="L909" s="229" t="s">
        <v>269</v>
      </c>
      <c r="M909" s="229" t="s">
        <v>263</v>
      </c>
      <c r="N909" s="230" t="str">
        <f>IF(ISERROR(MATCH(A909,MemMap!$A$4:$A$98,0)) = FALSE, INDEX(MemMap!$B$4:$B$98,MATCH(A909,MemMap!$A$4:$A$98,0)),IF(F909="Y","TunSetCalSeg",IF(G909="Y", "FlashCalSeg", IF(G909="N", "FlashAppSeg", ""))))</f>
        <v>FlashCalSeg</v>
      </c>
      <c r="O909" s="220"/>
      <c r="P909" s="221"/>
      <c r="Q909" s="221"/>
      <c r="R909" s="221"/>
    </row>
    <row r="910" spans="1:18" x14ac:dyDescent="0.2">
      <c r="A910" s="224" t="s">
        <v>1848</v>
      </c>
      <c r="B910" s="225"/>
      <c r="C910" s="226" t="s">
        <v>1850</v>
      </c>
      <c r="D910" s="226" t="s">
        <v>220</v>
      </c>
      <c r="E910" s="226" t="s">
        <v>1849</v>
      </c>
      <c r="F910" s="227" t="s">
        <v>82</v>
      </c>
      <c r="G910" s="228" t="s">
        <v>81</v>
      </c>
      <c r="H910" s="228"/>
      <c r="I910" s="223">
        <v>100</v>
      </c>
      <c r="J910" s="229">
        <v>0</v>
      </c>
      <c r="K910" s="229">
        <v>255</v>
      </c>
      <c r="L910" s="229" t="s">
        <v>296</v>
      </c>
      <c r="M910" s="229" t="s">
        <v>257</v>
      </c>
      <c r="N910" s="230" t="str">
        <f>IF(ISERROR(MATCH(A910,MemMap!$A$4:$A$98,0)) = FALSE, INDEX(MemMap!$B$4:$B$98,MATCH(A910,MemMap!$A$4:$A$98,0)),IF(F910="Y","TunSetCalSeg",IF(G910="Y", "FlashCalSeg", IF(G910="N", "FlashAppSeg", ""))))</f>
        <v>FlashCalSeg</v>
      </c>
      <c r="O910" s="220"/>
      <c r="P910" s="221"/>
      <c r="Q910" s="221"/>
      <c r="R910" s="221"/>
    </row>
    <row r="911" spans="1:18" x14ac:dyDescent="0.2">
      <c r="A911" s="224" t="s">
        <v>2479</v>
      </c>
      <c r="B911" s="225"/>
      <c r="C911" s="226" t="s">
        <v>1850</v>
      </c>
      <c r="D911" s="226" t="s">
        <v>220</v>
      </c>
      <c r="E911" s="226" t="s">
        <v>2480</v>
      </c>
      <c r="F911" s="227" t="s">
        <v>82</v>
      </c>
      <c r="G911" s="228" t="s">
        <v>81</v>
      </c>
      <c r="H911" s="228"/>
      <c r="I911" s="223">
        <v>1100</v>
      </c>
      <c r="J911" s="229">
        <v>0</v>
      </c>
      <c r="K911" s="229">
        <v>65535</v>
      </c>
      <c r="L911" s="229" t="s">
        <v>269</v>
      </c>
      <c r="M911" s="229" t="s">
        <v>263</v>
      </c>
      <c r="N911" s="230" t="str">
        <f>IF(ISERROR(MATCH(A911,MemMap!$A$4:$A$98,0)) = FALSE, INDEX(MemMap!$B$4:$B$98,MATCH(A911,MemMap!$A$4:$A$98,0)),IF(F911="Y","TunSetCalSeg",IF(G911="Y", "FlashCalSeg", IF(G911="N", "FlashAppSeg", ""))))</f>
        <v>FlashCalSeg</v>
      </c>
      <c r="O911" s="220"/>
      <c r="P911" s="221"/>
      <c r="Q911" s="221"/>
      <c r="R911" s="221"/>
    </row>
    <row r="912" spans="1:18" x14ac:dyDescent="0.2">
      <c r="A912" s="224" t="s">
        <v>3444</v>
      </c>
      <c r="B912" s="225"/>
      <c r="C912" s="226" t="s">
        <v>1850</v>
      </c>
      <c r="D912" s="226" t="s">
        <v>220</v>
      </c>
      <c r="E912" s="226"/>
      <c r="F912" s="227" t="s">
        <v>82</v>
      </c>
      <c r="G912" s="228" t="s">
        <v>81</v>
      </c>
      <c r="H912" s="228"/>
      <c r="I912" s="223">
        <v>2</v>
      </c>
      <c r="J912" s="229">
        <v>1</v>
      </c>
      <c r="K912" s="229">
        <v>65535</v>
      </c>
      <c r="L912" s="229" t="s">
        <v>1541</v>
      </c>
      <c r="M912" s="229" t="s">
        <v>263</v>
      </c>
      <c r="N912" s="230" t="str">
        <f>IF(ISERROR(MATCH(A912,MemMap!$A$4:$A$98,0)) = FALSE, INDEX(MemMap!$B$4:$B$98,MATCH(A912,MemMap!$A$4:$A$98,0)),IF(F912="Y","TunSetCalSeg",IF(G912="Y", "FlashCalSeg", IF(G912="N", "FlashAppSeg", ""))))</f>
        <v>FlashCalSeg</v>
      </c>
      <c r="O912" s="220"/>
      <c r="P912" s="221"/>
      <c r="Q912" s="221"/>
      <c r="R912" s="221"/>
    </row>
    <row r="913" spans="1:18" x14ac:dyDescent="0.2">
      <c r="A913" s="224" t="s">
        <v>3453</v>
      </c>
      <c r="B913" s="225"/>
      <c r="C913" s="226" t="s">
        <v>1850</v>
      </c>
      <c r="D913" s="226" t="s">
        <v>220</v>
      </c>
      <c r="E913" s="226"/>
      <c r="F913" s="227" t="s">
        <v>82</v>
      </c>
      <c r="G913" s="228" t="s">
        <v>81</v>
      </c>
      <c r="H913" s="228"/>
      <c r="I913" s="223">
        <v>500</v>
      </c>
      <c r="J913" s="229">
        <v>0</v>
      </c>
      <c r="K913" s="229">
        <v>65535</v>
      </c>
      <c r="L913" s="229" t="s">
        <v>269</v>
      </c>
      <c r="M913" s="229" t="s">
        <v>263</v>
      </c>
      <c r="N913" s="230" t="str">
        <f>IF(ISERROR(MATCH(A913,MemMap!$A$4:$A$98,0)) = FALSE, INDEX(MemMap!$B$4:$B$98,MATCH(A913,MemMap!$A$4:$A$98,0)),IF(F913="Y","TunSetCalSeg",IF(G913="Y", "FlashCalSeg", IF(G913="N", "FlashAppSeg", ""))))</f>
        <v>FlashCalSeg</v>
      </c>
      <c r="O913" s="220"/>
      <c r="P913" s="221"/>
      <c r="Q913" s="221"/>
      <c r="R913" s="221"/>
    </row>
    <row r="914" spans="1:18" ht="22.5" x14ac:dyDescent="0.2">
      <c r="A914" s="224" t="s">
        <v>2342</v>
      </c>
      <c r="B914" s="225"/>
      <c r="C914" s="226" t="s">
        <v>1850</v>
      </c>
      <c r="D914" s="226" t="s">
        <v>220</v>
      </c>
      <c r="E914" s="226" t="s">
        <v>2341</v>
      </c>
      <c r="F914" s="227" t="s">
        <v>82</v>
      </c>
      <c r="G914" s="228" t="s">
        <v>81</v>
      </c>
      <c r="H914" s="228"/>
      <c r="I914" s="223">
        <v>10</v>
      </c>
      <c r="J914" s="229">
        <v>0</v>
      </c>
      <c r="K914" s="229">
        <v>65535</v>
      </c>
      <c r="L914" s="229" t="s">
        <v>387</v>
      </c>
      <c r="M914" s="229" t="s">
        <v>263</v>
      </c>
      <c r="N914" s="230" t="str">
        <f>IF(ISERROR(MATCH(A914,MemMap!$A$4:$A$98,0)) = FALSE, INDEX(MemMap!$B$4:$B$98,MATCH(A914,MemMap!$A$4:$A$98,0)),IF(F914="Y","TunSetCalSeg",IF(G914="Y", "FlashCalSeg", IF(G914="N", "FlashAppSeg", ""))))</f>
        <v>FlashCalSeg</v>
      </c>
      <c r="O914" s="220"/>
      <c r="P914" s="221"/>
      <c r="Q914" s="221"/>
      <c r="R914" s="221"/>
    </row>
    <row r="915" spans="1:18" x14ac:dyDescent="0.2">
      <c r="A915" s="224" t="s">
        <v>2340</v>
      </c>
      <c r="B915" s="225"/>
      <c r="C915" s="226" t="s">
        <v>1850</v>
      </c>
      <c r="D915" s="226" t="s">
        <v>220</v>
      </c>
      <c r="E915" s="226" t="s">
        <v>2341</v>
      </c>
      <c r="F915" s="227" t="s">
        <v>82</v>
      </c>
      <c r="G915" s="228" t="s">
        <v>81</v>
      </c>
      <c r="H915" s="228"/>
      <c r="I915" s="223">
        <v>10</v>
      </c>
      <c r="J915" s="229">
        <v>0</v>
      </c>
      <c r="K915" s="229">
        <v>65535</v>
      </c>
      <c r="L915" s="229" t="s">
        <v>387</v>
      </c>
      <c r="M915" s="229" t="s">
        <v>263</v>
      </c>
      <c r="N915" s="230" t="str">
        <f>IF(ISERROR(MATCH(A915,MemMap!$A$4:$A$98,0)) = FALSE, INDEX(MemMap!$B$4:$B$98,MATCH(A915,MemMap!$A$4:$A$98,0)),IF(F915="Y","TunSetCalSeg",IF(G915="Y", "FlashCalSeg", IF(G915="N", "FlashAppSeg", ""))))</f>
        <v>FlashCalSeg</v>
      </c>
      <c r="O915" s="220"/>
      <c r="P915" s="221"/>
      <c r="Q915" s="221"/>
      <c r="R915" s="221"/>
    </row>
    <row r="916" spans="1:18" x14ac:dyDescent="0.2">
      <c r="A916" s="224" t="s">
        <v>2509</v>
      </c>
      <c r="B916" s="225"/>
      <c r="C916" s="226" t="s">
        <v>1850</v>
      </c>
      <c r="D916" s="226" t="s">
        <v>220</v>
      </c>
      <c r="E916" s="226"/>
      <c r="F916" s="227" t="s">
        <v>82</v>
      </c>
      <c r="G916" s="228" t="s">
        <v>81</v>
      </c>
      <c r="H916" s="228"/>
      <c r="I916" s="223">
        <v>3</v>
      </c>
      <c r="J916" s="229">
        <v>0</v>
      </c>
      <c r="K916" s="229">
        <v>65535</v>
      </c>
      <c r="L916" s="229" t="s">
        <v>1541</v>
      </c>
      <c r="M916" s="229" t="s">
        <v>263</v>
      </c>
      <c r="N916" s="230" t="str">
        <f>IF(ISERROR(MATCH(A916,MemMap!$A$4:$A$98,0)) = FALSE, INDEX(MemMap!$B$4:$B$98,MATCH(A916,MemMap!$A$4:$A$98,0)),IF(F916="Y","TunSetCalSeg",IF(G916="Y", "FlashCalSeg", IF(G916="N", "FlashAppSeg", ""))))</f>
        <v>FlashCalSeg</v>
      </c>
      <c r="O916" s="220"/>
      <c r="P916" s="221"/>
      <c r="Q916" s="221"/>
      <c r="R916" s="221"/>
    </row>
    <row r="917" spans="1:18" x14ac:dyDescent="0.2">
      <c r="A917" s="224" t="s">
        <v>2572</v>
      </c>
      <c r="B917" s="225"/>
      <c r="C917" s="226" t="s">
        <v>1850</v>
      </c>
      <c r="D917" s="226" t="s">
        <v>220</v>
      </c>
      <c r="E917" s="226" t="s">
        <v>2573</v>
      </c>
      <c r="F917" s="227" t="s">
        <v>82</v>
      </c>
      <c r="G917" s="228" t="s">
        <v>81</v>
      </c>
      <c r="H917" s="228"/>
      <c r="I917" s="223">
        <v>3</v>
      </c>
      <c r="J917" s="229">
        <v>0</v>
      </c>
      <c r="K917" s="229">
        <v>65535</v>
      </c>
      <c r="L917" s="229" t="s">
        <v>1541</v>
      </c>
      <c r="M917" s="229" t="s">
        <v>263</v>
      </c>
      <c r="N917" s="230" t="str">
        <f>IF(ISERROR(MATCH(A917,MemMap!$A$4:$A$98,0)) = FALSE, INDEX(MemMap!$B$4:$B$98,MATCH(A917,MemMap!$A$4:$A$98,0)),IF(F917="Y","TunSetCalSeg",IF(G917="Y", "FlashCalSeg", IF(G917="N", "FlashAppSeg", ""))))</f>
        <v>FlashCalSeg</v>
      </c>
      <c r="O917" s="220"/>
      <c r="P917" s="221"/>
      <c r="Q917" s="221"/>
      <c r="R917" s="221"/>
    </row>
    <row r="918" spans="1:18" x14ac:dyDescent="0.2">
      <c r="A918" s="224" t="s">
        <v>2345</v>
      </c>
      <c r="B918" s="225"/>
      <c r="C918" s="226" t="s">
        <v>1850</v>
      </c>
      <c r="D918" s="226" t="s">
        <v>220</v>
      </c>
      <c r="E918" s="226" t="s">
        <v>2344</v>
      </c>
      <c r="F918" s="227" t="s">
        <v>82</v>
      </c>
      <c r="G918" s="228" t="s">
        <v>81</v>
      </c>
      <c r="H918" s="228"/>
      <c r="I918" s="223">
        <v>10</v>
      </c>
      <c r="J918" s="229">
        <v>0</v>
      </c>
      <c r="K918" s="229">
        <v>65535</v>
      </c>
      <c r="L918" s="229" t="s">
        <v>387</v>
      </c>
      <c r="M918" s="229" t="s">
        <v>263</v>
      </c>
      <c r="N918" s="230" t="str">
        <f>IF(ISERROR(MATCH(A918,MemMap!$A$4:$A$98,0)) = FALSE, INDEX(MemMap!$B$4:$B$98,MATCH(A918,MemMap!$A$4:$A$98,0)),IF(F918="Y","TunSetCalSeg",IF(G918="Y", "FlashCalSeg", IF(G918="N", "FlashAppSeg", ""))))</f>
        <v>FlashCalSeg</v>
      </c>
      <c r="O918" s="220"/>
      <c r="P918" s="221"/>
      <c r="Q918" s="221"/>
      <c r="R918" s="221"/>
    </row>
    <row r="919" spans="1:18" x14ac:dyDescent="0.2">
      <c r="A919" s="224" t="s">
        <v>2343</v>
      </c>
      <c r="B919" s="225"/>
      <c r="C919" s="226" t="s">
        <v>1850</v>
      </c>
      <c r="D919" s="226" t="s">
        <v>220</v>
      </c>
      <c r="E919" s="226" t="s">
        <v>2344</v>
      </c>
      <c r="F919" s="227" t="s">
        <v>82</v>
      </c>
      <c r="G919" s="228" t="s">
        <v>81</v>
      </c>
      <c r="H919" s="228"/>
      <c r="I919" s="223">
        <v>10</v>
      </c>
      <c r="J919" s="229">
        <v>0</v>
      </c>
      <c r="K919" s="229">
        <v>65535</v>
      </c>
      <c r="L919" s="229" t="s">
        <v>387</v>
      </c>
      <c r="M919" s="229" t="s">
        <v>263</v>
      </c>
      <c r="N919" s="230" t="str">
        <f>IF(ISERROR(MATCH(A919,MemMap!$A$4:$A$98,0)) = FALSE, INDEX(MemMap!$B$4:$B$98,MATCH(A919,MemMap!$A$4:$A$98,0)),IF(F919="Y","TunSetCalSeg",IF(G919="Y", "FlashCalSeg", IF(G919="N", "FlashAppSeg", ""))))</f>
        <v>FlashCalSeg</v>
      </c>
      <c r="O919" s="220"/>
      <c r="P919" s="221"/>
      <c r="Q919" s="221"/>
      <c r="R919" s="221"/>
    </row>
    <row r="920" spans="1:18" x14ac:dyDescent="0.2">
      <c r="A920" s="224" t="s">
        <v>3687</v>
      </c>
      <c r="B920" s="225" t="s">
        <v>2128</v>
      </c>
      <c r="C920" s="226" t="s">
        <v>1850</v>
      </c>
      <c r="D920" s="226" t="s">
        <v>220</v>
      </c>
      <c r="E920" s="226" t="s">
        <v>2130</v>
      </c>
      <c r="F920" s="227" t="s">
        <v>82</v>
      </c>
      <c r="G920" s="228" t="s">
        <v>81</v>
      </c>
      <c r="H920" s="228"/>
      <c r="I920" s="223">
        <v>100</v>
      </c>
      <c r="J920" s="229">
        <v>0</v>
      </c>
      <c r="K920" s="229">
        <v>65535</v>
      </c>
      <c r="L920" s="229" t="s">
        <v>269</v>
      </c>
      <c r="M920" s="229" t="s">
        <v>263</v>
      </c>
      <c r="N920" s="230" t="str">
        <f>IF(ISERROR(MATCH(A920,MemMap!$A$4:$A$98,0)) = FALSE, INDEX(MemMap!$B$4:$B$98,MATCH(A920,MemMap!$A$4:$A$98,0)),IF(F920="Y","TunSetCalSeg",IF(G920="Y", "FlashCalSeg", IF(G920="N", "FlashAppSeg", ""))))</f>
        <v>FlashCalSeg</v>
      </c>
      <c r="O920" s="220"/>
      <c r="P920" s="221"/>
      <c r="Q920" s="221"/>
      <c r="R920" s="221"/>
    </row>
    <row r="921" spans="1:18" x14ac:dyDescent="0.2">
      <c r="A921" s="224" t="s">
        <v>3688</v>
      </c>
      <c r="B921" s="225" t="s">
        <v>2128</v>
      </c>
      <c r="C921" s="226" t="s">
        <v>1850</v>
      </c>
      <c r="D921" s="226" t="s">
        <v>220</v>
      </c>
      <c r="E921" s="226" t="s">
        <v>2132</v>
      </c>
      <c r="F921" s="227" t="s">
        <v>82</v>
      </c>
      <c r="G921" s="228" t="s">
        <v>81</v>
      </c>
      <c r="H921" s="228"/>
      <c r="I921" s="223">
        <v>100</v>
      </c>
      <c r="J921" s="229">
        <v>0</v>
      </c>
      <c r="K921" s="229">
        <v>65535</v>
      </c>
      <c r="L921" s="229" t="s">
        <v>269</v>
      </c>
      <c r="M921" s="229" t="s">
        <v>263</v>
      </c>
      <c r="N921" s="230" t="str">
        <f>IF(ISERROR(MATCH(A921,MemMap!$A$4:$A$98,0)) = FALSE, INDEX(MemMap!$B$4:$B$98,MATCH(A921,MemMap!$A$4:$A$98,0)),IF(F921="Y","TunSetCalSeg",IF(G921="Y", "FlashCalSeg", IF(G921="N", "FlashAppSeg", ""))))</f>
        <v>FlashCalSeg</v>
      </c>
      <c r="O921" s="220"/>
      <c r="P921" s="221"/>
      <c r="Q921" s="221"/>
      <c r="R921" s="221"/>
    </row>
    <row r="922" spans="1:18" x14ac:dyDescent="0.2">
      <c r="A922" s="224" t="s">
        <v>3689</v>
      </c>
      <c r="B922" s="225" t="s">
        <v>2134</v>
      </c>
      <c r="C922" s="226" t="s">
        <v>1850</v>
      </c>
      <c r="D922" s="226" t="s">
        <v>220</v>
      </c>
      <c r="E922" s="226" t="s">
        <v>2136</v>
      </c>
      <c r="F922" s="227" t="s">
        <v>82</v>
      </c>
      <c r="G922" s="228" t="s">
        <v>81</v>
      </c>
      <c r="H922" s="228"/>
      <c r="I922" s="223">
        <v>200</v>
      </c>
      <c r="J922" s="229">
        <v>0</v>
      </c>
      <c r="K922" s="229">
        <v>65535</v>
      </c>
      <c r="L922" s="229" t="s">
        <v>269</v>
      </c>
      <c r="M922" s="229" t="s">
        <v>263</v>
      </c>
      <c r="N922" s="230" t="str">
        <f>IF(ISERROR(MATCH(A922,MemMap!$A$4:$A$98,0)) = FALSE, INDEX(MemMap!$B$4:$B$98,MATCH(A922,MemMap!$A$4:$A$98,0)),IF(F922="Y","TunSetCalSeg",IF(G922="Y", "FlashCalSeg", IF(G922="N", "FlashAppSeg", ""))))</f>
        <v>FlashCalSeg</v>
      </c>
      <c r="O922" s="220"/>
      <c r="P922" s="221"/>
      <c r="Q922" s="221"/>
      <c r="R922" s="221"/>
    </row>
    <row r="923" spans="1:18" x14ac:dyDescent="0.2">
      <c r="A923" s="224" t="s">
        <v>3690</v>
      </c>
      <c r="B923" s="225" t="s">
        <v>2134</v>
      </c>
      <c r="C923" s="226" t="s">
        <v>1850</v>
      </c>
      <c r="D923" s="226" t="s">
        <v>220</v>
      </c>
      <c r="E923" s="226" t="s">
        <v>2601</v>
      </c>
      <c r="F923" s="227" t="s">
        <v>82</v>
      </c>
      <c r="G923" s="228" t="s">
        <v>81</v>
      </c>
      <c r="H923" s="228"/>
      <c r="I923" s="223">
        <v>200</v>
      </c>
      <c r="J923" s="229">
        <v>0</v>
      </c>
      <c r="K923" s="229">
        <v>65535</v>
      </c>
      <c r="L923" s="229" t="s">
        <v>269</v>
      </c>
      <c r="M923" s="229" t="s">
        <v>263</v>
      </c>
      <c r="N923" s="230" t="str">
        <f>IF(ISERROR(MATCH(A923,MemMap!$A$4:$A$98,0)) = FALSE, INDEX(MemMap!$B$4:$B$98,MATCH(A923,MemMap!$A$4:$A$98,0)),IF(F923="Y","TunSetCalSeg",IF(G923="Y", "FlashCalSeg", IF(G923="N", "FlashAppSeg", ""))))</f>
        <v>FlashCalSeg</v>
      </c>
      <c r="O923" s="220"/>
      <c r="P923" s="221"/>
      <c r="Q923" s="221"/>
      <c r="R923" s="221"/>
    </row>
    <row r="924" spans="1:18" x14ac:dyDescent="0.2">
      <c r="A924" s="224" t="s">
        <v>3691</v>
      </c>
      <c r="B924" s="225" t="s">
        <v>3692</v>
      </c>
      <c r="C924" s="226" t="s">
        <v>1850</v>
      </c>
      <c r="D924" s="226" t="s">
        <v>220</v>
      </c>
      <c r="E924" s="226" t="s">
        <v>3247</v>
      </c>
      <c r="F924" s="227" t="s">
        <v>82</v>
      </c>
      <c r="G924" s="228" t="s">
        <v>81</v>
      </c>
      <c r="H924" s="228"/>
      <c r="I924" s="223">
        <v>2000</v>
      </c>
      <c r="J924" s="229">
        <v>0</v>
      </c>
      <c r="K924" s="229">
        <v>65535</v>
      </c>
      <c r="L924" s="229" t="s">
        <v>269</v>
      </c>
      <c r="M924" s="229" t="s">
        <v>263</v>
      </c>
      <c r="N924" s="230" t="str">
        <f>IF(ISERROR(MATCH(A924,MemMap!$A$4:$A$98,0)) = FALSE, INDEX(MemMap!$B$4:$B$98,MATCH(A924,MemMap!$A$4:$A$98,0)),IF(F924="Y","TunSetCalSeg",IF(G924="Y", "FlashCalSeg", IF(G924="N", "FlashAppSeg", ""))))</f>
        <v>FlashCalSeg</v>
      </c>
      <c r="O924" s="220"/>
      <c r="P924" s="221"/>
      <c r="Q924" s="221"/>
      <c r="R924" s="221"/>
    </row>
    <row r="925" spans="1:18" x14ac:dyDescent="0.2">
      <c r="A925" s="224" t="s">
        <v>2153</v>
      </c>
      <c r="B925" s="225"/>
      <c r="C925" s="226" t="s">
        <v>1850</v>
      </c>
      <c r="D925" s="226" t="s">
        <v>220</v>
      </c>
      <c r="E925" s="226" t="s">
        <v>2133</v>
      </c>
      <c r="F925" s="227" t="s">
        <v>82</v>
      </c>
      <c r="G925" s="228" t="s">
        <v>81</v>
      </c>
      <c r="H925" s="228"/>
      <c r="I925" s="223">
        <v>5</v>
      </c>
      <c r="J925" s="229">
        <v>0</v>
      </c>
      <c r="K925" s="229">
        <v>65535</v>
      </c>
      <c r="L925" s="229" t="s">
        <v>387</v>
      </c>
      <c r="M925" s="229" t="s">
        <v>263</v>
      </c>
      <c r="N925" s="230" t="str">
        <f>IF(ISERROR(MATCH(A925,MemMap!$A$4:$A$98,0)) = FALSE, INDEX(MemMap!$B$4:$B$98,MATCH(A925,MemMap!$A$4:$A$98,0)),IF(F925="Y","TunSetCalSeg",IF(G925="Y", "FlashCalSeg", IF(G925="N", "FlashAppSeg", ""))))</f>
        <v>FlashCalSeg</v>
      </c>
      <c r="O925" s="220"/>
      <c r="P925" s="221"/>
      <c r="Q925" s="221"/>
      <c r="R925" s="221"/>
    </row>
    <row r="926" spans="1:18" x14ac:dyDescent="0.2">
      <c r="A926" s="224" t="s">
        <v>2154</v>
      </c>
      <c r="B926" s="225"/>
      <c r="C926" s="226" t="s">
        <v>1850</v>
      </c>
      <c r="D926" s="226" t="s">
        <v>220</v>
      </c>
      <c r="E926" s="226" t="s">
        <v>2133</v>
      </c>
      <c r="F926" s="227" t="s">
        <v>82</v>
      </c>
      <c r="G926" s="228" t="s">
        <v>81</v>
      </c>
      <c r="H926" s="228"/>
      <c r="I926" s="223">
        <v>10</v>
      </c>
      <c r="J926" s="229">
        <v>0</v>
      </c>
      <c r="K926" s="229">
        <v>65535</v>
      </c>
      <c r="L926" s="229" t="s">
        <v>387</v>
      </c>
      <c r="M926" s="229" t="s">
        <v>263</v>
      </c>
      <c r="N926" s="230" t="str">
        <f>IF(ISERROR(MATCH(A926,MemMap!$A$4:$A$98,0)) = FALSE, INDEX(MemMap!$B$4:$B$98,MATCH(A926,MemMap!$A$4:$A$98,0)),IF(F926="Y","TunSetCalSeg",IF(G926="Y", "FlashCalSeg", IF(G926="N", "FlashAppSeg", ""))))</f>
        <v>FlashCalSeg</v>
      </c>
      <c r="O926" s="220"/>
      <c r="P926" s="221"/>
      <c r="Q926" s="221"/>
      <c r="R926" s="221"/>
    </row>
    <row r="927" spans="1:18" x14ac:dyDescent="0.2">
      <c r="A927" s="224" t="s">
        <v>2168</v>
      </c>
      <c r="B927" s="225"/>
      <c r="C927" s="226" t="s">
        <v>1850</v>
      </c>
      <c r="D927" s="226" t="s">
        <v>220</v>
      </c>
      <c r="E927" s="226" t="s">
        <v>2169</v>
      </c>
      <c r="F927" s="227" t="s">
        <v>82</v>
      </c>
      <c r="G927" s="228" t="s">
        <v>81</v>
      </c>
      <c r="H927" s="228"/>
      <c r="I927" s="223">
        <v>1000</v>
      </c>
      <c r="J927" s="229">
        <v>0</v>
      </c>
      <c r="K927" s="229">
        <v>65535</v>
      </c>
      <c r="L927" s="229" t="s">
        <v>269</v>
      </c>
      <c r="M927" s="229" t="s">
        <v>263</v>
      </c>
      <c r="N927" s="230" t="str">
        <f>IF(ISERROR(MATCH(A927,MemMap!$A$4:$A$98,0)) = FALSE, INDEX(MemMap!$B$4:$B$98,MATCH(A927,MemMap!$A$4:$A$98,0)),IF(F927="Y","TunSetCalSeg",IF(G927="Y", "FlashCalSeg", IF(G927="N", "FlashAppSeg", ""))))</f>
        <v>FlashCalSeg</v>
      </c>
      <c r="O927" s="220"/>
      <c r="P927" s="221"/>
      <c r="Q927" s="221"/>
      <c r="R927" s="221"/>
    </row>
    <row r="928" spans="1:18" x14ac:dyDescent="0.2">
      <c r="A928" s="224" t="s">
        <v>2384</v>
      </c>
      <c r="B928" s="225"/>
      <c r="C928" s="226" t="s">
        <v>1850</v>
      </c>
      <c r="D928" s="226" t="s">
        <v>220</v>
      </c>
      <c r="E928" s="226" t="s">
        <v>2383</v>
      </c>
      <c r="F928" s="227" t="s">
        <v>82</v>
      </c>
      <c r="G928" s="228" t="s">
        <v>81</v>
      </c>
      <c r="H928" s="228"/>
      <c r="I928" s="223">
        <v>10</v>
      </c>
      <c r="J928" s="229">
        <v>0</v>
      </c>
      <c r="K928" s="229">
        <v>65535</v>
      </c>
      <c r="L928" s="229" t="s">
        <v>387</v>
      </c>
      <c r="M928" s="229" t="s">
        <v>263</v>
      </c>
      <c r="N928" s="230" t="str">
        <f>IF(ISERROR(MATCH(A928,MemMap!$A$4:$A$98,0)) = FALSE, INDEX(MemMap!$B$4:$B$98,MATCH(A928,MemMap!$A$4:$A$98,0)),IF(F928="Y","TunSetCalSeg",IF(G928="Y", "FlashCalSeg", IF(G928="N", "FlashAppSeg", ""))))</f>
        <v>FlashCalSeg</v>
      </c>
      <c r="O928" s="220"/>
      <c r="P928" s="221"/>
      <c r="Q928" s="221"/>
      <c r="R928" s="221"/>
    </row>
    <row r="929" spans="1:18" x14ac:dyDescent="0.2">
      <c r="A929" s="224" t="s">
        <v>2382</v>
      </c>
      <c r="B929" s="225"/>
      <c r="C929" s="226" t="s">
        <v>1850</v>
      </c>
      <c r="D929" s="226" t="s">
        <v>220</v>
      </c>
      <c r="E929" s="226" t="s">
        <v>2383</v>
      </c>
      <c r="F929" s="227" t="s">
        <v>82</v>
      </c>
      <c r="G929" s="228" t="s">
        <v>81</v>
      </c>
      <c r="H929" s="228"/>
      <c r="I929" s="223">
        <v>10</v>
      </c>
      <c r="J929" s="229">
        <v>0</v>
      </c>
      <c r="K929" s="229">
        <v>65535</v>
      </c>
      <c r="L929" s="229" t="s">
        <v>387</v>
      </c>
      <c r="M929" s="229" t="s">
        <v>263</v>
      </c>
      <c r="N929" s="230" t="str">
        <f>IF(ISERROR(MATCH(A929,MemMap!$A$4:$A$98,0)) = FALSE, INDEX(MemMap!$B$4:$B$98,MATCH(A929,MemMap!$A$4:$A$98,0)),IF(F929="Y","TunSetCalSeg",IF(G929="Y", "FlashCalSeg", IF(G929="N", "FlashAppSeg", ""))))</f>
        <v>FlashCalSeg</v>
      </c>
      <c r="O929" s="220"/>
      <c r="P929" s="221"/>
      <c r="Q929" s="221"/>
      <c r="R929" s="221"/>
    </row>
    <row r="930" spans="1:18" x14ac:dyDescent="0.2">
      <c r="A930" s="224" t="s">
        <v>2505</v>
      </c>
      <c r="B930" s="225"/>
      <c r="C930" s="226" t="s">
        <v>1850</v>
      </c>
      <c r="D930" s="226" t="s">
        <v>220</v>
      </c>
      <c r="E930" s="226" t="s">
        <v>2385</v>
      </c>
      <c r="F930" s="227" t="s">
        <v>82</v>
      </c>
      <c r="G930" s="228" t="s">
        <v>81</v>
      </c>
      <c r="H930" s="228"/>
      <c r="I930" s="223">
        <v>10</v>
      </c>
      <c r="J930" s="229">
        <v>0</v>
      </c>
      <c r="K930" s="229">
        <v>65535</v>
      </c>
      <c r="L930" s="229" t="s">
        <v>387</v>
      </c>
      <c r="M930" s="229" t="s">
        <v>263</v>
      </c>
      <c r="N930" s="230" t="str">
        <f>IF(ISERROR(MATCH(A930,MemMap!$A$4:$A$98,0)) = FALSE, INDEX(MemMap!$B$4:$B$98,MATCH(A930,MemMap!$A$4:$A$98,0)),IF(F930="Y","TunSetCalSeg",IF(G930="Y", "FlashCalSeg", IF(G930="N", "FlashAppSeg", ""))))</f>
        <v>FlashCalSeg</v>
      </c>
      <c r="O930" s="220"/>
      <c r="P930" s="221"/>
      <c r="Q930" s="221"/>
      <c r="R930" s="221"/>
    </row>
    <row r="931" spans="1:18" x14ac:dyDescent="0.2">
      <c r="A931" s="224" t="s">
        <v>3139</v>
      </c>
      <c r="B931" s="225"/>
      <c r="C931" s="226" t="s">
        <v>1850</v>
      </c>
      <c r="D931" s="226" t="s">
        <v>220</v>
      </c>
      <c r="E931" s="226"/>
      <c r="F931" s="227" t="s">
        <v>82</v>
      </c>
      <c r="G931" s="228" t="s">
        <v>81</v>
      </c>
      <c r="H931" s="228"/>
      <c r="I931" s="223">
        <v>3</v>
      </c>
      <c r="J931" s="229">
        <v>0</v>
      </c>
      <c r="K931" s="229">
        <v>65535</v>
      </c>
      <c r="L931" s="229" t="s">
        <v>1541</v>
      </c>
      <c r="M931" s="229" t="s">
        <v>263</v>
      </c>
      <c r="N931" s="230" t="str">
        <f>IF(ISERROR(MATCH(A931,MemMap!$A$4:$A$98,0)) = FALSE, INDEX(MemMap!$B$4:$B$98,MATCH(A931,MemMap!$A$4:$A$98,0)),IF(F931="Y","TunSetCalSeg",IF(G931="Y", "FlashCalSeg", IF(G931="N", "FlashAppSeg", ""))))</f>
        <v>FlashCalSeg</v>
      </c>
      <c r="O931" s="220"/>
      <c r="P931" s="221"/>
      <c r="Q931" s="221"/>
      <c r="R931" s="221"/>
    </row>
    <row r="932" spans="1:18" x14ac:dyDescent="0.2">
      <c r="A932" s="224" t="s">
        <v>3138</v>
      </c>
      <c r="B932" s="225"/>
      <c r="C932" s="226" t="s">
        <v>1850</v>
      </c>
      <c r="D932" s="226" t="s">
        <v>220</v>
      </c>
      <c r="E932" s="226"/>
      <c r="F932" s="227" t="s">
        <v>82</v>
      </c>
      <c r="G932" s="228" t="s">
        <v>81</v>
      </c>
      <c r="H932" s="228"/>
      <c r="I932" s="223">
        <v>10</v>
      </c>
      <c r="J932" s="229">
        <v>0</v>
      </c>
      <c r="K932" s="229">
        <v>65535</v>
      </c>
      <c r="L932" s="229" t="s">
        <v>1541</v>
      </c>
      <c r="M932" s="229" t="s">
        <v>263</v>
      </c>
      <c r="N932" s="230" t="str">
        <f>IF(ISERROR(MATCH(A932,MemMap!$A$4:$A$98,0)) = FALSE, INDEX(MemMap!$B$4:$B$98,MATCH(A932,MemMap!$A$4:$A$98,0)),IF(F932="Y","TunSetCalSeg",IF(G932="Y", "FlashCalSeg", IF(G932="N", "FlashAppSeg", ""))))</f>
        <v>FlashCalSeg</v>
      </c>
      <c r="O932" s="220"/>
      <c r="P932" s="221"/>
      <c r="Q932" s="221"/>
      <c r="R932" s="221"/>
    </row>
    <row r="933" spans="1:18" x14ac:dyDescent="0.2">
      <c r="A933" s="224" t="s">
        <v>2595</v>
      </c>
      <c r="B933" s="225"/>
      <c r="C933" s="226" t="s">
        <v>1850</v>
      </c>
      <c r="D933" s="226" t="s">
        <v>220</v>
      </c>
      <c r="E933" s="226" t="s">
        <v>2596</v>
      </c>
      <c r="F933" s="227" t="s">
        <v>82</v>
      </c>
      <c r="G933" s="228" t="s">
        <v>81</v>
      </c>
      <c r="H933" s="228"/>
      <c r="I933" s="223">
        <v>10</v>
      </c>
      <c r="J933" s="229">
        <v>0</v>
      </c>
      <c r="K933" s="229">
        <v>65535</v>
      </c>
      <c r="L933" s="229" t="s">
        <v>1541</v>
      </c>
      <c r="M933" s="229" t="s">
        <v>263</v>
      </c>
      <c r="N933" s="230" t="str">
        <f>IF(ISERROR(MATCH(A933,MemMap!$A$4:$A$98,0)) = FALSE, INDEX(MemMap!$B$4:$B$98,MATCH(A933,MemMap!$A$4:$A$98,0)),IF(F933="Y","TunSetCalSeg",IF(G933="Y", "FlashCalSeg", IF(G933="N", "FlashAppSeg", ""))))</f>
        <v>FlashCalSeg</v>
      </c>
      <c r="O933" s="220"/>
      <c r="P933" s="221"/>
      <c r="Q933" s="221"/>
      <c r="R933" s="221"/>
    </row>
    <row r="934" spans="1:18" x14ac:dyDescent="0.2">
      <c r="A934" s="224" t="s">
        <v>2376</v>
      </c>
      <c r="B934" s="225"/>
      <c r="C934" s="226" t="s">
        <v>1850</v>
      </c>
      <c r="D934" s="226" t="s">
        <v>220</v>
      </c>
      <c r="E934" s="226" t="s">
        <v>2375</v>
      </c>
      <c r="F934" s="227" t="s">
        <v>82</v>
      </c>
      <c r="G934" s="228" t="s">
        <v>81</v>
      </c>
      <c r="H934" s="228"/>
      <c r="I934" s="223">
        <v>4</v>
      </c>
      <c r="J934" s="229">
        <v>0</v>
      </c>
      <c r="K934" s="229">
        <v>65535</v>
      </c>
      <c r="L934" s="229" t="s">
        <v>387</v>
      </c>
      <c r="M934" s="229" t="s">
        <v>263</v>
      </c>
      <c r="N934" s="230" t="str">
        <f>IF(ISERROR(MATCH(A934,MemMap!$A$4:$A$98,0)) = FALSE, INDEX(MemMap!$B$4:$B$98,MATCH(A934,MemMap!$A$4:$A$98,0)),IF(F934="Y","TunSetCalSeg",IF(G934="Y", "FlashCalSeg", IF(G934="N", "FlashAppSeg", ""))))</f>
        <v>FlashCalSeg</v>
      </c>
      <c r="O934" s="220"/>
      <c r="P934" s="221"/>
      <c r="Q934" s="221"/>
      <c r="R934" s="221"/>
    </row>
    <row r="935" spans="1:18" x14ac:dyDescent="0.2">
      <c r="A935" s="224" t="s">
        <v>2374</v>
      </c>
      <c r="B935" s="225"/>
      <c r="C935" s="226" t="s">
        <v>1850</v>
      </c>
      <c r="D935" s="226" t="s">
        <v>220</v>
      </c>
      <c r="E935" s="226" t="s">
        <v>2375</v>
      </c>
      <c r="F935" s="227" t="s">
        <v>82</v>
      </c>
      <c r="G935" s="228" t="s">
        <v>81</v>
      </c>
      <c r="H935" s="228"/>
      <c r="I935" s="223">
        <v>10</v>
      </c>
      <c r="J935" s="229">
        <v>0</v>
      </c>
      <c r="K935" s="229">
        <v>65535</v>
      </c>
      <c r="L935" s="229" t="s">
        <v>387</v>
      </c>
      <c r="M935" s="229" t="s">
        <v>263</v>
      </c>
      <c r="N935" s="230" t="str">
        <f>IF(ISERROR(MATCH(A935,MemMap!$A$4:$A$98,0)) = FALSE, INDEX(MemMap!$B$4:$B$98,MATCH(A935,MemMap!$A$4:$A$98,0)),IF(F935="Y","TunSetCalSeg",IF(G935="Y", "FlashCalSeg", IF(G935="N", "FlashAppSeg", ""))))</f>
        <v>FlashCalSeg</v>
      </c>
      <c r="O935" s="220"/>
      <c r="P935" s="221"/>
      <c r="Q935" s="221"/>
      <c r="R935" s="221"/>
    </row>
    <row r="936" spans="1:18" x14ac:dyDescent="0.2">
      <c r="A936" s="224" t="s">
        <v>2501</v>
      </c>
      <c r="B936" s="225"/>
      <c r="C936" s="226" t="s">
        <v>1850</v>
      </c>
      <c r="D936" s="226" t="s">
        <v>220</v>
      </c>
      <c r="E936" s="226" t="s">
        <v>2377</v>
      </c>
      <c r="F936" s="227" t="s">
        <v>82</v>
      </c>
      <c r="G936" s="228" t="s">
        <v>81</v>
      </c>
      <c r="H936" s="228"/>
      <c r="I936" s="223">
        <v>10</v>
      </c>
      <c r="J936" s="229">
        <v>0</v>
      </c>
      <c r="K936" s="229">
        <v>65535</v>
      </c>
      <c r="L936" s="229" t="s">
        <v>387</v>
      </c>
      <c r="M936" s="229" t="s">
        <v>263</v>
      </c>
      <c r="N936" s="230" t="str">
        <f>IF(ISERROR(MATCH(A936,MemMap!$A$4:$A$98,0)) = FALSE, INDEX(MemMap!$B$4:$B$98,MATCH(A936,MemMap!$A$4:$A$98,0)),IF(F936="Y","TunSetCalSeg",IF(G936="Y", "FlashCalSeg", IF(G936="N", "FlashAppSeg", ""))))</f>
        <v>FlashCalSeg</v>
      </c>
      <c r="O936" s="220"/>
      <c r="P936" s="221"/>
      <c r="Q936" s="221"/>
      <c r="R936" s="221"/>
    </row>
    <row r="937" spans="1:18" x14ac:dyDescent="0.2">
      <c r="A937" s="224" t="s">
        <v>2363</v>
      </c>
      <c r="B937" s="225"/>
      <c r="C937" s="226" t="s">
        <v>1850</v>
      </c>
      <c r="D937" s="226" t="s">
        <v>220</v>
      </c>
      <c r="E937" s="226" t="s">
        <v>2364</v>
      </c>
      <c r="F937" s="227" t="s">
        <v>82</v>
      </c>
      <c r="G937" s="228" t="s">
        <v>81</v>
      </c>
      <c r="H937" s="228"/>
      <c r="I937" s="223">
        <v>4</v>
      </c>
      <c r="J937" s="229">
        <v>0</v>
      </c>
      <c r="K937" s="229">
        <v>65535</v>
      </c>
      <c r="L937" s="229" t="s">
        <v>387</v>
      </c>
      <c r="M937" s="229" t="s">
        <v>263</v>
      </c>
      <c r="N937" s="230" t="str">
        <f>IF(ISERROR(MATCH(A937,MemMap!$A$4:$A$98,0)) = FALSE, INDEX(MemMap!$B$4:$B$98,MATCH(A937,MemMap!$A$4:$A$98,0)),IF(F937="Y","TunSetCalSeg",IF(G937="Y", "FlashCalSeg", IF(G937="N", "FlashAppSeg", ""))))</f>
        <v>FlashCalSeg</v>
      </c>
      <c r="O937" s="220"/>
      <c r="P937" s="221"/>
      <c r="Q937" s="221"/>
      <c r="R937" s="221"/>
    </row>
    <row r="938" spans="1:18" x14ac:dyDescent="0.2">
      <c r="A938" s="224" t="s">
        <v>2365</v>
      </c>
      <c r="B938" s="225"/>
      <c r="C938" s="226" t="s">
        <v>1850</v>
      </c>
      <c r="D938" s="226" t="s">
        <v>220</v>
      </c>
      <c r="E938" s="226" t="s">
        <v>2364</v>
      </c>
      <c r="F938" s="227" t="s">
        <v>82</v>
      </c>
      <c r="G938" s="228" t="s">
        <v>81</v>
      </c>
      <c r="H938" s="228"/>
      <c r="I938" s="223">
        <v>10</v>
      </c>
      <c r="J938" s="229">
        <v>0</v>
      </c>
      <c r="K938" s="229">
        <v>65535</v>
      </c>
      <c r="L938" s="229" t="s">
        <v>387</v>
      </c>
      <c r="M938" s="229" t="s">
        <v>263</v>
      </c>
      <c r="N938" s="230" t="str">
        <f>IF(ISERROR(MATCH(A938,MemMap!$A$4:$A$98,0)) = FALSE, INDEX(MemMap!$B$4:$B$98,MATCH(A938,MemMap!$A$4:$A$98,0)),IF(F938="Y","TunSetCalSeg",IF(G938="Y", "FlashCalSeg", IF(G938="N", "FlashAppSeg", ""))))</f>
        <v>FlashCalSeg</v>
      </c>
      <c r="O938" s="220"/>
      <c r="P938" s="221"/>
      <c r="Q938" s="221"/>
      <c r="R938" s="221"/>
    </row>
    <row r="939" spans="1:18" x14ac:dyDescent="0.2">
      <c r="A939" s="224" t="s">
        <v>2504</v>
      </c>
      <c r="B939" s="225"/>
      <c r="C939" s="226" t="s">
        <v>1850</v>
      </c>
      <c r="D939" s="226" t="s">
        <v>220</v>
      </c>
      <c r="E939" s="226" t="s">
        <v>2366</v>
      </c>
      <c r="F939" s="227" t="s">
        <v>82</v>
      </c>
      <c r="G939" s="228" t="s">
        <v>81</v>
      </c>
      <c r="H939" s="228"/>
      <c r="I939" s="223">
        <v>10</v>
      </c>
      <c r="J939" s="229">
        <v>0</v>
      </c>
      <c r="K939" s="229">
        <v>65535</v>
      </c>
      <c r="L939" s="229" t="s">
        <v>387</v>
      </c>
      <c r="M939" s="229" t="s">
        <v>263</v>
      </c>
      <c r="N939" s="230" t="str">
        <f>IF(ISERROR(MATCH(A939,MemMap!$A$4:$A$98,0)) = FALSE, INDEX(MemMap!$B$4:$B$98,MATCH(A939,MemMap!$A$4:$A$98,0)),IF(F939="Y","TunSetCalSeg",IF(G939="Y", "FlashCalSeg", IF(G939="N", "FlashAppSeg", ""))))</f>
        <v>FlashCalSeg</v>
      </c>
      <c r="O939" s="220"/>
      <c r="P939" s="221"/>
      <c r="Q939" s="221"/>
      <c r="R939" s="221"/>
    </row>
    <row r="940" spans="1:18" x14ac:dyDescent="0.2">
      <c r="A940" s="224" t="s">
        <v>2324</v>
      </c>
      <c r="B940" s="225"/>
      <c r="C940" s="226" t="s">
        <v>1850</v>
      </c>
      <c r="D940" s="226" t="s">
        <v>220</v>
      </c>
      <c r="E940" s="226" t="s">
        <v>2141</v>
      </c>
      <c r="F940" s="227" t="s">
        <v>82</v>
      </c>
      <c r="G940" s="228" t="s">
        <v>81</v>
      </c>
      <c r="H940" s="228"/>
      <c r="I940" s="223">
        <v>10</v>
      </c>
      <c r="J940" s="229">
        <v>0</v>
      </c>
      <c r="K940" s="229">
        <v>65535</v>
      </c>
      <c r="L940" s="229" t="s">
        <v>387</v>
      </c>
      <c r="M940" s="229" t="s">
        <v>263</v>
      </c>
      <c r="N940" s="230" t="str">
        <f>IF(ISERROR(MATCH(A940,MemMap!$A$4:$A$98,0)) = FALSE, INDEX(MemMap!$B$4:$B$98,MATCH(A940,MemMap!$A$4:$A$98,0)),IF(F940="Y","TunSetCalSeg",IF(G940="Y", "FlashCalSeg", IF(G940="N", "FlashAppSeg", ""))))</f>
        <v>FlashCalSeg</v>
      </c>
      <c r="O940" s="220"/>
      <c r="P940" s="221"/>
      <c r="Q940" s="221"/>
      <c r="R940" s="221"/>
    </row>
    <row r="941" spans="1:18" x14ac:dyDescent="0.2">
      <c r="A941" s="224" t="s">
        <v>2325</v>
      </c>
      <c r="B941" s="225"/>
      <c r="C941" s="226" t="s">
        <v>1850</v>
      </c>
      <c r="D941" s="226" t="s">
        <v>220</v>
      </c>
      <c r="E941" s="226" t="s">
        <v>2141</v>
      </c>
      <c r="F941" s="227" t="s">
        <v>82</v>
      </c>
      <c r="G941" s="228" t="s">
        <v>81</v>
      </c>
      <c r="H941" s="228"/>
      <c r="I941" s="223">
        <v>10</v>
      </c>
      <c r="J941" s="229">
        <v>0</v>
      </c>
      <c r="K941" s="229">
        <v>65535</v>
      </c>
      <c r="L941" s="229" t="s">
        <v>387</v>
      </c>
      <c r="M941" s="229" t="s">
        <v>263</v>
      </c>
      <c r="N941" s="230" t="str">
        <f>IF(ISERROR(MATCH(A941,MemMap!$A$4:$A$98,0)) = FALSE, INDEX(MemMap!$B$4:$B$98,MATCH(A941,MemMap!$A$4:$A$98,0)),IF(F941="Y","TunSetCalSeg",IF(G941="Y", "FlashCalSeg", IF(G941="N", "FlashAppSeg", ""))))</f>
        <v>FlashCalSeg</v>
      </c>
      <c r="O941" s="220"/>
      <c r="P941" s="221"/>
      <c r="Q941" s="221"/>
      <c r="R941" s="221"/>
    </row>
    <row r="942" spans="1:18" x14ac:dyDescent="0.2">
      <c r="A942" s="224" t="s">
        <v>2500</v>
      </c>
      <c r="B942" s="225"/>
      <c r="C942" s="226" t="s">
        <v>1850</v>
      </c>
      <c r="D942" s="226" t="s">
        <v>220</v>
      </c>
      <c r="E942" s="226" t="s">
        <v>2142</v>
      </c>
      <c r="F942" s="227" t="s">
        <v>82</v>
      </c>
      <c r="G942" s="228" t="s">
        <v>81</v>
      </c>
      <c r="H942" s="228"/>
      <c r="I942" s="223">
        <v>10</v>
      </c>
      <c r="J942" s="229">
        <v>0</v>
      </c>
      <c r="K942" s="229">
        <v>65535</v>
      </c>
      <c r="L942" s="229" t="s">
        <v>387</v>
      </c>
      <c r="M942" s="229" t="s">
        <v>263</v>
      </c>
      <c r="N942" s="230" t="str">
        <f>IF(ISERROR(MATCH(A942,MemMap!$A$4:$A$98,0)) = FALSE, INDEX(MemMap!$B$4:$B$98,MATCH(A942,MemMap!$A$4:$A$98,0)),IF(F942="Y","TunSetCalSeg",IF(G942="Y", "FlashCalSeg", IF(G942="N", "FlashAppSeg", ""))))</f>
        <v>FlashCalSeg</v>
      </c>
      <c r="O942" s="220"/>
      <c r="P942" s="221"/>
      <c r="Q942" s="221"/>
      <c r="R942" s="221"/>
    </row>
    <row r="943" spans="1:18" x14ac:dyDescent="0.2">
      <c r="A943" s="224" t="s">
        <v>3220</v>
      </c>
      <c r="B943" s="225"/>
      <c r="C943" s="226" t="s">
        <v>1850</v>
      </c>
      <c r="D943" s="226" t="s">
        <v>220</v>
      </c>
      <c r="E943" s="226" t="s">
        <v>3239</v>
      </c>
      <c r="F943" s="227" t="s">
        <v>82</v>
      </c>
      <c r="G943" s="228" t="s">
        <v>81</v>
      </c>
      <c r="H943" s="228"/>
      <c r="I943" s="223">
        <v>2</v>
      </c>
      <c r="J943" s="229">
        <v>0</v>
      </c>
      <c r="K943" s="229">
        <v>65535</v>
      </c>
      <c r="L943" s="229" t="s">
        <v>1541</v>
      </c>
      <c r="M943" s="229" t="s">
        <v>263</v>
      </c>
      <c r="N943" s="230" t="str">
        <f>IF(ISERROR(MATCH(A943,MemMap!$A$4:$A$98,0)) = FALSE, INDEX(MemMap!$B$4:$B$98,MATCH(A943,MemMap!$A$4:$A$98,0)),IF(F943="Y","TunSetCalSeg",IF(G943="Y", "FlashCalSeg", IF(G943="N", "FlashAppSeg", ""))))</f>
        <v>FlashCalSeg</v>
      </c>
      <c r="O943" s="220"/>
      <c r="P943" s="221"/>
      <c r="Q943" s="221"/>
      <c r="R943" s="221"/>
    </row>
    <row r="944" spans="1:18" x14ac:dyDescent="0.2">
      <c r="A944" s="224" t="s">
        <v>3235</v>
      </c>
      <c r="B944" s="225"/>
      <c r="C944" s="226" t="s">
        <v>1850</v>
      </c>
      <c r="D944" s="226" t="s">
        <v>220</v>
      </c>
      <c r="E944" s="226" t="s">
        <v>3238</v>
      </c>
      <c r="F944" s="227" t="s">
        <v>82</v>
      </c>
      <c r="G944" s="228" t="s">
        <v>81</v>
      </c>
      <c r="H944" s="228"/>
      <c r="I944" s="223">
        <v>5</v>
      </c>
      <c r="J944" s="229">
        <v>0</v>
      </c>
      <c r="K944" s="229">
        <v>65535</v>
      </c>
      <c r="L944" s="229" t="s">
        <v>1541</v>
      </c>
      <c r="M944" s="229" t="s">
        <v>263</v>
      </c>
      <c r="N944" s="230" t="str">
        <f>IF(ISERROR(MATCH(A944,MemMap!$A$4:$A$98,0)) = FALSE, INDEX(MemMap!$B$4:$B$98,MATCH(A944,MemMap!$A$4:$A$98,0)),IF(F944="Y","TunSetCalSeg",IF(G944="Y", "FlashCalSeg", IF(G944="N", "FlashAppSeg", ""))))</f>
        <v>FlashCalSeg</v>
      </c>
      <c r="O944" s="220"/>
      <c r="P944" s="221"/>
      <c r="Q944" s="221"/>
      <c r="R944" s="221"/>
    </row>
    <row r="945" spans="1:18" x14ac:dyDescent="0.2">
      <c r="A945" s="224" t="s">
        <v>3221</v>
      </c>
      <c r="B945" s="225"/>
      <c r="C945" s="226" t="s">
        <v>1850</v>
      </c>
      <c r="D945" s="226" t="s">
        <v>220</v>
      </c>
      <c r="E945" s="226" t="s">
        <v>3238</v>
      </c>
      <c r="F945" s="227" t="s">
        <v>82</v>
      </c>
      <c r="G945" s="228" t="s">
        <v>81</v>
      </c>
      <c r="H945" s="228"/>
      <c r="I945" s="223">
        <v>10</v>
      </c>
      <c r="J945" s="229">
        <v>0</v>
      </c>
      <c r="K945" s="229">
        <v>65535</v>
      </c>
      <c r="L945" s="229" t="s">
        <v>1541</v>
      </c>
      <c r="M945" s="229" t="s">
        <v>263</v>
      </c>
      <c r="N945" s="230" t="str">
        <f>IF(ISERROR(MATCH(A945,MemMap!$A$4:$A$98,0)) = FALSE, INDEX(MemMap!$B$4:$B$98,MATCH(A945,MemMap!$A$4:$A$98,0)),IF(F945="Y","TunSetCalSeg",IF(G945="Y", "FlashCalSeg", IF(G945="N", "FlashAppSeg", ""))))</f>
        <v>FlashCalSeg</v>
      </c>
      <c r="O945" s="220"/>
      <c r="P945" s="221"/>
      <c r="Q945" s="221"/>
      <c r="R945" s="221"/>
    </row>
    <row r="946" spans="1:18" x14ac:dyDescent="0.2">
      <c r="A946" s="224" t="s">
        <v>3217</v>
      </c>
      <c r="B946" s="225"/>
      <c r="C946" s="226" t="s">
        <v>1850</v>
      </c>
      <c r="D946" s="226" t="s">
        <v>220</v>
      </c>
      <c r="E946" s="226" t="s">
        <v>3240</v>
      </c>
      <c r="F946" s="227" t="s">
        <v>82</v>
      </c>
      <c r="G946" s="228" t="s">
        <v>81</v>
      </c>
      <c r="H946" s="228"/>
      <c r="I946" s="223">
        <v>10</v>
      </c>
      <c r="J946" s="229">
        <v>0</v>
      </c>
      <c r="K946" s="229">
        <v>65535</v>
      </c>
      <c r="L946" s="229" t="s">
        <v>1541</v>
      </c>
      <c r="M946" s="229" t="s">
        <v>263</v>
      </c>
      <c r="N946" s="230" t="str">
        <f>IF(ISERROR(MATCH(A946,MemMap!$A$4:$A$98,0)) = FALSE, INDEX(MemMap!$B$4:$B$98,MATCH(A946,MemMap!$A$4:$A$98,0)),IF(F946="Y","TunSetCalSeg",IF(G946="Y", "FlashCalSeg", IF(G946="N", "FlashAppSeg", ""))))</f>
        <v>FlashCalSeg</v>
      </c>
      <c r="O946" s="220"/>
      <c r="P946" s="221"/>
      <c r="Q946" s="221"/>
      <c r="R946" s="221"/>
    </row>
    <row r="947" spans="1:18" x14ac:dyDescent="0.2">
      <c r="A947" s="224" t="s">
        <v>2181</v>
      </c>
      <c r="B947" s="225"/>
      <c r="C947" s="226" t="s">
        <v>1850</v>
      </c>
      <c r="D947" s="226" t="s">
        <v>220</v>
      </c>
      <c r="E947" s="226" t="s">
        <v>2180</v>
      </c>
      <c r="F947" s="227" t="s">
        <v>82</v>
      </c>
      <c r="G947" s="228" t="s">
        <v>81</v>
      </c>
      <c r="H947" s="228"/>
      <c r="I947" s="223" t="s">
        <v>2182</v>
      </c>
      <c r="J947" s="229"/>
      <c r="K947" s="229"/>
      <c r="L947" s="229"/>
      <c r="M947" s="229" t="s">
        <v>565</v>
      </c>
      <c r="N947" s="230" t="str">
        <f>IF(ISERROR(MATCH(A947,MemMap!$A$4:$A$98,0)) = FALSE, INDEX(MemMap!$B$4:$B$98,MATCH(A947,MemMap!$A$4:$A$98,0)),IF(F947="Y","TunSetCalSeg",IF(G947="Y", "FlashCalSeg", IF(G947="N", "FlashAppSeg", ""))))</f>
        <v>FlashCalSeg</v>
      </c>
      <c r="O947" s="220"/>
      <c r="P947" s="221"/>
      <c r="Q947" s="221"/>
      <c r="R947" s="221"/>
    </row>
    <row r="948" spans="1:18" x14ac:dyDescent="0.2">
      <c r="A948" s="224" t="s">
        <v>2179</v>
      </c>
      <c r="B948" s="225"/>
      <c r="C948" s="226" t="s">
        <v>1850</v>
      </c>
      <c r="D948" s="226" t="s">
        <v>220</v>
      </c>
      <c r="E948" s="226" t="s">
        <v>2180</v>
      </c>
      <c r="F948" s="227" t="s">
        <v>82</v>
      </c>
      <c r="G948" s="228" t="s">
        <v>81</v>
      </c>
      <c r="H948" s="228"/>
      <c r="I948" s="223">
        <v>300</v>
      </c>
      <c r="J948" s="229">
        <v>0</v>
      </c>
      <c r="K948" s="229">
        <v>65535</v>
      </c>
      <c r="L948" s="229" t="s">
        <v>269</v>
      </c>
      <c r="M948" s="229" t="s">
        <v>263</v>
      </c>
      <c r="N948" s="230" t="str">
        <f>IF(ISERROR(MATCH(A948,MemMap!$A$4:$A$98,0)) = FALSE, INDEX(MemMap!$B$4:$B$98,MATCH(A948,MemMap!$A$4:$A$98,0)),IF(F948="Y","TunSetCalSeg",IF(G948="Y", "FlashCalSeg", IF(G948="N", "FlashAppSeg", ""))))</f>
        <v>FlashCalSeg</v>
      </c>
      <c r="O948" s="220"/>
      <c r="P948" s="221"/>
      <c r="Q948" s="221"/>
      <c r="R948" s="221"/>
    </row>
    <row r="949" spans="1:18" x14ac:dyDescent="0.2">
      <c r="A949" s="224" t="s">
        <v>2151</v>
      </c>
      <c r="B949" s="225"/>
      <c r="C949" s="226" t="s">
        <v>1850</v>
      </c>
      <c r="D949" s="226" t="s">
        <v>220</v>
      </c>
      <c r="E949" s="226" t="s">
        <v>2131</v>
      </c>
      <c r="F949" s="227" t="s">
        <v>82</v>
      </c>
      <c r="G949" s="228" t="s">
        <v>81</v>
      </c>
      <c r="H949" s="228"/>
      <c r="I949" s="223">
        <v>5</v>
      </c>
      <c r="J949" s="229">
        <v>0</v>
      </c>
      <c r="K949" s="229">
        <v>65535</v>
      </c>
      <c r="L949" s="229" t="s">
        <v>387</v>
      </c>
      <c r="M949" s="229" t="s">
        <v>263</v>
      </c>
      <c r="N949" s="230" t="str">
        <f>IF(ISERROR(MATCH(A949,MemMap!$A$4:$A$98,0)) = FALSE, INDEX(MemMap!$B$4:$B$98,MATCH(A949,MemMap!$A$4:$A$98,0)),IF(F949="Y","TunSetCalSeg",IF(G949="Y", "FlashCalSeg", IF(G949="N", "FlashAppSeg", ""))))</f>
        <v>FlashCalSeg</v>
      </c>
      <c r="O949" s="220"/>
      <c r="P949" s="221"/>
      <c r="Q949" s="221"/>
      <c r="R949" s="221"/>
    </row>
    <row r="950" spans="1:18" x14ac:dyDescent="0.2">
      <c r="A950" s="224" t="s">
        <v>2152</v>
      </c>
      <c r="B950" s="225"/>
      <c r="C950" s="226" t="s">
        <v>1850</v>
      </c>
      <c r="D950" s="226" t="s">
        <v>220</v>
      </c>
      <c r="E950" s="226" t="s">
        <v>2131</v>
      </c>
      <c r="F950" s="227" t="s">
        <v>82</v>
      </c>
      <c r="G950" s="228" t="s">
        <v>81</v>
      </c>
      <c r="H950" s="228"/>
      <c r="I950" s="223">
        <v>10</v>
      </c>
      <c r="J950" s="229">
        <v>0</v>
      </c>
      <c r="K950" s="229">
        <v>65535</v>
      </c>
      <c r="L950" s="229" t="s">
        <v>387</v>
      </c>
      <c r="M950" s="229" t="s">
        <v>263</v>
      </c>
      <c r="N950" s="230" t="str">
        <f>IF(ISERROR(MATCH(A950,MemMap!$A$4:$A$98,0)) = FALSE, INDEX(MemMap!$B$4:$B$98,MATCH(A950,MemMap!$A$4:$A$98,0)),IF(F950="Y","TunSetCalSeg",IF(G950="Y", "FlashCalSeg", IF(G950="N", "FlashAppSeg", ""))))</f>
        <v>FlashCalSeg</v>
      </c>
      <c r="O950" s="220"/>
      <c r="P950" s="221"/>
      <c r="Q950" s="221"/>
      <c r="R950" s="221"/>
    </row>
    <row r="951" spans="1:18" x14ac:dyDescent="0.2">
      <c r="A951" s="224" t="s">
        <v>2498</v>
      </c>
      <c r="B951" s="225"/>
      <c r="C951" s="226" t="s">
        <v>1850</v>
      </c>
      <c r="D951" s="226" t="s">
        <v>220</v>
      </c>
      <c r="E951" s="226" t="s">
        <v>2132</v>
      </c>
      <c r="F951" s="227" t="s">
        <v>82</v>
      </c>
      <c r="G951" s="228" t="s">
        <v>81</v>
      </c>
      <c r="H951" s="228"/>
      <c r="I951" s="223">
        <v>10</v>
      </c>
      <c r="J951" s="229">
        <v>0</v>
      </c>
      <c r="K951" s="229">
        <v>65535</v>
      </c>
      <c r="L951" s="229" t="s">
        <v>387</v>
      </c>
      <c r="M951" s="229" t="s">
        <v>263</v>
      </c>
      <c r="N951" s="230" t="str">
        <f>IF(ISERROR(MATCH(A951,MemMap!$A$4:$A$98,0)) = FALSE, INDEX(MemMap!$B$4:$B$98,MATCH(A951,MemMap!$A$4:$A$98,0)),IF(F951="Y","TunSetCalSeg",IF(G951="Y", "FlashCalSeg", IF(G951="N", "FlashAppSeg", ""))))</f>
        <v>FlashCalSeg</v>
      </c>
      <c r="O951" s="220"/>
      <c r="P951" s="221"/>
      <c r="Q951" s="221"/>
      <c r="R951" s="221"/>
    </row>
    <row r="952" spans="1:18" x14ac:dyDescent="0.2">
      <c r="A952" s="224" t="s">
        <v>2597</v>
      </c>
      <c r="B952" s="225"/>
      <c r="C952" s="226" t="s">
        <v>1850</v>
      </c>
      <c r="D952" s="226" t="s">
        <v>220</v>
      </c>
      <c r="E952" s="226" t="s">
        <v>2598</v>
      </c>
      <c r="F952" s="227" t="s">
        <v>82</v>
      </c>
      <c r="G952" s="228" t="s">
        <v>81</v>
      </c>
      <c r="H952" s="228"/>
      <c r="I952" s="223">
        <v>20</v>
      </c>
      <c r="J952" s="229">
        <v>0</v>
      </c>
      <c r="K952" s="229">
        <v>65535</v>
      </c>
      <c r="L952" s="229" t="s">
        <v>1541</v>
      </c>
      <c r="M952" s="229" t="s">
        <v>263</v>
      </c>
      <c r="N952" s="230" t="str">
        <f>IF(ISERROR(MATCH(A952,MemMap!$A$4:$A$98,0)) = FALSE, INDEX(MemMap!$B$4:$B$98,MATCH(A952,MemMap!$A$4:$A$98,0)),IF(F952="Y","TunSetCalSeg",IF(G952="Y", "FlashCalSeg", IF(G952="N", "FlashAppSeg", ""))))</f>
        <v>FlashCalSeg</v>
      </c>
      <c r="O952" s="220"/>
      <c r="P952" s="221"/>
      <c r="Q952" s="221"/>
      <c r="R952" s="221"/>
    </row>
    <row r="953" spans="1:18" x14ac:dyDescent="0.2">
      <c r="A953" s="224" t="s">
        <v>2599</v>
      </c>
      <c r="B953" s="225"/>
      <c r="C953" s="226" t="s">
        <v>1850</v>
      </c>
      <c r="D953" s="226" t="s">
        <v>220</v>
      </c>
      <c r="E953" s="226" t="s">
        <v>2598</v>
      </c>
      <c r="F953" s="227" t="s">
        <v>82</v>
      </c>
      <c r="G953" s="228" t="s">
        <v>81</v>
      </c>
      <c r="H953" s="228"/>
      <c r="I953" s="223">
        <v>10</v>
      </c>
      <c r="J953" s="229">
        <v>0</v>
      </c>
      <c r="K953" s="229">
        <v>65535</v>
      </c>
      <c r="L953" s="229" t="s">
        <v>1541</v>
      </c>
      <c r="M953" s="229" t="s">
        <v>263</v>
      </c>
      <c r="N953" s="230" t="str">
        <f>IF(ISERROR(MATCH(A953,MemMap!$A$4:$A$98,0)) = FALSE, INDEX(MemMap!$B$4:$B$98,MATCH(A953,MemMap!$A$4:$A$98,0)),IF(F953="Y","TunSetCalSeg",IF(G953="Y", "FlashCalSeg", IF(G953="N", "FlashAppSeg", ""))))</f>
        <v>FlashCalSeg</v>
      </c>
      <c r="O953" s="220"/>
      <c r="P953" s="221"/>
      <c r="Q953" s="221"/>
      <c r="R953" s="221"/>
    </row>
    <row r="954" spans="1:18" x14ac:dyDescent="0.2">
      <c r="A954" s="224" t="s">
        <v>2600</v>
      </c>
      <c r="B954" s="225"/>
      <c r="C954" s="226" t="s">
        <v>1850</v>
      </c>
      <c r="D954" s="226" t="s">
        <v>220</v>
      </c>
      <c r="E954" s="226" t="s">
        <v>2601</v>
      </c>
      <c r="F954" s="227" t="s">
        <v>82</v>
      </c>
      <c r="G954" s="228" t="s">
        <v>81</v>
      </c>
      <c r="H954" s="228"/>
      <c r="I954" s="223">
        <v>10</v>
      </c>
      <c r="J954" s="229">
        <v>0</v>
      </c>
      <c r="K954" s="229">
        <v>65535</v>
      </c>
      <c r="L954" s="229" t="s">
        <v>1541</v>
      </c>
      <c r="M954" s="229" t="s">
        <v>263</v>
      </c>
      <c r="N954" s="230" t="str">
        <f>IF(ISERROR(MATCH(A954,MemMap!$A$4:$A$98,0)) = FALSE, INDEX(MemMap!$B$4:$B$98,MATCH(A954,MemMap!$A$4:$A$98,0)),IF(F954="Y","TunSetCalSeg",IF(G954="Y", "FlashCalSeg", IF(G954="N", "FlashAppSeg", ""))))</f>
        <v>FlashCalSeg</v>
      </c>
      <c r="O954" s="220"/>
      <c r="P954" s="221"/>
      <c r="Q954" s="221"/>
      <c r="R954" s="221"/>
    </row>
    <row r="955" spans="1:18" x14ac:dyDescent="0.2">
      <c r="A955" s="224" t="s">
        <v>2331</v>
      </c>
      <c r="B955" s="225"/>
      <c r="C955" s="226" t="s">
        <v>1850</v>
      </c>
      <c r="D955" s="226" t="s">
        <v>220</v>
      </c>
      <c r="E955" s="226" t="s">
        <v>2332</v>
      </c>
      <c r="F955" s="227" t="s">
        <v>82</v>
      </c>
      <c r="G955" s="228" t="s">
        <v>81</v>
      </c>
      <c r="H955" s="228"/>
      <c r="I955" s="223">
        <v>10</v>
      </c>
      <c r="J955" s="229">
        <v>0</v>
      </c>
      <c r="K955" s="229">
        <v>65535</v>
      </c>
      <c r="L955" s="229" t="s">
        <v>387</v>
      </c>
      <c r="M955" s="229" t="s">
        <v>263</v>
      </c>
      <c r="N955" s="230" t="str">
        <f>IF(ISERROR(MATCH(A955,MemMap!$A$4:$A$98,0)) = FALSE, INDEX(MemMap!$B$4:$B$98,MATCH(A955,MemMap!$A$4:$A$98,0)),IF(F955="Y","TunSetCalSeg",IF(G955="Y", "FlashCalSeg", IF(G955="N", "FlashAppSeg", ""))))</f>
        <v>FlashCalSeg</v>
      </c>
      <c r="O955" s="220"/>
      <c r="P955" s="221"/>
      <c r="Q955" s="221"/>
      <c r="R955" s="221"/>
    </row>
    <row r="956" spans="1:18" x14ac:dyDescent="0.2">
      <c r="A956" s="224" t="s">
        <v>2333</v>
      </c>
      <c r="B956" s="225"/>
      <c r="C956" s="226" t="s">
        <v>1850</v>
      </c>
      <c r="D956" s="226" t="s">
        <v>220</v>
      </c>
      <c r="E956" s="226" t="s">
        <v>2332</v>
      </c>
      <c r="F956" s="227" t="s">
        <v>82</v>
      </c>
      <c r="G956" s="228" t="s">
        <v>81</v>
      </c>
      <c r="H956" s="228"/>
      <c r="I956" s="223">
        <v>10</v>
      </c>
      <c r="J956" s="229">
        <v>0</v>
      </c>
      <c r="K956" s="229">
        <v>65535</v>
      </c>
      <c r="L956" s="229" t="s">
        <v>387</v>
      </c>
      <c r="M956" s="229" t="s">
        <v>263</v>
      </c>
      <c r="N956" s="230" t="str">
        <f>IF(ISERROR(MATCH(A956,MemMap!$A$4:$A$98,0)) = FALSE, INDEX(MemMap!$B$4:$B$98,MATCH(A956,MemMap!$A$4:$A$98,0)),IF(F956="Y","TunSetCalSeg",IF(G956="Y", "FlashCalSeg", IF(G956="N", "FlashAppSeg", ""))))</f>
        <v>FlashCalSeg</v>
      </c>
      <c r="O956" s="220"/>
      <c r="P956" s="221"/>
      <c r="Q956" s="221"/>
      <c r="R956" s="221"/>
    </row>
    <row r="957" spans="1:18" x14ac:dyDescent="0.2">
      <c r="A957" s="224" t="s">
        <v>2334</v>
      </c>
      <c r="B957" s="225"/>
      <c r="C957" s="226" t="s">
        <v>1850</v>
      </c>
      <c r="D957" s="226" t="s">
        <v>220</v>
      </c>
      <c r="E957" s="226" t="s">
        <v>2335</v>
      </c>
      <c r="F957" s="227" t="s">
        <v>82</v>
      </c>
      <c r="G957" s="228" t="s">
        <v>81</v>
      </c>
      <c r="H957" s="228"/>
      <c r="I957" s="223">
        <v>10</v>
      </c>
      <c r="J957" s="229">
        <v>0</v>
      </c>
      <c r="K957" s="229">
        <v>65535</v>
      </c>
      <c r="L957" s="229" t="s">
        <v>387</v>
      </c>
      <c r="M957" s="229" t="s">
        <v>263</v>
      </c>
      <c r="N957" s="230" t="str">
        <f>IF(ISERROR(MATCH(A957,MemMap!$A$4:$A$98,0)) = FALSE, INDEX(MemMap!$B$4:$B$98,MATCH(A957,MemMap!$A$4:$A$98,0)),IF(F957="Y","TunSetCalSeg",IF(G957="Y", "FlashCalSeg", IF(G957="N", "FlashAppSeg", ""))))</f>
        <v>FlashCalSeg</v>
      </c>
      <c r="O957" s="220"/>
      <c r="P957" s="221"/>
      <c r="Q957" s="221"/>
      <c r="R957" s="221"/>
    </row>
    <row r="958" spans="1:18" x14ac:dyDescent="0.2">
      <c r="A958" s="224" t="s">
        <v>2336</v>
      </c>
      <c r="B958" s="225"/>
      <c r="C958" s="226" t="s">
        <v>1850</v>
      </c>
      <c r="D958" s="226" t="s">
        <v>220</v>
      </c>
      <c r="E958" s="226" t="s">
        <v>2335</v>
      </c>
      <c r="F958" s="227" t="s">
        <v>82</v>
      </c>
      <c r="G958" s="228" t="s">
        <v>81</v>
      </c>
      <c r="H958" s="228"/>
      <c r="I958" s="223">
        <v>10</v>
      </c>
      <c r="J958" s="229">
        <v>0</v>
      </c>
      <c r="K958" s="229">
        <v>65535</v>
      </c>
      <c r="L958" s="229" t="s">
        <v>387</v>
      </c>
      <c r="M958" s="229" t="s">
        <v>263</v>
      </c>
      <c r="N958" s="230" t="str">
        <f>IF(ISERROR(MATCH(A958,MemMap!$A$4:$A$98,0)) = FALSE, INDEX(MemMap!$B$4:$B$98,MATCH(A958,MemMap!$A$4:$A$98,0)),IF(F958="Y","TunSetCalSeg",IF(G958="Y", "FlashCalSeg", IF(G958="N", "FlashAppSeg", ""))))</f>
        <v>FlashCalSeg</v>
      </c>
      <c r="O958" s="220"/>
      <c r="P958" s="221"/>
      <c r="Q958" s="221"/>
      <c r="R958" s="221"/>
    </row>
    <row r="959" spans="1:18" x14ac:dyDescent="0.2">
      <c r="A959" s="224" t="s">
        <v>2326</v>
      </c>
      <c r="B959" s="225"/>
      <c r="C959" s="226" t="s">
        <v>1850</v>
      </c>
      <c r="D959" s="226" t="s">
        <v>220</v>
      </c>
      <c r="E959" s="226" t="s">
        <v>2327</v>
      </c>
      <c r="F959" s="227" t="s">
        <v>82</v>
      </c>
      <c r="G959" s="228" t="s">
        <v>81</v>
      </c>
      <c r="H959" s="228"/>
      <c r="I959" s="223">
        <v>10</v>
      </c>
      <c r="J959" s="229">
        <v>0</v>
      </c>
      <c r="K959" s="229">
        <v>65535</v>
      </c>
      <c r="L959" s="229" t="s">
        <v>387</v>
      </c>
      <c r="M959" s="229" t="s">
        <v>263</v>
      </c>
      <c r="N959" s="230" t="str">
        <f>IF(ISERROR(MATCH(A959,MemMap!$A$4:$A$98,0)) = FALSE, INDEX(MemMap!$B$4:$B$98,MATCH(A959,MemMap!$A$4:$A$98,0)),IF(F959="Y","TunSetCalSeg",IF(G959="Y", "FlashCalSeg", IF(G959="N", "FlashAppSeg", ""))))</f>
        <v>FlashCalSeg</v>
      </c>
      <c r="O959" s="220"/>
      <c r="P959" s="221"/>
      <c r="Q959" s="221"/>
      <c r="R959" s="221"/>
    </row>
    <row r="960" spans="1:18" x14ac:dyDescent="0.2">
      <c r="A960" s="224" t="s">
        <v>2328</v>
      </c>
      <c r="B960" s="225"/>
      <c r="C960" s="226" t="s">
        <v>1850</v>
      </c>
      <c r="D960" s="226" t="s">
        <v>220</v>
      </c>
      <c r="E960" s="226" t="s">
        <v>2327</v>
      </c>
      <c r="F960" s="227" t="s">
        <v>82</v>
      </c>
      <c r="G960" s="228" t="s">
        <v>81</v>
      </c>
      <c r="H960" s="228"/>
      <c r="I960" s="223">
        <v>10</v>
      </c>
      <c r="J960" s="229">
        <v>0</v>
      </c>
      <c r="K960" s="229">
        <v>65535</v>
      </c>
      <c r="L960" s="229" t="s">
        <v>387</v>
      </c>
      <c r="M960" s="229" t="s">
        <v>263</v>
      </c>
      <c r="N960" s="230" t="str">
        <f>IF(ISERROR(MATCH(A960,MemMap!$A$4:$A$98,0)) = FALSE, INDEX(MemMap!$B$4:$B$98,MATCH(A960,MemMap!$A$4:$A$98,0)),IF(F960="Y","TunSetCalSeg",IF(G960="Y", "FlashCalSeg", IF(G960="N", "FlashAppSeg", ""))))</f>
        <v>FlashCalSeg</v>
      </c>
      <c r="O960" s="220"/>
      <c r="P960" s="221"/>
      <c r="Q960" s="221"/>
      <c r="R960" s="221"/>
    </row>
    <row r="961" spans="1:18" x14ac:dyDescent="0.2">
      <c r="A961" s="224" t="s">
        <v>2502</v>
      </c>
      <c r="B961" s="225"/>
      <c r="C961" s="226" t="s">
        <v>1850</v>
      </c>
      <c r="D961" s="226" t="s">
        <v>220</v>
      </c>
      <c r="E961" s="226" t="s">
        <v>2330</v>
      </c>
      <c r="F961" s="227" t="s">
        <v>82</v>
      </c>
      <c r="G961" s="228" t="s">
        <v>81</v>
      </c>
      <c r="H961" s="228"/>
      <c r="I961" s="223">
        <v>10</v>
      </c>
      <c r="J961" s="229">
        <v>0</v>
      </c>
      <c r="K961" s="229">
        <v>65535</v>
      </c>
      <c r="L961" s="229" t="s">
        <v>387</v>
      </c>
      <c r="M961" s="229" t="s">
        <v>263</v>
      </c>
      <c r="N961" s="230" t="str">
        <f>IF(ISERROR(MATCH(A961,MemMap!$A$4:$A$98,0)) = FALSE, INDEX(MemMap!$B$4:$B$98,MATCH(A961,MemMap!$A$4:$A$98,0)),IF(F961="Y","TunSetCalSeg",IF(G961="Y", "FlashCalSeg", IF(G961="N", "FlashAppSeg", ""))))</f>
        <v>FlashCalSeg</v>
      </c>
      <c r="O961" s="220"/>
      <c r="P961" s="221"/>
      <c r="Q961" s="221"/>
      <c r="R961" s="221"/>
    </row>
    <row r="962" spans="1:18" x14ac:dyDescent="0.2">
      <c r="A962" s="224" t="s">
        <v>2157</v>
      </c>
      <c r="B962" s="225"/>
      <c r="C962" s="226" t="s">
        <v>1850</v>
      </c>
      <c r="D962" s="226" t="s">
        <v>220</v>
      </c>
      <c r="E962" s="226" t="s">
        <v>2137</v>
      </c>
      <c r="F962" s="227" t="s">
        <v>82</v>
      </c>
      <c r="G962" s="228" t="s">
        <v>81</v>
      </c>
      <c r="H962" s="228"/>
      <c r="I962" s="223">
        <v>5</v>
      </c>
      <c r="J962" s="229">
        <v>0</v>
      </c>
      <c r="K962" s="229">
        <v>65535</v>
      </c>
      <c r="L962" s="229" t="s">
        <v>387</v>
      </c>
      <c r="M962" s="229" t="s">
        <v>263</v>
      </c>
      <c r="N962" s="230" t="str">
        <f>IF(ISERROR(MATCH(A962,MemMap!$A$4:$A$98,0)) = FALSE, INDEX(MemMap!$B$4:$B$98,MATCH(A962,MemMap!$A$4:$A$98,0)),IF(F962="Y","TunSetCalSeg",IF(G962="Y", "FlashCalSeg", IF(G962="N", "FlashAppSeg", ""))))</f>
        <v>FlashCalSeg</v>
      </c>
      <c r="O962" s="220"/>
      <c r="P962" s="221"/>
      <c r="Q962" s="221"/>
      <c r="R962" s="221"/>
    </row>
    <row r="963" spans="1:18" x14ac:dyDescent="0.2">
      <c r="A963" s="224" t="s">
        <v>2158</v>
      </c>
      <c r="B963" s="225"/>
      <c r="C963" s="226" t="s">
        <v>1850</v>
      </c>
      <c r="D963" s="226" t="s">
        <v>220</v>
      </c>
      <c r="E963" s="226" t="s">
        <v>2137</v>
      </c>
      <c r="F963" s="227" t="s">
        <v>82</v>
      </c>
      <c r="G963" s="228" t="s">
        <v>81</v>
      </c>
      <c r="H963" s="228"/>
      <c r="I963" s="223">
        <v>10</v>
      </c>
      <c r="J963" s="229">
        <v>0</v>
      </c>
      <c r="K963" s="229">
        <v>65535</v>
      </c>
      <c r="L963" s="229" t="s">
        <v>387</v>
      </c>
      <c r="M963" s="229" t="s">
        <v>263</v>
      </c>
      <c r="N963" s="230" t="str">
        <f>IF(ISERROR(MATCH(A963,MemMap!$A$4:$A$98,0)) = FALSE, INDEX(MemMap!$B$4:$B$98,MATCH(A963,MemMap!$A$4:$A$98,0)),IF(F963="Y","TunSetCalSeg",IF(G963="Y", "FlashCalSeg", IF(G963="N", "FlashAppSeg", ""))))</f>
        <v>FlashCalSeg</v>
      </c>
      <c r="O963" s="220"/>
      <c r="P963" s="221"/>
      <c r="Q963" s="221"/>
      <c r="R963" s="221"/>
    </row>
    <row r="964" spans="1:18" x14ac:dyDescent="0.2">
      <c r="A964" s="224" t="s">
        <v>2159</v>
      </c>
      <c r="B964" s="225"/>
      <c r="C964" s="226" t="s">
        <v>1850</v>
      </c>
      <c r="D964" s="226" t="s">
        <v>220</v>
      </c>
      <c r="E964" s="226" t="s">
        <v>2138</v>
      </c>
      <c r="F964" s="227" t="s">
        <v>82</v>
      </c>
      <c r="G964" s="228" t="s">
        <v>81</v>
      </c>
      <c r="H964" s="228"/>
      <c r="I964" s="223">
        <v>5</v>
      </c>
      <c r="J964" s="229">
        <v>0</v>
      </c>
      <c r="K964" s="229">
        <v>65535</v>
      </c>
      <c r="L964" s="229" t="s">
        <v>387</v>
      </c>
      <c r="M964" s="229" t="s">
        <v>263</v>
      </c>
      <c r="N964" s="230" t="str">
        <f>IF(ISERROR(MATCH(A964,MemMap!$A$4:$A$98,0)) = FALSE, INDEX(MemMap!$B$4:$B$98,MATCH(A964,MemMap!$A$4:$A$98,0)),IF(F964="Y","TunSetCalSeg",IF(G964="Y", "FlashCalSeg", IF(G964="N", "FlashAppSeg", ""))))</f>
        <v>FlashCalSeg</v>
      </c>
      <c r="O964" s="220"/>
      <c r="P964" s="221"/>
      <c r="Q964" s="221"/>
      <c r="R964" s="221"/>
    </row>
    <row r="965" spans="1:18" x14ac:dyDescent="0.2">
      <c r="A965" s="224" t="s">
        <v>2160</v>
      </c>
      <c r="B965" s="225"/>
      <c r="C965" s="226" t="s">
        <v>1850</v>
      </c>
      <c r="D965" s="226" t="s">
        <v>220</v>
      </c>
      <c r="E965" s="226" t="s">
        <v>2138</v>
      </c>
      <c r="F965" s="227" t="s">
        <v>82</v>
      </c>
      <c r="G965" s="228" t="s">
        <v>81</v>
      </c>
      <c r="H965" s="228"/>
      <c r="I965" s="223">
        <v>10</v>
      </c>
      <c r="J965" s="229">
        <v>0</v>
      </c>
      <c r="K965" s="229">
        <v>65535</v>
      </c>
      <c r="L965" s="229" t="s">
        <v>387</v>
      </c>
      <c r="M965" s="229" t="s">
        <v>263</v>
      </c>
      <c r="N965" s="230" t="str">
        <f>IF(ISERROR(MATCH(A965,MemMap!$A$4:$A$98,0)) = FALSE, INDEX(MemMap!$B$4:$B$98,MATCH(A965,MemMap!$A$4:$A$98,0)),IF(F965="Y","TunSetCalSeg",IF(G965="Y", "FlashCalSeg", IF(G965="N", "FlashAppSeg", ""))))</f>
        <v>FlashCalSeg</v>
      </c>
      <c r="O965" s="220"/>
      <c r="P965" s="221"/>
      <c r="Q965" s="221"/>
      <c r="R965" s="221"/>
    </row>
    <row r="966" spans="1:18" x14ac:dyDescent="0.2">
      <c r="A966" s="224" t="s">
        <v>2155</v>
      </c>
      <c r="B966" s="225"/>
      <c r="C966" s="226" t="s">
        <v>1850</v>
      </c>
      <c r="D966" s="226" t="s">
        <v>220</v>
      </c>
      <c r="E966" s="226" t="s">
        <v>2135</v>
      </c>
      <c r="F966" s="227" t="s">
        <v>82</v>
      </c>
      <c r="G966" s="228" t="s">
        <v>81</v>
      </c>
      <c r="H966" s="228"/>
      <c r="I966" s="223">
        <v>5</v>
      </c>
      <c r="J966" s="229">
        <v>0</v>
      </c>
      <c r="K966" s="229">
        <v>65535</v>
      </c>
      <c r="L966" s="229" t="s">
        <v>387</v>
      </c>
      <c r="M966" s="229" t="s">
        <v>263</v>
      </c>
      <c r="N966" s="230" t="str">
        <f>IF(ISERROR(MATCH(A966,MemMap!$A$4:$A$98,0)) = FALSE, INDEX(MemMap!$B$4:$B$98,MATCH(A966,MemMap!$A$4:$A$98,0)),IF(F966="Y","TunSetCalSeg",IF(G966="Y", "FlashCalSeg", IF(G966="N", "FlashAppSeg", ""))))</f>
        <v>FlashCalSeg</v>
      </c>
      <c r="O966" s="220"/>
      <c r="P966" s="221"/>
      <c r="Q966" s="221"/>
      <c r="R966" s="221"/>
    </row>
    <row r="967" spans="1:18" x14ac:dyDescent="0.2">
      <c r="A967" s="224" t="s">
        <v>2156</v>
      </c>
      <c r="B967" s="225"/>
      <c r="C967" s="226" t="s">
        <v>1850</v>
      </c>
      <c r="D967" s="226" t="s">
        <v>220</v>
      </c>
      <c r="E967" s="226" t="s">
        <v>2135</v>
      </c>
      <c r="F967" s="227" t="s">
        <v>82</v>
      </c>
      <c r="G967" s="228" t="s">
        <v>81</v>
      </c>
      <c r="H967" s="228"/>
      <c r="I967" s="223">
        <v>10</v>
      </c>
      <c r="J967" s="229">
        <v>0</v>
      </c>
      <c r="K967" s="229">
        <v>65535</v>
      </c>
      <c r="L967" s="229" t="s">
        <v>387</v>
      </c>
      <c r="M967" s="229" t="s">
        <v>263</v>
      </c>
      <c r="N967" s="230" t="str">
        <f>IF(ISERROR(MATCH(A967,MemMap!$A$4:$A$98,0)) = FALSE, INDEX(MemMap!$B$4:$B$98,MATCH(A967,MemMap!$A$4:$A$98,0)),IF(F967="Y","TunSetCalSeg",IF(G967="Y", "FlashCalSeg", IF(G967="N", "FlashAppSeg", ""))))</f>
        <v>FlashCalSeg</v>
      </c>
      <c r="O967" s="220"/>
      <c r="P967" s="221"/>
      <c r="Q967" s="221"/>
      <c r="R967" s="221"/>
    </row>
    <row r="968" spans="1:18" x14ac:dyDescent="0.2">
      <c r="A968" s="224" t="s">
        <v>2499</v>
      </c>
      <c r="B968" s="225"/>
      <c r="C968" s="226" t="s">
        <v>1850</v>
      </c>
      <c r="D968" s="226" t="s">
        <v>220</v>
      </c>
      <c r="E968" s="226" t="s">
        <v>2136</v>
      </c>
      <c r="F968" s="227" t="s">
        <v>82</v>
      </c>
      <c r="G968" s="228" t="s">
        <v>81</v>
      </c>
      <c r="H968" s="228"/>
      <c r="I968" s="223">
        <v>10</v>
      </c>
      <c r="J968" s="229">
        <v>0</v>
      </c>
      <c r="K968" s="229">
        <v>65535</v>
      </c>
      <c r="L968" s="229" t="s">
        <v>387</v>
      </c>
      <c r="M968" s="229" t="s">
        <v>263</v>
      </c>
      <c r="N968" s="230" t="str">
        <f>IF(ISERROR(MATCH(A968,MemMap!$A$4:$A$98,0)) = FALSE, INDEX(MemMap!$B$4:$B$98,MATCH(A968,MemMap!$A$4:$A$98,0)),IF(F968="Y","TunSetCalSeg",IF(G968="Y", "FlashCalSeg", IF(G968="N", "FlashAppSeg", ""))))</f>
        <v>FlashCalSeg</v>
      </c>
      <c r="O968" s="220"/>
      <c r="P968" s="221"/>
      <c r="Q968" s="221"/>
      <c r="R968" s="221"/>
    </row>
    <row r="969" spans="1:18" x14ac:dyDescent="0.2">
      <c r="A969" s="224" t="s">
        <v>2588</v>
      </c>
      <c r="B969" s="225"/>
      <c r="C969" s="226" t="s">
        <v>1850</v>
      </c>
      <c r="D969" s="226" t="s">
        <v>220</v>
      </c>
      <c r="E969" s="226" t="s">
        <v>2589</v>
      </c>
      <c r="F969" s="227" t="s">
        <v>82</v>
      </c>
      <c r="G969" s="228" t="s">
        <v>81</v>
      </c>
      <c r="H969" s="228"/>
      <c r="I969" s="223">
        <v>10</v>
      </c>
      <c r="J969" s="229">
        <v>0</v>
      </c>
      <c r="K969" s="229">
        <v>65535</v>
      </c>
      <c r="L969" s="229" t="s">
        <v>1541</v>
      </c>
      <c r="M969" s="229" t="s">
        <v>263</v>
      </c>
      <c r="N969" s="230" t="str">
        <f>IF(ISERROR(MATCH(A969,MemMap!$A$4:$A$98,0)) = FALSE, INDEX(MemMap!$B$4:$B$98,MATCH(A969,MemMap!$A$4:$A$98,0)),IF(F969="Y","TunSetCalSeg",IF(G969="Y", "FlashCalSeg", IF(G969="N", "FlashAppSeg", ""))))</f>
        <v>FlashCalSeg</v>
      </c>
      <c r="O969" s="220"/>
      <c r="P969" s="221"/>
      <c r="Q969" s="221"/>
      <c r="R969" s="221"/>
    </row>
    <row r="970" spans="1:18" x14ac:dyDescent="0.2">
      <c r="A970" s="224" t="s">
        <v>2590</v>
      </c>
      <c r="B970" s="225"/>
      <c r="C970" s="226" t="s">
        <v>1850</v>
      </c>
      <c r="D970" s="226" t="s">
        <v>220</v>
      </c>
      <c r="E970" s="226" t="s">
        <v>2589</v>
      </c>
      <c r="F970" s="227" t="s">
        <v>82</v>
      </c>
      <c r="G970" s="228" t="s">
        <v>81</v>
      </c>
      <c r="H970" s="228"/>
      <c r="I970" s="223">
        <v>10</v>
      </c>
      <c r="J970" s="229">
        <v>0</v>
      </c>
      <c r="K970" s="229">
        <v>65535</v>
      </c>
      <c r="L970" s="229" t="s">
        <v>1541</v>
      </c>
      <c r="M970" s="229" t="s">
        <v>263</v>
      </c>
      <c r="N970" s="230" t="str">
        <f>IF(ISERROR(MATCH(A970,MemMap!$A$4:$A$98,0)) = FALSE, INDEX(MemMap!$B$4:$B$98,MATCH(A970,MemMap!$A$4:$A$98,0)),IF(F970="Y","TunSetCalSeg",IF(G970="Y", "FlashCalSeg", IF(G970="N", "FlashAppSeg", ""))))</f>
        <v>FlashCalSeg</v>
      </c>
      <c r="O970" s="220"/>
      <c r="P970" s="221"/>
      <c r="Q970" s="221"/>
      <c r="R970" s="221"/>
    </row>
    <row r="971" spans="1:18" x14ac:dyDescent="0.2">
      <c r="A971" s="224" t="s">
        <v>2594</v>
      </c>
      <c r="B971" s="225"/>
      <c r="C971" s="226" t="s">
        <v>1850</v>
      </c>
      <c r="D971" s="226" t="s">
        <v>220</v>
      </c>
      <c r="E971" s="226" t="s">
        <v>2593</v>
      </c>
      <c r="F971" s="227" t="s">
        <v>82</v>
      </c>
      <c r="G971" s="228" t="s">
        <v>81</v>
      </c>
      <c r="H971" s="228"/>
      <c r="I971" s="223">
        <v>10</v>
      </c>
      <c r="J971" s="229">
        <v>0</v>
      </c>
      <c r="K971" s="229">
        <v>65535</v>
      </c>
      <c r="L971" s="229" t="s">
        <v>1541</v>
      </c>
      <c r="M971" s="229" t="s">
        <v>263</v>
      </c>
      <c r="N971" s="230" t="str">
        <f>IF(ISERROR(MATCH(A971,MemMap!$A$4:$A$98,0)) = FALSE, INDEX(MemMap!$B$4:$B$98,MATCH(A971,MemMap!$A$4:$A$98,0)),IF(F971="Y","TunSetCalSeg",IF(G971="Y", "FlashCalSeg", IF(G971="N", "FlashAppSeg", ""))))</f>
        <v>FlashCalSeg</v>
      </c>
      <c r="O971" s="220"/>
      <c r="P971" s="221"/>
      <c r="Q971" s="221"/>
      <c r="R971" s="221"/>
    </row>
    <row r="972" spans="1:18" x14ac:dyDescent="0.2">
      <c r="A972" s="224" t="s">
        <v>2372</v>
      </c>
      <c r="B972" s="225"/>
      <c r="C972" s="226" t="s">
        <v>1850</v>
      </c>
      <c r="D972" s="226" t="s">
        <v>220</v>
      </c>
      <c r="E972" s="226" t="s">
        <v>2129</v>
      </c>
      <c r="F972" s="227" t="s">
        <v>82</v>
      </c>
      <c r="G972" s="228" t="s">
        <v>81</v>
      </c>
      <c r="H972" s="228"/>
      <c r="I972" s="223">
        <v>10</v>
      </c>
      <c r="J972" s="229">
        <v>0</v>
      </c>
      <c r="K972" s="229">
        <v>65535</v>
      </c>
      <c r="L972" s="229" t="s">
        <v>387</v>
      </c>
      <c r="M972" s="229" t="s">
        <v>263</v>
      </c>
      <c r="N972" s="230" t="str">
        <f>IF(ISERROR(MATCH(A972,MemMap!$A$4:$A$98,0)) = FALSE, INDEX(MemMap!$B$4:$B$98,MATCH(A972,MemMap!$A$4:$A$98,0)),IF(F972="Y","TunSetCalSeg",IF(G972="Y", "FlashCalSeg", IF(G972="N", "FlashAppSeg", ""))))</f>
        <v>FlashCalSeg</v>
      </c>
      <c r="O972" s="220"/>
      <c r="P972" s="221"/>
      <c r="Q972" s="221"/>
      <c r="R972" s="221"/>
    </row>
    <row r="973" spans="1:18" x14ac:dyDescent="0.2">
      <c r="A973" s="224" t="s">
        <v>2373</v>
      </c>
      <c r="B973" s="225"/>
      <c r="C973" s="226" t="s">
        <v>1850</v>
      </c>
      <c r="D973" s="226" t="s">
        <v>220</v>
      </c>
      <c r="E973" s="226" t="s">
        <v>2129</v>
      </c>
      <c r="F973" s="227" t="s">
        <v>82</v>
      </c>
      <c r="G973" s="228" t="s">
        <v>81</v>
      </c>
      <c r="H973" s="228"/>
      <c r="I973" s="223">
        <v>10</v>
      </c>
      <c r="J973" s="229">
        <v>0</v>
      </c>
      <c r="K973" s="229">
        <v>65535</v>
      </c>
      <c r="L973" s="229" t="s">
        <v>387</v>
      </c>
      <c r="M973" s="229" t="s">
        <v>263</v>
      </c>
      <c r="N973" s="230" t="str">
        <f>IF(ISERROR(MATCH(A973,MemMap!$A$4:$A$98,0)) = FALSE, INDEX(MemMap!$B$4:$B$98,MATCH(A973,MemMap!$A$4:$A$98,0)),IF(F973="Y","TunSetCalSeg",IF(G973="Y", "FlashCalSeg", IF(G973="N", "FlashAppSeg", ""))))</f>
        <v>FlashCalSeg</v>
      </c>
      <c r="O973" s="220"/>
      <c r="P973" s="221"/>
      <c r="Q973" s="221"/>
      <c r="R973" s="221"/>
    </row>
    <row r="974" spans="1:18" x14ac:dyDescent="0.2">
      <c r="A974" s="224" t="s">
        <v>2497</v>
      </c>
      <c r="B974" s="225"/>
      <c r="C974" s="226" t="s">
        <v>1850</v>
      </c>
      <c r="D974" s="226" t="s">
        <v>220</v>
      </c>
      <c r="E974" s="226" t="s">
        <v>2130</v>
      </c>
      <c r="F974" s="227" t="s">
        <v>82</v>
      </c>
      <c r="G974" s="228" t="s">
        <v>81</v>
      </c>
      <c r="H974" s="228"/>
      <c r="I974" s="223">
        <v>10</v>
      </c>
      <c r="J974" s="229">
        <v>0</v>
      </c>
      <c r="K974" s="229">
        <v>65535</v>
      </c>
      <c r="L974" s="229" t="s">
        <v>387</v>
      </c>
      <c r="M974" s="229" t="s">
        <v>263</v>
      </c>
      <c r="N974" s="230" t="str">
        <f>IF(ISERROR(MATCH(A974,MemMap!$A$4:$A$98,0)) = FALSE, INDEX(MemMap!$B$4:$B$98,MATCH(A974,MemMap!$A$4:$A$98,0)),IF(F974="Y","TunSetCalSeg",IF(G974="Y", "FlashCalSeg", IF(G974="N", "FlashAppSeg", ""))))</f>
        <v>FlashCalSeg</v>
      </c>
      <c r="O974" s="220"/>
      <c r="P974" s="221"/>
      <c r="Q974" s="221"/>
      <c r="R974" s="221"/>
    </row>
    <row r="975" spans="1:18" x14ac:dyDescent="0.2">
      <c r="A975" s="224" t="s">
        <v>2392</v>
      </c>
      <c r="B975" s="225"/>
      <c r="C975" s="226" t="s">
        <v>1850</v>
      </c>
      <c r="D975" s="226" t="s">
        <v>220</v>
      </c>
      <c r="E975" s="226" t="s">
        <v>2391</v>
      </c>
      <c r="F975" s="227" t="s">
        <v>82</v>
      </c>
      <c r="G975" s="228" t="s">
        <v>81</v>
      </c>
      <c r="H975" s="228"/>
      <c r="I975" s="223">
        <v>5</v>
      </c>
      <c r="J975" s="229">
        <v>0</v>
      </c>
      <c r="K975" s="229">
        <v>65535</v>
      </c>
      <c r="L975" s="229" t="s">
        <v>387</v>
      </c>
      <c r="M975" s="229" t="s">
        <v>263</v>
      </c>
      <c r="N975" s="230" t="str">
        <f>IF(ISERROR(MATCH(A975,MemMap!$A$4:$A$98,0)) = FALSE, INDEX(MemMap!$B$4:$B$98,MATCH(A975,MemMap!$A$4:$A$98,0)),IF(F975="Y","TunSetCalSeg",IF(G975="Y", "FlashCalSeg", IF(G975="N", "FlashAppSeg", ""))))</f>
        <v>FlashCalSeg</v>
      </c>
      <c r="O975" s="220"/>
      <c r="P975" s="221"/>
      <c r="Q975" s="221"/>
      <c r="R975" s="221"/>
    </row>
    <row r="976" spans="1:18" x14ac:dyDescent="0.2">
      <c r="A976" s="224" t="s">
        <v>2390</v>
      </c>
      <c r="B976" s="225"/>
      <c r="C976" s="226" t="s">
        <v>1850</v>
      </c>
      <c r="D976" s="226" t="s">
        <v>220</v>
      </c>
      <c r="E976" s="226" t="s">
        <v>2391</v>
      </c>
      <c r="F976" s="227" t="s">
        <v>82</v>
      </c>
      <c r="G976" s="228" t="s">
        <v>81</v>
      </c>
      <c r="H976" s="228"/>
      <c r="I976" s="223">
        <v>10</v>
      </c>
      <c r="J976" s="229">
        <v>0</v>
      </c>
      <c r="K976" s="229">
        <v>65535</v>
      </c>
      <c r="L976" s="229" t="s">
        <v>387</v>
      </c>
      <c r="M976" s="229" t="s">
        <v>263</v>
      </c>
      <c r="N976" s="230" t="str">
        <f>IF(ISERROR(MATCH(A976,MemMap!$A$4:$A$98,0)) = FALSE, INDEX(MemMap!$B$4:$B$98,MATCH(A976,MemMap!$A$4:$A$98,0)),IF(F976="Y","TunSetCalSeg",IF(G976="Y", "FlashCalSeg", IF(G976="N", "FlashAppSeg", ""))))</f>
        <v>FlashCalSeg</v>
      </c>
      <c r="O976" s="220"/>
      <c r="P976" s="221"/>
      <c r="Q976" s="221"/>
      <c r="R976" s="221"/>
    </row>
    <row r="977" spans="1:18" x14ac:dyDescent="0.2">
      <c r="A977" s="224" t="s">
        <v>2506</v>
      </c>
      <c r="B977" s="225"/>
      <c r="C977" s="226" t="s">
        <v>1850</v>
      </c>
      <c r="D977" s="226" t="s">
        <v>220</v>
      </c>
      <c r="E977" s="226" t="s">
        <v>2396</v>
      </c>
      <c r="F977" s="227" t="s">
        <v>82</v>
      </c>
      <c r="G977" s="228" t="s">
        <v>81</v>
      </c>
      <c r="H977" s="228"/>
      <c r="I977" s="223">
        <v>10</v>
      </c>
      <c r="J977" s="229">
        <v>0</v>
      </c>
      <c r="K977" s="229">
        <v>65535</v>
      </c>
      <c r="L977" s="229" t="s">
        <v>387</v>
      </c>
      <c r="M977" s="229" t="s">
        <v>263</v>
      </c>
      <c r="N977" s="230" t="str">
        <f>IF(ISERROR(MATCH(A977,MemMap!$A$4:$A$98,0)) = FALSE, INDEX(MemMap!$B$4:$B$98,MATCH(A977,MemMap!$A$4:$A$98,0)),IF(F977="Y","TunSetCalSeg",IF(G977="Y", "FlashCalSeg", IF(G977="N", "FlashAppSeg", ""))))</f>
        <v>FlashCalSeg</v>
      </c>
      <c r="O977" s="220"/>
      <c r="P977" s="221"/>
      <c r="Q977" s="221"/>
      <c r="R977" s="221"/>
    </row>
    <row r="978" spans="1:18" x14ac:dyDescent="0.2">
      <c r="A978" s="224" t="s">
        <v>2351</v>
      </c>
      <c r="B978" s="225"/>
      <c r="C978" s="226" t="s">
        <v>1850</v>
      </c>
      <c r="D978" s="226" t="s">
        <v>220</v>
      </c>
      <c r="E978" s="226" t="s">
        <v>2352</v>
      </c>
      <c r="F978" s="227" t="s">
        <v>82</v>
      </c>
      <c r="G978" s="228" t="s">
        <v>81</v>
      </c>
      <c r="H978" s="228"/>
      <c r="I978" s="223">
        <v>20</v>
      </c>
      <c r="J978" s="229">
        <v>0</v>
      </c>
      <c r="K978" s="229">
        <v>65535</v>
      </c>
      <c r="L978" s="229" t="s">
        <v>387</v>
      </c>
      <c r="M978" s="229" t="s">
        <v>263</v>
      </c>
      <c r="N978" s="230" t="str">
        <f>IF(ISERROR(MATCH(A978,MemMap!$A$4:$A$98,0)) = FALSE, INDEX(MemMap!$B$4:$B$98,MATCH(A978,MemMap!$A$4:$A$98,0)),IF(F978="Y","TunSetCalSeg",IF(G978="Y", "FlashCalSeg", IF(G978="N", "FlashAppSeg", ""))))</f>
        <v>FlashCalSeg</v>
      </c>
      <c r="O978" s="220"/>
      <c r="P978" s="221"/>
      <c r="Q978" s="221"/>
      <c r="R978" s="221"/>
    </row>
    <row r="979" spans="1:18" x14ac:dyDescent="0.2">
      <c r="A979" s="224" t="s">
        <v>2353</v>
      </c>
      <c r="B979" s="225"/>
      <c r="C979" s="226" t="s">
        <v>1850</v>
      </c>
      <c r="D979" s="226" t="s">
        <v>220</v>
      </c>
      <c r="E979" s="226" t="s">
        <v>2352</v>
      </c>
      <c r="F979" s="227" t="s">
        <v>82</v>
      </c>
      <c r="G979" s="228" t="s">
        <v>81</v>
      </c>
      <c r="H979" s="228"/>
      <c r="I979" s="223">
        <v>10</v>
      </c>
      <c r="J979" s="229">
        <v>0</v>
      </c>
      <c r="K979" s="229">
        <v>65535</v>
      </c>
      <c r="L979" s="229" t="s">
        <v>387</v>
      </c>
      <c r="M979" s="229" t="s">
        <v>263</v>
      </c>
      <c r="N979" s="230" t="str">
        <f>IF(ISERROR(MATCH(A979,MemMap!$A$4:$A$98,0)) = FALSE, INDEX(MemMap!$B$4:$B$98,MATCH(A979,MemMap!$A$4:$A$98,0)),IF(F979="Y","TunSetCalSeg",IF(G979="Y", "FlashCalSeg", IF(G979="N", "FlashAppSeg", ""))))</f>
        <v>FlashCalSeg</v>
      </c>
      <c r="O979" s="220"/>
      <c r="P979" s="221"/>
      <c r="Q979" s="221"/>
      <c r="R979" s="221"/>
    </row>
    <row r="980" spans="1:18" x14ac:dyDescent="0.2">
      <c r="A980" s="224" t="s">
        <v>2354</v>
      </c>
      <c r="B980" s="225"/>
      <c r="C980" s="226" t="s">
        <v>1850</v>
      </c>
      <c r="D980" s="226" t="s">
        <v>220</v>
      </c>
      <c r="E980" s="226" t="s">
        <v>2355</v>
      </c>
      <c r="F980" s="227" t="s">
        <v>82</v>
      </c>
      <c r="G980" s="228" t="s">
        <v>81</v>
      </c>
      <c r="H980" s="228"/>
      <c r="I980" s="223">
        <v>20</v>
      </c>
      <c r="J980" s="229">
        <v>0</v>
      </c>
      <c r="K980" s="229">
        <v>65535</v>
      </c>
      <c r="L980" s="229" t="s">
        <v>387</v>
      </c>
      <c r="M980" s="229" t="s">
        <v>263</v>
      </c>
      <c r="N980" s="230" t="str">
        <f>IF(ISERROR(MATCH(A980,MemMap!$A$4:$A$98,0)) = FALSE, INDEX(MemMap!$B$4:$B$98,MATCH(A980,MemMap!$A$4:$A$98,0)),IF(F980="Y","TunSetCalSeg",IF(G980="Y", "FlashCalSeg", IF(G980="N", "FlashAppSeg", ""))))</f>
        <v>FlashCalSeg</v>
      </c>
      <c r="O980" s="220"/>
      <c r="P980" s="221"/>
      <c r="Q980" s="221"/>
      <c r="R980" s="221"/>
    </row>
    <row r="981" spans="1:18" x14ac:dyDescent="0.2">
      <c r="A981" s="224" t="s">
        <v>2356</v>
      </c>
      <c r="B981" s="225"/>
      <c r="C981" s="226" t="s">
        <v>1850</v>
      </c>
      <c r="D981" s="226" t="s">
        <v>220</v>
      </c>
      <c r="E981" s="226" t="s">
        <v>2355</v>
      </c>
      <c r="F981" s="227" t="s">
        <v>82</v>
      </c>
      <c r="G981" s="228" t="s">
        <v>81</v>
      </c>
      <c r="H981" s="228"/>
      <c r="I981" s="223">
        <v>10</v>
      </c>
      <c r="J981" s="229">
        <v>0</v>
      </c>
      <c r="K981" s="229">
        <v>65535</v>
      </c>
      <c r="L981" s="229" t="s">
        <v>387</v>
      </c>
      <c r="M981" s="229" t="s">
        <v>263</v>
      </c>
      <c r="N981" s="230" t="str">
        <f>IF(ISERROR(MATCH(A981,MemMap!$A$4:$A$98,0)) = FALSE, INDEX(MemMap!$B$4:$B$98,MATCH(A981,MemMap!$A$4:$A$98,0)),IF(F981="Y","TunSetCalSeg",IF(G981="Y", "FlashCalSeg", IF(G981="N", "FlashAppSeg", ""))))</f>
        <v>FlashCalSeg</v>
      </c>
      <c r="O981" s="220"/>
      <c r="P981" s="221"/>
      <c r="Q981" s="221"/>
      <c r="R981" s="221"/>
    </row>
    <row r="982" spans="1:18" x14ac:dyDescent="0.2">
      <c r="A982" s="224" t="s">
        <v>2346</v>
      </c>
      <c r="B982" s="225"/>
      <c r="C982" s="226" t="s">
        <v>1850</v>
      </c>
      <c r="D982" s="226" t="s">
        <v>220</v>
      </c>
      <c r="E982" s="226" t="s">
        <v>2347</v>
      </c>
      <c r="F982" s="227" t="s">
        <v>82</v>
      </c>
      <c r="G982" s="228" t="s">
        <v>81</v>
      </c>
      <c r="H982" s="228"/>
      <c r="I982" s="223">
        <v>20</v>
      </c>
      <c r="J982" s="229">
        <v>0</v>
      </c>
      <c r="K982" s="229">
        <v>65535</v>
      </c>
      <c r="L982" s="229" t="s">
        <v>387</v>
      </c>
      <c r="M982" s="229" t="s">
        <v>263</v>
      </c>
      <c r="N982" s="230" t="str">
        <f>IF(ISERROR(MATCH(A982,MemMap!$A$4:$A$98,0)) = FALSE, INDEX(MemMap!$B$4:$B$98,MATCH(A982,MemMap!$A$4:$A$98,0)),IF(F982="Y","TunSetCalSeg",IF(G982="Y", "FlashCalSeg", IF(G982="N", "FlashAppSeg", ""))))</f>
        <v>FlashCalSeg</v>
      </c>
      <c r="O982" s="220"/>
      <c r="P982" s="221"/>
      <c r="Q982" s="221"/>
      <c r="R982" s="221"/>
    </row>
    <row r="983" spans="1:18" x14ac:dyDescent="0.2">
      <c r="A983" s="224" t="s">
        <v>2348</v>
      </c>
      <c r="B983" s="225"/>
      <c r="C983" s="226" t="s">
        <v>1850</v>
      </c>
      <c r="D983" s="226" t="s">
        <v>220</v>
      </c>
      <c r="E983" s="226" t="s">
        <v>2347</v>
      </c>
      <c r="F983" s="227" t="s">
        <v>82</v>
      </c>
      <c r="G983" s="228" t="s">
        <v>81</v>
      </c>
      <c r="H983" s="228"/>
      <c r="I983" s="223">
        <v>10</v>
      </c>
      <c r="J983" s="229">
        <v>0</v>
      </c>
      <c r="K983" s="229">
        <v>65535</v>
      </c>
      <c r="L983" s="229" t="s">
        <v>387</v>
      </c>
      <c r="M983" s="229" t="s">
        <v>263</v>
      </c>
      <c r="N983" s="230" t="str">
        <f>IF(ISERROR(MATCH(A983,MemMap!$A$4:$A$98,0)) = FALSE, INDEX(MemMap!$B$4:$B$98,MATCH(A983,MemMap!$A$4:$A$98,0)),IF(F983="Y","TunSetCalSeg",IF(G983="Y", "FlashCalSeg", IF(G983="N", "FlashAppSeg", ""))))</f>
        <v>FlashCalSeg</v>
      </c>
      <c r="O983" s="220"/>
      <c r="P983" s="221"/>
      <c r="Q983" s="221"/>
      <c r="R983" s="221"/>
    </row>
    <row r="984" spans="1:18" x14ac:dyDescent="0.2">
      <c r="A984" s="224" t="s">
        <v>2503</v>
      </c>
      <c r="B984" s="225"/>
      <c r="C984" s="226" t="s">
        <v>1850</v>
      </c>
      <c r="D984" s="226" t="s">
        <v>220</v>
      </c>
      <c r="E984" s="226" t="s">
        <v>2350</v>
      </c>
      <c r="F984" s="227" t="s">
        <v>82</v>
      </c>
      <c r="G984" s="228" t="s">
        <v>81</v>
      </c>
      <c r="H984" s="228"/>
      <c r="I984" s="223">
        <v>10</v>
      </c>
      <c r="J984" s="229">
        <v>0</v>
      </c>
      <c r="K984" s="229">
        <v>65535</v>
      </c>
      <c r="L984" s="229" t="s">
        <v>387</v>
      </c>
      <c r="M984" s="229" t="s">
        <v>263</v>
      </c>
      <c r="N984" s="230" t="str">
        <f>IF(ISERROR(MATCH(A984,MemMap!$A$4:$A$98,0)) = FALSE, INDEX(MemMap!$B$4:$B$98,MATCH(A984,MemMap!$A$4:$A$98,0)),IF(F984="Y","TunSetCalSeg",IF(G984="Y", "FlashCalSeg", IF(G984="N", "FlashAppSeg", ""))))</f>
        <v>FlashCalSeg</v>
      </c>
      <c r="O984" s="220"/>
      <c r="P984" s="221"/>
      <c r="Q984" s="221"/>
      <c r="R984" s="221"/>
    </row>
    <row r="985" spans="1:18" x14ac:dyDescent="0.2">
      <c r="A985" s="224" t="s">
        <v>3168</v>
      </c>
      <c r="B985" s="225"/>
      <c r="C985" s="226" t="s">
        <v>1850</v>
      </c>
      <c r="D985" s="226" t="s">
        <v>220</v>
      </c>
      <c r="E985" s="226"/>
      <c r="F985" s="227" t="s">
        <v>82</v>
      </c>
      <c r="G985" s="228" t="s">
        <v>81</v>
      </c>
      <c r="H985" s="228"/>
      <c r="I985" s="223">
        <v>4</v>
      </c>
      <c r="J985" s="229">
        <v>0</v>
      </c>
      <c r="K985" s="229">
        <v>65535</v>
      </c>
      <c r="L985" s="229" t="s">
        <v>1541</v>
      </c>
      <c r="M985" s="229" t="s">
        <v>263</v>
      </c>
      <c r="N985" s="230" t="str">
        <f>IF(ISERROR(MATCH(A985,MemMap!$A$4:$A$98,0)) = FALSE, INDEX(MemMap!$B$4:$B$98,MATCH(A985,MemMap!$A$4:$A$98,0)),IF(F985="Y","TunSetCalSeg",IF(G985="Y", "FlashCalSeg", IF(G985="N", "FlashAppSeg", ""))))</f>
        <v>FlashCalSeg</v>
      </c>
      <c r="O985" s="220"/>
      <c r="P985" s="221"/>
      <c r="Q985" s="221"/>
      <c r="R985" s="221"/>
    </row>
    <row r="986" spans="1:18" x14ac:dyDescent="0.2">
      <c r="A986" s="224" t="s">
        <v>3169</v>
      </c>
      <c r="B986" s="225"/>
      <c r="C986" s="226" t="s">
        <v>1850</v>
      </c>
      <c r="D986" s="226" t="s">
        <v>220</v>
      </c>
      <c r="E986" s="226"/>
      <c r="F986" s="227" t="s">
        <v>82</v>
      </c>
      <c r="G986" s="228" t="s">
        <v>81</v>
      </c>
      <c r="H986" s="228"/>
      <c r="I986" s="223">
        <v>10</v>
      </c>
      <c r="J986" s="229">
        <v>0</v>
      </c>
      <c r="K986" s="229">
        <v>65535</v>
      </c>
      <c r="L986" s="229" t="s">
        <v>1541</v>
      </c>
      <c r="M986" s="229" t="s">
        <v>263</v>
      </c>
      <c r="N986" s="230" t="str">
        <f>IF(ISERROR(MATCH(A986,MemMap!$A$4:$A$98,0)) = FALSE, INDEX(MemMap!$B$4:$B$98,MATCH(A986,MemMap!$A$4:$A$98,0)),IF(F986="Y","TunSetCalSeg",IF(G986="Y", "FlashCalSeg", IF(G986="N", "FlashAppSeg", ""))))</f>
        <v>FlashCalSeg</v>
      </c>
      <c r="O986" s="220"/>
      <c r="P986" s="221"/>
      <c r="Q986" s="221"/>
      <c r="R986" s="221"/>
    </row>
    <row r="987" spans="1:18" x14ac:dyDescent="0.2">
      <c r="A987" s="224" t="s">
        <v>2607</v>
      </c>
      <c r="B987" s="225"/>
      <c r="C987" s="226" t="s">
        <v>1850</v>
      </c>
      <c r="D987" s="226" t="s">
        <v>220</v>
      </c>
      <c r="E987" s="226" t="s">
        <v>2608</v>
      </c>
      <c r="F987" s="227" t="s">
        <v>82</v>
      </c>
      <c r="G987" s="228" t="s">
        <v>81</v>
      </c>
      <c r="H987" s="228"/>
      <c r="I987" s="223">
        <v>4</v>
      </c>
      <c r="J987" s="229">
        <v>0</v>
      </c>
      <c r="K987" s="229">
        <v>65535</v>
      </c>
      <c r="L987" s="229" t="s">
        <v>1541</v>
      </c>
      <c r="M987" s="229" t="s">
        <v>263</v>
      </c>
      <c r="N987" s="230" t="str">
        <f>IF(ISERROR(MATCH(A987,MemMap!$A$4:$A$98,0)) = FALSE, INDEX(MemMap!$B$4:$B$98,MATCH(A987,MemMap!$A$4:$A$98,0)),IF(F987="Y","TunSetCalSeg",IF(G987="Y", "FlashCalSeg", IF(G987="N", "FlashAppSeg", ""))))</f>
        <v>FlashCalSeg</v>
      </c>
      <c r="O987" s="220"/>
      <c r="P987" s="221"/>
      <c r="Q987" s="221"/>
      <c r="R987" s="221"/>
    </row>
    <row r="988" spans="1:18" x14ac:dyDescent="0.2">
      <c r="A988" s="224" t="s">
        <v>2609</v>
      </c>
      <c r="B988" s="225"/>
      <c r="C988" s="226" t="s">
        <v>1850</v>
      </c>
      <c r="D988" s="226" t="s">
        <v>220</v>
      </c>
      <c r="E988" s="226" t="s">
        <v>2608</v>
      </c>
      <c r="F988" s="227" t="s">
        <v>82</v>
      </c>
      <c r="G988" s="228" t="s">
        <v>81</v>
      </c>
      <c r="H988" s="228"/>
      <c r="I988" s="223">
        <v>10</v>
      </c>
      <c r="J988" s="229">
        <v>0</v>
      </c>
      <c r="K988" s="229">
        <v>65535</v>
      </c>
      <c r="L988" s="229" t="s">
        <v>1541</v>
      </c>
      <c r="M988" s="229" t="s">
        <v>263</v>
      </c>
      <c r="N988" s="230" t="str">
        <f>IF(ISERROR(MATCH(A988,MemMap!$A$4:$A$98,0)) = FALSE, INDEX(MemMap!$B$4:$B$98,MATCH(A988,MemMap!$A$4:$A$98,0)),IF(F988="Y","TunSetCalSeg",IF(G988="Y", "FlashCalSeg", IF(G988="N", "FlashAppSeg", ""))))</f>
        <v>FlashCalSeg</v>
      </c>
      <c r="O988" s="220"/>
      <c r="P988" s="221"/>
      <c r="Q988" s="221"/>
      <c r="R988" s="221"/>
    </row>
    <row r="989" spans="1:18" x14ac:dyDescent="0.2">
      <c r="A989" s="224" t="s">
        <v>2619</v>
      </c>
      <c r="B989" s="225"/>
      <c r="C989" s="226" t="s">
        <v>1850</v>
      </c>
      <c r="D989" s="226" t="s">
        <v>220</v>
      </c>
      <c r="E989" s="226" t="s">
        <v>2618</v>
      </c>
      <c r="F989" s="227" t="s">
        <v>82</v>
      </c>
      <c r="G989" s="228" t="s">
        <v>81</v>
      </c>
      <c r="H989" s="228"/>
      <c r="I989" s="223">
        <v>4</v>
      </c>
      <c r="J989" s="229">
        <v>0</v>
      </c>
      <c r="K989" s="229">
        <v>65535</v>
      </c>
      <c r="L989" s="229" t="s">
        <v>1541</v>
      </c>
      <c r="M989" s="229" t="s">
        <v>263</v>
      </c>
      <c r="N989" s="230" t="str">
        <f>IF(ISERROR(MATCH(A989,MemMap!$A$4:$A$98,0)) = FALSE, INDEX(MemMap!$B$4:$B$98,MATCH(A989,MemMap!$A$4:$A$98,0)),IF(F989="Y","TunSetCalSeg",IF(G989="Y", "FlashCalSeg", IF(G989="N", "FlashAppSeg", ""))))</f>
        <v>FlashCalSeg</v>
      </c>
      <c r="O989" s="220"/>
      <c r="P989" s="221"/>
      <c r="Q989" s="221"/>
      <c r="R989" s="221"/>
    </row>
    <row r="990" spans="1:18" x14ac:dyDescent="0.2">
      <c r="A990" s="224" t="s">
        <v>2617</v>
      </c>
      <c r="B990" s="225"/>
      <c r="C990" s="226" t="s">
        <v>1850</v>
      </c>
      <c r="D990" s="226" t="s">
        <v>220</v>
      </c>
      <c r="E990" s="226" t="s">
        <v>2618</v>
      </c>
      <c r="F990" s="227" t="s">
        <v>82</v>
      </c>
      <c r="G990" s="228" t="s">
        <v>81</v>
      </c>
      <c r="H990" s="228"/>
      <c r="I990" s="223">
        <v>10</v>
      </c>
      <c r="J990" s="229">
        <v>0</v>
      </c>
      <c r="K990" s="229">
        <v>65535</v>
      </c>
      <c r="L990" s="229" t="s">
        <v>1541</v>
      </c>
      <c r="M990" s="229" t="s">
        <v>263</v>
      </c>
      <c r="N990" s="230" t="str">
        <f>IF(ISERROR(MATCH(A990,MemMap!$A$4:$A$98,0)) = FALSE, INDEX(MemMap!$B$4:$B$98,MATCH(A990,MemMap!$A$4:$A$98,0)),IF(F990="Y","TunSetCalSeg",IF(G990="Y", "FlashCalSeg", IF(G990="N", "FlashAppSeg", ""))))</f>
        <v>FlashCalSeg</v>
      </c>
      <c r="O990" s="220"/>
      <c r="P990" s="221"/>
      <c r="Q990" s="221"/>
      <c r="R990" s="221"/>
    </row>
    <row r="991" spans="1:18" x14ac:dyDescent="0.2">
      <c r="A991" s="224" t="s">
        <v>3231</v>
      </c>
      <c r="B991" s="225"/>
      <c r="C991" s="226" t="s">
        <v>1850</v>
      </c>
      <c r="D991" s="226" t="s">
        <v>220</v>
      </c>
      <c r="E991" s="226" t="s">
        <v>3242</v>
      </c>
      <c r="F991" s="227" t="s">
        <v>82</v>
      </c>
      <c r="G991" s="228" t="s">
        <v>81</v>
      </c>
      <c r="H991" s="228"/>
      <c r="I991" s="223">
        <v>10</v>
      </c>
      <c r="J991" s="229">
        <v>0</v>
      </c>
      <c r="K991" s="229">
        <v>65535</v>
      </c>
      <c r="L991" s="229" t="s">
        <v>1541</v>
      </c>
      <c r="M991" s="229" t="s">
        <v>263</v>
      </c>
      <c r="N991" s="230" t="str">
        <f>IF(ISERROR(MATCH(A991,MemMap!$A$4:$A$98,0)) = FALSE, INDEX(MemMap!$B$4:$B$98,MATCH(A991,MemMap!$A$4:$A$98,0)),IF(F991="Y","TunSetCalSeg",IF(G991="Y", "FlashCalSeg", IF(G991="N", "FlashAppSeg", ""))))</f>
        <v>FlashCalSeg</v>
      </c>
      <c r="O991" s="220"/>
      <c r="P991" s="221"/>
      <c r="Q991" s="221"/>
      <c r="R991" s="221"/>
    </row>
    <row r="992" spans="1:18" x14ac:dyDescent="0.2">
      <c r="A992" s="224" t="s">
        <v>3232</v>
      </c>
      <c r="B992" s="225"/>
      <c r="C992" s="226" t="s">
        <v>1850</v>
      </c>
      <c r="D992" s="226" t="s">
        <v>220</v>
      </c>
      <c r="E992" s="226" t="s">
        <v>3242</v>
      </c>
      <c r="F992" s="227" t="s">
        <v>82</v>
      </c>
      <c r="G992" s="228" t="s">
        <v>81</v>
      </c>
      <c r="H992" s="228"/>
      <c r="I992" s="223">
        <v>3</v>
      </c>
      <c r="J992" s="229">
        <v>0</v>
      </c>
      <c r="K992" s="229">
        <v>65535</v>
      </c>
      <c r="L992" s="229" t="s">
        <v>1541</v>
      </c>
      <c r="M992" s="229" t="s">
        <v>263</v>
      </c>
      <c r="N992" s="230" t="str">
        <f>IF(ISERROR(MATCH(A992,MemMap!$A$4:$A$98,0)) = FALSE, INDEX(MemMap!$B$4:$B$98,MATCH(A992,MemMap!$A$4:$A$98,0)),IF(F992="Y","TunSetCalSeg",IF(G992="Y", "FlashCalSeg", IF(G992="N", "FlashAppSeg", ""))))</f>
        <v>FlashCalSeg</v>
      </c>
      <c r="O992" s="220"/>
      <c r="P992" s="221"/>
      <c r="Q992" s="221"/>
      <c r="R992" s="221"/>
    </row>
    <row r="993" spans="1:18" x14ac:dyDescent="0.2">
      <c r="A993" s="224" t="s">
        <v>3697</v>
      </c>
      <c r="B993" s="225"/>
      <c r="C993" s="226" t="s">
        <v>1850</v>
      </c>
      <c r="D993" s="226" t="s">
        <v>220</v>
      </c>
      <c r="E993" s="226" t="s">
        <v>3696</v>
      </c>
      <c r="F993" s="227" t="s">
        <v>82</v>
      </c>
      <c r="G993" s="228" t="s">
        <v>81</v>
      </c>
      <c r="H993" s="228"/>
      <c r="I993" s="223">
        <v>2</v>
      </c>
      <c r="J993" s="229">
        <v>0</v>
      </c>
      <c r="K993" s="229">
        <v>65535</v>
      </c>
      <c r="L993" s="229" t="s">
        <v>387</v>
      </c>
      <c r="M993" s="229" t="s">
        <v>263</v>
      </c>
      <c r="N993" s="230" t="str">
        <f>IF(ISERROR(MATCH(A993,MemMap!$A$4:$A$98,0)) = FALSE, INDEX(MemMap!$B$4:$B$98,MATCH(A993,MemMap!$A$4:$A$98,0)),IF(F993="Y","TunSetCalSeg",IF(G993="Y", "FlashCalSeg", IF(G993="N", "FlashAppSeg", ""))))</f>
        <v>FlashCalSeg</v>
      </c>
      <c r="O993" s="220"/>
      <c r="P993" s="221"/>
      <c r="Q993" s="221"/>
      <c r="R993" s="221"/>
    </row>
    <row r="994" spans="1:18" x14ac:dyDescent="0.2">
      <c r="A994" s="224" t="s">
        <v>3695</v>
      </c>
      <c r="B994" s="225"/>
      <c r="C994" s="226" t="s">
        <v>1850</v>
      </c>
      <c r="D994" s="226" t="s">
        <v>220</v>
      </c>
      <c r="E994" s="226" t="s">
        <v>3696</v>
      </c>
      <c r="F994" s="227" t="s">
        <v>82</v>
      </c>
      <c r="G994" s="228" t="s">
        <v>81</v>
      </c>
      <c r="H994" s="228"/>
      <c r="I994" s="223">
        <v>10</v>
      </c>
      <c r="J994" s="229">
        <v>0</v>
      </c>
      <c r="K994" s="229">
        <v>65535</v>
      </c>
      <c r="L994" s="229" t="s">
        <v>387</v>
      </c>
      <c r="M994" s="229" t="s">
        <v>263</v>
      </c>
      <c r="N994" s="230" t="str">
        <f>IF(ISERROR(MATCH(A994,MemMap!$A$4:$A$98,0)) = FALSE, INDEX(MemMap!$B$4:$B$98,MATCH(A994,MemMap!$A$4:$A$98,0)),IF(F994="Y","TunSetCalSeg",IF(G994="Y", "FlashCalSeg", IF(G994="N", "FlashAppSeg", ""))))</f>
        <v>FlashCalSeg</v>
      </c>
      <c r="O994" s="220"/>
      <c r="P994" s="221"/>
      <c r="Q994" s="221"/>
      <c r="R994" s="221"/>
    </row>
    <row r="995" spans="1:18" x14ac:dyDescent="0.2">
      <c r="A995" s="224" t="s">
        <v>2381</v>
      </c>
      <c r="B995" s="225"/>
      <c r="C995" s="226" t="s">
        <v>1850</v>
      </c>
      <c r="D995" s="226" t="s">
        <v>220</v>
      </c>
      <c r="E995" s="226" t="s">
        <v>2379</v>
      </c>
      <c r="F995" s="227" t="s">
        <v>82</v>
      </c>
      <c r="G995" s="228" t="s">
        <v>81</v>
      </c>
      <c r="H995" s="228"/>
      <c r="I995" s="223">
        <v>8.5</v>
      </c>
      <c r="J995" s="229">
        <v>0</v>
      </c>
      <c r="K995" s="229">
        <v>255</v>
      </c>
      <c r="L995" s="229" t="s">
        <v>296</v>
      </c>
      <c r="M995" s="229" t="s">
        <v>257</v>
      </c>
      <c r="N995" s="230" t="str">
        <f>IF(ISERROR(MATCH(A995,MemMap!$A$4:$A$98,0)) = FALSE, INDEX(MemMap!$B$4:$B$98,MATCH(A995,MemMap!$A$4:$A$98,0)),IF(F995="Y","TunSetCalSeg",IF(G995="Y", "FlashCalSeg", IF(G995="N", "FlashAppSeg", ""))))</f>
        <v>FlashCalSeg</v>
      </c>
      <c r="O995" s="220"/>
      <c r="P995" s="221"/>
      <c r="Q995" s="221"/>
      <c r="R995" s="221"/>
    </row>
    <row r="996" spans="1:18" x14ac:dyDescent="0.2">
      <c r="A996" s="224" t="s">
        <v>2378</v>
      </c>
      <c r="B996" s="225"/>
      <c r="C996" s="226" t="s">
        <v>1850</v>
      </c>
      <c r="D996" s="226" t="s">
        <v>220</v>
      </c>
      <c r="E996" s="226" t="s">
        <v>2379</v>
      </c>
      <c r="F996" s="227" t="s">
        <v>82</v>
      </c>
      <c r="G996" s="228" t="s">
        <v>81</v>
      </c>
      <c r="H996" s="228"/>
      <c r="I996" s="223">
        <v>7.5</v>
      </c>
      <c r="J996" s="229">
        <v>0</v>
      </c>
      <c r="K996" s="229">
        <v>255</v>
      </c>
      <c r="L996" s="229" t="s">
        <v>296</v>
      </c>
      <c r="M996" s="229" t="s">
        <v>257</v>
      </c>
      <c r="N996" s="230" t="str">
        <f>IF(ISERROR(MATCH(A996,MemMap!$A$4:$A$98,0)) = FALSE, INDEX(MemMap!$B$4:$B$98,MATCH(A996,MemMap!$A$4:$A$98,0)),IF(F996="Y","TunSetCalSeg",IF(G996="Y", "FlashCalSeg", IF(G996="N", "FlashAppSeg", ""))))</f>
        <v>FlashCalSeg</v>
      </c>
      <c r="O996" s="220"/>
      <c r="P996" s="221"/>
      <c r="Q996" s="221"/>
      <c r="R996" s="221"/>
    </row>
    <row r="997" spans="1:18" x14ac:dyDescent="0.2">
      <c r="A997" s="224" t="s">
        <v>2380</v>
      </c>
      <c r="B997" s="225"/>
      <c r="C997" s="226" t="s">
        <v>1850</v>
      </c>
      <c r="D997" s="226" t="s">
        <v>220</v>
      </c>
      <c r="E997" s="226" t="s">
        <v>2379</v>
      </c>
      <c r="F997" s="227" t="s">
        <v>82</v>
      </c>
      <c r="G997" s="228" t="s">
        <v>81</v>
      </c>
      <c r="H997" s="228"/>
      <c r="I997" s="223">
        <v>3000</v>
      </c>
      <c r="J997" s="229">
        <v>0</v>
      </c>
      <c r="K997" s="229">
        <v>65535</v>
      </c>
      <c r="L997" s="229" t="s">
        <v>269</v>
      </c>
      <c r="M997" s="229" t="s">
        <v>263</v>
      </c>
      <c r="N997" s="230" t="str">
        <f>IF(ISERROR(MATCH(A997,MemMap!$A$4:$A$98,0)) = FALSE, INDEX(MemMap!$B$4:$B$98,MATCH(A997,MemMap!$A$4:$A$98,0)),IF(F997="Y","TunSetCalSeg",IF(G997="Y", "FlashCalSeg", IF(G997="N", "FlashAppSeg", ""))))</f>
        <v>FlashCalSeg</v>
      </c>
      <c r="O997" s="220"/>
      <c r="P997" s="221"/>
      <c r="Q997" s="221"/>
      <c r="R997" s="221"/>
    </row>
    <row r="998" spans="1:18" ht="22.5" x14ac:dyDescent="0.2">
      <c r="A998" s="224" t="s">
        <v>3230</v>
      </c>
      <c r="B998" s="225"/>
      <c r="C998" s="226" t="s">
        <v>1850</v>
      </c>
      <c r="D998" s="226" t="s">
        <v>220</v>
      </c>
      <c r="E998" s="226" t="s">
        <v>3243</v>
      </c>
      <c r="F998" s="227" t="s">
        <v>82</v>
      </c>
      <c r="G998" s="228" t="s">
        <v>81</v>
      </c>
      <c r="H998" s="228"/>
      <c r="I998" s="223">
        <v>2</v>
      </c>
      <c r="J998" s="229">
        <v>0</v>
      </c>
      <c r="K998" s="229">
        <v>65535</v>
      </c>
      <c r="L998" s="229" t="s">
        <v>1541</v>
      </c>
      <c r="M998" s="229" t="s">
        <v>263</v>
      </c>
      <c r="N998" s="230" t="str">
        <f>IF(ISERROR(MATCH(A998,MemMap!$A$4:$A$98,0)) = FALSE, INDEX(MemMap!$B$4:$B$98,MATCH(A998,MemMap!$A$4:$A$98,0)),IF(F998="Y","TunSetCalSeg",IF(G998="Y", "FlashCalSeg", IF(G998="N", "FlashAppSeg", ""))))</f>
        <v>FlashCalSeg</v>
      </c>
      <c r="O998" s="220"/>
      <c r="P998" s="221"/>
      <c r="Q998" s="221"/>
      <c r="R998" s="221"/>
    </row>
    <row r="999" spans="1:18" ht="22.5" x14ac:dyDescent="0.2">
      <c r="A999" s="224" t="s">
        <v>3229</v>
      </c>
      <c r="B999" s="225"/>
      <c r="C999" s="226" t="s">
        <v>1850</v>
      </c>
      <c r="D999" s="226" t="s">
        <v>220</v>
      </c>
      <c r="E999" s="226" t="s">
        <v>3243</v>
      </c>
      <c r="F999" s="227" t="s">
        <v>82</v>
      </c>
      <c r="G999" s="228" t="s">
        <v>81</v>
      </c>
      <c r="H999" s="228"/>
      <c r="I999" s="223">
        <v>10</v>
      </c>
      <c r="J999" s="229">
        <v>0</v>
      </c>
      <c r="K999" s="229">
        <v>65535</v>
      </c>
      <c r="L999" s="229" t="s">
        <v>1541</v>
      </c>
      <c r="M999" s="229" t="s">
        <v>263</v>
      </c>
      <c r="N999" s="230" t="str">
        <f>IF(ISERROR(MATCH(A999,MemMap!$A$4:$A$98,0)) = FALSE, INDEX(MemMap!$B$4:$B$98,MATCH(A999,MemMap!$A$4:$A$98,0)),IF(F999="Y","TunSetCalSeg",IF(G999="Y", "FlashCalSeg", IF(G999="N", "FlashAppSeg", ""))))</f>
        <v>FlashCalSeg</v>
      </c>
      <c r="O999" s="220"/>
      <c r="P999" s="221"/>
      <c r="Q999" s="221"/>
      <c r="R999" s="221"/>
    </row>
    <row r="1000" spans="1:18" x14ac:dyDescent="0.2">
      <c r="A1000" s="224" t="s">
        <v>3223</v>
      </c>
      <c r="B1000" s="225"/>
      <c r="C1000" s="226" t="s">
        <v>1850</v>
      </c>
      <c r="D1000" s="226" t="s">
        <v>220</v>
      </c>
      <c r="E1000" s="226" t="s">
        <v>3244</v>
      </c>
      <c r="F1000" s="227" t="s">
        <v>82</v>
      </c>
      <c r="G1000" s="228" t="s">
        <v>81</v>
      </c>
      <c r="H1000" s="228"/>
      <c r="I1000" s="223">
        <v>2</v>
      </c>
      <c r="J1000" s="229">
        <v>0</v>
      </c>
      <c r="K1000" s="229">
        <v>65535</v>
      </c>
      <c r="L1000" s="229" t="s">
        <v>1541</v>
      </c>
      <c r="M1000" s="229" t="s">
        <v>263</v>
      </c>
      <c r="N1000" s="230" t="str">
        <f>IF(ISERROR(MATCH(A1000,MemMap!$A$4:$A$98,0)) = FALSE, INDEX(MemMap!$B$4:$B$98,MATCH(A1000,MemMap!$A$4:$A$98,0)),IF(F1000="Y","TunSetCalSeg",IF(G1000="Y", "FlashCalSeg", IF(G1000="N", "FlashAppSeg", ""))))</f>
        <v>FlashCalSeg</v>
      </c>
      <c r="O1000" s="220"/>
      <c r="P1000" s="221"/>
      <c r="Q1000" s="221"/>
      <c r="R1000" s="221"/>
    </row>
    <row r="1001" spans="1:18" x14ac:dyDescent="0.2">
      <c r="A1001" s="224" t="s">
        <v>3224</v>
      </c>
      <c r="B1001" s="225"/>
      <c r="C1001" s="226" t="s">
        <v>1850</v>
      </c>
      <c r="D1001" s="226" t="s">
        <v>220</v>
      </c>
      <c r="E1001" s="226" t="s">
        <v>3244</v>
      </c>
      <c r="F1001" s="227" t="s">
        <v>82</v>
      </c>
      <c r="G1001" s="228" t="s">
        <v>81</v>
      </c>
      <c r="H1001" s="228"/>
      <c r="I1001" s="223">
        <v>10</v>
      </c>
      <c r="J1001" s="229">
        <v>0</v>
      </c>
      <c r="K1001" s="229">
        <v>65535</v>
      </c>
      <c r="L1001" s="229" t="s">
        <v>1541</v>
      </c>
      <c r="M1001" s="229" t="s">
        <v>263</v>
      </c>
      <c r="N1001" s="230" t="str">
        <f>IF(ISERROR(MATCH(A1001,MemMap!$A$4:$A$98,0)) = FALSE, INDEX(MemMap!$B$4:$B$98,MATCH(A1001,MemMap!$A$4:$A$98,0)),IF(F1001="Y","TunSetCalSeg",IF(G1001="Y", "FlashCalSeg", IF(G1001="N", "FlashAppSeg", ""))))</f>
        <v>FlashCalSeg</v>
      </c>
      <c r="O1001" s="220"/>
      <c r="P1001" s="221"/>
      <c r="Q1001" s="221"/>
      <c r="R1001" s="221"/>
    </row>
    <row r="1002" spans="1:18" x14ac:dyDescent="0.2">
      <c r="A1002" s="224" t="s">
        <v>3226</v>
      </c>
      <c r="B1002" s="225"/>
      <c r="C1002" s="226" t="s">
        <v>1850</v>
      </c>
      <c r="D1002" s="226" t="s">
        <v>220</v>
      </c>
      <c r="E1002" s="226" t="s">
        <v>3245</v>
      </c>
      <c r="F1002" s="227" t="s">
        <v>82</v>
      </c>
      <c r="G1002" s="228" t="s">
        <v>81</v>
      </c>
      <c r="H1002" s="228"/>
      <c r="I1002" s="223">
        <v>2</v>
      </c>
      <c r="J1002" s="229">
        <v>0</v>
      </c>
      <c r="K1002" s="229">
        <v>65535</v>
      </c>
      <c r="L1002" s="229" t="s">
        <v>1541</v>
      </c>
      <c r="M1002" s="229" t="s">
        <v>263</v>
      </c>
      <c r="N1002" s="230" t="str">
        <f>IF(ISERROR(MATCH(A1002,MemMap!$A$4:$A$98,0)) = FALSE, INDEX(MemMap!$B$4:$B$98,MATCH(A1002,MemMap!$A$4:$A$98,0)),IF(F1002="Y","TunSetCalSeg",IF(G1002="Y", "FlashCalSeg", IF(G1002="N", "FlashAppSeg", ""))))</f>
        <v>FlashCalSeg</v>
      </c>
      <c r="O1002" s="220"/>
      <c r="P1002" s="221"/>
      <c r="Q1002" s="221"/>
      <c r="R1002" s="221"/>
    </row>
    <row r="1003" spans="1:18" ht="22.5" x14ac:dyDescent="0.2">
      <c r="A1003" s="224" t="s">
        <v>3234</v>
      </c>
      <c r="B1003" s="225"/>
      <c r="C1003" s="226" t="s">
        <v>1850</v>
      </c>
      <c r="D1003" s="226" t="s">
        <v>220</v>
      </c>
      <c r="E1003" s="226" t="s">
        <v>3246</v>
      </c>
      <c r="F1003" s="227" t="s">
        <v>82</v>
      </c>
      <c r="G1003" s="228" t="s">
        <v>81</v>
      </c>
      <c r="H1003" s="228"/>
      <c r="I1003" s="223">
        <v>2</v>
      </c>
      <c r="J1003" s="229">
        <v>0</v>
      </c>
      <c r="K1003" s="229">
        <v>65535</v>
      </c>
      <c r="L1003" s="229" t="s">
        <v>1541</v>
      </c>
      <c r="M1003" s="229" t="s">
        <v>263</v>
      </c>
      <c r="N1003" s="230" t="str">
        <f>IF(ISERROR(MATCH(A1003,MemMap!$A$4:$A$98,0)) = FALSE, INDEX(MemMap!$B$4:$B$98,MATCH(A1003,MemMap!$A$4:$A$98,0)),IF(F1003="Y","TunSetCalSeg",IF(G1003="Y", "FlashCalSeg", IF(G1003="N", "FlashAppSeg", ""))))</f>
        <v>FlashCalSeg</v>
      </c>
      <c r="O1003" s="220"/>
      <c r="P1003" s="221"/>
      <c r="Q1003" s="221"/>
      <c r="R1003" s="221"/>
    </row>
    <row r="1004" spans="1:18" x14ac:dyDescent="0.2">
      <c r="A1004" s="224" t="s">
        <v>3233</v>
      </c>
      <c r="B1004" s="225"/>
      <c r="C1004" s="226" t="s">
        <v>1850</v>
      </c>
      <c r="D1004" s="226" t="s">
        <v>220</v>
      </c>
      <c r="E1004" s="226" t="s">
        <v>3246</v>
      </c>
      <c r="F1004" s="227" t="s">
        <v>82</v>
      </c>
      <c r="G1004" s="228" t="s">
        <v>81</v>
      </c>
      <c r="H1004" s="228"/>
      <c r="I1004" s="223">
        <v>10</v>
      </c>
      <c r="J1004" s="229">
        <v>0</v>
      </c>
      <c r="K1004" s="229">
        <v>65535</v>
      </c>
      <c r="L1004" s="229" t="s">
        <v>1541</v>
      </c>
      <c r="M1004" s="229" t="s">
        <v>263</v>
      </c>
      <c r="N1004" s="230" t="str">
        <f>IF(ISERROR(MATCH(A1004,MemMap!$A$4:$A$98,0)) = FALSE, INDEX(MemMap!$B$4:$B$98,MATCH(A1004,MemMap!$A$4:$A$98,0)),IF(F1004="Y","TunSetCalSeg",IF(G1004="Y", "FlashCalSeg", IF(G1004="N", "FlashAppSeg", ""))))</f>
        <v>FlashCalSeg</v>
      </c>
      <c r="O1004" s="220"/>
      <c r="P1004" s="221"/>
      <c r="Q1004" s="221"/>
      <c r="R1004" s="221"/>
    </row>
    <row r="1005" spans="1:18" x14ac:dyDescent="0.2">
      <c r="A1005" s="224" t="s">
        <v>3222</v>
      </c>
      <c r="B1005" s="225"/>
      <c r="C1005" s="226" t="s">
        <v>1850</v>
      </c>
      <c r="D1005" s="226" t="s">
        <v>220</v>
      </c>
      <c r="E1005" s="226" t="s">
        <v>3247</v>
      </c>
      <c r="F1005" s="227" t="s">
        <v>82</v>
      </c>
      <c r="G1005" s="228" t="s">
        <v>81</v>
      </c>
      <c r="H1005" s="228"/>
      <c r="I1005" s="223">
        <v>10</v>
      </c>
      <c r="J1005" s="229">
        <v>0</v>
      </c>
      <c r="K1005" s="229">
        <v>65535</v>
      </c>
      <c r="L1005" s="229" t="s">
        <v>1541</v>
      </c>
      <c r="M1005" s="229" t="s">
        <v>263</v>
      </c>
      <c r="N1005" s="230" t="str">
        <f>IF(ISERROR(MATCH(A1005,MemMap!$A$4:$A$98,0)) = FALSE, INDEX(MemMap!$B$4:$B$98,MATCH(A1005,MemMap!$A$4:$A$98,0)),IF(F1005="Y","TunSetCalSeg",IF(G1005="Y", "FlashCalSeg", IF(G1005="N", "FlashAppSeg", ""))))</f>
        <v>FlashCalSeg</v>
      </c>
      <c r="O1005" s="220"/>
      <c r="P1005" s="221"/>
      <c r="Q1005" s="221"/>
      <c r="R1005" s="221"/>
    </row>
    <row r="1006" spans="1:18" s="221" customFormat="1" x14ac:dyDescent="0.2">
      <c r="A1006" s="224" t="s">
        <v>3228</v>
      </c>
      <c r="B1006" s="225"/>
      <c r="C1006" s="226" t="s">
        <v>1850</v>
      </c>
      <c r="D1006" s="226" t="s">
        <v>220</v>
      </c>
      <c r="E1006" s="226" t="s">
        <v>3248</v>
      </c>
      <c r="F1006" s="227" t="s">
        <v>82</v>
      </c>
      <c r="G1006" s="228" t="s">
        <v>81</v>
      </c>
      <c r="H1006" s="228"/>
      <c r="I1006" s="223">
        <v>2</v>
      </c>
      <c r="J1006" s="229">
        <v>0</v>
      </c>
      <c r="K1006" s="229">
        <v>65535</v>
      </c>
      <c r="L1006" s="229" t="s">
        <v>1541</v>
      </c>
      <c r="M1006" s="229" t="s">
        <v>263</v>
      </c>
      <c r="N1006" s="230" t="str">
        <f>IF(ISERROR(MATCH(A1006,MemMap!$A$4:$A$98,0)) = FALSE, INDEX(MemMap!$B$4:$B$98,MATCH(A1006,MemMap!$A$4:$A$98,0)),IF(F1006="Y","TunSetCalSeg",IF(G1006="Y", "FlashCalSeg", IF(G1006="N", "FlashAppSeg", ""))))</f>
        <v>FlashCalSeg</v>
      </c>
      <c r="O1006" s="220"/>
    </row>
    <row r="1007" spans="1:18" x14ac:dyDescent="0.2">
      <c r="A1007" s="224" t="s">
        <v>3225</v>
      </c>
      <c r="B1007" s="225"/>
      <c r="C1007" s="226" t="s">
        <v>1850</v>
      </c>
      <c r="D1007" s="226" t="s">
        <v>220</v>
      </c>
      <c r="E1007" s="226" t="s">
        <v>3245</v>
      </c>
      <c r="F1007" s="227" t="s">
        <v>82</v>
      </c>
      <c r="G1007" s="228" t="s">
        <v>81</v>
      </c>
      <c r="H1007" s="228"/>
      <c r="I1007" s="223">
        <v>10</v>
      </c>
      <c r="J1007" s="229">
        <v>0</v>
      </c>
      <c r="K1007" s="229">
        <v>65535</v>
      </c>
      <c r="L1007" s="229" t="s">
        <v>1541</v>
      </c>
      <c r="M1007" s="229" t="s">
        <v>263</v>
      </c>
      <c r="N1007" s="230" t="str">
        <f>IF(ISERROR(MATCH(A1007,MemMap!$A$4:$A$98,0)) = FALSE, INDEX(MemMap!$B$4:$B$98,MATCH(A1007,MemMap!$A$4:$A$98,0)),IF(F1007="Y","TunSetCalSeg",IF(G1007="Y", "FlashCalSeg", IF(G1007="N", "FlashAppSeg", ""))))</f>
        <v>FlashCalSeg</v>
      </c>
      <c r="O1007" s="220"/>
      <c r="P1007" s="221"/>
      <c r="Q1007" s="221"/>
      <c r="R1007" s="221"/>
    </row>
    <row r="1008" spans="1:18" x14ac:dyDescent="0.2">
      <c r="A1008" s="224" t="s">
        <v>3227</v>
      </c>
      <c r="B1008" s="225"/>
      <c r="C1008" s="226" t="s">
        <v>1850</v>
      </c>
      <c r="D1008" s="226" t="s">
        <v>220</v>
      </c>
      <c r="E1008" s="226" t="s">
        <v>3248</v>
      </c>
      <c r="F1008" s="227" t="s">
        <v>82</v>
      </c>
      <c r="G1008" s="228" t="s">
        <v>81</v>
      </c>
      <c r="H1008" s="228"/>
      <c r="I1008" s="223">
        <v>10</v>
      </c>
      <c r="J1008" s="229">
        <v>0</v>
      </c>
      <c r="K1008" s="229">
        <v>65535</v>
      </c>
      <c r="L1008" s="229" t="s">
        <v>1541</v>
      </c>
      <c r="M1008" s="229" t="s">
        <v>263</v>
      </c>
      <c r="N1008" s="230" t="str">
        <f>IF(ISERROR(MATCH(A1008,MemMap!$A$4:$A$98,0)) = FALSE, INDEX(MemMap!$B$4:$B$98,MATCH(A1008,MemMap!$A$4:$A$98,0)),IF(F1008="Y","TunSetCalSeg",IF(G1008="Y", "FlashCalSeg", IF(G1008="N", "FlashAppSeg", ""))))</f>
        <v>FlashCalSeg</v>
      </c>
      <c r="O1008" s="220"/>
      <c r="P1008" s="221"/>
      <c r="Q1008" s="221"/>
      <c r="R1008" s="221"/>
    </row>
    <row r="1009" spans="1:18" x14ac:dyDescent="0.2">
      <c r="A1009" s="224" t="s">
        <v>3709</v>
      </c>
      <c r="B1009" s="225"/>
      <c r="C1009" s="226" t="s">
        <v>1850</v>
      </c>
      <c r="D1009" s="226" t="s">
        <v>220</v>
      </c>
      <c r="E1009" s="226" t="s">
        <v>3710</v>
      </c>
      <c r="F1009" s="227" t="s">
        <v>82</v>
      </c>
      <c r="G1009" s="228" t="s">
        <v>81</v>
      </c>
      <c r="H1009" s="228"/>
      <c r="I1009" s="223">
        <v>6</v>
      </c>
      <c r="J1009" s="229">
        <v>0</v>
      </c>
      <c r="K1009" s="229">
        <v>255</v>
      </c>
      <c r="L1009" s="229" t="s">
        <v>296</v>
      </c>
      <c r="M1009" s="229" t="s">
        <v>257</v>
      </c>
      <c r="N1009" s="230" t="str">
        <f>IF(ISERROR(MATCH(A1009,MemMap!$A$4:$A$98,0)) = FALSE, INDEX(MemMap!$B$4:$B$98,MATCH(A1009,MemMap!$A$4:$A$98,0)),IF(F1009="Y","TunSetCalSeg",IF(G1009="Y", "FlashCalSeg", IF(G1009="N", "FlashAppSeg", ""))))</f>
        <v>FlashCalSeg</v>
      </c>
      <c r="O1009" s="220"/>
      <c r="P1009" s="221"/>
      <c r="Q1009" s="221"/>
      <c r="R1009" s="221"/>
    </row>
    <row r="1010" spans="1:18" x14ac:dyDescent="0.2">
      <c r="A1010" s="224" t="s">
        <v>2362</v>
      </c>
      <c r="B1010" s="225"/>
      <c r="C1010" s="226" t="s">
        <v>1850</v>
      </c>
      <c r="D1010" s="226" t="s">
        <v>220</v>
      </c>
      <c r="E1010" s="226" t="s">
        <v>2361</v>
      </c>
      <c r="F1010" s="227" t="s">
        <v>82</v>
      </c>
      <c r="G1010" s="228" t="s">
        <v>81</v>
      </c>
      <c r="H1010" s="228"/>
      <c r="I1010" s="223">
        <v>20</v>
      </c>
      <c r="J1010" s="229">
        <v>0</v>
      </c>
      <c r="K1010" s="229">
        <v>65535</v>
      </c>
      <c r="L1010" s="229" t="s">
        <v>387</v>
      </c>
      <c r="M1010" s="229" t="s">
        <v>263</v>
      </c>
      <c r="N1010" s="230" t="str">
        <f>IF(ISERROR(MATCH(A1010,MemMap!$A$4:$A$98,0)) = FALSE, INDEX(MemMap!$B$4:$B$98,MATCH(A1010,MemMap!$A$4:$A$98,0)),IF(F1010="Y","TunSetCalSeg",IF(G1010="Y", "FlashCalSeg", IF(G1010="N", "FlashAppSeg", ""))))</f>
        <v>FlashCalSeg</v>
      </c>
      <c r="O1010" s="220"/>
      <c r="P1010" s="221"/>
      <c r="Q1010" s="221"/>
      <c r="R1010" s="221"/>
    </row>
    <row r="1011" spans="1:18" x14ac:dyDescent="0.2">
      <c r="A1011" s="224" t="s">
        <v>2360</v>
      </c>
      <c r="B1011" s="225"/>
      <c r="C1011" s="226" t="s">
        <v>1850</v>
      </c>
      <c r="D1011" s="226" t="s">
        <v>220</v>
      </c>
      <c r="E1011" s="226" t="s">
        <v>2361</v>
      </c>
      <c r="F1011" s="227" t="s">
        <v>82</v>
      </c>
      <c r="G1011" s="228" t="s">
        <v>81</v>
      </c>
      <c r="H1011" s="228"/>
      <c r="I1011" s="223">
        <v>10</v>
      </c>
      <c r="J1011" s="229">
        <v>0</v>
      </c>
      <c r="K1011" s="229">
        <v>65535</v>
      </c>
      <c r="L1011" s="229" t="s">
        <v>387</v>
      </c>
      <c r="M1011" s="229" t="s">
        <v>263</v>
      </c>
      <c r="N1011" s="230" t="str">
        <f>IF(ISERROR(MATCH(A1011,MemMap!$A$4:$A$98,0)) = FALSE, INDEX(MemMap!$B$4:$B$98,MATCH(A1011,MemMap!$A$4:$A$98,0)),IF(F1011="Y","TunSetCalSeg",IF(G1011="Y", "FlashCalSeg", IF(G1011="N", "FlashAppSeg", ""))))</f>
        <v>FlashCalSeg</v>
      </c>
      <c r="O1011" s="220"/>
      <c r="P1011" s="221"/>
      <c r="Q1011" s="221"/>
      <c r="R1011" s="221"/>
    </row>
    <row r="1012" spans="1:18" x14ac:dyDescent="0.2">
      <c r="A1012" s="224" t="s">
        <v>2400</v>
      </c>
      <c r="B1012" s="225"/>
      <c r="C1012" s="226" t="s">
        <v>1850</v>
      </c>
      <c r="D1012" s="226" t="s">
        <v>220</v>
      </c>
      <c r="E1012" s="226" t="s">
        <v>2401</v>
      </c>
      <c r="F1012" s="227" t="s">
        <v>82</v>
      </c>
      <c r="G1012" s="228" t="s">
        <v>81</v>
      </c>
      <c r="H1012" s="228"/>
      <c r="I1012" s="223">
        <v>10</v>
      </c>
      <c r="J1012" s="229">
        <v>0</v>
      </c>
      <c r="K1012" s="229">
        <v>65535</v>
      </c>
      <c r="L1012" s="229" t="s">
        <v>387</v>
      </c>
      <c r="M1012" s="229" t="s">
        <v>263</v>
      </c>
      <c r="N1012" s="230" t="str">
        <f>IF(ISERROR(MATCH(A1012,MemMap!$A$4:$A$98,0)) = FALSE, INDEX(MemMap!$B$4:$B$98,MATCH(A1012,MemMap!$A$4:$A$98,0)),IF(F1012="Y","TunSetCalSeg",IF(G1012="Y", "FlashCalSeg", IF(G1012="N", "FlashAppSeg", ""))))</f>
        <v>FlashCalSeg</v>
      </c>
      <c r="O1012" s="220"/>
      <c r="P1012" s="221"/>
      <c r="Q1012" s="221"/>
      <c r="R1012" s="221"/>
    </row>
    <row r="1013" spans="1:18" x14ac:dyDescent="0.2">
      <c r="A1013" s="224" t="s">
        <v>2399</v>
      </c>
      <c r="B1013" s="225"/>
      <c r="C1013" s="226" t="s">
        <v>1850</v>
      </c>
      <c r="D1013" s="226" t="s">
        <v>220</v>
      </c>
      <c r="E1013" s="226" t="s">
        <v>2398</v>
      </c>
      <c r="F1013" s="227" t="s">
        <v>82</v>
      </c>
      <c r="G1013" s="228" t="s">
        <v>81</v>
      </c>
      <c r="H1013" s="228"/>
      <c r="I1013" s="223">
        <v>5</v>
      </c>
      <c r="J1013" s="229">
        <v>0</v>
      </c>
      <c r="K1013" s="229">
        <v>65535</v>
      </c>
      <c r="L1013" s="229" t="s">
        <v>387</v>
      </c>
      <c r="M1013" s="229" t="s">
        <v>263</v>
      </c>
      <c r="N1013" s="230" t="str">
        <f>IF(ISERROR(MATCH(A1013,MemMap!$A$4:$A$98,0)) = FALSE, INDEX(MemMap!$B$4:$B$98,MATCH(A1013,MemMap!$A$4:$A$98,0)),IF(F1013="Y","TunSetCalSeg",IF(G1013="Y", "FlashCalSeg", IF(G1013="N", "FlashAppSeg", ""))))</f>
        <v>FlashCalSeg</v>
      </c>
      <c r="O1013" s="220"/>
      <c r="P1013" s="221"/>
      <c r="Q1013" s="221"/>
      <c r="R1013" s="221"/>
    </row>
    <row r="1014" spans="1:18" x14ac:dyDescent="0.2">
      <c r="A1014" s="224" t="s">
        <v>2397</v>
      </c>
      <c r="B1014" s="225"/>
      <c r="C1014" s="226" t="s">
        <v>1850</v>
      </c>
      <c r="D1014" s="226" t="s">
        <v>220</v>
      </c>
      <c r="E1014" s="226" t="s">
        <v>2398</v>
      </c>
      <c r="F1014" s="227" t="s">
        <v>82</v>
      </c>
      <c r="G1014" s="228" t="s">
        <v>81</v>
      </c>
      <c r="H1014" s="228"/>
      <c r="I1014" s="223">
        <v>10</v>
      </c>
      <c r="J1014" s="229">
        <v>0</v>
      </c>
      <c r="K1014" s="229">
        <v>65535</v>
      </c>
      <c r="L1014" s="229" t="s">
        <v>387</v>
      </c>
      <c r="M1014" s="229" t="s">
        <v>263</v>
      </c>
      <c r="N1014" s="230" t="str">
        <f>IF(ISERROR(MATCH(A1014,MemMap!$A$4:$A$98,0)) = FALSE, INDEX(MemMap!$B$4:$B$98,MATCH(A1014,MemMap!$A$4:$A$98,0)),IF(F1014="Y","TunSetCalSeg",IF(G1014="Y", "FlashCalSeg", IF(G1014="N", "FlashAppSeg", ""))))</f>
        <v>FlashCalSeg</v>
      </c>
      <c r="O1014" s="220"/>
      <c r="P1014" s="221"/>
      <c r="Q1014" s="221"/>
      <c r="R1014" s="221"/>
    </row>
    <row r="1015" spans="1:18" ht="78.75" x14ac:dyDescent="0.2">
      <c r="A1015" s="224" t="s">
        <v>2563</v>
      </c>
      <c r="B1015" s="225"/>
      <c r="C1015" s="226" t="s">
        <v>1850</v>
      </c>
      <c r="D1015" s="226" t="s">
        <v>220</v>
      </c>
      <c r="E1015" s="226" t="s">
        <v>2401</v>
      </c>
      <c r="F1015" s="227" t="s">
        <v>82</v>
      </c>
      <c r="G1015" s="228" t="s">
        <v>81</v>
      </c>
      <c r="H1015" s="228"/>
      <c r="I1015" s="223">
        <v>6</v>
      </c>
      <c r="J1015" s="229">
        <v>0</v>
      </c>
      <c r="K1015" s="229">
        <v>655.34</v>
      </c>
      <c r="L1015" s="229" t="s">
        <v>296</v>
      </c>
      <c r="M1015" s="229" t="s">
        <v>257</v>
      </c>
      <c r="N1015" s="230" t="str">
        <f>IF(ISERROR(MATCH(A1015,MemMap!$A$4:$A$98,0)) = FALSE, INDEX(MemMap!$B$4:$B$98,MATCH(A1015,MemMap!$A$4:$A$98,0)),IF(F1015="Y","TunSetCalSeg",IF(G1015="Y", "FlashCalSeg", IF(G1015="N", "FlashAppSeg", ""))))</f>
        <v>FlashCalSeg</v>
      </c>
      <c r="O1015" s="220"/>
      <c r="P1015" s="221"/>
      <c r="Q1015" s="221"/>
      <c r="R1015" s="221"/>
    </row>
    <row r="1016" spans="1:18" x14ac:dyDescent="0.2">
      <c r="A1016" s="224" t="s">
        <v>2161</v>
      </c>
      <c r="B1016" s="225"/>
      <c r="C1016" s="226" t="s">
        <v>1850</v>
      </c>
      <c r="D1016" s="226" t="s">
        <v>220</v>
      </c>
      <c r="E1016" s="226" t="s">
        <v>2139</v>
      </c>
      <c r="F1016" s="227" t="s">
        <v>82</v>
      </c>
      <c r="G1016" s="228" t="s">
        <v>81</v>
      </c>
      <c r="H1016" s="228"/>
      <c r="I1016" s="223">
        <v>5</v>
      </c>
      <c r="J1016" s="229">
        <v>0</v>
      </c>
      <c r="K1016" s="229">
        <v>65535</v>
      </c>
      <c r="L1016" s="229" t="s">
        <v>387</v>
      </c>
      <c r="M1016" s="229" t="s">
        <v>263</v>
      </c>
      <c r="N1016" s="230" t="str">
        <f>IF(ISERROR(MATCH(A1016,MemMap!$A$4:$A$98,0)) = FALSE, INDEX(MemMap!$B$4:$B$98,MATCH(A1016,MemMap!$A$4:$A$98,0)),IF(F1016="Y","TunSetCalSeg",IF(G1016="Y", "FlashCalSeg", IF(G1016="N", "FlashAppSeg", ""))))</f>
        <v>FlashCalSeg</v>
      </c>
      <c r="O1016" s="220"/>
      <c r="P1016" s="221"/>
      <c r="Q1016" s="221"/>
      <c r="R1016" s="221"/>
    </row>
    <row r="1017" spans="1:18" x14ac:dyDescent="0.2">
      <c r="A1017" s="224" t="s">
        <v>2162</v>
      </c>
      <c r="B1017" s="225"/>
      <c r="C1017" s="226" t="s">
        <v>1850</v>
      </c>
      <c r="D1017" s="226" t="s">
        <v>220</v>
      </c>
      <c r="E1017" s="226" t="s">
        <v>2139</v>
      </c>
      <c r="F1017" s="227" t="s">
        <v>82</v>
      </c>
      <c r="G1017" s="228" t="s">
        <v>81</v>
      </c>
      <c r="H1017" s="228"/>
      <c r="I1017" s="223">
        <v>10</v>
      </c>
      <c r="J1017" s="229">
        <v>0</v>
      </c>
      <c r="K1017" s="229">
        <v>65535</v>
      </c>
      <c r="L1017" s="229" t="s">
        <v>387</v>
      </c>
      <c r="M1017" s="229" t="s">
        <v>263</v>
      </c>
      <c r="N1017" s="230" t="str">
        <f>IF(ISERROR(MATCH(A1017,MemMap!$A$4:$A$98,0)) = FALSE, INDEX(MemMap!$B$4:$B$98,MATCH(A1017,MemMap!$A$4:$A$98,0)),IF(F1017="Y","TunSetCalSeg",IF(G1017="Y", "FlashCalSeg", IF(G1017="N", "FlashAppSeg", ""))))</f>
        <v>FlashCalSeg</v>
      </c>
      <c r="O1017" s="220"/>
      <c r="P1017" s="221"/>
      <c r="Q1017" s="221"/>
      <c r="R1017" s="221"/>
    </row>
    <row r="1018" spans="1:18" x14ac:dyDescent="0.2">
      <c r="A1018" s="224" t="s">
        <v>3447</v>
      </c>
      <c r="B1018" s="225"/>
      <c r="C1018" s="226" t="s">
        <v>1851</v>
      </c>
      <c r="D1018" s="226" t="s">
        <v>3714</v>
      </c>
      <c r="E1018" s="226"/>
      <c r="F1018" s="227" t="s">
        <v>82</v>
      </c>
      <c r="G1018" s="228" t="s">
        <v>81</v>
      </c>
      <c r="H1018" s="228"/>
      <c r="I1018" s="223">
        <v>45</v>
      </c>
      <c r="J1018" s="229">
        <v>0</v>
      </c>
      <c r="K1018" s="229">
        <v>1600</v>
      </c>
      <c r="L1018" s="229" t="s">
        <v>264</v>
      </c>
      <c r="M1018" s="229" t="s">
        <v>257</v>
      </c>
      <c r="N1018" s="230" t="str">
        <f>IF(ISERROR(MATCH(A1018,MemMap!$A$4:$A$98,0)) = FALSE, INDEX(MemMap!$B$4:$B$98,MATCH(A1018,MemMap!$A$4:$A$98,0)),IF(F1018="Y","TunSetCalSeg",IF(G1018="Y", "FlashCalSeg", IF(G1018="N", "FlashAppSeg", ""))))</f>
        <v>FlashCalSeg</v>
      </c>
      <c r="O1018" s="220"/>
      <c r="P1018" s="221"/>
      <c r="Q1018" s="221"/>
      <c r="R1018" s="221"/>
    </row>
    <row r="1019" spans="1:18" x14ac:dyDescent="0.2">
      <c r="A1019" s="224" t="s">
        <v>3445</v>
      </c>
      <c r="B1019" s="225"/>
      <c r="C1019" s="226" t="s">
        <v>1851</v>
      </c>
      <c r="D1019" s="226" t="s">
        <v>220</v>
      </c>
      <c r="E1019" s="226"/>
      <c r="F1019" s="227" t="s">
        <v>82</v>
      </c>
      <c r="G1019" s="228" t="s">
        <v>81</v>
      </c>
      <c r="H1019" s="228"/>
      <c r="I1019" s="223">
        <v>7</v>
      </c>
      <c r="J1019" s="229">
        <v>0</v>
      </c>
      <c r="K1019" s="229">
        <v>10</v>
      </c>
      <c r="L1019" s="229" t="s">
        <v>261</v>
      </c>
      <c r="M1019" s="229" t="s">
        <v>257</v>
      </c>
      <c r="N1019" s="230" t="str">
        <f>IF(ISERROR(MATCH(A1019,MemMap!$A$4:$A$98,0)) = FALSE, INDEX(MemMap!$B$4:$B$98,MATCH(A1019,MemMap!$A$4:$A$98,0)),IF(F1019="Y","TunSetCalSeg",IF(G1019="Y", "FlashCalSeg", IF(G1019="N", "FlashAppSeg", ""))))</f>
        <v>FlashCalSeg</v>
      </c>
      <c r="O1019" s="220"/>
      <c r="P1019" s="221"/>
      <c r="Q1019" s="221"/>
      <c r="R1019" s="221"/>
    </row>
    <row r="1020" spans="1:18" x14ac:dyDescent="0.2">
      <c r="A1020" s="224" t="s">
        <v>3446</v>
      </c>
      <c r="B1020" s="225"/>
      <c r="C1020" s="226" t="s">
        <v>1851</v>
      </c>
      <c r="D1020" s="226" t="s">
        <v>220</v>
      </c>
      <c r="E1020" s="226"/>
      <c r="F1020" s="227" t="s">
        <v>82</v>
      </c>
      <c r="G1020" s="228" t="s">
        <v>81</v>
      </c>
      <c r="H1020" s="228"/>
      <c r="I1020" s="223">
        <v>0.873</v>
      </c>
      <c r="J1020" s="229">
        <v>0</v>
      </c>
      <c r="K1020" s="229">
        <v>32</v>
      </c>
      <c r="L1020" s="229" t="s">
        <v>1334</v>
      </c>
      <c r="M1020" s="229" t="s">
        <v>257</v>
      </c>
      <c r="N1020" s="230" t="str">
        <f>IF(ISERROR(MATCH(A1020,MemMap!$A$4:$A$98,0)) = FALSE, INDEX(MemMap!$B$4:$B$98,MATCH(A1020,MemMap!$A$4:$A$98,0)),IF(F1020="Y","TunSetCalSeg",IF(G1020="Y", "FlashCalSeg", IF(G1020="N", "FlashAppSeg", ""))))</f>
        <v>FlashCalSeg</v>
      </c>
      <c r="O1020" s="220"/>
      <c r="P1020" s="221"/>
      <c r="Q1020" s="221"/>
      <c r="R1020" s="221"/>
    </row>
    <row r="1021" spans="1:18" x14ac:dyDescent="0.2">
      <c r="A1021" s="224" t="s">
        <v>3448</v>
      </c>
      <c r="B1021" s="225"/>
      <c r="C1021" s="226" t="s">
        <v>1851</v>
      </c>
      <c r="D1021" s="226" t="s">
        <v>220</v>
      </c>
      <c r="E1021" s="226"/>
      <c r="F1021" s="227" t="s">
        <v>82</v>
      </c>
      <c r="G1021" s="228" t="s">
        <v>81</v>
      </c>
      <c r="H1021" s="228"/>
      <c r="I1021" s="223">
        <v>30</v>
      </c>
      <c r="J1021" s="229">
        <v>0</v>
      </c>
      <c r="K1021" s="229">
        <v>65535</v>
      </c>
      <c r="L1021" s="229" t="s">
        <v>269</v>
      </c>
      <c r="M1021" s="229" t="s">
        <v>263</v>
      </c>
      <c r="N1021" s="230" t="str">
        <f>IF(ISERROR(MATCH(A1021,MemMap!$A$4:$A$98,0)) = FALSE, INDEX(MemMap!$B$4:$B$98,MATCH(A1021,MemMap!$A$4:$A$98,0)),IF(F1021="Y","TunSetCalSeg",IF(G1021="Y", "FlashCalSeg", IF(G1021="N", "FlashAppSeg", ""))))</f>
        <v>FlashCalSeg</v>
      </c>
      <c r="O1021" s="220"/>
      <c r="P1021" s="221"/>
      <c r="Q1021" s="221"/>
      <c r="R1021" s="221"/>
    </row>
    <row r="1022" spans="1:18" x14ac:dyDescent="0.2">
      <c r="A1022" s="224" t="s">
        <v>3455</v>
      </c>
      <c r="B1022" s="225"/>
      <c r="C1022" s="226" t="s">
        <v>1851</v>
      </c>
      <c r="D1022" s="226" t="s">
        <v>220</v>
      </c>
      <c r="E1022" s="226"/>
      <c r="F1022" s="227" t="s">
        <v>82</v>
      </c>
      <c r="G1022" s="228" t="s">
        <v>81</v>
      </c>
      <c r="H1022" s="228"/>
      <c r="I1022" s="223">
        <v>45</v>
      </c>
      <c r="J1022" s="229">
        <v>0</v>
      </c>
      <c r="K1022" s="229">
        <v>1600</v>
      </c>
      <c r="L1022" s="229" t="s">
        <v>264</v>
      </c>
      <c r="M1022" s="229" t="s">
        <v>257</v>
      </c>
      <c r="N1022" s="230" t="str">
        <f>IF(ISERROR(MATCH(A1022,MemMap!$A$4:$A$98,0)) = FALSE, INDEX(MemMap!$B$4:$B$98,MATCH(A1022,MemMap!$A$4:$A$98,0)),IF(F1022="Y","TunSetCalSeg",IF(G1022="Y", "FlashCalSeg", IF(G1022="N", "FlashAppSeg", ""))))</f>
        <v>FlashCalSeg</v>
      </c>
      <c r="O1022" s="220"/>
      <c r="P1022" s="221"/>
      <c r="Q1022" s="221"/>
      <c r="R1022" s="221"/>
    </row>
    <row r="1023" spans="1:18" x14ac:dyDescent="0.2">
      <c r="A1023" s="224" t="s">
        <v>3449</v>
      </c>
      <c r="B1023" s="225"/>
      <c r="C1023" s="226" t="s">
        <v>1851</v>
      </c>
      <c r="D1023" s="226" t="s">
        <v>220</v>
      </c>
      <c r="E1023" s="226"/>
      <c r="F1023" s="227" t="s">
        <v>82</v>
      </c>
      <c r="G1023" s="228" t="s">
        <v>81</v>
      </c>
      <c r="H1023" s="228"/>
      <c r="I1023" s="223">
        <v>15</v>
      </c>
      <c r="J1023" s="229">
        <v>0</v>
      </c>
      <c r="K1023" s="229">
        <v>15</v>
      </c>
      <c r="L1023" s="229" t="s">
        <v>261</v>
      </c>
      <c r="M1023" s="229" t="s">
        <v>257</v>
      </c>
      <c r="N1023" s="230" t="str">
        <f>IF(ISERROR(MATCH(A1023,MemMap!$A$4:$A$98,0)) = FALSE, INDEX(MemMap!$B$4:$B$98,MATCH(A1023,MemMap!$A$4:$A$98,0)),IF(F1023="Y","TunSetCalSeg",IF(G1023="Y", "FlashCalSeg", IF(G1023="N", "FlashAppSeg", ""))))</f>
        <v>FlashCalSeg</v>
      </c>
      <c r="O1023" s="220"/>
      <c r="P1023" s="221"/>
      <c r="Q1023" s="221"/>
      <c r="R1023" s="221"/>
    </row>
    <row r="1024" spans="1:18" x14ac:dyDescent="0.2">
      <c r="A1024" s="224" t="s">
        <v>3451</v>
      </c>
      <c r="B1024" s="225"/>
      <c r="C1024" s="226" t="s">
        <v>1851</v>
      </c>
      <c r="D1024" s="226" t="s">
        <v>220</v>
      </c>
      <c r="E1024" s="226"/>
      <c r="F1024" s="227" t="s">
        <v>82</v>
      </c>
      <c r="G1024" s="228" t="s">
        <v>81</v>
      </c>
      <c r="H1024" s="228"/>
      <c r="I1024" s="223">
        <v>17.452999999999999</v>
      </c>
      <c r="J1024" s="229">
        <v>0</v>
      </c>
      <c r="K1024" s="229">
        <v>32</v>
      </c>
      <c r="L1024" s="229" t="s">
        <v>1334</v>
      </c>
      <c r="M1024" s="229" t="s">
        <v>257</v>
      </c>
      <c r="N1024" s="230" t="str">
        <f>IF(ISERROR(MATCH(A1024,MemMap!$A$4:$A$98,0)) = FALSE, INDEX(MemMap!$B$4:$B$98,MATCH(A1024,MemMap!$A$4:$A$98,0)),IF(F1024="Y","TunSetCalSeg",IF(G1024="Y", "FlashCalSeg", IF(G1024="N", "FlashAppSeg", ""))))</f>
        <v>FlashCalSeg</v>
      </c>
      <c r="O1024" s="220"/>
      <c r="P1024" s="221"/>
      <c r="Q1024" s="221"/>
      <c r="R1024" s="221"/>
    </row>
    <row r="1025" spans="1:18" ht="33.75" x14ac:dyDescent="0.2">
      <c r="A1025" s="224" t="s">
        <v>3450</v>
      </c>
      <c r="B1025" s="225"/>
      <c r="C1025" s="226" t="s">
        <v>1851</v>
      </c>
      <c r="D1025" s="226" t="s">
        <v>220</v>
      </c>
      <c r="E1025" s="226"/>
      <c r="F1025" s="227" t="s">
        <v>82</v>
      </c>
      <c r="G1025" s="228" t="s">
        <v>81</v>
      </c>
      <c r="H1025" s="228"/>
      <c r="I1025" s="223">
        <v>8.5</v>
      </c>
      <c r="J1025" s="229">
        <v>0</v>
      </c>
      <c r="K1025" s="229">
        <v>255</v>
      </c>
      <c r="L1025" s="229" t="s">
        <v>296</v>
      </c>
      <c r="M1025" s="229" t="s">
        <v>257</v>
      </c>
      <c r="N1025" s="230" t="str">
        <f>IF(ISERROR(MATCH(A1025,MemMap!$A$4:$A$98,0)) = FALSE, INDEX(MemMap!$B$4:$B$98,MATCH(A1025,MemMap!$A$4:$A$98,0)),IF(F1025="Y","TunSetCalSeg",IF(G1025="Y", "FlashCalSeg", IF(G1025="N", "FlashAppSeg", ""))))</f>
        <v>FlashCalSeg</v>
      </c>
      <c r="O1025" s="220"/>
      <c r="P1025" s="221"/>
      <c r="Q1025" s="221"/>
      <c r="R1025" s="221"/>
    </row>
    <row r="1026" spans="1:18" ht="56.25" x14ac:dyDescent="0.2">
      <c r="A1026" s="224" t="s">
        <v>2183</v>
      </c>
      <c r="B1026" s="225"/>
      <c r="C1026" s="226" t="s">
        <v>1851</v>
      </c>
      <c r="D1026" s="226" t="s">
        <v>220</v>
      </c>
      <c r="E1026" s="226"/>
      <c r="F1026" s="227" t="s">
        <v>82</v>
      </c>
      <c r="G1026" s="228" t="s">
        <v>81</v>
      </c>
      <c r="H1026" s="228"/>
      <c r="I1026" s="223">
        <v>200</v>
      </c>
      <c r="J1026" s="229">
        <v>0</v>
      </c>
      <c r="K1026" s="229">
        <v>65535</v>
      </c>
      <c r="L1026" s="229" t="s">
        <v>269</v>
      </c>
      <c r="M1026" s="229" t="s">
        <v>263</v>
      </c>
      <c r="N1026" s="230" t="str">
        <f>IF(ISERROR(MATCH(A1026,MemMap!$A$4:$A$98,0)) = FALSE, INDEX(MemMap!$B$4:$B$98,MATCH(A1026,MemMap!$A$4:$A$98,0)),IF(F1026="Y","TunSetCalSeg",IF(G1026="Y", "FlashCalSeg", IF(G1026="N", "FlashAppSeg", ""))))</f>
        <v>FlashCalSeg</v>
      </c>
      <c r="O1026" s="220"/>
      <c r="P1026" s="221"/>
      <c r="Q1026" s="221"/>
      <c r="R1026" s="221"/>
    </row>
    <row r="1027" spans="1:18" ht="33.75" x14ac:dyDescent="0.2">
      <c r="A1027" s="224" t="s">
        <v>3452</v>
      </c>
      <c r="B1027" s="225"/>
      <c r="C1027" s="226" t="s">
        <v>1851</v>
      </c>
      <c r="D1027" s="226" t="s">
        <v>220</v>
      </c>
      <c r="E1027" s="226"/>
      <c r="F1027" s="227" t="s">
        <v>82</v>
      </c>
      <c r="G1027" s="228" t="s">
        <v>81</v>
      </c>
      <c r="H1027" s="228"/>
      <c r="I1027" s="223">
        <v>0.6</v>
      </c>
      <c r="J1027" s="229">
        <v>0</v>
      </c>
      <c r="K1027" s="229">
        <v>1</v>
      </c>
      <c r="L1027" s="229" t="s">
        <v>256</v>
      </c>
      <c r="M1027" s="229" t="s">
        <v>257</v>
      </c>
      <c r="N1027" s="230" t="str">
        <f>IF(ISERROR(MATCH(A1027,MemMap!$A$4:$A$98,0)) = FALSE, INDEX(MemMap!$B$4:$B$98,MATCH(A1027,MemMap!$A$4:$A$98,0)),IF(F1027="Y","TunSetCalSeg",IF(G1027="Y", "FlashCalSeg", IF(G1027="N", "FlashAppSeg", ""))))</f>
        <v>FlashCalSeg</v>
      </c>
      <c r="O1027" s="220"/>
      <c r="P1027" s="221"/>
      <c r="Q1027" s="221"/>
      <c r="R1027" s="221"/>
    </row>
    <row r="1028" spans="1:18" ht="33.75" x14ac:dyDescent="0.2">
      <c r="A1028" s="224" t="s">
        <v>1535</v>
      </c>
      <c r="B1028" s="225" t="s">
        <v>1536</v>
      </c>
      <c r="C1028" s="226" t="s">
        <v>1469</v>
      </c>
      <c r="D1028" s="226" t="s">
        <v>216</v>
      </c>
      <c r="E1028" s="226" t="s">
        <v>1537</v>
      </c>
      <c r="F1028" s="227" t="s">
        <v>82</v>
      </c>
      <c r="G1028" s="228" t="s">
        <v>82</v>
      </c>
      <c r="H1028" s="228"/>
      <c r="I1028" s="223" t="b">
        <v>1</v>
      </c>
      <c r="J1028" s="229" t="b">
        <v>0</v>
      </c>
      <c r="K1028" s="229" t="b">
        <v>1</v>
      </c>
      <c r="L1028" s="229" t="s">
        <v>256</v>
      </c>
      <c r="M1028" s="229" t="s">
        <v>462</v>
      </c>
      <c r="N1028" s="230" t="str">
        <f>IF(ISERROR(MATCH(A1028,MemMap!$A$4:$A$98,0)) = FALSE, INDEX(MemMap!$B$4:$B$98,MATCH(A1028,MemMap!$A$4:$A$98,0)),IF(F1028="Y","TunSetCalSeg",IF(G1028="Y", "FlashCalSeg", IF(G1028="N", "FlashAppSeg", ""))))</f>
        <v>FlashAppSeg</v>
      </c>
      <c r="O1028" s="220"/>
      <c r="P1028" s="221"/>
      <c r="Q1028" s="221"/>
      <c r="R1028" s="221"/>
    </row>
    <row r="1029" spans="1:18" ht="33.75" x14ac:dyDescent="0.2">
      <c r="A1029" s="224" t="s">
        <v>1530</v>
      </c>
      <c r="B1029" s="225" t="s">
        <v>1531</v>
      </c>
      <c r="C1029" s="226" t="s">
        <v>1469</v>
      </c>
      <c r="D1029" s="226" t="s">
        <v>216</v>
      </c>
      <c r="E1029" s="226" t="s">
        <v>1532</v>
      </c>
      <c r="F1029" s="227" t="s">
        <v>0</v>
      </c>
      <c r="G1029" s="228" t="s">
        <v>81</v>
      </c>
      <c r="H1029" s="228"/>
      <c r="I1029" s="223">
        <v>30</v>
      </c>
      <c r="J1029" s="229">
        <v>0.01</v>
      </c>
      <c r="K1029" s="229">
        <v>50</v>
      </c>
      <c r="L1029" s="229" t="s">
        <v>258</v>
      </c>
      <c r="M1029" s="229" t="s">
        <v>257</v>
      </c>
      <c r="N1029" s="230" t="str">
        <f>IF(ISERROR(MATCH(A1029,MemMap!$A$4:$A$98,0)) = FALSE, INDEX(MemMap!$B$4:$B$98,MATCH(A1029,MemMap!$A$4:$A$98,0)),IF(F1029="Y","TunSetCalSeg",IF(G1029="Y", "FlashCalSeg", IF(G1029="N", "FlashAppSeg", ""))))</f>
        <v>FlashCalSeg</v>
      </c>
      <c r="O1029" s="220"/>
      <c r="P1029" s="221"/>
      <c r="Q1029" s="221"/>
      <c r="R1029" s="221"/>
    </row>
    <row r="1030" spans="1:18" ht="33.75" x14ac:dyDescent="0.2">
      <c r="A1030" s="224" t="s">
        <v>1542</v>
      </c>
      <c r="B1030" s="225" t="s">
        <v>1543</v>
      </c>
      <c r="C1030" s="226" t="s">
        <v>1469</v>
      </c>
      <c r="D1030" s="226" t="s">
        <v>216</v>
      </c>
      <c r="E1030" s="226" t="s">
        <v>1540</v>
      </c>
      <c r="F1030" s="227" t="s">
        <v>0</v>
      </c>
      <c r="G1030" s="228" t="s">
        <v>81</v>
      </c>
      <c r="H1030" s="228"/>
      <c r="I1030" s="223">
        <v>0</v>
      </c>
      <c r="J1030" s="229">
        <v>0</v>
      </c>
      <c r="K1030" s="229">
        <v>5000</v>
      </c>
      <c r="L1030" s="229" t="s">
        <v>1541</v>
      </c>
      <c r="M1030" s="229" t="s">
        <v>263</v>
      </c>
      <c r="N1030" s="230" t="str">
        <f>IF(ISERROR(MATCH(A1030,MemMap!$A$4:$A$98,0)) = FALSE, INDEX(MemMap!$B$4:$B$98,MATCH(A1030,MemMap!$A$4:$A$98,0)),IF(F1030="Y","TunSetCalSeg",IF(G1030="Y", "FlashCalSeg", IF(G1030="N", "FlashAppSeg", ""))))</f>
        <v>FlashCalSeg</v>
      </c>
      <c r="O1030" s="220"/>
      <c r="P1030" s="221"/>
      <c r="Q1030" s="221"/>
      <c r="R1030" s="221"/>
    </row>
    <row r="1031" spans="1:18" ht="33.75" x14ac:dyDescent="0.2">
      <c r="A1031" s="224" t="s">
        <v>1544</v>
      </c>
      <c r="B1031" s="225" t="s">
        <v>1545</v>
      </c>
      <c r="C1031" s="226" t="s">
        <v>1469</v>
      </c>
      <c r="D1031" s="226" t="s">
        <v>216</v>
      </c>
      <c r="E1031" s="226" t="s">
        <v>1540</v>
      </c>
      <c r="F1031" s="227" t="s">
        <v>0</v>
      </c>
      <c r="G1031" s="228" t="s">
        <v>81</v>
      </c>
      <c r="H1031" s="228"/>
      <c r="I1031" s="223">
        <v>5000</v>
      </c>
      <c r="J1031" s="229">
        <v>0</v>
      </c>
      <c r="K1031" s="229">
        <v>5000</v>
      </c>
      <c r="L1031" s="229" t="s">
        <v>1541</v>
      </c>
      <c r="M1031" s="229" t="s">
        <v>263</v>
      </c>
      <c r="N1031" s="230" t="str">
        <f>IF(ISERROR(MATCH(A1031,MemMap!$A$4:$A$98,0)) = FALSE, INDEX(MemMap!$B$4:$B$98,MATCH(A1031,MemMap!$A$4:$A$98,0)),IF(F1031="Y","TunSetCalSeg",IF(G1031="Y", "FlashCalSeg", IF(G1031="N", "FlashAppSeg", ""))))</f>
        <v>FlashCalSeg</v>
      </c>
      <c r="O1031" s="220"/>
      <c r="P1031" s="221"/>
      <c r="Q1031" s="221"/>
      <c r="R1031" s="221"/>
    </row>
    <row r="1032" spans="1:18" ht="33.75" x14ac:dyDescent="0.2">
      <c r="A1032" s="224" t="s">
        <v>1538</v>
      </c>
      <c r="B1032" s="225" t="s">
        <v>1539</v>
      </c>
      <c r="C1032" s="226" t="s">
        <v>1469</v>
      </c>
      <c r="D1032" s="226" t="s">
        <v>216</v>
      </c>
      <c r="E1032" s="226" t="s">
        <v>1540</v>
      </c>
      <c r="F1032" s="227" t="s">
        <v>0</v>
      </c>
      <c r="G1032" s="228" t="s">
        <v>81</v>
      </c>
      <c r="H1032" s="228"/>
      <c r="I1032" s="223">
        <v>0</v>
      </c>
      <c r="J1032" s="229">
        <v>0</v>
      </c>
      <c r="K1032" s="229">
        <v>5000</v>
      </c>
      <c r="L1032" s="229" t="s">
        <v>1541</v>
      </c>
      <c r="M1032" s="229" t="s">
        <v>263</v>
      </c>
      <c r="N1032" s="230" t="str">
        <f>IF(ISERROR(MATCH(A1032,MemMap!$A$4:$A$98,0)) = FALSE, INDEX(MemMap!$B$4:$B$98,MATCH(A1032,MemMap!$A$4:$A$98,0)),IF(F1032="Y","TunSetCalSeg",IF(G1032="Y", "FlashCalSeg", IF(G1032="N", "FlashAppSeg", ""))))</f>
        <v>FlashCalSeg</v>
      </c>
      <c r="O1032" s="220"/>
      <c r="P1032" s="221"/>
      <c r="Q1032" s="221"/>
      <c r="R1032" s="221"/>
    </row>
    <row r="1033" spans="1:18" ht="45" x14ac:dyDescent="0.2">
      <c r="A1033" s="224" t="s">
        <v>1533</v>
      </c>
      <c r="B1033" s="225" t="s">
        <v>1534</v>
      </c>
      <c r="C1033" s="226" t="s">
        <v>1469</v>
      </c>
      <c r="D1033" s="226" t="s">
        <v>216</v>
      </c>
      <c r="E1033" s="226"/>
      <c r="F1033" s="227" t="s">
        <v>0</v>
      </c>
      <c r="G1033" s="228" t="s">
        <v>81</v>
      </c>
      <c r="H1033" s="228"/>
      <c r="I1033" s="223">
        <v>0.15</v>
      </c>
      <c r="J1033" s="229">
        <v>0</v>
      </c>
      <c r="K1033" s="229">
        <v>8.8000000000000007</v>
      </c>
      <c r="L1033" s="229" t="s">
        <v>252</v>
      </c>
      <c r="M1033" s="229" t="s">
        <v>257</v>
      </c>
      <c r="N1033" s="230" t="str">
        <f>IF(ISERROR(MATCH(A1033,MemMap!$A$4:$A$98,0)) = FALSE, INDEX(MemMap!$B$4:$B$98,MATCH(A1033,MemMap!$A$4:$A$98,0)),IF(F1033="Y","TunSetCalSeg",IF(G1033="Y", "FlashCalSeg", IF(G1033="N", "FlashAppSeg", ""))))</f>
        <v>FlashCalSeg</v>
      </c>
      <c r="O1033" s="220"/>
      <c r="P1033" s="221"/>
      <c r="Q1033" s="221"/>
      <c r="R1033" s="221"/>
    </row>
    <row r="1034" spans="1:18" ht="45" x14ac:dyDescent="0.2">
      <c r="A1034" s="224" t="s">
        <v>1466</v>
      </c>
      <c r="B1034" s="225" t="s">
        <v>1467</v>
      </c>
      <c r="C1034" s="226" t="s">
        <v>1469</v>
      </c>
      <c r="D1034" s="226" t="s">
        <v>216</v>
      </c>
      <c r="E1034" s="226" t="s">
        <v>1468</v>
      </c>
      <c r="F1034" s="227" t="s">
        <v>0</v>
      </c>
      <c r="G1034" s="228" t="s">
        <v>81</v>
      </c>
      <c r="H1034" s="228" t="s">
        <v>1470</v>
      </c>
      <c r="I1034" s="223" t="s">
        <v>1471</v>
      </c>
      <c r="J1034" s="229">
        <v>0</v>
      </c>
      <c r="K1034" s="229">
        <v>2</v>
      </c>
      <c r="L1034" s="229" t="s">
        <v>256</v>
      </c>
      <c r="M1034" s="229" t="s">
        <v>340</v>
      </c>
      <c r="N1034" s="230" t="str">
        <f>IF(ISERROR(MATCH(A1034,MemMap!$A$4:$A$98,0)) = FALSE, INDEX(MemMap!$B$4:$B$98,MATCH(A1034,MemMap!$A$4:$A$98,0)),IF(F1034="Y","TunSetCalSeg",IF(G1034="Y", "FlashCalSeg", IF(G1034="N", "FlashAppSeg", ""))))</f>
        <v>FlashCalSeg</v>
      </c>
      <c r="O1034" s="220"/>
      <c r="P1034" s="221"/>
      <c r="Q1034" s="221"/>
      <c r="R1034" s="221"/>
    </row>
    <row r="1035" spans="1:18" ht="45" x14ac:dyDescent="0.2">
      <c r="A1035" s="224" t="s">
        <v>1472</v>
      </c>
      <c r="B1035" s="225" t="s">
        <v>1473</v>
      </c>
      <c r="C1035" s="226" t="s">
        <v>1469</v>
      </c>
      <c r="D1035" s="226" t="s">
        <v>216</v>
      </c>
      <c r="E1035" s="226" t="s">
        <v>1474</v>
      </c>
      <c r="F1035" s="227" t="s">
        <v>0</v>
      </c>
      <c r="G1035" s="228" t="s">
        <v>81</v>
      </c>
      <c r="H1035" s="228" t="s">
        <v>1475</v>
      </c>
      <c r="I1035" s="223" t="s">
        <v>1476</v>
      </c>
      <c r="J1035" s="229">
        <v>0</v>
      </c>
      <c r="K1035" s="229">
        <v>1</v>
      </c>
      <c r="L1035" s="229" t="s">
        <v>256</v>
      </c>
      <c r="M1035" s="229" t="s">
        <v>340</v>
      </c>
      <c r="N1035" s="230" t="str">
        <f>IF(ISERROR(MATCH(A1035,MemMap!$A$4:$A$98,0)) = FALSE, INDEX(MemMap!$B$4:$B$98,MATCH(A1035,MemMap!$A$4:$A$98,0)),IF(F1035="Y","TunSetCalSeg",IF(G1035="Y", "FlashCalSeg", IF(G1035="N", "FlashAppSeg", ""))))</f>
        <v>FlashCalSeg</v>
      </c>
      <c r="O1035" s="220"/>
      <c r="P1035" s="221"/>
      <c r="Q1035" s="221"/>
      <c r="R1035" s="221"/>
    </row>
    <row r="1036" spans="1:18" ht="90" x14ac:dyDescent="0.2">
      <c r="A1036" s="224" t="s">
        <v>1482</v>
      </c>
      <c r="B1036" s="225" t="s">
        <v>1483</v>
      </c>
      <c r="C1036" s="226" t="s">
        <v>1469</v>
      </c>
      <c r="D1036" s="226" t="s">
        <v>216</v>
      </c>
      <c r="E1036" s="226" t="s">
        <v>1484</v>
      </c>
      <c r="F1036" s="227" t="s">
        <v>0</v>
      </c>
      <c r="G1036" s="228" t="s">
        <v>81</v>
      </c>
      <c r="H1036" s="228" t="s">
        <v>1485</v>
      </c>
      <c r="I1036" s="223" t="s">
        <v>1486</v>
      </c>
      <c r="J1036" s="229">
        <v>0</v>
      </c>
      <c r="K1036" s="229">
        <v>10</v>
      </c>
      <c r="L1036" s="229" t="s">
        <v>261</v>
      </c>
      <c r="M1036" s="229" t="s">
        <v>253</v>
      </c>
      <c r="N1036" s="230" t="str">
        <f>IF(ISERROR(MATCH(A1036,MemMap!$A$4:$A$98,0)) = FALSE, INDEX(MemMap!$B$4:$B$98,MATCH(A1036,MemMap!$A$4:$A$98,0)),IF(F1036="Y","TunSetCalSeg",IF(G1036="Y", "FlashCalSeg", IF(G1036="N", "FlashAppSeg", ""))))</f>
        <v>FlashCalSeg</v>
      </c>
      <c r="O1036" s="220"/>
      <c r="P1036" s="221"/>
      <c r="Q1036" s="221"/>
      <c r="R1036" s="221"/>
    </row>
    <row r="1037" spans="1:18" ht="45" x14ac:dyDescent="0.2">
      <c r="A1037" s="224" t="s">
        <v>1496</v>
      </c>
      <c r="B1037" s="225" t="s">
        <v>1497</v>
      </c>
      <c r="C1037" s="226" t="s">
        <v>1469</v>
      </c>
      <c r="D1037" s="226" t="s">
        <v>216</v>
      </c>
      <c r="E1037" s="226" t="s">
        <v>1484</v>
      </c>
      <c r="F1037" s="227" t="s">
        <v>0</v>
      </c>
      <c r="G1037" s="228" t="s">
        <v>81</v>
      </c>
      <c r="H1037" s="228" t="s">
        <v>1498</v>
      </c>
      <c r="I1037" s="223" t="s">
        <v>1486</v>
      </c>
      <c r="J1037" s="229">
        <v>0</v>
      </c>
      <c r="K1037" s="229">
        <v>10</v>
      </c>
      <c r="L1037" s="229" t="s">
        <v>261</v>
      </c>
      <c r="M1037" s="229" t="s">
        <v>253</v>
      </c>
      <c r="N1037" s="230" t="str">
        <f>IF(ISERROR(MATCH(A1037,MemMap!$A$4:$A$98,0)) = FALSE, INDEX(MemMap!$B$4:$B$98,MATCH(A1037,MemMap!$A$4:$A$98,0)),IF(F1037="Y","TunSetCalSeg",IF(G1037="Y", "FlashCalSeg", IF(G1037="N", "FlashAppSeg", ""))))</f>
        <v>FlashCalSeg</v>
      </c>
      <c r="O1037" s="220"/>
      <c r="P1037" s="221"/>
      <c r="Q1037" s="221"/>
      <c r="R1037" s="221"/>
    </row>
    <row r="1038" spans="1:18" ht="33.75" x14ac:dyDescent="0.2">
      <c r="A1038" s="224" t="s">
        <v>1477</v>
      </c>
      <c r="B1038" s="225" t="s">
        <v>1478</v>
      </c>
      <c r="C1038" s="226" t="s">
        <v>1469</v>
      </c>
      <c r="D1038" s="226" t="s">
        <v>216</v>
      </c>
      <c r="E1038" s="226" t="s">
        <v>1479</v>
      </c>
      <c r="F1038" s="227" t="s">
        <v>0</v>
      </c>
      <c r="G1038" s="228" t="s">
        <v>81</v>
      </c>
      <c r="H1038" s="228" t="s">
        <v>1480</v>
      </c>
      <c r="I1038" s="223" t="s">
        <v>1481</v>
      </c>
      <c r="J1038" s="229">
        <v>0</v>
      </c>
      <c r="K1038" s="229">
        <v>255</v>
      </c>
      <c r="L1038" s="229" t="s">
        <v>296</v>
      </c>
      <c r="M1038" s="229" t="s">
        <v>336</v>
      </c>
      <c r="N1038" s="230" t="str">
        <f>IF(ISERROR(MATCH(A1038,MemMap!$A$4:$A$98,0)) = FALSE, INDEX(MemMap!$B$4:$B$98,MATCH(A1038,MemMap!$A$4:$A$98,0)),IF(F1038="Y","TunSetCalSeg",IF(G1038="Y", "FlashCalSeg", IF(G1038="N", "FlashAppSeg", ""))))</f>
        <v>FlashCalSeg</v>
      </c>
      <c r="O1038" s="220"/>
      <c r="P1038" s="221"/>
      <c r="Q1038" s="221"/>
      <c r="R1038" s="221"/>
    </row>
    <row r="1039" spans="1:18" ht="33.75" x14ac:dyDescent="0.2">
      <c r="A1039" s="224" t="s">
        <v>1505</v>
      </c>
      <c r="B1039" s="225" t="s">
        <v>1506</v>
      </c>
      <c r="C1039" s="226" t="s">
        <v>1469</v>
      </c>
      <c r="D1039" s="226" t="s">
        <v>216</v>
      </c>
      <c r="E1039" s="226" t="s">
        <v>1507</v>
      </c>
      <c r="F1039" s="227" t="s">
        <v>0</v>
      </c>
      <c r="G1039" s="228" t="s">
        <v>81</v>
      </c>
      <c r="H1039" s="228"/>
      <c r="I1039" s="223" t="s">
        <v>1508</v>
      </c>
      <c r="J1039" s="229"/>
      <c r="K1039" s="229"/>
      <c r="L1039" s="229"/>
      <c r="M1039" s="229" t="s">
        <v>1509</v>
      </c>
      <c r="N1039" s="230" t="str">
        <f>IF(ISERROR(MATCH(A1039,MemMap!$A$4:$A$98,0)) = FALSE, INDEX(MemMap!$B$4:$B$98,MATCH(A1039,MemMap!$A$4:$A$98,0)),IF(F1039="Y","TunSetCalSeg",IF(G1039="Y", "FlashCalSeg", IF(G1039="N", "FlashAppSeg", ""))))</f>
        <v>FlashCalSeg</v>
      </c>
      <c r="O1039" s="220"/>
      <c r="P1039" s="221"/>
      <c r="Q1039" s="221"/>
      <c r="R1039" s="221"/>
    </row>
    <row r="1040" spans="1:18" ht="33.75" x14ac:dyDescent="0.2">
      <c r="A1040" s="224" t="s">
        <v>1510</v>
      </c>
      <c r="B1040" s="225" t="s">
        <v>1511</v>
      </c>
      <c r="C1040" s="226" t="s">
        <v>1469</v>
      </c>
      <c r="D1040" s="226" t="s">
        <v>216</v>
      </c>
      <c r="E1040" s="226" t="s">
        <v>1512</v>
      </c>
      <c r="F1040" s="227" t="s">
        <v>0</v>
      </c>
      <c r="G1040" s="228" t="s">
        <v>81</v>
      </c>
      <c r="H1040" s="228"/>
      <c r="I1040" s="223" t="s">
        <v>1513</v>
      </c>
      <c r="J1040" s="229">
        <v>-2</v>
      </c>
      <c r="K1040" s="229">
        <v>0</v>
      </c>
      <c r="L1040" s="229" t="s">
        <v>256</v>
      </c>
      <c r="M1040" s="229" t="s">
        <v>257</v>
      </c>
      <c r="N1040" s="230" t="str">
        <f>IF(ISERROR(MATCH(A1040,MemMap!$A$4:$A$98,0)) = FALSE, INDEX(MemMap!$B$4:$B$98,MATCH(A1040,MemMap!$A$4:$A$98,0)),IF(F1040="Y","TunSetCalSeg",IF(G1040="Y", "FlashCalSeg", IF(G1040="N", "FlashAppSeg", ""))))</f>
        <v>FlashCalSeg</v>
      </c>
      <c r="O1040" s="220"/>
      <c r="P1040" s="221"/>
      <c r="Q1040" s="221"/>
      <c r="R1040" s="221"/>
    </row>
    <row r="1041" spans="1:18" ht="33.75" x14ac:dyDescent="0.2">
      <c r="A1041" s="224" t="s">
        <v>1514</v>
      </c>
      <c r="B1041" s="225" t="s">
        <v>1515</v>
      </c>
      <c r="C1041" s="226" t="s">
        <v>1469</v>
      </c>
      <c r="D1041" s="226" t="s">
        <v>216</v>
      </c>
      <c r="E1041" s="226" t="s">
        <v>1516</v>
      </c>
      <c r="F1041" s="227" t="s">
        <v>0</v>
      </c>
      <c r="G1041" s="228" t="s">
        <v>81</v>
      </c>
      <c r="H1041" s="228"/>
      <c r="I1041" s="223" t="s">
        <v>1517</v>
      </c>
      <c r="J1041" s="229">
        <v>-1</v>
      </c>
      <c r="K1041" s="229">
        <v>1</v>
      </c>
      <c r="L1041" s="229" t="s">
        <v>256</v>
      </c>
      <c r="M1041" s="229" t="s">
        <v>257</v>
      </c>
      <c r="N1041" s="230" t="str">
        <f>IF(ISERROR(MATCH(A1041,MemMap!$A$4:$A$98,0)) = FALSE, INDEX(MemMap!$B$4:$B$98,MATCH(A1041,MemMap!$A$4:$A$98,0)),IF(F1041="Y","TunSetCalSeg",IF(G1041="Y", "FlashCalSeg", IF(G1041="N", "FlashAppSeg", ""))))</f>
        <v>FlashCalSeg</v>
      </c>
      <c r="O1041" s="220"/>
      <c r="P1041" s="221"/>
      <c r="Q1041" s="221"/>
      <c r="R1041" s="221"/>
    </row>
    <row r="1042" spans="1:18" ht="45" x14ac:dyDescent="0.2">
      <c r="A1042" s="224" t="s">
        <v>1518</v>
      </c>
      <c r="B1042" s="225" t="s">
        <v>1519</v>
      </c>
      <c r="C1042" s="226" t="s">
        <v>1469</v>
      </c>
      <c r="D1042" s="226" t="s">
        <v>216</v>
      </c>
      <c r="E1042" s="226" t="s">
        <v>1520</v>
      </c>
      <c r="F1042" s="227" t="s">
        <v>0</v>
      </c>
      <c r="G1042" s="228" t="s">
        <v>81</v>
      </c>
      <c r="H1042" s="228"/>
      <c r="I1042" s="223" t="s">
        <v>1521</v>
      </c>
      <c r="J1042" s="229">
        <v>0</v>
      </c>
      <c r="K1042" s="229">
        <v>2300</v>
      </c>
      <c r="L1042" s="229" t="s">
        <v>256</v>
      </c>
      <c r="M1042" s="229" t="s">
        <v>257</v>
      </c>
      <c r="N1042" s="230" t="str">
        <f>IF(ISERROR(MATCH(A1042,MemMap!$A$4:$A$98,0)) = FALSE, INDEX(MemMap!$B$4:$B$98,MATCH(A1042,MemMap!$A$4:$A$98,0)),IF(F1042="Y","TunSetCalSeg",IF(G1042="Y", "FlashCalSeg", IF(G1042="N", "FlashAppSeg", ""))))</f>
        <v>FlashCalSeg</v>
      </c>
      <c r="O1042" s="220"/>
      <c r="P1042" s="221"/>
      <c r="Q1042" s="221"/>
      <c r="R1042" s="221"/>
    </row>
    <row r="1043" spans="1:18" ht="45" x14ac:dyDescent="0.2">
      <c r="A1043" s="224" t="s">
        <v>1522</v>
      </c>
      <c r="B1043" s="225" t="s">
        <v>1523</v>
      </c>
      <c r="C1043" s="226" t="s">
        <v>1469</v>
      </c>
      <c r="D1043" s="226" t="s">
        <v>216</v>
      </c>
      <c r="E1043" s="226" t="s">
        <v>1524</v>
      </c>
      <c r="F1043" s="227" t="s">
        <v>0</v>
      </c>
      <c r="G1043" s="228" t="s">
        <v>81</v>
      </c>
      <c r="H1043" s="228"/>
      <c r="I1043" s="223" t="s">
        <v>1525</v>
      </c>
      <c r="J1043" s="229">
        <v>-4500</v>
      </c>
      <c r="K1043" s="229">
        <v>0</v>
      </c>
      <c r="L1043" s="229" t="s">
        <v>256</v>
      </c>
      <c r="M1043" s="229" t="s">
        <v>257</v>
      </c>
      <c r="N1043" s="230" t="str">
        <f>IF(ISERROR(MATCH(A1043,MemMap!$A$4:$A$98,0)) = FALSE, INDEX(MemMap!$B$4:$B$98,MATCH(A1043,MemMap!$A$4:$A$98,0)),IF(F1043="Y","TunSetCalSeg",IF(G1043="Y", "FlashCalSeg", IF(G1043="N", "FlashAppSeg", ""))))</f>
        <v>FlashCalSeg</v>
      </c>
      <c r="O1043" s="220"/>
      <c r="P1043" s="221"/>
      <c r="Q1043" s="221"/>
      <c r="R1043" s="221"/>
    </row>
    <row r="1044" spans="1:18" ht="45" x14ac:dyDescent="0.2">
      <c r="A1044" s="224" t="s">
        <v>1526</v>
      </c>
      <c r="B1044" s="225" t="s">
        <v>1527</v>
      </c>
      <c r="C1044" s="226" t="s">
        <v>1469</v>
      </c>
      <c r="D1044" s="226" t="s">
        <v>216</v>
      </c>
      <c r="E1044" s="226" t="s">
        <v>1528</v>
      </c>
      <c r="F1044" s="227" t="s">
        <v>0</v>
      </c>
      <c r="G1044" s="228" t="s">
        <v>81</v>
      </c>
      <c r="H1044" s="228"/>
      <c r="I1044" s="223" t="s">
        <v>1529</v>
      </c>
      <c r="J1044" s="229">
        <v>-4</v>
      </c>
      <c r="K1044" s="229">
        <v>2300</v>
      </c>
      <c r="L1044" s="229" t="s">
        <v>256</v>
      </c>
      <c r="M1044" s="229" t="s">
        <v>257</v>
      </c>
      <c r="N1044" s="230" t="str">
        <f>IF(ISERROR(MATCH(A1044,MemMap!$A$4:$A$98,0)) = FALSE, INDEX(MemMap!$B$4:$B$98,MATCH(A1044,MemMap!$A$4:$A$98,0)),IF(F1044="Y","TunSetCalSeg",IF(G1044="Y", "FlashCalSeg", IF(G1044="N", "FlashAppSeg", ""))))</f>
        <v>FlashCalSeg</v>
      </c>
      <c r="O1044" s="220"/>
      <c r="P1044" s="221"/>
      <c r="Q1044" s="221"/>
      <c r="R1044" s="221"/>
    </row>
    <row r="1045" spans="1:18" ht="45" x14ac:dyDescent="0.2">
      <c r="A1045" s="224" t="s">
        <v>1492</v>
      </c>
      <c r="B1045" s="225" t="s">
        <v>1493</v>
      </c>
      <c r="C1045" s="226" t="s">
        <v>1469</v>
      </c>
      <c r="D1045" s="226" t="s">
        <v>216</v>
      </c>
      <c r="E1045" s="226" t="s">
        <v>1489</v>
      </c>
      <c r="F1045" s="227" t="s">
        <v>0</v>
      </c>
      <c r="G1045" s="228" t="s">
        <v>81</v>
      </c>
      <c r="H1045" s="228" t="s">
        <v>1494</v>
      </c>
      <c r="I1045" s="223" t="s">
        <v>1495</v>
      </c>
      <c r="J1045" s="229">
        <v>0</v>
      </c>
      <c r="K1045" s="229">
        <v>1</v>
      </c>
      <c r="L1045" s="229" t="s">
        <v>256</v>
      </c>
      <c r="M1045" s="229" t="s">
        <v>340</v>
      </c>
      <c r="N1045" s="230" t="str">
        <f>IF(ISERROR(MATCH(A1045,MemMap!$A$4:$A$98,0)) = FALSE, INDEX(MemMap!$B$4:$B$98,MATCH(A1045,MemMap!$A$4:$A$98,0)),IF(F1045="Y","TunSetCalSeg",IF(G1045="Y", "FlashCalSeg", IF(G1045="N", "FlashAppSeg", ""))))</f>
        <v>FlashCalSeg</v>
      </c>
      <c r="O1045" s="220"/>
      <c r="P1045" s="221"/>
      <c r="Q1045" s="221"/>
      <c r="R1045" s="221"/>
    </row>
    <row r="1046" spans="1:18" ht="22.5" x14ac:dyDescent="0.2">
      <c r="A1046" s="224" t="s">
        <v>1502</v>
      </c>
      <c r="B1046" s="225" t="s">
        <v>1503</v>
      </c>
      <c r="C1046" s="226" t="s">
        <v>1469</v>
      </c>
      <c r="D1046" s="226" t="s">
        <v>216</v>
      </c>
      <c r="E1046" s="226" t="s">
        <v>1489</v>
      </c>
      <c r="F1046" s="227" t="s">
        <v>0</v>
      </c>
      <c r="G1046" s="228" t="s">
        <v>81</v>
      </c>
      <c r="H1046" s="228" t="s">
        <v>1504</v>
      </c>
      <c r="I1046" s="223" t="s">
        <v>1495</v>
      </c>
      <c r="J1046" s="229">
        <v>0</v>
      </c>
      <c r="K1046" s="229">
        <v>1</v>
      </c>
      <c r="L1046" s="229" t="s">
        <v>256</v>
      </c>
      <c r="M1046" s="229" t="s">
        <v>340</v>
      </c>
      <c r="N1046" s="230" t="str">
        <f>IF(ISERROR(MATCH(A1046,MemMap!$A$4:$A$98,0)) = FALSE, INDEX(MemMap!$B$4:$B$98,MATCH(A1046,MemMap!$A$4:$A$98,0)),IF(F1046="Y","TunSetCalSeg",IF(G1046="Y", "FlashCalSeg", IF(G1046="N", "FlashAppSeg", ""))))</f>
        <v>FlashCalSeg</v>
      </c>
      <c r="O1046" s="220"/>
      <c r="P1046" s="221"/>
      <c r="Q1046" s="221"/>
      <c r="R1046" s="221"/>
    </row>
    <row r="1047" spans="1:18" ht="22.5" x14ac:dyDescent="0.2">
      <c r="A1047" s="224" t="s">
        <v>1487</v>
      </c>
      <c r="B1047" s="225" t="s">
        <v>1488</v>
      </c>
      <c r="C1047" s="226" t="s">
        <v>1469</v>
      </c>
      <c r="D1047" s="226" t="s">
        <v>216</v>
      </c>
      <c r="E1047" s="226" t="s">
        <v>1489</v>
      </c>
      <c r="F1047" s="227" t="s">
        <v>0</v>
      </c>
      <c r="G1047" s="228" t="s">
        <v>81</v>
      </c>
      <c r="H1047" s="228" t="s">
        <v>1490</v>
      </c>
      <c r="I1047" s="223" t="s">
        <v>1491</v>
      </c>
      <c r="J1047" s="229">
        <v>0</v>
      </c>
      <c r="K1047" s="229">
        <v>1</v>
      </c>
      <c r="L1047" s="229" t="s">
        <v>256</v>
      </c>
      <c r="M1047" s="229" t="s">
        <v>340</v>
      </c>
      <c r="N1047" s="230" t="str">
        <f>IF(ISERROR(MATCH(A1047,MemMap!$A$4:$A$98,0)) = FALSE, INDEX(MemMap!$B$4:$B$98,MATCH(A1047,MemMap!$A$4:$A$98,0)),IF(F1047="Y","TunSetCalSeg",IF(G1047="Y", "FlashCalSeg", IF(G1047="N", "FlashAppSeg", ""))))</f>
        <v>FlashCalSeg</v>
      </c>
      <c r="O1047" s="220"/>
      <c r="P1047" s="221"/>
      <c r="Q1047" s="221"/>
      <c r="R1047" s="221"/>
    </row>
    <row r="1048" spans="1:18" ht="22.5" x14ac:dyDescent="0.2">
      <c r="A1048" s="224" t="s">
        <v>1499</v>
      </c>
      <c r="B1048" s="225" t="s">
        <v>1500</v>
      </c>
      <c r="C1048" s="226" t="s">
        <v>1469</v>
      </c>
      <c r="D1048" s="226" t="s">
        <v>216</v>
      </c>
      <c r="E1048" s="226" t="s">
        <v>1489</v>
      </c>
      <c r="F1048" s="227" t="s">
        <v>0</v>
      </c>
      <c r="G1048" s="228" t="s">
        <v>81</v>
      </c>
      <c r="H1048" s="228" t="s">
        <v>1501</v>
      </c>
      <c r="I1048" s="223" t="s">
        <v>1491</v>
      </c>
      <c r="J1048" s="229">
        <v>0</v>
      </c>
      <c r="K1048" s="229">
        <v>1</v>
      </c>
      <c r="L1048" s="229" t="s">
        <v>256</v>
      </c>
      <c r="M1048" s="229" t="s">
        <v>340</v>
      </c>
      <c r="N1048" s="230" t="str">
        <f>IF(ISERROR(MATCH(A1048,MemMap!$A$4:$A$98,0)) = FALSE, INDEX(MemMap!$B$4:$B$98,MATCH(A1048,MemMap!$A$4:$A$98,0)),IF(F1048="Y","TunSetCalSeg",IF(G1048="Y", "FlashCalSeg", IF(G1048="N", "FlashAppSeg", ""))))</f>
        <v>FlashCalSeg</v>
      </c>
      <c r="O1048" s="220"/>
      <c r="P1048" s="221"/>
      <c r="Q1048" s="221"/>
      <c r="R1048" s="221"/>
    </row>
    <row r="1049" spans="1:18" ht="22.5" x14ac:dyDescent="0.2">
      <c r="A1049" s="224" t="s">
        <v>1829</v>
      </c>
      <c r="B1049" s="225"/>
      <c r="C1049" s="226" t="s">
        <v>1740</v>
      </c>
      <c r="D1049" s="226" t="s">
        <v>176</v>
      </c>
      <c r="E1049" s="226"/>
      <c r="F1049" s="227" t="s">
        <v>82</v>
      </c>
      <c r="G1049" s="228" t="s">
        <v>82</v>
      </c>
      <c r="H1049" s="228"/>
      <c r="I1049" s="223" t="s">
        <v>1830</v>
      </c>
      <c r="J1049" s="229"/>
      <c r="K1049" s="229"/>
      <c r="L1049" s="229"/>
      <c r="M1049" s="229" t="s">
        <v>565</v>
      </c>
      <c r="N1049" s="230" t="str">
        <f>IF(ISERROR(MATCH(A1049,MemMap!$A$4:$A$98,0)) = FALSE, INDEX(MemMap!$B$4:$B$98,MATCH(A1049,MemMap!$A$4:$A$98,0)),IF(F1049="Y","TunSetCalSeg",IF(G1049="Y", "FlashCalSeg", IF(G1049="N", "FlashAppSeg", ""))))</f>
        <v>FlashAppSeg</v>
      </c>
      <c r="O1049" s="220"/>
      <c r="P1049" s="221"/>
      <c r="Q1049" s="221"/>
      <c r="R1049" s="221"/>
    </row>
    <row r="1050" spans="1:18" ht="409.5" x14ac:dyDescent="0.2">
      <c r="A1050" s="224" t="s">
        <v>1835</v>
      </c>
      <c r="B1050" s="225" t="s">
        <v>1836</v>
      </c>
      <c r="C1050" s="226" t="s">
        <v>1740</v>
      </c>
      <c r="D1050" s="226" t="s">
        <v>176</v>
      </c>
      <c r="E1050" s="226"/>
      <c r="F1050" s="227" t="s">
        <v>82</v>
      </c>
      <c r="G1050" s="228" t="s">
        <v>82</v>
      </c>
      <c r="H1050" s="228"/>
      <c r="I1050" s="223">
        <v>1</v>
      </c>
      <c r="J1050" s="229">
        <v>0</v>
      </c>
      <c r="K1050" s="229">
        <v>255</v>
      </c>
      <c r="L1050" s="229" t="s">
        <v>267</v>
      </c>
      <c r="M1050" s="229" t="s">
        <v>263</v>
      </c>
      <c r="N1050" s="230" t="str">
        <f>IF(ISERROR(MATCH(A1050,MemMap!$A$4:$A$98,0)) = FALSE, INDEX(MemMap!$B$4:$B$98,MATCH(A1050,MemMap!$A$4:$A$98,0)),IF(F1050="Y","TunSetCalSeg",IF(G1050="Y", "FlashCalSeg", IF(G1050="N", "FlashAppSeg", ""))))</f>
        <v>FlashAppSeg</v>
      </c>
      <c r="O1050" s="220"/>
      <c r="P1050" s="221"/>
      <c r="Q1050" s="221"/>
      <c r="R1050" s="221"/>
    </row>
    <row r="1051" spans="1:18" ht="409.5" x14ac:dyDescent="0.2">
      <c r="A1051" s="224" t="s">
        <v>1833</v>
      </c>
      <c r="B1051" s="225" t="s">
        <v>1834</v>
      </c>
      <c r="C1051" s="226" t="s">
        <v>1740</v>
      </c>
      <c r="D1051" s="226" t="s">
        <v>176</v>
      </c>
      <c r="E1051" s="226"/>
      <c r="F1051" s="227" t="s">
        <v>82</v>
      </c>
      <c r="G1051" s="228" t="s">
        <v>82</v>
      </c>
      <c r="H1051" s="228"/>
      <c r="I1051" s="223">
        <v>10</v>
      </c>
      <c r="J1051" s="229">
        <v>0</v>
      </c>
      <c r="K1051" s="229">
        <v>255</v>
      </c>
      <c r="L1051" s="229" t="s">
        <v>267</v>
      </c>
      <c r="M1051" s="229" t="s">
        <v>263</v>
      </c>
      <c r="N1051" s="230" t="str">
        <f>IF(ISERROR(MATCH(A1051,MemMap!$A$4:$A$98,0)) = FALSE, INDEX(MemMap!$B$4:$B$98,MATCH(A1051,MemMap!$A$4:$A$98,0)),IF(F1051="Y","TunSetCalSeg",IF(G1051="Y", "FlashCalSeg", IF(G1051="N", "FlashAppSeg", ""))))</f>
        <v>FlashAppSeg</v>
      </c>
      <c r="O1051" s="220"/>
      <c r="P1051" s="221"/>
      <c r="Q1051" s="221"/>
      <c r="R1051" s="221"/>
    </row>
    <row r="1052" spans="1:18" ht="33.75" x14ac:dyDescent="0.2">
      <c r="A1052" s="224" t="s">
        <v>1831</v>
      </c>
      <c r="B1052" s="225" t="s">
        <v>1832</v>
      </c>
      <c r="C1052" s="226" t="s">
        <v>1740</v>
      </c>
      <c r="D1052" s="226" t="s">
        <v>176</v>
      </c>
      <c r="E1052" s="226"/>
      <c r="F1052" s="227" t="s">
        <v>82</v>
      </c>
      <c r="G1052" s="228" t="s">
        <v>82</v>
      </c>
      <c r="H1052" s="228"/>
      <c r="I1052" s="223">
        <v>21</v>
      </c>
      <c r="J1052" s="229">
        <v>0</v>
      </c>
      <c r="K1052" s="229">
        <v>255</v>
      </c>
      <c r="L1052" s="229" t="s">
        <v>267</v>
      </c>
      <c r="M1052" s="229" t="s">
        <v>263</v>
      </c>
      <c r="N1052" s="230" t="str">
        <f>IF(ISERROR(MATCH(A1052,MemMap!$A$4:$A$98,0)) = FALSE, INDEX(MemMap!$B$4:$B$98,MATCH(A1052,MemMap!$A$4:$A$98,0)),IF(F1052="Y","TunSetCalSeg",IF(G1052="Y", "FlashCalSeg", IF(G1052="N", "FlashAppSeg", ""))))</f>
        <v>FlashAppSeg</v>
      </c>
      <c r="O1052" s="220"/>
      <c r="P1052" s="221"/>
      <c r="Q1052" s="221"/>
      <c r="R1052" s="221"/>
    </row>
    <row r="1053" spans="1:18" ht="33.75" x14ac:dyDescent="0.2">
      <c r="A1053" s="224" t="s">
        <v>1553</v>
      </c>
      <c r="B1053" s="225" t="s">
        <v>1554</v>
      </c>
      <c r="C1053" s="226" t="s">
        <v>1547</v>
      </c>
      <c r="D1053" s="226" t="s">
        <v>3715</v>
      </c>
      <c r="E1053" s="226" t="s">
        <v>1555</v>
      </c>
      <c r="F1053" s="227" t="s">
        <v>82</v>
      </c>
      <c r="G1053" s="228" t="s">
        <v>82</v>
      </c>
      <c r="H1053" s="228"/>
      <c r="I1053" s="223">
        <v>1462</v>
      </c>
      <c r="J1053" s="229">
        <v>0</v>
      </c>
      <c r="K1053" s="229">
        <v>65535</v>
      </c>
      <c r="L1053" s="229" t="s">
        <v>387</v>
      </c>
      <c r="M1053" s="229" t="s">
        <v>263</v>
      </c>
      <c r="N1053" s="230" t="str">
        <f>IF(ISERROR(MATCH(A1053,MemMap!$A$4:$A$98,0)) = FALSE, INDEX(MemMap!$B$4:$B$98,MATCH(A1053,MemMap!$A$4:$A$98,0)),IF(F1053="Y","TunSetCalSeg",IF(G1053="Y", "FlashCalSeg", IF(G1053="N", "FlashAppSeg", ""))))</f>
        <v>FlashAppSeg</v>
      </c>
      <c r="O1053" s="220"/>
      <c r="P1053" s="221"/>
      <c r="Q1053" s="221"/>
      <c r="R1053" s="221"/>
    </row>
    <row r="1054" spans="1:18" ht="33.75" x14ac:dyDescent="0.2">
      <c r="A1054" s="224" t="s">
        <v>1556</v>
      </c>
      <c r="B1054" s="225" t="s">
        <v>1557</v>
      </c>
      <c r="C1054" s="226" t="s">
        <v>1547</v>
      </c>
      <c r="D1054" s="226" t="s">
        <v>3715</v>
      </c>
      <c r="E1054" s="226" t="s">
        <v>1558</v>
      </c>
      <c r="F1054" s="227" t="s">
        <v>82</v>
      </c>
      <c r="G1054" s="228" t="s">
        <v>82</v>
      </c>
      <c r="H1054" s="228"/>
      <c r="I1054" s="223">
        <v>14400</v>
      </c>
      <c r="J1054" s="229">
        <v>0</v>
      </c>
      <c r="K1054" s="229">
        <v>200000</v>
      </c>
      <c r="L1054" s="229" t="s">
        <v>387</v>
      </c>
      <c r="M1054" s="229" t="s">
        <v>303</v>
      </c>
      <c r="N1054" s="230" t="str">
        <f>IF(ISERROR(MATCH(A1054,MemMap!$A$4:$A$98,0)) = FALSE, INDEX(MemMap!$B$4:$B$98,MATCH(A1054,MemMap!$A$4:$A$98,0)),IF(F1054="Y","TunSetCalSeg",IF(G1054="Y", "FlashCalSeg", IF(G1054="N", "FlashAppSeg", ""))))</f>
        <v>FlashAppSeg</v>
      </c>
      <c r="O1054" s="220"/>
      <c r="P1054" s="221"/>
      <c r="Q1054" s="221"/>
      <c r="R1054" s="221"/>
    </row>
    <row r="1055" spans="1:18" ht="33.75" x14ac:dyDescent="0.2">
      <c r="A1055" s="224" t="s">
        <v>1549</v>
      </c>
      <c r="B1055" s="225"/>
      <c r="C1055" s="226" t="s">
        <v>1547</v>
      </c>
      <c r="D1055" s="226" t="s">
        <v>236</v>
      </c>
      <c r="E1055" s="226"/>
      <c r="F1055" s="227" t="s">
        <v>82</v>
      </c>
      <c r="G1055" s="228" t="s">
        <v>82</v>
      </c>
      <c r="H1055" s="228"/>
      <c r="I1055" s="223" t="s">
        <v>1548</v>
      </c>
      <c r="J1055" s="229"/>
      <c r="K1055" s="229"/>
      <c r="L1055" s="229"/>
      <c r="M1055" s="229" t="s">
        <v>565</v>
      </c>
      <c r="N1055" s="230" t="str">
        <f>IF(ISERROR(MATCH(A1055,MemMap!$A$4:$A$98,0)) = FALSE, INDEX(MemMap!$B$4:$B$98,MATCH(A1055,MemMap!$A$4:$A$98,0)),IF(F1055="Y","TunSetCalSeg",IF(G1055="Y", "FlashCalSeg", IF(G1055="N", "FlashAppSeg", ""))))</f>
        <v>FlashAppSeg</v>
      </c>
      <c r="O1055" s="220"/>
      <c r="P1055" s="221"/>
      <c r="Q1055" s="221"/>
      <c r="R1055" s="221"/>
    </row>
    <row r="1056" spans="1:18" ht="33.75" x14ac:dyDescent="0.2">
      <c r="A1056" s="224" t="s">
        <v>1562</v>
      </c>
      <c r="B1056" s="225"/>
      <c r="C1056" s="226" t="s">
        <v>1547</v>
      </c>
      <c r="D1056" s="226" t="s">
        <v>236</v>
      </c>
      <c r="E1056" s="226" t="s">
        <v>1563</v>
      </c>
      <c r="F1056" s="227" t="s">
        <v>82</v>
      </c>
      <c r="G1056" s="228" t="s">
        <v>82</v>
      </c>
      <c r="H1056" s="228"/>
      <c r="I1056" s="223" t="s">
        <v>1564</v>
      </c>
      <c r="J1056" s="229"/>
      <c r="K1056" s="229"/>
      <c r="L1056" s="229"/>
      <c r="M1056" s="229" t="s">
        <v>565</v>
      </c>
      <c r="N1056" s="230" t="str">
        <f>IF(ISERROR(MATCH(A1056,MemMap!$A$4:$A$98,0)) = FALSE, INDEX(MemMap!$B$4:$B$98,MATCH(A1056,MemMap!$A$4:$A$98,0)),IF(F1056="Y","TunSetCalSeg",IF(G1056="Y", "FlashCalSeg", IF(G1056="N", "FlashAppSeg", ""))))</f>
        <v>FlashAppSeg</v>
      </c>
      <c r="O1056" s="220"/>
      <c r="P1056" s="221"/>
      <c r="Q1056" s="221"/>
      <c r="R1056" s="221"/>
    </row>
    <row r="1057" spans="1:18" ht="33.75" x14ac:dyDescent="0.2">
      <c r="A1057" s="224" t="s">
        <v>1565</v>
      </c>
      <c r="B1057" s="225" t="s">
        <v>1566</v>
      </c>
      <c r="C1057" s="226" t="s">
        <v>1547</v>
      </c>
      <c r="D1057" s="226" t="s">
        <v>236</v>
      </c>
      <c r="E1057" s="226" t="s">
        <v>1567</v>
      </c>
      <c r="F1057" s="227" t="s">
        <v>82</v>
      </c>
      <c r="G1057" s="228" t="s">
        <v>82</v>
      </c>
      <c r="H1057" s="228"/>
      <c r="I1057" s="223">
        <v>1.2</v>
      </c>
      <c r="J1057" s="229">
        <v>0</v>
      </c>
      <c r="K1057" s="229">
        <v>2</v>
      </c>
      <c r="L1057" s="229" t="s">
        <v>256</v>
      </c>
      <c r="M1057" s="229" t="s">
        <v>257</v>
      </c>
      <c r="N1057" s="230" t="str">
        <f>IF(ISERROR(MATCH(A1057,MemMap!$A$4:$A$98,0)) = FALSE, INDEX(MemMap!$B$4:$B$98,MATCH(A1057,MemMap!$A$4:$A$98,0)),IF(F1057="Y","TunSetCalSeg",IF(G1057="Y", "FlashCalSeg", IF(G1057="N", "FlashAppSeg", ""))))</f>
        <v>FlashAppSeg</v>
      </c>
      <c r="O1057" s="220"/>
      <c r="P1057" s="221"/>
      <c r="Q1057" s="221"/>
      <c r="R1057" s="221"/>
    </row>
    <row r="1058" spans="1:18" ht="33.75" x14ac:dyDescent="0.2">
      <c r="A1058" s="224" t="s">
        <v>1568</v>
      </c>
      <c r="B1058" s="225" t="s">
        <v>1569</v>
      </c>
      <c r="C1058" s="226" t="s">
        <v>1547</v>
      </c>
      <c r="D1058" s="226" t="s">
        <v>236</v>
      </c>
      <c r="E1058" s="226" t="s">
        <v>1570</v>
      </c>
      <c r="F1058" s="227" t="s">
        <v>82</v>
      </c>
      <c r="G1058" s="228" t="s">
        <v>82</v>
      </c>
      <c r="H1058" s="228"/>
      <c r="I1058" s="223">
        <v>0.4</v>
      </c>
      <c r="J1058" s="229">
        <v>0</v>
      </c>
      <c r="K1058" s="229">
        <v>2</v>
      </c>
      <c r="L1058" s="229" t="s">
        <v>256</v>
      </c>
      <c r="M1058" s="229" t="s">
        <v>257</v>
      </c>
      <c r="N1058" s="230" t="str">
        <f>IF(ISERROR(MATCH(A1058,MemMap!$A$4:$A$98,0)) = FALSE, INDEX(MemMap!$B$4:$B$98,MATCH(A1058,MemMap!$A$4:$A$98,0)),IF(F1058="Y","TunSetCalSeg",IF(G1058="Y", "FlashCalSeg", IF(G1058="N", "FlashAppSeg", ""))))</f>
        <v>FlashAppSeg</v>
      </c>
      <c r="O1058" s="220"/>
      <c r="P1058" s="221"/>
      <c r="Q1058" s="221"/>
      <c r="R1058" s="221"/>
    </row>
    <row r="1059" spans="1:18" ht="409.5" x14ac:dyDescent="0.2">
      <c r="A1059" s="224" t="s">
        <v>1956</v>
      </c>
      <c r="B1059" s="225" t="s">
        <v>1957</v>
      </c>
      <c r="C1059" s="226" t="s">
        <v>1547</v>
      </c>
      <c r="D1059" s="226" t="s">
        <v>236</v>
      </c>
      <c r="E1059" s="226"/>
      <c r="F1059" s="227" t="s">
        <v>82</v>
      </c>
      <c r="G1059" s="228" t="s">
        <v>82</v>
      </c>
      <c r="H1059" s="228"/>
      <c r="I1059" s="223">
        <v>1.05</v>
      </c>
      <c r="J1059" s="229">
        <v>0.8</v>
      </c>
      <c r="K1059" s="229">
        <v>1.2</v>
      </c>
      <c r="L1059" s="229" t="s">
        <v>256</v>
      </c>
      <c r="M1059" s="229" t="s">
        <v>257</v>
      </c>
      <c r="N1059" s="230" t="str">
        <f>IF(ISERROR(MATCH(A1059,MemMap!$A$4:$A$98,0)) = FALSE, INDEX(MemMap!$B$4:$B$98,MATCH(A1059,MemMap!$A$4:$A$98,0)),IF(F1059="Y","TunSetCalSeg",IF(G1059="Y", "FlashCalSeg", IF(G1059="N", "FlashAppSeg", ""))))</f>
        <v>FlashAppSeg</v>
      </c>
      <c r="O1059" s="220"/>
      <c r="P1059" s="221"/>
      <c r="Q1059" s="221"/>
      <c r="R1059" s="221"/>
    </row>
    <row r="1060" spans="1:18" ht="409.5" x14ac:dyDescent="0.2">
      <c r="A1060" s="224" t="s">
        <v>1571</v>
      </c>
      <c r="B1060" s="225" t="s">
        <v>1572</v>
      </c>
      <c r="C1060" s="226" t="s">
        <v>1547</v>
      </c>
      <c r="D1060" s="226" t="s">
        <v>236</v>
      </c>
      <c r="E1060" s="226" t="s">
        <v>1573</v>
      </c>
      <c r="F1060" s="227" t="s">
        <v>82</v>
      </c>
      <c r="G1060" s="228" t="s">
        <v>82</v>
      </c>
      <c r="H1060" s="228"/>
      <c r="I1060" s="223">
        <v>300</v>
      </c>
      <c r="J1060" s="229">
        <v>0</v>
      </c>
      <c r="K1060" s="229">
        <v>1000</v>
      </c>
      <c r="L1060" s="229" t="s">
        <v>259</v>
      </c>
      <c r="M1060" s="229" t="s">
        <v>257</v>
      </c>
      <c r="N1060" s="230" t="str">
        <f>IF(ISERROR(MATCH(A1060,MemMap!$A$4:$A$98,0)) = FALSE, INDEX(MemMap!$B$4:$B$98,MATCH(A1060,MemMap!$A$4:$A$98,0)),IF(F1060="Y","TunSetCalSeg",IF(G1060="Y", "FlashCalSeg", IF(G1060="N", "FlashAppSeg", ""))))</f>
        <v>FlashAppSeg</v>
      </c>
      <c r="O1060" s="220"/>
      <c r="P1060" s="221"/>
      <c r="Q1060" s="221"/>
      <c r="R1060" s="221"/>
    </row>
    <row r="1061" spans="1:18" ht="33.75" x14ac:dyDescent="0.2">
      <c r="A1061" s="224" t="s">
        <v>1546</v>
      </c>
      <c r="B1061" s="225"/>
      <c r="C1061" s="226" t="s">
        <v>1547</v>
      </c>
      <c r="D1061" s="226" t="s">
        <v>236</v>
      </c>
      <c r="E1061" s="226"/>
      <c r="F1061" s="227" t="s">
        <v>82</v>
      </c>
      <c r="G1061" s="228" t="s">
        <v>82</v>
      </c>
      <c r="H1061" s="228"/>
      <c r="I1061" s="223" t="s">
        <v>1548</v>
      </c>
      <c r="J1061" s="229"/>
      <c r="K1061" s="229"/>
      <c r="L1061" s="229"/>
      <c r="M1061" s="229" t="s">
        <v>565</v>
      </c>
      <c r="N1061" s="230" t="str">
        <f>IF(ISERROR(MATCH(A1061,MemMap!$A$4:$A$98,0)) = FALSE, INDEX(MemMap!$B$4:$B$98,MATCH(A1061,MemMap!$A$4:$A$98,0)),IF(F1061="Y","TunSetCalSeg",IF(G1061="Y", "FlashCalSeg", IF(G1061="N", "FlashAppSeg", ""))))</f>
        <v>FlashAppSeg</v>
      </c>
      <c r="O1061" s="220"/>
      <c r="P1061" s="221"/>
      <c r="Q1061" s="221"/>
      <c r="R1061" s="221"/>
    </row>
    <row r="1062" spans="1:18" ht="33.75" x14ac:dyDescent="0.2">
      <c r="A1062" s="224" t="s">
        <v>1559</v>
      </c>
      <c r="B1062" s="225" t="s">
        <v>1560</v>
      </c>
      <c r="C1062" s="226" t="s">
        <v>1547</v>
      </c>
      <c r="D1062" s="226" t="s">
        <v>3715</v>
      </c>
      <c r="E1062" s="226" t="s">
        <v>1561</v>
      </c>
      <c r="F1062" s="227" t="s">
        <v>82</v>
      </c>
      <c r="G1062" s="228" t="s">
        <v>82</v>
      </c>
      <c r="H1062" s="228"/>
      <c r="I1062" s="223">
        <v>5760</v>
      </c>
      <c r="J1062" s="229">
        <v>0</v>
      </c>
      <c r="K1062" s="229">
        <v>200000</v>
      </c>
      <c r="L1062" s="229" t="s">
        <v>387</v>
      </c>
      <c r="M1062" s="229" t="s">
        <v>303</v>
      </c>
      <c r="N1062" s="230" t="str">
        <f>IF(ISERROR(MATCH(A1062,MemMap!$A$4:$A$98,0)) = FALSE, INDEX(MemMap!$B$4:$B$98,MATCH(A1062,MemMap!$A$4:$A$98,0)),IF(F1062="Y","TunSetCalSeg",IF(G1062="Y", "FlashCalSeg", IF(G1062="N", "FlashAppSeg", ""))))</f>
        <v>FlashAppSeg</v>
      </c>
      <c r="O1062" s="220"/>
      <c r="P1062" s="221"/>
      <c r="Q1062" s="221"/>
      <c r="R1062" s="221"/>
    </row>
    <row r="1063" spans="1:18" ht="33.75" x14ac:dyDescent="0.2">
      <c r="A1063" s="224" t="s">
        <v>1550</v>
      </c>
      <c r="B1063" s="225" t="s">
        <v>1551</v>
      </c>
      <c r="C1063" s="226" t="s">
        <v>1547</v>
      </c>
      <c r="D1063" s="226" t="s">
        <v>3715</v>
      </c>
      <c r="E1063" s="226" t="s">
        <v>1552</v>
      </c>
      <c r="F1063" s="227" t="s">
        <v>82</v>
      </c>
      <c r="G1063" s="228" t="s">
        <v>82</v>
      </c>
      <c r="H1063" s="228"/>
      <c r="I1063" s="223">
        <v>0</v>
      </c>
      <c r="J1063" s="229">
        <v>-10000</v>
      </c>
      <c r="K1063" s="229">
        <v>10000</v>
      </c>
      <c r="L1063" s="229" t="s">
        <v>387</v>
      </c>
      <c r="M1063" s="229" t="s">
        <v>929</v>
      </c>
      <c r="N1063" s="230" t="str">
        <f>IF(ISERROR(MATCH(A1063,MemMap!$A$4:$A$98,0)) = FALSE, INDEX(MemMap!$B$4:$B$98,MATCH(A1063,MemMap!$A$4:$A$98,0)),IF(F1063="Y","TunSetCalSeg",IF(G1063="Y", "FlashCalSeg", IF(G1063="N", "FlashAppSeg", ""))))</f>
        <v>FlashAppSeg</v>
      </c>
      <c r="O1063" s="220"/>
      <c r="P1063" s="221"/>
      <c r="Q1063" s="221"/>
      <c r="R1063" s="221"/>
    </row>
    <row r="1064" spans="1:18" ht="33.75" x14ac:dyDescent="0.2">
      <c r="A1064" s="224" t="s">
        <v>1574</v>
      </c>
      <c r="B1064" s="225" t="s">
        <v>1574</v>
      </c>
      <c r="C1064" s="226" t="s">
        <v>1576</v>
      </c>
      <c r="D1064" s="226" t="s">
        <v>178</v>
      </c>
      <c r="E1064" s="226" t="s">
        <v>1575</v>
      </c>
      <c r="F1064" s="227" t="s">
        <v>82</v>
      </c>
      <c r="G1064" s="228" t="s">
        <v>82</v>
      </c>
      <c r="H1064" s="228"/>
      <c r="I1064" s="223">
        <v>20</v>
      </c>
      <c r="J1064" s="229">
        <v>0</v>
      </c>
      <c r="K1064" s="229">
        <v>65535</v>
      </c>
      <c r="L1064" s="229" t="s">
        <v>267</v>
      </c>
      <c r="M1064" s="229" t="s">
        <v>263</v>
      </c>
      <c r="N1064" s="230" t="str">
        <f>IF(ISERROR(MATCH(A1064,MemMap!$A$4:$A$98,0)) = FALSE, INDEX(MemMap!$B$4:$B$98,MATCH(A1064,MemMap!$A$4:$A$98,0)),IF(F1064="Y","TunSetCalSeg",IF(G1064="Y", "FlashCalSeg", IF(G1064="N", "FlashAppSeg", ""))))</f>
        <v>FlashAppSeg</v>
      </c>
      <c r="O1064" s="220"/>
      <c r="P1064" s="221"/>
      <c r="Q1064" s="221"/>
      <c r="R1064" s="221"/>
    </row>
    <row r="1065" spans="1:18" ht="33.75" x14ac:dyDescent="0.2">
      <c r="A1065" s="224" t="s">
        <v>2048</v>
      </c>
      <c r="B1065" s="225" t="s">
        <v>2049</v>
      </c>
      <c r="C1065" s="226" t="s">
        <v>1576</v>
      </c>
      <c r="D1065" s="226" t="s">
        <v>178</v>
      </c>
      <c r="E1065" s="226" t="s">
        <v>2050</v>
      </c>
      <c r="F1065" s="227" t="s">
        <v>82</v>
      </c>
      <c r="G1065" s="228" t="s">
        <v>82</v>
      </c>
      <c r="H1065" s="228"/>
      <c r="I1065" s="223">
        <v>16000</v>
      </c>
      <c r="J1065" s="229">
        <v>14000</v>
      </c>
      <c r="K1065" s="229">
        <v>22000</v>
      </c>
      <c r="L1065" s="229" t="s">
        <v>258</v>
      </c>
      <c r="M1065" s="229" t="s">
        <v>263</v>
      </c>
      <c r="N1065" s="230" t="str">
        <f>IF(ISERROR(MATCH(A1065,MemMap!$A$4:$A$98,0)) = FALSE, INDEX(MemMap!$B$4:$B$98,MATCH(A1065,MemMap!$A$4:$A$98,0)),IF(F1065="Y","TunSetCalSeg",IF(G1065="Y", "FlashCalSeg", IF(G1065="N", "FlashAppSeg", ""))))</f>
        <v>FlashAppSeg</v>
      </c>
      <c r="O1065" s="220"/>
      <c r="P1065" s="221"/>
      <c r="Q1065" s="221"/>
      <c r="R1065" s="221"/>
    </row>
    <row r="1066" spans="1:18" ht="33.75" x14ac:dyDescent="0.2">
      <c r="A1066" s="224" t="s">
        <v>1667</v>
      </c>
      <c r="B1066" s="225"/>
      <c r="C1066" s="226" t="s">
        <v>1580</v>
      </c>
      <c r="D1066" s="226" t="s">
        <v>1581</v>
      </c>
      <c r="E1066" s="226"/>
      <c r="F1066" s="227" t="s">
        <v>82</v>
      </c>
      <c r="G1066" s="228" t="s">
        <v>82</v>
      </c>
      <c r="H1066" s="228"/>
      <c r="I1066" s="223" t="s">
        <v>1972</v>
      </c>
      <c r="J1066" s="229"/>
      <c r="K1066" s="229"/>
      <c r="L1066" s="229"/>
      <c r="M1066" s="229" t="s">
        <v>565</v>
      </c>
      <c r="N1066" s="230" t="str">
        <f>IF(ISERROR(MATCH(A1066,MemMap!$A$4:$A$98,0)) = FALSE, INDEX(MemMap!$B$4:$B$98,MATCH(A1066,MemMap!$A$4:$A$98,0)),IF(F1066="Y","TunSetCalSeg",IF(G1066="Y", "FlashCalSeg", IF(G1066="N", "FlashAppSeg", ""))))</f>
        <v>FlashAppSeg</v>
      </c>
      <c r="O1066" s="220"/>
      <c r="P1066" s="221"/>
      <c r="Q1066" s="221"/>
      <c r="R1066" s="221"/>
    </row>
    <row r="1067" spans="1:18" ht="45" x14ac:dyDescent="0.2">
      <c r="A1067" s="224" t="s">
        <v>1674</v>
      </c>
      <c r="B1067" s="225" t="s">
        <v>1675</v>
      </c>
      <c r="C1067" s="226" t="s">
        <v>1580</v>
      </c>
      <c r="D1067" s="226" t="s">
        <v>1581</v>
      </c>
      <c r="E1067" s="226" t="s">
        <v>1676</v>
      </c>
      <c r="F1067" s="227" t="s">
        <v>82</v>
      </c>
      <c r="G1067" s="228" t="s">
        <v>82</v>
      </c>
      <c r="H1067" s="228"/>
      <c r="I1067" s="223">
        <v>1</v>
      </c>
      <c r="J1067" s="229">
        <v>0</v>
      </c>
      <c r="K1067" s="229">
        <v>15</v>
      </c>
      <c r="L1067" s="229" t="s">
        <v>387</v>
      </c>
      <c r="M1067" s="229" t="s">
        <v>263</v>
      </c>
      <c r="N1067" s="230" t="str">
        <f>IF(ISERROR(MATCH(A1067,MemMap!$A$4:$A$98,0)) = FALSE, INDEX(MemMap!$B$4:$B$98,MATCH(A1067,MemMap!$A$4:$A$98,0)),IF(F1067="Y","TunSetCalSeg",IF(G1067="Y", "FlashCalSeg", IF(G1067="N", "FlashAppSeg", ""))))</f>
        <v>FlashAppSeg</v>
      </c>
      <c r="O1067" s="220"/>
      <c r="P1067" s="221"/>
      <c r="Q1067" s="221"/>
      <c r="R1067" s="221"/>
    </row>
    <row r="1068" spans="1:18" ht="33.75" x14ac:dyDescent="0.2">
      <c r="A1068" s="224" t="s">
        <v>1671</v>
      </c>
      <c r="B1068" s="225" t="s">
        <v>1672</v>
      </c>
      <c r="C1068" s="226" t="s">
        <v>1580</v>
      </c>
      <c r="D1068" s="226" t="s">
        <v>1581</v>
      </c>
      <c r="E1068" s="226" t="s">
        <v>1673</v>
      </c>
      <c r="F1068" s="227" t="s">
        <v>82</v>
      </c>
      <c r="G1068" s="228" t="s">
        <v>82</v>
      </c>
      <c r="H1068" s="228"/>
      <c r="I1068" s="223">
        <v>2</v>
      </c>
      <c r="J1068" s="229">
        <v>0</v>
      </c>
      <c r="K1068" s="229">
        <v>15</v>
      </c>
      <c r="L1068" s="229" t="s">
        <v>387</v>
      </c>
      <c r="M1068" s="229" t="s">
        <v>263</v>
      </c>
      <c r="N1068" s="230" t="str">
        <f>IF(ISERROR(MATCH(A1068,MemMap!$A$4:$A$98,0)) = FALSE, INDEX(MemMap!$B$4:$B$98,MATCH(A1068,MemMap!$A$4:$A$98,0)),IF(F1068="Y","TunSetCalSeg",IF(G1068="Y", "FlashCalSeg", IF(G1068="N", "FlashAppSeg", ""))))</f>
        <v>FlashAppSeg</v>
      </c>
      <c r="O1068" s="220"/>
      <c r="P1068" s="221"/>
      <c r="Q1068" s="221"/>
      <c r="R1068" s="221"/>
    </row>
    <row r="1069" spans="1:18" ht="33.75" x14ac:dyDescent="0.2">
      <c r="A1069" s="224" t="s">
        <v>1668</v>
      </c>
      <c r="B1069" s="225" t="s">
        <v>1669</v>
      </c>
      <c r="C1069" s="226" t="s">
        <v>1580</v>
      </c>
      <c r="D1069" s="226" t="s">
        <v>1581</v>
      </c>
      <c r="E1069" s="226" t="s">
        <v>1670</v>
      </c>
      <c r="F1069" s="227" t="s">
        <v>82</v>
      </c>
      <c r="G1069" s="228" t="s">
        <v>82</v>
      </c>
      <c r="H1069" s="228"/>
      <c r="I1069" s="223">
        <v>140</v>
      </c>
      <c r="J1069" s="229">
        <v>0</v>
      </c>
      <c r="K1069" s="229">
        <v>255</v>
      </c>
      <c r="L1069" s="229" t="s">
        <v>387</v>
      </c>
      <c r="M1069" s="229" t="s">
        <v>263</v>
      </c>
      <c r="N1069" s="230" t="str">
        <f>IF(ISERROR(MATCH(A1069,MemMap!$A$4:$A$98,0)) = FALSE, INDEX(MemMap!$B$4:$B$98,MATCH(A1069,MemMap!$A$4:$A$98,0)),IF(F1069="Y","TunSetCalSeg",IF(G1069="Y", "FlashCalSeg", IF(G1069="N", "FlashAppSeg", ""))))</f>
        <v>FlashAppSeg</v>
      </c>
      <c r="O1069" s="220"/>
      <c r="P1069" s="221"/>
      <c r="Q1069" s="221"/>
      <c r="R1069" s="221"/>
    </row>
    <row r="1070" spans="1:18" ht="33.75" x14ac:dyDescent="0.2">
      <c r="A1070" s="224" t="s">
        <v>1662</v>
      </c>
      <c r="B1070" s="225" t="s">
        <v>1663</v>
      </c>
      <c r="C1070" s="226" t="s">
        <v>1580</v>
      </c>
      <c r="D1070" s="226" t="s">
        <v>1581</v>
      </c>
      <c r="E1070" s="226" t="s">
        <v>1664</v>
      </c>
      <c r="F1070" s="227" t="s">
        <v>82</v>
      </c>
      <c r="G1070" s="228" t="s">
        <v>82</v>
      </c>
      <c r="H1070" s="228"/>
      <c r="I1070" s="223">
        <v>2.3438000000000001E-2</v>
      </c>
      <c r="J1070" s="229">
        <v>0</v>
      </c>
      <c r="K1070" s="229">
        <v>8.8000000000000007</v>
      </c>
      <c r="L1070" s="229" t="s">
        <v>252</v>
      </c>
      <c r="M1070" s="229" t="s">
        <v>257</v>
      </c>
      <c r="N1070" s="230" t="str">
        <f>IF(ISERROR(MATCH(A1070,MemMap!$A$4:$A$98,0)) = FALSE, INDEX(MemMap!$B$4:$B$98,MATCH(A1070,MemMap!$A$4:$A$98,0)),IF(F1070="Y","TunSetCalSeg",IF(G1070="Y", "FlashCalSeg", IF(G1070="N", "FlashAppSeg", ""))))</f>
        <v>FlashAppSeg</v>
      </c>
      <c r="O1070" s="220"/>
      <c r="P1070" s="221"/>
      <c r="Q1070" s="221"/>
      <c r="R1070" s="221"/>
    </row>
    <row r="1071" spans="1:18" ht="45" x14ac:dyDescent="0.2">
      <c r="A1071" s="224" t="s">
        <v>1582</v>
      </c>
      <c r="B1071" s="225" t="s">
        <v>1583</v>
      </c>
      <c r="C1071" s="226" t="s">
        <v>1580</v>
      </c>
      <c r="D1071" s="226" t="s">
        <v>1581</v>
      </c>
      <c r="E1071" s="226" t="s">
        <v>1584</v>
      </c>
      <c r="F1071" s="227" t="s">
        <v>82</v>
      </c>
      <c r="G1071" s="228" t="s">
        <v>82</v>
      </c>
      <c r="H1071" s="228"/>
      <c r="I1071" s="223" t="b">
        <v>1</v>
      </c>
      <c r="J1071" s="229" t="b">
        <v>0</v>
      </c>
      <c r="K1071" s="229" t="b">
        <v>1</v>
      </c>
      <c r="L1071" s="229" t="s">
        <v>387</v>
      </c>
      <c r="M1071" s="229" t="s">
        <v>462</v>
      </c>
      <c r="N1071" s="230" t="str">
        <f>IF(ISERROR(MATCH(A1071,MemMap!$A$4:$A$98,0)) = FALSE, INDEX(MemMap!$B$4:$B$98,MATCH(A1071,MemMap!$A$4:$A$98,0)),IF(F1071="Y","TunSetCalSeg",IF(G1071="Y", "FlashCalSeg", IF(G1071="N", "FlashAppSeg", ""))))</f>
        <v>FlashAppSeg</v>
      </c>
      <c r="O1071" s="220"/>
      <c r="P1071" s="221"/>
      <c r="Q1071" s="221"/>
      <c r="R1071" s="221"/>
    </row>
    <row r="1072" spans="1:18" ht="33.75" x14ac:dyDescent="0.2">
      <c r="A1072" s="224" t="s">
        <v>1688</v>
      </c>
      <c r="B1072" s="225" t="s">
        <v>2091</v>
      </c>
      <c r="C1072" s="226" t="s">
        <v>1580</v>
      </c>
      <c r="D1072" s="226" t="s">
        <v>1581</v>
      </c>
      <c r="E1072" s="226"/>
      <c r="F1072" s="227" t="s">
        <v>82</v>
      </c>
      <c r="G1072" s="228" t="s">
        <v>82</v>
      </c>
      <c r="H1072" s="228"/>
      <c r="I1072" s="223">
        <v>20000</v>
      </c>
      <c r="J1072" s="229">
        <v>0</v>
      </c>
      <c r="K1072" s="229">
        <v>20000</v>
      </c>
      <c r="L1072" s="229" t="s">
        <v>612</v>
      </c>
      <c r="M1072" s="229" t="s">
        <v>257</v>
      </c>
      <c r="N1072" s="230" t="str">
        <f>IF(ISERROR(MATCH(A1072,MemMap!$A$4:$A$98,0)) = FALSE, INDEX(MemMap!$B$4:$B$98,MATCH(A1072,MemMap!$A$4:$A$98,0)),IF(F1072="Y","TunSetCalSeg",IF(G1072="Y", "FlashCalSeg", IF(G1072="N", "FlashAppSeg", ""))))</f>
        <v>FlashAppSeg</v>
      </c>
      <c r="O1072" s="220"/>
      <c r="P1072" s="221"/>
      <c r="Q1072" s="221"/>
      <c r="R1072" s="221"/>
    </row>
    <row r="1073" spans="1:18" ht="33.75" x14ac:dyDescent="0.2">
      <c r="A1073" s="224" t="s">
        <v>1677</v>
      </c>
      <c r="B1073" s="225" t="s">
        <v>1678</v>
      </c>
      <c r="C1073" s="226" t="s">
        <v>1580</v>
      </c>
      <c r="D1073" s="226" t="s">
        <v>1581</v>
      </c>
      <c r="E1073" s="226" t="s">
        <v>1679</v>
      </c>
      <c r="F1073" s="227" t="s">
        <v>82</v>
      </c>
      <c r="G1073" s="228" t="s">
        <v>82</v>
      </c>
      <c r="H1073" s="228"/>
      <c r="I1073" s="223">
        <v>92</v>
      </c>
      <c r="J1073" s="229">
        <v>0</v>
      </c>
      <c r="K1073" s="229">
        <v>100</v>
      </c>
      <c r="L1073" s="229" t="s">
        <v>288</v>
      </c>
      <c r="M1073" s="229" t="s">
        <v>388</v>
      </c>
      <c r="N1073" s="230" t="str">
        <f>IF(ISERROR(MATCH(A1073,MemMap!$A$4:$A$98,0)) = FALSE, INDEX(MemMap!$B$4:$B$98,MATCH(A1073,MemMap!$A$4:$A$98,0)),IF(F1073="Y","TunSetCalSeg",IF(G1073="Y", "FlashCalSeg", IF(G1073="N", "FlashAppSeg", ""))))</f>
        <v>FlashAppSeg</v>
      </c>
      <c r="O1073" s="220"/>
      <c r="P1073" s="221"/>
      <c r="Q1073" s="221"/>
      <c r="R1073" s="221"/>
    </row>
    <row r="1074" spans="1:18" ht="33.75" x14ac:dyDescent="0.2">
      <c r="A1074" s="224" t="s">
        <v>1577</v>
      </c>
      <c r="B1074" s="225" t="s">
        <v>1578</v>
      </c>
      <c r="C1074" s="226" t="s">
        <v>1580</v>
      </c>
      <c r="D1074" s="226" t="s">
        <v>1581</v>
      </c>
      <c r="E1074" s="226" t="s">
        <v>1579</v>
      </c>
      <c r="F1074" s="227" t="s">
        <v>82</v>
      </c>
      <c r="G1074" s="228" t="s">
        <v>82</v>
      </c>
      <c r="H1074" s="228"/>
      <c r="I1074" s="223">
        <v>70</v>
      </c>
      <c r="J1074" s="229">
        <v>-40</v>
      </c>
      <c r="K1074" s="229">
        <v>150</v>
      </c>
      <c r="L1074" s="229" t="s">
        <v>519</v>
      </c>
      <c r="M1074" s="229" t="s">
        <v>257</v>
      </c>
      <c r="N1074" s="230" t="str">
        <f>IF(ISERROR(MATCH(A1074,MemMap!$A$4:$A$98,0)) = FALSE, INDEX(MemMap!$B$4:$B$98,MATCH(A1074,MemMap!$A$4:$A$98,0)),IF(F1074="Y","TunSetCalSeg",IF(G1074="Y", "FlashCalSeg", IF(G1074="N", "FlashAppSeg", ""))))</f>
        <v>FlashAppSeg</v>
      </c>
      <c r="O1074" s="220"/>
      <c r="P1074" s="221"/>
      <c r="Q1074" s="221"/>
      <c r="R1074" s="221"/>
    </row>
    <row r="1075" spans="1:18" ht="33.75" x14ac:dyDescent="0.2">
      <c r="A1075" s="224" t="s">
        <v>2092</v>
      </c>
      <c r="B1075" s="225" t="s">
        <v>2093</v>
      </c>
      <c r="C1075" s="226" t="s">
        <v>1580</v>
      </c>
      <c r="D1075" s="226" t="s">
        <v>1581</v>
      </c>
      <c r="E1075" s="226"/>
      <c r="F1075" s="227" t="s">
        <v>82</v>
      </c>
      <c r="G1075" s="228" t="s">
        <v>82</v>
      </c>
      <c r="H1075" s="228"/>
      <c r="I1075" s="223" t="b">
        <v>0</v>
      </c>
      <c r="J1075" s="229" t="b">
        <v>0</v>
      </c>
      <c r="K1075" s="229" t="b">
        <v>1</v>
      </c>
      <c r="L1075" s="229" t="s">
        <v>387</v>
      </c>
      <c r="M1075" s="229" t="s">
        <v>462</v>
      </c>
      <c r="N1075" s="230" t="str">
        <f>IF(ISERROR(MATCH(A1075,MemMap!$A$4:$A$98,0)) = FALSE, INDEX(MemMap!$B$4:$B$98,MATCH(A1075,MemMap!$A$4:$A$98,0)),IF(F1075="Y","TunSetCalSeg",IF(G1075="Y", "FlashCalSeg", IF(G1075="N", "FlashAppSeg", ""))))</f>
        <v>FlashAppSeg</v>
      </c>
      <c r="O1075" s="220"/>
      <c r="P1075" s="221"/>
      <c r="Q1075" s="221"/>
      <c r="R1075" s="221"/>
    </row>
    <row r="1076" spans="1:18" ht="33.75" x14ac:dyDescent="0.2">
      <c r="A1076" s="224" t="s">
        <v>2094</v>
      </c>
      <c r="B1076" s="225" t="s">
        <v>2095</v>
      </c>
      <c r="C1076" s="226" t="s">
        <v>1580</v>
      </c>
      <c r="D1076" s="226" t="s">
        <v>1581</v>
      </c>
      <c r="E1076" s="226"/>
      <c r="F1076" s="227" t="s">
        <v>82</v>
      </c>
      <c r="G1076" s="228" t="s">
        <v>82</v>
      </c>
      <c r="H1076" s="228"/>
      <c r="I1076" s="223">
        <v>0.5</v>
      </c>
      <c r="J1076" s="229">
        <v>0</v>
      </c>
      <c r="K1076" s="229">
        <v>60</v>
      </c>
      <c r="L1076" s="229" t="s">
        <v>612</v>
      </c>
      <c r="M1076" s="229" t="s">
        <v>257</v>
      </c>
      <c r="N1076" s="230" t="str">
        <f>IF(ISERROR(MATCH(A1076,MemMap!$A$4:$A$98,0)) = FALSE, INDEX(MemMap!$B$4:$B$98,MATCH(A1076,MemMap!$A$4:$A$98,0)),IF(F1076="Y","TunSetCalSeg",IF(G1076="Y", "FlashCalSeg", IF(G1076="N", "FlashAppSeg", ""))))</f>
        <v>FlashAppSeg</v>
      </c>
      <c r="O1076" s="220"/>
      <c r="P1076" s="221"/>
      <c r="Q1076" s="221"/>
      <c r="R1076" s="221"/>
    </row>
    <row r="1077" spans="1:18" ht="33.75" x14ac:dyDescent="0.2">
      <c r="A1077" s="224" t="s">
        <v>1585</v>
      </c>
      <c r="B1077" s="225" t="s">
        <v>1586</v>
      </c>
      <c r="C1077" s="226" t="s">
        <v>1580</v>
      </c>
      <c r="D1077" s="226" t="s">
        <v>1581</v>
      </c>
      <c r="E1077" s="226" t="s">
        <v>1587</v>
      </c>
      <c r="F1077" s="227" t="s">
        <v>82</v>
      </c>
      <c r="G1077" s="228" t="s">
        <v>82</v>
      </c>
      <c r="H1077" s="228"/>
      <c r="I1077" s="223" t="b">
        <v>1</v>
      </c>
      <c r="J1077" s="229" t="b">
        <v>0</v>
      </c>
      <c r="K1077" s="229" t="b">
        <v>1</v>
      </c>
      <c r="L1077" s="229" t="s">
        <v>387</v>
      </c>
      <c r="M1077" s="229" t="s">
        <v>462</v>
      </c>
      <c r="N1077" s="230" t="str">
        <f>IF(ISERROR(MATCH(A1077,MemMap!$A$4:$A$98,0)) = FALSE, INDEX(MemMap!$B$4:$B$98,MATCH(A1077,MemMap!$A$4:$A$98,0)),IF(F1077="Y","TunSetCalSeg",IF(G1077="Y", "FlashCalSeg", IF(G1077="N", "FlashAppSeg", ""))))</f>
        <v>FlashAppSeg</v>
      </c>
      <c r="O1077" s="220"/>
      <c r="P1077" s="221"/>
      <c r="Q1077" s="221"/>
      <c r="R1077" s="221"/>
    </row>
    <row r="1078" spans="1:18" ht="33.75" x14ac:dyDescent="0.2">
      <c r="A1078" s="224" t="s">
        <v>1665</v>
      </c>
      <c r="B1078" s="225" t="s">
        <v>1666</v>
      </c>
      <c r="C1078" s="226" t="s">
        <v>1580</v>
      </c>
      <c r="D1078" s="226" t="s">
        <v>1581</v>
      </c>
      <c r="E1078" s="226" t="s">
        <v>1655</v>
      </c>
      <c r="F1078" s="227" t="s">
        <v>82</v>
      </c>
      <c r="G1078" s="228" t="s">
        <v>82</v>
      </c>
      <c r="H1078" s="228"/>
      <c r="I1078" s="223" t="b">
        <v>1</v>
      </c>
      <c r="J1078" s="229" t="b">
        <v>0</v>
      </c>
      <c r="K1078" s="229" t="b">
        <v>1</v>
      </c>
      <c r="L1078" s="229" t="s">
        <v>387</v>
      </c>
      <c r="M1078" s="229" t="s">
        <v>462</v>
      </c>
      <c r="N1078" s="230" t="str">
        <f>IF(ISERROR(MATCH(A1078,MemMap!$A$4:$A$98,0)) = FALSE, INDEX(MemMap!$B$4:$B$98,MATCH(A1078,MemMap!$A$4:$A$98,0)),IF(F1078="Y","TunSetCalSeg",IF(G1078="Y", "FlashCalSeg", IF(G1078="N", "FlashAppSeg", ""))))</f>
        <v>FlashAppSeg</v>
      </c>
      <c r="O1078" s="220"/>
      <c r="P1078" s="221"/>
      <c r="Q1078" s="221"/>
      <c r="R1078" s="221"/>
    </row>
    <row r="1079" spans="1:18" ht="45" x14ac:dyDescent="0.2">
      <c r="A1079" s="224" t="s">
        <v>1653</v>
      </c>
      <c r="B1079" s="225" t="s">
        <v>1654</v>
      </c>
      <c r="C1079" s="226" t="s">
        <v>1580</v>
      </c>
      <c r="D1079" s="226" t="s">
        <v>1581</v>
      </c>
      <c r="E1079" s="226" t="s">
        <v>1655</v>
      </c>
      <c r="F1079" s="227" t="s">
        <v>82</v>
      </c>
      <c r="G1079" s="228" t="s">
        <v>82</v>
      </c>
      <c r="H1079" s="228"/>
      <c r="I1079" s="223" t="b">
        <v>0</v>
      </c>
      <c r="J1079" s="229" t="b">
        <v>0</v>
      </c>
      <c r="K1079" s="229" t="b">
        <v>1</v>
      </c>
      <c r="L1079" s="229" t="s">
        <v>387</v>
      </c>
      <c r="M1079" s="229" t="s">
        <v>462</v>
      </c>
      <c r="N1079" s="230" t="str">
        <f>IF(ISERROR(MATCH(A1079,MemMap!$A$4:$A$98,0)) = FALSE, INDEX(MemMap!$B$4:$B$98,MATCH(A1079,MemMap!$A$4:$A$98,0)),IF(F1079="Y","TunSetCalSeg",IF(G1079="Y", "FlashCalSeg", IF(G1079="N", "FlashAppSeg", ""))))</f>
        <v>FlashAppSeg</v>
      </c>
      <c r="O1079" s="220"/>
      <c r="P1079" s="221"/>
      <c r="Q1079" s="221"/>
      <c r="R1079" s="221"/>
    </row>
    <row r="1080" spans="1:18" ht="56.25" x14ac:dyDescent="0.2">
      <c r="A1080" s="224" t="s">
        <v>1647</v>
      </c>
      <c r="B1080" s="225" t="s">
        <v>1648</v>
      </c>
      <c r="C1080" s="226" t="s">
        <v>1580</v>
      </c>
      <c r="D1080" s="226" t="s">
        <v>1581</v>
      </c>
      <c r="E1080" s="226" t="s">
        <v>1649</v>
      </c>
      <c r="F1080" s="227" t="s">
        <v>82</v>
      </c>
      <c r="G1080" s="228" t="s">
        <v>82</v>
      </c>
      <c r="H1080" s="228"/>
      <c r="I1080" s="223">
        <v>3.90625E-2</v>
      </c>
      <c r="J1080" s="229">
        <v>0</v>
      </c>
      <c r="K1080" s="229">
        <v>8.8000000000000007</v>
      </c>
      <c r="L1080" s="229" t="s">
        <v>252</v>
      </c>
      <c r="M1080" s="229" t="s">
        <v>336</v>
      </c>
      <c r="N1080" s="230" t="str">
        <f>IF(ISERROR(MATCH(A1080,MemMap!$A$4:$A$98,0)) = FALSE, INDEX(MemMap!$B$4:$B$98,MATCH(A1080,MemMap!$A$4:$A$98,0)),IF(F1080="Y","TunSetCalSeg",IF(G1080="Y", "FlashCalSeg", IF(G1080="N", "FlashAppSeg", ""))))</f>
        <v>FlashAppSeg</v>
      </c>
      <c r="O1080" s="220"/>
      <c r="P1080" s="221"/>
      <c r="Q1080" s="221"/>
      <c r="R1080" s="221"/>
    </row>
    <row r="1081" spans="1:18" ht="45" x14ac:dyDescent="0.2">
      <c r="A1081" s="224" t="s">
        <v>1650</v>
      </c>
      <c r="B1081" s="225" t="s">
        <v>1651</v>
      </c>
      <c r="C1081" s="226" t="s">
        <v>1580</v>
      </c>
      <c r="D1081" s="226" t="s">
        <v>1581</v>
      </c>
      <c r="E1081" s="226" t="s">
        <v>1652</v>
      </c>
      <c r="F1081" s="227" t="s">
        <v>82</v>
      </c>
      <c r="G1081" s="228" t="s">
        <v>82</v>
      </c>
      <c r="H1081" s="228"/>
      <c r="I1081" s="223">
        <v>3.90625E-2</v>
      </c>
      <c r="J1081" s="229">
        <v>0</v>
      </c>
      <c r="K1081" s="229">
        <v>5.75</v>
      </c>
      <c r="L1081" s="229" t="s">
        <v>252</v>
      </c>
      <c r="M1081" s="229" t="s">
        <v>336</v>
      </c>
      <c r="N1081" s="230" t="str">
        <f>IF(ISERROR(MATCH(A1081,MemMap!$A$4:$A$98,0)) = FALSE, INDEX(MemMap!$B$4:$B$98,MATCH(A1081,MemMap!$A$4:$A$98,0)),IF(F1081="Y","TunSetCalSeg",IF(G1081="Y", "FlashCalSeg", IF(G1081="N", "FlashAppSeg", ""))))</f>
        <v>FlashAppSeg</v>
      </c>
      <c r="O1081" s="220"/>
      <c r="P1081" s="221"/>
      <c r="Q1081" s="221"/>
      <c r="R1081" s="221"/>
    </row>
    <row r="1082" spans="1:18" ht="56.25" x14ac:dyDescent="0.2">
      <c r="A1082" s="224" t="s">
        <v>1958</v>
      </c>
      <c r="B1082" s="225" t="s">
        <v>1959</v>
      </c>
      <c r="C1082" s="226" t="s">
        <v>1580</v>
      </c>
      <c r="D1082" s="226" t="s">
        <v>1581</v>
      </c>
      <c r="E1082" s="226" t="s">
        <v>1656</v>
      </c>
      <c r="F1082" s="227" t="s">
        <v>82</v>
      </c>
      <c r="G1082" s="228" t="s">
        <v>82</v>
      </c>
      <c r="H1082" s="228" t="s">
        <v>1657</v>
      </c>
      <c r="I1082" s="223" t="s">
        <v>1658</v>
      </c>
      <c r="J1082" s="229">
        <v>-40</v>
      </c>
      <c r="K1082" s="229">
        <v>150</v>
      </c>
      <c r="L1082" s="229" t="s">
        <v>519</v>
      </c>
      <c r="M1082" s="229" t="s">
        <v>1593</v>
      </c>
      <c r="N1082" s="230" t="str">
        <f>IF(ISERROR(MATCH(A1082,MemMap!$A$4:$A$98,0)) = FALSE, INDEX(MemMap!$B$4:$B$98,MATCH(A1082,MemMap!$A$4:$A$98,0)),IF(F1082="Y","TunSetCalSeg",IF(G1082="Y", "FlashCalSeg", IF(G1082="N", "FlashAppSeg", ""))))</f>
        <v>FlashAppSeg</v>
      </c>
      <c r="O1082" s="220"/>
      <c r="P1082" s="221"/>
      <c r="Q1082" s="221"/>
      <c r="R1082" s="221"/>
    </row>
    <row r="1083" spans="1:18" ht="33.75" x14ac:dyDescent="0.2">
      <c r="A1083" s="224" t="s">
        <v>1960</v>
      </c>
      <c r="B1083" s="225" t="s">
        <v>1961</v>
      </c>
      <c r="C1083" s="226" t="s">
        <v>1580</v>
      </c>
      <c r="D1083" s="226" t="s">
        <v>1581</v>
      </c>
      <c r="E1083" s="226" t="s">
        <v>1659</v>
      </c>
      <c r="F1083" s="227" t="s">
        <v>82</v>
      </c>
      <c r="G1083" s="228" t="s">
        <v>82</v>
      </c>
      <c r="H1083" s="228" t="s">
        <v>1660</v>
      </c>
      <c r="I1083" s="223" t="s">
        <v>1661</v>
      </c>
      <c r="J1083" s="229">
        <v>0</v>
      </c>
      <c r="K1083" s="229">
        <v>8.8000000000000007</v>
      </c>
      <c r="L1083" s="229" t="s">
        <v>252</v>
      </c>
      <c r="M1083" s="229" t="s">
        <v>336</v>
      </c>
      <c r="N1083" s="230" t="str">
        <f>IF(ISERROR(MATCH(A1083,MemMap!$A$4:$A$98,0)) = FALSE, INDEX(MemMap!$B$4:$B$98,MATCH(A1083,MemMap!$A$4:$A$98,0)),IF(F1083="Y","TunSetCalSeg",IF(G1083="Y", "FlashCalSeg", IF(G1083="N", "FlashAppSeg", ""))))</f>
        <v>FlashAppSeg</v>
      </c>
      <c r="O1083" s="220"/>
      <c r="P1083" s="221"/>
      <c r="Q1083" s="221"/>
      <c r="R1083" s="221"/>
    </row>
    <row r="1084" spans="1:18" ht="33.75" x14ac:dyDescent="0.2">
      <c r="A1084" s="224" t="s">
        <v>1962</v>
      </c>
      <c r="B1084" s="225" t="s">
        <v>1963</v>
      </c>
      <c r="C1084" s="226" t="s">
        <v>1580</v>
      </c>
      <c r="D1084" s="226" t="s">
        <v>1581</v>
      </c>
      <c r="E1084" s="226" t="s">
        <v>1656</v>
      </c>
      <c r="F1084" s="227" t="s">
        <v>82</v>
      </c>
      <c r="G1084" s="228" t="s">
        <v>82</v>
      </c>
      <c r="H1084" s="228" t="s">
        <v>1657</v>
      </c>
      <c r="I1084" s="223" t="s">
        <v>1658</v>
      </c>
      <c r="J1084" s="229">
        <v>-40</v>
      </c>
      <c r="K1084" s="229">
        <v>300</v>
      </c>
      <c r="L1084" s="229" t="s">
        <v>519</v>
      </c>
      <c r="M1084" s="229" t="s">
        <v>1593</v>
      </c>
      <c r="N1084" s="230" t="str">
        <f>IF(ISERROR(MATCH(A1084,MemMap!$A$4:$A$98,0)) = FALSE, INDEX(MemMap!$B$4:$B$98,MATCH(A1084,MemMap!$A$4:$A$98,0)),IF(F1084="Y","TunSetCalSeg",IF(G1084="Y", "FlashCalSeg", IF(G1084="N", "FlashAppSeg", ""))))</f>
        <v>FlashAppSeg</v>
      </c>
      <c r="O1084" s="220"/>
      <c r="P1084" s="221"/>
      <c r="Q1084" s="221"/>
      <c r="R1084" s="221"/>
    </row>
    <row r="1085" spans="1:18" ht="33.75" x14ac:dyDescent="0.2">
      <c r="A1085" s="224" t="s">
        <v>1964</v>
      </c>
      <c r="B1085" s="225" t="s">
        <v>1965</v>
      </c>
      <c r="C1085" s="226" t="s">
        <v>1580</v>
      </c>
      <c r="D1085" s="226" t="s">
        <v>1581</v>
      </c>
      <c r="E1085" s="226" t="s">
        <v>1659</v>
      </c>
      <c r="F1085" s="227" t="s">
        <v>82</v>
      </c>
      <c r="G1085" s="228" t="s">
        <v>82</v>
      </c>
      <c r="H1085" s="228" t="s">
        <v>1660</v>
      </c>
      <c r="I1085" s="223" t="s">
        <v>1661</v>
      </c>
      <c r="J1085" s="229">
        <v>0</v>
      </c>
      <c r="K1085" s="229">
        <v>8.8000000000000007</v>
      </c>
      <c r="L1085" s="229" t="s">
        <v>252</v>
      </c>
      <c r="M1085" s="229" t="s">
        <v>336</v>
      </c>
      <c r="N1085" s="230" t="str">
        <f>IF(ISERROR(MATCH(A1085,MemMap!$A$4:$A$98,0)) = FALSE, INDEX(MemMap!$B$4:$B$98,MATCH(A1085,MemMap!$A$4:$A$98,0)),IF(F1085="Y","TunSetCalSeg",IF(G1085="Y", "FlashCalSeg", IF(G1085="N", "FlashAppSeg", ""))))</f>
        <v>FlashAppSeg</v>
      </c>
      <c r="O1085" s="220"/>
      <c r="P1085" s="221"/>
      <c r="Q1085" s="221"/>
      <c r="R1085" s="221"/>
    </row>
    <row r="1086" spans="1:18" ht="33.75" x14ac:dyDescent="0.2">
      <c r="A1086" s="224" t="s">
        <v>1639</v>
      </c>
      <c r="B1086" s="225" t="s">
        <v>1640</v>
      </c>
      <c r="C1086" s="226" t="s">
        <v>1580</v>
      </c>
      <c r="D1086" s="226" t="s">
        <v>1581</v>
      </c>
      <c r="E1086" s="226" t="s">
        <v>1596</v>
      </c>
      <c r="F1086" s="227" t="s">
        <v>82</v>
      </c>
      <c r="G1086" s="228" t="s">
        <v>82</v>
      </c>
      <c r="H1086" s="228" t="s">
        <v>1641</v>
      </c>
      <c r="I1086" s="223" t="s">
        <v>1642</v>
      </c>
      <c r="J1086" s="229">
        <v>0</v>
      </c>
      <c r="K1086" s="229">
        <v>8.8000000000000007</v>
      </c>
      <c r="L1086" s="229" t="s">
        <v>252</v>
      </c>
      <c r="M1086" s="229" t="s">
        <v>336</v>
      </c>
      <c r="N1086" s="230" t="str">
        <f>IF(ISERROR(MATCH(A1086,MemMap!$A$4:$A$98,0)) = FALSE, INDEX(MemMap!$B$4:$B$98,MATCH(A1086,MemMap!$A$4:$A$98,0)),IF(F1086="Y","TunSetCalSeg",IF(G1086="Y", "FlashCalSeg", IF(G1086="N", "FlashAppSeg", ""))))</f>
        <v>FlashAppSeg</v>
      </c>
      <c r="O1086" s="220"/>
      <c r="P1086" s="221"/>
      <c r="Q1086" s="221"/>
      <c r="R1086" s="221"/>
    </row>
    <row r="1087" spans="1:18" ht="33.75" x14ac:dyDescent="0.2">
      <c r="A1087" s="224" t="s">
        <v>1643</v>
      </c>
      <c r="B1087" s="225" t="s">
        <v>1644</v>
      </c>
      <c r="C1087" s="226" t="s">
        <v>1580</v>
      </c>
      <c r="D1087" s="226" t="s">
        <v>1581</v>
      </c>
      <c r="E1087" s="226" t="s">
        <v>1596</v>
      </c>
      <c r="F1087" s="227" t="s">
        <v>82</v>
      </c>
      <c r="G1087" s="228" t="s">
        <v>82</v>
      </c>
      <c r="H1087" s="228" t="s">
        <v>1645</v>
      </c>
      <c r="I1087" s="223" t="s">
        <v>1646</v>
      </c>
      <c r="J1087" s="229">
        <v>0</v>
      </c>
      <c r="K1087" s="229">
        <v>8.8000000000000007</v>
      </c>
      <c r="L1087" s="229" t="s">
        <v>252</v>
      </c>
      <c r="M1087" s="229" t="s">
        <v>336</v>
      </c>
      <c r="N1087" s="230" t="str">
        <f>IF(ISERROR(MATCH(A1087,MemMap!$A$4:$A$98,0)) = FALSE, INDEX(MemMap!$B$4:$B$98,MATCH(A1087,MemMap!$A$4:$A$98,0)),IF(F1087="Y","TunSetCalSeg",IF(G1087="Y", "FlashCalSeg", IF(G1087="N", "FlashAppSeg", ""))))</f>
        <v>FlashAppSeg</v>
      </c>
      <c r="O1087" s="220"/>
      <c r="P1087" s="221"/>
      <c r="Q1087" s="221"/>
      <c r="R1087" s="221"/>
    </row>
    <row r="1088" spans="1:18" ht="33.75" x14ac:dyDescent="0.2">
      <c r="A1088" s="224" t="s">
        <v>1594</v>
      </c>
      <c r="B1088" s="225" t="s">
        <v>1595</v>
      </c>
      <c r="C1088" s="226" t="s">
        <v>1580</v>
      </c>
      <c r="D1088" s="226" t="s">
        <v>1581</v>
      </c>
      <c r="E1088" s="226" t="s">
        <v>1596</v>
      </c>
      <c r="F1088" s="227" t="s">
        <v>82</v>
      </c>
      <c r="G1088" s="228" t="s">
        <v>82</v>
      </c>
      <c r="H1088" s="228" t="s">
        <v>1597</v>
      </c>
      <c r="I1088" s="223" t="s">
        <v>1598</v>
      </c>
      <c r="J1088" s="229">
        <v>0</v>
      </c>
      <c r="K1088" s="229">
        <v>0.5</v>
      </c>
      <c r="L1088" s="229" t="s">
        <v>288</v>
      </c>
      <c r="M1088" s="229" t="s">
        <v>963</v>
      </c>
      <c r="N1088" s="230" t="str">
        <f>IF(ISERROR(MATCH(A1088,MemMap!$A$4:$A$98,0)) = FALSE, INDEX(MemMap!$B$4:$B$98,MATCH(A1088,MemMap!$A$4:$A$98,0)),IF(F1088="Y","TunSetCalSeg",IF(G1088="Y", "FlashCalSeg", IF(G1088="N", "FlashAppSeg", ""))))</f>
        <v>FlashAppSeg</v>
      </c>
      <c r="O1088" s="220"/>
      <c r="P1088" s="221"/>
      <c r="Q1088" s="221"/>
      <c r="R1088" s="221"/>
    </row>
    <row r="1089" spans="1:18" ht="33.75" x14ac:dyDescent="0.2">
      <c r="A1089" s="224" t="s">
        <v>1618</v>
      </c>
      <c r="B1089" s="225" t="s">
        <v>1619</v>
      </c>
      <c r="C1089" s="226" t="s">
        <v>1580</v>
      </c>
      <c r="D1089" s="226" t="s">
        <v>1581</v>
      </c>
      <c r="E1089" s="226" t="s">
        <v>1596</v>
      </c>
      <c r="F1089" s="227" t="s">
        <v>82</v>
      </c>
      <c r="G1089" s="228" t="s">
        <v>82</v>
      </c>
      <c r="H1089" s="228" t="s">
        <v>1620</v>
      </c>
      <c r="I1089" s="223" t="s">
        <v>1621</v>
      </c>
      <c r="J1089" s="229">
        <v>0</v>
      </c>
      <c r="K1089" s="229">
        <v>0.5</v>
      </c>
      <c r="L1089" s="229" t="s">
        <v>288</v>
      </c>
      <c r="M1089" s="229" t="s">
        <v>963</v>
      </c>
      <c r="N1089" s="230" t="str">
        <f>IF(ISERROR(MATCH(A1089,MemMap!$A$4:$A$98,0)) = FALSE, INDEX(MemMap!$B$4:$B$98,MATCH(A1089,MemMap!$A$4:$A$98,0)),IF(F1089="Y","TunSetCalSeg",IF(G1089="Y", "FlashCalSeg", IF(G1089="N", "FlashAppSeg", ""))))</f>
        <v>FlashAppSeg</v>
      </c>
      <c r="O1089" s="220"/>
      <c r="P1089" s="221"/>
      <c r="Q1089" s="221"/>
      <c r="R1089" s="221"/>
    </row>
    <row r="1090" spans="1:18" ht="33.75" x14ac:dyDescent="0.2">
      <c r="A1090" s="224" t="s">
        <v>1599</v>
      </c>
      <c r="B1090" s="225" t="s">
        <v>1600</v>
      </c>
      <c r="C1090" s="226" t="s">
        <v>1580</v>
      </c>
      <c r="D1090" s="226" t="s">
        <v>1581</v>
      </c>
      <c r="E1090" s="226" t="s">
        <v>1596</v>
      </c>
      <c r="F1090" s="227" t="s">
        <v>82</v>
      </c>
      <c r="G1090" s="228" t="s">
        <v>82</v>
      </c>
      <c r="H1090" s="228" t="s">
        <v>1601</v>
      </c>
      <c r="I1090" s="223" t="s">
        <v>1602</v>
      </c>
      <c r="J1090" s="229">
        <v>0</v>
      </c>
      <c r="K1090" s="229">
        <v>0.5</v>
      </c>
      <c r="L1090" s="229" t="s">
        <v>288</v>
      </c>
      <c r="M1090" s="229" t="s">
        <v>963</v>
      </c>
      <c r="N1090" s="230" t="str">
        <f>IF(ISERROR(MATCH(A1090,MemMap!$A$4:$A$98,0)) = FALSE, INDEX(MemMap!$B$4:$B$98,MATCH(A1090,MemMap!$A$4:$A$98,0)),IF(F1090="Y","TunSetCalSeg",IF(G1090="Y", "FlashCalSeg", IF(G1090="N", "FlashAppSeg", ""))))</f>
        <v>FlashAppSeg</v>
      </c>
      <c r="O1090" s="220"/>
      <c r="P1090" s="221"/>
      <c r="Q1090" s="221"/>
      <c r="R1090" s="221"/>
    </row>
    <row r="1091" spans="1:18" ht="33.75" x14ac:dyDescent="0.2">
      <c r="A1091" s="224" t="s">
        <v>1622</v>
      </c>
      <c r="B1091" s="225" t="s">
        <v>1623</v>
      </c>
      <c r="C1091" s="226" t="s">
        <v>1580</v>
      </c>
      <c r="D1091" s="226" t="s">
        <v>1581</v>
      </c>
      <c r="E1091" s="226" t="s">
        <v>1596</v>
      </c>
      <c r="F1091" s="227" t="s">
        <v>82</v>
      </c>
      <c r="G1091" s="228" t="s">
        <v>82</v>
      </c>
      <c r="H1091" s="228" t="s">
        <v>1624</v>
      </c>
      <c r="I1091" s="223" t="s">
        <v>1625</v>
      </c>
      <c r="J1091" s="229">
        <v>0</v>
      </c>
      <c r="K1091" s="229">
        <v>0.5</v>
      </c>
      <c r="L1091" s="229" t="s">
        <v>288</v>
      </c>
      <c r="M1091" s="229" t="s">
        <v>963</v>
      </c>
      <c r="N1091" s="230" t="str">
        <f>IF(ISERROR(MATCH(A1091,MemMap!$A$4:$A$98,0)) = FALSE, INDEX(MemMap!$B$4:$B$98,MATCH(A1091,MemMap!$A$4:$A$98,0)),IF(F1091="Y","TunSetCalSeg",IF(G1091="Y", "FlashCalSeg", IF(G1091="N", "FlashAppSeg", ""))))</f>
        <v>FlashAppSeg</v>
      </c>
      <c r="O1091" s="220"/>
      <c r="P1091" s="221"/>
      <c r="Q1091" s="221"/>
      <c r="R1091" s="221"/>
    </row>
    <row r="1092" spans="1:18" ht="33.75" x14ac:dyDescent="0.2">
      <c r="A1092" s="224" t="s">
        <v>1603</v>
      </c>
      <c r="B1092" s="225" t="s">
        <v>1604</v>
      </c>
      <c r="C1092" s="226" t="s">
        <v>1580</v>
      </c>
      <c r="D1092" s="226" t="s">
        <v>1581</v>
      </c>
      <c r="E1092" s="226" t="s">
        <v>1596</v>
      </c>
      <c r="F1092" s="227" t="s">
        <v>82</v>
      </c>
      <c r="G1092" s="228" t="s">
        <v>82</v>
      </c>
      <c r="H1092" s="228" t="s">
        <v>1605</v>
      </c>
      <c r="I1092" s="223" t="s">
        <v>1606</v>
      </c>
      <c r="J1092" s="229">
        <v>0</v>
      </c>
      <c r="K1092" s="229">
        <v>0.5</v>
      </c>
      <c r="L1092" s="229" t="s">
        <v>288</v>
      </c>
      <c r="M1092" s="229" t="s">
        <v>963</v>
      </c>
      <c r="N1092" s="230" t="str">
        <f>IF(ISERROR(MATCH(A1092,MemMap!$A$4:$A$98,0)) = FALSE, INDEX(MemMap!$B$4:$B$98,MATCH(A1092,MemMap!$A$4:$A$98,0)),IF(F1092="Y","TunSetCalSeg",IF(G1092="Y", "FlashCalSeg", IF(G1092="N", "FlashAppSeg", ""))))</f>
        <v>FlashAppSeg</v>
      </c>
      <c r="O1092" s="220"/>
      <c r="P1092" s="221"/>
      <c r="Q1092" s="221"/>
      <c r="R1092" s="221"/>
    </row>
    <row r="1093" spans="1:18" ht="33.75" x14ac:dyDescent="0.2">
      <c r="A1093" s="224" t="s">
        <v>1626</v>
      </c>
      <c r="B1093" s="225" t="s">
        <v>1627</v>
      </c>
      <c r="C1093" s="226" t="s">
        <v>1580</v>
      </c>
      <c r="D1093" s="226" t="s">
        <v>1581</v>
      </c>
      <c r="E1093" s="226" t="s">
        <v>1596</v>
      </c>
      <c r="F1093" s="227" t="s">
        <v>82</v>
      </c>
      <c r="G1093" s="228" t="s">
        <v>82</v>
      </c>
      <c r="H1093" s="228" t="s">
        <v>1628</v>
      </c>
      <c r="I1093" s="223" t="s">
        <v>1629</v>
      </c>
      <c r="J1093" s="229">
        <v>0</v>
      </c>
      <c r="K1093" s="229">
        <v>0.5</v>
      </c>
      <c r="L1093" s="229" t="s">
        <v>288</v>
      </c>
      <c r="M1093" s="229" t="s">
        <v>963</v>
      </c>
      <c r="N1093" s="230" t="str">
        <f>IF(ISERROR(MATCH(A1093,MemMap!$A$4:$A$98,0)) = FALSE, INDEX(MemMap!$B$4:$B$98,MATCH(A1093,MemMap!$A$4:$A$98,0)),IF(F1093="Y","TunSetCalSeg",IF(G1093="Y", "FlashCalSeg", IF(G1093="N", "FlashAppSeg", ""))))</f>
        <v>FlashAppSeg</v>
      </c>
      <c r="O1093" s="220"/>
      <c r="P1093" s="221"/>
      <c r="Q1093" s="221"/>
      <c r="R1093" s="221"/>
    </row>
    <row r="1094" spans="1:18" ht="33.75" x14ac:dyDescent="0.2">
      <c r="A1094" s="224" t="s">
        <v>1607</v>
      </c>
      <c r="B1094" s="225" t="s">
        <v>1608</v>
      </c>
      <c r="C1094" s="226" t="s">
        <v>1580</v>
      </c>
      <c r="D1094" s="226" t="s">
        <v>1581</v>
      </c>
      <c r="E1094" s="226" t="s">
        <v>1596</v>
      </c>
      <c r="F1094" s="227" t="s">
        <v>82</v>
      </c>
      <c r="G1094" s="228" t="s">
        <v>82</v>
      </c>
      <c r="H1094" s="228" t="s">
        <v>1609</v>
      </c>
      <c r="I1094" s="223" t="s">
        <v>1610</v>
      </c>
      <c r="J1094" s="229">
        <v>0</v>
      </c>
      <c r="K1094" s="229">
        <v>0.5</v>
      </c>
      <c r="L1094" s="229" t="s">
        <v>288</v>
      </c>
      <c r="M1094" s="229" t="s">
        <v>963</v>
      </c>
      <c r="N1094" s="230" t="str">
        <f>IF(ISERROR(MATCH(A1094,MemMap!$A$4:$A$98,0)) = FALSE, INDEX(MemMap!$B$4:$B$98,MATCH(A1094,MemMap!$A$4:$A$98,0)),IF(F1094="Y","TunSetCalSeg",IF(G1094="Y", "FlashCalSeg", IF(G1094="N", "FlashAppSeg", ""))))</f>
        <v>FlashAppSeg</v>
      </c>
      <c r="O1094" s="220"/>
      <c r="P1094" s="221"/>
      <c r="Q1094" s="221"/>
      <c r="R1094" s="221"/>
    </row>
    <row r="1095" spans="1:18" ht="33.75" x14ac:dyDescent="0.2">
      <c r="A1095" s="224" t="s">
        <v>1630</v>
      </c>
      <c r="B1095" s="225" t="s">
        <v>1631</v>
      </c>
      <c r="C1095" s="226" t="s">
        <v>1580</v>
      </c>
      <c r="D1095" s="226" t="s">
        <v>1581</v>
      </c>
      <c r="E1095" s="226" t="s">
        <v>1596</v>
      </c>
      <c r="F1095" s="227" t="s">
        <v>82</v>
      </c>
      <c r="G1095" s="228" t="s">
        <v>82</v>
      </c>
      <c r="H1095" s="228" t="s">
        <v>1632</v>
      </c>
      <c r="I1095" s="223" t="s">
        <v>1610</v>
      </c>
      <c r="J1095" s="229">
        <v>0</v>
      </c>
      <c r="K1095" s="229">
        <v>0.5</v>
      </c>
      <c r="L1095" s="229" t="s">
        <v>288</v>
      </c>
      <c r="M1095" s="229" t="s">
        <v>963</v>
      </c>
      <c r="N1095" s="230" t="str">
        <f>IF(ISERROR(MATCH(A1095,MemMap!$A$4:$A$98,0)) = FALSE, INDEX(MemMap!$B$4:$B$98,MATCH(A1095,MemMap!$A$4:$A$98,0)),IF(F1095="Y","TunSetCalSeg",IF(G1095="Y", "FlashCalSeg", IF(G1095="N", "FlashAppSeg", ""))))</f>
        <v>FlashAppSeg</v>
      </c>
      <c r="O1095" s="220"/>
      <c r="P1095" s="221"/>
      <c r="Q1095" s="221"/>
      <c r="R1095" s="221"/>
    </row>
    <row r="1096" spans="1:18" ht="33.75" x14ac:dyDescent="0.2">
      <c r="A1096" s="224" t="s">
        <v>1611</v>
      </c>
      <c r="B1096" s="225" t="s">
        <v>1612</v>
      </c>
      <c r="C1096" s="226" t="s">
        <v>1580</v>
      </c>
      <c r="D1096" s="226" t="s">
        <v>1581</v>
      </c>
      <c r="E1096" s="226" t="s">
        <v>1596</v>
      </c>
      <c r="F1096" s="227" t="s">
        <v>82</v>
      </c>
      <c r="G1096" s="228" t="s">
        <v>82</v>
      </c>
      <c r="H1096" s="228" t="s">
        <v>1613</v>
      </c>
      <c r="I1096" s="223" t="s">
        <v>1614</v>
      </c>
      <c r="J1096" s="229">
        <v>0</v>
      </c>
      <c r="K1096" s="229">
        <v>2</v>
      </c>
      <c r="L1096" s="229" t="s">
        <v>288</v>
      </c>
      <c r="M1096" s="229" t="s">
        <v>963</v>
      </c>
      <c r="N1096" s="230" t="str">
        <f>IF(ISERROR(MATCH(A1096,MemMap!$A$4:$A$98,0)) = FALSE, INDEX(MemMap!$B$4:$B$98,MATCH(A1096,MemMap!$A$4:$A$98,0)),IF(F1096="Y","TunSetCalSeg",IF(G1096="Y", "FlashCalSeg", IF(G1096="N", "FlashAppSeg", ""))))</f>
        <v>FlashAppSeg</v>
      </c>
      <c r="O1096" s="220"/>
      <c r="P1096" s="221"/>
      <c r="Q1096" s="221"/>
      <c r="R1096" s="221"/>
    </row>
    <row r="1097" spans="1:18" ht="315" x14ac:dyDescent="0.2">
      <c r="A1097" s="224" t="s">
        <v>1633</v>
      </c>
      <c r="B1097" s="225" t="s">
        <v>1634</v>
      </c>
      <c r="C1097" s="226" t="s">
        <v>1580</v>
      </c>
      <c r="D1097" s="226" t="s">
        <v>1581</v>
      </c>
      <c r="E1097" s="226" t="s">
        <v>1596</v>
      </c>
      <c r="F1097" s="227" t="s">
        <v>82</v>
      </c>
      <c r="G1097" s="228" t="s">
        <v>82</v>
      </c>
      <c r="H1097" s="228" t="s">
        <v>1635</v>
      </c>
      <c r="I1097" s="223" t="s">
        <v>1614</v>
      </c>
      <c r="J1097" s="229">
        <v>0</v>
      </c>
      <c r="K1097" s="229">
        <v>2</v>
      </c>
      <c r="L1097" s="229" t="s">
        <v>288</v>
      </c>
      <c r="M1097" s="229" t="s">
        <v>963</v>
      </c>
      <c r="N1097" s="230" t="str">
        <f>IF(ISERROR(MATCH(A1097,MemMap!$A$4:$A$98,0)) = FALSE, INDEX(MemMap!$B$4:$B$98,MATCH(A1097,MemMap!$A$4:$A$98,0)),IF(F1097="Y","TunSetCalSeg",IF(G1097="Y", "FlashCalSeg", IF(G1097="N", "FlashAppSeg", ""))))</f>
        <v>FlashAppSeg</v>
      </c>
      <c r="O1097" s="220"/>
      <c r="P1097" s="221"/>
      <c r="Q1097" s="221"/>
      <c r="R1097" s="221"/>
    </row>
    <row r="1098" spans="1:18" ht="33.75" x14ac:dyDescent="0.2">
      <c r="A1098" s="224" t="s">
        <v>1615</v>
      </c>
      <c r="B1098" s="225" t="s">
        <v>1616</v>
      </c>
      <c r="C1098" s="226" t="s">
        <v>1580</v>
      </c>
      <c r="D1098" s="226" t="s">
        <v>1581</v>
      </c>
      <c r="E1098" s="226" t="s">
        <v>1596</v>
      </c>
      <c r="F1098" s="227" t="s">
        <v>82</v>
      </c>
      <c r="G1098" s="228" t="s">
        <v>82</v>
      </c>
      <c r="H1098" s="228" t="s">
        <v>1617</v>
      </c>
      <c r="I1098" s="223" t="s">
        <v>1610</v>
      </c>
      <c r="J1098" s="229">
        <v>0</v>
      </c>
      <c r="K1098" s="229">
        <v>2</v>
      </c>
      <c r="L1098" s="229" t="s">
        <v>288</v>
      </c>
      <c r="M1098" s="229" t="s">
        <v>963</v>
      </c>
      <c r="N1098" s="230" t="str">
        <f>IF(ISERROR(MATCH(A1098,MemMap!$A$4:$A$98,0)) = FALSE, INDEX(MemMap!$B$4:$B$98,MATCH(A1098,MemMap!$A$4:$A$98,0)),IF(F1098="Y","TunSetCalSeg",IF(G1098="Y", "FlashCalSeg", IF(G1098="N", "FlashAppSeg", ""))))</f>
        <v>FlashAppSeg</v>
      </c>
      <c r="O1098" s="220"/>
      <c r="P1098" s="221"/>
      <c r="Q1098" s="221"/>
      <c r="R1098" s="221"/>
    </row>
    <row r="1099" spans="1:18" ht="33.75" x14ac:dyDescent="0.2">
      <c r="A1099" s="224" t="s">
        <v>1636</v>
      </c>
      <c r="B1099" s="225" t="s">
        <v>1637</v>
      </c>
      <c r="C1099" s="226" t="s">
        <v>1580</v>
      </c>
      <c r="D1099" s="226" t="s">
        <v>1581</v>
      </c>
      <c r="E1099" s="226" t="s">
        <v>1596</v>
      </c>
      <c r="F1099" s="227" t="s">
        <v>82</v>
      </c>
      <c r="G1099" s="228" t="s">
        <v>82</v>
      </c>
      <c r="H1099" s="228" t="s">
        <v>1638</v>
      </c>
      <c r="I1099" s="223" t="s">
        <v>1610</v>
      </c>
      <c r="J1099" s="229">
        <v>0</v>
      </c>
      <c r="K1099" s="229">
        <v>2</v>
      </c>
      <c r="L1099" s="229" t="s">
        <v>288</v>
      </c>
      <c r="M1099" s="229" t="s">
        <v>963</v>
      </c>
      <c r="N1099" s="230" t="str">
        <f>IF(ISERROR(MATCH(A1099,MemMap!$A$4:$A$98,0)) = FALSE, INDEX(MemMap!$B$4:$B$98,MATCH(A1099,MemMap!$A$4:$A$98,0)),IF(F1099="Y","TunSetCalSeg",IF(G1099="Y", "FlashCalSeg", IF(G1099="N", "FlashAppSeg", ""))))</f>
        <v>FlashAppSeg</v>
      </c>
      <c r="O1099" s="220"/>
      <c r="P1099" s="221"/>
      <c r="Q1099" s="221"/>
      <c r="R1099" s="221"/>
    </row>
    <row r="1100" spans="1:18" ht="22.5" x14ac:dyDescent="0.2">
      <c r="A1100" s="224" t="s">
        <v>1588</v>
      </c>
      <c r="B1100" s="225" t="s">
        <v>1589</v>
      </c>
      <c r="C1100" s="226" t="s">
        <v>1580</v>
      </c>
      <c r="D1100" s="226" t="s">
        <v>1581</v>
      </c>
      <c r="E1100" s="226" t="s">
        <v>1590</v>
      </c>
      <c r="F1100" s="227" t="s">
        <v>82</v>
      </c>
      <c r="G1100" s="228" t="s">
        <v>82</v>
      </c>
      <c r="H1100" s="228" t="s">
        <v>1591</v>
      </c>
      <c r="I1100" s="223" t="s">
        <v>1592</v>
      </c>
      <c r="J1100" s="229">
        <v>-40</v>
      </c>
      <c r="K1100" s="229">
        <v>300</v>
      </c>
      <c r="L1100" s="229" t="s">
        <v>519</v>
      </c>
      <c r="M1100" s="229" t="s">
        <v>1593</v>
      </c>
      <c r="N1100" s="230" t="str">
        <f>IF(ISERROR(MATCH(A1100,MemMap!$A$4:$A$98,0)) = FALSE, INDEX(MemMap!$B$4:$B$98,MATCH(A1100,MemMap!$A$4:$A$98,0)),IF(F1100="Y","TunSetCalSeg",IF(G1100="Y", "FlashCalSeg", IF(G1100="N", "FlashAppSeg", ""))))</f>
        <v>FlashAppSeg</v>
      </c>
      <c r="O1100" s="220"/>
      <c r="P1100" s="221"/>
      <c r="Q1100" s="221"/>
      <c r="R1100" s="221"/>
    </row>
    <row r="1101" spans="1:18" ht="22.5" x14ac:dyDescent="0.2">
      <c r="A1101" s="224" t="s">
        <v>1680</v>
      </c>
      <c r="B1101" s="225" t="s">
        <v>1681</v>
      </c>
      <c r="C1101" s="226" t="s">
        <v>1580</v>
      </c>
      <c r="D1101" s="226" t="s">
        <v>1581</v>
      </c>
      <c r="E1101" s="226"/>
      <c r="F1101" s="227" t="s">
        <v>82</v>
      </c>
      <c r="G1101" s="228" t="s">
        <v>82</v>
      </c>
      <c r="H1101" s="228" t="s">
        <v>1682</v>
      </c>
      <c r="I1101" s="223" t="s">
        <v>1683</v>
      </c>
      <c r="J1101" s="229">
        <v>0</v>
      </c>
      <c r="K1101" s="229">
        <v>100</v>
      </c>
      <c r="L1101" s="229" t="s">
        <v>288</v>
      </c>
      <c r="M1101" s="229" t="s">
        <v>388</v>
      </c>
      <c r="N1101" s="230" t="str">
        <f>IF(ISERROR(MATCH(A1101,MemMap!$A$4:$A$98,0)) = FALSE, INDEX(MemMap!$B$4:$B$98,MATCH(A1101,MemMap!$A$4:$A$98,0)),IF(F1101="Y","TunSetCalSeg",IF(G1101="Y", "FlashCalSeg", IF(G1101="N", "FlashAppSeg", ""))))</f>
        <v>FlashAppSeg</v>
      </c>
      <c r="O1101" s="220"/>
      <c r="P1101" s="221"/>
      <c r="Q1101" s="221"/>
      <c r="R1101" s="221"/>
    </row>
    <row r="1102" spans="1:18" ht="22.5" x14ac:dyDescent="0.2">
      <c r="A1102" s="224" t="s">
        <v>1684</v>
      </c>
      <c r="B1102" s="225" t="s">
        <v>1685</v>
      </c>
      <c r="C1102" s="226" t="s">
        <v>1580</v>
      </c>
      <c r="D1102" s="226" t="s">
        <v>1581</v>
      </c>
      <c r="E1102" s="226"/>
      <c r="F1102" s="227" t="s">
        <v>82</v>
      </c>
      <c r="G1102" s="228" t="s">
        <v>82</v>
      </c>
      <c r="H1102" s="228" t="s">
        <v>1686</v>
      </c>
      <c r="I1102" s="223" t="s">
        <v>1687</v>
      </c>
      <c r="J1102" s="229">
        <v>0</v>
      </c>
      <c r="K1102" s="229">
        <v>8.8000000000000007</v>
      </c>
      <c r="L1102" s="229" t="s">
        <v>252</v>
      </c>
      <c r="M1102" s="229" t="s">
        <v>336</v>
      </c>
      <c r="N1102" s="230" t="str">
        <f>IF(ISERROR(MATCH(A1102,MemMap!$A$4:$A$98,0)) = FALSE, INDEX(MemMap!$B$4:$B$98,MATCH(A1102,MemMap!$A$4:$A$98,0)),IF(F1102="Y","TunSetCalSeg",IF(G1102="Y", "FlashCalSeg", IF(G1102="N", "FlashAppSeg", ""))))</f>
        <v>FlashAppSeg</v>
      </c>
      <c r="O1102" s="220"/>
      <c r="P1102" s="221"/>
      <c r="Q1102" s="221"/>
      <c r="R1102" s="221"/>
    </row>
    <row r="1103" spans="1:18" ht="22.5" x14ac:dyDescent="0.2">
      <c r="A1103" s="224" t="s">
        <v>1696</v>
      </c>
      <c r="B1103" s="225"/>
      <c r="C1103" s="226" t="s">
        <v>1691</v>
      </c>
      <c r="D1103" s="226" t="s">
        <v>180</v>
      </c>
      <c r="E1103" s="226"/>
      <c r="F1103" s="227" t="s">
        <v>82</v>
      </c>
      <c r="G1103" s="228" t="s">
        <v>82</v>
      </c>
      <c r="H1103" s="228"/>
      <c r="I1103" s="223" t="s">
        <v>1697</v>
      </c>
      <c r="J1103" s="229" t="s">
        <v>638</v>
      </c>
      <c r="K1103" s="229" t="s">
        <v>638</v>
      </c>
      <c r="L1103" s="229" t="s">
        <v>638</v>
      </c>
      <c r="M1103" s="229" t="s">
        <v>565</v>
      </c>
      <c r="N1103" s="230" t="str">
        <f>IF(ISERROR(MATCH(A1103,MemMap!$A$4:$A$98,0)) = FALSE, INDEX(MemMap!$B$4:$B$98,MATCH(A1103,MemMap!$A$4:$A$98,0)),IF(F1103="Y","TunSetCalSeg",IF(G1103="Y", "FlashCalSeg", IF(G1103="N", "FlashAppSeg", ""))))</f>
        <v>FlashAppSeg</v>
      </c>
      <c r="O1103" s="220"/>
      <c r="P1103" s="221"/>
      <c r="Q1103" s="221"/>
      <c r="R1103" s="221"/>
    </row>
    <row r="1104" spans="1:18" ht="22.5" x14ac:dyDescent="0.2">
      <c r="A1104" s="224" t="s">
        <v>1694</v>
      </c>
      <c r="B1104" s="225" t="s">
        <v>1695</v>
      </c>
      <c r="C1104" s="226" t="s">
        <v>1691</v>
      </c>
      <c r="D1104" s="226" t="s">
        <v>180</v>
      </c>
      <c r="E1104" s="226"/>
      <c r="F1104" s="227" t="s">
        <v>82</v>
      </c>
      <c r="G1104" s="228" t="s">
        <v>82</v>
      </c>
      <c r="H1104" s="228"/>
      <c r="I1104" s="223">
        <v>5</v>
      </c>
      <c r="J1104" s="229">
        <v>1</v>
      </c>
      <c r="K1104" s="229">
        <v>50</v>
      </c>
      <c r="L1104" s="229" t="s">
        <v>1541</v>
      </c>
      <c r="M1104" s="229" t="s">
        <v>263</v>
      </c>
      <c r="N1104" s="230" t="str">
        <f>IF(ISERROR(MATCH(A1104,MemMap!$A$4:$A$98,0)) = FALSE, INDEX(MemMap!$B$4:$B$98,MATCH(A1104,MemMap!$A$4:$A$98,0)),IF(F1104="Y","TunSetCalSeg",IF(G1104="Y", "FlashCalSeg", IF(G1104="N", "FlashAppSeg", ""))))</f>
        <v>FlashAppSeg</v>
      </c>
      <c r="O1104" s="220"/>
      <c r="P1104" s="221"/>
      <c r="Q1104" s="221"/>
      <c r="R1104" s="221"/>
    </row>
    <row r="1105" spans="1:18" ht="22.5" x14ac:dyDescent="0.2">
      <c r="A1105" s="224" t="s">
        <v>1692</v>
      </c>
      <c r="B1105" s="225" t="s">
        <v>1693</v>
      </c>
      <c r="C1105" s="226" t="s">
        <v>1691</v>
      </c>
      <c r="D1105" s="226" t="s">
        <v>180</v>
      </c>
      <c r="E1105" s="226"/>
      <c r="F1105" s="227" t="s">
        <v>82</v>
      </c>
      <c r="G1105" s="228" t="s">
        <v>82</v>
      </c>
      <c r="H1105" s="228"/>
      <c r="I1105" s="223">
        <v>10</v>
      </c>
      <c r="J1105" s="229">
        <v>1</v>
      </c>
      <c r="K1105" s="229">
        <v>50</v>
      </c>
      <c r="L1105" s="229" t="s">
        <v>1541</v>
      </c>
      <c r="M1105" s="229" t="s">
        <v>263</v>
      </c>
      <c r="N1105" s="230" t="str">
        <f>IF(ISERROR(MATCH(A1105,MemMap!$A$4:$A$98,0)) = FALSE, INDEX(MemMap!$B$4:$B$98,MATCH(A1105,MemMap!$A$4:$A$98,0)),IF(F1105="Y","TunSetCalSeg",IF(G1105="Y", "FlashCalSeg", IF(G1105="N", "FlashAppSeg", ""))))</f>
        <v>FlashAppSeg</v>
      </c>
      <c r="O1105" s="220"/>
      <c r="P1105" s="221"/>
      <c r="Q1105" s="221"/>
      <c r="R1105" s="221"/>
    </row>
    <row r="1106" spans="1:18" ht="22.5" x14ac:dyDescent="0.2">
      <c r="A1106" s="224" t="s">
        <v>1689</v>
      </c>
      <c r="B1106" s="225" t="s">
        <v>1690</v>
      </c>
      <c r="C1106" s="226" t="s">
        <v>1691</v>
      </c>
      <c r="D1106" s="226" t="s">
        <v>180</v>
      </c>
      <c r="E1106" s="226"/>
      <c r="F1106" s="227" t="s">
        <v>82</v>
      </c>
      <c r="G1106" s="228" t="s">
        <v>82</v>
      </c>
      <c r="H1106" s="228"/>
      <c r="I1106" s="223">
        <v>20</v>
      </c>
      <c r="J1106" s="229">
        <v>1</v>
      </c>
      <c r="K1106" s="229">
        <v>1000</v>
      </c>
      <c r="L1106" s="229" t="s">
        <v>1541</v>
      </c>
      <c r="M1106" s="229" t="s">
        <v>263</v>
      </c>
      <c r="N1106" s="230" t="str">
        <f>IF(ISERROR(MATCH(A1106,MemMap!$A$4:$A$98,0)) = FALSE, INDEX(MemMap!$B$4:$B$98,MATCH(A1106,MemMap!$A$4:$A$98,0)),IF(F1106="Y","TunSetCalSeg",IF(G1106="Y", "FlashCalSeg", IF(G1106="N", "FlashAppSeg", ""))))</f>
        <v>FlashAppSeg</v>
      </c>
      <c r="O1106" s="220"/>
      <c r="P1106" s="221"/>
      <c r="Q1106" s="221"/>
      <c r="R1106" s="221"/>
    </row>
    <row r="1107" spans="1:18" ht="22.5" x14ac:dyDescent="0.2">
      <c r="A1107" s="224" t="s">
        <v>1698</v>
      </c>
      <c r="B1107" s="225"/>
      <c r="C1107" s="226" t="s">
        <v>1699</v>
      </c>
      <c r="D1107" s="226" t="s">
        <v>231</v>
      </c>
      <c r="E1107" s="226"/>
      <c r="F1107" s="227" t="s">
        <v>82</v>
      </c>
      <c r="G1107" s="228" t="s">
        <v>82</v>
      </c>
      <c r="H1107" s="228"/>
      <c r="I1107" s="223" t="s">
        <v>1700</v>
      </c>
      <c r="J1107" s="229"/>
      <c r="K1107" s="229"/>
      <c r="L1107" s="229"/>
      <c r="M1107" s="229" t="s">
        <v>565</v>
      </c>
      <c r="N1107" s="230" t="str">
        <f>IF(ISERROR(MATCH(A1107,MemMap!$A$4:$A$98,0)) = FALSE, INDEX(MemMap!$B$4:$B$98,MATCH(A1107,MemMap!$A$4:$A$98,0)),IF(F1107="Y","TunSetCalSeg",IF(G1107="Y", "FlashCalSeg", IF(G1107="N", "FlashAppSeg", ""))))</f>
        <v>FlashAppSeg</v>
      </c>
      <c r="O1107" s="220"/>
      <c r="P1107" s="221"/>
      <c r="Q1107" s="221"/>
      <c r="R1107" s="221"/>
    </row>
    <row r="1108" spans="1:18" ht="22.5" x14ac:dyDescent="0.2">
      <c r="A1108" s="224" t="s">
        <v>1702</v>
      </c>
      <c r="B1108" s="225"/>
      <c r="C1108" s="226" t="s">
        <v>1699</v>
      </c>
      <c r="D1108" s="226" t="s">
        <v>231</v>
      </c>
      <c r="E1108" s="226"/>
      <c r="F1108" s="227" t="s">
        <v>82</v>
      </c>
      <c r="G1108" s="228" t="s">
        <v>82</v>
      </c>
      <c r="H1108" s="228"/>
      <c r="I1108" s="223">
        <v>1</v>
      </c>
      <c r="J1108" s="229" t="s">
        <v>845</v>
      </c>
      <c r="K1108" s="229" t="s">
        <v>845</v>
      </c>
      <c r="L1108" s="229" t="s">
        <v>387</v>
      </c>
      <c r="M1108" s="229" t="s">
        <v>263</v>
      </c>
      <c r="N1108" s="230" t="str">
        <f>IF(ISERROR(MATCH(A1108,MemMap!$A$4:$A$98,0)) = FALSE, INDEX(MemMap!$B$4:$B$98,MATCH(A1108,MemMap!$A$4:$A$98,0)),IF(F1108="Y","TunSetCalSeg",IF(G1108="Y", "FlashCalSeg", IF(G1108="N", "FlashAppSeg", ""))))</f>
        <v>FlashAppSeg</v>
      </c>
      <c r="O1108" s="220"/>
      <c r="P1108" s="221"/>
      <c r="Q1108" s="221"/>
      <c r="R1108" s="221"/>
    </row>
    <row r="1109" spans="1:18" ht="22.5" x14ac:dyDescent="0.2">
      <c r="A1109" s="224" t="s">
        <v>1701</v>
      </c>
      <c r="B1109" s="225"/>
      <c r="C1109" s="226" t="s">
        <v>1699</v>
      </c>
      <c r="D1109" s="226" t="s">
        <v>231</v>
      </c>
      <c r="E1109" s="226"/>
      <c r="F1109" s="227" t="s">
        <v>82</v>
      </c>
      <c r="G1109" s="228" t="s">
        <v>82</v>
      </c>
      <c r="H1109" s="228"/>
      <c r="I1109" s="223">
        <v>5</v>
      </c>
      <c r="J1109" s="229" t="s">
        <v>845</v>
      </c>
      <c r="K1109" s="229" t="s">
        <v>845</v>
      </c>
      <c r="L1109" s="229" t="s">
        <v>387</v>
      </c>
      <c r="M1109" s="229" t="s">
        <v>263</v>
      </c>
      <c r="N1109" s="230" t="str">
        <f>IF(ISERROR(MATCH(A1109,MemMap!$A$4:$A$98,0)) = FALSE, INDEX(MemMap!$B$4:$B$98,MATCH(A1109,MemMap!$A$4:$A$98,0)),IF(F1109="Y","TunSetCalSeg",IF(G1109="Y", "FlashCalSeg", IF(G1109="N", "FlashAppSeg", ""))))</f>
        <v>FlashAppSeg</v>
      </c>
      <c r="O1109" s="220"/>
      <c r="P1109" s="221"/>
      <c r="Q1109" s="221"/>
      <c r="R1109" s="221"/>
    </row>
    <row r="1110" spans="1:18" ht="22.5" x14ac:dyDescent="0.2">
      <c r="A1110" s="224" t="s">
        <v>1703</v>
      </c>
      <c r="B1110" s="225"/>
      <c r="C1110" s="226" t="s">
        <v>1699</v>
      </c>
      <c r="D1110" s="226" t="s">
        <v>231</v>
      </c>
      <c r="E1110" s="226"/>
      <c r="F1110" s="227" t="s">
        <v>82</v>
      </c>
      <c r="G1110" s="228" t="s">
        <v>82</v>
      </c>
      <c r="H1110" s="228"/>
      <c r="I1110" s="223">
        <v>100</v>
      </c>
      <c r="J1110" s="229" t="s">
        <v>845</v>
      </c>
      <c r="K1110" s="229" t="s">
        <v>845</v>
      </c>
      <c r="L1110" s="229" t="s">
        <v>387</v>
      </c>
      <c r="M1110" s="229" t="s">
        <v>263</v>
      </c>
      <c r="N1110" s="230" t="str">
        <f>IF(ISERROR(MATCH(A1110,MemMap!$A$4:$A$98,0)) = FALSE, INDEX(MemMap!$B$4:$B$98,MATCH(A1110,MemMap!$A$4:$A$98,0)),IF(F1110="Y","TunSetCalSeg",IF(G1110="Y", "FlashCalSeg", IF(G1110="N", "FlashAppSeg", ""))))</f>
        <v>FlashAppSeg</v>
      </c>
      <c r="O1110" s="220"/>
      <c r="P1110" s="221"/>
      <c r="Q1110" s="221"/>
      <c r="R1110" s="221"/>
    </row>
    <row r="1111" spans="1:18" ht="22.5" x14ac:dyDescent="0.2">
      <c r="A1111" s="224" t="s">
        <v>1709</v>
      </c>
      <c r="B1111" s="225"/>
      <c r="C1111" s="226" t="s">
        <v>1699</v>
      </c>
      <c r="D1111" s="226" t="s">
        <v>231</v>
      </c>
      <c r="E1111" s="226"/>
      <c r="F1111" s="227" t="s">
        <v>82</v>
      </c>
      <c r="G1111" s="228" t="s">
        <v>82</v>
      </c>
      <c r="H1111" s="228"/>
      <c r="I1111" s="223">
        <v>120</v>
      </c>
      <c r="J1111" s="229">
        <v>1</v>
      </c>
      <c r="K1111" s="229">
        <v>1000</v>
      </c>
      <c r="L1111" s="229" t="s">
        <v>387</v>
      </c>
      <c r="M1111" s="229" t="s">
        <v>263</v>
      </c>
      <c r="N1111" s="230" t="str">
        <f>IF(ISERROR(MATCH(A1111,MemMap!$A$4:$A$98,0)) = FALSE, INDEX(MemMap!$B$4:$B$98,MATCH(A1111,MemMap!$A$4:$A$98,0)),IF(F1111="Y","TunSetCalSeg",IF(G1111="Y", "FlashCalSeg", IF(G1111="N", "FlashAppSeg", ""))))</f>
        <v>FlashAppSeg</v>
      </c>
      <c r="O1111" s="220"/>
      <c r="P1111" s="221"/>
      <c r="Q1111" s="221"/>
      <c r="R1111" s="221"/>
    </row>
    <row r="1112" spans="1:18" ht="22.5" x14ac:dyDescent="0.2">
      <c r="A1112" s="224" t="s">
        <v>1708</v>
      </c>
      <c r="B1112" s="225"/>
      <c r="C1112" s="226" t="s">
        <v>1699</v>
      </c>
      <c r="D1112" s="226" t="s">
        <v>231</v>
      </c>
      <c r="E1112" s="226"/>
      <c r="F1112" s="227" t="s">
        <v>82</v>
      </c>
      <c r="G1112" s="228" t="s">
        <v>82</v>
      </c>
      <c r="H1112" s="228"/>
      <c r="I1112" s="223">
        <v>10</v>
      </c>
      <c r="J1112" s="229">
        <v>1</v>
      </c>
      <c r="K1112" s="229">
        <v>1000</v>
      </c>
      <c r="L1112" s="229" t="s">
        <v>387</v>
      </c>
      <c r="M1112" s="229" t="s">
        <v>263</v>
      </c>
      <c r="N1112" s="230" t="str">
        <f>IF(ISERROR(MATCH(A1112,MemMap!$A$4:$A$98,0)) = FALSE, INDEX(MemMap!$B$4:$B$98,MATCH(A1112,MemMap!$A$4:$A$98,0)),IF(F1112="Y","TunSetCalSeg",IF(G1112="Y", "FlashCalSeg", IF(G1112="N", "FlashAppSeg", ""))))</f>
        <v>FlashAppSeg</v>
      </c>
      <c r="O1112" s="220"/>
      <c r="P1112" s="221"/>
      <c r="Q1112" s="221"/>
      <c r="R1112" s="221"/>
    </row>
    <row r="1113" spans="1:18" ht="22.5" x14ac:dyDescent="0.2">
      <c r="A1113" s="224" t="s">
        <v>1711</v>
      </c>
      <c r="B1113" s="225"/>
      <c r="C1113" s="226" t="s">
        <v>1699</v>
      </c>
      <c r="D1113" s="226" t="s">
        <v>231</v>
      </c>
      <c r="E1113" s="226"/>
      <c r="F1113" s="227" t="s">
        <v>82</v>
      </c>
      <c r="G1113" s="228" t="s">
        <v>82</v>
      </c>
      <c r="H1113" s="228"/>
      <c r="I1113" s="223">
        <v>11</v>
      </c>
      <c r="J1113" s="229">
        <v>1</v>
      </c>
      <c r="K1113" s="229">
        <v>100</v>
      </c>
      <c r="L1113" s="229" t="s">
        <v>387</v>
      </c>
      <c r="M1113" s="229" t="s">
        <v>263</v>
      </c>
      <c r="N1113" s="230" t="str">
        <f>IF(ISERROR(MATCH(A1113,MemMap!$A$4:$A$98,0)) = FALSE, INDEX(MemMap!$B$4:$B$98,MATCH(A1113,MemMap!$A$4:$A$98,0)),IF(F1113="Y","TunSetCalSeg",IF(G1113="Y", "FlashCalSeg", IF(G1113="N", "FlashAppSeg", ""))))</f>
        <v>FlashAppSeg</v>
      </c>
      <c r="O1113" s="220"/>
      <c r="P1113" s="221"/>
      <c r="Q1113" s="221"/>
      <c r="R1113" s="221"/>
    </row>
    <row r="1114" spans="1:18" ht="22.5" x14ac:dyDescent="0.2">
      <c r="A1114" s="224" t="s">
        <v>1710</v>
      </c>
      <c r="B1114" s="225"/>
      <c r="C1114" s="226" t="s">
        <v>1699</v>
      </c>
      <c r="D1114" s="226" t="s">
        <v>231</v>
      </c>
      <c r="E1114" s="226"/>
      <c r="F1114" s="227" t="s">
        <v>82</v>
      </c>
      <c r="G1114" s="228" t="s">
        <v>82</v>
      </c>
      <c r="H1114" s="228"/>
      <c r="I1114" s="223">
        <v>1</v>
      </c>
      <c r="J1114" s="229">
        <v>1</v>
      </c>
      <c r="K1114" s="229">
        <v>100</v>
      </c>
      <c r="L1114" s="229" t="s">
        <v>387</v>
      </c>
      <c r="M1114" s="229" t="s">
        <v>263</v>
      </c>
      <c r="N1114" s="230" t="str">
        <f>IF(ISERROR(MATCH(A1114,MemMap!$A$4:$A$98,0)) = FALSE, INDEX(MemMap!$B$4:$B$98,MATCH(A1114,MemMap!$A$4:$A$98,0)),IF(F1114="Y","TunSetCalSeg",IF(G1114="Y", "FlashCalSeg", IF(G1114="N", "FlashAppSeg", ""))))</f>
        <v>FlashAppSeg</v>
      </c>
      <c r="O1114" s="220"/>
      <c r="P1114" s="221"/>
      <c r="Q1114" s="221"/>
      <c r="R1114" s="221"/>
    </row>
    <row r="1115" spans="1:18" ht="22.5" x14ac:dyDescent="0.2">
      <c r="A1115" s="224" t="s">
        <v>1704</v>
      </c>
      <c r="B1115" s="225"/>
      <c r="C1115" s="226" t="s">
        <v>1699</v>
      </c>
      <c r="D1115" s="226" t="s">
        <v>231</v>
      </c>
      <c r="E1115" s="226"/>
      <c r="F1115" s="227" t="s">
        <v>82</v>
      </c>
      <c r="G1115" s="228" t="s">
        <v>82</v>
      </c>
      <c r="H1115" s="228"/>
      <c r="I1115" s="223" t="s">
        <v>1700</v>
      </c>
      <c r="J1115" s="229"/>
      <c r="K1115" s="229"/>
      <c r="L1115" s="229"/>
      <c r="M1115" s="229" t="s">
        <v>565</v>
      </c>
      <c r="N1115" s="230" t="str">
        <f>IF(ISERROR(MATCH(A1115,MemMap!$A$4:$A$98,0)) = FALSE, INDEX(MemMap!$B$4:$B$98,MATCH(A1115,MemMap!$A$4:$A$98,0)),IF(F1115="Y","TunSetCalSeg",IF(G1115="Y", "FlashCalSeg", IF(G1115="N", "FlashAppSeg", ""))))</f>
        <v>FlashAppSeg</v>
      </c>
      <c r="O1115" s="220"/>
      <c r="P1115" s="221"/>
      <c r="Q1115" s="221"/>
      <c r="R1115" s="221"/>
    </row>
    <row r="1116" spans="1:18" ht="22.5" x14ac:dyDescent="0.2">
      <c r="A1116" s="224" t="s">
        <v>1706</v>
      </c>
      <c r="B1116" s="225"/>
      <c r="C1116" s="226" t="s">
        <v>1699</v>
      </c>
      <c r="D1116" s="226" t="s">
        <v>231</v>
      </c>
      <c r="E1116" s="226"/>
      <c r="F1116" s="227" t="s">
        <v>82</v>
      </c>
      <c r="G1116" s="228" t="s">
        <v>82</v>
      </c>
      <c r="H1116" s="228"/>
      <c r="I1116" s="223">
        <v>1</v>
      </c>
      <c r="J1116" s="229" t="s">
        <v>845</v>
      </c>
      <c r="K1116" s="229" t="s">
        <v>845</v>
      </c>
      <c r="L1116" s="229" t="s">
        <v>387</v>
      </c>
      <c r="M1116" s="229" t="s">
        <v>263</v>
      </c>
      <c r="N1116" s="230" t="str">
        <f>IF(ISERROR(MATCH(A1116,MemMap!$A$4:$A$98,0)) = FALSE, INDEX(MemMap!$B$4:$B$98,MATCH(A1116,MemMap!$A$4:$A$98,0)),IF(F1116="Y","TunSetCalSeg",IF(G1116="Y", "FlashCalSeg", IF(G1116="N", "FlashAppSeg", ""))))</f>
        <v>FlashAppSeg</v>
      </c>
      <c r="O1116" s="220"/>
      <c r="P1116" s="221"/>
      <c r="Q1116" s="221"/>
      <c r="R1116" s="221"/>
    </row>
    <row r="1117" spans="1:18" ht="33.75" x14ac:dyDescent="0.2">
      <c r="A1117" s="224" t="s">
        <v>1705</v>
      </c>
      <c r="B1117" s="225"/>
      <c r="C1117" s="226" t="s">
        <v>1699</v>
      </c>
      <c r="D1117" s="226" t="s">
        <v>231</v>
      </c>
      <c r="E1117" s="226"/>
      <c r="F1117" s="227" t="s">
        <v>82</v>
      </c>
      <c r="G1117" s="228" t="s">
        <v>82</v>
      </c>
      <c r="H1117" s="228"/>
      <c r="I1117" s="223">
        <v>5</v>
      </c>
      <c r="J1117" s="229" t="s">
        <v>845</v>
      </c>
      <c r="K1117" s="229" t="s">
        <v>845</v>
      </c>
      <c r="L1117" s="229" t="s">
        <v>387</v>
      </c>
      <c r="M1117" s="229" t="s">
        <v>263</v>
      </c>
      <c r="N1117" s="230" t="str">
        <f>IF(ISERROR(MATCH(A1117,MemMap!$A$4:$A$98,0)) = FALSE, INDEX(MemMap!$B$4:$B$98,MATCH(A1117,MemMap!$A$4:$A$98,0)),IF(F1117="Y","TunSetCalSeg",IF(G1117="Y", "FlashCalSeg", IF(G1117="N", "FlashAppSeg", ""))))</f>
        <v>FlashAppSeg</v>
      </c>
      <c r="O1117" s="220"/>
      <c r="P1117" s="221"/>
      <c r="Q1117" s="221"/>
      <c r="R1117" s="221"/>
    </row>
    <row r="1118" spans="1:18" ht="33.75" x14ac:dyDescent="0.2">
      <c r="A1118" s="224" t="s">
        <v>1707</v>
      </c>
      <c r="B1118" s="225"/>
      <c r="C1118" s="226" t="s">
        <v>1699</v>
      </c>
      <c r="D1118" s="226" t="s">
        <v>231</v>
      </c>
      <c r="E1118" s="226"/>
      <c r="F1118" s="227" t="s">
        <v>82</v>
      </c>
      <c r="G1118" s="228" t="s">
        <v>82</v>
      </c>
      <c r="H1118" s="228"/>
      <c r="I1118" s="223">
        <v>100</v>
      </c>
      <c r="J1118" s="229" t="s">
        <v>845</v>
      </c>
      <c r="K1118" s="229" t="s">
        <v>845</v>
      </c>
      <c r="L1118" s="229" t="s">
        <v>387</v>
      </c>
      <c r="M1118" s="229" t="s">
        <v>263</v>
      </c>
      <c r="N1118" s="230" t="str">
        <f>IF(ISERROR(MATCH(A1118,MemMap!$A$4:$A$98,0)) = FALSE, INDEX(MemMap!$B$4:$B$98,MATCH(A1118,MemMap!$A$4:$A$98,0)),IF(F1118="Y","TunSetCalSeg",IF(G1118="Y", "FlashCalSeg", IF(G1118="N", "FlashAppSeg", ""))))</f>
        <v>FlashAppSeg</v>
      </c>
      <c r="O1118" s="220"/>
      <c r="P1118" s="221"/>
      <c r="Q1118" s="221"/>
      <c r="R1118" s="221"/>
    </row>
    <row r="1119" spans="1:18" ht="33.75" x14ac:dyDescent="0.2">
      <c r="A1119" s="224" t="s">
        <v>1712</v>
      </c>
      <c r="B1119" s="225"/>
      <c r="C1119" s="226" t="s">
        <v>1699</v>
      </c>
      <c r="D1119" s="226" t="s">
        <v>231</v>
      </c>
      <c r="E1119" s="226"/>
      <c r="F1119" s="227" t="s">
        <v>82</v>
      </c>
      <c r="G1119" s="228" t="s">
        <v>82</v>
      </c>
      <c r="H1119" s="228"/>
      <c r="I1119" s="223">
        <v>20</v>
      </c>
      <c r="J1119" s="229">
        <v>1</v>
      </c>
      <c r="K1119" s="229">
        <v>1000</v>
      </c>
      <c r="L1119" s="229" t="s">
        <v>387</v>
      </c>
      <c r="M1119" s="229" t="s">
        <v>263</v>
      </c>
      <c r="N1119" s="230" t="str">
        <f>IF(ISERROR(MATCH(A1119,MemMap!$A$4:$A$98,0)) = FALSE, INDEX(MemMap!$B$4:$B$98,MATCH(A1119,MemMap!$A$4:$A$98,0)),IF(F1119="Y","TunSetCalSeg",IF(G1119="Y", "FlashCalSeg", IF(G1119="N", "FlashAppSeg", ""))))</f>
        <v>FlashAppSeg</v>
      </c>
      <c r="O1119" s="220"/>
      <c r="P1119" s="221"/>
      <c r="Q1119" s="221"/>
      <c r="R1119" s="221"/>
    </row>
    <row r="1120" spans="1:18" ht="33.75" x14ac:dyDescent="0.2">
      <c r="A1120" s="224" t="s">
        <v>2113</v>
      </c>
      <c r="B1120" s="225" t="s">
        <v>2114</v>
      </c>
      <c r="C1120" s="226" t="s">
        <v>1713</v>
      </c>
      <c r="D1120" s="226" t="s">
        <v>242</v>
      </c>
      <c r="E1120" s="226"/>
      <c r="F1120" s="227" t="s">
        <v>82</v>
      </c>
      <c r="G1120" s="228" t="s">
        <v>82</v>
      </c>
      <c r="H1120" s="228"/>
      <c r="I1120" s="223">
        <v>3</v>
      </c>
      <c r="J1120" s="229">
        <v>0</v>
      </c>
      <c r="K1120" s="229">
        <v>20</v>
      </c>
      <c r="L1120" s="229" t="s">
        <v>615</v>
      </c>
      <c r="M1120" s="229" t="s">
        <v>257</v>
      </c>
      <c r="N1120" s="230" t="str">
        <f>IF(ISERROR(MATCH(A1120,MemMap!$A$4:$A$98,0)) = FALSE, INDEX(MemMap!$B$4:$B$98,MATCH(A1120,MemMap!$A$4:$A$98,0)),IF(F1120="Y","TunSetCalSeg",IF(G1120="Y", "FlashCalSeg", IF(G1120="N", "FlashAppSeg", ""))))</f>
        <v>FlashAppSeg</v>
      </c>
      <c r="O1120" s="220"/>
      <c r="P1120" s="221"/>
      <c r="Q1120" s="221"/>
      <c r="R1120" s="221"/>
    </row>
    <row r="1121" spans="1:18" ht="67.5" x14ac:dyDescent="0.2">
      <c r="A1121" s="224" t="s">
        <v>2111</v>
      </c>
      <c r="B1121" s="225" t="s">
        <v>2112</v>
      </c>
      <c r="C1121" s="226" t="s">
        <v>1713</v>
      </c>
      <c r="D1121" s="226" t="s">
        <v>242</v>
      </c>
      <c r="E1121" s="226"/>
      <c r="F1121" s="227" t="s">
        <v>82</v>
      </c>
      <c r="G1121" s="228" t="s">
        <v>82</v>
      </c>
      <c r="H1121" s="228"/>
      <c r="I1121" s="223">
        <v>4.5999999999999996</v>
      </c>
      <c r="J1121" s="229">
        <v>1</v>
      </c>
      <c r="K1121" s="229">
        <v>8.8000000000000007</v>
      </c>
      <c r="L1121" s="229" t="s">
        <v>252</v>
      </c>
      <c r="M1121" s="229" t="s">
        <v>257</v>
      </c>
      <c r="N1121" s="230" t="str">
        <f>IF(ISERROR(MATCH(A1121,MemMap!$A$4:$A$98,0)) = FALSE, INDEX(MemMap!$B$4:$B$98,MATCH(A1121,MemMap!$A$4:$A$98,0)),IF(F1121="Y","TunSetCalSeg",IF(G1121="Y", "FlashCalSeg", IF(G1121="N", "FlashAppSeg", ""))))</f>
        <v>FlashAppSeg</v>
      </c>
      <c r="O1121" s="220"/>
      <c r="P1121" s="221"/>
      <c r="Q1121" s="221"/>
      <c r="R1121" s="221"/>
    </row>
    <row r="1122" spans="1:18" ht="33.75" x14ac:dyDescent="0.2">
      <c r="A1122" s="224" t="s">
        <v>2109</v>
      </c>
      <c r="B1122" s="225" t="s">
        <v>2110</v>
      </c>
      <c r="C1122" s="226" t="s">
        <v>1713</v>
      </c>
      <c r="D1122" s="226" t="s">
        <v>242</v>
      </c>
      <c r="E1122" s="226"/>
      <c r="F1122" s="227" t="s">
        <v>82</v>
      </c>
      <c r="G1122" s="228" t="s">
        <v>82</v>
      </c>
      <c r="H1122" s="228"/>
      <c r="I1122" s="223" t="s">
        <v>2107</v>
      </c>
      <c r="J1122" s="229"/>
      <c r="K1122" s="229"/>
      <c r="L1122" s="229"/>
      <c r="M1122" s="229" t="s">
        <v>565</v>
      </c>
      <c r="N1122" s="230" t="str">
        <f>IF(ISERROR(MATCH(A1122,MemMap!$A$4:$A$98,0)) = FALSE, INDEX(MemMap!$B$4:$B$98,MATCH(A1122,MemMap!$A$4:$A$98,0)),IF(F1122="Y","TunSetCalSeg",IF(G1122="Y", "FlashCalSeg", IF(G1122="N", "FlashAppSeg", ""))))</f>
        <v>FlashAppSeg</v>
      </c>
      <c r="O1122" s="220"/>
      <c r="P1122" s="221"/>
      <c r="Q1122" s="221"/>
      <c r="R1122" s="221"/>
    </row>
    <row r="1123" spans="1:18" ht="33.75" x14ac:dyDescent="0.2">
      <c r="A1123" s="224" t="s">
        <v>2102</v>
      </c>
      <c r="B1123" s="225" t="s">
        <v>2103</v>
      </c>
      <c r="C1123" s="226" t="s">
        <v>1713</v>
      </c>
      <c r="D1123" s="226" t="s">
        <v>242</v>
      </c>
      <c r="E1123" s="226"/>
      <c r="F1123" s="227" t="s">
        <v>82</v>
      </c>
      <c r="G1123" s="228" t="s">
        <v>82</v>
      </c>
      <c r="H1123" s="228"/>
      <c r="I1123" s="223">
        <v>20</v>
      </c>
      <c r="J1123" s="229">
        <v>0</v>
      </c>
      <c r="K1123" s="229">
        <v>250</v>
      </c>
      <c r="L1123" s="229" t="s">
        <v>615</v>
      </c>
      <c r="M1123" s="229" t="s">
        <v>257</v>
      </c>
      <c r="N1123" s="230" t="str">
        <f>IF(ISERROR(MATCH(A1123,MemMap!$A$4:$A$98,0)) = FALSE, INDEX(MemMap!$B$4:$B$98,MATCH(A1123,MemMap!$A$4:$A$98,0)),IF(F1123="Y","TunSetCalSeg",IF(G1123="Y", "FlashCalSeg", IF(G1123="N", "FlashAppSeg", ""))))</f>
        <v>FlashAppSeg</v>
      </c>
      <c r="O1123" s="220"/>
      <c r="P1123" s="221"/>
      <c r="Q1123" s="221"/>
      <c r="R1123" s="221"/>
    </row>
    <row r="1124" spans="1:18" ht="33.75" x14ac:dyDescent="0.2">
      <c r="A1124" s="224" t="s">
        <v>2096</v>
      </c>
      <c r="B1124" s="225" t="s">
        <v>2097</v>
      </c>
      <c r="C1124" s="226" t="s">
        <v>1713</v>
      </c>
      <c r="D1124" s="226" t="s">
        <v>242</v>
      </c>
      <c r="E1124" s="226" t="s">
        <v>1714</v>
      </c>
      <c r="F1124" s="227" t="s">
        <v>82</v>
      </c>
      <c r="G1124" s="228" t="s">
        <v>82</v>
      </c>
      <c r="H1124" s="228"/>
      <c r="I1124" s="223">
        <v>1</v>
      </c>
      <c r="J1124" s="229">
        <v>0</v>
      </c>
      <c r="K1124" s="229">
        <v>250</v>
      </c>
      <c r="L1124" s="229" t="s">
        <v>258</v>
      </c>
      <c r="M1124" s="229" t="s">
        <v>257</v>
      </c>
      <c r="N1124" s="230" t="str">
        <f>IF(ISERROR(MATCH(A1124,MemMap!$A$4:$A$98,0)) = FALSE, INDEX(MemMap!$B$4:$B$98,MATCH(A1124,MemMap!$A$4:$A$98,0)),IF(F1124="Y","TunSetCalSeg",IF(G1124="Y", "FlashCalSeg", IF(G1124="N", "FlashAppSeg", ""))))</f>
        <v>FlashAppSeg</v>
      </c>
      <c r="O1124" s="220"/>
      <c r="P1124" s="221"/>
      <c r="Q1124" s="221"/>
      <c r="R1124" s="221"/>
    </row>
    <row r="1125" spans="1:18" ht="33.75" x14ac:dyDescent="0.2">
      <c r="A1125" s="224" t="s">
        <v>2106</v>
      </c>
      <c r="B1125" s="225"/>
      <c r="C1125" s="226" t="s">
        <v>1713</v>
      </c>
      <c r="D1125" s="226" t="s">
        <v>242</v>
      </c>
      <c r="E1125" s="226"/>
      <c r="F1125" s="227" t="s">
        <v>82</v>
      </c>
      <c r="G1125" s="228" t="s">
        <v>82</v>
      </c>
      <c r="H1125" s="228"/>
      <c r="I1125" s="223" t="s">
        <v>2107</v>
      </c>
      <c r="J1125" s="229" t="s">
        <v>2108</v>
      </c>
      <c r="K1125" s="229" t="s">
        <v>2108</v>
      </c>
      <c r="L1125" s="229"/>
      <c r="M1125" s="229" t="s">
        <v>565</v>
      </c>
      <c r="N1125" s="230" t="str">
        <f>IF(ISERROR(MATCH(A1125,MemMap!$A$4:$A$98,0)) = FALSE, INDEX(MemMap!$B$4:$B$98,MATCH(A1125,MemMap!$A$4:$A$98,0)),IF(F1125="Y","TunSetCalSeg",IF(G1125="Y", "FlashCalSeg", IF(G1125="N", "FlashAppSeg", ""))))</f>
        <v>FlashAppSeg</v>
      </c>
      <c r="O1125" s="220"/>
      <c r="P1125" s="221"/>
      <c r="Q1125" s="221"/>
      <c r="R1125" s="221"/>
    </row>
    <row r="1126" spans="1:18" ht="22.5" x14ac:dyDescent="0.2">
      <c r="A1126" s="224" t="s">
        <v>2104</v>
      </c>
      <c r="B1126" s="225" t="s">
        <v>2105</v>
      </c>
      <c r="C1126" s="226" t="s">
        <v>1713</v>
      </c>
      <c r="D1126" s="226" t="s">
        <v>242</v>
      </c>
      <c r="E1126" s="226"/>
      <c r="F1126" s="227" t="s">
        <v>82</v>
      </c>
      <c r="G1126" s="228" t="s">
        <v>82</v>
      </c>
      <c r="H1126" s="228"/>
      <c r="I1126" s="223">
        <v>20</v>
      </c>
      <c r="J1126" s="229">
        <v>0</v>
      </c>
      <c r="K1126" s="229">
        <v>250</v>
      </c>
      <c r="L1126" s="229" t="s">
        <v>615</v>
      </c>
      <c r="M1126" s="229" t="s">
        <v>257</v>
      </c>
      <c r="N1126" s="230" t="str">
        <f>IF(ISERROR(MATCH(A1126,MemMap!$A$4:$A$98,0)) = FALSE, INDEX(MemMap!$B$4:$B$98,MATCH(A1126,MemMap!$A$4:$A$98,0)),IF(F1126="Y","TunSetCalSeg",IF(G1126="Y", "FlashCalSeg", IF(G1126="N", "FlashAppSeg", ""))))</f>
        <v>FlashAppSeg</v>
      </c>
      <c r="O1126" s="220"/>
      <c r="P1126" s="221"/>
      <c r="Q1126" s="221"/>
      <c r="R1126" s="221"/>
    </row>
    <row r="1127" spans="1:18" ht="22.5" x14ac:dyDescent="0.2">
      <c r="A1127" s="224" t="s">
        <v>2098</v>
      </c>
      <c r="B1127" s="225" t="s">
        <v>2099</v>
      </c>
      <c r="C1127" s="226" t="s">
        <v>1713</v>
      </c>
      <c r="D1127" s="226" t="s">
        <v>242</v>
      </c>
      <c r="E1127" s="226"/>
      <c r="F1127" s="227" t="s">
        <v>82</v>
      </c>
      <c r="G1127" s="228" t="s">
        <v>82</v>
      </c>
      <c r="H1127" s="228"/>
      <c r="I1127" s="223">
        <v>1</v>
      </c>
      <c r="J1127" s="229">
        <v>0</v>
      </c>
      <c r="K1127" s="229">
        <v>250</v>
      </c>
      <c r="L1127" s="229" t="s">
        <v>258</v>
      </c>
      <c r="M1127" s="229" t="s">
        <v>257</v>
      </c>
      <c r="N1127" s="230" t="str">
        <f>IF(ISERROR(MATCH(A1127,MemMap!$A$4:$A$98,0)) = FALSE, INDEX(MemMap!$B$4:$B$98,MATCH(A1127,MemMap!$A$4:$A$98,0)),IF(F1127="Y","TunSetCalSeg",IF(G1127="Y", "FlashCalSeg", IF(G1127="N", "FlashAppSeg", ""))))</f>
        <v>FlashAppSeg</v>
      </c>
      <c r="O1127" s="220"/>
      <c r="P1127" s="221"/>
      <c r="Q1127" s="221"/>
      <c r="R1127" s="221"/>
    </row>
    <row r="1128" spans="1:18" ht="22.5" x14ac:dyDescent="0.2">
      <c r="A1128" s="224" t="s">
        <v>2100</v>
      </c>
      <c r="B1128" s="225" t="s">
        <v>2101</v>
      </c>
      <c r="C1128" s="226" t="s">
        <v>1713</v>
      </c>
      <c r="D1128" s="226" t="s">
        <v>242</v>
      </c>
      <c r="E1128" s="226"/>
      <c r="F1128" s="227" t="s">
        <v>82</v>
      </c>
      <c r="G1128" s="228" t="s">
        <v>82</v>
      </c>
      <c r="H1128" s="228"/>
      <c r="I1128" s="223">
        <v>0</v>
      </c>
      <c r="J1128" s="229">
        <v>0</v>
      </c>
      <c r="K1128" s="229">
        <v>1</v>
      </c>
      <c r="L1128" s="229" t="s">
        <v>256</v>
      </c>
      <c r="M1128" s="229" t="s">
        <v>257</v>
      </c>
      <c r="N1128" s="230" t="str">
        <f>IF(ISERROR(MATCH(A1128,MemMap!$A$4:$A$98,0)) = FALSE, INDEX(MemMap!$B$4:$B$98,MATCH(A1128,MemMap!$A$4:$A$98,0)),IF(F1128="Y","TunSetCalSeg",IF(G1128="Y", "FlashCalSeg", IF(G1128="N", "FlashAppSeg", ""))))</f>
        <v>FlashAppSeg</v>
      </c>
      <c r="O1128" s="220"/>
      <c r="P1128" s="221"/>
      <c r="Q1128" s="221"/>
      <c r="R1128" s="221"/>
    </row>
    <row r="1129" spans="1:18" ht="22.5" x14ac:dyDescent="0.2">
      <c r="A1129" s="224" t="s">
        <v>2813</v>
      </c>
      <c r="B1129" s="225" t="s">
        <v>2814</v>
      </c>
      <c r="C1129" s="226" t="s">
        <v>2812</v>
      </c>
      <c r="D1129" s="226" t="s">
        <v>2493</v>
      </c>
      <c r="E1129" s="226"/>
      <c r="F1129" s="227" t="s">
        <v>82</v>
      </c>
      <c r="G1129" s="228" t="s">
        <v>82</v>
      </c>
      <c r="H1129" s="228"/>
      <c r="I1129" s="223">
        <v>1000</v>
      </c>
      <c r="J1129" s="229">
        <v>0</v>
      </c>
      <c r="K1129" s="229">
        <v>1000</v>
      </c>
      <c r="L1129" s="229" t="s">
        <v>269</v>
      </c>
      <c r="M1129" s="229" t="s">
        <v>257</v>
      </c>
      <c r="N1129" s="230" t="str">
        <f>IF(ISERROR(MATCH(A1129,MemMap!$A$4:$A$98,0)) = FALSE, INDEX(MemMap!$B$4:$B$98,MATCH(A1129,MemMap!$A$4:$A$98,0)),IF(F1129="Y","TunSetCalSeg",IF(G1129="Y", "FlashCalSeg", IF(G1129="N", "FlashAppSeg", ""))))</f>
        <v>FlashAppSeg</v>
      </c>
      <c r="O1129" s="220"/>
      <c r="P1129" s="221"/>
      <c r="Q1129" s="221"/>
      <c r="R1129" s="221"/>
    </row>
    <row r="1130" spans="1:18" ht="22.5" x14ac:dyDescent="0.2">
      <c r="A1130" s="224" t="s">
        <v>2817</v>
      </c>
      <c r="B1130" s="225" t="s">
        <v>2818</v>
      </c>
      <c r="C1130" s="226" t="s">
        <v>2812</v>
      </c>
      <c r="D1130" s="226" t="s">
        <v>2493</v>
      </c>
      <c r="E1130" s="226"/>
      <c r="F1130" s="227" t="s">
        <v>82</v>
      </c>
      <c r="G1130" s="228" t="s">
        <v>82</v>
      </c>
      <c r="H1130" s="228"/>
      <c r="I1130" s="223">
        <v>3.5999999999999997E-2</v>
      </c>
      <c r="J1130" s="229">
        <v>0</v>
      </c>
      <c r="K1130" s="229">
        <v>2</v>
      </c>
      <c r="L1130" s="229" t="s">
        <v>634</v>
      </c>
      <c r="M1130" s="229" t="s">
        <v>257</v>
      </c>
      <c r="N1130" s="230" t="str">
        <f>IF(ISERROR(MATCH(A1130,MemMap!$A$4:$A$98,0)) = FALSE, INDEX(MemMap!$B$4:$B$98,MATCH(A1130,MemMap!$A$4:$A$98,0)),IF(F1130="Y","TunSetCalSeg",IF(G1130="Y", "FlashCalSeg", IF(G1130="N", "FlashAppSeg", ""))))</f>
        <v>FlashAppSeg</v>
      </c>
      <c r="O1130" s="220"/>
      <c r="P1130" s="221"/>
      <c r="Q1130" s="221"/>
      <c r="R1130" s="221"/>
    </row>
    <row r="1131" spans="1:18" ht="22.5" x14ac:dyDescent="0.2">
      <c r="A1131" s="224" t="s">
        <v>2819</v>
      </c>
      <c r="B1131" s="225" t="s">
        <v>2820</v>
      </c>
      <c r="C1131" s="226" t="s">
        <v>2812</v>
      </c>
      <c r="D1131" s="226" t="s">
        <v>2493</v>
      </c>
      <c r="E1131" s="226"/>
      <c r="F1131" s="227" t="s">
        <v>82</v>
      </c>
      <c r="G1131" s="228" t="s">
        <v>82</v>
      </c>
      <c r="H1131" s="228"/>
      <c r="I1131" s="223">
        <v>3</v>
      </c>
      <c r="J1131" s="229">
        <v>0</v>
      </c>
      <c r="K1131" s="229">
        <v>5.75</v>
      </c>
      <c r="L1131" s="229" t="s">
        <v>252</v>
      </c>
      <c r="M1131" s="229" t="s">
        <v>257</v>
      </c>
      <c r="N1131" s="230" t="str">
        <f>IF(ISERROR(MATCH(A1131,MemMap!$A$4:$A$98,0)) = FALSE, INDEX(MemMap!$B$4:$B$98,MATCH(A1131,MemMap!$A$4:$A$98,0)),IF(F1131="Y","TunSetCalSeg",IF(G1131="Y", "FlashCalSeg", IF(G1131="N", "FlashAppSeg", ""))))</f>
        <v>FlashAppSeg</v>
      </c>
      <c r="O1131" s="220"/>
      <c r="P1131" s="221"/>
      <c r="Q1131" s="221"/>
      <c r="R1131" s="221"/>
    </row>
    <row r="1132" spans="1:18" ht="22.5" x14ac:dyDescent="0.2">
      <c r="A1132" s="224" t="s">
        <v>2815</v>
      </c>
      <c r="B1132" s="225" t="s">
        <v>2816</v>
      </c>
      <c r="C1132" s="226" t="s">
        <v>2812</v>
      </c>
      <c r="D1132" s="226" t="s">
        <v>2493</v>
      </c>
      <c r="E1132" s="226"/>
      <c r="F1132" s="227" t="s">
        <v>82</v>
      </c>
      <c r="G1132" s="228" t="s">
        <v>82</v>
      </c>
      <c r="H1132" s="228"/>
      <c r="I1132" s="223">
        <v>0</v>
      </c>
      <c r="J1132" s="229">
        <v>0</v>
      </c>
      <c r="K1132" s="229">
        <v>1</v>
      </c>
      <c r="L1132" s="229" t="s">
        <v>256</v>
      </c>
      <c r="M1132" s="229" t="s">
        <v>257</v>
      </c>
      <c r="N1132" s="230" t="str">
        <f>IF(ISERROR(MATCH(A1132,MemMap!$A$4:$A$98,0)) = FALSE, INDEX(MemMap!$B$4:$B$98,MATCH(A1132,MemMap!$A$4:$A$98,0)),IF(F1132="Y","TunSetCalSeg",IF(G1132="Y", "FlashCalSeg", IF(G1132="N", "FlashAppSeg", ""))))</f>
        <v>FlashAppSeg</v>
      </c>
      <c r="O1132" s="220"/>
      <c r="P1132" s="221"/>
      <c r="Q1132" s="221"/>
      <c r="R1132" s="221"/>
    </row>
    <row r="1133" spans="1:18" ht="22.5" x14ac:dyDescent="0.2">
      <c r="A1133" s="224" t="s">
        <v>2810</v>
      </c>
      <c r="B1133" s="225" t="s">
        <v>2811</v>
      </c>
      <c r="C1133" s="226" t="s">
        <v>2812</v>
      </c>
      <c r="D1133" s="226" t="s">
        <v>2493</v>
      </c>
      <c r="E1133" s="226"/>
      <c r="F1133" s="227" t="s">
        <v>82</v>
      </c>
      <c r="G1133" s="228" t="s">
        <v>82</v>
      </c>
      <c r="H1133" s="228"/>
      <c r="I1133" s="223">
        <v>100</v>
      </c>
      <c r="J1133" s="229">
        <v>0</v>
      </c>
      <c r="K1133" s="229">
        <v>1000</v>
      </c>
      <c r="L1133" s="229" t="s">
        <v>269</v>
      </c>
      <c r="M1133" s="229" t="s">
        <v>257</v>
      </c>
      <c r="N1133" s="230" t="str">
        <f>IF(ISERROR(MATCH(A1133,MemMap!$A$4:$A$98,0)) = FALSE, INDEX(MemMap!$B$4:$B$98,MATCH(A1133,MemMap!$A$4:$A$98,0)),IF(F1133="Y","TunSetCalSeg",IF(G1133="Y", "FlashCalSeg", IF(G1133="N", "FlashAppSeg", ""))))</f>
        <v>FlashAppSeg</v>
      </c>
      <c r="O1133" s="220"/>
      <c r="P1133" s="221"/>
      <c r="Q1133" s="221"/>
      <c r="R1133" s="221"/>
    </row>
    <row r="1134" spans="1:18" ht="22.5" x14ac:dyDescent="0.2">
      <c r="A1134" s="224" t="s">
        <v>2821</v>
      </c>
      <c r="B1134" s="225" t="s">
        <v>2822</v>
      </c>
      <c r="C1134" s="226" t="s">
        <v>2812</v>
      </c>
      <c r="D1134" s="226" t="s">
        <v>2493</v>
      </c>
      <c r="E1134" s="226"/>
      <c r="F1134" s="227" t="s">
        <v>82</v>
      </c>
      <c r="G1134" s="228" t="s">
        <v>82</v>
      </c>
      <c r="H1134" s="228"/>
      <c r="I1134" s="223">
        <v>2.2999999999999998</v>
      </c>
      <c r="J1134" s="229">
        <v>0</v>
      </c>
      <c r="K1134" s="229">
        <v>700</v>
      </c>
      <c r="L1134" s="229" t="s">
        <v>259</v>
      </c>
      <c r="M1134" s="229" t="s">
        <v>257</v>
      </c>
      <c r="N1134" s="230" t="str">
        <f>IF(ISERROR(MATCH(A1134,MemMap!$A$4:$A$98,0)) = FALSE, INDEX(MemMap!$B$4:$B$98,MATCH(A1134,MemMap!$A$4:$A$98,0)),IF(F1134="Y","TunSetCalSeg",IF(G1134="Y", "FlashCalSeg", IF(G1134="N", "FlashAppSeg", ""))))</f>
        <v>FlashAppSeg</v>
      </c>
      <c r="O1134" s="220"/>
      <c r="P1134" s="221"/>
      <c r="Q1134" s="221"/>
      <c r="R1134" s="221"/>
    </row>
    <row r="1135" spans="1:18" ht="33.75" x14ac:dyDescent="0.2">
      <c r="A1135" s="224" t="s">
        <v>2826</v>
      </c>
      <c r="B1135" s="225" t="s">
        <v>2827</v>
      </c>
      <c r="C1135" s="226" t="s">
        <v>2812</v>
      </c>
      <c r="D1135" s="226" t="s">
        <v>2493</v>
      </c>
      <c r="E1135" s="226"/>
      <c r="F1135" s="227" t="s">
        <v>82</v>
      </c>
      <c r="G1135" s="228" t="s">
        <v>82</v>
      </c>
      <c r="H1135" s="228"/>
      <c r="I1135" s="223" t="s">
        <v>2828</v>
      </c>
      <c r="J1135" s="229">
        <v>0</v>
      </c>
      <c r="K1135" s="229">
        <v>511</v>
      </c>
      <c r="L1135" s="229" t="s">
        <v>296</v>
      </c>
      <c r="M1135" s="229" t="s">
        <v>336</v>
      </c>
      <c r="N1135" s="230" t="str">
        <f>IF(ISERROR(MATCH(A1135,MemMap!$A$4:$A$98,0)) = FALSE, INDEX(MemMap!$B$4:$B$98,MATCH(A1135,MemMap!$A$4:$A$98,0)),IF(F1135="Y","TunSetCalSeg",IF(G1135="Y", "FlashCalSeg", IF(G1135="N", "FlashAppSeg", ""))))</f>
        <v>FlashAppSeg</v>
      </c>
      <c r="O1135" s="220"/>
      <c r="P1135" s="221"/>
      <c r="Q1135" s="221"/>
      <c r="R1135" s="221"/>
    </row>
    <row r="1136" spans="1:18" ht="33.75" x14ac:dyDescent="0.2">
      <c r="A1136" s="224" t="s">
        <v>2823</v>
      </c>
      <c r="B1136" s="225" t="s">
        <v>2824</v>
      </c>
      <c r="C1136" s="226" t="s">
        <v>2812</v>
      </c>
      <c r="D1136" s="226" t="s">
        <v>2493</v>
      </c>
      <c r="E1136" s="226"/>
      <c r="F1136" s="227" t="s">
        <v>82</v>
      </c>
      <c r="G1136" s="228" t="s">
        <v>82</v>
      </c>
      <c r="H1136" s="228"/>
      <c r="I1136" s="223" t="s">
        <v>2825</v>
      </c>
      <c r="J1136" s="229">
        <v>0</v>
      </c>
      <c r="K1136" s="229">
        <v>1</v>
      </c>
      <c r="L1136" s="229" t="s">
        <v>256</v>
      </c>
      <c r="M1136" s="229" t="s">
        <v>336</v>
      </c>
      <c r="N1136" s="230" t="str">
        <f>IF(ISERROR(MATCH(A1136,MemMap!$A$4:$A$98,0)) = FALSE, INDEX(MemMap!$B$4:$B$98,MATCH(A1136,MemMap!$A$4:$A$98,0)),IF(F1136="Y","TunSetCalSeg",IF(G1136="Y", "FlashCalSeg", IF(G1136="N", "FlashAppSeg", ""))))</f>
        <v>FlashAppSeg</v>
      </c>
      <c r="O1136" s="220"/>
      <c r="P1136" s="221"/>
      <c r="Q1136" s="221"/>
      <c r="R1136" s="221"/>
    </row>
    <row r="1137" spans="1:18" ht="22.5" x14ac:dyDescent="0.2">
      <c r="A1137" s="224" t="s">
        <v>2732</v>
      </c>
      <c r="B1137" s="225" t="s">
        <v>2732</v>
      </c>
      <c r="C1137" s="226" t="s">
        <v>2671</v>
      </c>
      <c r="D1137" s="226" t="s">
        <v>221</v>
      </c>
      <c r="E1137" s="226"/>
      <c r="F1137" s="227" t="s">
        <v>82</v>
      </c>
      <c r="G1137" s="228" t="s">
        <v>82</v>
      </c>
      <c r="H1137" s="228"/>
      <c r="I1137" s="223">
        <v>3000</v>
      </c>
      <c r="J1137" s="229">
        <v>1000</v>
      </c>
      <c r="K1137" s="229">
        <v>20000</v>
      </c>
      <c r="L1137" s="229" t="s">
        <v>2733</v>
      </c>
      <c r="M1137" s="229" t="s">
        <v>257</v>
      </c>
      <c r="N1137" s="230" t="str">
        <f>IF(ISERROR(MATCH(A1137,MemMap!$A$4:$A$98,0)) = FALSE, INDEX(MemMap!$B$4:$B$98,MATCH(A1137,MemMap!$A$4:$A$98,0)),IF(F1137="Y","TunSetCalSeg",IF(G1137="Y", "FlashCalSeg", IF(G1137="N", "FlashAppSeg", ""))))</f>
        <v>FlashAppSeg</v>
      </c>
      <c r="O1137" s="220"/>
      <c r="P1137" s="221"/>
      <c r="Q1137" s="221"/>
      <c r="R1137" s="221"/>
    </row>
    <row r="1138" spans="1:18" ht="22.5" x14ac:dyDescent="0.2">
      <c r="A1138" s="224" t="s">
        <v>2669</v>
      </c>
      <c r="B1138" s="225" t="s">
        <v>2669</v>
      </c>
      <c r="C1138" s="226" t="s">
        <v>2671</v>
      </c>
      <c r="D1138" s="226" t="s">
        <v>2491</v>
      </c>
      <c r="E1138" s="226" t="s">
        <v>2670</v>
      </c>
      <c r="F1138" s="227" t="s">
        <v>82</v>
      </c>
      <c r="G1138" s="228" t="s">
        <v>81</v>
      </c>
      <c r="H1138" s="228"/>
      <c r="I1138" s="223">
        <v>0</v>
      </c>
      <c r="J1138" s="229">
        <v>0</v>
      </c>
      <c r="K1138" s="229">
        <v>10</v>
      </c>
      <c r="L1138" s="229" t="s">
        <v>252</v>
      </c>
      <c r="M1138" s="229" t="s">
        <v>257</v>
      </c>
      <c r="N1138" s="230" t="str">
        <f>IF(ISERROR(MATCH(A1138,MemMap!$A$4:$A$98,0)) = FALSE, INDEX(MemMap!$B$4:$B$98,MATCH(A1138,MemMap!$A$4:$A$98,0)),IF(F1138="Y","TunSetCalSeg",IF(G1138="Y", "FlashCalSeg", IF(G1138="N", "FlashAppSeg", ""))))</f>
        <v>FlashCalSeg</v>
      </c>
      <c r="O1138" s="220"/>
      <c r="P1138" s="221"/>
      <c r="Q1138" s="221"/>
      <c r="R1138" s="221"/>
    </row>
    <row r="1139" spans="1:18" ht="45" x14ac:dyDescent="0.2">
      <c r="A1139" s="224" t="s">
        <v>2672</v>
      </c>
      <c r="B1139" s="225" t="s">
        <v>2672</v>
      </c>
      <c r="C1139" s="226" t="s">
        <v>2671</v>
      </c>
      <c r="D1139" s="226" t="s">
        <v>2491</v>
      </c>
      <c r="E1139" s="226" t="s">
        <v>2673</v>
      </c>
      <c r="F1139" s="227" t="s">
        <v>82</v>
      </c>
      <c r="G1139" s="228" t="s">
        <v>81</v>
      </c>
      <c r="H1139" s="228"/>
      <c r="I1139" s="223">
        <v>1.9079999999999999</v>
      </c>
      <c r="J1139" s="229">
        <v>0</v>
      </c>
      <c r="K1139" s="229">
        <v>1000</v>
      </c>
      <c r="L1139" s="229" t="s">
        <v>259</v>
      </c>
      <c r="M1139" s="229" t="s">
        <v>257</v>
      </c>
      <c r="N1139" s="230" t="str">
        <f>IF(ISERROR(MATCH(A1139,MemMap!$A$4:$A$98,0)) = FALSE, INDEX(MemMap!$B$4:$B$98,MATCH(A1139,MemMap!$A$4:$A$98,0)),IF(F1139="Y","TunSetCalSeg",IF(G1139="Y", "FlashCalSeg", IF(G1139="N", "FlashAppSeg", ""))))</f>
        <v>FlashCalSeg</v>
      </c>
      <c r="O1139" s="220"/>
      <c r="P1139" s="221"/>
      <c r="Q1139" s="221"/>
      <c r="R1139" s="221"/>
    </row>
    <row r="1140" spans="1:18" ht="33.75" x14ac:dyDescent="0.2">
      <c r="A1140" s="224" t="s">
        <v>2674</v>
      </c>
      <c r="B1140" s="225" t="s">
        <v>2674</v>
      </c>
      <c r="C1140" s="226" t="s">
        <v>2671</v>
      </c>
      <c r="D1140" s="226" t="s">
        <v>2491</v>
      </c>
      <c r="E1140" s="226" t="s">
        <v>2675</v>
      </c>
      <c r="F1140" s="227" t="s">
        <v>82</v>
      </c>
      <c r="G1140" s="228" t="s">
        <v>81</v>
      </c>
      <c r="H1140" s="228"/>
      <c r="I1140" s="223">
        <v>-4</v>
      </c>
      <c r="J1140" s="229">
        <v>-100</v>
      </c>
      <c r="K1140" s="229">
        <v>0</v>
      </c>
      <c r="L1140" s="229" t="s">
        <v>804</v>
      </c>
      <c r="M1140" s="229" t="s">
        <v>257</v>
      </c>
      <c r="N1140" s="230" t="str">
        <f>IF(ISERROR(MATCH(A1140,MemMap!$A$4:$A$98,0)) = FALSE, INDEX(MemMap!$B$4:$B$98,MATCH(A1140,MemMap!$A$4:$A$98,0)),IF(F1140="Y","TunSetCalSeg",IF(G1140="Y", "FlashCalSeg", IF(G1140="N", "FlashAppSeg", ""))))</f>
        <v>FlashCalSeg</v>
      </c>
      <c r="O1140" s="220"/>
      <c r="P1140" s="221"/>
      <c r="Q1140" s="221"/>
      <c r="R1140" s="221"/>
    </row>
    <row r="1141" spans="1:18" ht="33.75" x14ac:dyDescent="0.2">
      <c r="A1141" s="224" t="s">
        <v>2676</v>
      </c>
      <c r="B1141" s="225" t="s">
        <v>2676</v>
      </c>
      <c r="C1141" s="226" t="s">
        <v>2671</v>
      </c>
      <c r="D1141" s="226" t="s">
        <v>2491</v>
      </c>
      <c r="E1141" s="226" t="s">
        <v>2677</v>
      </c>
      <c r="F1141" s="227" t="s">
        <v>82</v>
      </c>
      <c r="G1141" s="228" t="s">
        <v>81</v>
      </c>
      <c r="H1141" s="228"/>
      <c r="I1141" s="223">
        <v>0.1</v>
      </c>
      <c r="J1141" s="229">
        <v>0</v>
      </c>
      <c r="K1141" s="229">
        <v>100</v>
      </c>
      <c r="L1141" s="229" t="s">
        <v>804</v>
      </c>
      <c r="M1141" s="229" t="s">
        <v>257</v>
      </c>
      <c r="N1141" s="230" t="str">
        <f>IF(ISERROR(MATCH(A1141,MemMap!$A$4:$A$98,0)) = FALSE, INDEX(MemMap!$B$4:$B$98,MATCH(A1141,MemMap!$A$4:$A$98,0)),IF(F1141="Y","TunSetCalSeg",IF(G1141="Y", "FlashCalSeg", IF(G1141="N", "FlashAppSeg", ""))))</f>
        <v>FlashCalSeg</v>
      </c>
      <c r="O1141" s="220"/>
      <c r="P1141" s="221"/>
      <c r="Q1141" s="221"/>
      <c r="R1141" s="221"/>
    </row>
    <row r="1142" spans="1:18" ht="78.75" x14ac:dyDescent="0.2">
      <c r="A1142" s="224" t="s">
        <v>2678</v>
      </c>
      <c r="B1142" s="225" t="s">
        <v>2678</v>
      </c>
      <c r="C1142" s="226" t="s">
        <v>2671</v>
      </c>
      <c r="D1142" s="226" t="s">
        <v>2491</v>
      </c>
      <c r="E1142" s="226" t="s">
        <v>2679</v>
      </c>
      <c r="F1142" s="227" t="s">
        <v>82</v>
      </c>
      <c r="G1142" s="228" t="s">
        <v>81</v>
      </c>
      <c r="H1142" s="228"/>
      <c r="I1142" s="223">
        <v>-15.625</v>
      </c>
      <c r="J1142" s="229">
        <v>-1000</v>
      </c>
      <c r="K1142" s="229">
        <v>0</v>
      </c>
      <c r="L1142" s="229" t="s">
        <v>804</v>
      </c>
      <c r="M1142" s="229" t="s">
        <v>257</v>
      </c>
      <c r="N1142" s="230" t="str">
        <f>IF(ISERROR(MATCH(A1142,MemMap!$A$4:$A$98,0)) = FALSE, INDEX(MemMap!$B$4:$B$98,MATCH(A1142,MemMap!$A$4:$A$98,0)),IF(F1142="Y","TunSetCalSeg",IF(G1142="Y", "FlashCalSeg", IF(G1142="N", "FlashAppSeg", ""))))</f>
        <v>FlashCalSeg</v>
      </c>
      <c r="O1142" s="220"/>
      <c r="P1142" s="221"/>
      <c r="Q1142" s="221"/>
      <c r="R1142" s="221"/>
    </row>
    <row r="1143" spans="1:18" ht="33.75" x14ac:dyDescent="0.2">
      <c r="A1143" s="224" t="s">
        <v>2682</v>
      </c>
      <c r="B1143" s="225" t="s">
        <v>2682</v>
      </c>
      <c r="C1143" s="226" t="s">
        <v>2671</v>
      </c>
      <c r="D1143" s="226" t="s">
        <v>2491</v>
      </c>
      <c r="E1143" s="226" t="s">
        <v>2683</v>
      </c>
      <c r="F1143" s="227" t="s">
        <v>82</v>
      </c>
      <c r="G1143" s="228" t="s">
        <v>81</v>
      </c>
      <c r="H1143" s="228"/>
      <c r="I1143" s="223">
        <v>1</v>
      </c>
      <c r="J1143" s="229">
        <v>0.1</v>
      </c>
      <c r="K1143" s="229">
        <v>10</v>
      </c>
      <c r="L1143" s="229" t="s">
        <v>288</v>
      </c>
      <c r="M1143" s="229" t="s">
        <v>257</v>
      </c>
      <c r="N1143" s="230" t="str">
        <f>IF(ISERROR(MATCH(A1143,MemMap!$A$4:$A$98,0)) = FALSE, INDEX(MemMap!$B$4:$B$98,MATCH(A1143,MemMap!$A$4:$A$98,0)),IF(F1143="Y","TunSetCalSeg",IF(G1143="Y", "FlashCalSeg", IF(G1143="N", "FlashAppSeg", ""))))</f>
        <v>FlashCalSeg</v>
      </c>
      <c r="O1143" s="220"/>
      <c r="P1143" s="221"/>
      <c r="Q1143" s="221"/>
      <c r="R1143" s="221"/>
    </row>
    <row r="1144" spans="1:18" ht="33.75" x14ac:dyDescent="0.2">
      <c r="A1144" s="224" t="s">
        <v>2684</v>
      </c>
      <c r="B1144" s="225" t="s">
        <v>2684</v>
      </c>
      <c r="C1144" s="226" t="s">
        <v>2671</v>
      </c>
      <c r="D1144" s="226" t="s">
        <v>2491</v>
      </c>
      <c r="E1144" s="226" t="s">
        <v>2685</v>
      </c>
      <c r="F1144" s="227" t="s">
        <v>82</v>
      </c>
      <c r="G1144" s="228" t="s">
        <v>81</v>
      </c>
      <c r="H1144" s="228"/>
      <c r="I1144" s="223">
        <v>4.5</v>
      </c>
      <c r="J1144" s="229">
        <v>0</v>
      </c>
      <c r="K1144" s="229">
        <v>8.8000000000000007</v>
      </c>
      <c r="L1144" s="229" t="s">
        <v>252</v>
      </c>
      <c r="M1144" s="229" t="s">
        <v>257</v>
      </c>
      <c r="N1144" s="230" t="str">
        <f>IF(ISERROR(MATCH(A1144,MemMap!$A$4:$A$98,0)) = FALSE, INDEX(MemMap!$B$4:$B$98,MATCH(A1144,MemMap!$A$4:$A$98,0)),IF(F1144="Y","TunSetCalSeg",IF(G1144="Y", "FlashCalSeg", IF(G1144="N", "FlashAppSeg", ""))))</f>
        <v>FlashCalSeg</v>
      </c>
      <c r="O1144" s="220"/>
      <c r="P1144" s="221"/>
      <c r="Q1144" s="221"/>
      <c r="R1144" s="221"/>
    </row>
    <row r="1145" spans="1:18" ht="56.25" x14ac:dyDescent="0.2">
      <c r="A1145" s="224" t="s">
        <v>2680</v>
      </c>
      <c r="B1145" s="225" t="s">
        <v>2680</v>
      </c>
      <c r="C1145" s="226" t="s">
        <v>2671</v>
      </c>
      <c r="D1145" s="226" t="s">
        <v>2491</v>
      </c>
      <c r="E1145" s="226" t="s">
        <v>2681</v>
      </c>
      <c r="F1145" s="227" t="s">
        <v>82</v>
      </c>
      <c r="G1145" s="228" t="s">
        <v>81</v>
      </c>
      <c r="H1145" s="228"/>
      <c r="I1145" s="223">
        <v>2</v>
      </c>
      <c r="J1145" s="229">
        <v>0.1</v>
      </c>
      <c r="K1145" s="229">
        <v>250</v>
      </c>
      <c r="L1145" s="229" t="s">
        <v>258</v>
      </c>
      <c r="M1145" s="229" t="s">
        <v>257</v>
      </c>
      <c r="N1145" s="230" t="str">
        <f>IF(ISERROR(MATCH(A1145,MemMap!$A$4:$A$98,0)) = FALSE, INDEX(MemMap!$B$4:$B$98,MATCH(A1145,MemMap!$A$4:$A$98,0)),IF(F1145="Y","TunSetCalSeg",IF(G1145="Y", "FlashCalSeg", IF(G1145="N", "FlashAppSeg", ""))))</f>
        <v>FlashCalSeg</v>
      </c>
      <c r="O1145" s="220"/>
      <c r="P1145" s="221"/>
      <c r="Q1145" s="221"/>
      <c r="R1145" s="221"/>
    </row>
    <row r="1146" spans="1:18" ht="45" x14ac:dyDescent="0.2">
      <c r="A1146" s="224" t="s">
        <v>2686</v>
      </c>
      <c r="B1146" s="225" t="s">
        <v>2686</v>
      </c>
      <c r="C1146" s="226" t="s">
        <v>2671</v>
      </c>
      <c r="D1146" s="226" t="s">
        <v>2491</v>
      </c>
      <c r="E1146" s="226" t="s">
        <v>2687</v>
      </c>
      <c r="F1146" s="227" t="s">
        <v>82</v>
      </c>
      <c r="G1146" s="228" t="s">
        <v>81</v>
      </c>
      <c r="H1146" s="228"/>
      <c r="I1146" s="223">
        <v>1</v>
      </c>
      <c r="J1146" s="229">
        <v>0</v>
      </c>
      <c r="K1146" s="229">
        <v>1</v>
      </c>
      <c r="L1146" s="229" t="s">
        <v>288</v>
      </c>
      <c r="M1146" s="229" t="s">
        <v>257</v>
      </c>
      <c r="N1146" s="230" t="str">
        <f>IF(ISERROR(MATCH(A1146,MemMap!$A$4:$A$98,0)) = FALSE, INDEX(MemMap!$B$4:$B$98,MATCH(A1146,MemMap!$A$4:$A$98,0)),IF(F1146="Y","TunSetCalSeg",IF(G1146="Y", "FlashCalSeg", IF(G1146="N", "FlashAppSeg", ""))))</f>
        <v>FlashCalSeg</v>
      </c>
      <c r="O1146" s="220"/>
      <c r="P1146" s="221"/>
      <c r="Q1146" s="221"/>
      <c r="R1146" s="221"/>
    </row>
    <row r="1147" spans="1:18" ht="33.75" x14ac:dyDescent="0.2">
      <c r="A1147" s="224" t="s">
        <v>2688</v>
      </c>
      <c r="B1147" s="225" t="s">
        <v>2688</v>
      </c>
      <c r="C1147" s="226" t="s">
        <v>2671</v>
      </c>
      <c r="D1147" s="226" t="s">
        <v>2491</v>
      </c>
      <c r="E1147" s="226" t="s">
        <v>2689</v>
      </c>
      <c r="F1147" s="227" t="s">
        <v>82</v>
      </c>
      <c r="G1147" s="228" t="s">
        <v>81</v>
      </c>
      <c r="H1147" s="228"/>
      <c r="I1147" s="223">
        <v>0.75</v>
      </c>
      <c r="J1147" s="229">
        <v>0</v>
      </c>
      <c r="K1147" s="229">
        <v>1</v>
      </c>
      <c r="L1147" s="229" t="s">
        <v>288</v>
      </c>
      <c r="M1147" s="229" t="s">
        <v>257</v>
      </c>
      <c r="N1147" s="230" t="str">
        <f>IF(ISERROR(MATCH(A1147,MemMap!$A$4:$A$98,0)) = FALSE, INDEX(MemMap!$B$4:$B$98,MATCH(A1147,MemMap!$A$4:$A$98,0)),IF(F1147="Y","TunSetCalSeg",IF(G1147="Y", "FlashCalSeg", IF(G1147="N", "FlashAppSeg", ""))))</f>
        <v>FlashCalSeg</v>
      </c>
      <c r="O1147" s="220"/>
      <c r="P1147" s="221"/>
      <c r="Q1147" s="221"/>
      <c r="R1147" s="221"/>
    </row>
    <row r="1148" spans="1:18" ht="45" x14ac:dyDescent="0.2">
      <c r="A1148" s="224" t="s">
        <v>2690</v>
      </c>
      <c r="B1148" s="225" t="s">
        <v>2690</v>
      </c>
      <c r="C1148" s="226" t="s">
        <v>2671</v>
      </c>
      <c r="D1148" s="226" t="s">
        <v>2491</v>
      </c>
      <c r="E1148" s="226" t="s">
        <v>2691</v>
      </c>
      <c r="F1148" s="227" t="s">
        <v>82</v>
      </c>
      <c r="G1148" s="228" t="s">
        <v>81</v>
      </c>
      <c r="H1148" s="228"/>
      <c r="I1148" s="223">
        <v>1.17E-2</v>
      </c>
      <c r="J1148" s="229">
        <v>0</v>
      </c>
      <c r="K1148" s="229">
        <v>8.8000000000000007</v>
      </c>
      <c r="L1148" s="229" t="s">
        <v>252</v>
      </c>
      <c r="M1148" s="229" t="s">
        <v>257</v>
      </c>
      <c r="N1148" s="230" t="str">
        <f>IF(ISERROR(MATCH(A1148,MemMap!$A$4:$A$98,0)) = FALSE, INDEX(MemMap!$B$4:$B$98,MATCH(A1148,MemMap!$A$4:$A$98,0)),IF(F1148="Y","TunSetCalSeg",IF(G1148="Y", "FlashCalSeg", IF(G1148="N", "FlashAppSeg", ""))))</f>
        <v>FlashCalSeg</v>
      </c>
      <c r="O1148" s="220"/>
      <c r="P1148" s="221"/>
      <c r="Q1148" s="221"/>
      <c r="R1148" s="221"/>
    </row>
    <row r="1149" spans="1:18" ht="22.5" x14ac:dyDescent="0.2">
      <c r="A1149" s="224" t="s">
        <v>2692</v>
      </c>
      <c r="B1149" s="225" t="s">
        <v>2692</v>
      </c>
      <c r="C1149" s="226" t="s">
        <v>2671</v>
      </c>
      <c r="D1149" s="226" t="s">
        <v>2491</v>
      </c>
      <c r="E1149" s="226" t="s">
        <v>2693</v>
      </c>
      <c r="F1149" s="227" t="s">
        <v>82</v>
      </c>
      <c r="G1149" s="228" t="s">
        <v>81</v>
      </c>
      <c r="H1149" s="228"/>
      <c r="I1149" s="223">
        <v>7.8125</v>
      </c>
      <c r="J1149" s="229">
        <v>0</v>
      </c>
      <c r="K1149" s="229">
        <v>1000</v>
      </c>
      <c r="L1149" s="229" t="s">
        <v>804</v>
      </c>
      <c r="M1149" s="229" t="s">
        <v>257</v>
      </c>
      <c r="N1149" s="230" t="str">
        <f>IF(ISERROR(MATCH(A1149,MemMap!$A$4:$A$98,0)) = FALSE, INDEX(MemMap!$B$4:$B$98,MATCH(A1149,MemMap!$A$4:$A$98,0)),IF(F1149="Y","TunSetCalSeg",IF(G1149="Y", "FlashCalSeg", IF(G1149="N", "FlashAppSeg", ""))))</f>
        <v>FlashCalSeg</v>
      </c>
      <c r="O1149" s="220"/>
      <c r="P1149" s="221"/>
      <c r="Q1149" s="221"/>
      <c r="R1149" s="221"/>
    </row>
    <row r="1150" spans="1:18" ht="33.75" x14ac:dyDescent="0.2">
      <c r="A1150" s="224" t="s">
        <v>2694</v>
      </c>
      <c r="B1150" s="225" t="s">
        <v>2694</v>
      </c>
      <c r="C1150" s="226" t="s">
        <v>2671</v>
      </c>
      <c r="D1150" s="226" t="s">
        <v>2491</v>
      </c>
      <c r="E1150" s="226" t="s">
        <v>2695</v>
      </c>
      <c r="F1150" s="227" t="s">
        <v>82</v>
      </c>
      <c r="G1150" s="228" t="s">
        <v>81</v>
      </c>
      <c r="H1150" s="228"/>
      <c r="I1150" s="223">
        <v>16</v>
      </c>
      <c r="J1150" s="229">
        <v>1</v>
      </c>
      <c r="K1150" s="229">
        <v>100</v>
      </c>
      <c r="L1150" s="229" t="s">
        <v>288</v>
      </c>
      <c r="M1150" s="229" t="s">
        <v>257</v>
      </c>
      <c r="N1150" s="230" t="str">
        <f>IF(ISERROR(MATCH(A1150,MemMap!$A$4:$A$98,0)) = FALSE, INDEX(MemMap!$B$4:$B$98,MATCH(A1150,MemMap!$A$4:$A$98,0)),IF(F1150="Y","TunSetCalSeg",IF(G1150="Y", "FlashCalSeg", IF(G1150="N", "FlashAppSeg", ""))))</f>
        <v>FlashCalSeg</v>
      </c>
      <c r="O1150" s="220"/>
      <c r="P1150" s="221"/>
      <c r="Q1150" s="221"/>
      <c r="R1150" s="221"/>
    </row>
    <row r="1151" spans="1:18" ht="33.75" x14ac:dyDescent="0.2">
      <c r="A1151" s="224" t="s">
        <v>2696</v>
      </c>
      <c r="B1151" s="225" t="s">
        <v>2697</v>
      </c>
      <c r="C1151" s="226" t="s">
        <v>2671</v>
      </c>
      <c r="D1151" s="226" t="s">
        <v>2491</v>
      </c>
      <c r="E1151" s="226" t="s">
        <v>2698</v>
      </c>
      <c r="F1151" s="227" t="s">
        <v>82</v>
      </c>
      <c r="G1151" s="228" t="s">
        <v>81</v>
      </c>
      <c r="H1151" s="228"/>
      <c r="I1151" s="223">
        <v>2.1100000000000001E-2</v>
      </c>
      <c r="J1151" s="229">
        <v>0</v>
      </c>
      <c r="K1151" s="229">
        <v>0.25</v>
      </c>
      <c r="L1151" s="229" t="s">
        <v>2699</v>
      </c>
      <c r="M1151" s="229" t="s">
        <v>257</v>
      </c>
      <c r="N1151" s="230" t="str">
        <f>IF(ISERROR(MATCH(A1151,MemMap!$A$4:$A$98,0)) = FALSE, INDEX(MemMap!$B$4:$B$98,MATCH(A1151,MemMap!$A$4:$A$98,0)),IF(F1151="Y","TunSetCalSeg",IF(G1151="Y", "FlashCalSeg", IF(G1151="N", "FlashAppSeg", ""))))</f>
        <v>FlashCalSeg</v>
      </c>
      <c r="O1151" s="220"/>
      <c r="P1151" s="221"/>
      <c r="Q1151" s="221"/>
      <c r="R1151" s="221"/>
    </row>
    <row r="1152" spans="1:18" ht="33.75" x14ac:dyDescent="0.2">
      <c r="A1152" s="224" t="s">
        <v>2700</v>
      </c>
      <c r="B1152" s="225" t="s">
        <v>2700</v>
      </c>
      <c r="C1152" s="226" t="s">
        <v>2671</v>
      </c>
      <c r="D1152" s="226" t="s">
        <v>2491</v>
      </c>
      <c r="E1152" s="226" t="s">
        <v>2701</v>
      </c>
      <c r="F1152" s="227" t="s">
        <v>82</v>
      </c>
      <c r="G1152" s="228" t="s">
        <v>81</v>
      </c>
      <c r="H1152" s="228"/>
      <c r="I1152" s="223" t="b">
        <v>0</v>
      </c>
      <c r="J1152" s="229" t="b">
        <v>0</v>
      </c>
      <c r="K1152" s="229" t="b">
        <v>1</v>
      </c>
      <c r="L1152" s="229" t="s">
        <v>267</v>
      </c>
      <c r="M1152" s="229" t="s">
        <v>462</v>
      </c>
      <c r="N1152" s="230" t="str">
        <f>IF(ISERROR(MATCH(A1152,MemMap!$A$4:$A$98,0)) = FALSE, INDEX(MemMap!$B$4:$B$98,MATCH(A1152,MemMap!$A$4:$A$98,0)),IF(F1152="Y","TunSetCalSeg",IF(G1152="Y", "FlashCalSeg", IF(G1152="N", "FlashAppSeg", ""))))</f>
        <v>FlashCalSeg</v>
      </c>
      <c r="O1152" s="220"/>
      <c r="P1152" s="221"/>
      <c r="Q1152" s="221"/>
      <c r="R1152" s="221"/>
    </row>
    <row r="1153" spans="1:18" ht="56.25" x14ac:dyDescent="0.2">
      <c r="A1153" s="224" t="s">
        <v>2702</v>
      </c>
      <c r="B1153" s="225" t="s">
        <v>2703</v>
      </c>
      <c r="C1153" s="226" t="s">
        <v>2671</v>
      </c>
      <c r="D1153" s="226" t="s">
        <v>2491</v>
      </c>
      <c r="E1153" s="226" t="s">
        <v>2704</v>
      </c>
      <c r="F1153" s="227" t="s">
        <v>82</v>
      </c>
      <c r="G1153" s="228" t="s">
        <v>81</v>
      </c>
      <c r="H1153" s="228"/>
      <c r="I1153" s="223" t="s">
        <v>2705</v>
      </c>
      <c r="J1153" s="229">
        <v>0</v>
      </c>
      <c r="K1153" s="229">
        <v>2</v>
      </c>
      <c r="L1153" s="229" t="s">
        <v>2706</v>
      </c>
      <c r="M1153" s="229" t="s">
        <v>340</v>
      </c>
      <c r="N1153" s="230" t="str">
        <f>IF(ISERROR(MATCH(A1153,MemMap!$A$4:$A$98,0)) = FALSE, INDEX(MemMap!$B$4:$B$98,MATCH(A1153,MemMap!$A$4:$A$98,0)),IF(F1153="Y","TunSetCalSeg",IF(G1153="Y", "FlashCalSeg", IF(G1153="N", "FlashAppSeg", ""))))</f>
        <v>FlashCalSeg</v>
      </c>
      <c r="O1153" s="220"/>
      <c r="P1153" s="221"/>
      <c r="Q1153" s="221"/>
      <c r="R1153" s="221"/>
    </row>
    <row r="1154" spans="1:18" ht="33.75" x14ac:dyDescent="0.2">
      <c r="A1154" s="224" t="s">
        <v>2711</v>
      </c>
      <c r="B1154" s="225" t="s">
        <v>2712</v>
      </c>
      <c r="C1154" s="226" t="s">
        <v>2671</v>
      </c>
      <c r="D1154" s="226" t="s">
        <v>2491</v>
      </c>
      <c r="E1154" s="226" t="s">
        <v>2713</v>
      </c>
      <c r="F1154" s="227" t="s">
        <v>82</v>
      </c>
      <c r="G1154" s="228" t="s">
        <v>81</v>
      </c>
      <c r="H1154" s="228"/>
      <c r="I1154" s="223" t="s">
        <v>2714</v>
      </c>
      <c r="J1154" s="229">
        <v>0</v>
      </c>
      <c r="K1154" s="229">
        <v>400</v>
      </c>
      <c r="L1154" s="229" t="s">
        <v>296</v>
      </c>
      <c r="M1154" s="229" t="s">
        <v>587</v>
      </c>
      <c r="N1154" s="230" t="str">
        <f>IF(ISERROR(MATCH(A1154,MemMap!$A$4:$A$98,0)) = FALSE, INDEX(MemMap!$B$4:$B$98,MATCH(A1154,MemMap!$A$4:$A$98,0)),IF(F1154="Y","TunSetCalSeg",IF(G1154="Y", "FlashCalSeg", IF(G1154="N", "FlashAppSeg", ""))))</f>
        <v>FlashCalSeg</v>
      </c>
      <c r="O1154" s="220"/>
      <c r="P1154" s="221"/>
      <c r="Q1154" s="221"/>
      <c r="R1154" s="221"/>
    </row>
    <row r="1155" spans="1:18" ht="22.5" x14ac:dyDescent="0.2">
      <c r="A1155" s="224" t="s">
        <v>2715</v>
      </c>
      <c r="B1155" s="225" t="s">
        <v>2716</v>
      </c>
      <c r="C1155" s="226" t="s">
        <v>2671</v>
      </c>
      <c r="D1155" s="226" t="s">
        <v>2491</v>
      </c>
      <c r="E1155" s="226" t="s">
        <v>2717</v>
      </c>
      <c r="F1155" s="227" t="s">
        <v>82</v>
      </c>
      <c r="G1155" s="228" t="s">
        <v>81</v>
      </c>
      <c r="H1155" s="228"/>
      <c r="I1155" s="223" t="s">
        <v>2718</v>
      </c>
      <c r="J1155" s="229">
        <v>0</v>
      </c>
      <c r="K1155" s="229">
        <v>1</v>
      </c>
      <c r="L1155" s="229" t="s">
        <v>288</v>
      </c>
      <c r="M1155" s="229" t="s">
        <v>666</v>
      </c>
      <c r="N1155" s="230" t="str">
        <f>IF(ISERROR(MATCH(A1155,MemMap!$A$4:$A$98,0)) = FALSE, INDEX(MemMap!$B$4:$B$98,MATCH(A1155,MemMap!$A$4:$A$98,0)),IF(F1155="Y","TunSetCalSeg",IF(G1155="Y", "FlashCalSeg", IF(G1155="N", "FlashAppSeg", ""))))</f>
        <v>FlashCalSeg</v>
      </c>
      <c r="O1155" s="220"/>
      <c r="P1155" s="221"/>
      <c r="Q1155" s="221"/>
      <c r="R1155" s="221"/>
    </row>
    <row r="1156" spans="1:18" ht="22.5" x14ac:dyDescent="0.2">
      <c r="A1156" s="224" t="s">
        <v>2719</v>
      </c>
      <c r="B1156" s="225" t="s">
        <v>2720</v>
      </c>
      <c r="C1156" s="226" t="s">
        <v>2671</v>
      </c>
      <c r="D1156" s="226" t="s">
        <v>2491</v>
      </c>
      <c r="E1156" s="226" t="s">
        <v>2721</v>
      </c>
      <c r="F1156" s="227" t="s">
        <v>82</v>
      </c>
      <c r="G1156" s="228" t="s">
        <v>81</v>
      </c>
      <c r="H1156" s="228"/>
      <c r="I1156" s="223" t="s">
        <v>2722</v>
      </c>
      <c r="J1156" s="229">
        <v>0</v>
      </c>
      <c r="K1156" s="229">
        <v>15</v>
      </c>
      <c r="L1156" s="229" t="s">
        <v>2723</v>
      </c>
      <c r="M1156" s="229" t="s">
        <v>675</v>
      </c>
      <c r="N1156" s="230" t="str">
        <f>IF(ISERROR(MATCH(A1156,MemMap!$A$4:$A$98,0)) = FALSE, INDEX(MemMap!$B$4:$B$98,MATCH(A1156,MemMap!$A$4:$A$98,0)),IF(F1156="Y","TunSetCalSeg",IF(G1156="Y", "FlashCalSeg", IF(G1156="N", "FlashAppSeg", ""))))</f>
        <v>FlashCalSeg</v>
      </c>
      <c r="O1156" s="220"/>
      <c r="P1156" s="221"/>
      <c r="Q1156" s="221"/>
      <c r="R1156" s="221"/>
    </row>
    <row r="1157" spans="1:18" ht="33.75" x14ac:dyDescent="0.2">
      <c r="A1157" s="224" t="s">
        <v>2724</v>
      </c>
      <c r="B1157" s="225" t="s">
        <v>2725</v>
      </c>
      <c r="C1157" s="226" t="s">
        <v>2671</v>
      </c>
      <c r="D1157" s="226" t="s">
        <v>2491</v>
      </c>
      <c r="E1157" s="226" t="s">
        <v>2726</v>
      </c>
      <c r="F1157" s="227" t="s">
        <v>82</v>
      </c>
      <c r="G1157" s="228" t="s">
        <v>81</v>
      </c>
      <c r="H1157" s="228"/>
      <c r="I1157" s="223" t="s">
        <v>2727</v>
      </c>
      <c r="J1157" s="229">
        <v>0</v>
      </c>
      <c r="K1157" s="229">
        <v>8.8000000000000007</v>
      </c>
      <c r="L1157" s="229" t="s">
        <v>252</v>
      </c>
      <c r="M1157" s="229" t="s">
        <v>675</v>
      </c>
      <c r="N1157" s="230" t="str">
        <f>IF(ISERROR(MATCH(A1157,MemMap!$A$4:$A$98,0)) = FALSE, INDEX(MemMap!$B$4:$B$98,MATCH(A1157,MemMap!$A$4:$A$98,0)),IF(F1157="Y","TunSetCalSeg",IF(G1157="Y", "FlashCalSeg", IF(G1157="N", "FlashAppSeg", ""))))</f>
        <v>FlashCalSeg</v>
      </c>
      <c r="O1157" s="220"/>
      <c r="P1157" s="221"/>
      <c r="Q1157" s="221"/>
      <c r="R1157" s="221"/>
    </row>
    <row r="1158" spans="1:18" ht="33.75" x14ac:dyDescent="0.2">
      <c r="A1158" s="224" t="s">
        <v>2728</v>
      </c>
      <c r="B1158" s="225" t="s">
        <v>2729</v>
      </c>
      <c r="C1158" s="226" t="s">
        <v>2671</v>
      </c>
      <c r="D1158" s="226" t="s">
        <v>2491</v>
      </c>
      <c r="E1158" s="226" t="s">
        <v>2730</v>
      </c>
      <c r="F1158" s="227" t="s">
        <v>82</v>
      </c>
      <c r="G1158" s="228" t="s">
        <v>81</v>
      </c>
      <c r="H1158" s="228"/>
      <c r="I1158" s="223" t="s">
        <v>2731</v>
      </c>
      <c r="J1158" s="229">
        <v>0</v>
      </c>
      <c r="K1158" s="229">
        <v>400</v>
      </c>
      <c r="L1158" s="229" t="s">
        <v>296</v>
      </c>
      <c r="M1158" s="229" t="s">
        <v>587</v>
      </c>
      <c r="N1158" s="230" t="str">
        <f>IF(ISERROR(MATCH(A1158,MemMap!$A$4:$A$98,0)) = FALSE, INDEX(MemMap!$B$4:$B$98,MATCH(A1158,MemMap!$A$4:$A$98,0)),IF(F1158="Y","TunSetCalSeg",IF(G1158="Y", "FlashCalSeg", IF(G1158="N", "FlashAppSeg", ""))))</f>
        <v>FlashCalSeg</v>
      </c>
      <c r="O1158" s="220"/>
      <c r="P1158" s="221"/>
      <c r="Q1158" s="221"/>
      <c r="R1158" s="221"/>
    </row>
    <row r="1159" spans="1:18" ht="33.75" x14ac:dyDescent="0.2">
      <c r="A1159" s="224" t="s">
        <v>2707</v>
      </c>
      <c r="B1159" s="225" t="s">
        <v>2708</v>
      </c>
      <c r="C1159" s="226" t="s">
        <v>2671</v>
      </c>
      <c r="D1159" s="226" t="s">
        <v>2491</v>
      </c>
      <c r="E1159" s="226" t="s">
        <v>2709</v>
      </c>
      <c r="F1159" s="227" t="s">
        <v>82</v>
      </c>
      <c r="G1159" s="228" t="s">
        <v>81</v>
      </c>
      <c r="H1159" s="228"/>
      <c r="I1159" s="223" t="s">
        <v>2710</v>
      </c>
      <c r="J1159" s="229">
        <v>0</v>
      </c>
      <c r="K1159" s="229">
        <v>1</v>
      </c>
      <c r="L1159" s="229" t="s">
        <v>288</v>
      </c>
      <c r="M1159" s="229" t="s">
        <v>666</v>
      </c>
      <c r="N1159" s="230" t="str">
        <f>IF(ISERROR(MATCH(A1159,MemMap!$A$4:$A$98,0)) = FALSE, INDEX(MemMap!$B$4:$B$98,MATCH(A1159,MemMap!$A$4:$A$98,0)),IF(F1159="Y","TunSetCalSeg",IF(G1159="Y", "FlashCalSeg", IF(G1159="N", "FlashAppSeg", ""))))</f>
        <v>FlashCalSeg</v>
      </c>
      <c r="O1159" s="220"/>
      <c r="P1159" s="221"/>
      <c r="Q1159" s="221"/>
      <c r="R1159" s="221"/>
    </row>
    <row r="1160" spans="1:18" ht="33.75" x14ac:dyDescent="0.2">
      <c r="A1160" s="224" t="s">
        <v>2621</v>
      </c>
      <c r="B1160" s="225" t="s">
        <v>2621</v>
      </c>
      <c r="C1160" s="226" t="s">
        <v>1718</v>
      </c>
      <c r="D1160" s="226" t="s">
        <v>240</v>
      </c>
      <c r="E1160" s="226" t="s">
        <v>2622</v>
      </c>
      <c r="F1160" s="227" t="s">
        <v>81</v>
      </c>
      <c r="G1160" s="228" t="s">
        <v>81</v>
      </c>
      <c r="H1160" s="228"/>
      <c r="I1160" s="223">
        <v>1</v>
      </c>
      <c r="J1160" s="229">
        <v>0</v>
      </c>
      <c r="K1160" s="229">
        <v>42</v>
      </c>
      <c r="L1160" s="229" t="s">
        <v>1334</v>
      </c>
      <c r="M1160" s="229" t="s">
        <v>257</v>
      </c>
      <c r="N1160" s="230" t="str">
        <f>IF(ISERROR(MATCH(A1160,MemMap!$A$4:$A$98,0)) = FALSE, INDEX(MemMap!$B$4:$B$98,MATCH(A1160,MemMap!$A$4:$A$98,0)),IF(F1160="Y","TunSetCalSeg",IF(G1160="Y", "FlashCalSeg", IF(G1160="N", "FlashAppSeg", ""))))</f>
        <v>TunSetCalSeg</v>
      </c>
      <c r="O1160" s="220"/>
      <c r="P1160" s="221"/>
      <c r="Q1160" s="221"/>
      <c r="R1160" s="221"/>
    </row>
    <row r="1161" spans="1:18" ht="33.75" x14ac:dyDescent="0.2">
      <c r="A1161" s="224" t="s">
        <v>1715</v>
      </c>
      <c r="B1161" s="225" t="s">
        <v>1716</v>
      </c>
      <c r="C1161" s="226" t="s">
        <v>1718</v>
      </c>
      <c r="D1161" s="226" t="s">
        <v>240</v>
      </c>
      <c r="E1161" s="226" t="s">
        <v>1717</v>
      </c>
      <c r="F1161" s="227" t="s">
        <v>81</v>
      </c>
      <c r="G1161" s="228" t="s">
        <v>81</v>
      </c>
      <c r="H1161" s="228"/>
      <c r="I1161" s="223">
        <v>5</v>
      </c>
      <c r="J1161" s="229">
        <v>1</v>
      </c>
      <c r="K1161" s="229">
        <v>50</v>
      </c>
      <c r="L1161" s="229" t="s">
        <v>258</v>
      </c>
      <c r="M1161" s="229" t="s">
        <v>257</v>
      </c>
      <c r="N1161" s="230" t="str">
        <f>IF(ISERROR(MATCH(A1161,MemMap!$A$4:$A$98,0)) = FALSE, INDEX(MemMap!$B$4:$B$98,MATCH(A1161,MemMap!$A$4:$A$98,0)),IF(F1161="Y","TunSetCalSeg",IF(G1161="Y", "FlashCalSeg", IF(G1161="N", "FlashAppSeg", ""))))</f>
        <v>TunSetCalSeg</v>
      </c>
      <c r="O1161" s="220"/>
      <c r="P1161" s="221"/>
      <c r="Q1161" s="221"/>
      <c r="R1161" s="221"/>
    </row>
    <row r="1162" spans="1:18" ht="45" x14ac:dyDescent="0.2">
      <c r="A1162" s="224" t="s">
        <v>1719</v>
      </c>
      <c r="B1162" s="225" t="s">
        <v>1720</v>
      </c>
      <c r="C1162" s="226" t="s">
        <v>1718</v>
      </c>
      <c r="D1162" s="226" t="s">
        <v>240</v>
      </c>
      <c r="E1162" s="226" t="s">
        <v>1721</v>
      </c>
      <c r="F1162" s="227" t="s">
        <v>81</v>
      </c>
      <c r="G1162" s="228" t="s">
        <v>81</v>
      </c>
      <c r="H1162" s="228"/>
      <c r="I1162" s="223">
        <v>100</v>
      </c>
      <c r="J1162" s="229">
        <v>0</v>
      </c>
      <c r="K1162" s="229">
        <v>255</v>
      </c>
      <c r="L1162" s="229" t="s">
        <v>296</v>
      </c>
      <c r="M1162" s="229" t="s">
        <v>257</v>
      </c>
      <c r="N1162" s="230" t="str">
        <f>IF(ISERROR(MATCH(A1162,MemMap!$A$4:$A$98,0)) = FALSE, INDEX(MemMap!$B$4:$B$98,MATCH(A1162,MemMap!$A$4:$A$98,0)),IF(F1162="Y","TunSetCalSeg",IF(G1162="Y", "FlashCalSeg", IF(G1162="N", "FlashAppSeg", ""))))</f>
        <v>TunSetCalSeg</v>
      </c>
      <c r="O1162" s="220"/>
      <c r="P1162" s="221"/>
      <c r="Q1162" s="221"/>
      <c r="R1162" s="221"/>
    </row>
    <row r="1163" spans="1:18" ht="67.5" x14ac:dyDescent="0.2">
      <c r="A1163" s="224" t="s">
        <v>2623</v>
      </c>
      <c r="B1163" s="225" t="s">
        <v>2624</v>
      </c>
      <c r="C1163" s="226" t="s">
        <v>1718</v>
      </c>
      <c r="D1163" s="226" t="s">
        <v>240</v>
      </c>
      <c r="E1163" s="226" t="s">
        <v>2625</v>
      </c>
      <c r="F1163" s="227" t="s">
        <v>81</v>
      </c>
      <c r="G1163" s="228" t="s">
        <v>81</v>
      </c>
      <c r="H1163" s="228"/>
      <c r="I1163" s="223" t="s">
        <v>2626</v>
      </c>
      <c r="J1163" s="229">
        <v>0</v>
      </c>
      <c r="K1163" s="229">
        <v>511</v>
      </c>
      <c r="L1163" s="229" t="s">
        <v>296</v>
      </c>
      <c r="M1163" s="229" t="s">
        <v>336</v>
      </c>
      <c r="N1163" s="230" t="str">
        <f>IF(ISERROR(MATCH(A1163,MemMap!$A$4:$A$98,0)) = FALSE, INDEX(MemMap!$B$4:$B$98,MATCH(A1163,MemMap!$A$4:$A$98,0)),IF(F1163="Y","TunSetCalSeg",IF(G1163="Y", "FlashCalSeg", IF(G1163="N", "FlashAppSeg", ""))))</f>
        <v>TunSetCalSeg</v>
      </c>
      <c r="O1163" s="220"/>
      <c r="P1163" s="221"/>
      <c r="Q1163" s="221"/>
      <c r="R1163" s="221"/>
    </row>
    <row r="1164" spans="1:18" ht="67.5" x14ac:dyDescent="0.2">
      <c r="A1164" s="224" t="s">
        <v>2627</v>
      </c>
      <c r="B1164" s="225" t="s">
        <v>2628</v>
      </c>
      <c r="C1164" s="226" t="s">
        <v>1718</v>
      </c>
      <c r="D1164" s="226" t="s">
        <v>240</v>
      </c>
      <c r="E1164" s="226" t="s">
        <v>2629</v>
      </c>
      <c r="F1164" s="227" t="s">
        <v>81</v>
      </c>
      <c r="G1164" s="228" t="s">
        <v>81</v>
      </c>
      <c r="H1164" s="228"/>
      <c r="I1164" s="223" t="s">
        <v>2630</v>
      </c>
      <c r="J1164" s="229">
        <v>0</v>
      </c>
      <c r="K1164" s="229">
        <v>10</v>
      </c>
      <c r="L1164" s="229" t="s">
        <v>261</v>
      </c>
      <c r="M1164" s="229" t="s">
        <v>675</v>
      </c>
      <c r="N1164" s="230" t="str">
        <f>IF(ISERROR(MATCH(A1164,MemMap!$A$4:$A$98,0)) = FALSE, INDEX(MemMap!$B$4:$B$98,MATCH(A1164,MemMap!$A$4:$A$98,0)),IF(F1164="Y","TunSetCalSeg",IF(G1164="Y", "FlashCalSeg", IF(G1164="N", "FlashAppSeg", ""))))</f>
        <v>TunSetCalSeg</v>
      </c>
      <c r="O1164" s="220"/>
      <c r="P1164" s="221"/>
      <c r="Q1164" s="221"/>
      <c r="R1164" s="221"/>
    </row>
    <row r="1165" spans="1:18" ht="56.25" x14ac:dyDescent="0.2">
      <c r="A1165" s="224" t="s">
        <v>1931</v>
      </c>
      <c r="B1165" s="225" t="s">
        <v>3642</v>
      </c>
      <c r="C1165" s="226" t="s">
        <v>1902</v>
      </c>
      <c r="D1165" s="226" t="s">
        <v>2371</v>
      </c>
      <c r="E1165" s="226" t="s">
        <v>1932</v>
      </c>
      <c r="F1165" s="227" t="s">
        <v>81</v>
      </c>
      <c r="G1165" s="228" t="s">
        <v>81</v>
      </c>
      <c r="H1165" s="228"/>
      <c r="I1165" s="223">
        <v>5</v>
      </c>
      <c r="J1165" s="229">
        <v>0</v>
      </c>
      <c r="K1165" s="229">
        <v>100</v>
      </c>
      <c r="L1165" s="229" t="s">
        <v>264</v>
      </c>
      <c r="M1165" s="229" t="s">
        <v>257</v>
      </c>
      <c r="N1165" s="230" t="str">
        <f>IF(ISERROR(MATCH(A1165,MemMap!$A$4:$A$98,0)) = FALSE, INDEX(MemMap!$B$4:$B$98,MATCH(A1165,MemMap!$A$4:$A$98,0)),IF(F1165="Y","TunSetCalSeg",IF(G1165="Y", "FlashCalSeg", IF(G1165="N", "FlashAppSeg", ""))))</f>
        <v>TunSetCalSeg</v>
      </c>
      <c r="O1165" s="220"/>
      <c r="P1165" s="221"/>
      <c r="Q1165" s="221"/>
      <c r="R1165" s="221"/>
    </row>
    <row r="1166" spans="1:18" ht="45" x14ac:dyDescent="0.2">
      <c r="A1166" s="224" t="s">
        <v>1929</v>
      </c>
      <c r="B1166" s="225" t="s">
        <v>1930</v>
      </c>
      <c r="C1166" s="226" t="s">
        <v>1902</v>
      </c>
      <c r="D1166" s="226" t="s">
        <v>2371</v>
      </c>
      <c r="E1166" s="226" t="s">
        <v>1914</v>
      </c>
      <c r="F1166" s="227" t="s">
        <v>81</v>
      </c>
      <c r="G1166" s="228" t="s">
        <v>81</v>
      </c>
      <c r="H1166" s="228"/>
      <c r="I1166" s="223">
        <v>2.5000000000000001E-2</v>
      </c>
      <c r="J1166" s="229">
        <v>2.0000000000000001E-4</v>
      </c>
      <c r="K1166" s="229">
        <v>0.1</v>
      </c>
      <c r="L1166" s="229" t="s">
        <v>258</v>
      </c>
      <c r="M1166" s="229" t="s">
        <v>257</v>
      </c>
      <c r="N1166" s="230" t="str">
        <f>IF(ISERROR(MATCH(A1166,MemMap!$A$4:$A$98,0)) = FALSE, INDEX(MemMap!$B$4:$B$98,MATCH(A1166,MemMap!$A$4:$A$98,0)),IF(F1166="Y","TunSetCalSeg",IF(G1166="Y", "FlashCalSeg", IF(G1166="N", "FlashAppSeg", ""))))</f>
        <v>TunSetCalSeg</v>
      </c>
      <c r="O1166" s="220"/>
      <c r="P1166" s="221"/>
      <c r="Q1166" s="221"/>
      <c r="R1166" s="221"/>
    </row>
    <row r="1167" spans="1:18" ht="45" x14ac:dyDescent="0.2">
      <c r="A1167" s="224" t="s">
        <v>1933</v>
      </c>
      <c r="B1167" s="225" t="s">
        <v>3643</v>
      </c>
      <c r="C1167" s="226" t="s">
        <v>1902</v>
      </c>
      <c r="D1167" s="226" t="s">
        <v>2371</v>
      </c>
      <c r="E1167" s="226" t="s">
        <v>1914</v>
      </c>
      <c r="F1167" s="227" t="s">
        <v>81</v>
      </c>
      <c r="G1167" s="228" t="s">
        <v>81</v>
      </c>
      <c r="H1167" s="228"/>
      <c r="I1167" s="223">
        <v>2.0000000000000001E-4</v>
      </c>
      <c r="J1167" s="229">
        <v>2.0000000000000001E-4</v>
      </c>
      <c r="K1167" s="229">
        <v>0.1</v>
      </c>
      <c r="L1167" s="229" t="s">
        <v>258</v>
      </c>
      <c r="M1167" s="229" t="s">
        <v>257</v>
      </c>
      <c r="N1167" s="230" t="str">
        <f>IF(ISERROR(MATCH(A1167,MemMap!$A$4:$A$98,0)) = FALSE, INDEX(MemMap!$B$4:$B$98,MATCH(A1167,MemMap!$A$4:$A$98,0)),IF(F1167="Y","TunSetCalSeg",IF(G1167="Y", "FlashCalSeg", IF(G1167="N", "FlashAppSeg", ""))))</f>
        <v>TunSetCalSeg</v>
      </c>
      <c r="O1167" s="220"/>
      <c r="P1167" s="221"/>
      <c r="Q1167" s="221"/>
      <c r="R1167" s="221"/>
    </row>
    <row r="1168" spans="1:18" ht="45" x14ac:dyDescent="0.2">
      <c r="A1168" s="224" t="s">
        <v>1927</v>
      </c>
      <c r="B1168" s="225" t="s">
        <v>3641</v>
      </c>
      <c r="C1168" s="226" t="s">
        <v>1902</v>
      </c>
      <c r="D1168" s="226" t="s">
        <v>2371</v>
      </c>
      <c r="E1168" s="226" t="s">
        <v>1928</v>
      </c>
      <c r="F1168" s="227" t="s">
        <v>81</v>
      </c>
      <c r="G1168" s="228" t="s">
        <v>81</v>
      </c>
      <c r="H1168" s="228"/>
      <c r="I1168" s="223">
        <v>1500</v>
      </c>
      <c r="J1168" s="229">
        <v>0</v>
      </c>
      <c r="K1168" s="229">
        <v>60000</v>
      </c>
      <c r="L1168" s="229" t="s">
        <v>269</v>
      </c>
      <c r="M1168" s="229" t="s">
        <v>263</v>
      </c>
      <c r="N1168" s="230" t="str">
        <f>IF(ISERROR(MATCH(A1168,MemMap!$A$4:$A$98,0)) = FALSE, INDEX(MemMap!$B$4:$B$98,MATCH(A1168,MemMap!$A$4:$A$98,0)),IF(F1168="Y","TunSetCalSeg",IF(G1168="Y", "FlashCalSeg", IF(G1168="N", "FlashAppSeg", ""))))</f>
        <v>TunSetCalSeg</v>
      </c>
      <c r="O1168" s="220"/>
      <c r="P1168" s="221"/>
      <c r="Q1168" s="221"/>
      <c r="R1168" s="221"/>
    </row>
    <row r="1169" spans="1:18" ht="56.25" x14ac:dyDescent="0.2">
      <c r="A1169" s="224" t="s">
        <v>1921</v>
      </c>
      <c r="B1169" s="225" t="s">
        <v>3638</v>
      </c>
      <c r="C1169" s="226" t="s">
        <v>1902</v>
      </c>
      <c r="D1169" s="226" t="s">
        <v>2371</v>
      </c>
      <c r="E1169" s="226" t="s">
        <v>1922</v>
      </c>
      <c r="F1169" s="227" t="s">
        <v>81</v>
      </c>
      <c r="G1169" s="228" t="s">
        <v>81</v>
      </c>
      <c r="H1169" s="228"/>
      <c r="I1169" s="223">
        <v>20</v>
      </c>
      <c r="J1169" s="229">
        <v>0</v>
      </c>
      <c r="K1169" s="229">
        <v>700</v>
      </c>
      <c r="L1169" s="229" t="s">
        <v>259</v>
      </c>
      <c r="M1169" s="229" t="s">
        <v>257</v>
      </c>
      <c r="N1169" s="230" t="str">
        <f>IF(ISERROR(MATCH(A1169,MemMap!$A$4:$A$98,0)) = FALSE, INDEX(MemMap!$B$4:$B$98,MATCH(A1169,MemMap!$A$4:$A$98,0)),IF(F1169="Y","TunSetCalSeg",IF(G1169="Y", "FlashCalSeg", IF(G1169="N", "FlashAppSeg", ""))))</f>
        <v>TunSetCalSeg</v>
      </c>
      <c r="O1169" s="220"/>
      <c r="P1169" s="221"/>
      <c r="Q1169" s="221"/>
      <c r="R1169" s="221"/>
    </row>
    <row r="1170" spans="1:18" ht="45" x14ac:dyDescent="0.2">
      <c r="A1170" s="224" t="s">
        <v>1925</v>
      </c>
      <c r="B1170" s="235" t="s">
        <v>3640</v>
      </c>
      <c r="C1170" s="226" t="s">
        <v>1902</v>
      </c>
      <c r="D1170" s="226" t="s">
        <v>2371</v>
      </c>
      <c r="E1170" s="226" t="s">
        <v>1926</v>
      </c>
      <c r="F1170" s="227" t="s">
        <v>81</v>
      </c>
      <c r="G1170" s="228" t="s">
        <v>81</v>
      </c>
      <c r="H1170" s="228"/>
      <c r="I1170" s="223">
        <v>4</v>
      </c>
      <c r="J1170" s="229">
        <v>0</v>
      </c>
      <c r="K1170" s="229">
        <v>20</v>
      </c>
      <c r="L1170" s="229" t="s">
        <v>261</v>
      </c>
      <c r="M1170" s="229" t="s">
        <v>257</v>
      </c>
      <c r="N1170" s="230" t="str">
        <f>IF(ISERROR(MATCH(A1170,MemMap!$A$4:$A$98,0)) = FALSE, INDEX(MemMap!$B$4:$B$98,MATCH(A1170,MemMap!$A$4:$A$98,0)),IF(F1170="Y","TunSetCalSeg",IF(G1170="Y", "FlashCalSeg", IF(G1170="N", "FlashAppSeg", ""))))</f>
        <v>TunSetCalSeg</v>
      </c>
      <c r="O1170" s="220"/>
      <c r="P1170" s="221"/>
      <c r="Q1170" s="221"/>
      <c r="R1170" s="221"/>
    </row>
    <row r="1171" spans="1:18" ht="56.25" x14ac:dyDescent="0.2">
      <c r="A1171" s="224" t="s">
        <v>1923</v>
      </c>
      <c r="B1171" s="235" t="s">
        <v>3639</v>
      </c>
      <c r="C1171" s="226" t="s">
        <v>1902</v>
      </c>
      <c r="D1171" s="226" t="s">
        <v>2371</v>
      </c>
      <c r="E1171" s="226" t="s">
        <v>1924</v>
      </c>
      <c r="F1171" s="227" t="s">
        <v>81</v>
      </c>
      <c r="G1171" s="228" t="s">
        <v>81</v>
      </c>
      <c r="H1171" s="228"/>
      <c r="I1171" s="223">
        <v>65</v>
      </c>
      <c r="J1171" s="229">
        <v>0</v>
      </c>
      <c r="K1171" s="229">
        <v>255</v>
      </c>
      <c r="L1171" s="229" t="s">
        <v>260</v>
      </c>
      <c r="M1171" s="229" t="s">
        <v>257</v>
      </c>
      <c r="N1171" s="230" t="str">
        <f>IF(ISERROR(MATCH(A1171,MemMap!$A$4:$A$98,0)) = FALSE, INDEX(MemMap!$B$4:$B$98,MATCH(A1171,MemMap!$A$4:$A$98,0)),IF(F1171="Y","TunSetCalSeg",IF(G1171="Y", "FlashCalSeg", IF(G1171="N", "FlashAppSeg", ""))))</f>
        <v>TunSetCalSeg</v>
      </c>
      <c r="O1171" s="220"/>
      <c r="P1171" s="221"/>
      <c r="Q1171" s="221"/>
      <c r="R1171" s="221"/>
    </row>
    <row r="1172" spans="1:18" ht="33.75" x14ac:dyDescent="0.2">
      <c r="A1172" s="224" t="s">
        <v>1934</v>
      </c>
      <c r="B1172" s="225" t="s">
        <v>3644</v>
      </c>
      <c r="C1172" s="226" t="s">
        <v>1902</v>
      </c>
      <c r="D1172" s="226" t="s">
        <v>2371</v>
      </c>
      <c r="E1172" s="226" t="s">
        <v>1935</v>
      </c>
      <c r="F1172" s="227" t="s">
        <v>81</v>
      </c>
      <c r="G1172" s="228" t="s">
        <v>81</v>
      </c>
      <c r="H1172" s="228"/>
      <c r="I1172" s="223">
        <v>2000</v>
      </c>
      <c r="J1172" s="229">
        <v>0</v>
      </c>
      <c r="K1172" s="229">
        <v>60000</v>
      </c>
      <c r="L1172" s="229" t="s">
        <v>269</v>
      </c>
      <c r="M1172" s="229" t="s">
        <v>263</v>
      </c>
      <c r="N1172" s="230" t="str">
        <f>IF(ISERROR(MATCH(A1172,MemMap!$A$4:$A$98,0)) = FALSE, INDEX(MemMap!$B$4:$B$98,MATCH(A1172,MemMap!$A$4:$A$98,0)),IF(F1172="Y","TunSetCalSeg",IF(G1172="Y", "FlashCalSeg", IF(G1172="N", "FlashAppSeg", ""))))</f>
        <v>TunSetCalSeg</v>
      </c>
      <c r="O1172" s="220"/>
      <c r="P1172" s="221"/>
      <c r="Q1172" s="221"/>
      <c r="R1172" s="221"/>
    </row>
    <row r="1173" spans="1:18" ht="33.75" x14ac:dyDescent="0.2">
      <c r="A1173" s="224" t="s">
        <v>1944</v>
      </c>
      <c r="B1173" s="225" t="s">
        <v>3649</v>
      </c>
      <c r="C1173" s="226" t="s">
        <v>1902</v>
      </c>
      <c r="D1173" s="226" t="s">
        <v>2371</v>
      </c>
      <c r="E1173" s="226" t="s">
        <v>1945</v>
      </c>
      <c r="F1173" s="227" t="s">
        <v>81</v>
      </c>
      <c r="G1173" s="228" t="s">
        <v>81</v>
      </c>
      <c r="H1173" s="228"/>
      <c r="I1173" s="223">
        <v>2000</v>
      </c>
      <c r="J1173" s="229">
        <v>0</v>
      </c>
      <c r="K1173" s="229">
        <v>60000</v>
      </c>
      <c r="L1173" s="229" t="s">
        <v>269</v>
      </c>
      <c r="M1173" s="229" t="s">
        <v>263</v>
      </c>
      <c r="N1173" s="230" t="str">
        <f>IF(ISERROR(MATCH(A1173,MemMap!$A$4:$A$98,0)) = FALSE, INDEX(MemMap!$B$4:$B$98,MATCH(A1173,MemMap!$A$4:$A$98,0)),IF(F1173="Y","TunSetCalSeg",IF(G1173="Y", "FlashCalSeg", IF(G1173="N", "FlashAppSeg", ""))))</f>
        <v>TunSetCalSeg</v>
      </c>
      <c r="O1173" s="220"/>
      <c r="P1173" s="221"/>
      <c r="Q1173" s="221"/>
      <c r="R1173" s="221"/>
    </row>
    <row r="1174" spans="1:18" ht="33.75" x14ac:dyDescent="0.2">
      <c r="A1174" s="224" t="s">
        <v>1942</v>
      </c>
      <c r="B1174" s="225" t="s">
        <v>3648</v>
      </c>
      <c r="C1174" s="226" t="s">
        <v>1902</v>
      </c>
      <c r="D1174" s="226" t="s">
        <v>2371</v>
      </c>
      <c r="E1174" s="226" t="s">
        <v>1943</v>
      </c>
      <c r="F1174" s="227" t="s">
        <v>81</v>
      </c>
      <c r="G1174" s="228" t="s">
        <v>81</v>
      </c>
      <c r="H1174" s="228"/>
      <c r="I1174" s="223">
        <v>5</v>
      </c>
      <c r="J1174" s="229">
        <v>0</v>
      </c>
      <c r="K1174" s="229">
        <v>100</v>
      </c>
      <c r="L1174" s="229" t="s">
        <v>264</v>
      </c>
      <c r="M1174" s="229" t="s">
        <v>257</v>
      </c>
      <c r="N1174" s="230" t="str">
        <f>IF(ISERROR(MATCH(A1174,MemMap!$A$4:$A$98,0)) = FALSE, INDEX(MemMap!$B$4:$B$98,MATCH(A1174,MemMap!$A$4:$A$98,0)),IF(F1174="Y","TunSetCalSeg",IF(G1174="Y", "FlashCalSeg", IF(G1174="N", "FlashAppSeg", ""))))</f>
        <v>TunSetCalSeg</v>
      </c>
      <c r="O1174" s="220"/>
      <c r="P1174" s="221"/>
      <c r="Q1174" s="221"/>
      <c r="R1174" s="221"/>
    </row>
    <row r="1175" spans="1:18" ht="45" x14ac:dyDescent="0.2">
      <c r="A1175" s="224" t="s">
        <v>1936</v>
      </c>
      <c r="B1175" s="225" t="s">
        <v>3645</v>
      </c>
      <c r="C1175" s="226" t="s">
        <v>1902</v>
      </c>
      <c r="D1175" s="226" t="s">
        <v>2371</v>
      </c>
      <c r="E1175" s="226" t="s">
        <v>1937</v>
      </c>
      <c r="F1175" s="227" t="s">
        <v>81</v>
      </c>
      <c r="G1175" s="228" t="s">
        <v>81</v>
      </c>
      <c r="H1175" s="228"/>
      <c r="I1175" s="223">
        <v>20</v>
      </c>
      <c r="J1175" s="229">
        <v>0</v>
      </c>
      <c r="K1175" s="229">
        <v>700</v>
      </c>
      <c r="L1175" s="229" t="s">
        <v>259</v>
      </c>
      <c r="M1175" s="229" t="s">
        <v>257</v>
      </c>
      <c r="N1175" s="230" t="str">
        <f>IF(ISERROR(MATCH(A1175,MemMap!$A$4:$A$98,0)) = FALSE, INDEX(MemMap!$B$4:$B$98,MATCH(A1175,MemMap!$A$4:$A$98,0)),IF(F1175="Y","TunSetCalSeg",IF(G1175="Y", "FlashCalSeg", IF(G1175="N", "FlashAppSeg", ""))))</f>
        <v>TunSetCalSeg</v>
      </c>
      <c r="O1175" s="220"/>
      <c r="P1175" s="221"/>
      <c r="Q1175" s="221"/>
      <c r="R1175" s="221"/>
    </row>
    <row r="1176" spans="1:18" ht="67.5" x14ac:dyDescent="0.2">
      <c r="A1176" s="224" t="s">
        <v>1940</v>
      </c>
      <c r="B1176" s="225" t="s">
        <v>3647</v>
      </c>
      <c r="C1176" s="226" t="s">
        <v>1902</v>
      </c>
      <c r="D1176" s="226" t="s">
        <v>2371</v>
      </c>
      <c r="E1176" s="226" t="s">
        <v>1941</v>
      </c>
      <c r="F1176" s="227" t="s">
        <v>81</v>
      </c>
      <c r="G1176" s="228" t="s">
        <v>81</v>
      </c>
      <c r="H1176" s="228"/>
      <c r="I1176" s="223">
        <v>3</v>
      </c>
      <c r="J1176" s="229">
        <v>0</v>
      </c>
      <c r="K1176" s="229">
        <v>20</v>
      </c>
      <c r="L1176" s="229" t="s">
        <v>261</v>
      </c>
      <c r="M1176" s="229" t="s">
        <v>257</v>
      </c>
      <c r="N1176" s="230" t="str">
        <f>IF(ISERROR(MATCH(A1176,MemMap!$A$4:$A$98,0)) = FALSE, INDEX(MemMap!$B$4:$B$98,MATCH(A1176,MemMap!$A$4:$A$98,0)),IF(F1176="Y","TunSetCalSeg",IF(G1176="Y", "FlashCalSeg", IF(G1176="N", "FlashAppSeg", ""))))</f>
        <v>TunSetCalSeg</v>
      </c>
      <c r="O1176" s="220"/>
      <c r="P1176" s="221"/>
      <c r="Q1176" s="221"/>
      <c r="R1176" s="221"/>
    </row>
    <row r="1177" spans="1:18" ht="67.5" x14ac:dyDescent="0.2">
      <c r="A1177" s="224" t="s">
        <v>1938</v>
      </c>
      <c r="B1177" s="225" t="s">
        <v>3646</v>
      </c>
      <c r="C1177" s="226" t="s">
        <v>1902</v>
      </c>
      <c r="D1177" s="226" t="s">
        <v>2371</v>
      </c>
      <c r="E1177" s="226" t="s">
        <v>1939</v>
      </c>
      <c r="F1177" s="227" t="s">
        <v>81</v>
      </c>
      <c r="G1177" s="228" t="s">
        <v>81</v>
      </c>
      <c r="H1177" s="228"/>
      <c r="I1177" s="223">
        <v>65</v>
      </c>
      <c r="J1177" s="229">
        <v>0</v>
      </c>
      <c r="K1177" s="229">
        <v>255</v>
      </c>
      <c r="L1177" s="229" t="s">
        <v>260</v>
      </c>
      <c r="M1177" s="229" t="s">
        <v>257</v>
      </c>
      <c r="N1177" s="230" t="str">
        <f>IF(ISERROR(MATCH(A1177,MemMap!$A$4:$A$98,0)) = FALSE, INDEX(MemMap!$B$4:$B$98,MATCH(A1177,MemMap!$A$4:$A$98,0)),IF(F1177="Y","TunSetCalSeg",IF(G1177="Y", "FlashCalSeg", IF(G1177="N", "FlashAppSeg", ""))))</f>
        <v>TunSetCalSeg</v>
      </c>
      <c r="O1177" s="220"/>
      <c r="P1177" s="221"/>
      <c r="Q1177" s="221"/>
      <c r="R1177" s="221"/>
    </row>
    <row r="1178" spans="1:18" ht="56.25" x14ac:dyDescent="0.2">
      <c r="A1178" s="224" t="s">
        <v>1915</v>
      </c>
      <c r="B1178" s="225" t="s">
        <v>3635</v>
      </c>
      <c r="C1178" s="226" t="s">
        <v>1902</v>
      </c>
      <c r="D1178" s="226" t="s">
        <v>2371</v>
      </c>
      <c r="E1178" s="226" t="s">
        <v>1916</v>
      </c>
      <c r="F1178" s="227" t="s">
        <v>81</v>
      </c>
      <c r="G1178" s="228" t="s">
        <v>81</v>
      </c>
      <c r="H1178" s="228"/>
      <c r="I1178" s="223">
        <v>8</v>
      </c>
      <c r="J1178" s="229">
        <v>0</v>
      </c>
      <c r="K1178" s="229">
        <v>100</v>
      </c>
      <c r="L1178" s="229" t="s">
        <v>264</v>
      </c>
      <c r="M1178" s="229" t="s">
        <v>257</v>
      </c>
      <c r="N1178" s="230" t="str">
        <f>IF(ISERROR(MATCH(A1178,MemMap!$A$4:$A$98,0)) = FALSE, INDEX(MemMap!$B$4:$B$98,MATCH(A1178,MemMap!$A$4:$A$98,0)),IF(F1178="Y","TunSetCalSeg",IF(G1178="Y", "FlashCalSeg", IF(G1178="N", "FlashAppSeg", ""))))</f>
        <v>TunSetCalSeg</v>
      </c>
      <c r="O1178" s="220"/>
      <c r="P1178" s="221"/>
      <c r="Q1178" s="221"/>
      <c r="R1178" s="221"/>
    </row>
    <row r="1179" spans="1:18" ht="45" x14ac:dyDescent="0.2">
      <c r="A1179" s="224" t="s">
        <v>1913</v>
      </c>
      <c r="B1179" s="225" t="s">
        <v>3634</v>
      </c>
      <c r="C1179" s="226" t="s">
        <v>1902</v>
      </c>
      <c r="D1179" s="226" t="s">
        <v>2371</v>
      </c>
      <c r="E1179" s="226" t="s">
        <v>1914</v>
      </c>
      <c r="F1179" s="227" t="s">
        <v>81</v>
      </c>
      <c r="G1179" s="228" t="s">
        <v>81</v>
      </c>
      <c r="H1179" s="228"/>
      <c r="I1179" s="223">
        <v>0.1</v>
      </c>
      <c r="J1179" s="229">
        <v>2.0000000000000001E-4</v>
      </c>
      <c r="K1179" s="229">
        <v>0.1</v>
      </c>
      <c r="L1179" s="229" t="s">
        <v>258</v>
      </c>
      <c r="M1179" s="229" t="s">
        <v>257</v>
      </c>
      <c r="N1179" s="230" t="str">
        <f>IF(ISERROR(MATCH(A1179,MemMap!$A$4:$A$98,0)) = FALSE, INDEX(MemMap!$B$4:$B$98,MATCH(A1179,MemMap!$A$4:$A$98,0)),IF(F1179="Y","TunSetCalSeg",IF(G1179="Y", "FlashCalSeg", IF(G1179="N", "FlashAppSeg", ""))))</f>
        <v>TunSetCalSeg</v>
      </c>
      <c r="O1179" s="220"/>
      <c r="P1179" s="221"/>
      <c r="Q1179" s="221"/>
      <c r="R1179" s="221"/>
    </row>
    <row r="1180" spans="1:18" ht="45" x14ac:dyDescent="0.2">
      <c r="A1180" s="224" t="s">
        <v>1917</v>
      </c>
      <c r="B1180" s="225" t="s">
        <v>3636</v>
      </c>
      <c r="C1180" s="226" t="s">
        <v>1902</v>
      </c>
      <c r="D1180" s="226" t="s">
        <v>2371</v>
      </c>
      <c r="E1180" s="226" t="s">
        <v>1918</v>
      </c>
      <c r="F1180" s="227" t="s">
        <v>81</v>
      </c>
      <c r="G1180" s="228" t="s">
        <v>81</v>
      </c>
      <c r="H1180" s="228"/>
      <c r="I1180" s="223">
        <v>5.0000000000000001E-3</v>
      </c>
      <c r="J1180" s="229">
        <v>2.0000000000000001E-4</v>
      </c>
      <c r="K1180" s="229">
        <v>0.1</v>
      </c>
      <c r="L1180" s="229" t="s">
        <v>258</v>
      </c>
      <c r="M1180" s="229" t="s">
        <v>257</v>
      </c>
      <c r="N1180" s="230" t="str">
        <f>IF(ISERROR(MATCH(A1180,MemMap!$A$4:$A$98,0)) = FALSE, INDEX(MemMap!$B$4:$B$98,MATCH(A1180,MemMap!$A$4:$A$98,0)),IF(F1180="Y","TunSetCalSeg",IF(G1180="Y", "FlashCalSeg", IF(G1180="N", "FlashAppSeg", ""))))</f>
        <v>TunSetCalSeg</v>
      </c>
      <c r="O1180" s="220"/>
      <c r="P1180" s="221"/>
      <c r="Q1180" s="221"/>
      <c r="R1180" s="221"/>
    </row>
    <row r="1181" spans="1:18" ht="45" x14ac:dyDescent="0.2">
      <c r="A1181" s="224" t="s">
        <v>1911</v>
      </c>
      <c r="B1181" s="225" t="s">
        <v>3633</v>
      </c>
      <c r="C1181" s="226" t="s">
        <v>1902</v>
      </c>
      <c r="D1181" s="226" t="s">
        <v>2371</v>
      </c>
      <c r="E1181" s="226" t="s">
        <v>1912</v>
      </c>
      <c r="F1181" s="227" t="s">
        <v>81</v>
      </c>
      <c r="G1181" s="228" t="s">
        <v>81</v>
      </c>
      <c r="H1181" s="228"/>
      <c r="I1181" s="223">
        <v>500</v>
      </c>
      <c r="J1181" s="229">
        <v>0</v>
      </c>
      <c r="K1181" s="229">
        <v>60000</v>
      </c>
      <c r="L1181" s="229" t="s">
        <v>262</v>
      </c>
      <c r="M1181" s="229" t="s">
        <v>263</v>
      </c>
      <c r="N1181" s="230" t="str">
        <f>IF(ISERROR(MATCH(A1181,MemMap!$A$4:$A$98,0)) = FALSE, INDEX(MemMap!$B$4:$B$98,MATCH(A1181,MemMap!$A$4:$A$98,0)),IF(F1181="Y","TunSetCalSeg",IF(G1181="Y", "FlashCalSeg", IF(G1181="N", "FlashAppSeg", ""))))</f>
        <v>TunSetCalSeg</v>
      </c>
      <c r="O1181" s="220"/>
      <c r="P1181" s="221"/>
      <c r="Q1181" s="221"/>
      <c r="R1181" s="221"/>
    </row>
    <row r="1182" spans="1:18" ht="56.25" x14ac:dyDescent="0.2">
      <c r="A1182" s="224" t="s">
        <v>1905</v>
      </c>
      <c r="B1182" s="225" t="s">
        <v>3630</v>
      </c>
      <c r="C1182" s="226" t="s">
        <v>1902</v>
      </c>
      <c r="D1182" s="226" t="s">
        <v>2371</v>
      </c>
      <c r="E1182" s="226" t="s">
        <v>1906</v>
      </c>
      <c r="F1182" s="227" t="s">
        <v>81</v>
      </c>
      <c r="G1182" s="228" t="s">
        <v>81</v>
      </c>
      <c r="H1182" s="228"/>
      <c r="I1182" s="223">
        <v>30</v>
      </c>
      <c r="J1182" s="229">
        <v>0</v>
      </c>
      <c r="K1182" s="229">
        <v>700</v>
      </c>
      <c r="L1182" s="229" t="s">
        <v>259</v>
      </c>
      <c r="M1182" s="229" t="s">
        <v>257</v>
      </c>
      <c r="N1182" s="230" t="str">
        <f>IF(ISERROR(MATCH(A1182,MemMap!$A$4:$A$98,0)) = FALSE, INDEX(MemMap!$B$4:$B$98,MATCH(A1182,MemMap!$A$4:$A$98,0)),IF(F1182="Y","TunSetCalSeg",IF(G1182="Y", "FlashCalSeg", IF(G1182="N", "FlashAppSeg", ""))))</f>
        <v>TunSetCalSeg</v>
      </c>
      <c r="O1182" s="220"/>
      <c r="P1182" s="221"/>
      <c r="Q1182" s="221"/>
      <c r="R1182" s="221"/>
    </row>
    <row r="1183" spans="1:18" ht="56.25" x14ac:dyDescent="0.2">
      <c r="A1183" s="224" t="s">
        <v>1909</v>
      </c>
      <c r="B1183" s="225" t="s">
        <v>3632</v>
      </c>
      <c r="C1183" s="226" t="s">
        <v>1902</v>
      </c>
      <c r="D1183" s="226" t="s">
        <v>2371</v>
      </c>
      <c r="E1183" s="226" t="s">
        <v>1910</v>
      </c>
      <c r="F1183" s="227" t="s">
        <v>81</v>
      </c>
      <c r="G1183" s="228" t="s">
        <v>81</v>
      </c>
      <c r="H1183" s="228"/>
      <c r="I1183" s="223">
        <v>4</v>
      </c>
      <c r="J1183" s="229">
        <v>0</v>
      </c>
      <c r="K1183" s="229">
        <v>20</v>
      </c>
      <c r="L1183" s="229" t="s">
        <v>261</v>
      </c>
      <c r="M1183" s="229" t="s">
        <v>257</v>
      </c>
      <c r="N1183" s="230" t="str">
        <f>IF(ISERROR(MATCH(A1183,MemMap!$A$4:$A$98,0)) = FALSE, INDEX(MemMap!$B$4:$B$98,MATCH(A1183,MemMap!$A$4:$A$98,0)),IF(F1183="Y","TunSetCalSeg",IF(G1183="Y", "FlashCalSeg", IF(G1183="N", "FlashAppSeg", ""))))</f>
        <v>TunSetCalSeg</v>
      </c>
      <c r="O1183" s="220"/>
      <c r="P1183" s="221"/>
      <c r="Q1183" s="221"/>
      <c r="R1183" s="221"/>
    </row>
    <row r="1184" spans="1:18" ht="19.5" customHeight="1" x14ac:dyDescent="0.2">
      <c r="A1184" s="224" t="s">
        <v>1907</v>
      </c>
      <c r="B1184" s="225" t="s">
        <v>3631</v>
      </c>
      <c r="C1184" s="226" t="s">
        <v>1902</v>
      </c>
      <c r="D1184" s="226" t="s">
        <v>2371</v>
      </c>
      <c r="E1184" s="226" t="s">
        <v>1908</v>
      </c>
      <c r="F1184" s="227" t="s">
        <v>81</v>
      </c>
      <c r="G1184" s="228" t="s">
        <v>81</v>
      </c>
      <c r="H1184" s="228"/>
      <c r="I1184" s="223">
        <v>20</v>
      </c>
      <c r="J1184" s="229">
        <v>0</v>
      </c>
      <c r="K1184" s="229">
        <v>255</v>
      </c>
      <c r="L1184" s="229" t="s">
        <v>260</v>
      </c>
      <c r="M1184" s="229" t="s">
        <v>257</v>
      </c>
      <c r="N1184" s="230" t="str">
        <f>IF(ISERROR(MATCH(A1184,MemMap!$A$4:$A$98,0)) = FALSE, INDEX(MemMap!$B$4:$B$98,MATCH(A1184,MemMap!$A$4:$A$98,0)),IF(F1184="Y","TunSetCalSeg",IF(G1184="Y", "FlashCalSeg", IF(G1184="N", "FlashAppSeg", ""))))</f>
        <v>TunSetCalSeg</v>
      </c>
      <c r="O1184" s="220"/>
      <c r="P1184" s="221"/>
      <c r="Q1184" s="221"/>
      <c r="R1184" s="221"/>
    </row>
    <row r="1185" spans="1:18" ht="24.75" customHeight="1" x14ac:dyDescent="0.2">
      <c r="A1185" s="224" t="s">
        <v>1919</v>
      </c>
      <c r="B1185" s="236" t="s">
        <v>3637</v>
      </c>
      <c r="C1185" s="226" t="s">
        <v>1902</v>
      </c>
      <c r="D1185" s="226" t="s">
        <v>2371</v>
      </c>
      <c r="E1185" s="226" t="s">
        <v>1920</v>
      </c>
      <c r="F1185" s="227" t="s">
        <v>81</v>
      </c>
      <c r="G1185" s="228" t="s">
        <v>81</v>
      </c>
      <c r="H1185" s="228"/>
      <c r="I1185" s="223">
        <v>2000</v>
      </c>
      <c r="J1185" s="229">
        <v>0</v>
      </c>
      <c r="K1185" s="229">
        <v>60000</v>
      </c>
      <c r="L1185" s="229" t="s">
        <v>269</v>
      </c>
      <c r="M1185" s="229" t="s">
        <v>263</v>
      </c>
      <c r="N1185" s="230" t="str">
        <f>IF(ISERROR(MATCH(A1185,MemMap!$A$4:$A$98,0)) = FALSE, INDEX(MemMap!$B$4:$B$98,MATCH(A1185,MemMap!$A$4:$A$98,0)),IF(F1185="Y","TunSetCalSeg",IF(G1185="Y", "FlashCalSeg", IF(G1185="N", "FlashAppSeg", ""))))</f>
        <v>TunSetCalSeg</v>
      </c>
      <c r="O1185" s="220"/>
      <c r="P1185" s="221"/>
      <c r="Q1185" s="221"/>
      <c r="R1185" s="221"/>
    </row>
    <row r="1186" spans="1:18" ht="67.5" x14ac:dyDescent="0.2">
      <c r="A1186" s="224" t="s">
        <v>1903</v>
      </c>
      <c r="B1186" s="236" t="s">
        <v>1903</v>
      </c>
      <c r="C1186" s="226" t="s">
        <v>1902</v>
      </c>
      <c r="D1186" s="226" t="s">
        <v>2371</v>
      </c>
      <c r="E1186" s="226" t="s">
        <v>1904</v>
      </c>
      <c r="F1186" s="227" t="s">
        <v>81</v>
      </c>
      <c r="G1186" s="228" t="s">
        <v>81</v>
      </c>
      <c r="H1186" s="228"/>
      <c r="I1186" s="223">
        <v>3.5000000000000003E-2</v>
      </c>
      <c r="J1186" s="229">
        <v>2.0000000000000001E-4</v>
      </c>
      <c r="K1186" s="229">
        <v>0.1</v>
      </c>
      <c r="L1186" s="229" t="s">
        <v>258</v>
      </c>
      <c r="M1186" s="229" t="s">
        <v>257</v>
      </c>
      <c r="N1186" s="230" t="str">
        <f>IF(ISERROR(MATCH(A1186,MemMap!$A$4:$A$98,0)) = FALSE, INDEX(MemMap!$B$4:$B$98,MATCH(A1186,MemMap!$A$4:$A$98,0)),IF(F1186="Y","TunSetCalSeg",IF(G1186="Y", "FlashCalSeg", IF(G1186="N", "FlashAppSeg", ""))))</f>
        <v>TunSetCalSeg</v>
      </c>
      <c r="O1186" s="220"/>
      <c r="P1186" s="221"/>
      <c r="Q1186" s="221"/>
      <c r="R1186" s="221"/>
    </row>
    <row r="1187" spans="1:18" ht="33.75" x14ac:dyDescent="0.2">
      <c r="A1187" s="224" t="s">
        <v>3280</v>
      </c>
      <c r="B1187" s="236" t="s">
        <v>3280</v>
      </c>
      <c r="C1187" s="226" t="s">
        <v>1902</v>
      </c>
      <c r="D1187" s="226" t="s">
        <v>221</v>
      </c>
      <c r="E1187" s="226" t="s">
        <v>1901</v>
      </c>
      <c r="F1187" s="227" t="s">
        <v>82</v>
      </c>
      <c r="G1187" s="228" t="s">
        <v>82</v>
      </c>
      <c r="H1187" s="228"/>
      <c r="I1187" s="223">
        <v>20</v>
      </c>
      <c r="J1187" s="229">
        <v>1</v>
      </c>
      <c r="K1187" s="229">
        <v>100</v>
      </c>
      <c r="L1187" s="229" t="s">
        <v>477</v>
      </c>
      <c r="M1187" s="229" t="s">
        <v>257</v>
      </c>
      <c r="N1187" s="230" t="str">
        <f>IF(ISERROR(MATCH(A1187,MemMap!$A$4:$A$98,0)) = FALSE, INDEX(MemMap!$B$4:$B$98,MATCH(A1187,MemMap!$A$4:$A$98,0)),IF(F1187="Y","TunSetCalSeg",IF(G1187="Y", "FlashCalSeg", IF(G1187="N", "FlashAppSeg", ""))))</f>
        <v>FlashAppSeg</v>
      </c>
      <c r="O1187" s="220"/>
      <c r="P1187" s="221"/>
      <c r="Q1187" s="221"/>
      <c r="R1187" s="221"/>
    </row>
    <row r="1188" spans="1:18" ht="33.75" x14ac:dyDescent="0.2">
      <c r="A1188" s="224" t="s">
        <v>1897</v>
      </c>
      <c r="B1188" s="225" t="s">
        <v>3651</v>
      </c>
      <c r="C1188" s="226" t="s">
        <v>1902</v>
      </c>
      <c r="D1188" s="226" t="s">
        <v>2371</v>
      </c>
      <c r="E1188" s="226" t="s">
        <v>1900</v>
      </c>
      <c r="F1188" s="227" t="s">
        <v>81</v>
      </c>
      <c r="G1188" s="228" t="s">
        <v>81</v>
      </c>
      <c r="H1188" s="228"/>
      <c r="I1188" s="223">
        <v>1</v>
      </c>
      <c r="J1188" s="229">
        <v>0</v>
      </c>
      <c r="K1188" s="229">
        <v>1</v>
      </c>
      <c r="L1188" s="229" t="s">
        <v>256</v>
      </c>
      <c r="M1188" s="229" t="s">
        <v>257</v>
      </c>
      <c r="N1188" s="230" t="str">
        <f>IF(ISERROR(MATCH(A1188,MemMap!$A$4:$A$98,0)) = FALSE, INDEX(MemMap!$B$4:$B$98,MATCH(A1188,MemMap!$A$4:$A$98,0)),IF(F1188="Y","TunSetCalSeg",IF(G1188="Y", "FlashCalSeg", IF(G1188="N", "FlashAppSeg", ""))))</f>
        <v>TunSetCalSeg</v>
      </c>
      <c r="O1188" s="220"/>
      <c r="P1188" s="221"/>
      <c r="Q1188" s="221"/>
      <c r="R1188" s="221"/>
    </row>
    <row r="1189" spans="1:18" ht="33.75" x14ac:dyDescent="0.2">
      <c r="A1189" s="224" t="s">
        <v>2528</v>
      </c>
      <c r="B1189" s="237" t="s">
        <v>3657</v>
      </c>
      <c r="C1189" s="226" t="s">
        <v>1902</v>
      </c>
      <c r="D1189" s="226" t="s">
        <v>2371</v>
      </c>
      <c r="E1189" s="226" t="s">
        <v>2529</v>
      </c>
      <c r="F1189" s="227" t="s">
        <v>81</v>
      </c>
      <c r="G1189" s="228" t="s">
        <v>81</v>
      </c>
      <c r="H1189" s="228"/>
      <c r="I1189" s="223">
        <v>0.05</v>
      </c>
      <c r="J1189" s="229">
        <v>0</v>
      </c>
      <c r="K1189" s="229">
        <v>10</v>
      </c>
      <c r="L1189" s="229" t="s">
        <v>261</v>
      </c>
      <c r="M1189" s="229" t="s">
        <v>257</v>
      </c>
      <c r="N1189" s="230" t="str">
        <f>IF(ISERROR(MATCH(A1189,MemMap!$A$4:$A$98,0)) = FALSE, INDEX(MemMap!$B$4:$B$98,MATCH(A1189,MemMap!$A$4:$A$98,0)),IF(F1189="Y","TunSetCalSeg",IF(G1189="Y", "FlashCalSeg", IF(G1189="N", "FlashAppSeg", ""))))</f>
        <v>TunSetCalSeg</v>
      </c>
      <c r="O1189" s="220"/>
      <c r="P1189" s="221"/>
      <c r="Q1189" s="221"/>
      <c r="R1189" s="221"/>
    </row>
    <row r="1190" spans="1:18" ht="45" x14ac:dyDescent="0.2">
      <c r="A1190" s="224" t="s">
        <v>1896</v>
      </c>
      <c r="B1190" s="225" t="s">
        <v>3650</v>
      </c>
      <c r="C1190" s="226" t="s">
        <v>1902</v>
      </c>
      <c r="D1190" s="226" t="s">
        <v>2371</v>
      </c>
      <c r="E1190" s="226" t="s">
        <v>1899</v>
      </c>
      <c r="F1190" s="227" t="s">
        <v>81</v>
      </c>
      <c r="G1190" s="228" t="s">
        <v>81</v>
      </c>
      <c r="H1190" s="228"/>
      <c r="I1190" s="223">
        <v>1</v>
      </c>
      <c r="J1190" s="229">
        <v>0</v>
      </c>
      <c r="K1190" s="229">
        <v>1</v>
      </c>
      <c r="L1190" s="229" t="s">
        <v>256</v>
      </c>
      <c r="M1190" s="229" t="s">
        <v>257</v>
      </c>
      <c r="N1190" s="230" t="str">
        <f>IF(ISERROR(MATCH(A1190,MemMap!$A$4:$A$98,0)) = FALSE, INDEX(MemMap!$B$4:$B$98,MATCH(A1190,MemMap!$A$4:$A$98,0)),IF(F1190="Y","TunSetCalSeg",IF(G1190="Y", "FlashCalSeg", IF(G1190="N", "FlashAppSeg", ""))))</f>
        <v>TunSetCalSeg</v>
      </c>
      <c r="O1190" s="220"/>
      <c r="P1190" s="221"/>
      <c r="Q1190" s="221"/>
      <c r="R1190" s="221"/>
    </row>
    <row r="1191" spans="1:18" ht="45" x14ac:dyDescent="0.2">
      <c r="A1191" s="224" t="s">
        <v>2261</v>
      </c>
      <c r="B1191" s="237" t="s">
        <v>3652</v>
      </c>
      <c r="C1191" s="226" t="s">
        <v>1902</v>
      </c>
      <c r="D1191" s="226" t="s">
        <v>2371</v>
      </c>
      <c r="E1191" s="226" t="s">
        <v>2262</v>
      </c>
      <c r="F1191" s="227" t="s">
        <v>81</v>
      </c>
      <c r="G1191" s="228" t="s">
        <v>81</v>
      </c>
      <c r="H1191" s="228"/>
      <c r="I1191" s="223" t="b">
        <v>1</v>
      </c>
      <c r="J1191" s="229" t="b">
        <v>0</v>
      </c>
      <c r="K1191" s="229" t="b">
        <v>1</v>
      </c>
      <c r="L1191" s="229" t="s">
        <v>267</v>
      </c>
      <c r="M1191" s="229" t="s">
        <v>462</v>
      </c>
      <c r="N1191" s="230" t="str">
        <f>IF(ISERROR(MATCH(A1191,MemMap!$A$4:$A$98,0)) = FALSE, INDEX(MemMap!$B$4:$B$98,MATCH(A1191,MemMap!$A$4:$A$98,0)),IF(F1191="Y","TunSetCalSeg",IF(G1191="Y", "FlashCalSeg", IF(G1191="N", "FlashAppSeg", ""))))</f>
        <v>TunSetCalSeg</v>
      </c>
      <c r="O1191" s="220"/>
      <c r="P1191" s="221"/>
      <c r="Q1191" s="221"/>
      <c r="R1191" s="221"/>
    </row>
    <row r="1192" spans="1:18" ht="33.75" x14ac:dyDescent="0.2">
      <c r="A1192" s="224" t="s">
        <v>2263</v>
      </c>
      <c r="B1192" s="237" t="s">
        <v>3653</v>
      </c>
      <c r="C1192" s="226" t="s">
        <v>1902</v>
      </c>
      <c r="D1192" s="226" t="s">
        <v>2371</v>
      </c>
      <c r="E1192" s="226" t="s">
        <v>2264</v>
      </c>
      <c r="F1192" s="227" t="s">
        <v>81</v>
      </c>
      <c r="G1192" s="228" t="s">
        <v>81</v>
      </c>
      <c r="H1192" s="228"/>
      <c r="I1192" s="223">
        <v>0.3</v>
      </c>
      <c r="J1192" s="229">
        <v>0</v>
      </c>
      <c r="K1192" s="229">
        <v>1</v>
      </c>
      <c r="L1192" s="229" t="s">
        <v>256</v>
      </c>
      <c r="M1192" s="229" t="s">
        <v>257</v>
      </c>
      <c r="N1192" s="230" t="str">
        <f>IF(ISERROR(MATCH(A1192,MemMap!$A$4:$A$98,0)) = FALSE, INDEX(MemMap!$B$4:$B$98,MATCH(A1192,MemMap!$A$4:$A$98,0)),IF(F1192="Y","TunSetCalSeg",IF(G1192="Y", "FlashCalSeg", IF(G1192="N", "FlashAppSeg", ""))))</f>
        <v>TunSetCalSeg</v>
      </c>
      <c r="O1192" s="220"/>
      <c r="P1192" s="221"/>
      <c r="Q1192" s="221"/>
      <c r="R1192" s="221"/>
    </row>
    <row r="1193" spans="1:18" ht="33.75" x14ac:dyDescent="0.2">
      <c r="A1193" s="224" t="s">
        <v>2269</v>
      </c>
      <c r="B1193" s="237" t="s">
        <v>3656</v>
      </c>
      <c r="C1193" s="226" t="s">
        <v>1902</v>
      </c>
      <c r="D1193" s="226" t="s">
        <v>2371</v>
      </c>
      <c r="E1193" s="226" t="s">
        <v>2270</v>
      </c>
      <c r="F1193" s="227" t="s">
        <v>81</v>
      </c>
      <c r="G1193" s="228" t="s">
        <v>81</v>
      </c>
      <c r="H1193" s="228"/>
      <c r="I1193" s="223">
        <v>0.1</v>
      </c>
      <c r="J1193" s="229">
        <v>0</v>
      </c>
      <c r="K1193" s="229">
        <v>1</v>
      </c>
      <c r="L1193" s="229" t="s">
        <v>256</v>
      </c>
      <c r="M1193" s="229" t="s">
        <v>257</v>
      </c>
      <c r="N1193" s="230" t="str">
        <f>IF(ISERROR(MATCH(A1193,MemMap!$A$4:$A$98,0)) = FALSE, INDEX(MemMap!$B$4:$B$98,MATCH(A1193,MemMap!$A$4:$A$98,0)),IF(F1193="Y","TunSetCalSeg",IF(G1193="Y", "FlashCalSeg", IF(G1193="N", "FlashAppSeg", ""))))</f>
        <v>TunSetCalSeg</v>
      </c>
      <c r="O1193" s="220"/>
      <c r="P1193" s="221"/>
      <c r="Q1193" s="221"/>
      <c r="R1193" s="221"/>
    </row>
    <row r="1194" spans="1:18" ht="33.75" x14ac:dyDescent="0.2">
      <c r="A1194" s="224" t="s">
        <v>2530</v>
      </c>
      <c r="B1194" s="237" t="s">
        <v>3658</v>
      </c>
      <c r="C1194" s="226" t="s">
        <v>1902</v>
      </c>
      <c r="D1194" s="226" t="s">
        <v>2371</v>
      </c>
      <c r="E1194" s="226" t="s">
        <v>2531</v>
      </c>
      <c r="F1194" s="227" t="s">
        <v>81</v>
      </c>
      <c r="G1194" s="228" t="s">
        <v>81</v>
      </c>
      <c r="H1194" s="228"/>
      <c r="I1194" s="223">
        <v>500</v>
      </c>
      <c r="J1194" s="229">
        <v>0</v>
      </c>
      <c r="K1194" s="229">
        <v>100000</v>
      </c>
      <c r="L1194" s="229" t="s">
        <v>269</v>
      </c>
      <c r="M1194" s="229" t="s">
        <v>303</v>
      </c>
      <c r="N1194" s="230" t="str">
        <f>IF(ISERROR(MATCH(A1194,MemMap!$A$4:$A$98,0)) = FALSE, INDEX(MemMap!$B$4:$B$98,MATCH(A1194,MemMap!$A$4:$A$98,0)),IF(F1194="Y","TunSetCalSeg",IF(G1194="Y", "FlashCalSeg", IF(G1194="N", "FlashAppSeg", ""))))</f>
        <v>TunSetCalSeg</v>
      </c>
      <c r="O1194" s="220"/>
      <c r="P1194" s="221"/>
      <c r="Q1194" s="221"/>
      <c r="R1194" s="221"/>
    </row>
    <row r="1195" spans="1:18" ht="33.75" x14ac:dyDescent="0.2">
      <c r="A1195" s="224" t="s">
        <v>2265</v>
      </c>
      <c r="B1195" s="237" t="s">
        <v>3654</v>
      </c>
      <c r="C1195" s="226" t="s">
        <v>1902</v>
      </c>
      <c r="D1195" s="226" t="s">
        <v>2371</v>
      </c>
      <c r="E1195" s="226" t="s">
        <v>2266</v>
      </c>
      <c r="F1195" s="227" t="s">
        <v>81</v>
      </c>
      <c r="G1195" s="228" t="s">
        <v>81</v>
      </c>
      <c r="H1195" s="228"/>
      <c r="I1195" s="223">
        <v>20</v>
      </c>
      <c r="J1195" s="229">
        <v>0</v>
      </c>
      <c r="K1195" s="229">
        <v>90</v>
      </c>
      <c r="L1195" s="229" t="s">
        <v>256</v>
      </c>
      <c r="M1195" s="229" t="s">
        <v>257</v>
      </c>
      <c r="N1195" s="230" t="str">
        <f>IF(ISERROR(MATCH(A1195,MemMap!$A$4:$A$98,0)) = FALSE, INDEX(MemMap!$B$4:$B$98,MATCH(A1195,MemMap!$A$4:$A$98,0)),IF(F1195="Y","TunSetCalSeg",IF(G1195="Y", "FlashCalSeg", IF(G1195="N", "FlashAppSeg", ""))))</f>
        <v>TunSetCalSeg</v>
      </c>
      <c r="O1195" s="220"/>
      <c r="P1195" s="221"/>
      <c r="Q1195" s="221"/>
      <c r="R1195" s="221"/>
    </row>
    <row r="1196" spans="1:18" ht="33.75" x14ac:dyDescent="0.2">
      <c r="A1196" s="224" t="s">
        <v>2267</v>
      </c>
      <c r="B1196" s="237" t="s">
        <v>3655</v>
      </c>
      <c r="C1196" s="226" t="s">
        <v>1902</v>
      </c>
      <c r="D1196" s="226" t="s">
        <v>2371</v>
      </c>
      <c r="E1196" s="226" t="s">
        <v>2268</v>
      </c>
      <c r="F1196" s="227" t="s">
        <v>81</v>
      </c>
      <c r="G1196" s="228" t="s">
        <v>81</v>
      </c>
      <c r="H1196" s="228"/>
      <c r="I1196" s="223">
        <v>0.3</v>
      </c>
      <c r="J1196" s="229">
        <v>0</v>
      </c>
      <c r="K1196" s="229">
        <v>1</v>
      </c>
      <c r="L1196" s="229" t="s">
        <v>256</v>
      </c>
      <c r="M1196" s="229" t="s">
        <v>257</v>
      </c>
      <c r="N1196" s="230" t="str">
        <f>IF(ISERROR(MATCH(A1196,MemMap!$A$4:$A$98,0)) = FALSE, INDEX(MemMap!$B$4:$B$98,MATCH(A1196,MemMap!$A$4:$A$98,0)),IF(F1196="Y","TunSetCalSeg",IF(G1196="Y", "FlashCalSeg", IF(G1196="N", "FlashAppSeg", ""))))</f>
        <v>TunSetCalSeg</v>
      </c>
      <c r="O1196" s="220"/>
      <c r="P1196" s="221"/>
      <c r="Q1196" s="221"/>
      <c r="R1196" s="221"/>
    </row>
    <row r="1197" spans="1:18" ht="45" x14ac:dyDescent="0.2">
      <c r="A1197" s="224" t="s">
        <v>2559</v>
      </c>
      <c r="B1197" s="225" t="s">
        <v>2559</v>
      </c>
      <c r="C1197" s="226" t="s">
        <v>1902</v>
      </c>
      <c r="D1197" s="226" t="s">
        <v>2371</v>
      </c>
      <c r="E1197" s="226" t="s">
        <v>2560</v>
      </c>
      <c r="F1197" s="227" t="s">
        <v>81</v>
      </c>
      <c r="G1197" s="228" t="s">
        <v>81</v>
      </c>
      <c r="H1197" s="228"/>
      <c r="I1197" s="223">
        <v>5</v>
      </c>
      <c r="J1197" s="229">
        <v>0</v>
      </c>
      <c r="K1197" s="229">
        <v>45</v>
      </c>
      <c r="L1197" s="229" t="s">
        <v>264</v>
      </c>
      <c r="M1197" s="229" t="s">
        <v>257</v>
      </c>
      <c r="N1197" s="230" t="str">
        <f>IF(ISERROR(MATCH(A1197,MemMap!$A$4:$A$98,0)) = FALSE, INDEX(MemMap!$B$4:$B$98,MATCH(A1197,MemMap!$A$4:$A$98,0)),IF(F1197="Y","TunSetCalSeg",IF(G1197="Y", "FlashCalSeg", IF(G1197="N", "FlashAppSeg", ""))))</f>
        <v>TunSetCalSeg</v>
      </c>
      <c r="O1197" s="220"/>
      <c r="P1197" s="221"/>
      <c r="Q1197" s="221"/>
      <c r="R1197" s="221"/>
    </row>
    <row r="1198" spans="1:18" ht="56.25" x14ac:dyDescent="0.2">
      <c r="A1198" s="224" t="s">
        <v>3614</v>
      </c>
      <c r="B1198" s="225" t="s">
        <v>3614</v>
      </c>
      <c r="C1198" s="226" t="s">
        <v>1902</v>
      </c>
      <c r="D1198" s="226" t="s">
        <v>2371</v>
      </c>
      <c r="E1198" s="226" t="s">
        <v>3615</v>
      </c>
      <c r="F1198" s="227" t="s">
        <v>82</v>
      </c>
      <c r="G1198" s="228" t="s">
        <v>82</v>
      </c>
      <c r="H1198" s="228"/>
      <c r="I1198" s="223">
        <v>0</v>
      </c>
      <c r="J1198" s="229">
        <v>-1600</v>
      </c>
      <c r="K1198" s="229">
        <v>1600</v>
      </c>
      <c r="L1198" s="229" t="s">
        <v>264</v>
      </c>
      <c r="M1198" s="229" t="s">
        <v>257</v>
      </c>
      <c r="N1198" s="230" t="str">
        <f>IF(ISERROR(MATCH(A1198,MemMap!$A$4:$A$98,0)) = FALSE, INDEX(MemMap!$B$4:$B$98,MATCH(A1198,MemMap!$A$4:$A$98,0)),IF(F1198="Y","TunSetCalSeg",IF(G1198="Y", "FlashCalSeg", IF(G1198="N", "FlashAppSeg", ""))))</f>
        <v>FlashAppSeg</v>
      </c>
      <c r="O1198" s="220"/>
      <c r="P1198" s="221"/>
      <c r="Q1198" s="221"/>
      <c r="R1198" s="221"/>
    </row>
    <row r="1199" spans="1:18" ht="56.25" x14ac:dyDescent="0.2">
      <c r="A1199" s="224" t="s">
        <v>3612</v>
      </c>
      <c r="B1199" s="225" t="s">
        <v>3612</v>
      </c>
      <c r="C1199" s="226" t="s">
        <v>1902</v>
      </c>
      <c r="D1199" s="226" t="s">
        <v>2371</v>
      </c>
      <c r="E1199" s="226" t="s">
        <v>3613</v>
      </c>
      <c r="F1199" s="227" t="s">
        <v>82</v>
      </c>
      <c r="G1199" s="228" t="s">
        <v>82</v>
      </c>
      <c r="H1199" s="228"/>
      <c r="I1199" s="223" t="b">
        <v>0</v>
      </c>
      <c r="J1199" s="229" t="b">
        <v>0</v>
      </c>
      <c r="K1199" s="229" t="b">
        <v>1</v>
      </c>
      <c r="L1199" s="229" t="s">
        <v>267</v>
      </c>
      <c r="M1199" s="229" t="s">
        <v>462</v>
      </c>
      <c r="N1199" s="230" t="str">
        <f>IF(ISERROR(MATCH(A1199,MemMap!$A$4:$A$98,0)) = FALSE, INDEX(MemMap!$B$4:$B$98,MATCH(A1199,MemMap!$A$4:$A$98,0)),IF(F1199="Y","TunSetCalSeg",IF(G1199="Y", "FlashCalSeg", IF(G1199="N", "FlashAppSeg", ""))))</f>
        <v>FlashAppSeg</v>
      </c>
      <c r="O1199" s="220"/>
      <c r="P1199" s="221"/>
      <c r="Q1199" s="221"/>
      <c r="R1199" s="221"/>
    </row>
    <row r="1200" spans="1:18" ht="56.25" x14ac:dyDescent="0.2">
      <c r="A1200" s="224" t="s">
        <v>3616</v>
      </c>
      <c r="B1200" s="225" t="s">
        <v>3616</v>
      </c>
      <c r="C1200" s="226" t="s">
        <v>1902</v>
      </c>
      <c r="D1200" s="226" t="s">
        <v>2371</v>
      </c>
      <c r="E1200" s="226" t="s">
        <v>3617</v>
      </c>
      <c r="F1200" s="227" t="s">
        <v>82</v>
      </c>
      <c r="G1200" s="228" t="s">
        <v>82</v>
      </c>
      <c r="H1200" s="228"/>
      <c r="I1200" s="223">
        <v>0.1</v>
      </c>
      <c r="J1200" s="229">
        <v>2.0000000000000001E-4</v>
      </c>
      <c r="K1200" s="229">
        <v>50</v>
      </c>
      <c r="L1200" s="229" t="s">
        <v>258</v>
      </c>
      <c r="M1200" s="229" t="s">
        <v>257</v>
      </c>
      <c r="N1200" s="230" t="str">
        <f>IF(ISERROR(MATCH(A1200,MemMap!$A$4:$A$98,0)) = FALSE, INDEX(MemMap!$B$4:$B$98,MATCH(A1200,MemMap!$A$4:$A$98,0)),IF(F1200="Y","TunSetCalSeg",IF(G1200="Y", "FlashCalSeg", IF(G1200="N", "FlashAppSeg", ""))))</f>
        <v>FlashAppSeg</v>
      </c>
      <c r="O1200" s="220"/>
      <c r="P1200" s="221"/>
      <c r="Q1200" s="221"/>
      <c r="R1200" s="221"/>
    </row>
    <row r="1201" spans="1:18" ht="33.75" x14ac:dyDescent="0.2">
      <c r="A1201" s="224" t="s">
        <v>3618</v>
      </c>
      <c r="B1201" s="225" t="s">
        <v>3618</v>
      </c>
      <c r="C1201" s="226" t="s">
        <v>1902</v>
      </c>
      <c r="D1201" s="226" t="s">
        <v>2371</v>
      </c>
      <c r="E1201" s="226" t="s">
        <v>3619</v>
      </c>
      <c r="F1201" s="227" t="s">
        <v>82</v>
      </c>
      <c r="G1201" s="228" t="s">
        <v>82</v>
      </c>
      <c r="H1201" s="228"/>
      <c r="I1201" s="223" t="b">
        <v>0</v>
      </c>
      <c r="J1201" s="229" t="b">
        <v>0</v>
      </c>
      <c r="K1201" s="229" t="b">
        <v>1</v>
      </c>
      <c r="L1201" s="229" t="s">
        <v>267</v>
      </c>
      <c r="M1201" s="229" t="s">
        <v>462</v>
      </c>
      <c r="N1201" s="230" t="str">
        <f>IF(ISERROR(MATCH(A1201,MemMap!$A$4:$A$98,0)) = FALSE, INDEX(MemMap!$B$4:$B$98,MATCH(A1201,MemMap!$A$4:$A$98,0)),IF(F1201="Y","TunSetCalSeg",IF(G1201="Y", "FlashCalSeg", IF(G1201="N", "FlashAppSeg", ""))))</f>
        <v>FlashAppSeg</v>
      </c>
      <c r="O1201" s="220"/>
      <c r="P1201" s="221"/>
      <c r="Q1201" s="221"/>
      <c r="R1201" s="221"/>
    </row>
    <row r="1202" spans="1:18" ht="56.25" x14ac:dyDescent="0.2">
      <c r="A1202" s="224" t="s">
        <v>3620</v>
      </c>
      <c r="B1202" s="225" t="s">
        <v>3620</v>
      </c>
      <c r="C1202" s="226" t="s">
        <v>1902</v>
      </c>
      <c r="D1202" s="226" t="s">
        <v>2371</v>
      </c>
      <c r="E1202" s="226" t="s">
        <v>3621</v>
      </c>
      <c r="F1202" s="227" t="s">
        <v>82</v>
      </c>
      <c r="G1202" s="228" t="s">
        <v>82</v>
      </c>
      <c r="H1202" s="228"/>
      <c r="I1202" s="223">
        <v>5</v>
      </c>
      <c r="J1202" s="229">
        <v>-10</v>
      </c>
      <c r="K1202" s="229">
        <v>10</v>
      </c>
      <c r="L1202" s="229" t="s">
        <v>261</v>
      </c>
      <c r="M1202" s="229" t="s">
        <v>257</v>
      </c>
      <c r="N1202" s="230" t="str">
        <f>IF(ISERROR(MATCH(A1202,MemMap!$A$4:$A$98,0)) = FALSE, INDEX(MemMap!$B$4:$B$98,MATCH(A1202,MemMap!$A$4:$A$98,0)),IF(F1202="Y","TunSetCalSeg",IF(G1202="Y", "FlashCalSeg", IF(G1202="N", "FlashAppSeg", ""))))</f>
        <v>FlashAppSeg</v>
      </c>
      <c r="O1202" s="220"/>
      <c r="P1202" s="221"/>
      <c r="Q1202" s="221"/>
      <c r="R1202" s="221"/>
    </row>
    <row r="1203" spans="1:18" ht="33.75" x14ac:dyDescent="0.2">
      <c r="A1203" s="224" t="s">
        <v>3622</v>
      </c>
      <c r="B1203" s="225" t="s">
        <v>3622</v>
      </c>
      <c r="C1203" s="226" t="s">
        <v>1902</v>
      </c>
      <c r="D1203" s="226" t="s">
        <v>2371</v>
      </c>
      <c r="E1203" s="226" t="s">
        <v>3621</v>
      </c>
      <c r="F1203" s="227" t="s">
        <v>82</v>
      </c>
      <c r="G1203" s="228" t="s">
        <v>82</v>
      </c>
      <c r="H1203" s="228"/>
      <c r="I1203" s="223">
        <v>5</v>
      </c>
      <c r="J1203" s="229">
        <v>-1118</v>
      </c>
      <c r="K1203" s="229">
        <v>1118</v>
      </c>
      <c r="L1203" s="229" t="s">
        <v>259</v>
      </c>
      <c r="M1203" s="229" t="s">
        <v>257</v>
      </c>
      <c r="N1203" s="230" t="str">
        <f>IF(ISERROR(MATCH(A1203,MemMap!$A$4:$A$98,0)) = FALSE, INDEX(MemMap!$B$4:$B$98,MATCH(A1203,MemMap!$A$4:$A$98,0)),IF(F1203="Y","TunSetCalSeg",IF(G1203="Y", "FlashCalSeg", IF(G1203="N", "FlashAppSeg", ""))))</f>
        <v>FlashAppSeg</v>
      </c>
      <c r="O1203" s="220"/>
      <c r="P1203" s="221"/>
      <c r="Q1203" s="221"/>
      <c r="R1203" s="221"/>
    </row>
    <row r="1204" spans="1:18" ht="33.75" x14ac:dyDescent="0.2">
      <c r="A1204" s="224" t="s">
        <v>3623</v>
      </c>
      <c r="B1204" s="225" t="s">
        <v>3623</v>
      </c>
      <c r="C1204" s="226" t="s">
        <v>1902</v>
      </c>
      <c r="D1204" s="226" t="s">
        <v>2371</v>
      </c>
      <c r="E1204" s="226" t="s">
        <v>3624</v>
      </c>
      <c r="F1204" s="227" t="s">
        <v>82</v>
      </c>
      <c r="G1204" s="228" t="s">
        <v>82</v>
      </c>
      <c r="H1204" s="228"/>
      <c r="I1204" s="223">
        <v>0</v>
      </c>
      <c r="J1204" s="229">
        <v>-1600</v>
      </c>
      <c r="K1204" s="229">
        <v>1600</v>
      </c>
      <c r="L1204" s="229" t="s">
        <v>264</v>
      </c>
      <c r="M1204" s="229" t="s">
        <v>257</v>
      </c>
      <c r="N1204" s="230" t="str">
        <f>IF(ISERROR(MATCH(A1204,MemMap!$A$4:$A$98,0)) = FALSE, INDEX(MemMap!$B$4:$B$98,MATCH(A1204,MemMap!$A$4:$A$98,0)),IF(F1204="Y","TunSetCalSeg",IF(G1204="Y", "FlashCalSeg", IF(G1204="N", "FlashAppSeg", ""))))</f>
        <v>FlashAppSeg</v>
      </c>
      <c r="O1204" s="220"/>
      <c r="P1204" s="221"/>
      <c r="Q1204" s="221"/>
      <c r="R1204" s="221"/>
    </row>
    <row r="1205" spans="1:18" ht="33.75" x14ac:dyDescent="0.2">
      <c r="A1205" s="224" t="s">
        <v>3625</v>
      </c>
      <c r="B1205" s="225" t="s">
        <v>3625</v>
      </c>
      <c r="C1205" s="226" t="s">
        <v>1902</v>
      </c>
      <c r="D1205" s="226" t="s">
        <v>2371</v>
      </c>
      <c r="E1205" s="226" t="s">
        <v>3621</v>
      </c>
      <c r="F1205" s="227" t="s">
        <v>82</v>
      </c>
      <c r="G1205" s="228" t="s">
        <v>82</v>
      </c>
      <c r="H1205" s="228"/>
      <c r="I1205" s="223">
        <v>5</v>
      </c>
      <c r="J1205" s="229">
        <v>-890</v>
      </c>
      <c r="K1205" s="229">
        <v>890</v>
      </c>
      <c r="L1205" s="229" t="s">
        <v>261</v>
      </c>
      <c r="M1205" s="229" t="s">
        <v>257</v>
      </c>
      <c r="N1205" s="230" t="str">
        <f>IF(ISERROR(MATCH(A1205,MemMap!$A$4:$A$98,0)) = FALSE, INDEX(MemMap!$B$4:$B$98,MATCH(A1205,MemMap!$A$4:$A$98,0)),IF(F1205="Y","TunSetCalSeg",IF(G1205="Y", "FlashCalSeg", IF(G1205="N", "FlashAppSeg", ""))))</f>
        <v>FlashAppSeg</v>
      </c>
      <c r="O1205" s="220"/>
      <c r="P1205" s="221"/>
      <c r="Q1205" s="221"/>
      <c r="R1205" s="221"/>
    </row>
    <row r="1206" spans="1:18" ht="33.75" x14ac:dyDescent="0.2">
      <c r="A1206" s="224" t="s">
        <v>3626</v>
      </c>
      <c r="B1206" s="225" t="s">
        <v>3626</v>
      </c>
      <c r="C1206" s="226" t="s">
        <v>1902</v>
      </c>
      <c r="D1206" s="226" t="s">
        <v>2371</v>
      </c>
      <c r="E1206" s="226" t="s">
        <v>3627</v>
      </c>
      <c r="F1206" s="227" t="s">
        <v>82</v>
      </c>
      <c r="G1206" s="228" t="s">
        <v>82</v>
      </c>
      <c r="H1206" s="228"/>
      <c r="I1206" s="223">
        <v>200</v>
      </c>
      <c r="J1206" s="229">
        <v>0</v>
      </c>
      <c r="K1206" s="229">
        <v>60000</v>
      </c>
      <c r="L1206" s="229" t="s">
        <v>269</v>
      </c>
      <c r="M1206" s="229" t="s">
        <v>263</v>
      </c>
      <c r="N1206" s="230" t="str">
        <f>IF(ISERROR(MATCH(A1206,MemMap!$A$4:$A$98,0)) = FALSE, INDEX(MemMap!$B$4:$B$98,MATCH(A1206,MemMap!$A$4:$A$98,0)),IF(F1206="Y","TunSetCalSeg",IF(G1206="Y", "FlashCalSeg", IF(G1206="N", "FlashAppSeg", ""))))</f>
        <v>FlashAppSeg</v>
      </c>
      <c r="O1206" s="220"/>
      <c r="P1206" s="221"/>
      <c r="Q1206" s="221"/>
      <c r="R1206" s="221"/>
    </row>
    <row r="1207" spans="1:18" x14ac:dyDescent="0.2">
      <c r="A1207" s="224" t="s">
        <v>3628</v>
      </c>
      <c r="B1207" s="225" t="s">
        <v>3628</v>
      </c>
      <c r="C1207" s="226" t="s">
        <v>1902</v>
      </c>
      <c r="D1207" s="226" t="s">
        <v>2371</v>
      </c>
      <c r="E1207" s="226" t="s">
        <v>3629</v>
      </c>
      <c r="F1207" s="227" t="s">
        <v>82</v>
      </c>
      <c r="G1207" s="228" t="s">
        <v>82</v>
      </c>
      <c r="H1207" s="228"/>
      <c r="I1207" s="223" t="b">
        <v>0</v>
      </c>
      <c r="J1207" s="229" t="b">
        <v>0</v>
      </c>
      <c r="K1207" s="229" t="b">
        <v>1</v>
      </c>
      <c r="L1207" s="229" t="s">
        <v>267</v>
      </c>
      <c r="M1207" s="229" t="s">
        <v>462</v>
      </c>
      <c r="N1207" s="230" t="str">
        <f>IF(ISERROR(MATCH(A1207,MemMap!$A$4:$A$98,0)) = FALSE, INDEX(MemMap!$B$4:$B$98,MATCH(A1207,MemMap!$A$4:$A$98,0)),IF(F1207="Y","TunSetCalSeg",IF(G1207="Y", "FlashCalSeg", IF(G1207="N", "FlashAppSeg", ""))))</f>
        <v>FlashAppSeg</v>
      </c>
      <c r="O1207" s="220"/>
      <c r="P1207" s="221"/>
      <c r="Q1207" s="221"/>
      <c r="R1207" s="221"/>
    </row>
    <row r="1208" spans="1:18" x14ac:dyDescent="0.2">
      <c r="A1208" s="224" t="s">
        <v>2561</v>
      </c>
      <c r="B1208" s="225" t="s">
        <v>2561</v>
      </c>
      <c r="C1208" s="226" t="s">
        <v>1902</v>
      </c>
      <c r="D1208" s="226" t="s">
        <v>2371</v>
      </c>
      <c r="E1208" s="226" t="s">
        <v>2562</v>
      </c>
      <c r="F1208" s="227" t="s">
        <v>81</v>
      </c>
      <c r="G1208" s="228" t="s">
        <v>81</v>
      </c>
      <c r="H1208" s="228"/>
      <c r="I1208" s="223">
        <v>0.2</v>
      </c>
      <c r="J1208" s="229">
        <v>0.1</v>
      </c>
      <c r="K1208" s="229">
        <v>1</v>
      </c>
      <c r="L1208" s="229" t="s">
        <v>256</v>
      </c>
      <c r="M1208" s="229" t="s">
        <v>257</v>
      </c>
      <c r="N1208" s="230" t="str">
        <f>IF(ISERROR(MATCH(A1208,MemMap!$A$4:$A$98,0)) = FALSE, INDEX(MemMap!$B$4:$B$98,MATCH(A1208,MemMap!$A$4:$A$98,0)),IF(F1208="Y","TunSetCalSeg",IF(G1208="Y", "FlashCalSeg", IF(G1208="N", "FlashAppSeg", ""))))</f>
        <v>TunSetCalSeg</v>
      </c>
      <c r="O1208" s="220"/>
      <c r="P1208" s="221"/>
      <c r="Q1208" s="221"/>
      <c r="R1208" s="221"/>
    </row>
    <row r="1209" spans="1:18" x14ac:dyDescent="0.2">
      <c r="A1209" s="224" t="s">
        <v>2557</v>
      </c>
      <c r="B1209" s="225" t="s">
        <v>2557</v>
      </c>
      <c r="C1209" s="226" t="s">
        <v>1902</v>
      </c>
      <c r="D1209" s="226" t="s">
        <v>2371</v>
      </c>
      <c r="E1209" s="226" t="s">
        <v>2558</v>
      </c>
      <c r="F1209" s="227" t="s">
        <v>81</v>
      </c>
      <c r="G1209" s="228" t="s">
        <v>81</v>
      </c>
      <c r="H1209" s="228"/>
      <c r="I1209" s="223">
        <v>5</v>
      </c>
      <c r="J1209" s="229">
        <v>0</v>
      </c>
      <c r="K1209" s="229">
        <v>20</v>
      </c>
      <c r="L1209" s="229" t="s">
        <v>256</v>
      </c>
      <c r="M1209" s="229" t="s">
        <v>257</v>
      </c>
      <c r="N1209" s="230" t="str">
        <f>IF(ISERROR(MATCH(A1209,MemMap!$A$4:$A$98,0)) = FALSE, INDEX(MemMap!$B$4:$B$98,MATCH(A1209,MemMap!$A$4:$A$98,0)),IF(F1209="Y","TunSetCalSeg",IF(G1209="Y", "FlashCalSeg", IF(G1209="N", "FlashAppSeg", ""))))</f>
        <v>TunSetCalSeg</v>
      </c>
      <c r="O1209" s="220"/>
      <c r="P1209" s="221"/>
      <c r="Q1209" s="221"/>
      <c r="R1209" s="221"/>
    </row>
    <row r="1210" spans="1:18" x14ac:dyDescent="0.2">
      <c r="A1210" s="224" t="s">
        <v>2143</v>
      </c>
      <c r="B1210" s="225"/>
      <c r="C1210" s="226" t="s">
        <v>941</v>
      </c>
      <c r="D1210" s="226" t="s">
        <v>220</v>
      </c>
      <c r="E1210" s="226"/>
      <c r="F1210" s="227" t="s">
        <v>82</v>
      </c>
      <c r="G1210" s="228" t="s">
        <v>81</v>
      </c>
      <c r="H1210" s="228"/>
      <c r="I1210" s="223">
        <v>0</v>
      </c>
      <c r="J1210" s="229">
        <v>0</v>
      </c>
      <c r="K1210" s="229">
        <v>65535</v>
      </c>
      <c r="L1210" s="229" t="s">
        <v>269</v>
      </c>
      <c r="M1210" s="229" t="s">
        <v>263</v>
      </c>
      <c r="N1210" s="230" t="str">
        <f>IF(ISERROR(MATCH(A1210,MemMap!$A$4:$A$98,0)) = FALSE, INDEX(MemMap!$B$4:$B$98,MATCH(A1210,MemMap!$A$4:$A$98,0)),IF(F1210="Y","TunSetCalSeg",IF(G1210="Y", "FlashCalSeg", IF(G1210="N", "FlashAppSeg", ""))))</f>
        <v>FlashCalSeg</v>
      </c>
      <c r="O1210" s="220"/>
      <c r="P1210" s="221"/>
      <c r="Q1210" s="221"/>
      <c r="R1210" s="221"/>
    </row>
    <row r="1211" spans="1:18" x14ac:dyDescent="0.2">
      <c r="A1211" s="224" t="s">
        <v>2144</v>
      </c>
      <c r="B1211" s="225"/>
      <c r="C1211" s="226" t="s">
        <v>941</v>
      </c>
      <c r="D1211" s="226" t="s">
        <v>220</v>
      </c>
      <c r="E1211" s="226"/>
      <c r="F1211" s="227" t="s">
        <v>82</v>
      </c>
      <c r="G1211" s="228" t="s">
        <v>81</v>
      </c>
      <c r="H1211" s="228"/>
      <c r="I1211" s="223">
        <v>0</v>
      </c>
      <c r="J1211" s="229">
        <v>0</v>
      </c>
      <c r="K1211" s="229">
        <v>65535</v>
      </c>
      <c r="L1211" s="229" t="s">
        <v>269</v>
      </c>
      <c r="M1211" s="229" t="s">
        <v>263</v>
      </c>
      <c r="N1211" s="230" t="str">
        <f>IF(ISERROR(MATCH(A1211,MemMap!$A$4:$A$98,0)) = FALSE, INDEX(MemMap!$B$4:$B$98,MATCH(A1211,MemMap!$A$4:$A$98,0)),IF(F1211="Y","TunSetCalSeg",IF(G1211="Y", "FlashCalSeg", IF(G1211="N", "FlashAppSeg", ""))))</f>
        <v>FlashCalSeg</v>
      </c>
      <c r="O1211" s="220"/>
      <c r="P1211" s="221"/>
      <c r="Q1211" s="221"/>
      <c r="R1211" s="221"/>
    </row>
    <row r="1212" spans="1:18" x14ac:dyDescent="0.2">
      <c r="A1212" s="224" t="s">
        <v>2145</v>
      </c>
      <c r="B1212" s="225"/>
      <c r="C1212" s="226" t="s">
        <v>941</v>
      </c>
      <c r="D1212" s="226" t="s">
        <v>220</v>
      </c>
      <c r="E1212" s="226"/>
      <c r="F1212" s="227" t="s">
        <v>82</v>
      </c>
      <c r="G1212" s="228" t="s">
        <v>81</v>
      </c>
      <c r="H1212" s="228"/>
      <c r="I1212" s="223">
        <v>0</v>
      </c>
      <c r="J1212" s="229">
        <v>0</v>
      </c>
      <c r="K1212" s="229">
        <v>65535</v>
      </c>
      <c r="L1212" s="229" t="s">
        <v>269</v>
      </c>
      <c r="M1212" s="229" t="s">
        <v>263</v>
      </c>
      <c r="N1212" s="230" t="str">
        <f>IF(ISERROR(MATCH(A1212,MemMap!$A$4:$A$98,0)) = FALSE, INDEX(MemMap!$B$4:$B$98,MATCH(A1212,MemMap!$A$4:$A$98,0)),IF(F1212="Y","TunSetCalSeg",IF(G1212="Y", "FlashCalSeg", IF(G1212="N", "FlashAppSeg", ""))))</f>
        <v>FlashCalSeg</v>
      </c>
      <c r="O1212" s="220"/>
      <c r="P1212" s="221"/>
      <c r="Q1212" s="221"/>
      <c r="R1212" s="221"/>
    </row>
    <row r="1213" spans="1:18" x14ac:dyDescent="0.2">
      <c r="A1213" s="224" t="s">
        <v>2146</v>
      </c>
      <c r="B1213" s="225"/>
      <c r="C1213" s="226" t="s">
        <v>941</v>
      </c>
      <c r="D1213" s="226" t="s">
        <v>220</v>
      </c>
      <c r="E1213" s="226"/>
      <c r="F1213" s="227" t="s">
        <v>82</v>
      </c>
      <c r="G1213" s="228" t="s">
        <v>81</v>
      </c>
      <c r="H1213" s="228"/>
      <c r="I1213" s="223">
        <v>45</v>
      </c>
      <c r="J1213" s="229">
        <v>0</v>
      </c>
      <c r="K1213" s="229">
        <v>65535</v>
      </c>
      <c r="L1213" s="229" t="s">
        <v>269</v>
      </c>
      <c r="M1213" s="229" t="s">
        <v>263</v>
      </c>
      <c r="N1213" s="230" t="str">
        <f>IF(ISERROR(MATCH(A1213,MemMap!$A$4:$A$98,0)) = FALSE, INDEX(MemMap!$B$4:$B$98,MATCH(A1213,MemMap!$A$4:$A$98,0)),IF(F1213="Y","TunSetCalSeg",IF(G1213="Y", "FlashCalSeg", IF(G1213="N", "FlashAppSeg", ""))))</f>
        <v>FlashCalSeg</v>
      </c>
      <c r="O1213" s="220"/>
      <c r="P1213" s="221"/>
      <c r="Q1213" s="221"/>
      <c r="R1213" s="221"/>
    </row>
    <row r="1214" spans="1:18" x14ac:dyDescent="0.2">
      <c r="A1214" s="224" t="s">
        <v>940</v>
      </c>
      <c r="B1214" s="225"/>
      <c r="C1214" s="226" t="s">
        <v>941</v>
      </c>
      <c r="D1214" s="226" t="s">
        <v>220</v>
      </c>
      <c r="E1214" s="226"/>
      <c r="F1214" s="227" t="s">
        <v>82</v>
      </c>
      <c r="G1214" s="228" t="s">
        <v>81</v>
      </c>
      <c r="H1214" s="228"/>
      <c r="I1214" s="223">
        <v>5.0000000000000001E-4</v>
      </c>
      <c r="J1214" s="229">
        <v>1E-4</v>
      </c>
      <c r="K1214" s="229">
        <v>5.0000000000000001E-3</v>
      </c>
      <c r="L1214" s="229" t="s">
        <v>939</v>
      </c>
      <c r="M1214" s="229" t="s">
        <v>257</v>
      </c>
      <c r="N1214" s="230" t="str">
        <f>IF(ISERROR(MATCH(A1214,MemMap!$A$4:$A$98,0)) = FALSE, INDEX(MemMap!$B$4:$B$98,MATCH(A1214,MemMap!$A$4:$A$98,0)),IF(F1214="Y","TunSetCalSeg",IF(G1214="Y", "FlashCalSeg", IF(G1214="N", "FlashAppSeg", ""))))</f>
        <v>FlashCalSeg</v>
      </c>
      <c r="O1214" s="220"/>
      <c r="P1214" s="221"/>
      <c r="Q1214" s="221"/>
      <c r="R1214" s="221"/>
    </row>
    <row r="1215" spans="1:18" x14ac:dyDescent="0.2">
      <c r="A1215" s="224" t="s">
        <v>942</v>
      </c>
      <c r="B1215" s="225"/>
      <c r="C1215" s="226" t="s">
        <v>941</v>
      </c>
      <c r="D1215" s="226" t="s">
        <v>220</v>
      </c>
      <c r="E1215" s="226"/>
      <c r="F1215" s="227" t="s">
        <v>82</v>
      </c>
      <c r="G1215" s="228" t="s">
        <v>81</v>
      </c>
      <c r="H1215" s="228"/>
      <c r="I1215" s="223">
        <v>5.0000000000000001E-4</v>
      </c>
      <c r="J1215" s="229">
        <v>1E-4</v>
      </c>
      <c r="K1215" s="229">
        <v>5.0000000000000001E-3</v>
      </c>
      <c r="L1215" s="229" t="s">
        <v>939</v>
      </c>
      <c r="M1215" s="229" t="s">
        <v>257</v>
      </c>
      <c r="N1215" s="230" t="str">
        <f>IF(ISERROR(MATCH(A1215,MemMap!$A$4:$A$98,0)) = FALSE, INDEX(MemMap!$B$4:$B$98,MATCH(A1215,MemMap!$A$4:$A$98,0)),IF(F1215="Y","TunSetCalSeg",IF(G1215="Y", "FlashCalSeg", IF(G1215="N", "FlashAppSeg", ""))))</f>
        <v>FlashCalSeg</v>
      </c>
      <c r="O1215" s="220"/>
      <c r="P1215" s="221"/>
      <c r="Q1215" s="221"/>
      <c r="R1215" s="221"/>
    </row>
    <row r="1216" spans="1:18" x14ac:dyDescent="0.2">
      <c r="A1216" s="224" t="s">
        <v>2426</v>
      </c>
      <c r="B1216" s="225" t="s">
        <v>2427</v>
      </c>
      <c r="C1216" s="226" t="s">
        <v>941</v>
      </c>
      <c r="D1216" s="226" t="s">
        <v>220</v>
      </c>
      <c r="E1216" s="226"/>
      <c r="F1216" s="227" t="s">
        <v>82</v>
      </c>
      <c r="G1216" s="228" t="s">
        <v>81</v>
      </c>
      <c r="H1216" s="228"/>
      <c r="I1216" s="223">
        <v>10</v>
      </c>
      <c r="J1216" s="229">
        <v>0</v>
      </c>
      <c r="K1216" s="229">
        <v>255</v>
      </c>
      <c r="L1216" s="229" t="s">
        <v>296</v>
      </c>
      <c r="M1216" s="229" t="s">
        <v>257</v>
      </c>
      <c r="N1216" s="230" t="str">
        <f>IF(ISERROR(MATCH(A1216,MemMap!$A$4:$A$98,0)) = FALSE, INDEX(MemMap!$B$4:$B$98,MATCH(A1216,MemMap!$A$4:$A$98,0)),IF(F1216="Y","TunSetCalSeg",IF(G1216="Y", "FlashCalSeg", IF(G1216="N", "FlashAppSeg", ""))))</f>
        <v>FlashCalSeg</v>
      </c>
      <c r="O1216" s="220"/>
      <c r="P1216" s="221"/>
      <c r="Q1216" s="221"/>
      <c r="R1216" s="221"/>
    </row>
    <row r="1217" spans="1:18" x14ac:dyDescent="0.2">
      <c r="A1217" s="224" t="s">
        <v>2429</v>
      </c>
      <c r="B1217" s="225" t="s">
        <v>2430</v>
      </c>
      <c r="C1217" s="226" t="s">
        <v>941</v>
      </c>
      <c r="D1217" s="226" t="s">
        <v>220</v>
      </c>
      <c r="E1217" s="226"/>
      <c r="F1217" s="227" t="s">
        <v>82</v>
      </c>
      <c r="G1217" s="228" t="s">
        <v>81</v>
      </c>
      <c r="H1217" s="228"/>
      <c r="I1217" s="223">
        <v>10</v>
      </c>
      <c r="J1217" s="229">
        <v>0</v>
      </c>
      <c r="K1217" s="229">
        <v>255</v>
      </c>
      <c r="L1217" s="229" t="s">
        <v>296</v>
      </c>
      <c r="M1217" s="229" t="s">
        <v>257</v>
      </c>
      <c r="N1217" s="230" t="str">
        <f>IF(ISERROR(MATCH(A1217,MemMap!$A$4:$A$98,0)) = FALSE, INDEX(MemMap!$B$4:$B$98,MATCH(A1217,MemMap!$A$4:$A$98,0)),IF(F1217="Y","TunSetCalSeg",IF(G1217="Y", "FlashCalSeg", IF(G1217="N", "FlashAppSeg", ""))))</f>
        <v>FlashCalSeg</v>
      </c>
      <c r="O1217" s="220"/>
      <c r="P1217" s="221"/>
      <c r="Q1217" s="221"/>
      <c r="R1217" s="221"/>
    </row>
    <row r="1218" spans="1:18" ht="33.75" x14ac:dyDescent="0.2">
      <c r="A1218" s="224" t="s">
        <v>2428</v>
      </c>
      <c r="B1218" s="225"/>
      <c r="C1218" s="226" t="s">
        <v>941</v>
      </c>
      <c r="D1218" s="226" t="s">
        <v>220</v>
      </c>
      <c r="E1218" s="226"/>
      <c r="F1218" s="227" t="s">
        <v>82</v>
      </c>
      <c r="G1218" s="228" t="s">
        <v>81</v>
      </c>
      <c r="H1218" s="228"/>
      <c r="I1218" s="223">
        <v>1.6670000000000001E-3</v>
      </c>
      <c r="J1218" s="229">
        <v>1E-4</v>
      </c>
      <c r="K1218" s="229">
        <v>5.0000000000000001E-3</v>
      </c>
      <c r="L1218" s="229" t="s">
        <v>939</v>
      </c>
      <c r="M1218" s="229" t="s">
        <v>257</v>
      </c>
      <c r="N1218" s="230" t="str">
        <f>IF(ISERROR(MATCH(A1218,MemMap!$A$4:$A$98,0)) = FALSE, INDEX(MemMap!$B$4:$B$98,MATCH(A1218,MemMap!$A$4:$A$98,0)),IF(F1218="Y","TunSetCalSeg",IF(G1218="Y", "FlashCalSeg", IF(G1218="N", "FlashAppSeg", ""))))</f>
        <v>FlashCalSeg</v>
      </c>
      <c r="O1218" s="220"/>
      <c r="P1218" s="221"/>
      <c r="Q1218" s="221"/>
      <c r="R1218" s="221"/>
    </row>
    <row r="1219" spans="1:18" ht="33.75" x14ac:dyDescent="0.2">
      <c r="A1219" s="224" t="s">
        <v>2431</v>
      </c>
      <c r="B1219" s="225"/>
      <c r="C1219" s="226" t="s">
        <v>941</v>
      </c>
      <c r="D1219" s="226" t="s">
        <v>220</v>
      </c>
      <c r="E1219" s="226"/>
      <c r="F1219" s="227" t="s">
        <v>82</v>
      </c>
      <c r="G1219" s="228" t="s">
        <v>81</v>
      </c>
      <c r="H1219" s="228"/>
      <c r="I1219" s="223">
        <v>1.6670000000000001E-3</v>
      </c>
      <c r="J1219" s="229">
        <v>1E-4</v>
      </c>
      <c r="K1219" s="229">
        <v>5.0000000000000001E-3</v>
      </c>
      <c r="L1219" s="229" t="s">
        <v>939</v>
      </c>
      <c r="M1219" s="229" t="s">
        <v>257</v>
      </c>
      <c r="N1219" s="230" t="str">
        <f>IF(ISERROR(MATCH(A1219,MemMap!$A$4:$A$98,0)) = FALSE, INDEX(MemMap!$B$4:$B$98,MATCH(A1219,MemMap!$A$4:$A$98,0)),IF(F1219="Y","TunSetCalSeg",IF(G1219="Y", "FlashCalSeg", IF(G1219="N", "FlashAppSeg", ""))))</f>
        <v>FlashCalSeg</v>
      </c>
      <c r="O1219" s="220"/>
      <c r="P1219" s="221"/>
      <c r="Q1219" s="221"/>
      <c r="R1219" s="221"/>
    </row>
    <row r="1220" spans="1:18" ht="33.75" x14ac:dyDescent="0.2">
      <c r="A1220" s="224" t="s">
        <v>2147</v>
      </c>
      <c r="B1220" s="225"/>
      <c r="C1220" s="226" t="s">
        <v>941</v>
      </c>
      <c r="D1220" s="226" t="s">
        <v>220</v>
      </c>
      <c r="E1220" s="226"/>
      <c r="F1220" s="227" t="s">
        <v>82</v>
      </c>
      <c r="G1220" s="228" t="s">
        <v>81</v>
      </c>
      <c r="H1220" s="228"/>
      <c r="I1220" s="223">
        <v>10</v>
      </c>
      <c r="J1220" s="229">
        <v>0</v>
      </c>
      <c r="K1220" s="229">
        <v>255</v>
      </c>
      <c r="L1220" s="229" t="s">
        <v>296</v>
      </c>
      <c r="M1220" s="229" t="s">
        <v>257</v>
      </c>
      <c r="N1220" s="230" t="str">
        <f>IF(ISERROR(MATCH(A1220,MemMap!$A$4:$A$98,0)) = FALSE, INDEX(MemMap!$B$4:$B$98,MATCH(A1220,MemMap!$A$4:$A$98,0)),IF(F1220="Y","TunSetCalSeg",IF(G1220="Y", "FlashCalSeg", IF(G1220="N", "FlashAppSeg", ""))))</f>
        <v>FlashCalSeg</v>
      </c>
      <c r="O1220" s="220"/>
      <c r="P1220" s="221"/>
      <c r="Q1220" s="221"/>
      <c r="R1220" s="221"/>
    </row>
    <row r="1221" spans="1:18" ht="33.75" x14ac:dyDescent="0.2">
      <c r="A1221" s="224" t="s">
        <v>1722</v>
      </c>
      <c r="B1221" s="225" t="s">
        <v>1723</v>
      </c>
      <c r="C1221" s="226" t="s">
        <v>1724</v>
      </c>
      <c r="D1221" s="226" t="s">
        <v>205</v>
      </c>
      <c r="E1221" s="226"/>
      <c r="F1221" s="227" t="s">
        <v>82</v>
      </c>
      <c r="G1221" s="228" t="s">
        <v>82</v>
      </c>
      <c r="H1221" s="228"/>
      <c r="I1221" s="223">
        <v>140</v>
      </c>
      <c r="J1221" s="229">
        <v>0</v>
      </c>
      <c r="K1221" s="229">
        <v>900</v>
      </c>
      <c r="L1221" s="229" t="s">
        <v>264</v>
      </c>
      <c r="M1221" s="229" t="s">
        <v>653</v>
      </c>
      <c r="N1221" s="230" t="str">
        <f>IF(ISERROR(MATCH(A1221,MemMap!$A$4:$A$98,0)) = FALSE, INDEX(MemMap!$B$4:$B$98,MATCH(A1221,MemMap!$A$4:$A$98,0)),IF(F1221="Y","TunSetCalSeg",IF(G1221="Y", "FlashCalSeg", IF(G1221="N", "FlashAppSeg", ""))))</f>
        <v>FlashAppSeg</v>
      </c>
      <c r="O1221" s="220"/>
      <c r="P1221" s="221"/>
      <c r="Q1221" s="221"/>
      <c r="R1221" s="221"/>
    </row>
    <row r="1222" spans="1:18" ht="33.75" x14ac:dyDescent="0.2">
      <c r="A1222" s="224" t="s">
        <v>1725</v>
      </c>
      <c r="B1222" s="225" t="s">
        <v>1726</v>
      </c>
      <c r="C1222" s="226" t="s">
        <v>1724</v>
      </c>
      <c r="D1222" s="226" t="s">
        <v>205</v>
      </c>
      <c r="E1222" s="226"/>
      <c r="F1222" s="227" t="s">
        <v>82</v>
      </c>
      <c r="G1222" s="228" t="s">
        <v>82</v>
      </c>
      <c r="H1222" s="228"/>
      <c r="I1222" s="223">
        <v>120</v>
      </c>
      <c r="J1222" s="229">
        <v>0</v>
      </c>
      <c r="K1222" s="229">
        <v>900</v>
      </c>
      <c r="L1222" s="229" t="s">
        <v>264</v>
      </c>
      <c r="M1222" s="229" t="s">
        <v>653</v>
      </c>
      <c r="N1222" s="230" t="str">
        <f>IF(ISERROR(MATCH(A1222,MemMap!$A$4:$A$98,0)) = FALSE, INDEX(MemMap!$B$4:$B$98,MATCH(A1222,MemMap!$A$4:$A$98,0)),IF(F1222="Y","TunSetCalSeg",IF(G1222="Y", "FlashCalSeg", IF(G1222="N", "FlashAppSeg", ""))))</f>
        <v>FlashAppSeg</v>
      </c>
      <c r="O1222" s="220"/>
      <c r="P1222" s="221"/>
      <c r="Q1222" s="221"/>
      <c r="R1222" s="221"/>
    </row>
    <row r="1223" spans="1:18" ht="38.25" x14ac:dyDescent="0.2">
      <c r="A1223" s="293" t="s">
        <v>1727</v>
      </c>
      <c r="B1223" s="294" t="s">
        <v>1728</v>
      </c>
      <c r="C1223" s="293" t="s">
        <v>1724</v>
      </c>
      <c r="D1223" s="293" t="s">
        <v>205</v>
      </c>
      <c r="E1223" s="293"/>
      <c r="F1223" s="298" t="s">
        <v>82</v>
      </c>
      <c r="G1223" s="298" t="s">
        <v>82</v>
      </c>
      <c r="H1223" s="298" t="s">
        <v>1729</v>
      </c>
      <c r="I1223" s="301" t="s">
        <v>1730</v>
      </c>
      <c r="J1223" s="303">
        <v>0</v>
      </c>
      <c r="K1223" s="303">
        <v>255</v>
      </c>
      <c r="L1223" s="303" t="s">
        <v>296</v>
      </c>
      <c r="M1223" s="303" t="s">
        <v>336</v>
      </c>
      <c r="N1223" s="230" t="str">
        <f>IF(ISERROR(MATCH(A1223,MemMap!$A$4:$A$98,0)) = FALSE, INDEX(MemMap!$B$4:$B$98,MATCH(A1223,MemMap!$A$4:$A$98,0)),IF(F1223="Y","TunSetCalSeg",IF(G1223="Y", "FlashCalSeg", IF(G1223="N", "FlashAppSeg", ""))))</f>
        <v>FlashAppSeg</v>
      </c>
      <c r="O1223" s="220"/>
      <c r="P1223" s="221"/>
      <c r="Q1223" s="221"/>
      <c r="R1223" s="221"/>
    </row>
    <row r="1224" spans="1:18" ht="38.25" x14ac:dyDescent="0.2">
      <c r="A1224" s="293" t="s">
        <v>1731</v>
      </c>
      <c r="B1224" s="294" t="s">
        <v>1732</v>
      </c>
      <c r="C1224" s="293" t="s">
        <v>1724</v>
      </c>
      <c r="D1224" s="293" t="s">
        <v>205</v>
      </c>
      <c r="E1224" s="293"/>
      <c r="F1224" s="298" t="s">
        <v>82</v>
      </c>
      <c r="G1224" s="298" t="s">
        <v>82</v>
      </c>
      <c r="H1224" s="298" t="s">
        <v>1733</v>
      </c>
      <c r="I1224" s="301" t="s">
        <v>1734</v>
      </c>
      <c r="J1224" s="303">
        <v>0</v>
      </c>
      <c r="K1224" s="303">
        <v>8.8000000000000007</v>
      </c>
      <c r="L1224" s="303" t="s">
        <v>252</v>
      </c>
      <c r="M1224" s="303" t="s">
        <v>377</v>
      </c>
      <c r="N1224" s="230" t="str">
        <f>IF(ISERROR(MATCH(A1224,MemMap!$A$4:$A$98,0)) = FALSE, INDEX(MemMap!$B$4:$B$98,MATCH(A1224,MemMap!$A$4:$A$98,0)),IF(F1224="Y","TunSetCalSeg",IF(G1224="Y", "FlashCalSeg", IF(G1224="N", "FlashAppSeg", ""))))</f>
        <v>FlashAppSeg</v>
      </c>
      <c r="O1224" s="220"/>
      <c r="P1224" s="221"/>
      <c r="Q1224" s="221"/>
      <c r="R1224" s="221"/>
    </row>
  </sheetData>
  <sheetProtection insertColumns="0" insertRows="0" insertHyperlinks="0" deleteColumns="0" deleteRows="0" sort="0" autoFilter="0" pivotTables="0"/>
  <autoFilter ref="A4:N1219" xr:uid="{00000000-0009-0000-0000-000002000000}"/>
  <sortState ref="A5:R1224">
    <sortCondition ref="C5:C1224"/>
    <sortCondition ref="A5:A1224"/>
  </sortState>
  <mergeCells count="4">
    <mergeCell ref="A1:N1"/>
    <mergeCell ref="J3:K3"/>
    <mergeCell ref="H2:M2"/>
    <mergeCell ref="A2:G2"/>
  </mergeCells>
  <conditionalFormatting sqref="C768:D768 B687:D767 F681:M682 F678:H680 F676:M677 F675:H675 J675 L675:M675 F674:M674 J678:M678 J679 L679:M680 F672:H673 J672:M672 J673 L673:M673 C668:D686 F683:H686 J683:J686 L683:M686 B6:D20 B56:D667 B50:D50 B25:D25 C21:D24 B32:D32 C41:D49 C26:D31 B39:D40 C51:D55 C33:D38 B1219:D1222 F1219:M1222 F6:M671 B769:D1064 F687:M1064 N6:N1224">
    <cfRule type="expression" dxfId="117" priority="787" stopIfTrue="1">
      <formula>IF($A6&lt;&gt;"",IF(B6="",TRUE,FALSE),FALSE)</formula>
    </cfRule>
  </conditionalFormatting>
  <conditionalFormatting sqref="B1065:D1069 F1065:M1069">
    <cfRule type="expression" dxfId="116" priority="120" stopIfTrue="1">
      <formula>IF($A1065&lt;&gt;"",IF(B1065="",TRUE,FALSE),FALSE)</formula>
    </cfRule>
  </conditionalFormatting>
  <conditionalFormatting sqref="B1070:D1148 F1070:M1133 B1150:D1150 C1149:D1149 C1151:D1160 F1156:M1160 F1134:F1155 H1134:M1155">
    <cfRule type="expression" dxfId="115" priority="118" stopIfTrue="1">
      <formula>IF($A1070&lt;&gt;"",IF(B1070="",TRUE,FALSE),FALSE)</formula>
    </cfRule>
  </conditionalFormatting>
  <conditionalFormatting sqref="B5:D5 F5:N5">
    <cfRule type="expression" dxfId="114" priority="117" stopIfTrue="1">
      <formula>IF($A5&lt;&gt;"",IF(B5="",TRUE,FALSE),FALSE)</formula>
    </cfRule>
  </conditionalFormatting>
  <conditionalFormatting sqref="F1161:M1161 C1161:D1169 F1162:F1169 H1162:M1169 G1162:G1182">
    <cfRule type="expression" dxfId="113" priority="116" stopIfTrue="1">
      <formula>IF($A1161&lt;&gt;"",IF(C1161="",TRUE,FALSE),FALSE)</formula>
    </cfRule>
  </conditionalFormatting>
  <conditionalFormatting sqref="F1183:M1183 F1194:M1194 B1181:D1194 C1170:D1180 F1170:F1182 H1170:M1182 F1184:F1193 H1184:M1193">
    <cfRule type="expression" dxfId="112" priority="115" stopIfTrue="1">
      <formula>IF($A1170&lt;&gt;"",IF(B1170="",TRUE,FALSE),FALSE)</formula>
    </cfRule>
  </conditionalFormatting>
  <conditionalFormatting sqref="B768">
    <cfRule type="expression" dxfId="111" priority="114" stopIfTrue="1">
      <formula>IF($A768&lt;&gt;"",IF(B768="",TRUE,FALSE),FALSE)</formula>
    </cfRule>
  </conditionalFormatting>
  <conditionalFormatting sqref="B1195:D1196 F1195:M1196">
    <cfRule type="expression" dxfId="110" priority="113" stopIfTrue="1">
      <formula>IF($A1195&lt;&gt;"",IF(B1195="",TRUE,FALSE),FALSE)</formula>
    </cfRule>
  </conditionalFormatting>
  <conditionalFormatting sqref="B1197:D1197 B1200:D1200 B1203:D1203 B1206:D1206 B1209:D1209 B1212:D1212 B1215:D1215 B1218:D1218 F1197:M1197 F1200:M1200 F1203:M1203 F1206:M1206 F1209:M1209 F1212:M1212 F1215:M1215 F1218:M1218">
    <cfRule type="expression" dxfId="109" priority="110" stopIfTrue="1">
      <formula>IF($A1197&lt;&gt;"",IF(B1197="",TRUE,FALSE),FALSE)</formula>
    </cfRule>
  </conditionalFormatting>
  <conditionalFormatting sqref="B1198:D1199 B1201:D1202 B1204:D1205 B1207:D1208 B1210:D1211 B1213:D1214 B1216:D1217 F1198:M1199 F1201:M1202 F1207:M1208 F1210:M1211 F1213:M1214 F1216:M1217 F1204:F1205 H1204:M1205">
    <cfRule type="expression" dxfId="108" priority="109" stopIfTrue="1">
      <formula>IF($A1198&lt;&gt;"",IF(B1198="",TRUE,FALSE),FALSE)</formula>
    </cfRule>
  </conditionalFormatting>
  <conditionalFormatting sqref="B668">
    <cfRule type="expression" dxfId="107" priority="108" stopIfTrue="1">
      <formula>IF($A668&lt;&gt;"",IF(B668="",TRUE,FALSE),FALSE)</formula>
    </cfRule>
  </conditionalFormatting>
  <conditionalFormatting sqref="B668">
    <cfRule type="expression" dxfId="106" priority="107" stopIfTrue="1">
      <formula>IF($A668&lt;&gt;"",IF(B668="",TRUE,FALSE),FALSE)</formula>
    </cfRule>
  </conditionalFormatting>
  <conditionalFormatting sqref="B669">
    <cfRule type="expression" dxfId="105" priority="106" stopIfTrue="1">
      <formula>IF($A669&lt;&gt;"",IF(B669="",TRUE,FALSE),FALSE)</formula>
    </cfRule>
  </conditionalFormatting>
  <conditionalFormatting sqref="B669">
    <cfRule type="expression" dxfId="104" priority="105" stopIfTrue="1">
      <formula>IF($A669&lt;&gt;"",IF(B669="",TRUE,FALSE),FALSE)</formula>
    </cfRule>
  </conditionalFormatting>
  <conditionalFormatting sqref="B670">
    <cfRule type="expression" dxfId="103" priority="104" stopIfTrue="1">
      <formula>IF($A670&lt;&gt;"",IF(B670="",TRUE,FALSE),FALSE)</formula>
    </cfRule>
  </conditionalFormatting>
  <conditionalFormatting sqref="B670">
    <cfRule type="expression" dxfId="102" priority="103" stopIfTrue="1">
      <formula>IF($A670&lt;&gt;"",IF(B670="",TRUE,FALSE),FALSE)</formula>
    </cfRule>
  </conditionalFormatting>
  <conditionalFormatting sqref="B671">
    <cfRule type="expression" dxfId="101" priority="102" stopIfTrue="1">
      <formula>IF($A671&lt;&gt;"",IF(B671="",TRUE,FALSE),FALSE)</formula>
    </cfRule>
  </conditionalFormatting>
  <conditionalFormatting sqref="B680">
    <cfRule type="expression" dxfId="100" priority="101" stopIfTrue="1">
      <formula>IF($A680&lt;&gt;"",IF(B680="",TRUE,FALSE),FALSE)</formula>
    </cfRule>
  </conditionalFormatting>
  <conditionalFormatting sqref="I680">
    <cfRule type="expression" dxfId="99" priority="100" stopIfTrue="1">
      <formula>IF($A680&lt;&gt;"",IF(I680="",TRUE,FALSE),FALSE)</formula>
    </cfRule>
  </conditionalFormatting>
  <conditionalFormatting sqref="J680:K680">
    <cfRule type="expression" dxfId="98" priority="99" stopIfTrue="1">
      <formula>IF($A680&lt;&gt;"",IF(J680="",TRUE,FALSE),FALSE)</formula>
    </cfRule>
  </conditionalFormatting>
  <conditionalFormatting sqref="B678">
    <cfRule type="expression" dxfId="97" priority="98" stopIfTrue="1">
      <formula>IF($A678&lt;&gt;"",IF(B678="",TRUE,FALSE),FALSE)</formula>
    </cfRule>
  </conditionalFormatting>
  <conditionalFormatting sqref="I678">
    <cfRule type="expression" dxfId="96" priority="97" stopIfTrue="1">
      <formula>IF($A678&lt;&gt;"",IF(I678="",TRUE,FALSE),FALSE)</formula>
    </cfRule>
  </conditionalFormatting>
  <conditionalFormatting sqref="B675">
    <cfRule type="expression" dxfId="95" priority="96" stopIfTrue="1">
      <formula>IF($A675&lt;&gt;"",IF(B675="",TRUE,FALSE),FALSE)</formula>
    </cfRule>
  </conditionalFormatting>
  <conditionalFormatting sqref="I675">
    <cfRule type="expression" dxfId="94" priority="95" stopIfTrue="1">
      <formula>IF($A675&lt;&gt;"",IF(I675="",TRUE,FALSE),FALSE)</formula>
    </cfRule>
  </conditionalFormatting>
  <conditionalFormatting sqref="K675">
    <cfRule type="expression" dxfId="93" priority="94" stopIfTrue="1">
      <formula>IF($A675&lt;&gt;"",IF(K675="",TRUE,FALSE),FALSE)</formula>
    </cfRule>
  </conditionalFormatting>
  <conditionalFormatting sqref="B676">
    <cfRule type="expression" dxfId="92" priority="93" stopIfTrue="1">
      <formula>IF($A676&lt;&gt;"",IF(B676="",TRUE,FALSE),FALSE)</formula>
    </cfRule>
  </conditionalFormatting>
  <conditionalFormatting sqref="B677">
    <cfRule type="expression" dxfId="91" priority="92" stopIfTrue="1">
      <formula>IF($A677&lt;&gt;"",IF(B677="",TRUE,FALSE),FALSE)</formula>
    </cfRule>
  </conditionalFormatting>
  <conditionalFormatting sqref="B672">
    <cfRule type="expression" dxfId="90" priority="91" stopIfTrue="1">
      <formula>IF($A672&lt;&gt;"",IF(B672="",TRUE,FALSE),FALSE)</formula>
    </cfRule>
  </conditionalFormatting>
  <conditionalFormatting sqref="I672">
    <cfRule type="expression" dxfId="89" priority="90" stopIfTrue="1">
      <formula>IF($A672&lt;&gt;"",IF(I672="",TRUE,FALSE),FALSE)</formula>
    </cfRule>
  </conditionalFormatting>
  <conditionalFormatting sqref="B679">
    <cfRule type="expression" dxfId="88" priority="89" stopIfTrue="1">
      <formula>IF($A679&lt;&gt;"",IF(B679="",TRUE,FALSE),FALSE)</formula>
    </cfRule>
  </conditionalFormatting>
  <conditionalFormatting sqref="I679">
    <cfRule type="expression" dxfId="87" priority="88" stopIfTrue="1">
      <formula>IF($A679&lt;&gt;"",IF(I679="",TRUE,FALSE),FALSE)</formula>
    </cfRule>
  </conditionalFormatting>
  <conditionalFormatting sqref="K679">
    <cfRule type="expression" dxfId="86" priority="87" stopIfTrue="1">
      <formula>IF($A679&lt;&gt;"",IF(K679="",TRUE,FALSE),FALSE)</formula>
    </cfRule>
  </conditionalFormatting>
  <conditionalFormatting sqref="B673">
    <cfRule type="expression" dxfId="85" priority="86" stopIfTrue="1">
      <formula>IF($A673&lt;&gt;"",IF(B673="",TRUE,FALSE),FALSE)</formula>
    </cfRule>
  </conditionalFormatting>
  <conditionalFormatting sqref="I673">
    <cfRule type="expression" dxfId="84" priority="85" stopIfTrue="1">
      <formula>IF($A673&lt;&gt;"",IF(I673="",TRUE,FALSE),FALSE)</formula>
    </cfRule>
  </conditionalFormatting>
  <conditionalFormatting sqref="K673">
    <cfRule type="expression" dxfId="83" priority="84" stopIfTrue="1">
      <formula>IF($A673&lt;&gt;"",IF(K673="",TRUE,FALSE),FALSE)</formula>
    </cfRule>
  </conditionalFormatting>
  <conditionalFormatting sqref="B674">
    <cfRule type="expression" dxfId="82" priority="83" stopIfTrue="1">
      <formula>IF($A674&lt;&gt;"",IF(B674="",TRUE,FALSE),FALSE)</formula>
    </cfRule>
  </conditionalFormatting>
  <conditionalFormatting sqref="B681">
    <cfRule type="expression" dxfId="81" priority="82" stopIfTrue="1">
      <formula>IF($A681&lt;&gt;"",IF(B681="",TRUE,FALSE),FALSE)</formula>
    </cfRule>
  </conditionalFormatting>
  <conditionalFormatting sqref="B682">
    <cfRule type="expression" dxfId="80" priority="81" stopIfTrue="1">
      <formula>IF($A682&lt;&gt;"",IF(B682="",TRUE,FALSE),FALSE)</formula>
    </cfRule>
  </conditionalFormatting>
  <conditionalFormatting sqref="B683">
    <cfRule type="expression" dxfId="79" priority="80" stopIfTrue="1">
      <formula>IF($A683&lt;&gt;"",IF(B683="",TRUE,FALSE),FALSE)</formula>
    </cfRule>
  </conditionalFormatting>
  <conditionalFormatting sqref="I683">
    <cfRule type="expression" dxfId="78" priority="79" stopIfTrue="1">
      <formula>IF($A683&lt;&gt;"",IF(I683="",TRUE,FALSE),FALSE)</formula>
    </cfRule>
  </conditionalFormatting>
  <conditionalFormatting sqref="K683">
    <cfRule type="expression" dxfId="77" priority="78" stopIfTrue="1">
      <formula>IF($A683&lt;&gt;"",IF(K683="",TRUE,FALSE),FALSE)</formula>
    </cfRule>
  </conditionalFormatting>
  <conditionalFormatting sqref="B684">
    <cfRule type="expression" dxfId="76" priority="77" stopIfTrue="1">
      <formula>IF($A684&lt;&gt;"",IF(B684="",TRUE,FALSE),FALSE)</formula>
    </cfRule>
  </conditionalFormatting>
  <conditionalFormatting sqref="I684">
    <cfRule type="expression" dxfId="75" priority="76" stopIfTrue="1">
      <formula>IF($A684&lt;&gt;"",IF(I684="",TRUE,FALSE),FALSE)</formula>
    </cfRule>
  </conditionalFormatting>
  <conditionalFormatting sqref="K684">
    <cfRule type="expression" dxfId="74" priority="75" stopIfTrue="1">
      <formula>IF($A684&lt;&gt;"",IF(K684="",TRUE,FALSE),FALSE)</formula>
    </cfRule>
  </conditionalFormatting>
  <conditionalFormatting sqref="B685">
    <cfRule type="expression" dxfId="73" priority="74" stopIfTrue="1">
      <formula>IF($A685&lt;&gt;"",IF(B685="",TRUE,FALSE),FALSE)</formula>
    </cfRule>
  </conditionalFormatting>
  <conditionalFormatting sqref="I685">
    <cfRule type="expression" dxfId="72" priority="73" stopIfTrue="1">
      <formula>IF($A685&lt;&gt;"",IF(I685="",TRUE,FALSE),FALSE)</formula>
    </cfRule>
  </conditionalFormatting>
  <conditionalFormatting sqref="K685">
    <cfRule type="expression" dxfId="71" priority="72" stopIfTrue="1">
      <formula>IF($A685&lt;&gt;"",IF(K685="",TRUE,FALSE),FALSE)</formula>
    </cfRule>
  </conditionalFormatting>
  <conditionalFormatting sqref="B686">
    <cfRule type="expression" dxfId="70" priority="71" stopIfTrue="1">
      <formula>IF($A686&lt;&gt;"",IF(B686="",TRUE,FALSE),FALSE)</formula>
    </cfRule>
  </conditionalFormatting>
  <conditionalFormatting sqref="I686">
    <cfRule type="expression" dxfId="69" priority="70" stopIfTrue="1">
      <formula>IF($A686&lt;&gt;"",IF(I686="",TRUE,FALSE),FALSE)</formula>
    </cfRule>
  </conditionalFormatting>
  <conditionalFormatting sqref="K686">
    <cfRule type="expression" dxfId="68" priority="69" stopIfTrue="1">
      <formula>IF($A686&lt;&gt;"",IF(K686="",TRUE,FALSE),FALSE)</formula>
    </cfRule>
  </conditionalFormatting>
  <conditionalFormatting sqref="B33">
    <cfRule type="expression" dxfId="67" priority="68" stopIfTrue="1">
      <formula>IF($A33&lt;&gt;"",IF(B33="",TRUE,FALSE),FALSE)</formula>
    </cfRule>
  </conditionalFormatting>
  <conditionalFormatting sqref="B53">
    <cfRule type="expression" dxfId="66" priority="67" stopIfTrue="1">
      <formula>IF($A53&lt;&gt;"",IF(B53="",TRUE,FALSE),FALSE)</formula>
    </cfRule>
  </conditionalFormatting>
  <conditionalFormatting sqref="B49">
    <cfRule type="expression" dxfId="65" priority="66" stopIfTrue="1">
      <formula>IF($A49&lt;&gt;"",IF(B49="",TRUE,FALSE),FALSE)</formula>
    </cfRule>
  </conditionalFormatting>
  <conditionalFormatting sqref="B48">
    <cfRule type="expression" dxfId="64" priority="65" stopIfTrue="1">
      <formula>IF($A48&lt;&gt;"",IF(B48="",TRUE,FALSE),FALSE)</formula>
    </cfRule>
  </conditionalFormatting>
  <conditionalFormatting sqref="B51">
    <cfRule type="expression" dxfId="63" priority="64" stopIfTrue="1">
      <formula>IF($A51&lt;&gt;"",IF(B51="",TRUE,FALSE),FALSE)</formula>
    </cfRule>
  </conditionalFormatting>
  <conditionalFormatting sqref="B23">
    <cfRule type="expression" dxfId="62" priority="63" stopIfTrue="1">
      <formula>IF($A23&lt;&gt;"",IF(B23="",TRUE,FALSE),FALSE)</formula>
    </cfRule>
  </conditionalFormatting>
  <conditionalFormatting sqref="B22">
    <cfRule type="expression" dxfId="61" priority="62" stopIfTrue="1">
      <formula>IF($A22&lt;&gt;"",IF(B22="",TRUE,FALSE),FALSE)</formula>
    </cfRule>
  </conditionalFormatting>
  <conditionalFormatting sqref="B21">
    <cfRule type="expression" dxfId="60" priority="61" stopIfTrue="1">
      <formula>IF($A21&lt;&gt;"",IF(B21="",TRUE,FALSE),FALSE)</formula>
    </cfRule>
  </conditionalFormatting>
  <conditionalFormatting sqref="B24">
    <cfRule type="expression" dxfId="59" priority="60" stopIfTrue="1">
      <formula>IF($A24&lt;&gt;"",IF(B24="",TRUE,FALSE),FALSE)</formula>
    </cfRule>
  </conditionalFormatting>
  <conditionalFormatting sqref="B29">
    <cfRule type="expression" dxfId="58" priority="59" stopIfTrue="1">
      <formula>IF($A29&lt;&gt;"",IF(B29="",TRUE,FALSE),FALSE)</formula>
    </cfRule>
  </conditionalFormatting>
  <conditionalFormatting sqref="B28">
    <cfRule type="expression" dxfId="57" priority="58" stopIfTrue="1">
      <formula>IF($A28&lt;&gt;"",IF(B28="",TRUE,FALSE),FALSE)</formula>
    </cfRule>
  </conditionalFormatting>
  <conditionalFormatting sqref="B27">
    <cfRule type="expression" dxfId="56" priority="57" stopIfTrue="1">
      <formula>IF($A27&lt;&gt;"",IF(B27="",TRUE,FALSE),FALSE)</formula>
    </cfRule>
  </conditionalFormatting>
  <conditionalFormatting sqref="B30">
    <cfRule type="expression" dxfId="55" priority="56" stopIfTrue="1">
      <formula>IF($A30&lt;&gt;"",IF(B30="",TRUE,FALSE),FALSE)</formula>
    </cfRule>
  </conditionalFormatting>
  <conditionalFormatting sqref="B26">
    <cfRule type="expression" dxfId="54" priority="55" stopIfTrue="1">
      <formula>IF($A26&lt;&gt;"",IF(B26="",TRUE,FALSE),FALSE)</formula>
    </cfRule>
  </conditionalFormatting>
  <conditionalFormatting sqref="B45">
    <cfRule type="expression" dxfId="53" priority="54" stopIfTrue="1">
      <formula>IF($A45&lt;&gt;"",IF(B45="",TRUE,FALSE),FALSE)</formula>
    </cfRule>
  </conditionalFormatting>
  <conditionalFormatting sqref="B44">
    <cfRule type="expression" dxfId="52" priority="53" stopIfTrue="1">
      <formula>IF($A44&lt;&gt;"",IF(B44="",TRUE,FALSE),FALSE)</formula>
    </cfRule>
  </conditionalFormatting>
  <conditionalFormatting sqref="B43">
    <cfRule type="expression" dxfId="51" priority="52" stopIfTrue="1">
      <formula>IF($A43&lt;&gt;"",IF(B43="",TRUE,FALSE),FALSE)</formula>
    </cfRule>
  </conditionalFormatting>
  <conditionalFormatting sqref="B46">
    <cfRule type="expression" dxfId="50" priority="51" stopIfTrue="1">
      <formula>IF($A46&lt;&gt;"",IF(B46="",TRUE,FALSE),FALSE)</formula>
    </cfRule>
  </conditionalFormatting>
  <conditionalFormatting sqref="B47">
    <cfRule type="expression" dxfId="49" priority="50" stopIfTrue="1">
      <formula>IF($A47&lt;&gt;"",IF(B47="",TRUE,FALSE),FALSE)</formula>
    </cfRule>
  </conditionalFormatting>
  <conditionalFormatting sqref="B42">
    <cfRule type="expression" dxfId="48" priority="49" stopIfTrue="1">
      <formula>IF($A42&lt;&gt;"",IF(B42="",TRUE,FALSE),FALSE)</formula>
    </cfRule>
  </conditionalFormatting>
  <conditionalFormatting sqref="B41">
    <cfRule type="expression" dxfId="47" priority="48" stopIfTrue="1">
      <formula>IF($A41&lt;&gt;"",IF(B41="",TRUE,FALSE),FALSE)</formula>
    </cfRule>
  </conditionalFormatting>
  <conditionalFormatting sqref="B31">
    <cfRule type="expression" dxfId="46" priority="47" stopIfTrue="1">
      <formula>IF($A31&lt;&gt;"",IF(B31="",TRUE,FALSE),FALSE)</formula>
    </cfRule>
  </conditionalFormatting>
  <conditionalFormatting sqref="B37">
    <cfRule type="expression" dxfId="45" priority="46" stopIfTrue="1">
      <formula>IF($A37&lt;&gt;"",IF(B37="",TRUE,FALSE),FALSE)</formula>
    </cfRule>
  </conditionalFormatting>
  <conditionalFormatting sqref="B36">
    <cfRule type="expression" dxfId="44" priority="45" stopIfTrue="1">
      <formula>IF($A36&lt;&gt;"",IF(B36="",TRUE,FALSE),FALSE)</formula>
    </cfRule>
  </conditionalFormatting>
  <conditionalFormatting sqref="B34">
    <cfRule type="expression" dxfId="43" priority="44" stopIfTrue="1">
      <formula>IF($A34&lt;&gt;"",IF(B34="",TRUE,FALSE),FALSE)</formula>
    </cfRule>
  </conditionalFormatting>
  <conditionalFormatting sqref="B35">
    <cfRule type="expression" dxfId="42" priority="43" stopIfTrue="1">
      <formula>IF($A35&lt;&gt;"",IF(B35="",TRUE,FALSE),FALSE)</formula>
    </cfRule>
  </conditionalFormatting>
  <conditionalFormatting sqref="B52">
    <cfRule type="expression" dxfId="41" priority="42" stopIfTrue="1">
      <formula>IF($A52&lt;&gt;"",IF(B52="",TRUE,FALSE),FALSE)</formula>
    </cfRule>
  </conditionalFormatting>
  <conditionalFormatting sqref="B54">
    <cfRule type="expression" dxfId="40" priority="41" stopIfTrue="1">
      <formula>IF($A54&lt;&gt;"",IF(B54="",TRUE,FALSE),FALSE)</formula>
    </cfRule>
  </conditionalFormatting>
  <conditionalFormatting sqref="B55">
    <cfRule type="expression" dxfId="39" priority="40" stopIfTrue="1">
      <formula>IF($A55&lt;&gt;"",IF(B55="",TRUE,FALSE),FALSE)</formula>
    </cfRule>
  </conditionalFormatting>
  <conditionalFormatting sqref="B38">
    <cfRule type="expression" dxfId="38" priority="39" stopIfTrue="1">
      <formula>IF($A38&lt;&gt;"",IF(B38="",TRUE,FALSE),FALSE)</formula>
    </cfRule>
  </conditionalFormatting>
  <conditionalFormatting sqref="B1166">
    <cfRule type="expression" dxfId="37" priority="38" stopIfTrue="1">
      <formula>IF($A1166&lt;&gt;"",IF(B1166="",TRUE,FALSE),FALSE)</formula>
    </cfRule>
  </conditionalFormatting>
  <conditionalFormatting sqref="B1168">
    <cfRule type="expression" dxfId="36" priority="37" stopIfTrue="1">
      <formula>IF($A1168&lt;&gt;"",IF(B1168="",TRUE,FALSE),FALSE)</formula>
    </cfRule>
  </conditionalFormatting>
  <conditionalFormatting sqref="B1167">
    <cfRule type="expression" dxfId="35" priority="36" stopIfTrue="1">
      <formula>IF($A1167&lt;&gt;"",IF(B1167="",TRUE,FALSE),FALSE)</formula>
    </cfRule>
  </conditionalFormatting>
  <conditionalFormatting sqref="B1165">
    <cfRule type="expression" dxfId="34" priority="35" stopIfTrue="1">
      <formula>IF($A1165&lt;&gt;"",IF(B1165="",TRUE,FALSE),FALSE)</formula>
    </cfRule>
  </conditionalFormatting>
  <conditionalFormatting sqref="B1163">
    <cfRule type="expression" dxfId="33" priority="34" stopIfTrue="1">
      <formula>IF($A1163&lt;&gt;"",IF(B1163="",TRUE,FALSE),FALSE)</formula>
    </cfRule>
  </conditionalFormatting>
  <conditionalFormatting sqref="B1162">
    <cfRule type="expression" dxfId="32" priority="33" stopIfTrue="1">
      <formula>IF($A1162&lt;&gt;"",IF(B1162="",TRUE,FALSE),FALSE)</formula>
    </cfRule>
  </conditionalFormatting>
  <conditionalFormatting sqref="B1164">
    <cfRule type="expression" dxfId="31" priority="32" stopIfTrue="1">
      <formula>IF($A1164&lt;&gt;"",IF(B1164="",TRUE,FALSE),FALSE)</formula>
    </cfRule>
  </conditionalFormatting>
  <conditionalFormatting sqref="B1169">
    <cfRule type="expression" dxfId="30" priority="31" stopIfTrue="1">
      <formula>IF($A1169&lt;&gt;"",IF(B1169="",TRUE,FALSE),FALSE)</formula>
    </cfRule>
  </conditionalFormatting>
  <conditionalFormatting sqref="B1153">
    <cfRule type="expression" dxfId="29" priority="30" stopIfTrue="1">
      <formula>IF($A1153&lt;&gt;"",IF(B1153="",TRUE,FALSE),FALSE)</formula>
    </cfRule>
  </conditionalFormatting>
  <conditionalFormatting sqref="B1155">
    <cfRule type="expression" dxfId="28" priority="29" stopIfTrue="1">
      <formula>IF($A1155&lt;&gt;"",IF(B1155="",TRUE,FALSE),FALSE)</formula>
    </cfRule>
  </conditionalFormatting>
  <conditionalFormatting sqref="B1154">
    <cfRule type="expression" dxfId="27" priority="28" stopIfTrue="1">
      <formula>IF($A1154&lt;&gt;"",IF(B1154="",TRUE,FALSE),FALSE)</formula>
    </cfRule>
  </conditionalFormatting>
  <conditionalFormatting sqref="B1152">
    <cfRule type="expression" dxfId="26" priority="27" stopIfTrue="1">
      <formula>IF($A1152&lt;&gt;"",IF(B1152="",TRUE,FALSE),FALSE)</formula>
    </cfRule>
  </conditionalFormatting>
  <conditionalFormatting sqref="B1149">
    <cfRule type="expression" dxfId="25" priority="26" stopIfTrue="1">
      <formula>IF($A1149&lt;&gt;"",IF(B1149="",TRUE,FALSE),FALSE)</formula>
    </cfRule>
  </conditionalFormatting>
  <conditionalFormatting sqref="B1151">
    <cfRule type="expression" dxfId="24" priority="25" stopIfTrue="1">
      <formula>IF($A1151&lt;&gt;"",IF(B1151="",TRUE,FALSE),FALSE)</formula>
    </cfRule>
  </conditionalFormatting>
  <conditionalFormatting sqref="B1156">
    <cfRule type="expression" dxfId="23" priority="24" stopIfTrue="1">
      <formula>IF($A1156&lt;&gt;"",IF(B1156="",TRUE,FALSE),FALSE)</formula>
    </cfRule>
  </conditionalFormatting>
  <conditionalFormatting sqref="B1159">
    <cfRule type="expression" dxfId="22" priority="23" stopIfTrue="1">
      <formula>IF($A1159&lt;&gt;"",IF(B1159="",TRUE,FALSE),FALSE)</formula>
    </cfRule>
  </conditionalFormatting>
  <conditionalFormatting sqref="B1161">
    <cfRule type="expression" dxfId="21" priority="22" stopIfTrue="1">
      <formula>IF($A1161&lt;&gt;"",IF(B1161="",TRUE,FALSE),FALSE)</formula>
    </cfRule>
  </conditionalFormatting>
  <conditionalFormatting sqref="B1160">
    <cfRule type="expression" dxfId="20" priority="21" stopIfTrue="1">
      <formula>IF($A1160&lt;&gt;"",IF(B1160="",TRUE,FALSE),FALSE)</formula>
    </cfRule>
  </conditionalFormatting>
  <conditionalFormatting sqref="B1158">
    <cfRule type="expression" dxfId="19" priority="20" stopIfTrue="1">
      <formula>IF($A1158&lt;&gt;"",IF(B1158="",TRUE,FALSE),FALSE)</formula>
    </cfRule>
  </conditionalFormatting>
  <conditionalFormatting sqref="B1157">
    <cfRule type="expression" dxfId="18" priority="19" stopIfTrue="1">
      <formula>IF($A1157&lt;&gt;"",IF(B1157="",TRUE,FALSE),FALSE)</formula>
    </cfRule>
  </conditionalFormatting>
  <conditionalFormatting sqref="B1174">
    <cfRule type="expression" dxfId="17" priority="18" stopIfTrue="1">
      <formula>IF($A1174&lt;&gt;"",IF(B1174="",TRUE,FALSE),FALSE)</formula>
    </cfRule>
  </conditionalFormatting>
  <conditionalFormatting sqref="B1172">
    <cfRule type="expression" dxfId="16" priority="17" stopIfTrue="1">
      <formula>IF($A1172&lt;&gt;"",IF(B1172="",TRUE,FALSE),FALSE)</formula>
    </cfRule>
  </conditionalFormatting>
  <conditionalFormatting sqref="B1175">
    <cfRule type="expression" dxfId="15" priority="16" stopIfTrue="1">
      <formula>IF($A1175&lt;&gt;"",IF(B1175="",TRUE,FALSE),FALSE)</formula>
    </cfRule>
  </conditionalFormatting>
  <conditionalFormatting sqref="B1176">
    <cfRule type="expression" dxfId="14" priority="15" stopIfTrue="1">
      <formula>IF($A1176&lt;&gt;"",IF(B1176="",TRUE,FALSE),FALSE)</formula>
    </cfRule>
  </conditionalFormatting>
  <conditionalFormatting sqref="B1179">
    <cfRule type="expression" dxfId="13" priority="14" stopIfTrue="1">
      <formula>IF($A1179&lt;&gt;"",IF(B1179="",TRUE,FALSE),FALSE)</formula>
    </cfRule>
  </conditionalFormatting>
  <conditionalFormatting sqref="B1180">
    <cfRule type="expression" dxfId="12" priority="13" stopIfTrue="1">
      <formula>IF($A1180&lt;&gt;"",IF(B1180="",TRUE,FALSE),FALSE)</formula>
    </cfRule>
  </conditionalFormatting>
  <conditionalFormatting sqref="B1177">
    <cfRule type="expression" dxfId="11" priority="12" stopIfTrue="1">
      <formula>IF($A1177&lt;&gt;"",IF(B1177="",TRUE,FALSE),FALSE)</formula>
    </cfRule>
  </conditionalFormatting>
  <conditionalFormatting sqref="B1173">
    <cfRule type="expression" dxfId="10" priority="11" stopIfTrue="1">
      <formula>IF($A1173&lt;&gt;"",IF(B1173="",TRUE,FALSE),FALSE)</formula>
    </cfRule>
  </conditionalFormatting>
  <conditionalFormatting sqref="B1178">
    <cfRule type="expression" dxfId="9" priority="10" stopIfTrue="1">
      <formula>IF($A1178&lt;&gt;"",IF(B1178="",TRUE,FALSE),FALSE)</formula>
    </cfRule>
  </conditionalFormatting>
  <conditionalFormatting sqref="G1184">
    <cfRule type="expression" dxfId="8" priority="7" stopIfTrue="1">
      <formula>IF($A1184&lt;&gt;"",IF(G1184="",TRUE,FALSE),FALSE)</formula>
    </cfRule>
  </conditionalFormatting>
  <conditionalFormatting sqref="G1185">
    <cfRule type="expression" dxfId="7" priority="6" stopIfTrue="1">
      <formula>IF($A1185&lt;&gt;"",IF(G1185="",TRUE,FALSE),FALSE)</formula>
    </cfRule>
  </conditionalFormatting>
  <conditionalFormatting sqref="G1186:G1192">
    <cfRule type="expression" dxfId="6" priority="5" stopIfTrue="1">
      <formula>IF($A1186&lt;&gt;"",IF(G1186="",TRUE,FALSE),FALSE)</formula>
    </cfRule>
  </conditionalFormatting>
  <conditionalFormatting sqref="G1134:G1155">
    <cfRule type="expression" dxfId="5" priority="4" stopIfTrue="1">
      <formula>IF($A1134&lt;&gt;"",IF(G1134="",TRUE,FALSE),FALSE)</formula>
    </cfRule>
  </conditionalFormatting>
  <conditionalFormatting sqref="G1193">
    <cfRule type="expression" dxfId="4" priority="3" stopIfTrue="1">
      <formula>IF($A1193&lt;&gt;"",IF(G1193="",TRUE,FALSE),FALSE)</formula>
    </cfRule>
  </conditionalFormatting>
  <conditionalFormatting sqref="G1204">
    <cfRule type="expression" dxfId="3" priority="2" stopIfTrue="1">
      <formula>IF($A1204&lt;&gt;"",IF(G1204="",TRUE,FALSE),FALSE)</formula>
    </cfRule>
  </conditionalFormatting>
  <conditionalFormatting sqref="G1205">
    <cfRule type="expression" dxfId="2" priority="1" stopIfTrue="1">
      <formula>IF($A1205&lt;&gt;"",IF(G1205="",TRUE,FALSE),FALSE)</formula>
    </cfRule>
  </conditionalFormatting>
  <dataValidations count="3">
    <dataValidation type="list" allowBlank="1" showInputMessage="1" showErrorMessage="1" sqref="G513:H526 G527 WVO744:WVO747 G596 G705:G706 JC744:JC747 SY744:SY747 ACU744:ACU747 AMQ744:AMQ747 AWM744:AWM747 BGI744:BGI747 BQE744:BQE747 CAA744:CAA747 CJW744:CJW747 CTS744:CTS747 DDO744:DDO747 DNK744:DNK747 DXG744:DXG747 EHC744:EHC747 EQY744:EQY747 FAU744:FAU747 FKQ744:FKQ747 FUM744:FUM747 GEI744:GEI747 GOE744:GOE747 GYA744:GYA747 HHW744:HHW747 HRS744:HRS747 IBO744:IBO747 ILK744:ILK747 IVG744:IVG747 JFC744:JFC747 JOY744:JOY747 JYU744:JYU747 KIQ744:KIQ747 KSM744:KSM747 LCI744:LCI747 LME744:LME747 LWA744:LWA747 MFW744:MFW747 MPS744:MPS747 MZO744:MZO747 NJK744:NJK747 NTG744:NTG747 ODC744:ODC747 OMY744:OMY747 OWU744:OWU747 PGQ744:PGQ747 PQM744:PQM747 QAI744:QAI747 QKE744:QKE747 QUA744:QUA747 RDW744:RDW747 RNS744:RNS747 RXO744:RXO747 SHK744:SHK747 SRG744:SRG747 TBC744:TBC747 TKY744:TKY747 TUU744:TUU747 UEQ744:UEQ747 UOM744:UOM747 UYI744:UYI747 VIE744:VIE747 VSA744:VSA747 WBW744:WBW747 WLS744:WLS747 WLS495:WLS512 WBW495:WBW512 VSA495:VSA512 VIE495:VIE512 UYI495:UYI512 UOM495:UOM512 UEQ495:UEQ512 TUU495:TUU512 TKY495:TKY512 TBC495:TBC512 SRG495:SRG512 SHK495:SHK512 RXO495:RXO512 RNS495:RNS512 RDW495:RDW512 QUA495:QUA512 QKE495:QKE512 QAI495:QAI512 PQM495:PQM512 PGQ495:PGQ512 OWU495:OWU512 OMY495:OMY512 ODC495:ODC512 NTG495:NTG512 NJK495:NJK512 MZO495:MZO512 MPS495:MPS512 MFW495:MFW512 LWA495:LWA512 LME495:LME512 LCI495:LCI512 KSM495:KSM512 KIQ495:KIQ512 JYU495:JYU512 JOY495:JOY512 JFC495:JFC512 IVG495:IVG512 ILK495:ILK512 IBO495:IBO512 HRS495:HRS512 HHW495:HHW512 GYA495:GYA512 GOE495:GOE512 GEI495:GEI512 FUM495:FUM512 FKQ495:FKQ512 FAU495:FAU512 EQY495:EQY512 EHC495:EHC512 DXG495:DXG512 DNK495:DNK512 DDO495:DDO512 CTS495:CTS512 CJW495:CJW512 CAA495:CAA512 BQE495:BQE512 BGI495:BGI512 AWM495:AWM512 AMQ495:AMQ512 ACU495:ACU512 SY495:SY512 JC495:JC512 WVO495:WVO512 G528:H595 JC1006 SY1006 ACU1006 AMQ1006 AWM1006 BGI1006 BQE1006 CAA1006 CJW1006 CTS1006 DDO1006 DNK1006 DXG1006 EHC1006 EQY1006 FAU1006 FKQ1006 FUM1006 GEI1006 GOE1006 GYA1006 HHW1006 HRS1006 IBO1006 ILK1006 IVG1006 JFC1006 JOY1006 JYU1006 KIQ1006 KSM1006 LCI1006 LME1006 LWA1006 MFW1006 MPS1006 MZO1006 NJK1006 NTG1006 ODC1006 OMY1006 OWU1006 PGQ1006 PQM1006 QAI1006 QKE1006 QUA1006 RDW1006 RNS1006 RXO1006 SHK1006 SRG1006 TBC1006 TKY1006 TUU1006 UEQ1006 UOM1006 UYI1006 VIE1006 VSA1006 WBW1006 WLS1006 WVO1006 F81:F84 G298:G512 G744:G759 G597:H704 G707:H743 H143:H326 H328:H494 G5:G296 H1007:H65025 H748:H1005 G781:G65025" xr:uid="{00000000-0002-0000-0200-000000000000}">
      <formula1>$R$1:$R$2</formula1>
    </dataValidation>
    <dataValidation type="list" allowBlank="1" showInputMessage="1" showErrorMessage="1" sqref="D327 D527 D596 D705:D706 D744:D747 IZ744:IZ747 SV744:SV747 ACR744:ACR747 AMN744:AMN747 AWJ744:AWJ747 BGF744:BGF747 BQB744:BQB747 BZX744:BZX747 CJT744:CJT747 CTP744:CTP747 DDL744:DDL747 DNH744:DNH747 DXD744:DXD747 EGZ744:EGZ747 EQV744:EQV747 FAR744:FAR747 FKN744:FKN747 FUJ744:FUJ747 GEF744:GEF747 GOB744:GOB747 GXX744:GXX747 HHT744:HHT747 HRP744:HRP747 IBL744:IBL747 ILH744:ILH747 IVD744:IVD747 JEZ744:JEZ747 JOV744:JOV747 JYR744:JYR747 KIN744:KIN747 KSJ744:KSJ747 LCF744:LCF747 LMB744:LMB747 LVX744:LVX747 MFT744:MFT747 MPP744:MPP747 MZL744:MZL747 NJH744:NJH747 NTD744:NTD747 OCZ744:OCZ747 OMV744:OMV747 OWR744:OWR747 PGN744:PGN747 PQJ744:PQJ747 QAF744:QAF747 QKB744:QKB747 QTX744:QTX747 RDT744:RDT747 RNP744:RNP747 RXL744:RXL747 SHH744:SHH747 SRD744:SRD747 TAZ744:TAZ747 TKV744:TKV747 TUR744:TUR747 UEN744:UEN747 UOJ744:UOJ747 UYF744:UYF747 VIB744:VIB747 VRX744:VRX747 WBT744:WBT747 WLP744:WLP747 WVL744:WVL747 WVL495:WVL512 WLP495:WLP512 WBT495:WBT512 VRX495:VRX512 VIB495:VIB512 UYF495:UYF512 UOJ495:UOJ512 UEN495:UEN512 TUR495:TUR512 TKV495:TKV512 TAZ495:TAZ512 SRD495:SRD512 SHH495:SHH512 RXL495:RXL512 RNP495:RNP512 RDT495:RDT512 QTX495:QTX512 QKB495:QKB512 QAF495:QAF512 PQJ495:PQJ512 PGN495:PGN512 OWR495:OWR512 OMV495:OMV512 OCZ495:OCZ512 NTD495:NTD512 NJH495:NJH512 MZL495:MZL512 MPP495:MPP512 MFT495:MFT512 LVX495:LVX512 LMB495:LMB512 LCF495:LCF512 KSJ495:KSJ512 KIN495:KIN512 JYR495:JYR512 JOV495:JOV512 JEZ495:JEZ512 IVD495:IVD512 ILH495:ILH512 IBL495:IBL512 HRP495:HRP512 HHT495:HHT512 GXX495:GXX512 GOB495:GOB512 GEF495:GEF512 FUJ495:FUJ512 FKN495:FKN512 FAR495:FAR512 EQV495:EQV512 EGZ495:EGZ512 DXD495:DXD512 DNH495:DNH512 DDL495:DDL512 CTP495:CTP512 CJT495:CJT512 BZX495:BZX512 BQB495:BQB512 BGF495:BGF512 AWJ495:AWJ512 AMN495:AMN512 ACR495:ACR512 SV495:SV512 IZ495:IZ512 D495:D512 D1006 IZ1006 SV1006 ACR1006 AMN1006 AWJ1006 BGF1006 BQB1006 BZX1006 CJT1006 CTP1006 DDL1006 DNH1006 DXD1006 EGZ1006 EQV1006 FAR1006 FKN1006 FUJ1006 GEF1006 GOB1006 GXX1006 HHT1006 HRP1006 IBL1006 ILH1006 IVD1006 JEZ1006 JOV1006 JYR1006 KIN1006 KSJ1006 LCF1006 LMB1006 LVX1006 MFT1006 MPP1006 MZL1006 NJH1006 NTD1006 OCZ1006 OMV1006 OWR1006 PGN1006 PQJ1006 QAF1006 QKB1006 QTX1006 RDT1006 RNP1006 RXL1006 SHH1006 SRD1006 TAZ1006 TKV1006 TUR1006 UEN1006 UOJ1006 UYF1006 VIB1006 VRX1006 WBT1006 WLP1006 WVL1006 D6:D142" xr:uid="{00000000-0002-0000-0200-000001000000}">
      <formula1>FDDValList</formula1>
    </dataValidation>
    <dataValidation type="list" allowBlank="1" showInputMessage="1" showErrorMessage="1" sqref="WVN744:WVN747 JB744:JB747 SX744:SX747 ACT744:ACT747 AMP744:AMP747 AWL744:AWL747 BGH744:BGH747 BQD744:BQD747 BZZ744:BZZ747 CJV744:CJV747 CTR744:CTR747 DDN744:DDN747 DNJ744:DNJ747 DXF744:DXF747 EHB744:EHB747 EQX744:EQX747 FAT744:FAT747 FKP744:FKP747 FUL744:FUL747 GEH744:GEH747 GOD744:GOD747 GXZ744:GXZ747 HHV744:HHV747 HRR744:HRR747 IBN744:IBN747 ILJ744:ILJ747 IVF744:IVF747 JFB744:JFB747 JOX744:JOX747 JYT744:JYT747 KIP744:KIP747 KSL744:KSL747 LCH744:LCH747 LMD744:LMD747 LVZ744:LVZ747 MFV744:MFV747 MPR744:MPR747 MZN744:MZN747 NJJ744:NJJ747 NTF744:NTF747 ODB744:ODB747 OMX744:OMX747 OWT744:OWT747 PGP744:PGP747 PQL744:PQL747 QAH744:QAH747 QKD744:QKD747 QTZ744:QTZ747 RDV744:RDV747 RNR744:RNR747 RXN744:RXN747 SHJ744:SHJ747 SRF744:SRF747 TBB744:TBB747 TKX744:TKX747 TUT744:TUT747 UEP744:UEP747 UOL744:UOL747 UYH744:UYH747 VID744:VID747 VRZ744:VRZ747 WBV744:WBV747 WLR744:WLR747 WVN495:WVN512 WLR495:WLR512 WBV495:WBV512 VRZ495:VRZ512 VID495:VID512 UYH495:UYH512 UOL495:UOL512 UEP495:UEP512 TUT495:TUT512 TKX495:TKX512 TBB495:TBB512 SRF495:SRF512 SHJ495:SHJ512 RXN495:RXN512 RNR495:RNR512 RDV495:RDV512 QTZ495:QTZ512 QKD495:QKD512 QAH495:QAH512 PQL495:PQL512 PGP495:PGP512 OWT495:OWT512 OMX495:OMX512 ODB495:ODB512 NTF495:NTF512 NJJ495:NJJ512 MZN495:MZN512 MPR495:MPR512 MFV495:MFV512 LVZ495:LVZ512 LMD495:LMD512 LCH495:LCH512 KSL495:KSL512 KIP495:KIP512 JYT495:JYT512 JOX495:JOX512 JFB495:JFB512 IVF495:IVF512 ILJ495:ILJ512 IBN495:IBN512 HRR495:HRR512 HHV495:HHV512 GXZ495:GXZ512 GOD495:GOD512 GEH495:GEH512 FUL495:FUL512 FKP495:FKP512 FAT495:FAT512 EQX495:EQX512 EHB495:EHB512 DXF495:DXF512 DNJ495:DNJ512 DDN495:DDN512 CTR495:CTR512 CJV495:CJV512 BZZ495:BZZ512 BQD495:BQD512 BGH495:BGH512 AWL495:AWL512 AMP495:AMP512 ACT495:ACT512 SX495:SX512 JB495:JB512 JB1006 SX1006 ACT1006 AMP1006 AWL1006 BGH1006 BQD1006 BZZ1006 CJV1006 CTR1006 DDN1006 DNJ1006 DXF1006 EHB1006 EQX1006 FAT1006 FKP1006 FUL1006 GEH1006 GOD1006 GXZ1006 HHV1006 HRR1006 IBN1006 ILJ1006 IVF1006 JFB1006 JOX1006 JYT1006 KIP1006 KSL1006 LCH1006 LMD1006 LVZ1006 MFV1006 MPR1006 MZN1006 NJJ1006 NTF1006 ODB1006 OMX1006 OWT1006 PGP1006 PQL1006 QAH1006 QKD1006 QTZ1006 RDV1006 RNR1006 RXN1006 SHJ1006 SRF1006 TBB1006 TKX1006 TUT1006 UEP1006 UOL1006 UYH1006 VID1006 VRZ1006 WBV1006 WLR1006 WVN1006 G760:G780 F6:F80 G297 F85:F65025" xr:uid="{00000000-0002-0000-0200-000002000000}">
      <formula1>$R$1:$R$3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35"/>
  <sheetViews>
    <sheetView zoomScale="80" zoomScaleNormal="80" workbookViewId="0">
      <selection activeCell="A11" sqref="A11"/>
    </sheetView>
  </sheetViews>
  <sheetFormatPr defaultRowHeight="12.75" x14ac:dyDescent="0.2"/>
  <cols>
    <col min="1" max="1" width="41.28515625" customWidth="1"/>
    <col min="2" max="2" width="25.28515625" customWidth="1"/>
  </cols>
  <sheetData>
    <row r="1" spans="1:3" ht="31.5" customHeight="1" thickBot="1" x14ac:dyDescent="0.25">
      <c r="A1" s="253" t="str">
        <f>'Change Log'!A1:D1</f>
        <v>PSA BMPV - Rev 37</v>
      </c>
      <c r="B1" s="254"/>
    </row>
    <row r="2" spans="1:3" ht="13.5" thickBot="1" x14ac:dyDescent="0.25">
      <c r="A2" s="258" t="s">
        <v>2280</v>
      </c>
      <c r="B2" s="252"/>
    </row>
    <row r="3" spans="1:3" ht="25.5" customHeight="1" thickBot="1" x14ac:dyDescent="0.25">
      <c r="A3" s="218" t="s">
        <v>150</v>
      </c>
      <c r="B3" s="219" t="s">
        <v>85</v>
      </c>
      <c r="C3" s="108"/>
    </row>
    <row r="4" spans="1:3" x14ac:dyDescent="0.2">
      <c r="A4" s="217" t="s">
        <v>2276</v>
      </c>
      <c r="B4" s="217" t="s">
        <v>2285</v>
      </c>
    </row>
    <row r="5" spans="1:3" x14ac:dyDescent="0.2">
      <c r="A5" s="217" t="s">
        <v>2275</v>
      </c>
      <c r="B5" s="217" t="s">
        <v>2284</v>
      </c>
    </row>
    <row r="6" spans="1:3" x14ac:dyDescent="0.2">
      <c r="A6" s="217" t="s">
        <v>2277</v>
      </c>
      <c r="B6" s="217" t="s">
        <v>2286</v>
      </c>
    </row>
    <row r="7" spans="1:3" x14ac:dyDescent="0.2">
      <c r="A7" s="217" t="s">
        <v>2271</v>
      </c>
      <c r="B7" s="217" t="s">
        <v>2281</v>
      </c>
    </row>
    <row r="8" spans="1:3" x14ac:dyDescent="0.2">
      <c r="A8" s="217" t="s">
        <v>2274</v>
      </c>
      <c r="B8" s="217" t="s">
        <v>2283</v>
      </c>
    </row>
    <row r="9" spans="1:3" x14ac:dyDescent="0.2">
      <c r="A9" s="217" t="s">
        <v>2273</v>
      </c>
      <c r="B9" s="217" t="s">
        <v>2282</v>
      </c>
    </row>
    <row r="10" spans="1:3" x14ac:dyDescent="0.2">
      <c r="A10" s="217" t="s">
        <v>2278</v>
      </c>
      <c r="B10" s="217" t="s">
        <v>2287</v>
      </c>
    </row>
    <row r="11" spans="1:3" x14ac:dyDescent="0.2">
      <c r="A11" s="217"/>
      <c r="B11" s="217"/>
    </row>
    <row r="12" spans="1:3" x14ac:dyDescent="0.2">
      <c r="A12" s="217"/>
      <c r="B12" s="217"/>
    </row>
    <row r="13" spans="1:3" x14ac:dyDescent="0.2">
      <c r="A13" s="217"/>
      <c r="B13" s="217"/>
    </row>
    <row r="14" spans="1:3" x14ac:dyDescent="0.2">
      <c r="A14" s="217"/>
      <c r="B14" s="217"/>
    </row>
    <row r="15" spans="1:3" x14ac:dyDescent="0.2">
      <c r="A15" s="217"/>
      <c r="B15" s="217"/>
    </row>
    <row r="16" spans="1:3" x14ac:dyDescent="0.2">
      <c r="A16" s="217"/>
      <c r="B16" s="217"/>
    </row>
    <row r="17" spans="1:2" x14ac:dyDescent="0.2">
      <c r="A17" s="217"/>
      <c r="B17" s="217"/>
    </row>
    <row r="18" spans="1:2" x14ac:dyDescent="0.2">
      <c r="A18" s="217"/>
      <c r="B18" s="217"/>
    </row>
    <row r="19" spans="1:2" x14ac:dyDescent="0.2">
      <c r="A19" s="217"/>
      <c r="B19" s="217"/>
    </row>
    <row r="20" spans="1:2" x14ac:dyDescent="0.2">
      <c r="A20" s="217"/>
      <c r="B20" s="217"/>
    </row>
    <row r="21" spans="1:2" x14ac:dyDescent="0.2">
      <c r="A21" s="217"/>
      <c r="B21" s="217"/>
    </row>
    <row r="22" spans="1:2" x14ac:dyDescent="0.2">
      <c r="A22" s="217"/>
      <c r="B22" s="217"/>
    </row>
    <row r="23" spans="1:2" x14ac:dyDescent="0.2">
      <c r="A23" s="217"/>
      <c r="B23" s="217"/>
    </row>
    <row r="24" spans="1:2" x14ac:dyDescent="0.2">
      <c r="A24" s="217"/>
      <c r="B24" s="217"/>
    </row>
    <row r="25" spans="1:2" x14ac:dyDescent="0.2">
      <c r="A25" s="217"/>
      <c r="B25" s="217"/>
    </row>
    <row r="26" spans="1:2" x14ac:dyDescent="0.2">
      <c r="A26" s="217"/>
      <c r="B26" s="217"/>
    </row>
    <row r="27" spans="1:2" x14ac:dyDescent="0.2">
      <c r="A27" s="217"/>
      <c r="B27" s="217"/>
    </row>
    <row r="28" spans="1:2" x14ac:dyDescent="0.2">
      <c r="A28" s="217"/>
      <c r="B28" s="217"/>
    </row>
    <row r="29" spans="1:2" x14ac:dyDescent="0.2">
      <c r="A29" s="217"/>
      <c r="B29" s="217"/>
    </row>
    <row r="30" spans="1:2" x14ac:dyDescent="0.2">
      <c r="A30" s="217"/>
      <c r="B30" s="217"/>
    </row>
    <row r="31" spans="1:2" x14ac:dyDescent="0.2">
      <c r="A31" s="217"/>
      <c r="B31" s="217"/>
    </row>
    <row r="32" spans="1:2" x14ac:dyDescent="0.2">
      <c r="A32" s="217"/>
      <c r="B32" s="217"/>
    </row>
    <row r="33" spans="1:2" x14ac:dyDescent="0.2">
      <c r="A33" s="217"/>
      <c r="B33" s="217"/>
    </row>
    <row r="34" spans="1:2" x14ac:dyDescent="0.2">
      <c r="A34" s="217"/>
      <c r="B34" s="217"/>
    </row>
    <row r="35" spans="1:2" x14ac:dyDescent="0.2">
      <c r="A35" s="217"/>
      <c r="B35" s="217"/>
    </row>
  </sheetData>
  <sortState ref="A4:B11">
    <sortCondition ref="A4"/>
  </sortState>
  <mergeCells count="2">
    <mergeCell ref="A1:B1"/>
    <mergeCell ref="A2:B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5" sqref="A5"/>
    </sheetView>
  </sheetViews>
  <sheetFormatPr defaultColWidth="9.140625" defaultRowHeight="12.75" x14ac:dyDescent="0.2"/>
  <cols>
    <col min="1" max="1" width="36" style="2" customWidth="1"/>
    <col min="2" max="2" width="26.140625" style="1" customWidth="1"/>
    <col min="3" max="3" width="6.42578125" style="39" bestFit="1" customWidth="1"/>
    <col min="4" max="4" width="7" style="39" bestFit="1" customWidth="1"/>
    <col min="5" max="5" width="21.7109375" style="4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0" customFormat="1" ht="29.25" customHeight="1" thickBot="1" x14ac:dyDescent="0.25">
      <c r="A1" s="259" t="str">
        <f>'Change Log'!A1:D1</f>
        <v>PSA BMPV - Rev 37</v>
      </c>
      <c r="B1" s="260"/>
      <c r="C1" s="260"/>
      <c r="D1" s="260"/>
      <c r="E1" s="260"/>
    </row>
    <row r="2" spans="1:79" ht="13.5" customHeight="1" thickBot="1" x14ac:dyDescent="0.25">
      <c r="A2" s="261" t="s">
        <v>14</v>
      </c>
      <c r="B2" s="262"/>
      <c r="C2" s="64"/>
      <c r="D2" s="64"/>
      <c r="E2" s="50" t="s">
        <v>84</v>
      </c>
      <c r="F2" s="263" t="s">
        <v>12</v>
      </c>
      <c r="G2" s="264"/>
      <c r="H2" s="264"/>
      <c r="I2" s="264"/>
      <c r="J2" s="264"/>
      <c r="K2" s="264"/>
      <c r="L2" s="264"/>
      <c r="M2" s="264"/>
      <c r="N2" s="264"/>
      <c r="O2" s="264"/>
      <c r="P2" s="264"/>
      <c r="Q2" s="264"/>
      <c r="R2" s="264"/>
      <c r="S2" s="264"/>
      <c r="T2" s="264"/>
      <c r="U2" s="264"/>
      <c r="V2" s="264"/>
      <c r="W2" s="264"/>
      <c r="X2" s="264"/>
      <c r="Y2" s="264"/>
      <c r="Z2" s="264"/>
      <c r="AA2" s="264"/>
      <c r="AB2" s="264"/>
      <c r="AC2" s="264"/>
      <c r="AD2" s="264"/>
      <c r="AE2" s="264"/>
      <c r="AF2" s="264"/>
      <c r="AG2" s="264"/>
      <c r="AH2" s="264"/>
      <c r="AI2" s="264"/>
      <c r="AJ2" s="264"/>
      <c r="AK2" s="264"/>
      <c r="AL2" s="264"/>
      <c r="AM2" s="264"/>
      <c r="AN2" s="264"/>
      <c r="AO2" s="264"/>
      <c r="AP2" s="264"/>
      <c r="AQ2" s="264"/>
      <c r="AR2" s="264"/>
      <c r="AS2" s="264"/>
      <c r="AT2" s="264"/>
      <c r="AU2" s="264"/>
      <c r="AV2" s="264"/>
      <c r="AW2" s="264"/>
      <c r="AX2" s="264"/>
      <c r="AY2" s="264"/>
      <c r="AZ2" s="264"/>
      <c r="BA2" s="264"/>
      <c r="BB2" s="264"/>
      <c r="BC2" s="264"/>
      <c r="BD2" s="264"/>
      <c r="BE2" s="264"/>
      <c r="BF2" s="264"/>
      <c r="BG2" s="264"/>
      <c r="BH2" s="264"/>
      <c r="BI2" s="264"/>
      <c r="BJ2" s="264"/>
      <c r="BK2" s="264"/>
      <c r="BL2" s="264"/>
      <c r="BM2" s="264"/>
      <c r="BN2" s="264"/>
      <c r="BO2" s="264"/>
      <c r="BP2" s="264"/>
      <c r="BQ2" s="264"/>
      <c r="BR2" s="264"/>
      <c r="BS2" s="264"/>
      <c r="BT2" s="264"/>
      <c r="BU2" s="264"/>
      <c r="BV2" s="264"/>
      <c r="BW2" s="264"/>
      <c r="BX2" s="264"/>
      <c r="BY2" s="264"/>
      <c r="BZ2" s="265"/>
      <c r="CA2" s="88"/>
    </row>
    <row r="3" spans="1:79" s="34" customFormat="1" ht="13.5" customHeight="1" thickBot="1" x14ac:dyDescent="0.25">
      <c r="A3" s="31"/>
      <c r="B3" s="32"/>
      <c r="C3" s="66"/>
      <c r="D3" s="66"/>
      <c r="E3" s="33"/>
      <c r="F3" s="266" t="s">
        <v>55</v>
      </c>
      <c r="G3" s="267"/>
      <c r="H3" s="267"/>
      <c r="I3" s="267"/>
      <c r="J3" s="267"/>
      <c r="K3" s="267"/>
      <c r="L3" s="267"/>
      <c r="M3" s="267"/>
      <c r="N3" s="267"/>
      <c r="O3" s="267"/>
      <c r="P3" s="267"/>
      <c r="Q3" s="267"/>
      <c r="R3" s="267"/>
      <c r="S3" s="267"/>
      <c r="T3" s="267"/>
      <c r="U3" s="267"/>
      <c r="V3" s="267"/>
      <c r="W3" s="267"/>
      <c r="X3" s="267"/>
      <c r="Y3" s="267"/>
      <c r="Z3" s="267"/>
      <c r="AA3" s="267"/>
      <c r="AB3" s="267"/>
      <c r="AC3" s="267"/>
      <c r="AD3" s="267"/>
      <c r="AE3" s="267"/>
      <c r="AF3" s="267"/>
      <c r="AG3" s="267"/>
      <c r="AH3" s="267"/>
      <c r="AI3" s="267"/>
      <c r="AJ3" s="267"/>
      <c r="AK3" s="267"/>
      <c r="AL3" s="268"/>
      <c r="AM3" s="269" t="s">
        <v>79</v>
      </c>
      <c r="AN3" s="270"/>
      <c r="AO3" s="270"/>
      <c r="AP3" s="270"/>
      <c r="AQ3" s="270"/>
      <c r="AR3" s="270"/>
      <c r="AS3" s="270"/>
      <c r="AT3" s="270"/>
      <c r="AU3" s="270"/>
      <c r="AV3" s="270"/>
      <c r="AW3" s="270"/>
      <c r="AX3" s="270"/>
      <c r="AY3" s="270"/>
      <c r="AZ3" s="270"/>
      <c r="BA3" s="270"/>
      <c r="BB3" s="270"/>
      <c r="BC3" s="270"/>
      <c r="BD3" s="270"/>
      <c r="BE3" s="270"/>
      <c r="BF3" s="270"/>
      <c r="BG3" s="271"/>
      <c r="BH3" s="272" t="s">
        <v>58</v>
      </c>
      <c r="BI3" s="273"/>
      <c r="BJ3" s="273"/>
      <c r="BK3" s="273"/>
      <c r="BL3" s="273"/>
      <c r="BM3" s="273"/>
      <c r="BN3" s="273"/>
      <c r="BO3" s="273"/>
      <c r="BP3" s="274"/>
      <c r="BQ3" s="275" t="s">
        <v>80</v>
      </c>
      <c r="BR3" s="276"/>
      <c r="BS3" s="276"/>
      <c r="BT3" s="276"/>
      <c r="BU3" s="276"/>
      <c r="BV3" s="276"/>
      <c r="BW3" s="276"/>
      <c r="BX3" s="276"/>
      <c r="BY3" s="276"/>
      <c r="BZ3" s="277"/>
      <c r="CA3" s="89"/>
    </row>
    <row r="4" spans="1:79" s="34" customFormat="1" ht="201.75" customHeight="1" thickBot="1" x14ac:dyDescent="0.25">
      <c r="A4" s="35" t="s">
        <v>86</v>
      </c>
      <c r="B4" s="36" t="s">
        <v>57</v>
      </c>
      <c r="C4" s="65" t="s">
        <v>104</v>
      </c>
      <c r="D4" s="65" t="s">
        <v>90</v>
      </c>
      <c r="E4" s="37" t="s">
        <v>129</v>
      </c>
      <c r="F4" s="90" t="s">
        <v>20</v>
      </c>
      <c r="G4" s="91" t="s">
        <v>21</v>
      </c>
      <c r="H4" s="91" t="s">
        <v>22</v>
      </c>
      <c r="I4" s="91" t="s">
        <v>95</v>
      </c>
      <c r="J4" s="91" t="s">
        <v>110</v>
      </c>
      <c r="K4" s="91" t="s">
        <v>111</v>
      </c>
      <c r="L4" s="91" t="s">
        <v>112</v>
      </c>
      <c r="M4" s="91" t="s">
        <v>113</v>
      </c>
      <c r="N4" s="91" t="s">
        <v>114</v>
      </c>
      <c r="O4" s="91" t="s">
        <v>115</v>
      </c>
      <c r="P4" s="91" t="s">
        <v>116</v>
      </c>
      <c r="Q4" s="91" t="s">
        <v>117</v>
      </c>
      <c r="R4" s="91" t="s">
        <v>23</v>
      </c>
      <c r="S4" s="91" t="s">
        <v>24</v>
      </c>
      <c r="T4" s="91" t="s">
        <v>25</v>
      </c>
      <c r="U4" s="91" t="s">
        <v>26</v>
      </c>
      <c r="V4" s="91" t="s">
        <v>27</v>
      </c>
      <c r="W4" s="91" t="s">
        <v>28</v>
      </c>
      <c r="X4" s="91" t="s">
        <v>29</v>
      </c>
      <c r="Y4" s="91" t="s">
        <v>10</v>
      </c>
      <c r="Z4" s="91" t="s">
        <v>30</v>
      </c>
      <c r="AA4" s="91" t="s">
        <v>31</v>
      </c>
      <c r="AB4" s="91" t="s">
        <v>32</v>
      </c>
      <c r="AC4" s="91" t="s">
        <v>33</v>
      </c>
      <c r="AD4" s="91" t="s">
        <v>34</v>
      </c>
      <c r="AE4" s="91" t="s">
        <v>35</v>
      </c>
      <c r="AF4" s="91" t="s">
        <v>36</v>
      </c>
      <c r="AG4" s="91" t="s">
        <v>37</v>
      </c>
      <c r="AH4" s="91" t="s">
        <v>38</v>
      </c>
      <c r="AI4" s="91" t="s">
        <v>39</v>
      </c>
      <c r="AJ4" s="91" t="s">
        <v>40</v>
      </c>
      <c r="AK4" s="91" t="s">
        <v>41</v>
      </c>
      <c r="AL4" s="91" t="s">
        <v>13</v>
      </c>
      <c r="AM4" s="91" t="s">
        <v>42</v>
      </c>
      <c r="AN4" s="91" t="s">
        <v>43</v>
      </c>
      <c r="AO4" s="91" t="s">
        <v>44</v>
      </c>
      <c r="AP4" s="91" t="s">
        <v>45</v>
      </c>
      <c r="AQ4" s="91" t="s">
        <v>46</v>
      </c>
      <c r="AR4" s="91" t="s">
        <v>72</v>
      </c>
      <c r="AS4" s="91" t="s">
        <v>73</v>
      </c>
      <c r="AT4" s="91" t="s">
        <v>74</v>
      </c>
      <c r="AU4" s="91" t="s">
        <v>75</v>
      </c>
      <c r="AV4" s="91" t="s">
        <v>76</v>
      </c>
      <c r="AW4" s="91" t="s">
        <v>77</v>
      </c>
      <c r="AX4" s="91" t="s">
        <v>87</v>
      </c>
      <c r="AY4" s="91" t="s">
        <v>11</v>
      </c>
      <c r="AZ4" s="91" t="s">
        <v>88</v>
      </c>
      <c r="BA4" s="91" t="s">
        <v>128</v>
      </c>
      <c r="BB4" s="91" t="s">
        <v>89</v>
      </c>
      <c r="BC4" s="91" t="s">
        <v>59</v>
      </c>
      <c r="BD4" s="91" t="s">
        <v>60</v>
      </c>
      <c r="BE4" s="91" t="s">
        <v>61</v>
      </c>
      <c r="BF4" s="91" t="s">
        <v>62</v>
      </c>
      <c r="BG4" s="91" t="s">
        <v>63</v>
      </c>
      <c r="BH4" s="91" t="s">
        <v>64</v>
      </c>
      <c r="BI4" s="91" t="s">
        <v>65</v>
      </c>
      <c r="BJ4" s="91" t="s">
        <v>66</v>
      </c>
      <c r="BK4" s="91" t="s">
        <v>67</v>
      </c>
      <c r="BL4" s="91" t="s">
        <v>68</v>
      </c>
      <c r="BM4" s="91" t="s">
        <v>69</v>
      </c>
      <c r="BN4" s="91" t="s">
        <v>70</v>
      </c>
      <c r="BO4" s="91" t="s">
        <v>71</v>
      </c>
      <c r="BP4" s="91" t="s">
        <v>96</v>
      </c>
      <c r="BQ4" s="91" t="s">
        <v>97</v>
      </c>
      <c r="BR4" s="91" t="s">
        <v>98</v>
      </c>
      <c r="BS4" s="91" t="s">
        <v>99</v>
      </c>
      <c r="BT4" s="91" t="s">
        <v>100</v>
      </c>
      <c r="BU4" s="91" t="s">
        <v>101</v>
      </c>
      <c r="BV4" s="91" t="s">
        <v>102</v>
      </c>
      <c r="BW4" s="91" t="s">
        <v>106</v>
      </c>
      <c r="BX4" s="91" t="s">
        <v>107</v>
      </c>
      <c r="BY4" s="91" t="s">
        <v>108</v>
      </c>
      <c r="BZ4" s="101" t="s">
        <v>109</v>
      </c>
    </row>
    <row r="5" spans="1:79" s="34" customFormat="1" x14ac:dyDescent="0.2">
      <c r="A5" s="175"/>
      <c r="B5" s="176"/>
      <c r="C5" s="177"/>
      <c r="D5" s="177"/>
      <c r="E5" s="178"/>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79"/>
      <c r="B6" s="176"/>
      <c r="C6" s="177"/>
      <c r="D6" s="177"/>
      <c r="E6" s="178"/>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
      <c r="A7" s="180"/>
      <c r="B7" s="176"/>
      <c r="C7" s="177"/>
      <c r="D7" s="177"/>
      <c r="E7" s="178"/>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
      <c r="A8" s="181"/>
      <c r="B8" s="176"/>
      <c r="C8" s="177"/>
      <c r="D8" s="177"/>
      <c r="E8" s="178"/>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
      <c r="A9" s="180"/>
      <c r="B9" s="176"/>
      <c r="C9" s="177"/>
      <c r="D9" s="177"/>
      <c r="E9" s="178"/>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
      <c r="A10" s="181"/>
      <c r="B10" s="176"/>
      <c r="C10" s="177"/>
      <c r="D10" s="177"/>
      <c r="E10" s="178"/>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
      <c r="A11" s="180"/>
      <c r="B11" s="176"/>
      <c r="C11" s="177"/>
      <c r="D11" s="177"/>
      <c r="E11" s="178"/>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
      <c r="A12" s="180"/>
      <c r="B12" s="176"/>
      <c r="C12" s="177"/>
      <c r="D12" s="177"/>
      <c r="E12" s="178"/>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
      <c r="A13" s="181"/>
      <c r="B13" s="176"/>
      <c r="C13" s="177"/>
      <c r="D13" s="177"/>
      <c r="E13" s="178"/>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
      <c r="A14" s="180"/>
      <c r="B14" s="176"/>
      <c r="C14" s="177"/>
      <c r="D14" s="177"/>
      <c r="E14" s="178"/>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
      <c r="A15" s="181"/>
      <c r="B15" s="176"/>
      <c r="C15" s="177"/>
      <c r="D15" s="177"/>
      <c r="E15" s="178"/>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
      <c r="A16" s="181"/>
      <c r="B16" s="176"/>
      <c r="C16" s="177"/>
      <c r="D16" s="177"/>
      <c r="E16" s="178"/>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
      <c r="A17" s="182"/>
      <c r="B17" s="176"/>
      <c r="C17" s="177"/>
      <c r="D17" s="177"/>
      <c r="E17" s="178"/>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
      <c r="A18" s="182"/>
      <c r="B18" s="176"/>
      <c r="C18" s="177"/>
      <c r="D18" s="177"/>
      <c r="E18" s="183"/>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
      <c r="A19" s="182"/>
      <c r="B19" s="176"/>
      <c r="C19" s="177"/>
      <c r="D19" s="177"/>
      <c r="E19" s="178"/>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
      <c r="A20" s="181"/>
      <c r="B20" s="176"/>
      <c r="C20" s="177"/>
      <c r="D20" s="177"/>
      <c r="E20" s="178"/>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
      <c r="A21" s="181"/>
      <c r="B21" s="176"/>
      <c r="C21" s="177"/>
      <c r="D21" s="177"/>
      <c r="E21" s="178"/>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
      <c r="A22" s="181"/>
      <c r="B22" s="176"/>
      <c r="C22" s="177"/>
      <c r="D22" s="177"/>
      <c r="E22" s="178"/>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
      <c r="A23" s="180"/>
      <c r="B23" s="176"/>
      <c r="C23" s="177"/>
      <c r="D23" s="177"/>
      <c r="E23" s="178"/>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
      <c r="A24" s="180"/>
      <c r="B24" s="176"/>
      <c r="C24" s="177"/>
      <c r="D24" s="177"/>
      <c r="E24" s="178"/>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
      <c r="A25" s="180"/>
      <c r="B25" s="176"/>
      <c r="C25" s="177"/>
      <c r="D25" s="177"/>
      <c r="E25" s="178"/>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
      <c r="A26" s="180"/>
      <c r="B26" s="176"/>
      <c r="C26" s="177"/>
      <c r="D26" s="177"/>
      <c r="E26" s="178"/>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
      <c r="A27" s="181"/>
      <c r="B27" s="176"/>
      <c r="C27" s="177"/>
      <c r="D27" s="177"/>
      <c r="E27" s="178"/>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
      <c r="A28" s="181"/>
      <c r="B28" s="176"/>
      <c r="C28" s="177"/>
      <c r="D28" s="177"/>
      <c r="E28" s="178"/>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
      <c r="A29" s="180"/>
      <c r="B29" s="176"/>
      <c r="C29" s="177"/>
      <c r="D29" s="177"/>
      <c r="E29" s="178"/>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
      <c r="A30" s="181"/>
      <c r="B30" s="176"/>
      <c r="C30" s="177"/>
      <c r="D30" s="177"/>
      <c r="E30" s="178"/>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
      <c r="A31" s="180"/>
      <c r="B31" s="184"/>
      <c r="C31" s="177"/>
      <c r="D31" s="177"/>
      <c r="E31" s="178"/>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
      <c r="A32" s="180"/>
      <c r="B32" s="184"/>
      <c r="C32" s="177"/>
      <c r="D32" s="177"/>
      <c r="E32" s="178"/>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
      <c r="A33" s="180"/>
      <c r="B33" s="176"/>
      <c r="C33" s="177"/>
      <c r="D33" s="177"/>
      <c r="E33" s="178"/>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
      <c r="A34" s="180"/>
      <c r="B34" s="176"/>
      <c r="C34" s="177"/>
      <c r="D34" s="177"/>
      <c r="E34" s="178"/>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
      <c r="A35" s="180"/>
      <c r="B35" s="176"/>
      <c r="C35" s="177"/>
      <c r="D35" s="177"/>
      <c r="E35" s="178"/>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
      <c r="A36" s="180"/>
      <c r="B36" s="176"/>
      <c r="C36" s="177"/>
      <c r="D36" s="177"/>
      <c r="E36" s="178"/>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
      <c r="A37" s="180"/>
      <c r="B37" s="176"/>
      <c r="C37" s="177"/>
      <c r="D37" s="177"/>
      <c r="E37" s="178"/>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
      <c r="A38" s="185"/>
      <c r="B38" s="176"/>
      <c r="C38" s="177"/>
      <c r="D38" s="177"/>
      <c r="E38" s="178"/>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
      <c r="A39" s="180"/>
      <c r="B39" s="176"/>
      <c r="C39" s="177"/>
      <c r="D39" s="177"/>
      <c r="E39" s="178"/>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
      <c r="A40" s="180"/>
      <c r="B40" s="176"/>
      <c r="C40" s="177"/>
      <c r="D40" s="177"/>
      <c r="E40" s="178"/>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
      <c r="A41" s="181"/>
      <c r="B41" s="176"/>
      <c r="C41" s="177"/>
      <c r="D41" s="177"/>
      <c r="E41" s="178"/>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
      <c r="A42" s="181"/>
      <c r="B42" s="176"/>
      <c r="C42" s="177"/>
      <c r="D42" s="177"/>
      <c r="E42" s="178"/>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
      <c r="A43" s="180"/>
      <c r="B43" s="176"/>
      <c r="C43" s="177"/>
      <c r="D43" s="177"/>
      <c r="E43" s="178"/>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
      <c r="A44" s="180"/>
      <c r="B44" s="176"/>
      <c r="C44" s="177"/>
      <c r="D44" s="177"/>
      <c r="E44" s="178"/>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
      <c r="A45" s="181"/>
      <c r="B45" s="176"/>
      <c r="C45" s="177"/>
      <c r="D45" s="177"/>
      <c r="E45" s="178"/>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
      <c r="A46" s="180"/>
      <c r="B46" s="176"/>
      <c r="C46" s="177"/>
      <c r="D46" s="177"/>
      <c r="E46" s="183"/>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
      <c r="A47" s="180"/>
      <c r="B47" s="176"/>
      <c r="C47" s="177"/>
      <c r="D47" s="177"/>
      <c r="E47" s="178"/>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
      <c r="A48" s="180"/>
      <c r="B48" s="176"/>
      <c r="C48" s="177"/>
      <c r="D48" s="177"/>
      <c r="E48" s="178"/>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
      <c r="A49" s="181"/>
      <c r="B49" s="176"/>
      <c r="C49" s="177"/>
      <c r="D49" s="177"/>
      <c r="E49" s="178"/>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
      <c r="A50" s="180"/>
      <c r="B50" s="176"/>
      <c r="C50" s="177"/>
      <c r="D50" s="177"/>
      <c r="E50" s="178"/>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
      <c r="A51" s="180"/>
      <c r="B51" s="176"/>
      <c r="C51" s="177"/>
      <c r="D51" s="177"/>
      <c r="E51" s="178"/>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
      <c r="A52" s="180"/>
      <c r="B52" s="176"/>
      <c r="C52" s="177"/>
      <c r="D52" s="177"/>
      <c r="E52" s="178"/>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
      <c r="A53" s="181"/>
      <c r="B53" s="176"/>
      <c r="C53" s="177"/>
      <c r="D53" s="177"/>
      <c r="E53" s="178"/>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
      <c r="A54" s="180"/>
      <c r="B54" s="176"/>
      <c r="C54" s="177"/>
      <c r="D54" s="177"/>
      <c r="E54" s="178"/>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
      <c r="A55" s="181"/>
      <c r="B55" s="176"/>
      <c r="C55" s="177"/>
      <c r="D55" s="177"/>
      <c r="E55" s="178"/>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
      <c r="A56" s="180"/>
      <c r="B56" s="176"/>
      <c r="C56" s="177"/>
      <c r="D56" s="177"/>
      <c r="E56" s="178"/>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
      <c r="A57" s="180"/>
      <c r="B57" s="176"/>
      <c r="C57" s="177"/>
      <c r="D57" s="177"/>
      <c r="E57" s="178"/>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
      <c r="A58" s="180"/>
      <c r="B58" s="176"/>
      <c r="C58" s="177"/>
      <c r="D58" s="177"/>
      <c r="E58" s="178"/>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
      <c r="A59" s="181"/>
      <c r="B59" s="176"/>
      <c r="C59" s="177"/>
      <c r="D59" s="177"/>
      <c r="E59" s="178"/>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
      <c r="A60" s="180"/>
      <c r="B60" s="176"/>
      <c r="C60" s="177"/>
      <c r="D60" s="177"/>
      <c r="E60" s="178"/>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
      <c r="A61" s="179"/>
      <c r="B61" s="176"/>
      <c r="C61" s="177"/>
      <c r="D61" s="177"/>
      <c r="E61" s="178"/>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
      <c r="A62" s="179"/>
      <c r="B62" s="176"/>
      <c r="C62" s="177"/>
      <c r="D62" s="177"/>
      <c r="E62" s="178"/>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
      <c r="A63" s="186"/>
      <c r="B63" s="176"/>
      <c r="C63" s="177"/>
      <c r="D63" s="177"/>
      <c r="E63" s="187"/>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
      <c r="A64" s="179"/>
      <c r="B64" s="176"/>
      <c r="C64" s="177"/>
      <c r="D64" s="177"/>
      <c r="E64" s="178"/>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
      <c r="A65" s="179"/>
      <c r="B65" s="176"/>
      <c r="C65" s="177"/>
      <c r="D65" s="177"/>
      <c r="E65" s="178"/>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
      <c r="A66" s="175"/>
      <c r="B66" s="176"/>
      <c r="C66" s="177"/>
      <c r="D66" s="177"/>
      <c r="E66" s="178"/>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
      <c r="A67" s="175"/>
      <c r="B67" s="176"/>
      <c r="C67" s="177"/>
      <c r="D67" s="177"/>
      <c r="E67" s="178"/>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
      <c r="A68" s="175"/>
      <c r="B68" s="176"/>
      <c r="C68" s="177"/>
      <c r="D68" s="177"/>
      <c r="E68" s="178"/>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
      <c r="A69" s="179"/>
      <c r="B69" s="176"/>
      <c r="C69" s="177"/>
      <c r="D69" s="177"/>
      <c r="E69" s="178"/>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
      <c r="A70" s="188"/>
      <c r="B70" s="176"/>
      <c r="C70" s="177"/>
      <c r="D70" s="177"/>
      <c r="E70" s="178"/>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
      <c r="A71" s="179"/>
      <c r="B71" s="176"/>
      <c r="C71" s="177"/>
      <c r="D71" s="177"/>
      <c r="E71" s="178"/>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
      <c r="A72" s="189"/>
      <c r="B72" s="176"/>
      <c r="C72" s="177"/>
      <c r="D72" s="177"/>
      <c r="E72" s="178"/>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
      <c r="A73" s="181"/>
      <c r="B73" s="176"/>
      <c r="C73" s="177"/>
      <c r="D73" s="177"/>
      <c r="E73" s="178"/>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
      <c r="A74" s="175"/>
      <c r="B74" s="176"/>
      <c r="C74" s="177"/>
      <c r="D74" s="177"/>
      <c r="E74" s="178"/>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
      <c r="A75" s="180"/>
      <c r="B75" s="176"/>
      <c r="C75" s="177"/>
      <c r="D75" s="177"/>
      <c r="E75" s="178"/>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
      <c r="A76" s="180"/>
      <c r="B76" s="176"/>
      <c r="C76" s="177"/>
      <c r="D76" s="177"/>
      <c r="E76" s="178"/>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
      <c r="A77" s="180"/>
      <c r="B77" s="176"/>
      <c r="C77" s="177"/>
      <c r="D77" s="177"/>
      <c r="E77" s="178"/>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
      <c r="A78" s="180"/>
      <c r="B78" s="176"/>
      <c r="C78" s="177"/>
      <c r="D78" s="177"/>
      <c r="E78" s="190"/>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
      <c r="A79" s="191"/>
      <c r="B79" s="176"/>
      <c r="C79" s="177"/>
      <c r="D79" s="177"/>
      <c r="E79" s="178"/>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
      <c r="A80" s="180"/>
      <c r="B80" s="176"/>
      <c r="C80" s="177"/>
      <c r="D80" s="177"/>
      <c r="E80" s="178"/>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
      <c r="A81" s="181"/>
      <c r="B81" s="176"/>
      <c r="C81" s="177"/>
      <c r="D81" s="177"/>
      <c r="E81" s="178"/>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
      <c r="A82" s="181"/>
      <c r="B82" s="176"/>
      <c r="C82" s="177"/>
      <c r="D82" s="177"/>
      <c r="E82" s="178"/>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
      <c r="A83" s="181"/>
      <c r="B83" s="176"/>
      <c r="C83" s="177"/>
      <c r="D83" s="177"/>
      <c r="E83" s="178"/>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
      <c r="A84" s="180"/>
      <c r="B84" s="176"/>
      <c r="C84" s="177"/>
      <c r="D84" s="177"/>
      <c r="E84" s="178"/>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
      <c r="A85" s="181"/>
      <c r="B85" s="176"/>
      <c r="C85" s="177"/>
      <c r="D85" s="177"/>
      <c r="E85" s="178"/>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
      <c r="A86" s="181"/>
      <c r="B86" s="176"/>
      <c r="C86" s="177"/>
      <c r="D86" s="177"/>
      <c r="E86" s="178"/>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
      <c r="A87" s="181"/>
      <c r="B87" s="176"/>
      <c r="C87" s="177"/>
      <c r="D87" s="177"/>
      <c r="E87" s="178"/>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
      <c r="A88" s="180"/>
      <c r="B88" s="176"/>
      <c r="C88" s="177"/>
      <c r="D88" s="177"/>
      <c r="E88" s="178"/>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
      <c r="A89" s="180"/>
      <c r="B89" s="176"/>
      <c r="C89" s="177"/>
      <c r="D89" s="177"/>
      <c r="E89" s="178"/>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
      <c r="A90" s="180"/>
      <c r="B90" s="176"/>
      <c r="C90" s="177"/>
      <c r="D90" s="177"/>
      <c r="E90" s="183"/>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
      <c r="A91" s="180"/>
      <c r="B91" s="176"/>
      <c r="C91" s="177"/>
      <c r="D91" s="177"/>
      <c r="E91" s="178"/>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
      <c r="A92" s="180"/>
      <c r="B92" s="176"/>
      <c r="C92" s="177"/>
      <c r="D92" s="177"/>
      <c r="E92" s="178"/>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
      <c r="A93" s="181"/>
      <c r="B93" s="176"/>
      <c r="C93" s="177"/>
      <c r="D93" s="177"/>
      <c r="E93" s="183"/>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
      <c r="A94" s="180"/>
      <c r="B94" s="176"/>
      <c r="C94" s="177"/>
      <c r="D94" s="177"/>
      <c r="E94" s="178"/>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
      <c r="A95" s="181"/>
      <c r="B95" s="176"/>
      <c r="C95" s="177"/>
      <c r="D95" s="177"/>
      <c r="E95" s="178"/>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
      <c r="A96" s="175"/>
      <c r="B96" s="176"/>
      <c r="C96" s="177"/>
      <c r="D96" s="177"/>
      <c r="E96" s="178"/>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
      <c r="A97" s="179"/>
      <c r="B97" s="176"/>
      <c r="C97" s="177"/>
      <c r="D97" s="177"/>
      <c r="E97" s="178"/>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
      <c r="A98" s="180"/>
      <c r="B98" s="176"/>
      <c r="C98" s="177"/>
      <c r="D98" s="177"/>
      <c r="E98" s="178"/>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
      <c r="A99" s="180"/>
      <c r="B99" s="176"/>
      <c r="C99" s="177"/>
      <c r="D99" s="177"/>
      <c r="E99" s="178"/>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
      <c r="A100" s="180"/>
      <c r="B100" s="176"/>
      <c r="C100" s="177"/>
      <c r="D100" s="177"/>
      <c r="E100" s="178"/>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
      <c r="A101" s="180"/>
      <c r="B101" s="176"/>
      <c r="C101" s="177"/>
      <c r="D101" s="177"/>
      <c r="E101" s="178"/>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
      <c r="A102" s="180"/>
      <c r="B102" s="176"/>
      <c r="C102" s="177"/>
      <c r="D102" s="177"/>
      <c r="E102" s="178"/>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
      <c r="A103" s="180"/>
      <c r="B103" s="176"/>
      <c r="C103" s="177"/>
      <c r="D103" s="177"/>
      <c r="E103" s="178"/>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
      <c r="A104" s="180"/>
      <c r="B104" s="176"/>
      <c r="C104" s="177"/>
      <c r="D104" s="177"/>
      <c r="E104" s="192"/>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
      <c r="A105" s="181"/>
      <c r="B105" s="176"/>
      <c r="C105" s="177"/>
      <c r="D105" s="177"/>
      <c r="E105" s="178"/>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
      <c r="A106" s="193"/>
      <c r="B106" s="176"/>
      <c r="C106" s="177"/>
      <c r="D106" s="177"/>
      <c r="E106" s="178"/>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
      <c r="A107" s="194"/>
      <c r="B107" s="176"/>
      <c r="C107" s="177"/>
      <c r="D107" s="177"/>
      <c r="E107" s="178"/>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
      <c r="A108" s="194"/>
      <c r="B108" s="176"/>
      <c r="C108" s="177"/>
      <c r="D108" s="177"/>
      <c r="E108" s="178"/>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
      <c r="A109" s="194"/>
      <c r="B109" s="176"/>
      <c r="C109" s="177"/>
      <c r="D109" s="177"/>
      <c r="E109" s="178"/>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
      <c r="A110" s="180"/>
      <c r="B110" s="176"/>
      <c r="C110" s="177"/>
      <c r="D110" s="177"/>
      <c r="E110" s="178"/>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
      <c r="A111" s="180"/>
      <c r="B111" s="176"/>
      <c r="C111" s="177"/>
      <c r="D111" s="177"/>
      <c r="E111" s="178"/>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
      <c r="A112" s="181"/>
      <c r="B112" s="176"/>
      <c r="C112" s="177"/>
      <c r="D112" s="177"/>
      <c r="E112" s="178"/>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
      <c r="A113" s="181"/>
      <c r="B113" s="176"/>
      <c r="C113" s="177"/>
      <c r="D113" s="177"/>
      <c r="E113" s="178"/>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
      <c r="A114" s="181"/>
      <c r="B114" s="176"/>
      <c r="C114" s="177"/>
      <c r="D114" s="177"/>
      <c r="E114" s="178"/>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
      <c r="A115" s="181"/>
      <c r="B115" s="176"/>
      <c r="C115" s="177"/>
      <c r="D115" s="177"/>
      <c r="E115" s="178"/>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
      <c r="A116" s="181"/>
      <c r="B116" s="176"/>
      <c r="C116" s="177"/>
      <c r="D116" s="177"/>
      <c r="E116" s="178"/>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
      <c r="A117" s="181"/>
      <c r="B117" s="176"/>
      <c r="C117" s="177"/>
      <c r="D117" s="177"/>
      <c r="E117" s="178"/>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
      <c r="A118" s="181"/>
      <c r="B118" s="176"/>
      <c r="C118" s="177"/>
      <c r="D118" s="177"/>
      <c r="E118" s="178"/>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
      <c r="A119" s="181"/>
      <c r="B119" s="176"/>
      <c r="C119" s="177"/>
      <c r="D119" s="177"/>
      <c r="E119" s="178"/>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
      <c r="A120" s="181"/>
      <c r="B120" s="176"/>
      <c r="C120" s="177"/>
      <c r="D120" s="177"/>
      <c r="E120" s="178"/>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
      <c r="A121" s="181"/>
      <c r="B121" s="176"/>
      <c r="C121" s="177"/>
      <c r="D121" s="177"/>
      <c r="E121" s="178"/>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
      <c r="A122" s="181"/>
      <c r="B122" s="176"/>
      <c r="C122" s="177"/>
      <c r="D122" s="177"/>
      <c r="E122" s="178"/>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
      <c r="A123" s="180"/>
      <c r="B123" s="176"/>
      <c r="C123" s="177"/>
      <c r="D123" s="177"/>
      <c r="E123" s="178"/>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
      <c r="A124" s="180"/>
      <c r="B124" s="176"/>
      <c r="C124" s="177"/>
      <c r="D124" s="177"/>
      <c r="E124" s="178"/>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
      <c r="A125" s="180"/>
      <c r="B125" s="176"/>
      <c r="C125" s="177"/>
      <c r="D125" s="177"/>
      <c r="E125" s="178"/>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
      <c r="A126" s="195"/>
      <c r="B126" s="176"/>
      <c r="C126" s="177"/>
      <c r="D126" s="177"/>
      <c r="E126" s="178"/>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
      <c r="A127" s="180"/>
      <c r="B127" s="184"/>
      <c r="C127" s="196"/>
      <c r="D127" s="177"/>
      <c r="E127" s="178"/>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
      <c r="A128" s="180"/>
      <c r="B128" s="176"/>
      <c r="C128" s="177"/>
      <c r="D128" s="177"/>
      <c r="E128" s="178"/>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
      <c r="A129" s="180"/>
      <c r="B129" s="184"/>
      <c r="C129" s="196"/>
      <c r="D129" s="177"/>
      <c r="E129" s="178"/>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
      <c r="A130" s="181"/>
      <c r="B130" s="176"/>
      <c r="C130" s="177"/>
      <c r="D130" s="177"/>
      <c r="E130" s="178"/>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
      <c r="A131" s="180"/>
      <c r="B131" s="184"/>
      <c r="C131" s="196"/>
      <c r="D131" s="177"/>
      <c r="E131" s="178"/>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
      <c r="A132" s="181"/>
      <c r="B132" s="184"/>
      <c r="C132" s="196"/>
      <c r="D132" s="177"/>
      <c r="E132" s="178"/>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
      <c r="A133" s="181"/>
      <c r="B133" s="176"/>
      <c r="C133" s="177"/>
      <c r="D133" s="177"/>
      <c r="E133" s="178"/>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
      <c r="A134" s="181"/>
      <c r="B134" s="176"/>
      <c r="C134" s="177"/>
      <c r="D134" s="177"/>
      <c r="E134" s="178"/>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
      <c r="A135" s="180"/>
      <c r="B135" s="176"/>
      <c r="C135" s="177"/>
      <c r="D135" s="177"/>
      <c r="E135" s="178"/>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
      <c r="A136" s="180"/>
      <c r="B136" s="176"/>
      <c r="C136" s="177"/>
      <c r="D136" s="177"/>
      <c r="E136" s="178"/>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
      <c r="A137" s="180"/>
      <c r="B137" s="176"/>
      <c r="C137" s="177"/>
      <c r="D137" s="177"/>
      <c r="E137" s="178"/>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
      <c r="A138" s="180"/>
      <c r="B138" s="176"/>
      <c r="C138" s="177"/>
      <c r="D138" s="177"/>
      <c r="E138" s="178"/>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
      <c r="A139" s="180"/>
      <c r="B139" s="176"/>
      <c r="C139" s="177"/>
      <c r="D139" s="177"/>
      <c r="E139" s="178"/>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
      <c r="A140" s="180"/>
      <c r="B140" s="176"/>
      <c r="C140" s="177"/>
      <c r="D140" s="177"/>
      <c r="E140" s="178"/>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
      <c r="A141" s="180"/>
      <c r="B141" s="176"/>
      <c r="C141" s="177"/>
      <c r="D141" s="177"/>
      <c r="E141" s="178"/>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
      <c r="A142" s="180"/>
      <c r="B142" s="176"/>
      <c r="C142" s="177"/>
      <c r="D142" s="177"/>
      <c r="E142" s="178"/>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
      <c r="A143" s="180"/>
      <c r="B143" s="176"/>
      <c r="C143" s="177"/>
      <c r="D143" s="177"/>
      <c r="E143" s="178"/>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
      <c r="A144" s="180"/>
      <c r="B144" s="176"/>
      <c r="C144" s="177"/>
      <c r="D144" s="177"/>
      <c r="E144" s="178"/>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
      <c r="A145" s="180"/>
      <c r="B145" s="176"/>
      <c r="C145" s="177"/>
      <c r="D145" s="177"/>
      <c r="E145" s="178"/>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
      <c r="A146" s="180"/>
      <c r="B146" s="176"/>
      <c r="C146" s="177"/>
      <c r="D146" s="177"/>
      <c r="E146" s="178"/>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
      <c r="A147" s="180"/>
      <c r="B147" s="176"/>
      <c r="C147" s="177"/>
      <c r="D147" s="177"/>
      <c r="E147" s="178"/>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
      <c r="A148" s="180"/>
      <c r="B148" s="176"/>
      <c r="C148" s="177"/>
      <c r="D148" s="177"/>
      <c r="E148" s="178"/>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
      <c r="A149" s="180"/>
      <c r="B149" s="176"/>
      <c r="C149" s="177"/>
      <c r="D149" s="177"/>
      <c r="E149" s="178"/>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
      <c r="A150" s="180"/>
      <c r="B150" s="176"/>
      <c r="C150" s="177"/>
      <c r="D150" s="177"/>
      <c r="E150" s="178"/>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
      <c r="A151" s="180"/>
      <c r="B151" s="176"/>
      <c r="C151" s="177"/>
      <c r="D151" s="177"/>
      <c r="E151" s="178"/>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
      <c r="A152" s="180"/>
      <c r="B152" s="176"/>
      <c r="C152" s="177"/>
      <c r="D152" s="177"/>
      <c r="E152" s="178"/>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
      <c r="A153" s="180"/>
      <c r="B153" s="176"/>
      <c r="C153" s="177"/>
      <c r="D153" s="177"/>
      <c r="E153" s="178"/>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
      <c r="A154" s="180"/>
      <c r="B154" s="176"/>
      <c r="C154" s="177"/>
      <c r="D154" s="177"/>
      <c r="E154" s="178"/>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
      <c r="A155" s="180"/>
      <c r="B155" s="176"/>
      <c r="C155" s="177"/>
      <c r="D155" s="177"/>
      <c r="E155" s="178"/>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
      <c r="A156" s="180"/>
      <c r="B156" s="176"/>
      <c r="C156" s="177"/>
      <c r="D156" s="177"/>
      <c r="E156" s="178"/>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
      <c r="A157" s="180"/>
      <c r="B157" s="176"/>
      <c r="C157" s="177"/>
      <c r="D157" s="177"/>
      <c r="E157" s="178"/>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
      <c r="A158" s="180"/>
      <c r="B158" s="176"/>
      <c r="C158" s="177"/>
      <c r="D158" s="177"/>
      <c r="E158" s="178"/>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
      <c r="A159" s="180"/>
      <c r="B159" s="176"/>
      <c r="C159" s="177"/>
      <c r="D159" s="177"/>
      <c r="E159" s="178"/>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
      <c r="A160" s="180"/>
      <c r="B160" s="176"/>
      <c r="C160" s="177"/>
      <c r="D160" s="177"/>
      <c r="E160" s="178"/>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
      <c r="A161" s="180"/>
      <c r="B161" s="176"/>
      <c r="C161" s="177"/>
      <c r="D161" s="177"/>
      <c r="E161" s="178"/>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
      <c r="A162" s="180"/>
      <c r="B162" s="176"/>
      <c r="C162" s="177"/>
      <c r="D162" s="177"/>
      <c r="E162" s="178"/>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
      <c r="A163" s="180"/>
      <c r="B163" s="176"/>
      <c r="C163" s="177"/>
      <c r="D163" s="177"/>
      <c r="E163" s="178"/>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
      <c r="A164" s="180"/>
      <c r="B164" s="176"/>
      <c r="C164" s="177"/>
      <c r="D164" s="177"/>
      <c r="E164" s="178"/>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
      <c r="A165" s="180"/>
      <c r="B165" s="176"/>
      <c r="C165" s="177"/>
      <c r="D165" s="177"/>
      <c r="E165" s="178"/>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
      <c r="A166" s="180"/>
      <c r="B166" s="176"/>
      <c r="C166" s="177"/>
      <c r="D166" s="177"/>
      <c r="E166" s="178"/>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
      <c r="A167" s="180"/>
      <c r="B167" s="176"/>
      <c r="C167" s="177"/>
      <c r="D167" s="177"/>
      <c r="E167" s="178"/>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
      <c r="A168" s="180"/>
      <c r="B168" s="176"/>
      <c r="C168" s="177"/>
      <c r="D168" s="177"/>
      <c r="E168" s="178"/>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
      <c r="A169" s="180"/>
      <c r="B169" s="176"/>
      <c r="C169" s="177"/>
      <c r="D169" s="177"/>
      <c r="E169" s="178"/>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
      <c r="A170" s="180"/>
      <c r="B170" s="176"/>
      <c r="C170" s="177"/>
      <c r="D170" s="177"/>
      <c r="E170" s="178"/>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
      <c r="A171" s="180"/>
      <c r="B171" s="176"/>
      <c r="C171" s="177"/>
      <c r="D171" s="177"/>
      <c r="E171" s="178"/>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
      <c r="A172" s="180"/>
      <c r="B172" s="176"/>
      <c r="C172" s="177"/>
      <c r="D172" s="177"/>
      <c r="E172" s="178"/>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
      <c r="A173" s="180"/>
      <c r="B173" s="176"/>
      <c r="C173" s="177"/>
      <c r="D173" s="177"/>
      <c r="E173" s="178"/>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
      <c r="A174" s="180"/>
      <c r="B174" s="176"/>
      <c r="C174" s="177"/>
      <c r="D174" s="177"/>
      <c r="E174" s="178"/>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
      <c r="A175" s="180"/>
      <c r="B175" s="176"/>
      <c r="C175" s="177"/>
      <c r="D175" s="177"/>
      <c r="E175" s="178"/>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
      <c r="A176" s="180"/>
      <c r="B176" s="176"/>
      <c r="C176" s="177"/>
      <c r="D176" s="177"/>
      <c r="E176" s="178"/>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
      <c r="A177" s="180"/>
      <c r="B177" s="176"/>
      <c r="C177" s="177"/>
      <c r="D177" s="177"/>
      <c r="E177" s="178"/>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
      <c r="A178" s="180"/>
      <c r="B178" s="176"/>
      <c r="C178" s="177"/>
      <c r="D178" s="177"/>
      <c r="E178" s="178"/>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
      <c r="A179" s="180"/>
      <c r="B179" s="176"/>
      <c r="C179" s="177"/>
      <c r="D179" s="177"/>
      <c r="E179" s="178"/>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
      <c r="A180" s="180"/>
      <c r="B180" s="176"/>
      <c r="C180" s="177"/>
      <c r="D180" s="177"/>
      <c r="E180" s="178"/>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
      <c r="A181" s="180"/>
      <c r="B181" s="176"/>
      <c r="C181" s="177"/>
      <c r="D181" s="177"/>
      <c r="E181" s="178"/>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
      <c r="A182" s="180"/>
      <c r="B182" s="176"/>
      <c r="C182" s="177"/>
      <c r="D182" s="177"/>
      <c r="E182" s="178"/>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
      <c r="A183" s="180"/>
      <c r="B183" s="176"/>
      <c r="C183" s="177"/>
      <c r="D183" s="177"/>
      <c r="E183" s="178"/>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
      <c r="A184" s="180"/>
      <c r="B184" s="176"/>
      <c r="C184" s="177"/>
      <c r="D184" s="177"/>
      <c r="E184" s="178"/>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
      <c r="A185" s="181"/>
      <c r="B185" s="176"/>
      <c r="C185" s="177"/>
      <c r="D185" s="177"/>
      <c r="E185" s="178"/>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
      <c r="A186" s="180"/>
      <c r="B186" s="176"/>
      <c r="C186" s="177"/>
      <c r="D186" s="177"/>
      <c r="E186" s="178"/>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
      <c r="A187" s="180"/>
      <c r="B187" s="176"/>
      <c r="C187" s="177"/>
      <c r="D187" s="177"/>
      <c r="E187" s="178"/>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
      <c r="A188" s="180"/>
      <c r="B188" s="176"/>
      <c r="C188" s="177"/>
      <c r="D188" s="177"/>
      <c r="E188" s="178"/>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
      <c r="A189" s="180"/>
      <c r="B189" s="176"/>
      <c r="C189" s="177"/>
      <c r="D189" s="177"/>
      <c r="E189" s="178"/>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
      <c r="A190" s="180"/>
      <c r="B190" s="176"/>
      <c r="C190" s="177"/>
      <c r="D190" s="177"/>
      <c r="E190" s="178"/>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
      <c r="A191" s="180"/>
      <c r="B191" s="176"/>
      <c r="C191" s="177"/>
      <c r="D191" s="177"/>
      <c r="E191" s="178"/>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
      <c r="A192" s="180"/>
      <c r="B192" s="176"/>
      <c r="C192" s="177"/>
      <c r="D192" s="177"/>
      <c r="E192" s="178"/>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5" thickBot="1" x14ac:dyDescent="0.25">
      <c r="A193" s="180"/>
      <c r="B193" s="176"/>
      <c r="C193" s="177"/>
      <c r="D193" s="177"/>
      <c r="E193" s="178"/>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xr:uid="{00000000-0009-0000-0000-000004000000}"/>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11" bestFit="1" customWidth="1"/>
    <col min="2" max="2" width="20.42578125" style="111" customWidth="1"/>
    <col min="3" max="3" width="17" style="112" bestFit="1" customWidth="1"/>
    <col min="4" max="4" width="18.85546875" style="113" customWidth="1"/>
    <col min="5" max="5" width="19.7109375" style="113" customWidth="1"/>
    <col min="6" max="6" width="17.140625" style="114" customWidth="1"/>
    <col min="7" max="7" width="18.5703125" style="115" customWidth="1"/>
    <col min="8" max="8" width="14.85546875" style="114" bestFit="1" customWidth="1"/>
    <col min="9" max="9" width="15.7109375" style="114" bestFit="1" customWidth="1"/>
    <col min="10" max="10" width="22.28515625" style="114" customWidth="1"/>
    <col min="11" max="16384" width="9.140625" style="105"/>
  </cols>
  <sheetData>
    <row r="1" spans="1:10" ht="29.25" customHeight="1" thickBot="1" x14ac:dyDescent="0.25">
      <c r="A1" s="278" t="str">
        <f>'Change Log'!A1:D1</f>
        <v>PSA BMPV - Rev 37</v>
      </c>
      <c r="B1" s="249"/>
      <c r="C1" s="249"/>
      <c r="D1" s="249"/>
      <c r="E1" s="249"/>
      <c r="F1" s="249"/>
      <c r="G1" s="249"/>
      <c r="H1" s="249"/>
      <c r="I1" s="249"/>
      <c r="J1" s="249"/>
    </row>
    <row r="2" spans="1:10" ht="13.5" thickBot="1" x14ac:dyDescent="0.25">
      <c r="A2" s="258" t="s">
        <v>91</v>
      </c>
      <c r="B2" s="251"/>
      <c r="C2" s="279"/>
      <c r="D2" s="279"/>
      <c r="E2" s="106"/>
      <c r="F2" s="255" t="s">
        <v>84</v>
      </c>
      <c r="G2" s="280"/>
      <c r="H2" s="280"/>
      <c r="I2" s="280"/>
      <c r="J2" s="281"/>
    </row>
    <row r="3" spans="1:10" ht="22.5" customHeight="1" thickBot="1" x14ac:dyDescent="0.25">
      <c r="A3" s="117"/>
      <c r="B3" s="117"/>
      <c r="C3" s="118"/>
      <c r="D3" s="119"/>
      <c r="E3" s="119"/>
      <c r="F3" s="120"/>
      <c r="G3" s="282" t="s">
        <v>83</v>
      </c>
      <c r="H3" s="283"/>
      <c r="I3" s="121"/>
      <c r="J3" s="120"/>
    </row>
    <row r="4" spans="1:10" ht="101.25" customHeight="1" thickBot="1" x14ac:dyDescent="0.25">
      <c r="A4" s="119" t="s">
        <v>56</v>
      </c>
      <c r="B4" s="119" t="s">
        <v>132</v>
      </c>
      <c r="C4" s="119" t="s">
        <v>57</v>
      </c>
      <c r="D4" s="119" t="s">
        <v>143</v>
      </c>
      <c r="E4" s="119" t="s">
        <v>144</v>
      </c>
      <c r="F4" s="119" t="s">
        <v>93</v>
      </c>
      <c r="G4" s="119" t="s">
        <v>53</v>
      </c>
      <c r="H4" s="122" t="s">
        <v>54</v>
      </c>
      <c r="I4" s="119" t="s">
        <v>52</v>
      </c>
      <c r="J4" s="119" t="s">
        <v>90</v>
      </c>
    </row>
    <row r="5" spans="1:10" ht="12.75" customHeight="1" x14ac:dyDescent="0.2">
      <c r="A5" s="123"/>
      <c r="B5" s="123"/>
      <c r="C5" s="124"/>
      <c r="D5" s="125"/>
      <c r="E5" s="125"/>
      <c r="F5" s="125"/>
      <c r="G5" s="123"/>
      <c r="H5" s="123"/>
      <c r="I5" s="125"/>
      <c r="J5" s="125"/>
    </row>
    <row r="6" spans="1:10" x14ac:dyDescent="0.2">
      <c r="A6" s="124"/>
      <c r="B6" s="124"/>
      <c r="C6" s="124"/>
      <c r="D6" s="126"/>
      <c r="E6" s="126"/>
      <c r="F6" s="126"/>
      <c r="G6" s="124"/>
      <c r="H6" s="124"/>
      <c r="I6" s="126"/>
      <c r="J6" s="126"/>
    </row>
    <row r="7" spans="1:10" x14ac:dyDescent="0.2">
      <c r="A7" s="124"/>
      <c r="B7" s="124"/>
      <c r="C7" s="124"/>
      <c r="D7" s="126"/>
      <c r="E7" s="126"/>
      <c r="F7" s="125"/>
      <c r="G7" s="124"/>
      <c r="H7" s="124"/>
      <c r="I7" s="126"/>
      <c r="J7" s="126"/>
    </row>
    <row r="8" spans="1:10" x14ac:dyDescent="0.2">
      <c r="A8" s="124"/>
      <c r="B8" s="124"/>
      <c r="C8" s="124"/>
      <c r="D8" s="126"/>
      <c r="E8" s="126"/>
      <c r="F8" s="125"/>
      <c r="G8" s="124"/>
      <c r="H8" s="124"/>
      <c r="I8" s="126"/>
      <c r="J8" s="126"/>
    </row>
    <row r="9" spans="1:10" x14ac:dyDescent="0.2">
      <c r="A9" s="124"/>
      <c r="B9" s="124"/>
      <c r="C9" s="124"/>
      <c r="D9" s="126"/>
      <c r="E9" s="126"/>
      <c r="F9" s="126"/>
      <c r="G9" s="124"/>
      <c r="H9" s="124"/>
      <c r="I9" s="126"/>
      <c r="J9" s="126"/>
    </row>
    <row r="10" spans="1:10" x14ac:dyDescent="0.2">
      <c r="A10" s="124"/>
      <c r="B10" s="124"/>
      <c r="C10" s="124"/>
      <c r="D10" s="126"/>
      <c r="E10" s="126"/>
      <c r="F10" s="125"/>
      <c r="G10" s="124"/>
      <c r="H10" s="124"/>
      <c r="I10" s="126"/>
      <c r="J10" s="126"/>
    </row>
    <row r="11" spans="1:10" ht="12.75" customHeight="1" x14ac:dyDescent="0.2">
      <c r="A11" s="123"/>
      <c r="B11" s="123"/>
      <c r="C11" s="124"/>
      <c r="D11" s="126"/>
      <c r="E11" s="125"/>
      <c r="F11" s="125"/>
      <c r="G11" s="123"/>
      <c r="H11" s="123"/>
      <c r="I11" s="125"/>
      <c r="J11" s="125"/>
    </row>
    <row r="12" spans="1:10" ht="12.75" customHeight="1" x14ac:dyDescent="0.2">
      <c r="A12" s="124"/>
      <c r="B12" s="124"/>
      <c r="C12" s="124"/>
      <c r="D12" s="126"/>
      <c r="E12" s="126"/>
      <c r="F12" s="126"/>
      <c r="G12" s="124"/>
      <c r="H12" s="124"/>
      <c r="I12" s="126"/>
      <c r="J12" s="126"/>
    </row>
    <row r="13" spans="1:10" ht="12.75" customHeight="1" x14ac:dyDescent="0.2">
      <c r="A13" s="124"/>
      <c r="B13" s="124"/>
      <c r="C13" s="124"/>
      <c r="D13" s="126"/>
      <c r="E13" s="126"/>
      <c r="F13" s="125"/>
      <c r="G13" s="124"/>
      <c r="H13" s="124"/>
      <c r="I13" s="126"/>
      <c r="J13" s="126"/>
    </row>
    <row r="14" spans="1:10" x14ac:dyDescent="0.2">
      <c r="A14" s="124"/>
      <c r="B14" s="124"/>
      <c r="C14" s="124"/>
      <c r="D14" s="126"/>
      <c r="E14" s="126"/>
      <c r="F14" s="125"/>
      <c r="G14" s="124"/>
      <c r="H14" s="124"/>
      <c r="I14" s="126"/>
      <c r="J14" s="126"/>
    </row>
    <row r="15" spans="1:10" x14ac:dyDescent="0.2">
      <c r="A15" s="124"/>
      <c r="B15" s="124"/>
      <c r="C15" s="124"/>
      <c r="D15" s="126"/>
      <c r="E15" s="126"/>
      <c r="F15" s="126"/>
      <c r="G15" s="124"/>
      <c r="H15" s="124"/>
      <c r="I15" s="126"/>
      <c r="J15" s="126"/>
    </row>
    <row r="16" spans="1:10" x14ac:dyDescent="0.2">
      <c r="A16" s="124"/>
      <c r="B16" s="124"/>
      <c r="C16" s="124"/>
      <c r="D16" s="126"/>
      <c r="E16" s="126"/>
      <c r="F16" s="125"/>
      <c r="G16" s="124"/>
      <c r="H16" s="124"/>
      <c r="I16" s="126"/>
      <c r="J16" s="126"/>
    </row>
    <row r="17" spans="1:10" ht="12.75" customHeight="1" x14ac:dyDescent="0.2">
      <c r="A17" s="124"/>
      <c r="B17" s="124"/>
      <c r="C17" s="124"/>
      <c r="D17" s="126"/>
      <c r="E17" s="126"/>
      <c r="F17" s="125"/>
      <c r="G17" s="124"/>
      <c r="H17" s="124"/>
      <c r="I17" s="126"/>
      <c r="J17" s="126"/>
    </row>
    <row r="18" spans="1:10" ht="12.75" customHeight="1" x14ac:dyDescent="0.2">
      <c r="A18" s="124"/>
      <c r="B18" s="124"/>
      <c r="C18" s="124"/>
      <c r="D18" s="126"/>
      <c r="E18" s="126"/>
      <c r="F18" s="126"/>
      <c r="G18" s="124"/>
      <c r="H18" s="124"/>
      <c r="I18" s="126"/>
      <c r="J18" s="126"/>
    </row>
    <row r="19" spans="1:10" x14ac:dyDescent="0.2">
      <c r="A19" s="124"/>
      <c r="B19" s="124"/>
      <c r="C19" s="124"/>
      <c r="D19" s="126"/>
      <c r="E19" s="126"/>
      <c r="F19" s="125"/>
      <c r="G19" s="124"/>
      <c r="H19" s="124"/>
      <c r="I19" s="126"/>
      <c r="J19" s="126"/>
    </row>
    <row r="20" spans="1:10" x14ac:dyDescent="0.2">
      <c r="A20" s="124"/>
      <c r="B20" s="124"/>
      <c r="C20" s="124"/>
      <c r="D20" s="126"/>
      <c r="E20" s="126"/>
      <c r="F20" s="125"/>
      <c r="G20" s="124"/>
      <c r="H20" s="124"/>
      <c r="I20" s="126"/>
      <c r="J20" s="126"/>
    </row>
    <row r="21" spans="1:10" x14ac:dyDescent="0.2">
      <c r="A21" s="124"/>
      <c r="B21" s="124"/>
      <c r="C21" s="124"/>
      <c r="D21" s="126"/>
      <c r="E21" s="126"/>
      <c r="F21" s="126"/>
      <c r="G21" s="124"/>
      <c r="H21" s="124"/>
      <c r="I21" s="126"/>
      <c r="J21" s="126"/>
    </row>
    <row r="22" spans="1:10" ht="12.75" customHeight="1" x14ac:dyDescent="0.2">
      <c r="A22" s="124"/>
      <c r="B22" s="124"/>
      <c r="C22" s="124"/>
      <c r="D22" s="126"/>
      <c r="E22" s="126"/>
      <c r="F22" s="125"/>
      <c r="G22" s="124"/>
      <c r="H22" s="124"/>
      <c r="I22" s="126"/>
      <c r="J22" s="126"/>
    </row>
    <row r="23" spans="1:10" ht="12.75" customHeight="1" x14ac:dyDescent="0.2">
      <c r="A23" s="124"/>
      <c r="B23" s="124"/>
      <c r="C23" s="124"/>
      <c r="D23" s="126"/>
      <c r="E23" s="126"/>
      <c r="F23" s="125"/>
      <c r="G23" s="124"/>
      <c r="H23" s="124"/>
      <c r="I23" s="126"/>
      <c r="J23" s="126"/>
    </row>
    <row r="24" spans="1:10" x14ac:dyDescent="0.2">
      <c r="A24" s="124"/>
      <c r="B24" s="124"/>
      <c r="C24" s="124"/>
      <c r="D24" s="126"/>
      <c r="E24" s="126"/>
      <c r="F24" s="126"/>
      <c r="G24" s="124"/>
      <c r="H24" s="124"/>
      <c r="I24" s="126"/>
      <c r="J24" s="126"/>
    </row>
    <row r="25" spans="1:10" ht="12.75" customHeight="1" x14ac:dyDescent="0.2">
      <c r="A25" s="124"/>
      <c r="B25" s="124"/>
      <c r="C25" s="124"/>
      <c r="D25" s="126"/>
      <c r="E25" s="126"/>
      <c r="F25" s="125"/>
      <c r="G25" s="124"/>
      <c r="H25" s="124"/>
      <c r="I25" s="126"/>
      <c r="J25" s="126"/>
    </row>
    <row r="26" spans="1:10" ht="12.75" customHeight="1" x14ac:dyDescent="0.2">
      <c r="A26" s="124"/>
      <c r="B26" s="124"/>
      <c r="C26" s="124"/>
      <c r="D26" s="126"/>
      <c r="E26" s="126"/>
      <c r="F26" s="125"/>
      <c r="G26" s="124"/>
      <c r="H26" s="124"/>
      <c r="I26" s="126"/>
      <c r="J26" s="126"/>
    </row>
    <row r="27" spans="1:10" x14ac:dyDescent="0.2">
      <c r="A27" s="124"/>
      <c r="B27" s="124"/>
      <c r="C27" s="124"/>
      <c r="D27" s="126"/>
      <c r="E27" s="126"/>
      <c r="F27" s="126"/>
      <c r="G27" s="124"/>
      <c r="H27" s="124"/>
      <c r="I27" s="126"/>
      <c r="J27" s="126"/>
    </row>
    <row r="28" spans="1:10" x14ac:dyDescent="0.2">
      <c r="A28" s="124"/>
      <c r="B28" s="124"/>
      <c r="C28" s="124"/>
      <c r="D28" s="126"/>
      <c r="E28" s="126"/>
      <c r="F28" s="125"/>
      <c r="G28" s="124"/>
      <c r="H28" s="124"/>
      <c r="I28" s="126"/>
      <c r="J28" s="126"/>
    </row>
    <row r="29" spans="1:10" x14ac:dyDescent="0.2">
      <c r="A29" s="124"/>
      <c r="B29" s="124"/>
      <c r="C29" s="124"/>
      <c r="D29" s="126"/>
      <c r="E29" s="126"/>
      <c r="F29" s="125"/>
      <c r="G29" s="124"/>
      <c r="H29" s="124"/>
      <c r="I29" s="126"/>
      <c r="J29" s="126"/>
    </row>
    <row r="30" spans="1:10" x14ac:dyDescent="0.2">
      <c r="A30" s="124"/>
      <c r="B30" s="124"/>
      <c r="C30" s="124"/>
      <c r="D30" s="126"/>
      <c r="E30" s="126"/>
      <c r="F30" s="126"/>
      <c r="G30" s="124"/>
      <c r="H30" s="124"/>
      <c r="I30" s="126"/>
      <c r="J30" s="126"/>
    </row>
    <row r="31" spans="1:10" x14ac:dyDescent="0.2">
      <c r="A31" s="124"/>
      <c r="B31" s="124"/>
      <c r="C31" s="124"/>
      <c r="D31" s="126"/>
      <c r="E31" s="126"/>
      <c r="F31" s="125"/>
      <c r="G31" s="124"/>
      <c r="H31" s="124"/>
      <c r="I31" s="126"/>
      <c r="J31" s="126"/>
    </row>
    <row r="32" spans="1:10" x14ac:dyDescent="0.2">
      <c r="A32" s="124"/>
      <c r="B32" s="124"/>
      <c r="C32" s="124"/>
      <c r="D32" s="126"/>
      <c r="E32" s="126"/>
      <c r="F32" s="125"/>
      <c r="G32" s="124"/>
      <c r="H32" s="124"/>
      <c r="I32" s="126"/>
      <c r="J32" s="126"/>
    </row>
    <row r="33" spans="1:10" x14ac:dyDescent="0.2">
      <c r="A33" s="124"/>
      <c r="B33" s="124"/>
      <c r="C33" s="124"/>
      <c r="D33" s="126"/>
      <c r="E33" s="126"/>
      <c r="F33" s="126"/>
      <c r="G33" s="124"/>
      <c r="H33" s="124"/>
      <c r="I33" s="126"/>
      <c r="J33" s="126"/>
    </row>
    <row r="34" spans="1:10" ht="12.75" customHeight="1" x14ac:dyDescent="0.2">
      <c r="A34" s="124"/>
      <c r="B34" s="124"/>
      <c r="C34" s="124"/>
      <c r="D34" s="126"/>
      <c r="E34" s="126"/>
      <c r="F34" s="125"/>
      <c r="G34" s="124"/>
      <c r="H34" s="124"/>
      <c r="I34" s="126"/>
      <c r="J34" s="126"/>
    </row>
    <row r="35" spans="1:10" x14ac:dyDescent="0.2">
      <c r="A35" s="124"/>
      <c r="B35" s="124"/>
      <c r="C35" s="124"/>
      <c r="D35" s="126"/>
      <c r="E35" s="126"/>
      <c r="F35" s="125"/>
      <c r="G35" s="124"/>
      <c r="H35" s="124"/>
      <c r="I35" s="126"/>
      <c r="J35" s="126"/>
    </row>
    <row r="36" spans="1:10" x14ac:dyDescent="0.2">
      <c r="A36" s="124"/>
      <c r="B36" s="124"/>
      <c r="C36" s="124"/>
      <c r="D36" s="126"/>
      <c r="E36" s="126"/>
      <c r="F36" s="126"/>
      <c r="G36" s="124"/>
      <c r="H36" s="124"/>
      <c r="I36" s="126"/>
      <c r="J36" s="126"/>
    </row>
    <row r="37" spans="1:10" x14ac:dyDescent="0.2">
      <c r="A37" s="124"/>
      <c r="B37" s="124"/>
      <c r="C37" s="124"/>
      <c r="D37" s="126"/>
      <c r="E37" s="126"/>
      <c r="F37" s="125"/>
      <c r="G37" s="124"/>
      <c r="H37" s="124"/>
      <c r="I37" s="126"/>
      <c r="J37" s="126"/>
    </row>
    <row r="38" spans="1:10" x14ac:dyDescent="0.2">
      <c r="A38" s="124"/>
      <c r="B38" s="124"/>
      <c r="C38" s="124"/>
      <c r="D38" s="126"/>
      <c r="E38" s="126"/>
      <c r="F38" s="125"/>
      <c r="G38" s="124"/>
      <c r="H38" s="124"/>
      <c r="I38" s="126"/>
      <c r="J38" s="126"/>
    </row>
    <row r="39" spans="1:10" x14ac:dyDescent="0.2">
      <c r="A39" s="124"/>
      <c r="B39" s="124"/>
      <c r="C39" s="124"/>
      <c r="D39" s="126"/>
      <c r="E39" s="126"/>
      <c r="F39" s="126"/>
      <c r="G39" s="124"/>
      <c r="H39" s="124"/>
      <c r="I39" s="126"/>
      <c r="J39" s="126"/>
    </row>
    <row r="40" spans="1:10" x14ac:dyDescent="0.2">
      <c r="A40" s="124"/>
      <c r="B40" s="124"/>
      <c r="C40" s="124"/>
      <c r="D40" s="126"/>
      <c r="E40" s="126"/>
      <c r="F40" s="125"/>
      <c r="G40" s="124"/>
      <c r="H40" s="124"/>
      <c r="I40" s="126"/>
      <c r="J40" s="126"/>
    </row>
    <row r="41" spans="1:10" ht="12.75" customHeight="1" x14ac:dyDescent="0.2">
      <c r="A41" s="124"/>
      <c r="B41" s="124"/>
      <c r="C41" s="124"/>
      <c r="D41" s="126"/>
      <c r="E41" s="126"/>
      <c r="F41" s="125"/>
      <c r="G41" s="124"/>
      <c r="H41" s="124"/>
      <c r="I41" s="126"/>
      <c r="J41" s="126"/>
    </row>
    <row r="42" spans="1:10" ht="12.75" customHeight="1" x14ac:dyDescent="0.2">
      <c r="A42" s="124"/>
      <c r="B42" s="124"/>
      <c r="C42" s="124"/>
      <c r="D42" s="126"/>
      <c r="E42" s="126"/>
      <c r="F42" s="126"/>
      <c r="G42" s="124"/>
      <c r="H42" s="124"/>
      <c r="I42" s="126"/>
      <c r="J42" s="126"/>
    </row>
    <row r="43" spans="1:10" ht="12.75" customHeight="1" x14ac:dyDescent="0.2">
      <c r="A43" s="124"/>
      <c r="B43" s="124"/>
      <c r="C43" s="124"/>
      <c r="D43" s="126"/>
      <c r="E43" s="126"/>
      <c r="F43" s="125"/>
      <c r="G43" s="124"/>
      <c r="H43" s="124"/>
      <c r="I43" s="126"/>
      <c r="J43" s="126"/>
    </row>
    <row r="44" spans="1:10" ht="12.75" customHeight="1" x14ac:dyDescent="0.2">
      <c r="A44" s="124"/>
      <c r="B44" s="124"/>
      <c r="C44" s="124"/>
      <c r="D44" s="126"/>
      <c r="E44" s="126"/>
      <c r="F44" s="125"/>
      <c r="G44" s="124"/>
      <c r="H44" s="124"/>
      <c r="I44" s="126"/>
      <c r="J44" s="126"/>
    </row>
    <row r="45" spans="1:10" ht="12.75" customHeight="1" x14ac:dyDescent="0.2">
      <c r="A45" s="124"/>
      <c r="B45" s="124"/>
      <c r="C45" s="124"/>
      <c r="D45" s="126"/>
      <c r="E45" s="126"/>
      <c r="F45" s="126"/>
      <c r="G45" s="124"/>
      <c r="H45" s="124"/>
      <c r="I45" s="126"/>
      <c r="J45" s="126"/>
    </row>
    <row r="46" spans="1:10" x14ac:dyDescent="0.2">
      <c r="A46" s="124"/>
      <c r="B46" s="124"/>
      <c r="C46" s="124"/>
      <c r="D46" s="126"/>
      <c r="E46" s="126"/>
      <c r="F46" s="125"/>
      <c r="G46" s="124"/>
      <c r="H46" s="124"/>
      <c r="I46" s="126"/>
      <c r="J46" s="126"/>
    </row>
    <row r="47" spans="1:10" x14ac:dyDescent="0.2">
      <c r="A47" s="124"/>
      <c r="B47" s="124"/>
      <c r="C47" s="124"/>
      <c r="D47" s="126"/>
      <c r="E47" s="126"/>
      <c r="F47" s="125"/>
      <c r="G47" s="124"/>
      <c r="H47" s="124"/>
      <c r="I47" s="126"/>
      <c r="J47" s="126"/>
    </row>
    <row r="48" spans="1:10" x14ac:dyDescent="0.2">
      <c r="A48" s="124"/>
      <c r="B48" s="124"/>
      <c r="C48" s="124"/>
      <c r="D48" s="126"/>
      <c r="E48" s="126"/>
      <c r="F48" s="126"/>
      <c r="G48" s="124"/>
      <c r="H48" s="124"/>
      <c r="I48" s="126"/>
      <c r="J48" s="126"/>
    </row>
    <row r="49" spans="1:10" x14ac:dyDescent="0.2">
      <c r="A49" s="124"/>
      <c r="B49" s="124"/>
      <c r="C49" s="124"/>
      <c r="D49" s="126"/>
      <c r="E49" s="126"/>
      <c r="F49" s="125"/>
      <c r="G49" s="124"/>
      <c r="H49" s="124"/>
      <c r="I49" s="126"/>
      <c r="J49" s="126"/>
    </row>
    <row r="50" spans="1:10" x14ac:dyDescent="0.2">
      <c r="A50" s="124"/>
      <c r="B50" s="124"/>
      <c r="C50" s="124"/>
      <c r="D50" s="126"/>
      <c r="E50" s="126"/>
      <c r="F50" s="125"/>
      <c r="G50" s="124"/>
      <c r="H50" s="124"/>
      <c r="I50" s="126"/>
      <c r="J50" s="126"/>
    </row>
    <row r="51" spans="1:10" x14ac:dyDescent="0.2">
      <c r="A51" s="124"/>
      <c r="B51" s="124"/>
      <c r="C51" s="124"/>
      <c r="D51" s="126"/>
      <c r="E51" s="126"/>
      <c r="F51" s="126"/>
      <c r="G51" s="124"/>
      <c r="H51" s="124"/>
      <c r="I51" s="126"/>
      <c r="J51" s="126"/>
    </row>
    <row r="52" spans="1:10" x14ac:dyDescent="0.2">
      <c r="A52" s="124"/>
      <c r="B52" s="124"/>
      <c r="C52" s="124"/>
      <c r="D52" s="126"/>
      <c r="E52" s="126"/>
      <c r="F52" s="125"/>
      <c r="G52" s="124"/>
      <c r="H52" s="124"/>
      <c r="I52" s="126"/>
      <c r="J52" s="126"/>
    </row>
    <row r="53" spans="1:10" x14ac:dyDescent="0.2">
      <c r="A53" s="124"/>
      <c r="B53" s="124"/>
      <c r="C53" s="124"/>
      <c r="D53" s="126"/>
      <c r="E53" s="126"/>
      <c r="F53" s="125"/>
      <c r="G53" s="124"/>
      <c r="H53" s="124"/>
      <c r="I53" s="126"/>
      <c r="J53" s="126"/>
    </row>
    <row r="54" spans="1:10" x14ac:dyDescent="0.2">
      <c r="A54" s="124"/>
      <c r="B54" s="124"/>
      <c r="C54" s="124"/>
      <c r="D54" s="126"/>
      <c r="E54" s="126"/>
      <c r="F54" s="126"/>
      <c r="G54" s="124"/>
      <c r="H54" s="124"/>
      <c r="I54" s="126"/>
      <c r="J54" s="126"/>
    </row>
    <row r="55" spans="1:10" ht="12.75" customHeight="1" x14ac:dyDescent="0.2">
      <c r="A55" s="124"/>
      <c r="B55" s="124"/>
      <c r="C55" s="124"/>
      <c r="D55" s="126"/>
      <c r="E55" s="126"/>
      <c r="F55" s="125"/>
      <c r="G55" s="124"/>
      <c r="H55" s="124"/>
      <c r="I55" s="126"/>
      <c r="J55" s="126"/>
    </row>
    <row r="56" spans="1:10" ht="12.75" customHeight="1" x14ac:dyDescent="0.2">
      <c r="A56" s="124"/>
      <c r="B56" s="124"/>
      <c r="C56" s="124"/>
      <c r="D56" s="126"/>
      <c r="E56" s="126"/>
      <c r="F56" s="125"/>
      <c r="G56" s="124"/>
      <c r="H56" s="124"/>
      <c r="I56" s="126"/>
      <c r="J56" s="126"/>
    </row>
    <row r="57" spans="1:10" ht="12.75" customHeight="1" x14ac:dyDescent="0.2">
      <c r="A57" s="124"/>
      <c r="B57" s="124"/>
      <c r="C57" s="124"/>
      <c r="D57" s="126"/>
      <c r="E57" s="126"/>
      <c r="F57" s="126"/>
      <c r="G57" s="124"/>
      <c r="H57" s="124"/>
      <c r="I57" s="126"/>
      <c r="J57" s="126"/>
    </row>
    <row r="58" spans="1:10" ht="12.75" customHeight="1" x14ac:dyDescent="0.2">
      <c r="A58" s="124"/>
      <c r="B58" s="124"/>
      <c r="C58" s="124"/>
      <c r="D58" s="126"/>
      <c r="E58" s="126"/>
      <c r="F58" s="125"/>
      <c r="G58" s="124"/>
      <c r="H58" s="124"/>
      <c r="I58" s="126"/>
      <c r="J58" s="126"/>
    </row>
    <row r="59" spans="1:10" ht="12.75" customHeight="1" x14ac:dyDescent="0.2">
      <c r="A59" s="124"/>
      <c r="B59" s="124"/>
      <c r="C59" s="124"/>
      <c r="D59" s="126"/>
      <c r="E59" s="126"/>
      <c r="F59" s="125"/>
      <c r="G59" s="124"/>
      <c r="H59" s="124"/>
      <c r="I59" s="126"/>
      <c r="J59" s="126"/>
    </row>
    <row r="60" spans="1:10" ht="12.75" customHeight="1" x14ac:dyDescent="0.2">
      <c r="A60" s="124"/>
      <c r="B60" s="124"/>
      <c r="C60" s="124"/>
      <c r="D60" s="126"/>
      <c r="E60" s="126"/>
      <c r="F60" s="126"/>
      <c r="G60" s="124"/>
      <c r="H60" s="124"/>
      <c r="I60" s="126"/>
      <c r="J60" s="126"/>
    </row>
    <row r="61" spans="1:10" ht="12.75" customHeight="1" x14ac:dyDescent="0.2">
      <c r="A61" s="124"/>
      <c r="B61" s="124"/>
      <c r="C61" s="124"/>
      <c r="D61" s="126"/>
      <c r="E61" s="126"/>
      <c r="F61" s="125"/>
      <c r="G61" s="124"/>
      <c r="H61" s="124"/>
      <c r="I61" s="126"/>
      <c r="J61" s="126"/>
    </row>
    <row r="62" spans="1:10" ht="12.75" customHeight="1" x14ac:dyDescent="0.2">
      <c r="A62" s="124"/>
      <c r="B62" s="124"/>
      <c r="C62" s="124"/>
      <c r="D62" s="126"/>
      <c r="E62" s="126"/>
      <c r="F62" s="125"/>
      <c r="G62" s="124"/>
      <c r="H62" s="124"/>
      <c r="I62" s="126"/>
      <c r="J62" s="126"/>
    </row>
    <row r="63" spans="1:10" ht="12.75" customHeight="1" x14ac:dyDescent="0.2">
      <c r="A63" s="124"/>
      <c r="B63" s="124"/>
      <c r="C63" s="124"/>
      <c r="D63" s="126"/>
      <c r="E63" s="126"/>
      <c r="F63" s="126"/>
      <c r="G63" s="124"/>
      <c r="H63" s="124"/>
      <c r="I63" s="126"/>
      <c r="J63" s="126"/>
    </row>
    <row r="64" spans="1:10" ht="12.75" customHeight="1" x14ac:dyDescent="0.2">
      <c r="A64" s="124"/>
      <c r="B64" s="124"/>
      <c r="C64" s="124"/>
      <c r="D64" s="126"/>
      <c r="E64" s="126"/>
      <c r="F64" s="125"/>
      <c r="G64" s="124"/>
      <c r="H64" s="124"/>
      <c r="I64" s="126"/>
      <c r="J64" s="126"/>
    </row>
    <row r="65" spans="1:10" x14ac:dyDescent="0.2">
      <c r="A65" s="124"/>
      <c r="B65" s="124"/>
      <c r="C65" s="124"/>
      <c r="D65" s="126"/>
      <c r="E65" s="126"/>
      <c r="F65" s="125"/>
      <c r="G65" s="124"/>
      <c r="H65" s="124"/>
      <c r="I65" s="126"/>
      <c r="J65" s="126"/>
    </row>
    <row r="66" spans="1:10" ht="12.75" customHeight="1" x14ac:dyDescent="0.2">
      <c r="A66" s="124"/>
      <c r="B66" s="124"/>
      <c r="C66" s="124"/>
      <c r="D66" s="126"/>
      <c r="E66" s="126"/>
      <c r="F66" s="126"/>
      <c r="G66" s="124"/>
      <c r="H66" s="124"/>
      <c r="I66" s="126"/>
      <c r="J66" s="126"/>
    </row>
    <row r="67" spans="1:10" ht="12.75" customHeight="1" x14ac:dyDescent="0.2">
      <c r="A67" s="124"/>
      <c r="B67" s="124"/>
      <c r="C67" s="124"/>
      <c r="D67" s="126"/>
      <c r="E67" s="126"/>
      <c r="F67" s="125"/>
      <c r="G67" s="124"/>
      <c r="H67" s="124"/>
      <c r="I67" s="126"/>
      <c r="J67" s="126"/>
    </row>
    <row r="68" spans="1:10" x14ac:dyDescent="0.2">
      <c r="A68" s="124"/>
      <c r="B68" s="124"/>
      <c r="C68" s="124"/>
      <c r="D68" s="126"/>
      <c r="E68" s="126"/>
      <c r="F68" s="125"/>
      <c r="G68" s="124"/>
      <c r="H68" s="124"/>
      <c r="I68" s="126"/>
      <c r="J68" s="126"/>
    </row>
    <row r="69" spans="1:10" x14ac:dyDescent="0.2">
      <c r="A69" s="124"/>
      <c r="B69" s="124"/>
      <c r="C69" s="124"/>
      <c r="D69" s="126"/>
      <c r="E69" s="126"/>
      <c r="F69" s="126"/>
      <c r="G69" s="124"/>
      <c r="H69" s="124"/>
      <c r="I69" s="126"/>
      <c r="J69" s="126"/>
    </row>
    <row r="70" spans="1:10" x14ac:dyDescent="0.2">
      <c r="A70" s="124"/>
      <c r="B70" s="124"/>
      <c r="C70" s="124"/>
      <c r="D70" s="126"/>
      <c r="E70" s="126"/>
      <c r="F70" s="125"/>
      <c r="G70" s="124"/>
      <c r="H70" s="124"/>
      <c r="I70" s="126"/>
      <c r="J70" s="126"/>
    </row>
    <row r="71" spans="1:10" ht="12.75" customHeight="1" x14ac:dyDescent="0.2">
      <c r="A71" s="124"/>
      <c r="B71" s="124"/>
      <c r="C71" s="124"/>
      <c r="D71" s="126"/>
      <c r="E71" s="126"/>
      <c r="F71" s="125"/>
      <c r="G71" s="124"/>
      <c r="H71" s="124"/>
      <c r="I71" s="126"/>
      <c r="J71" s="126"/>
    </row>
    <row r="72" spans="1:10" x14ac:dyDescent="0.2">
      <c r="A72" s="124"/>
      <c r="B72" s="124"/>
      <c r="C72" s="124"/>
      <c r="D72" s="126"/>
      <c r="E72" s="126"/>
      <c r="F72" s="126"/>
      <c r="G72" s="124"/>
      <c r="H72" s="124"/>
      <c r="I72" s="126"/>
      <c r="J72" s="126"/>
    </row>
    <row r="73" spans="1:10" x14ac:dyDescent="0.2">
      <c r="A73" s="124"/>
      <c r="B73" s="124"/>
      <c r="C73" s="124"/>
      <c r="D73" s="126"/>
      <c r="E73" s="126"/>
      <c r="F73" s="125"/>
      <c r="G73" s="124"/>
      <c r="H73" s="124"/>
      <c r="I73" s="126"/>
      <c r="J73" s="126"/>
    </row>
    <row r="74" spans="1:10" x14ac:dyDescent="0.2">
      <c r="A74" s="124"/>
      <c r="B74" s="124"/>
      <c r="C74" s="124"/>
      <c r="D74" s="126"/>
      <c r="E74" s="126"/>
      <c r="F74" s="125"/>
      <c r="G74" s="124"/>
      <c r="H74" s="124"/>
      <c r="I74" s="126"/>
      <c r="J74" s="126"/>
    </row>
    <row r="75" spans="1:10" ht="12.75" customHeight="1" x14ac:dyDescent="0.2">
      <c r="A75" s="124"/>
      <c r="B75" s="124"/>
      <c r="C75" s="124"/>
      <c r="D75" s="126"/>
      <c r="E75" s="126"/>
      <c r="F75" s="126"/>
      <c r="G75" s="124"/>
      <c r="H75" s="124"/>
      <c r="I75" s="126"/>
      <c r="J75" s="126"/>
    </row>
    <row r="76" spans="1:10" x14ac:dyDescent="0.2">
      <c r="A76" s="124"/>
      <c r="B76" s="124"/>
      <c r="C76" s="124"/>
      <c r="D76" s="126"/>
      <c r="E76" s="126"/>
      <c r="F76" s="125"/>
      <c r="G76" s="124"/>
      <c r="H76" s="124"/>
      <c r="I76" s="126"/>
      <c r="J76" s="126"/>
    </row>
    <row r="77" spans="1:10" x14ac:dyDescent="0.2">
      <c r="A77" s="124"/>
      <c r="B77" s="124"/>
      <c r="C77" s="124"/>
      <c r="D77" s="126"/>
      <c r="E77" s="126"/>
      <c r="F77" s="125"/>
      <c r="G77" s="124"/>
      <c r="H77" s="124"/>
      <c r="I77" s="126"/>
      <c r="J77" s="126"/>
    </row>
    <row r="78" spans="1:10" ht="12.75" customHeight="1" x14ac:dyDescent="0.2">
      <c r="A78" s="124"/>
      <c r="B78" s="124"/>
      <c r="C78" s="124"/>
      <c r="D78" s="126"/>
      <c r="E78" s="126"/>
      <c r="F78" s="126"/>
      <c r="G78" s="124"/>
      <c r="H78" s="124"/>
      <c r="I78" s="126"/>
      <c r="J78" s="126"/>
    </row>
    <row r="79" spans="1:10" ht="12.75" customHeight="1" x14ac:dyDescent="0.2">
      <c r="A79" s="124"/>
      <c r="B79" s="124"/>
      <c r="C79" s="124"/>
      <c r="D79" s="126"/>
      <c r="E79" s="126"/>
      <c r="F79" s="125"/>
      <c r="G79" s="124"/>
      <c r="H79" s="124"/>
      <c r="I79" s="126"/>
      <c r="J79" s="126"/>
    </row>
    <row r="80" spans="1:10" ht="12.75" customHeight="1" x14ac:dyDescent="0.2">
      <c r="A80" s="124"/>
      <c r="B80" s="124"/>
      <c r="C80" s="124"/>
      <c r="D80" s="126"/>
      <c r="E80" s="126"/>
      <c r="F80" s="125"/>
      <c r="G80" s="124"/>
      <c r="H80" s="124"/>
      <c r="I80" s="126"/>
      <c r="J80" s="126"/>
    </row>
    <row r="81" spans="1:10" ht="12.75" customHeight="1" x14ac:dyDescent="0.2">
      <c r="A81" s="124"/>
      <c r="B81" s="124"/>
      <c r="C81" s="124"/>
      <c r="D81" s="126"/>
      <c r="E81" s="126"/>
      <c r="F81" s="126"/>
      <c r="G81" s="124"/>
      <c r="H81" s="124"/>
      <c r="I81" s="126"/>
      <c r="J81" s="126"/>
    </row>
    <row r="82" spans="1:10" ht="12.75" customHeight="1" x14ac:dyDescent="0.2">
      <c r="A82" s="124"/>
      <c r="B82" s="124"/>
      <c r="C82" s="124"/>
      <c r="D82" s="126"/>
      <c r="E82" s="126"/>
      <c r="F82" s="125"/>
      <c r="G82" s="124"/>
      <c r="H82" s="124"/>
      <c r="I82" s="126"/>
      <c r="J82" s="126"/>
    </row>
    <row r="83" spans="1:10" ht="12.75" customHeight="1" x14ac:dyDescent="0.2">
      <c r="A83" s="124"/>
      <c r="B83" s="124"/>
      <c r="C83" s="124"/>
      <c r="D83" s="126"/>
      <c r="E83" s="126"/>
      <c r="F83" s="125"/>
      <c r="G83" s="124"/>
      <c r="H83" s="124"/>
      <c r="I83" s="126"/>
      <c r="J83" s="126"/>
    </row>
    <row r="84" spans="1:10" x14ac:dyDescent="0.2">
      <c r="A84" s="124"/>
      <c r="B84" s="124"/>
      <c r="C84" s="124"/>
      <c r="D84" s="126"/>
      <c r="E84" s="126"/>
      <c r="F84" s="126"/>
      <c r="G84" s="124"/>
      <c r="H84" s="124"/>
      <c r="I84" s="126"/>
      <c r="J84" s="126"/>
    </row>
    <row r="85" spans="1:10" x14ac:dyDescent="0.2">
      <c r="A85" s="124"/>
      <c r="B85" s="124"/>
      <c r="C85" s="124"/>
      <c r="D85" s="126"/>
      <c r="E85" s="126"/>
      <c r="F85" s="125"/>
      <c r="G85" s="124"/>
      <c r="H85" s="124"/>
      <c r="I85" s="126"/>
      <c r="J85" s="126"/>
    </row>
    <row r="86" spans="1:10" x14ac:dyDescent="0.2">
      <c r="A86" s="124"/>
      <c r="B86" s="124"/>
      <c r="C86" s="124"/>
      <c r="D86" s="126"/>
      <c r="E86" s="126"/>
      <c r="F86" s="125"/>
      <c r="G86" s="124"/>
      <c r="H86" s="124"/>
      <c r="I86" s="126"/>
      <c r="J86" s="126"/>
    </row>
    <row r="87" spans="1:10" x14ac:dyDescent="0.2">
      <c r="A87" s="124"/>
      <c r="B87" s="124"/>
      <c r="C87" s="124"/>
      <c r="D87" s="126"/>
      <c r="E87" s="126"/>
      <c r="F87" s="126"/>
      <c r="G87" s="124"/>
      <c r="H87" s="124"/>
      <c r="I87" s="126"/>
      <c r="J87" s="126"/>
    </row>
    <row r="88" spans="1:10" x14ac:dyDescent="0.2">
      <c r="A88" s="124"/>
      <c r="B88" s="124"/>
      <c r="C88" s="124"/>
      <c r="D88" s="126"/>
      <c r="E88" s="126"/>
      <c r="F88" s="125"/>
      <c r="G88" s="124"/>
      <c r="H88" s="124"/>
      <c r="I88" s="126"/>
      <c r="J88" s="126"/>
    </row>
    <row r="89" spans="1:10" ht="12.75" customHeight="1" x14ac:dyDescent="0.2">
      <c r="A89" s="124"/>
      <c r="B89" s="124"/>
      <c r="C89" s="124"/>
      <c r="D89" s="126"/>
      <c r="E89" s="126"/>
      <c r="F89" s="125"/>
      <c r="G89" s="124"/>
      <c r="H89" s="124"/>
      <c r="I89" s="126"/>
      <c r="J89" s="126"/>
    </row>
    <row r="90" spans="1:10" ht="12.75" customHeight="1" x14ac:dyDescent="0.2">
      <c r="A90" s="124"/>
      <c r="B90" s="124"/>
      <c r="C90" s="124"/>
      <c r="D90" s="126"/>
      <c r="E90" s="126"/>
      <c r="F90" s="126"/>
      <c r="G90" s="124"/>
      <c r="H90" s="124"/>
      <c r="I90" s="126"/>
      <c r="J90" s="126"/>
    </row>
    <row r="91" spans="1:10" x14ac:dyDescent="0.2">
      <c r="A91" s="124"/>
      <c r="B91" s="124"/>
      <c r="C91" s="124"/>
      <c r="D91" s="126"/>
      <c r="E91" s="126"/>
      <c r="F91" s="125"/>
      <c r="G91" s="124"/>
      <c r="H91" s="124"/>
      <c r="I91" s="126"/>
      <c r="J91" s="126"/>
    </row>
    <row r="92" spans="1:10" x14ac:dyDescent="0.2">
      <c r="A92" s="124"/>
      <c r="B92" s="124"/>
      <c r="C92" s="124"/>
      <c r="D92" s="126"/>
      <c r="E92" s="126"/>
      <c r="F92" s="125"/>
      <c r="G92" s="124"/>
      <c r="H92" s="124"/>
      <c r="I92" s="126"/>
      <c r="J92" s="126"/>
    </row>
    <row r="93" spans="1:10" x14ac:dyDescent="0.2">
      <c r="A93" s="124"/>
      <c r="B93" s="124"/>
      <c r="C93" s="124"/>
      <c r="D93" s="126"/>
      <c r="E93" s="126"/>
      <c r="F93" s="126"/>
      <c r="G93" s="124"/>
      <c r="H93" s="124"/>
      <c r="I93" s="126"/>
      <c r="J93" s="126"/>
    </row>
    <row r="94" spans="1:10" x14ac:dyDescent="0.2">
      <c r="A94" s="124"/>
      <c r="B94" s="124"/>
      <c r="C94" s="124"/>
      <c r="D94" s="126"/>
      <c r="E94" s="126"/>
      <c r="F94" s="125"/>
      <c r="G94" s="124"/>
      <c r="H94" s="124"/>
      <c r="I94" s="126"/>
      <c r="J94" s="126"/>
    </row>
    <row r="95" spans="1:10" ht="12.75" customHeight="1" x14ac:dyDescent="0.2">
      <c r="A95" s="124"/>
      <c r="B95" s="124"/>
      <c r="C95" s="124"/>
      <c r="D95" s="126"/>
      <c r="E95" s="126"/>
      <c r="F95" s="125"/>
      <c r="G95" s="124"/>
      <c r="H95" s="124"/>
      <c r="I95" s="126"/>
      <c r="J95" s="126"/>
    </row>
    <row r="96" spans="1:10" ht="12.75" customHeight="1" x14ac:dyDescent="0.2">
      <c r="A96" s="124"/>
      <c r="B96" s="124"/>
      <c r="C96" s="124"/>
      <c r="D96" s="126"/>
      <c r="E96" s="126"/>
      <c r="F96" s="126"/>
      <c r="G96" s="124"/>
      <c r="H96" s="124"/>
      <c r="I96" s="126"/>
      <c r="J96" s="126"/>
    </row>
    <row r="97" spans="1:10" ht="12.75" customHeight="1" x14ac:dyDescent="0.2">
      <c r="A97" s="124"/>
      <c r="B97" s="124"/>
      <c r="C97" s="124"/>
      <c r="D97" s="126"/>
      <c r="E97" s="126"/>
      <c r="F97" s="125"/>
      <c r="G97" s="124"/>
      <c r="H97" s="124"/>
      <c r="I97" s="126"/>
      <c r="J97" s="126"/>
    </row>
    <row r="98" spans="1:10" ht="12.75" customHeight="1" x14ac:dyDescent="0.2">
      <c r="A98" s="124"/>
      <c r="B98" s="124"/>
      <c r="C98" s="124"/>
      <c r="D98" s="126"/>
      <c r="E98" s="126"/>
      <c r="F98" s="125"/>
      <c r="G98" s="124"/>
      <c r="H98" s="124"/>
      <c r="I98" s="126"/>
      <c r="J98" s="126"/>
    </row>
    <row r="99" spans="1:10" ht="12.75" customHeight="1" x14ac:dyDescent="0.2">
      <c r="A99" s="124"/>
      <c r="B99" s="124"/>
      <c r="C99" s="124"/>
      <c r="D99" s="126"/>
      <c r="E99" s="126"/>
      <c r="F99" s="126"/>
      <c r="G99" s="124"/>
      <c r="H99" s="124"/>
      <c r="I99" s="126"/>
      <c r="J99" s="126"/>
    </row>
    <row r="100" spans="1:10" ht="12.75" customHeight="1" x14ac:dyDescent="0.2">
      <c r="A100" s="124"/>
      <c r="B100" s="124"/>
      <c r="C100" s="124"/>
      <c r="D100" s="126"/>
      <c r="E100" s="126"/>
      <c r="F100" s="125"/>
      <c r="G100" s="124"/>
      <c r="H100" s="124"/>
      <c r="I100" s="126"/>
      <c r="J100" s="126"/>
    </row>
    <row r="101" spans="1:10" x14ac:dyDescent="0.2">
      <c r="A101" s="124"/>
      <c r="B101" s="124"/>
      <c r="C101" s="124"/>
      <c r="D101" s="126"/>
      <c r="E101" s="126"/>
      <c r="F101" s="125"/>
      <c r="G101" s="124"/>
      <c r="H101" s="124"/>
      <c r="I101" s="126"/>
      <c r="J101" s="126"/>
    </row>
    <row r="102" spans="1:10" x14ac:dyDescent="0.2">
      <c r="A102" s="124"/>
      <c r="B102" s="124"/>
      <c r="C102" s="124"/>
      <c r="D102" s="126"/>
      <c r="E102" s="126"/>
      <c r="F102" s="126"/>
      <c r="G102" s="124"/>
      <c r="H102" s="124"/>
      <c r="I102" s="126"/>
      <c r="J102" s="126"/>
    </row>
    <row r="103" spans="1:10" ht="12.75" customHeight="1" x14ac:dyDescent="0.2">
      <c r="A103" s="124"/>
      <c r="B103" s="124"/>
      <c r="C103" s="124"/>
      <c r="D103" s="126"/>
      <c r="E103" s="126"/>
      <c r="F103" s="125"/>
      <c r="G103" s="124"/>
      <c r="H103" s="124"/>
      <c r="I103" s="126"/>
      <c r="J103" s="126"/>
    </row>
    <row r="104" spans="1:10" ht="12.75" customHeight="1" x14ac:dyDescent="0.2">
      <c r="A104" s="124"/>
      <c r="B104" s="124"/>
      <c r="C104" s="124"/>
      <c r="D104" s="126"/>
      <c r="E104" s="126"/>
      <c r="F104" s="125"/>
      <c r="G104" s="124"/>
      <c r="H104" s="124"/>
      <c r="I104" s="126"/>
      <c r="J104" s="126"/>
    </row>
    <row r="105" spans="1:10" s="127" customFormat="1" ht="12.75" customHeight="1" x14ac:dyDescent="0.2">
      <c r="A105" s="124"/>
      <c r="B105" s="124"/>
      <c r="C105" s="124"/>
      <c r="D105" s="126"/>
      <c r="E105" s="126"/>
      <c r="F105" s="126"/>
      <c r="G105" s="124"/>
      <c r="H105" s="124"/>
      <c r="I105" s="126"/>
      <c r="J105" s="126"/>
    </row>
    <row r="106" spans="1:10" s="128" customFormat="1" ht="12.75" customHeight="1" x14ac:dyDescent="0.2">
      <c r="A106" s="124"/>
      <c r="B106" s="124"/>
      <c r="C106" s="124"/>
      <c r="D106" s="126"/>
      <c r="E106" s="126"/>
      <c r="F106" s="125"/>
      <c r="G106" s="124"/>
      <c r="H106" s="124"/>
      <c r="I106" s="126"/>
      <c r="J106" s="126"/>
    </row>
    <row r="107" spans="1:10" s="127" customFormat="1" ht="12.75" customHeight="1" x14ac:dyDescent="0.2">
      <c r="A107" s="124"/>
      <c r="B107" s="124"/>
      <c r="C107" s="124"/>
      <c r="D107" s="126"/>
      <c r="E107" s="126"/>
      <c r="F107" s="125"/>
      <c r="G107" s="124"/>
      <c r="H107" s="124"/>
      <c r="I107" s="126"/>
      <c r="J107" s="126"/>
    </row>
    <row r="108" spans="1:10" ht="12.75" customHeight="1" x14ac:dyDescent="0.2">
      <c r="A108" s="124"/>
      <c r="B108" s="124"/>
      <c r="C108" s="124"/>
      <c r="D108" s="126"/>
      <c r="E108" s="126"/>
      <c r="F108" s="126"/>
      <c r="G108" s="124"/>
      <c r="H108" s="124"/>
      <c r="I108" s="126"/>
      <c r="J108" s="126"/>
    </row>
    <row r="109" spans="1:10" ht="12.75" customHeight="1" x14ac:dyDescent="0.2">
      <c r="A109" s="124"/>
      <c r="B109" s="124"/>
      <c r="C109" s="124"/>
      <c r="D109" s="126"/>
      <c r="E109" s="126"/>
      <c r="F109" s="125"/>
      <c r="G109" s="124"/>
      <c r="H109" s="124"/>
      <c r="I109" s="126"/>
      <c r="J109" s="126"/>
    </row>
    <row r="110" spans="1:10" x14ac:dyDescent="0.2">
      <c r="A110" s="124"/>
      <c r="B110" s="124"/>
      <c r="C110" s="124"/>
      <c r="D110" s="126"/>
      <c r="E110" s="126"/>
      <c r="F110" s="125"/>
      <c r="G110" s="124"/>
      <c r="H110" s="124"/>
      <c r="I110" s="126"/>
      <c r="J110" s="126"/>
    </row>
    <row r="111" spans="1:10" x14ac:dyDescent="0.2">
      <c r="A111" s="124"/>
      <c r="B111" s="124"/>
      <c r="C111" s="124"/>
      <c r="D111" s="126"/>
      <c r="E111" s="126"/>
      <c r="F111" s="126"/>
      <c r="G111" s="124"/>
      <c r="H111" s="124"/>
      <c r="I111" s="126"/>
      <c r="J111" s="126"/>
    </row>
    <row r="112" spans="1:10" x14ac:dyDescent="0.2">
      <c r="A112" s="124"/>
      <c r="B112" s="124"/>
      <c r="C112" s="124"/>
      <c r="D112" s="126"/>
      <c r="E112" s="126"/>
      <c r="F112" s="125"/>
      <c r="G112" s="124"/>
      <c r="H112" s="124"/>
      <c r="I112" s="126"/>
      <c r="J112" s="126"/>
    </row>
    <row r="113" spans="1:10" x14ac:dyDescent="0.2">
      <c r="A113" s="124"/>
      <c r="B113" s="124"/>
      <c r="C113" s="124"/>
      <c r="D113" s="126"/>
      <c r="E113" s="126"/>
      <c r="F113" s="125"/>
      <c r="G113" s="124"/>
      <c r="H113" s="124"/>
      <c r="I113" s="126"/>
      <c r="J113" s="126"/>
    </row>
    <row r="114" spans="1:10" ht="12.75" customHeight="1" x14ac:dyDescent="0.2">
      <c r="A114" s="124"/>
      <c r="B114" s="124"/>
      <c r="C114" s="124"/>
      <c r="D114" s="126"/>
      <c r="E114" s="126"/>
      <c r="F114" s="126"/>
      <c r="G114" s="124"/>
      <c r="H114" s="124"/>
      <c r="I114" s="126"/>
      <c r="J114" s="126"/>
    </row>
    <row r="115" spans="1:10" x14ac:dyDescent="0.2">
      <c r="A115" s="124"/>
      <c r="B115" s="124"/>
      <c r="C115" s="124"/>
      <c r="D115" s="126"/>
      <c r="E115" s="126"/>
      <c r="F115" s="125"/>
      <c r="G115" s="124"/>
      <c r="H115" s="124"/>
      <c r="I115" s="126"/>
      <c r="J115" s="126"/>
    </row>
    <row r="116" spans="1:10" ht="12.75" customHeight="1" x14ac:dyDescent="0.2">
      <c r="A116" s="124"/>
      <c r="B116" s="124"/>
      <c r="C116" s="124"/>
      <c r="D116" s="126"/>
      <c r="E116" s="126"/>
      <c r="F116" s="125"/>
      <c r="G116" s="124"/>
      <c r="H116" s="124"/>
      <c r="I116" s="126"/>
      <c r="J116" s="126"/>
    </row>
    <row r="117" spans="1:10" x14ac:dyDescent="0.2">
      <c r="A117" s="124"/>
      <c r="B117" s="124"/>
      <c r="C117" s="124"/>
      <c r="D117" s="126"/>
      <c r="E117" s="126"/>
      <c r="F117" s="126"/>
      <c r="G117" s="124"/>
      <c r="H117" s="124"/>
      <c r="I117" s="126"/>
      <c r="J117" s="126"/>
    </row>
    <row r="118" spans="1:10" x14ac:dyDescent="0.2">
      <c r="A118" s="124"/>
      <c r="B118" s="124"/>
      <c r="C118" s="124"/>
      <c r="D118" s="126"/>
      <c r="E118" s="126"/>
      <c r="F118" s="125"/>
      <c r="G118" s="124"/>
      <c r="H118" s="124"/>
      <c r="I118" s="126"/>
      <c r="J118" s="126"/>
    </row>
    <row r="119" spans="1:10" x14ac:dyDescent="0.2">
      <c r="A119" s="124"/>
      <c r="B119" s="124"/>
      <c r="C119" s="124"/>
      <c r="D119" s="126"/>
      <c r="E119" s="126"/>
      <c r="F119" s="125"/>
      <c r="G119" s="124"/>
      <c r="H119" s="124"/>
      <c r="I119" s="126"/>
      <c r="J119" s="126"/>
    </row>
    <row r="120" spans="1:10" x14ac:dyDescent="0.2">
      <c r="A120" s="124"/>
      <c r="B120" s="124"/>
      <c r="C120" s="124"/>
      <c r="D120" s="126"/>
      <c r="E120" s="126"/>
      <c r="F120" s="126"/>
      <c r="G120" s="124"/>
      <c r="H120" s="124"/>
      <c r="I120" s="126"/>
      <c r="J120" s="126"/>
    </row>
    <row r="121" spans="1:10" ht="12.75" customHeight="1" x14ac:dyDescent="0.2">
      <c r="A121" s="124"/>
      <c r="B121" s="124"/>
      <c r="C121" s="124"/>
      <c r="D121" s="126"/>
      <c r="E121" s="126"/>
      <c r="F121" s="125"/>
      <c r="G121" s="124"/>
      <c r="H121" s="124"/>
      <c r="I121" s="126"/>
      <c r="J121" s="126"/>
    </row>
    <row r="122" spans="1:10" x14ac:dyDescent="0.2">
      <c r="A122" s="124"/>
      <c r="B122" s="124"/>
      <c r="C122" s="124"/>
      <c r="D122" s="126"/>
      <c r="E122" s="126"/>
      <c r="F122" s="125"/>
      <c r="G122" s="124"/>
      <c r="H122" s="124"/>
      <c r="I122" s="126"/>
      <c r="J122" s="126"/>
    </row>
    <row r="123" spans="1:10" x14ac:dyDescent="0.2">
      <c r="A123" s="124"/>
      <c r="B123" s="124"/>
      <c r="C123" s="124"/>
      <c r="D123" s="126"/>
      <c r="E123" s="126"/>
      <c r="F123" s="126"/>
      <c r="G123" s="124"/>
      <c r="H123" s="124"/>
      <c r="I123" s="126"/>
      <c r="J123" s="126"/>
    </row>
    <row r="124" spans="1:10" x14ac:dyDescent="0.2">
      <c r="A124" s="124"/>
      <c r="B124" s="124"/>
      <c r="C124" s="124"/>
      <c r="D124" s="126"/>
      <c r="E124" s="126"/>
      <c r="F124" s="125"/>
      <c r="G124" s="124"/>
      <c r="H124" s="124"/>
      <c r="I124" s="126"/>
      <c r="J124" s="126"/>
    </row>
    <row r="125" spans="1:10" x14ac:dyDescent="0.2">
      <c r="A125" s="124"/>
      <c r="B125" s="124"/>
      <c r="C125" s="124"/>
      <c r="D125" s="126"/>
      <c r="E125" s="126"/>
      <c r="F125" s="125"/>
      <c r="G125" s="124"/>
      <c r="H125" s="124"/>
      <c r="I125" s="126"/>
      <c r="J125" s="126"/>
    </row>
    <row r="126" spans="1:10" ht="12.75" customHeight="1" x14ac:dyDescent="0.2">
      <c r="A126" s="124"/>
      <c r="B126" s="124"/>
      <c r="C126" s="124"/>
      <c r="D126" s="126"/>
      <c r="E126" s="126"/>
      <c r="F126" s="126"/>
      <c r="G126" s="124"/>
      <c r="H126" s="124"/>
      <c r="I126" s="126"/>
      <c r="J126" s="126"/>
    </row>
    <row r="127" spans="1:10" x14ac:dyDescent="0.2">
      <c r="A127" s="124"/>
      <c r="B127" s="124"/>
      <c r="C127" s="124"/>
      <c r="D127" s="126"/>
      <c r="E127" s="126"/>
      <c r="F127" s="125"/>
      <c r="G127" s="124"/>
      <c r="H127" s="124"/>
      <c r="I127" s="126"/>
      <c r="J127" s="126"/>
    </row>
    <row r="128" spans="1:10" x14ac:dyDescent="0.2">
      <c r="A128" s="124"/>
      <c r="B128" s="124"/>
      <c r="C128" s="124"/>
      <c r="D128" s="126"/>
      <c r="E128" s="126"/>
      <c r="F128" s="125"/>
      <c r="G128" s="124"/>
      <c r="H128" s="124"/>
      <c r="I128" s="126"/>
      <c r="J128" s="126"/>
    </row>
    <row r="129" spans="1:10" ht="12.75" customHeight="1" x14ac:dyDescent="0.2">
      <c r="A129" s="124"/>
      <c r="B129" s="124"/>
      <c r="C129" s="124"/>
      <c r="D129" s="126"/>
      <c r="E129" s="126"/>
      <c r="F129" s="126"/>
      <c r="G129" s="124"/>
      <c r="H129" s="124"/>
      <c r="I129" s="126"/>
      <c r="J129" s="126"/>
    </row>
    <row r="130" spans="1:10" x14ac:dyDescent="0.2">
      <c r="A130" s="124"/>
      <c r="B130" s="124"/>
      <c r="C130" s="124"/>
      <c r="D130" s="126"/>
      <c r="E130" s="126"/>
      <c r="F130" s="125"/>
      <c r="G130" s="124"/>
      <c r="H130" s="124"/>
      <c r="I130" s="126"/>
      <c r="J130" s="126"/>
    </row>
    <row r="131" spans="1:10" x14ac:dyDescent="0.2">
      <c r="A131" s="124"/>
      <c r="B131" s="124"/>
      <c r="C131" s="124"/>
      <c r="D131" s="126"/>
      <c r="E131" s="126"/>
      <c r="F131" s="125"/>
      <c r="G131" s="124"/>
      <c r="H131" s="124"/>
      <c r="I131" s="126"/>
      <c r="J131" s="126"/>
    </row>
    <row r="132" spans="1:10" x14ac:dyDescent="0.2">
      <c r="A132" s="124"/>
      <c r="B132" s="124"/>
      <c r="C132" s="124"/>
      <c r="D132" s="126"/>
      <c r="E132" s="126"/>
      <c r="F132" s="126"/>
      <c r="G132" s="124"/>
      <c r="H132" s="124"/>
      <c r="I132" s="126"/>
      <c r="J132" s="126"/>
    </row>
    <row r="133" spans="1:10" x14ac:dyDescent="0.2">
      <c r="A133" s="124"/>
      <c r="B133" s="124"/>
      <c r="C133" s="124"/>
      <c r="D133" s="126"/>
      <c r="E133" s="126"/>
      <c r="F133" s="125"/>
      <c r="G133" s="124"/>
      <c r="H133" s="124"/>
      <c r="I133" s="126"/>
      <c r="J133" s="126"/>
    </row>
    <row r="134" spans="1:10" ht="12.75" customHeight="1" x14ac:dyDescent="0.2">
      <c r="A134" s="124"/>
      <c r="B134" s="124"/>
      <c r="C134" s="124"/>
      <c r="D134" s="126"/>
      <c r="E134" s="126"/>
      <c r="F134" s="125"/>
      <c r="G134" s="124"/>
      <c r="H134" s="124"/>
      <c r="I134" s="126"/>
      <c r="J134" s="126"/>
    </row>
    <row r="135" spans="1:10" ht="12.75" customHeight="1" x14ac:dyDescent="0.2">
      <c r="A135" s="124"/>
      <c r="B135" s="124"/>
      <c r="C135" s="124"/>
      <c r="D135" s="126"/>
      <c r="E135" s="126"/>
      <c r="F135" s="126"/>
      <c r="G135" s="124"/>
      <c r="H135" s="124"/>
      <c r="I135" s="126"/>
      <c r="J135" s="126"/>
    </row>
    <row r="136" spans="1:10" ht="12.75" customHeight="1" x14ac:dyDescent="0.2">
      <c r="A136" s="124"/>
      <c r="B136" s="124"/>
      <c r="C136" s="124"/>
      <c r="D136" s="126"/>
      <c r="E136" s="126"/>
      <c r="F136" s="125"/>
      <c r="G136" s="124"/>
      <c r="H136" s="124"/>
      <c r="I136" s="126"/>
      <c r="J136" s="126"/>
    </row>
    <row r="137" spans="1:10" ht="12.75" customHeight="1" x14ac:dyDescent="0.2">
      <c r="A137" s="124"/>
      <c r="B137" s="124"/>
      <c r="C137" s="124"/>
      <c r="D137" s="126"/>
      <c r="E137" s="126"/>
      <c r="F137" s="125"/>
      <c r="G137" s="124"/>
      <c r="H137" s="124"/>
      <c r="I137" s="126"/>
      <c r="J137" s="126"/>
    </row>
    <row r="138" spans="1:10" ht="12.75" customHeight="1" x14ac:dyDescent="0.2">
      <c r="A138" s="124"/>
      <c r="B138" s="124"/>
      <c r="C138" s="124"/>
      <c r="D138" s="126"/>
      <c r="E138" s="126"/>
      <c r="F138" s="126"/>
      <c r="G138" s="124"/>
      <c r="H138" s="124"/>
      <c r="I138" s="126"/>
      <c r="J138" s="126"/>
    </row>
    <row r="139" spans="1:10" ht="12.75" customHeight="1" x14ac:dyDescent="0.2">
      <c r="A139" s="124"/>
      <c r="B139" s="124"/>
      <c r="C139" s="124"/>
      <c r="D139" s="126"/>
      <c r="E139" s="126"/>
      <c r="F139" s="125"/>
      <c r="G139" s="124"/>
      <c r="H139" s="124"/>
      <c r="I139" s="126"/>
      <c r="J139" s="126"/>
    </row>
    <row r="140" spans="1:10" ht="12.75" customHeight="1" x14ac:dyDescent="0.2">
      <c r="A140" s="124"/>
      <c r="B140" s="124"/>
      <c r="C140" s="124"/>
      <c r="D140" s="126"/>
      <c r="E140" s="126"/>
      <c r="F140" s="125"/>
      <c r="G140" s="124"/>
      <c r="H140" s="124"/>
      <c r="I140" s="126"/>
      <c r="J140" s="126"/>
    </row>
    <row r="141" spans="1:10" ht="12.75" customHeight="1" x14ac:dyDescent="0.2">
      <c r="A141" s="124"/>
      <c r="B141" s="124"/>
      <c r="C141" s="124"/>
      <c r="D141" s="126"/>
      <c r="E141" s="126"/>
      <c r="F141" s="126"/>
      <c r="G141" s="124"/>
      <c r="H141" s="124"/>
      <c r="I141" s="126"/>
      <c r="J141" s="126"/>
    </row>
    <row r="142" spans="1:10" ht="12.75" customHeight="1" x14ac:dyDescent="0.2">
      <c r="A142" s="124"/>
      <c r="B142" s="124"/>
      <c r="C142" s="124"/>
      <c r="D142" s="126"/>
      <c r="E142" s="126"/>
      <c r="F142" s="125"/>
      <c r="G142" s="124"/>
      <c r="H142" s="124"/>
      <c r="I142" s="126"/>
      <c r="J142" s="126"/>
    </row>
    <row r="143" spans="1:10" ht="12.75" customHeight="1" x14ac:dyDescent="0.2">
      <c r="A143" s="124"/>
      <c r="B143" s="124"/>
      <c r="C143" s="124"/>
      <c r="D143" s="126"/>
      <c r="E143" s="126"/>
      <c r="F143" s="125"/>
      <c r="G143" s="124"/>
      <c r="H143" s="124"/>
      <c r="I143" s="126"/>
      <c r="J143" s="126"/>
    </row>
    <row r="144" spans="1:10" ht="12.75" customHeight="1" x14ac:dyDescent="0.2">
      <c r="A144" s="124"/>
      <c r="B144" s="124"/>
      <c r="C144" s="124"/>
      <c r="D144" s="126"/>
      <c r="E144" s="126"/>
      <c r="F144" s="126"/>
      <c r="G144" s="124"/>
      <c r="H144" s="124"/>
      <c r="I144" s="126"/>
      <c r="J144" s="126"/>
    </row>
    <row r="145" spans="1:10" ht="12.75" customHeight="1" x14ac:dyDescent="0.2">
      <c r="A145" s="124"/>
      <c r="B145" s="124"/>
      <c r="C145" s="124"/>
      <c r="D145" s="126"/>
      <c r="E145" s="126"/>
      <c r="F145" s="125"/>
      <c r="G145" s="124"/>
      <c r="H145" s="124"/>
      <c r="I145" s="126"/>
      <c r="J145" s="126"/>
    </row>
    <row r="146" spans="1:10" ht="12.75" customHeight="1" x14ac:dyDescent="0.2">
      <c r="A146" s="124"/>
      <c r="B146" s="124"/>
      <c r="C146" s="124"/>
      <c r="D146" s="126"/>
      <c r="E146" s="126"/>
      <c r="F146" s="125"/>
      <c r="G146" s="124"/>
      <c r="H146" s="124"/>
      <c r="I146" s="126"/>
      <c r="J146" s="126"/>
    </row>
    <row r="147" spans="1:10" ht="12.75" customHeight="1" x14ac:dyDescent="0.2">
      <c r="A147" s="124"/>
      <c r="B147" s="124"/>
      <c r="C147" s="124"/>
      <c r="D147" s="126"/>
      <c r="E147" s="126"/>
      <c r="F147" s="126"/>
      <c r="G147" s="124"/>
      <c r="H147" s="124"/>
      <c r="I147" s="126"/>
      <c r="J147" s="126"/>
    </row>
    <row r="148" spans="1:10" ht="12.75" customHeight="1" x14ac:dyDescent="0.2">
      <c r="A148" s="124"/>
      <c r="B148" s="124"/>
      <c r="C148" s="124"/>
      <c r="D148" s="126"/>
      <c r="E148" s="126"/>
      <c r="F148" s="125"/>
      <c r="G148" s="124"/>
      <c r="H148" s="124"/>
      <c r="I148" s="126"/>
      <c r="J148" s="126"/>
    </row>
    <row r="149" spans="1:10" ht="12.75" customHeight="1" x14ac:dyDescent="0.2">
      <c r="A149" s="124"/>
      <c r="B149" s="124"/>
      <c r="C149" s="124"/>
      <c r="D149" s="126"/>
      <c r="E149" s="126"/>
      <c r="F149" s="125"/>
      <c r="G149" s="124"/>
      <c r="H149" s="124"/>
      <c r="I149" s="126"/>
      <c r="J149" s="126"/>
    </row>
    <row r="150" spans="1:10" ht="12.75" customHeight="1" x14ac:dyDescent="0.2">
      <c r="A150" s="124"/>
      <c r="B150" s="124"/>
      <c r="C150" s="124"/>
      <c r="D150" s="126"/>
      <c r="E150" s="126"/>
      <c r="F150" s="126"/>
      <c r="G150" s="124"/>
      <c r="H150" s="124"/>
      <c r="I150" s="126"/>
      <c r="J150" s="126"/>
    </row>
    <row r="151" spans="1:10" ht="12.75" customHeight="1" x14ac:dyDescent="0.2">
      <c r="A151" s="124"/>
      <c r="B151" s="124"/>
      <c r="C151" s="124"/>
      <c r="D151" s="126"/>
      <c r="E151" s="126"/>
      <c r="F151" s="125"/>
      <c r="G151" s="124"/>
      <c r="H151" s="124"/>
      <c r="I151" s="126"/>
      <c r="J151" s="126"/>
    </row>
    <row r="152" spans="1:10" ht="12.75" customHeight="1" x14ac:dyDescent="0.2">
      <c r="A152" s="124"/>
      <c r="B152" s="124"/>
      <c r="C152" s="124"/>
      <c r="D152" s="126"/>
      <c r="E152" s="126"/>
      <c r="F152" s="125"/>
      <c r="G152" s="124"/>
      <c r="H152" s="124"/>
      <c r="I152" s="126"/>
      <c r="J152" s="126"/>
    </row>
    <row r="153" spans="1:10" ht="12.75" customHeight="1" x14ac:dyDescent="0.2">
      <c r="A153" s="124"/>
      <c r="B153" s="124"/>
      <c r="C153" s="124"/>
      <c r="D153" s="126"/>
      <c r="E153" s="126"/>
      <c r="F153" s="126"/>
      <c r="G153" s="124"/>
      <c r="H153" s="124"/>
      <c r="I153" s="126"/>
      <c r="J153" s="126"/>
    </row>
    <row r="154" spans="1:10" ht="12.75" customHeight="1" x14ac:dyDescent="0.2">
      <c r="A154" s="124"/>
      <c r="B154" s="124"/>
      <c r="C154" s="124"/>
      <c r="D154" s="126"/>
      <c r="E154" s="126"/>
      <c r="F154" s="125"/>
      <c r="G154" s="124"/>
      <c r="H154" s="124"/>
      <c r="I154" s="126"/>
      <c r="J154" s="126"/>
    </row>
    <row r="155" spans="1:10" ht="12.75" customHeight="1" x14ac:dyDescent="0.2">
      <c r="A155" s="124"/>
      <c r="B155" s="124"/>
      <c r="C155" s="124"/>
      <c r="D155" s="126"/>
      <c r="E155" s="126"/>
      <c r="F155" s="125"/>
      <c r="G155" s="124"/>
      <c r="H155" s="124"/>
      <c r="I155" s="126"/>
      <c r="J155" s="126"/>
    </row>
    <row r="156" spans="1:10" ht="12.75" customHeight="1" x14ac:dyDescent="0.2">
      <c r="A156" s="124"/>
      <c r="B156" s="124"/>
      <c r="C156" s="124"/>
      <c r="D156" s="126"/>
      <c r="E156" s="126"/>
      <c r="F156" s="126"/>
      <c r="G156" s="124"/>
      <c r="H156" s="124"/>
      <c r="I156" s="126"/>
      <c r="J156" s="126"/>
    </row>
    <row r="157" spans="1:10" ht="12.75" customHeight="1" x14ac:dyDescent="0.2">
      <c r="A157" s="124"/>
      <c r="B157" s="124"/>
      <c r="C157" s="124"/>
      <c r="D157" s="126"/>
      <c r="E157" s="126"/>
      <c r="F157" s="125"/>
      <c r="G157" s="124"/>
      <c r="H157" s="124"/>
      <c r="I157" s="126"/>
      <c r="J157" s="126"/>
    </row>
    <row r="158" spans="1:10" ht="12.75" customHeight="1" x14ac:dyDescent="0.2">
      <c r="A158" s="124"/>
      <c r="B158" s="124"/>
      <c r="C158" s="124"/>
      <c r="D158" s="126"/>
      <c r="E158" s="126"/>
      <c r="F158" s="125"/>
      <c r="G158" s="124"/>
      <c r="H158" s="124"/>
      <c r="I158" s="126"/>
      <c r="J158" s="126"/>
    </row>
    <row r="159" spans="1:10" ht="12.75" customHeight="1" x14ac:dyDescent="0.2">
      <c r="A159" s="124"/>
      <c r="B159" s="124"/>
      <c r="C159" s="124"/>
      <c r="D159" s="126"/>
      <c r="E159" s="126"/>
      <c r="F159" s="126"/>
      <c r="G159" s="124"/>
      <c r="H159" s="124"/>
      <c r="I159" s="126"/>
      <c r="J159" s="126"/>
    </row>
    <row r="160" spans="1:10" ht="12.75" customHeight="1" x14ac:dyDescent="0.2">
      <c r="A160" s="124"/>
      <c r="B160" s="124"/>
      <c r="C160" s="124"/>
      <c r="D160" s="126"/>
      <c r="E160" s="126"/>
      <c r="F160" s="125"/>
      <c r="G160" s="124"/>
      <c r="H160" s="124"/>
      <c r="I160" s="126"/>
      <c r="J160" s="126"/>
    </row>
    <row r="161" spans="1:10" ht="12.75" customHeight="1" x14ac:dyDescent="0.2">
      <c r="A161" s="124"/>
      <c r="B161" s="124"/>
      <c r="C161" s="124"/>
      <c r="D161" s="126"/>
      <c r="E161" s="126"/>
      <c r="F161" s="125"/>
      <c r="G161" s="124"/>
      <c r="H161" s="124"/>
      <c r="I161" s="126"/>
      <c r="J161" s="126"/>
    </row>
    <row r="162" spans="1:10" ht="12.75" customHeight="1" x14ac:dyDescent="0.2">
      <c r="A162" s="124"/>
      <c r="B162" s="124"/>
      <c r="C162" s="124"/>
      <c r="D162" s="126"/>
      <c r="E162" s="126"/>
      <c r="F162" s="126"/>
      <c r="G162" s="124"/>
      <c r="H162" s="124"/>
      <c r="I162" s="126"/>
      <c r="J162" s="126"/>
    </row>
    <row r="163" spans="1:10" ht="12.75" customHeight="1" x14ac:dyDescent="0.2">
      <c r="A163" s="124"/>
      <c r="B163" s="124"/>
      <c r="C163" s="124"/>
      <c r="D163" s="126"/>
      <c r="E163" s="126"/>
      <c r="F163" s="125"/>
      <c r="G163" s="124"/>
      <c r="H163" s="124"/>
      <c r="I163" s="126"/>
      <c r="J163" s="126"/>
    </row>
    <row r="164" spans="1:10" ht="12.75" customHeight="1" x14ac:dyDescent="0.2">
      <c r="A164" s="124"/>
      <c r="B164" s="124"/>
      <c r="C164" s="124"/>
      <c r="D164" s="126"/>
      <c r="E164" s="126"/>
      <c r="F164" s="125"/>
      <c r="G164" s="124"/>
      <c r="H164" s="124"/>
      <c r="I164" s="126"/>
      <c r="J164" s="126"/>
    </row>
    <row r="165" spans="1:10" ht="12.75" customHeight="1" x14ac:dyDescent="0.2">
      <c r="A165" s="124"/>
      <c r="B165" s="124"/>
      <c r="C165" s="124"/>
      <c r="D165" s="126"/>
      <c r="E165" s="126"/>
      <c r="F165" s="126"/>
      <c r="G165" s="124"/>
      <c r="H165" s="124"/>
      <c r="I165" s="126"/>
      <c r="J165" s="126"/>
    </row>
    <row r="166" spans="1:10" ht="12.75" customHeight="1" x14ac:dyDescent="0.2">
      <c r="A166" s="124"/>
      <c r="B166" s="124"/>
      <c r="C166" s="124"/>
      <c r="D166" s="126"/>
      <c r="E166" s="126"/>
      <c r="F166" s="125"/>
      <c r="G166" s="124"/>
      <c r="H166" s="124"/>
      <c r="I166" s="126"/>
      <c r="J166" s="126"/>
    </row>
    <row r="167" spans="1:10" ht="12.75" customHeight="1" x14ac:dyDescent="0.2">
      <c r="A167" s="124"/>
      <c r="B167" s="124"/>
      <c r="C167" s="124"/>
      <c r="D167" s="126"/>
      <c r="E167" s="126"/>
      <c r="F167" s="125"/>
      <c r="G167" s="124"/>
      <c r="H167" s="124"/>
      <c r="I167" s="126"/>
      <c r="J167" s="126"/>
    </row>
    <row r="168" spans="1:10" ht="12.75" customHeight="1" x14ac:dyDescent="0.2">
      <c r="A168" s="124"/>
      <c r="B168" s="124"/>
      <c r="C168" s="124"/>
      <c r="D168" s="126"/>
      <c r="E168" s="126"/>
      <c r="F168" s="126"/>
      <c r="G168" s="124"/>
      <c r="H168" s="124"/>
      <c r="I168" s="126"/>
      <c r="J168" s="126"/>
    </row>
    <row r="169" spans="1:10" ht="12.75" customHeight="1" x14ac:dyDescent="0.2">
      <c r="A169" s="124"/>
      <c r="B169" s="124"/>
      <c r="C169" s="124"/>
      <c r="D169" s="126"/>
      <c r="E169" s="126"/>
      <c r="F169" s="125"/>
      <c r="G169" s="124"/>
      <c r="H169" s="124"/>
      <c r="I169" s="126"/>
      <c r="J169" s="126"/>
    </row>
    <row r="170" spans="1:10" ht="12.75" customHeight="1" x14ac:dyDescent="0.2">
      <c r="A170" s="124"/>
      <c r="B170" s="124"/>
      <c r="C170" s="124"/>
      <c r="D170" s="126"/>
      <c r="E170" s="126"/>
      <c r="F170" s="125"/>
      <c r="G170" s="124"/>
      <c r="H170" s="124"/>
      <c r="I170" s="126"/>
      <c r="J170" s="126"/>
    </row>
    <row r="171" spans="1:10" ht="12.75" customHeight="1" x14ac:dyDescent="0.2">
      <c r="A171" s="124"/>
      <c r="B171" s="124"/>
      <c r="C171" s="124"/>
      <c r="D171" s="126"/>
      <c r="E171" s="126"/>
      <c r="F171" s="126"/>
      <c r="G171" s="124"/>
      <c r="H171" s="124"/>
      <c r="I171" s="126"/>
      <c r="J171" s="126"/>
    </row>
    <row r="172" spans="1:10" ht="12.75" customHeight="1" x14ac:dyDescent="0.2">
      <c r="A172" s="124"/>
      <c r="B172" s="124"/>
      <c r="C172" s="124"/>
      <c r="D172" s="126"/>
      <c r="E172" s="126"/>
      <c r="F172" s="125"/>
      <c r="G172" s="124"/>
      <c r="H172" s="124"/>
      <c r="I172" s="126"/>
      <c r="J172" s="126"/>
    </row>
    <row r="173" spans="1:10" ht="12.75" customHeight="1" x14ac:dyDescent="0.2">
      <c r="A173" s="124"/>
      <c r="B173" s="124"/>
      <c r="C173" s="124"/>
      <c r="D173" s="126"/>
      <c r="E173" s="126"/>
      <c r="F173" s="125"/>
      <c r="G173" s="124"/>
      <c r="H173" s="124"/>
      <c r="I173" s="126"/>
      <c r="J173" s="126"/>
    </row>
    <row r="174" spans="1:10" ht="12.75" customHeight="1" x14ac:dyDescent="0.2">
      <c r="A174" s="124"/>
      <c r="B174" s="124"/>
      <c r="C174" s="124"/>
      <c r="D174" s="126"/>
      <c r="E174" s="126"/>
      <c r="F174" s="126"/>
      <c r="G174" s="124"/>
      <c r="H174" s="124"/>
      <c r="I174" s="126"/>
      <c r="J174" s="126"/>
    </row>
    <row r="175" spans="1:10" ht="12.75" customHeight="1" x14ac:dyDescent="0.2">
      <c r="A175" s="124"/>
      <c r="B175" s="124"/>
      <c r="C175" s="124"/>
      <c r="D175" s="126"/>
      <c r="E175" s="126"/>
      <c r="F175" s="125"/>
      <c r="G175" s="124"/>
      <c r="H175" s="124"/>
      <c r="I175" s="126"/>
      <c r="J175" s="126"/>
    </row>
    <row r="176" spans="1:10" ht="12.75" customHeight="1" x14ac:dyDescent="0.2">
      <c r="A176" s="124"/>
      <c r="B176" s="124"/>
      <c r="C176" s="124"/>
      <c r="D176" s="126"/>
      <c r="E176" s="126"/>
      <c r="F176" s="125"/>
      <c r="G176" s="124"/>
      <c r="H176" s="124"/>
      <c r="I176" s="126"/>
      <c r="J176" s="126"/>
    </row>
    <row r="177" spans="1:10" ht="12.75" customHeight="1" x14ac:dyDescent="0.2">
      <c r="A177" s="124"/>
      <c r="B177" s="124"/>
      <c r="C177" s="124"/>
      <c r="D177" s="126"/>
      <c r="E177" s="126"/>
      <c r="F177" s="126"/>
      <c r="G177" s="124"/>
      <c r="H177" s="124"/>
      <c r="I177" s="126"/>
      <c r="J177" s="126"/>
    </row>
    <row r="178" spans="1:10" ht="12.75" customHeight="1" x14ac:dyDescent="0.2">
      <c r="A178" s="124"/>
      <c r="B178" s="124"/>
      <c r="C178" s="124"/>
      <c r="D178" s="126"/>
      <c r="E178" s="126"/>
      <c r="F178" s="125"/>
      <c r="G178" s="124"/>
      <c r="H178" s="124"/>
      <c r="I178" s="126"/>
      <c r="J178" s="126"/>
    </row>
    <row r="179" spans="1:10" ht="12.75" customHeight="1" x14ac:dyDescent="0.2">
      <c r="A179" s="124"/>
      <c r="B179" s="124"/>
      <c r="C179" s="124"/>
      <c r="D179" s="126"/>
      <c r="E179" s="126"/>
      <c r="F179" s="125"/>
      <c r="G179" s="124"/>
      <c r="H179" s="124"/>
      <c r="I179" s="126"/>
      <c r="J179" s="126"/>
    </row>
    <row r="180" spans="1:10" ht="12.75" customHeight="1" x14ac:dyDescent="0.2">
      <c r="A180" s="124"/>
      <c r="B180" s="124"/>
      <c r="C180" s="124"/>
      <c r="D180" s="126"/>
      <c r="E180" s="126"/>
      <c r="F180" s="126"/>
      <c r="G180" s="124"/>
      <c r="H180" s="124"/>
      <c r="I180" s="126"/>
      <c r="J180" s="126"/>
    </row>
    <row r="181" spans="1:10" ht="12.75" customHeight="1" x14ac:dyDescent="0.2">
      <c r="A181" s="124"/>
      <c r="B181" s="124"/>
      <c r="C181" s="124"/>
      <c r="D181" s="126"/>
      <c r="E181" s="126"/>
      <c r="F181" s="125"/>
      <c r="G181" s="124"/>
      <c r="H181" s="124"/>
      <c r="I181" s="126"/>
      <c r="J181" s="126"/>
    </row>
    <row r="182" spans="1:10" ht="12.75" customHeight="1" x14ac:dyDescent="0.2">
      <c r="A182" s="124"/>
      <c r="B182" s="124"/>
      <c r="C182" s="124"/>
      <c r="D182" s="126"/>
      <c r="E182" s="126"/>
      <c r="F182" s="125"/>
      <c r="G182" s="124"/>
      <c r="H182" s="124"/>
      <c r="I182" s="126"/>
      <c r="J182" s="126"/>
    </row>
    <row r="183" spans="1:10" ht="12.75" customHeight="1" x14ac:dyDescent="0.2">
      <c r="A183" s="124"/>
      <c r="B183" s="124"/>
      <c r="C183" s="124"/>
      <c r="D183" s="126"/>
      <c r="E183" s="126"/>
      <c r="F183" s="126"/>
      <c r="G183" s="124"/>
      <c r="H183" s="124"/>
      <c r="I183" s="126"/>
      <c r="J183" s="126"/>
    </row>
    <row r="184" spans="1:10" ht="12.75" customHeight="1" x14ac:dyDescent="0.2">
      <c r="A184" s="124"/>
      <c r="B184" s="124"/>
      <c r="C184" s="124"/>
      <c r="D184" s="126"/>
      <c r="E184" s="126"/>
      <c r="F184" s="125"/>
      <c r="G184" s="124"/>
      <c r="H184" s="124"/>
      <c r="I184" s="126"/>
      <c r="J184" s="126"/>
    </row>
    <row r="185" spans="1:10" ht="12.75" customHeight="1" x14ac:dyDescent="0.2">
      <c r="A185" s="124"/>
      <c r="B185" s="124"/>
      <c r="C185" s="124"/>
      <c r="D185" s="126"/>
      <c r="E185" s="126"/>
      <c r="F185" s="125"/>
      <c r="G185" s="124"/>
      <c r="H185" s="124"/>
      <c r="I185" s="126"/>
      <c r="J185" s="126"/>
    </row>
    <row r="186" spans="1:10" ht="12.75" customHeight="1" x14ac:dyDescent="0.2">
      <c r="A186" s="124"/>
      <c r="B186" s="124"/>
      <c r="C186" s="124"/>
      <c r="D186" s="126"/>
      <c r="E186" s="126"/>
      <c r="F186" s="126"/>
      <c r="G186" s="124"/>
      <c r="H186" s="124"/>
      <c r="I186" s="126"/>
      <c r="J186" s="126"/>
    </row>
    <row r="187" spans="1:10" ht="12.75" customHeight="1" x14ac:dyDescent="0.2">
      <c r="A187" s="124"/>
      <c r="B187" s="124"/>
      <c r="C187" s="124"/>
      <c r="D187" s="126"/>
      <c r="E187" s="126"/>
      <c r="F187" s="125"/>
      <c r="G187" s="124"/>
      <c r="H187" s="124"/>
      <c r="I187" s="126"/>
      <c r="J187" s="126"/>
    </row>
    <row r="188" spans="1:10" ht="12.75" customHeight="1" x14ac:dyDescent="0.2">
      <c r="A188" s="124"/>
      <c r="B188" s="124"/>
      <c r="C188" s="124"/>
      <c r="D188" s="126"/>
      <c r="E188" s="126"/>
      <c r="F188" s="125"/>
      <c r="G188" s="124"/>
      <c r="H188" s="124"/>
      <c r="I188" s="126"/>
      <c r="J188" s="126"/>
    </row>
    <row r="189" spans="1:10" ht="12.75" customHeight="1" x14ac:dyDescent="0.2">
      <c r="A189" s="124"/>
      <c r="B189" s="124"/>
      <c r="C189" s="124"/>
      <c r="D189" s="126"/>
      <c r="E189" s="126"/>
      <c r="F189" s="126"/>
      <c r="G189" s="124"/>
      <c r="H189" s="124"/>
      <c r="I189" s="126"/>
      <c r="J189" s="126"/>
    </row>
    <row r="190" spans="1:10" ht="12.75" customHeight="1" x14ac:dyDescent="0.2">
      <c r="A190" s="124"/>
      <c r="B190" s="124"/>
      <c r="C190" s="124"/>
      <c r="D190" s="126"/>
      <c r="E190" s="126"/>
      <c r="F190" s="125"/>
      <c r="G190" s="124"/>
      <c r="H190" s="124"/>
      <c r="I190" s="126"/>
      <c r="J190" s="126"/>
    </row>
    <row r="191" spans="1:10" ht="12.75" customHeight="1" x14ac:dyDescent="0.2">
      <c r="A191" s="124"/>
      <c r="B191" s="124"/>
      <c r="C191" s="124"/>
      <c r="D191" s="126"/>
      <c r="E191" s="126"/>
      <c r="F191" s="125"/>
      <c r="G191" s="124"/>
      <c r="H191" s="124"/>
      <c r="I191" s="126"/>
      <c r="J191" s="126"/>
    </row>
    <row r="192" spans="1:10" ht="12.75" customHeight="1" x14ac:dyDescent="0.2">
      <c r="A192" s="124"/>
      <c r="B192" s="124"/>
      <c r="C192" s="124"/>
      <c r="D192" s="126"/>
      <c r="E192" s="126"/>
      <c r="F192" s="126"/>
      <c r="G192" s="124"/>
      <c r="H192" s="124"/>
      <c r="I192" s="126"/>
      <c r="J192" s="126"/>
    </row>
    <row r="193" spans="1:10" ht="12.75" customHeight="1" x14ac:dyDescent="0.2">
      <c r="A193" s="124"/>
      <c r="B193" s="124"/>
      <c r="C193" s="124"/>
      <c r="D193" s="126"/>
      <c r="E193" s="126"/>
      <c r="F193" s="125"/>
      <c r="G193" s="124"/>
      <c r="H193" s="124"/>
      <c r="I193" s="126"/>
      <c r="J193" s="126"/>
    </row>
    <row r="194" spans="1:10" ht="12.75" customHeight="1" x14ac:dyDescent="0.2">
      <c r="A194" s="124"/>
      <c r="B194" s="124"/>
      <c r="C194" s="124"/>
      <c r="D194" s="126"/>
      <c r="E194" s="126"/>
      <c r="F194" s="125"/>
      <c r="G194" s="124"/>
      <c r="H194" s="124"/>
      <c r="I194" s="126"/>
      <c r="J194" s="126"/>
    </row>
    <row r="195" spans="1:10" ht="12.75" customHeight="1" x14ac:dyDescent="0.2">
      <c r="A195" s="124"/>
      <c r="B195" s="124"/>
      <c r="C195" s="124"/>
      <c r="D195" s="126"/>
      <c r="E195" s="126"/>
      <c r="F195" s="126"/>
      <c r="G195" s="124"/>
      <c r="H195" s="124"/>
      <c r="I195" s="126"/>
      <c r="J195" s="126"/>
    </row>
    <row r="196" spans="1:10" ht="12.75" customHeight="1" x14ac:dyDescent="0.2">
      <c r="A196" s="124"/>
      <c r="B196" s="124"/>
      <c r="C196" s="124"/>
      <c r="D196" s="126"/>
      <c r="E196" s="126"/>
      <c r="F196" s="125"/>
      <c r="G196" s="124"/>
      <c r="H196" s="124"/>
      <c r="I196" s="126"/>
      <c r="J196" s="126"/>
    </row>
    <row r="197" spans="1:10" ht="12.75" customHeight="1" x14ac:dyDescent="0.2">
      <c r="A197" s="124"/>
      <c r="B197" s="124"/>
      <c r="C197" s="124"/>
      <c r="D197" s="126"/>
      <c r="E197" s="126"/>
      <c r="F197" s="125"/>
      <c r="G197" s="124"/>
      <c r="H197" s="124"/>
      <c r="I197" s="126"/>
      <c r="J197" s="126"/>
    </row>
    <row r="198" spans="1:10" ht="12.75" customHeight="1" x14ac:dyDescent="0.2">
      <c r="A198" s="124"/>
      <c r="B198" s="124"/>
      <c r="C198" s="124"/>
      <c r="D198" s="126"/>
      <c r="E198" s="126"/>
      <c r="F198" s="126"/>
      <c r="G198" s="124"/>
      <c r="H198" s="124"/>
      <c r="I198" s="126"/>
      <c r="J198" s="126"/>
    </row>
    <row r="199" spans="1:10" ht="12.75" customHeight="1" x14ac:dyDescent="0.2">
      <c r="A199" s="124"/>
      <c r="B199" s="124"/>
      <c r="C199" s="124"/>
      <c r="D199" s="126"/>
      <c r="E199" s="126"/>
      <c r="F199" s="125"/>
      <c r="G199" s="124"/>
      <c r="H199" s="124"/>
      <c r="I199" s="126"/>
      <c r="J199" s="126"/>
    </row>
    <row r="200" spans="1:10" ht="12.75" customHeight="1" x14ac:dyDescent="0.2">
      <c r="A200" s="124"/>
      <c r="B200" s="124"/>
      <c r="C200" s="124"/>
      <c r="D200" s="126"/>
      <c r="E200" s="126"/>
      <c r="F200" s="125"/>
      <c r="G200" s="124"/>
      <c r="H200" s="124"/>
      <c r="I200" s="126"/>
      <c r="J200" s="126"/>
    </row>
    <row r="201" spans="1:10" ht="12.75" customHeight="1" x14ac:dyDescent="0.2">
      <c r="A201" s="124"/>
      <c r="B201" s="124"/>
      <c r="C201" s="124"/>
      <c r="D201" s="126"/>
      <c r="E201" s="126"/>
      <c r="F201" s="126"/>
      <c r="G201" s="124"/>
      <c r="H201" s="124"/>
      <c r="I201" s="126"/>
      <c r="J201" s="126"/>
    </row>
    <row r="202" spans="1:10" ht="12.75" customHeight="1" x14ac:dyDescent="0.2">
      <c r="A202" s="124"/>
      <c r="B202" s="124"/>
      <c r="C202" s="124"/>
      <c r="D202" s="126"/>
      <c r="E202" s="126"/>
      <c r="F202" s="125"/>
      <c r="G202" s="124"/>
      <c r="H202" s="124"/>
      <c r="I202" s="126"/>
      <c r="J202" s="126"/>
    </row>
    <row r="203" spans="1:10" ht="12.75" customHeight="1" x14ac:dyDescent="0.2">
      <c r="A203" s="124"/>
      <c r="B203" s="124"/>
      <c r="C203" s="124"/>
      <c r="D203" s="126"/>
      <c r="E203" s="126"/>
      <c r="F203" s="125"/>
      <c r="G203" s="124"/>
      <c r="H203" s="124"/>
      <c r="I203" s="126"/>
      <c r="J203" s="126"/>
    </row>
    <row r="204" spans="1:10" ht="12.75" customHeight="1" x14ac:dyDescent="0.2">
      <c r="A204" s="124"/>
      <c r="B204" s="124"/>
      <c r="C204" s="124"/>
      <c r="D204" s="126"/>
      <c r="E204" s="126"/>
      <c r="F204" s="126"/>
      <c r="G204" s="124"/>
      <c r="H204" s="124"/>
      <c r="I204" s="126"/>
      <c r="J204" s="126"/>
    </row>
    <row r="205" spans="1:10" ht="12.75" customHeight="1" x14ac:dyDescent="0.2">
      <c r="A205" s="124"/>
      <c r="B205" s="124"/>
      <c r="C205" s="124"/>
      <c r="D205" s="126"/>
      <c r="E205" s="126"/>
      <c r="F205" s="125"/>
      <c r="G205" s="124"/>
      <c r="H205" s="124"/>
      <c r="I205" s="126"/>
      <c r="J205" s="126"/>
    </row>
    <row r="206" spans="1:10" ht="12.75" customHeight="1" x14ac:dyDescent="0.2">
      <c r="A206" s="124"/>
      <c r="B206" s="124"/>
      <c r="C206" s="124"/>
      <c r="D206" s="126"/>
      <c r="E206" s="126"/>
      <c r="F206" s="125"/>
      <c r="G206" s="124"/>
      <c r="H206" s="124"/>
      <c r="I206" s="126"/>
      <c r="J206" s="126"/>
    </row>
    <row r="207" spans="1:10" ht="12.75" customHeight="1" x14ac:dyDescent="0.2">
      <c r="A207" s="124"/>
      <c r="B207" s="124"/>
      <c r="C207" s="124"/>
      <c r="D207" s="126"/>
      <c r="E207" s="126"/>
      <c r="F207" s="126"/>
      <c r="G207" s="124"/>
      <c r="H207" s="124"/>
      <c r="I207" s="126"/>
      <c r="J207" s="126"/>
    </row>
    <row r="208" spans="1:10" ht="12.75" customHeight="1" x14ac:dyDescent="0.2">
      <c r="A208" s="124"/>
      <c r="B208" s="124"/>
      <c r="C208" s="124"/>
      <c r="D208" s="126"/>
      <c r="E208" s="126"/>
      <c r="F208" s="125"/>
      <c r="G208" s="124"/>
      <c r="H208" s="124"/>
      <c r="I208" s="126"/>
      <c r="J208" s="126"/>
    </row>
    <row r="209" spans="1:10" ht="12.75" customHeight="1" x14ac:dyDescent="0.2">
      <c r="A209" s="124"/>
      <c r="B209" s="124"/>
      <c r="C209" s="124"/>
      <c r="D209" s="126"/>
      <c r="E209" s="126"/>
      <c r="F209" s="125"/>
      <c r="G209" s="124"/>
      <c r="H209" s="124"/>
      <c r="I209" s="126"/>
      <c r="J209" s="126"/>
    </row>
    <row r="210" spans="1:10" ht="12.75" customHeight="1" x14ac:dyDescent="0.2">
      <c r="A210" s="124"/>
      <c r="B210" s="124"/>
      <c r="C210" s="124"/>
      <c r="D210" s="126"/>
      <c r="E210" s="126"/>
      <c r="F210" s="126"/>
      <c r="G210" s="124"/>
      <c r="H210" s="124"/>
      <c r="I210" s="126"/>
      <c r="J210" s="126"/>
    </row>
    <row r="211" spans="1:10" ht="12.75" customHeight="1" x14ac:dyDescent="0.2">
      <c r="A211" s="124"/>
      <c r="B211" s="124"/>
      <c r="C211" s="124"/>
      <c r="D211" s="126"/>
      <c r="E211" s="126"/>
      <c r="F211" s="125"/>
      <c r="G211" s="124"/>
      <c r="H211" s="124"/>
      <c r="I211" s="126"/>
      <c r="J211" s="126"/>
    </row>
    <row r="212" spans="1:10" ht="12.75" customHeight="1" x14ac:dyDescent="0.2">
      <c r="A212" s="124"/>
      <c r="B212" s="124"/>
      <c r="C212" s="124"/>
      <c r="D212" s="126"/>
      <c r="E212" s="126"/>
      <c r="F212" s="125"/>
      <c r="G212" s="124"/>
      <c r="H212" s="124"/>
      <c r="I212" s="126"/>
      <c r="J212" s="126"/>
    </row>
    <row r="213" spans="1:10" ht="12.75" customHeight="1" x14ac:dyDescent="0.2">
      <c r="A213" s="124"/>
      <c r="B213" s="124"/>
      <c r="C213" s="124"/>
      <c r="D213" s="126"/>
      <c r="E213" s="126"/>
      <c r="F213" s="126"/>
      <c r="G213" s="124"/>
      <c r="H213" s="124"/>
      <c r="I213" s="126"/>
      <c r="J213" s="126"/>
    </row>
    <row r="214" spans="1:10" ht="12.75" customHeight="1" x14ac:dyDescent="0.2">
      <c r="A214" s="124"/>
      <c r="B214" s="124"/>
      <c r="C214" s="124"/>
      <c r="D214" s="126"/>
      <c r="E214" s="126"/>
      <c r="F214" s="125"/>
      <c r="G214" s="124"/>
      <c r="H214" s="124"/>
      <c r="I214" s="126"/>
      <c r="J214" s="126"/>
    </row>
    <row r="215" spans="1:10" ht="12.75" customHeight="1" x14ac:dyDescent="0.2">
      <c r="A215" s="124"/>
      <c r="B215" s="124"/>
      <c r="C215" s="124"/>
      <c r="D215" s="126"/>
      <c r="E215" s="126"/>
      <c r="F215" s="125"/>
      <c r="G215" s="124"/>
      <c r="H215" s="124"/>
      <c r="I215" s="126"/>
      <c r="J215" s="126"/>
    </row>
    <row r="216" spans="1:10" ht="12.75" customHeight="1" x14ac:dyDescent="0.2">
      <c r="A216" s="124"/>
      <c r="B216" s="124"/>
      <c r="C216" s="124"/>
      <c r="D216" s="126"/>
      <c r="E216" s="126"/>
      <c r="F216" s="126"/>
      <c r="G216" s="124"/>
      <c r="H216" s="124"/>
      <c r="I216" s="126"/>
      <c r="J216" s="126"/>
    </row>
    <row r="217" spans="1:10" ht="12.75" customHeight="1" x14ac:dyDescent="0.2">
      <c r="A217" s="124"/>
      <c r="B217" s="124"/>
      <c r="C217" s="124"/>
      <c r="D217" s="126"/>
      <c r="E217" s="126"/>
      <c r="F217" s="125"/>
      <c r="G217" s="124"/>
      <c r="H217" s="124"/>
      <c r="I217" s="126"/>
      <c r="J217" s="126"/>
    </row>
    <row r="218" spans="1:10" ht="12.75" customHeight="1" x14ac:dyDescent="0.2">
      <c r="A218" s="124"/>
      <c r="B218" s="124"/>
      <c r="C218" s="124"/>
      <c r="D218" s="126"/>
      <c r="E218" s="126"/>
      <c r="F218" s="125"/>
      <c r="G218" s="124"/>
      <c r="H218" s="124"/>
      <c r="I218" s="126"/>
      <c r="J218" s="126"/>
    </row>
    <row r="219" spans="1:10" ht="12.75" customHeight="1" x14ac:dyDescent="0.2">
      <c r="A219" s="124"/>
      <c r="B219" s="124"/>
      <c r="C219" s="124"/>
      <c r="D219" s="126"/>
      <c r="E219" s="126"/>
      <c r="F219" s="126"/>
      <c r="G219" s="124"/>
      <c r="H219" s="124"/>
      <c r="I219" s="126"/>
      <c r="J219" s="126"/>
    </row>
    <row r="220" spans="1:10" ht="12.75" customHeight="1" x14ac:dyDescent="0.2">
      <c r="A220" s="124"/>
      <c r="B220" s="124"/>
      <c r="C220" s="124"/>
      <c r="D220" s="126"/>
      <c r="E220" s="126"/>
      <c r="F220" s="125"/>
      <c r="G220" s="124"/>
      <c r="H220" s="124"/>
      <c r="I220" s="126"/>
      <c r="J220" s="126"/>
    </row>
    <row r="221" spans="1:10" ht="12.75" customHeight="1" x14ac:dyDescent="0.2">
      <c r="A221" s="124"/>
      <c r="B221" s="124"/>
      <c r="C221" s="124"/>
      <c r="D221" s="126"/>
      <c r="E221" s="126"/>
      <c r="F221" s="125"/>
      <c r="G221" s="124"/>
      <c r="H221" s="124"/>
      <c r="I221" s="126"/>
      <c r="J221" s="126"/>
    </row>
    <row r="222" spans="1:10" ht="12.75" customHeight="1" x14ac:dyDescent="0.2">
      <c r="A222" s="124"/>
      <c r="B222" s="124"/>
      <c r="C222" s="124"/>
      <c r="D222" s="126"/>
      <c r="E222" s="126"/>
      <c r="F222" s="126"/>
      <c r="G222" s="124"/>
      <c r="H222" s="124"/>
      <c r="I222" s="126"/>
      <c r="J222" s="126"/>
    </row>
    <row r="223" spans="1:10" ht="12.75" customHeight="1" x14ac:dyDescent="0.2">
      <c r="A223" s="124"/>
      <c r="B223" s="124"/>
      <c r="C223" s="124"/>
      <c r="D223" s="126"/>
      <c r="E223" s="126"/>
      <c r="F223" s="125"/>
      <c r="G223" s="124"/>
      <c r="H223" s="124"/>
      <c r="I223" s="126"/>
      <c r="J223" s="126"/>
    </row>
    <row r="224" spans="1:10" ht="12.75" customHeight="1" x14ac:dyDescent="0.2">
      <c r="A224" s="124"/>
      <c r="B224" s="124"/>
      <c r="C224" s="124"/>
      <c r="D224" s="126"/>
      <c r="E224" s="126"/>
      <c r="F224" s="125"/>
      <c r="G224" s="124"/>
      <c r="H224" s="124"/>
      <c r="I224" s="126"/>
      <c r="J224" s="126"/>
    </row>
    <row r="225" spans="1:10" ht="12.75" customHeight="1" x14ac:dyDescent="0.2">
      <c r="A225" s="124"/>
      <c r="B225" s="124"/>
      <c r="C225" s="124"/>
      <c r="D225" s="126"/>
      <c r="E225" s="126"/>
      <c r="F225" s="126"/>
      <c r="G225" s="124"/>
      <c r="H225" s="124"/>
      <c r="I225" s="126"/>
      <c r="J225" s="126"/>
    </row>
    <row r="226" spans="1:10" ht="12.75" customHeight="1" x14ac:dyDescent="0.2">
      <c r="A226" s="124"/>
      <c r="B226" s="124"/>
      <c r="C226" s="124"/>
      <c r="D226" s="126"/>
      <c r="E226" s="126"/>
      <c r="F226" s="125"/>
      <c r="G226" s="124"/>
      <c r="H226" s="124"/>
      <c r="I226" s="126"/>
      <c r="J226" s="126"/>
    </row>
    <row r="227" spans="1:10" ht="12.75" customHeight="1" x14ac:dyDescent="0.2">
      <c r="A227" s="124"/>
      <c r="B227" s="124"/>
      <c r="C227" s="124"/>
      <c r="D227" s="126"/>
      <c r="E227" s="126"/>
      <c r="F227" s="125"/>
      <c r="G227" s="124"/>
      <c r="H227" s="124"/>
      <c r="I227" s="126"/>
      <c r="J227" s="126"/>
    </row>
    <row r="228" spans="1:10" ht="12.75" customHeight="1" x14ac:dyDescent="0.2">
      <c r="A228" s="124"/>
      <c r="B228" s="124"/>
      <c r="C228" s="124"/>
      <c r="D228" s="126"/>
      <c r="E228" s="126"/>
      <c r="F228" s="126"/>
      <c r="G228" s="124"/>
      <c r="H228" s="124"/>
      <c r="I228" s="126"/>
      <c r="J228" s="126"/>
    </row>
    <row r="229" spans="1:10" ht="12.75" customHeight="1" x14ac:dyDescent="0.2">
      <c r="A229" s="124"/>
      <c r="B229" s="124"/>
      <c r="C229" s="124"/>
      <c r="D229" s="126"/>
      <c r="E229" s="126"/>
      <c r="F229" s="125"/>
      <c r="G229" s="124"/>
      <c r="H229" s="124"/>
      <c r="I229" s="126"/>
      <c r="J229" s="126"/>
    </row>
    <row r="230" spans="1:10" ht="12.75" customHeight="1" x14ac:dyDescent="0.2">
      <c r="A230" s="124"/>
      <c r="B230" s="124"/>
      <c r="C230" s="124"/>
      <c r="D230" s="126"/>
      <c r="E230" s="126"/>
      <c r="F230" s="125"/>
      <c r="G230" s="124"/>
      <c r="H230" s="124"/>
      <c r="I230" s="126"/>
      <c r="J230" s="126"/>
    </row>
    <row r="231" spans="1:10" ht="12.75" customHeight="1" x14ac:dyDescent="0.2">
      <c r="A231" s="124"/>
      <c r="B231" s="124"/>
      <c r="C231" s="124"/>
      <c r="D231" s="126"/>
      <c r="E231" s="126"/>
      <c r="F231" s="126"/>
      <c r="G231" s="124"/>
      <c r="H231" s="124"/>
      <c r="I231" s="126"/>
      <c r="J231" s="126"/>
    </row>
    <row r="232" spans="1:10" ht="12.75" customHeight="1" x14ac:dyDescent="0.2">
      <c r="A232" s="124"/>
      <c r="B232" s="124"/>
      <c r="C232" s="124"/>
      <c r="D232" s="126"/>
      <c r="E232" s="126"/>
      <c r="F232" s="125"/>
      <c r="G232" s="124"/>
      <c r="H232" s="124"/>
      <c r="I232" s="126"/>
      <c r="J232" s="126"/>
    </row>
    <row r="233" spans="1:10" ht="12.75" customHeight="1" x14ac:dyDescent="0.2">
      <c r="A233" s="124"/>
      <c r="B233" s="124"/>
      <c r="C233" s="124"/>
      <c r="D233" s="126"/>
      <c r="E233" s="126"/>
      <c r="F233" s="125"/>
      <c r="G233" s="124"/>
      <c r="H233" s="124"/>
      <c r="I233" s="126"/>
      <c r="J233" s="126"/>
    </row>
    <row r="234" spans="1:10" ht="12.75" customHeight="1" x14ac:dyDescent="0.2">
      <c r="A234" s="124"/>
      <c r="B234" s="124"/>
      <c r="C234" s="124"/>
      <c r="D234" s="126"/>
      <c r="E234" s="126"/>
      <c r="F234" s="126"/>
      <c r="G234" s="124"/>
      <c r="H234" s="124"/>
      <c r="I234" s="126"/>
      <c r="J234" s="126"/>
    </row>
    <row r="235" spans="1:10" ht="12.75" customHeight="1" x14ac:dyDescent="0.2">
      <c r="A235" s="124"/>
      <c r="B235" s="124"/>
      <c r="C235" s="124"/>
      <c r="D235" s="126"/>
      <c r="E235" s="126"/>
      <c r="F235" s="125"/>
      <c r="G235" s="124"/>
      <c r="H235" s="124"/>
      <c r="I235" s="126"/>
      <c r="J235" s="126"/>
    </row>
    <row r="236" spans="1:10" ht="12.75" customHeight="1" x14ac:dyDescent="0.2">
      <c r="A236" s="124"/>
      <c r="B236" s="124"/>
      <c r="C236" s="124"/>
      <c r="D236" s="126"/>
      <c r="E236" s="126"/>
      <c r="F236" s="125"/>
      <c r="G236" s="124"/>
      <c r="H236" s="124"/>
      <c r="I236" s="126"/>
      <c r="J236" s="126"/>
    </row>
    <row r="237" spans="1:10" ht="12.75" customHeight="1" x14ac:dyDescent="0.2">
      <c r="A237" s="124"/>
      <c r="B237" s="124"/>
      <c r="C237" s="124"/>
      <c r="D237" s="126"/>
      <c r="E237" s="126"/>
      <c r="F237" s="126"/>
      <c r="G237" s="124"/>
      <c r="H237" s="124"/>
      <c r="I237" s="126"/>
      <c r="J237" s="126"/>
    </row>
    <row r="238" spans="1:10" ht="12.75" customHeight="1" x14ac:dyDescent="0.2">
      <c r="A238" s="124"/>
      <c r="B238" s="124"/>
      <c r="C238" s="124"/>
      <c r="D238" s="126"/>
      <c r="E238" s="126"/>
      <c r="F238" s="125"/>
      <c r="G238" s="124"/>
      <c r="H238" s="124"/>
      <c r="I238" s="126"/>
      <c r="J238" s="126"/>
    </row>
    <row r="239" spans="1:10" ht="12.75" customHeight="1" x14ac:dyDescent="0.2">
      <c r="A239" s="124"/>
      <c r="B239" s="124"/>
      <c r="C239" s="124"/>
      <c r="D239" s="126"/>
      <c r="E239" s="126"/>
      <c r="F239" s="125"/>
      <c r="G239" s="124"/>
      <c r="H239" s="124"/>
      <c r="I239" s="126"/>
      <c r="J239" s="126"/>
    </row>
    <row r="240" spans="1:10" ht="12.75" customHeight="1" x14ac:dyDescent="0.2">
      <c r="A240" s="124"/>
      <c r="B240" s="124"/>
      <c r="C240" s="124"/>
      <c r="D240" s="126"/>
      <c r="E240" s="126"/>
      <c r="F240" s="126"/>
      <c r="G240" s="124"/>
      <c r="H240" s="124"/>
      <c r="I240" s="126"/>
      <c r="J240" s="126"/>
    </row>
    <row r="241" spans="1:10" ht="12.75" customHeight="1" x14ac:dyDescent="0.2">
      <c r="A241" s="124"/>
      <c r="B241" s="124"/>
      <c r="C241" s="124"/>
      <c r="D241" s="126"/>
      <c r="E241" s="126"/>
      <c r="F241" s="125"/>
      <c r="G241" s="124"/>
      <c r="H241" s="124"/>
      <c r="I241" s="126"/>
      <c r="J241" s="126"/>
    </row>
    <row r="242" spans="1:10" ht="12.75" customHeight="1" x14ac:dyDescent="0.2">
      <c r="A242" s="124"/>
      <c r="B242" s="124"/>
      <c r="C242" s="124"/>
      <c r="D242" s="126"/>
      <c r="E242" s="126"/>
      <c r="F242" s="125"/>
      <c r="G242" s="124"/>
      <c r="H242" s="124"/>
      <c r="I242" s="126"/>
      <c r="J242" s="126"/>
    </row>
    <row r="243" spans="1:10" ht="12.75" customHeight="1" x14ac:dyDescent="0.2">
      <c r="A243" s="124"/>
      <c r="B243" s="124"/>
      <c r="C243" s="124"/>
      <c r="D243" s="126"/>
      <c r="E243" s="126"/>
      <c r="F243" s="126"/>
      <c r="G243" s="124"/>
      <c r="H243" s="124"/>
      <c r="I243" s="126"/>
      <c r="J243" s="126"/>
    </row>
    <row r="244" spans="1:10" ht="12.75" customHeight="1" x14ac:dyDescent="0.2">
      <c r="A244" s="124"/>
      <c r="B244" s="124"/>
      <c r="C244" s="124"/>
      <c r="D244" s="126"/>
      <c r="E244" s="126"/>
      <c r="F244" s="125"/>
      <c r="G244" s="124"/>
      <c r="H244" s="124"/>
      <c r="I244" s="126"/>
      <c r="J244" s="126"/>
    </row>
    <row r="245" spans="1:10" ht="12.75" customHeight="1" x14ac:dyDescent="0.2">
      <c r="A245" s="124"/>
      <c r="B245" s="124"/>
      <c r="C245" s="124"/>
      <c r="D245" s="126"/>
      <c r="E245" s="126"/>
      <c r="F245" s="125"/>
      <c r="G245" s="124"/>
      <c r="H245" s="124"/>
      <c r="I245" s="126"/>
      <c r="J245" s="126"/>
    </row>
    <row r="246" spans="1:10" ht="12.75" customHeight="1" x14ac:dyDescent="0.2">
      <c r="A246" s="124"/>
      <c r="B246" s="124"/>
      <c r="C246" s="124"/>
      <c r="D246" s="126"/>
      <c r="E246" s="126"/>
      <c r="F246" s="126"/>
      <c r="G246" s="124"/>
      <c r="H246" s="124"/>
      <c r="I246" s="126"/>
      <c r="J246" s="126"/>
    </row>
    <row r="247" spans="1:10" ht="12.75" customHeight="1" x14ac:dyDescent="0.2">
      <c r="A247" s="124"/>
      <c r="B247" s="124"/>
      <c r="C247" s="124"/>
      <c r="D247" s="126"/>
      <c r="E247" s="126"/>
      <c r="F247" s="125"/>
      <c r="G247" s="124"/>
      <c r="H247" s="124"/>
      <c r="I247" s="126"/>
      <c r="J247" s="126"/>
    </row>
    <row r="248" spans="1:10" ht="12.75" customHeight="1" x14ac:dyDescent="0.2">
      <c r="A248" s="124"/>
      <c r="B248" s="124"/>
      <c r="C248" s="124"/>
      <c r="D248" s="126"/>
      <c r="E248" s="126"/>
      <c r="F248" s="125"/>
      <c r="G248" s="124"/>
      <c r="H248" s="124"/>
      <c r="I248" s="126"/>
      <c r="J248" s="126"/>
    </row>
    <row r="249" spans="1:10" ht="12.75" customHeight="1" x14ac:dyDescent="0.2">
      <c r="A249" s="124"/>
      <c r="B249" s="124"/>
      <c r="C249" s="124"/>
      <c r="D249" s="126"/>
      <c r="E249" s="126"/>
      <c r="F249" s="126"/>
      <c r="G249" s="124"/>
      <c r="H249" s="124"/>
      <c r="I249" s="126"/>
      <c r="J249" s="126"/>
    </row>
    <row r="250" spans="1:10" ht="12.75" customHeight="1" x14ac:dyDescent="0.2">
      <c r="A250" s="124"/>
      <c r="B250" s="124"/>
      <c r="C250" s="124"/>
      <c r="D250" s="126"/>
      <c r="E250" s="126"/>
      <c r="F250" s="125"/>
      <c r="G250" s="124"/>
      <c r="H250" s="124"/>
      <c r="I250" s="126"/>
      <c r="J250" s="126"/>
    </row>
    <row r="251" spans="1:10" ht="12.75" customHeight="1" x14ac:dyDescent="0.2">
      <c r="A251" s="124"/>
      <c r="B251" s="124"/>
      <c r="C251" s="124"/>
      <c r="D251" s="126"/>
      <c r="E251" s="126"/>
      <c r="F251" s="125"/>
      <c r="G251" s="124"/>
      <c r="H251" s="124"/>
      <c r="I251" s="126"/>
      <c r="J251" s="126"/>
    </row>
    <row r="252" spans="1:10" ht="12.75" customHeight="1" x14ac:dyDescent="0.2">
      <c r="A252" s="124"/>
      <c r="B252" s="124"/>
      <c r="C252" s="124"/>
      <c r="D252" s="126"/>
      <c r="E252" s="126"/>
      <c r="F252" s="126"/>
      <c r="G252" s="124"/>
      <c r="H252" s="124"/>
      <c r="I252" s="126"/>
      <c r="J252" s="126"/>
    </row>
    <row r="253" spans="1:10" ht="12.75" customHeight="1" x14ac:dyDescent="0.2">
      <c r="A253" s="124"/>
      <c r="B253" s="124"/>
      <c r="C253" s="124"/>
      <c r="D253" s="126"/>
      <c r="E253" s="126"/>
      <c r="F253" s="125"/>
      <c r="G253" s="124"/>
      <c r="H253" s="124"/>
      <c r="I253" s="126"/>
      <c r="J253" s="126"/>
    </row>
    <row r="254" spans="1:10" ht="12.75" customHeight="1" x14ac:dyDescent="0.2">
      <c r="A254" s="124"/>
      <c r="B254" s="124"/>
      <c r="C254" s="124"/>
      <c r="D254" s="126"/>
      <c r="E254" s="126"/>
      <c r="F254" s="125"/>
      <c r="G254" s="124"/>
      <c r="H254" s="124"/>
      <c r="I254" s="126"/>
      <c r="J254" s="126"/>
    </row>
    <row r="255" spans="1:10" ht="12.75" customHeight="1" x14ac:dyDescent="0.2">
      <c r="A255" s="124"/>
      <c r="B255" s="124"/>
      <c r="C255" s="124"/>
      <c r="D255" s="126"/>
      <c r="E255" s="126"/>
      <c r="F255" s="126"/>
      <c r="G255" s="124"/>
      <c r="H255" s="124"/>
      <c r="I255" s="126"/>
      <c r="J255" s="126"/>
    </row>
    <row r="256" spans="1:10" ht="12.75" customHeight="1" x14ac:dyDescent="0.2">
      <c r="A256" s="124"/>
      <c r="B256" s="124"/>
      <c r="C256" s="124"/>
      <c r="D256" s="126"/>
      <c r="E256" s="126"/>
      <c r="F256" s="125"/>
      <c r="G256" s="124"/>
      <c r="H256" s="124"/>
      <c r="I256" s="126"/>
      <c r="J256" s="126"/>
    </row>
    <row r="257" spans="1:10" ht="12.75" customHeight="1" x14ac:dyDescent="0.2">
      <c r="A257" s="124"/>
      <c r="B257" s="124"/>
      <c r="C257" s="124"/>
      <c r="D257" s="126"/>
      <c r="E257" s="126"/>
      <c r="F257" s="125"/>
      <c r="G257" s="124"/>
      <c r="H257" s="124"/>
      <c r="I257" s="126"/>
      <c r="J257" s="126"/>
    </row>
    <row r="258" spans="1:10" ht="12.75" customHeight="1" x14ac:dyDescent="0.2">
      <c r="A258" s="124"/>
      <c r="B258" s="124"/>
      <c r="C258" s="124"/>
      <c r="D258" s="126"/>
      <c r="E258" s="126"/>
      <c r="F258" s="126"/>
      <c r="G258" s="124"/>
      <c r="H258" s="124"/>
      <c r="I258" s="126"/>
      <c r="J258" s="126"/>
    </row>
    <row r="259" spans="1:10" ht="12.75" customHeight="1" x14ac:dyDescent="0.2">
      <c r="A259" s="124"/>
      <c r="B259" s="124"/>
      <c r="C259" s="124"/>
      <c r="D259" s="126"/>
      <c r="E259" s="126"/>
      <c r="F259" s="125"/>
      <c r="G259" s="124"/>
      <c r="H259" s="124"/>
      <c r="I259" s="126"/>
      <c r="J259" s="126"/>
    </row>
    <row r="260" spans="1:10" ht="12.75" customHeight="1" x14ac:dyDescent="0.2">
      <c r="A260" s="124"/>
      <c r="B260" s="124"/>
      <c r="C260" s="124"/>
      <c r="D260" s="126"/>
      <c r="E260" s="126"/>
      <c r="F260" s="125"/>
      <c r="G260" s="124"/>
      <c r="H260" s="124"/>
      <c r="I260" s="126"/>
      <c r="J260" s="126"/>
    </row>
    <row r="261" spans="1:10" ht="12.75" customHeight="1" x14ac:dyDescent="0.2">
      <c r="A261" s="124"/>
      <c r="B261" s="124"/>
      <c r="C261" s="124"/>
      <c r="D261" s="126"/>
      <c r="E261" s="126"/>
      <c r="F261" s="126"/>
      <c r="G261" s="124"/>
      <c r="H261" s="124"/>
      <c r="I261" s="126"/>
      <c r="J261" s="126"/>
    </row>
    <row r="262" spans="1:10" ht="12.75" customHeight="1" x14ac:dyDescent="0.2">
      <c r="A262" s="124"/>
      <c r="B262" s="124"/>
      <c r="C262" s="124"/>
      <c r="D262" s="126"/>
      <c r="E262" s="126"/>
      <c r="F262" s="125"/>
      <c r="G262" s="124"/>
      <c r="H262" s="124"/>
      <c r="I262" s="126"/>
      <c r="J262" s="126"/>
    </row>
    <row r="263" spans="1:10" ht="12.75" customHeight="1" x14ac:dyDescent="0.2">
      <c r="A263" s="124"/>
      <c r="B263" s="124"/>
      <c r="C263" s="124"/>
      <c r="D263" s="126"/>
      <c r="E263" s="126"/>
      <c r="F263" s="125"/>
      <c r="G263" s="124"/>
      <c r="H263" s="124"/>
      <c r="I263" s="126"/>
      <c r="J263" s="126"/>
    </row>
    <row r="264" spans="1:10" ht="12.75" customHeight="1" x14ac:dyDescent="0.2">
      <c r="A264" s="124"/>
      <c r="B264" s="124"/>
      <c r="C264" s="124"/>
      <c r="D264" s="126"/>
      <c r="E264" s="126"/>
      <c r="F264" s="126"/>
      <c r="G264" s="124"/>
      <c r="H264" s="124"/>
      <c r="I264" s="126"/>
      <c r="J264" s="126"/>
    </row>
    <row r="265" spans="1:10" ht="12.75" customHeight="1" x14ac:dyDescent="0.2">
      <c r="A265" s="124"/>
      <c r="B265" s="124"/>
      <c r="C265" s="124"/>
      <c r="D265" s="126"/>
      <c r="E265" s="126"/>
      <c r="F265" s="125"/>
      <c r="G265" s="124"/>
      <c r="H265" s="124"/>
      <c r="I265" s="126"/>
      <c r="J265" s="126"/>
    </row>
    <row r="266" spans="1:10" ht="12.75" customHeight="1" x14ac:dyDescent="0.2">
      <c r="A266" s="124"/>
      <c r="B266" s="124"/>
      <c r="C266" s="124"/>
      <c r="D266" s="126"/>
      <c r="E266" s="126"/>
      <c r="F266" s="125"/>
      <c r="G266" s="124"/>
      <c r="H266" s="124"/>
      <c r="I266" s="126"/>
      <c r="J266" s="126"/>
    </row>
    <row r="267" spans="1:10" ht="12.75" customHeight="1" x14ac:dyDescent="0.2">
      <c r="A267" s="124"/>
      <c r="B267" s="124"/>
      <c r="C267" s="124"/>
      <c r="D267" s="126"/>
      <c r="E267" s="126"/>
      <c r="F267" s="126"/>
      <c r="G267" s="124"/>
      <c r="H267" s="124"/>
      <c r="I267" s="126"/>
      <c r="J267" s="126"/>
    </row>
    <row r="268" spans="1:10" ht="12.75" customHeight="1" x14ac:dyDescent="0.2">
      <c r="A268" s="124"/>
      <c r="B268" s="124"/>
      <c r="C268" s="124"/>
      <c r="D268" s="126"/>
      <c r="E268" s="126"/>
      <c r="F268" s="125"/>
      <c r="G268" s="124"/>
      <c r="H268" s="124"/>
      <c r="I268" s="126"/>
      <c r="J268" s="126"/>
    </row>
    <row r="269" spans="1:10" ht="12.75" customHeight="1" x14ac:dyDescent="0.2">
      <c r="A269" s="124"/>
      <c r="B269" s="124"/>
      <c r="C269" s="124"/>
      <c r="D269" s="126"/>
      <c r="E269" s="126"/>
      <c r="F269" s="125"/>
      <c r="G269" s="124"/>
      <c r="H269" s="124"/>
      <c r="I269" s="126"/>
      <c r="J269" s="126"/>
    </row>
    <row r="270" spans="1:10" ht="12.75" customHeight="1" x14ac:dyDescent="0.2">
      <c r="A270" s="124"/>
      <c r="B270" s="124"/>
      <c r="C270" s="124"/>
      <c r="D270" s="126"/>
      <c r="E270" s="126"/>
      <c r="F270" s="126"/>
      <c r="G270" s="124"/>
      <c r="H270" s="124"/>
      <c r="I270" s="126"/>
      <c r="J270" s="126"/>
    </row>
    <row r="271" spans="1:10" ht="12.75" customHeight="1" x14ac:dyDescent="0.2">
      <c r="A271" s="124"/>
      <c r="B271" s="124"/>
      <c r="C271" s="124"/>
      <c r="D271" s="126"/>
      <c r="E271" s="126"/>
      <c r="F271" s="125"/>
      <c r="G271" s="124"/>
      <c r="H271" s="124"/>
      <c r="I271" s="126"/>
      <c r="J271" s="126"/>
    </row>
    <row r="272" spans="1:10" ht="12.75" customHeight="1" x14ac:dyDescent="0.2">
      <c r="A272" s="124"/>
      <c r="B272" s="124"/>
      <c r="C272" s="124"/>
      <c r="D272" s="126"/>
      <c r="E272" s="126"/>
      <c r="F272" s="125"/>
      <c r="G272" s="124"/>
      <c r="H272" s="124"/>
      <c r="I272" s="126"/>
      <c r="J272" s="126"/>
    </row>
    <row r="273" spans="1:10" ht="12.75" customHeight="1" x14ac:dyDescent="0.2">
      <c r="A273" s="124"/>
      <c r="B273" s="124"/>
      <c r="C273" s="124"/>
      <c r="D273" s="126"/>
      <c r="E273" s="126"/>
      <c r="F273" s="126"/>
      <c r="G273" s="124"/>
      <c r="H273" s="124"/>
      <c r="I273" s="126"/>
      <c r="J273" s="126"/>
    </row>
    <row r="274" spans="1:10" ht="12.75" customHeight="1" x14ac:dyDescent="0.2">
      <c r="A274" s="124"/>
      <c r="B274" s="124"/>
      <c r="C274" s="124"/>
      <c r="D274" s="126"/>
      <c r="E274" s="126"/>
      <c r="F274" s="125"/>
      <c r="G274" s="124"/>
      <c r="H274" s="124"/>
      <c r="I274" s="126"/>
      <c r="J274" s="126"/>
    </row>
    <row r="275" spans="1:10" ht="12.75" customHeight="1" x14ac:dyDescent="0.2">
      <c r="A275" s="124"/>
      <c r="B275" s="124"/>
      <c r="C275" s="124"/>
      <c r="D275" s="126"/>
      <c r="E275" s="126"/>
      <c r="F275" s="125"/>
      <c r="G275" s="124"/>
      <c r="H275" s="124"/>
      <c r="I275" s="126"/>
      <c r="J275" s="126"/>
    </row>
    <row r="276" spans="1:10" ht="12.75" customHeight="1" x14ac:dyDescent="0.2">
      <c r="A276" s="124"/>
      <c r="B276" s="124"/>
      <c r="C276" s="124"/>
      <c r="D276" s="126"/>
      <c r="E276" s="126"/>
      <c r="F276" s="126"/>
      <c r="G276" s="124"/>
      <c r="H276" s="124"/>
      <c r="I276" s="126"/>
      <c r="J276" s="126"/>
    </row>
    <row r="277" spans="1:10" ht="12.75" customHeight="1" x14ac:dyDescent="0.2">
      <c r="A277" s="124"/>
      <c r="B277" s="124"/>
      <c r="C277" s="124"/>
      <c r="D277" s="126"/>
      <c r="E277" s="126"/>
      <c r="F277" s="125"/>
      <c r="G277" s="124"/>
      <c r="H277" s="124"/>
      <c r="I277" s="126"/>
      <c r="J277" s="126"/>
    </row>
    <row r="278" spans="1:10" ht="12.75" customHeight="1" x14ac:dyDescent="0.2">
      <c r="A278" s="124"/>
      <c r="B278" s="124"/>
      <c r="C278" s="124"/>
      <c r="D278" s="126"/>
      <c r="E278" s="126"/>
      <c r="F278" s="125"/>
      <c r="G278" s="124"/>
      <c r="H278" s="124"/>
      <c r="I278" s="126"/>
      <c r="J278" s="126"/>
    </row>
    <row r="279" spans="1:10" ht="12.75" customHeight="1" x14ac:dyDescent="0.2">
      <c r="A279" s="124"/>
      <c r="B279" s="124"/>
      <c r="C279" s="124"/>
      <c r="D279" s="126"/>
      <c r="E279" s="126"/>
      <c r="F279" s="126"/>
      <c r="G279" s="124"/>
      <c r="H279" s="124"/>
      <c r="I279" s="126"/>
      <c r="J279" s="126"/>
    </row>
    <row r="280" spans="1:10" ht="12.75" customHeight="1" x14ac:dyDescent="0.2">
      <c r="A280" s="124"/>
      <c r="B280" s="124"/>
      <c r="C280" s="124"/>
      <c r="D280" s="126"/>
      <c r="E280" s="126"/>
      <c r="F280" s="125"/>
      <c r="G280" s="124"/>
      <c r="H280" s="124"/>
      <c r="I280" s="126"/>
      <c r="J280" s="126"/>
    </row>
    <row r="281" spans="1:10" ht="12.75" customHeight="1" x14ac:dyDescent="0.2">
      <c r="A281" s="124"/>
      <c r="B281" s="124"/>
      <c r="C281" s="124"/>
      <c r="D281" s="126"/>
      <c r="E281" s="126"/>
      <c r="F281" s="125"/>
      <c r="G281" s="124"/>
      <c r="H281" s="124"/>
      <c r="I281" s="126"/>
      <c r="J281" s="126"/>
    </row>
    <row r="282" spans="1:10" ht="12.75" customHeight="1" x14ac:dyDescent="0.2">
      <c r="A282" s="124"/>
      <c r="B282" s="124"/>
      <c r="C282" s="124"/>
      <c r="D282" s="126"/>
      <c r="E282" s="126"/>
      <c r="F282" s="126"/>
      <c r="G282" s="124"/>
      <c r="H282" s="124"/>
      <c r="I282" s="126"/>
      <c r="J282" s="126"/>
    </row>
    <row r="283" spans="1:10" ht="12.75" customHeight="1" x14ac:dyDescent="0.2">
      <c r="A283" s="124"/>
      <c r="B283" s="124"/>
      <c r="C283" s="124"/>
      <c r="D283" s="126"/>
      <c r="E283" s="126"/>
      <c r="F283" s="125"/>
      <c r="G283" s="124"/>
      <c r="H283" s="124"/>
      <c r="I283" s="126"/>
      <c r="J283" s="126"/>
    </row>
    <row r="284" spans="1:10" ht="12.75" customHeight="1" x14ac:dyDescent="0.2">
      <c r="A284" s="124"/>
      <c r="B284" s="124"/>
      <c r="C284" s="124"/>
      <c r="D284" s="126"/>
      <c r="E284" s="126"/>
      <c r="F284" s="125"/>
      <c r="G284" s="124"/>
      <c r="H284" s="124"/>
      <c r="I284" s="126"/>
      <c r="J284" s="126"/>
    </row>
    <row r="285" spans="1:10" ht="12.75" customHeight="1" x14ac:dyDescent="0.2">
      <c r="A285" s="124"/>
      <c r="B285" s="124"/>
      <c r="C285" s="124"/>
      <c r="D285" s="126"/>
      <c r="E285" s="126"/>
      <c r="F285" s="126"/>
      <c r="G285" s="124"/>
      <c r="H285" s="124"/>
      <c r="I285" s="126"/>
      <c r="J285" s="126"/>
    </row>
    <row r="286" spans="1:10" ht="12.75" customHeight="1" x14ac:dyDescent="0.2">
      <c r="A286" s="124"/>
      <c r="B286" s="124"/>
      <c r="C286" s="124"/>
      <c r="D286" s="126"/>
      <c r="E286" s="126"/>
      <c r="F286" s="125"/>
      <c r="G286" s="124"/>
      <c r="H286" s="124"/>
      <c r="I286" s="126"/>
      <c r="J286" s="126"/>
    </row>
    <row r="287" spans="1:10" ht="12.75" customHeight="1" x14ac:dyDescent="0.2">
      <c r="A287" s="124"/>
      <c r="B287" s="124"/>
      <c r="C287" s="124"/>
      <c r="D287" s="126"/>
      <c r="E287" s="126"/>
      <c r="F287" s="125"/>
      <c r="G287" s="124"/>
      <c r="H287" s="124"/>
      <c r="I287" s="126"/>
      <c r="J287" s="126"/>
    </row>
    <row r="288" spans="1:10" ht="12.75" customHeight="1" x14ac:dyDescent="0.2">
      <c r="A288" s="124"/>
      <c r="B288" s="124"/>
      <c r="C288" s="124"/>
      <c r="D288" s="126"/>
      <c r="E288" s="126"/>
      <c r="F288" s="126"/>
      <c r="G288" s="124"/>
      <c r="H288" s="124"/>
      <c r="I288" s="126"/>
      <c r="J288" s="126"/>
    </row>
    <row r="289" spans="1:10" ht="12.75" customHeight="1" x14ac:dyDescent="0.2">
      <c r="A289" s="124"/>
      <c r="B289" s="124"/>
      <c r="C289" s="124"/>
      <c r="D289" s="126"/>
      <c r="E289" s="126"/>
      <c r="F289" s="125"/>
      <c r="G289" s="124"/>
      <c r="H289" s="124"/>
      <c r="I289" s="126"/>
      <c r="J289" s="126"/>
    </row>
    <row r="290" spans="1:10" ht="12.75" customHeight="1" x14ac:dyDescent="0.2">
      <c r="A290" s="124"/>
      <c r="B290" s="124"/>
      <c r="C290" s="124"/>
      <c r="D290" s="126"/>
      <c r="E290" s="126"/>
      <c r="F290" s="125"/>
      <c r="G290" s="124"/>
      <c r="H290" s="124"/>
      <c r="I290" s="126"/>
      <c r="J290" s="126"/>
    </row>
    <row r="291" spans="1:10" ht="12.75" customHeight="1" x14ac:dyDescent="0.2">
      <c r="A291" s="124"/>
      <c r="B291" s="124"/>
      <c r="C291" s="124"/>
      <c r="D291" s="126"/>
      <c r="E291" s="126"/>
      <c r="F291" s="126"/>
      <c r="G291" s="124"/>
      <c r="H291" s="124"/>
      <c r="I291" s="126"/>
      <c r="J291" s="126"/>
    </row>
    <row r="292" spans="1:10" ht="12.75" customHeight="1" x14ac:dyDescent="0.2">
      <c r="A292" s="124"/>
      <c r="B292" s="124"/>
      <c r="C292" s="124"/>
      <c r="D292" s="126"/>
      <c r="E292" s="126"/>
      <c r="F292" s="125"/>
      <c r="G292" s="124"/>
      <c r="H292" s="124"/>
      <c r="I292" s="126"/>
      <c r="J292" s="126"/>
    </row>
    <row r="293" spans="1:10" ht="12.75" customHeight="1" x14ac:dyDescent="0.2">
      <c r="A293" s="124"/>
      <c r="B293" s="124"/>
      <c r="C293" s="124"/>
      <c r="D293" s="126"/>
      <c r="E293" s="126"/>
      <c r="F293" s="125"/>
      <c r="G293" s="124"/>
      <c r="H293" s="124"/>
      <c r="I293" s="126"/>
      <c r="J293" s="126"/>
    </row>
    <row r="294" spans="1:10" ht="12.75" customHeight="1" x14ac:dyDescent="0.2">
      <c r="A294" s="124"/>
      <c r="B294" s="124"/>
      <c r="C294" s="124"/>
      <c r="D294" s="126"/>
      <c r="E294" s="126"/>
      <c r="F294" s="126"/>
      <c r="G294" s="124"/>
      <c r="H294" s="124"/>
      <c r="I294" s="126"/>
      <c r="J294" s="126"/>
    </row>
    <row r="295" spans="1:10" ht="12.75" customHeight="1" x14ac:dyDescent="0.2">
      <c r="A295" s="124"/>
      <c r="B295" s="124"/>
      <c r="C295" s="124"/>
      <c r="D295" s="126"/>
      <c r="E295" s="126"/>
      <c r="F295" s="125"/>
      <c r="G295" s="124"/>
      <c r="H295" s="124"/>
      <c r="I295" s="126"/>
      <c r="J295" s="126"/>
    </row>
    <row r="296" spans="1:10" ht="12.75" customHeight="1" x14ac:dyDescent="0.2">
      <c r="A296" s="124"/>
      <c r="B296" s="124"/>
      <c r="C296" s="124"/>
      <c r="D296" s="126"/>
      <c r="E296" s="126"/>
      <c r="F296" s="125"/>
      <c r="G296" s="124"/>
      <c r="H296" s="124"/>
      <c r="I296" s="126"/>
      <c r="J296" s="126"/>
    </row>
    <row r="297" spans="1:10" ht="12.75" customHeight="1" x14ac:dyDescent="0.2">
      <c r="A297" s="124"/>
      <c r="B297" s="124"/>
      <c r="C297" s="124"/>
      <c r="D297" s="126"/>
      <c r="E297" s="126"/>
      <c r="F297" s="126"/>
      <c r="G297" s="124"/>
      <c r="H297" s="124"/>
      <c r="I297" s="126"/>
      <c r="J297" s="126"/>
    </row>
    <row r="298" spans="1:10" ht="12.75" customHeight="1" x14ac:dyDescent="0.2">
      <c r="A298" s="124"/>
      <c r="B298" s="124"/>
      <c r="C298" s="124"/>
      <c r="D298" s="126"/>
      <c r="E298" s="126"/>
      <c r="F298" s="125"/>
      <c r="G298" s="124"/>
      <c r="H298" s="124"/>
      <c r="I298" s="126"/>
      <c r="J298" s="126"/>
    </row>
    <row r="299" spans="1:10" ht="12.75" customHeight="1" x14ac:dyDescent="0.2">
      <c r="A299" s="124"/>
      <c r="B299" s="124"/>
      <c r="C299" s="124"/>
      <c r="D299" s="126"/>
      <c r="E299" s="126"/>
      <c r="F299" s="125"/>
      <c r="G299" s="124"/>
      <c r="H299" s="124"/>
      <c r="I299" s="126"/>
      <c r="J299" s="126"/>
    </row>
    <row r="300" spans="1:10" ht="12.75" customHeight="1" x14ac:dyDescent="0.2">
      <c r="A300" s="124"/>
      <c r="B300" s="124"/>
      <c r="C300" s="124"/>
      <c r="D300" s="126"/>
      <c r="E300" s="126"/>
      <c r="F300" s="126"/>
      <c r="G300" s="124"/>
      <c r="H300" s="124"/>
      <c r="I300" s="126"/>
      <c r="J300" s="126"/>
    </row>
    <row r="301" spans="1:10" ht="12.75" customHeight="1" x14ac:dyDescent="0.2">
      <c r="A301" s="124"/>
      <c r="B301" s="124"/>
      <c r="C301" s="124"/>
      <c r="D301" s="126"/>
      <c r="E301" s="126"/>
      <c r="F301" s="125"/>
      <c r="G301" s="124"/>
      <c r="H301" s="124"/>
      <c r="I301" s="126"/>
      <c r="J301" s="126"/>
    </row>
    <row r="302" spans="1:10" ht="12.75" customHeight="1" x14ac:dyDescent="0.2">
      <c r="A302" s="124"/>
      <c r="B302" s="124"/>
      <c r="C302" s="124"/>
      <c r="D302" s="126"/>
      <c r="E302" s="126"/>
      <c r="F302" s="125"/>
      <c r="G302" s="124"/>
      <c r="H302" s="124"/>
      <c r="I302" s="126"/>
      <c r="J302" s="126"/>
    </row>
    <row r="303" spans="1:10" ht="12.75" customHeight="1" x14ac:dyDescent="0.2">
      <c r="A303" s="124"/>
      <c r="B303" s="124"/>
      <c r="C303" s="124"/>
      <c r="D303" s="126"/>
      <c r="E303" s="126"/>
      <c r="F303" s="126"/>
      <c r="G303" s="124"/>
      <c r="H303" s="124"/>
      <c r="I303" s="126"/>
      <c r="J303" s="126"/>
    </row>
    <row r="304" spans="1:10" ht="12.75" customHeight="1" x14ac:dyDescent="0.2">
      <c r="A304" s="124"/>
      <c r="B304" s="124"/>
      <c r="C304" s="124"/>
      <c r="D304" s="126"/>
      <c r="E304" s="126"/>
      <c r="F304" s="125"/>
      <c r="G304" s="124"/>
      <c r="H304" s="124"/>
      <c r="I304" s="126"/>
      <c r="J304" s="126"/>
    </row>
    <row r="305" spans="1:10" ht="12.75" customHeight="1" x14ac:dyDescent="0.2">
      <c r="A305" s="124"/>
      <c r="B305" s="124"/>
      <c r="C305" s="124"/>
      <c r="D305" s="126"/>
      <c r="E305" s="126"/>
      <c r="F305" s="125"/>
      <c r="G305" s="124"/>
      <c r="H305" s="124"/>
      <c r="I305" s="126"/>
      <c r="J305" s="126"/>
    </row>
    <row r="306" spans="1:10" ht="12.75" customHeight="1" x14ac:dyDescent="0.2">
      <c r="A306" s="124"/>
      <c r="B306" s="124"/>
      <c r="C306" s="124"/>
      <c r="D306" s="126"/>
      <c r="E306" s="126"/>
      <c r="F306" s="126"/>
      <c r="G306" s="124"/>
      <c r="H306" s="124"/>
      <c r="I306" s="126"/>
      <c r="J306" s="126"/>
    </row>
    <row r="307" spans="1:10" ht="12.75" customHeight="1" x14ac:dyDescent="0.2">
      <c r="A307" s="124"/>
      <c r="B307" s="124"/>
      <c r="C307" s="124"/>
      <c r="D307" s="126"/>
      <c r="E307" s="126"/>
      <c r="F307" s="125"/>
      <c r="G307" s="124"/>
      <c r="H307" s="124"/>
      <c r="I307" s="126"/>
      <c r="J307" s="126"/>
    </row>
    <row r="308" spans="1:10" ht="12.75" customHeight="1" x14ac:dyDescent="0.2">
      <c r="A308" s="124"/>
      <c r="B308" s="124"/>
      <c r="C308" s="124"/>
      <c r="D308" s="126"/>
      <c r="E308" s="126"/>
      <c r="F308" s="125"/>
      <c r="G308" s="124"/>
      <c r="H308" s="124"/>
      <c r="I308" s="126"/>
      <c r="J308" s="126"/>
    </row>
    <row r="309" spans="1:10" ht="12.75" customHeight="1" x14ac:dyDescent="0.2">
      <c r="A309" s="124"/>
      <c r="B309" s="124"/>
      <c r="C309" s="124"/>
      <c r="D309" s="126"/>
      <c r="E309" s="126"/>
      <c r="F309" s="126"/>
      <c r="G309" s="124"/>
      <c r="H309" s="124"/>
      <c r="I309" s="126"/>
      <c r="J309" s="126"/>
    </row>
    <row r="310" spans="1:10" ht="12.75" customHeight="1" x14ac:dyDescent="0.2">
      <c r="A310" s="124"/>
      <c r="B310" s="124"/>
      <c r="C310" s="124"/>
      <c r="D310" s="126"/>
      <c r="E310" s="126"/>
      <c r="F310" s="125"/>
      <c r="G310" s="124"/>
      <c r="H310" s="124"/>
      <c r="I310" s="126"/>
      <c r="J310" s="126"/>
    </row>
    <row r="311" spans="1:10" ht="12.75" customHeight="1" x14ac:dyDescent="0.2">
      <c r="A311" s="124"/>
      <c r="B311" s="124"/>
      <c r="C311" s="124"/>
      <c r="D311" s="126"/>
      <c r="E311" s="126"/>
      <c r="F311" s="125"/>
      <c r="G311" s="124"/>
      <c r="H311" s="124"/>
      <c r="I311" s="126"/>
      <c r="J311" s="126"/>
    </row>
    <row r="312" spans="1:10" ht="12.75" customHeight="1" x14ac:dyDescent="0.2">
      <c r="A312" s="124"/>
      <c r="B312" s="124"/>
      <c r="C312" s="124"/>
      <c r="D312" s="126"/>
      <c r="E312" s="126"/>
      <c r="F312" s="126"/>
      <c r="G312" s="124"/>
      <c r="H312" s="124"/>
      <c r="I312" s="126"/>
      <c r="J312" s="126"/>
    </row>
    <row r="313" spans="1:10" ht="12.75" customHeight="1" x14ac:dyDescent="0.2">
      <c r="A313" s="124"/>
      <c r="B313" s="124"/>
      <c r="C313" s="124"/>
      <c r="D313" s="126"/>
      <c r="E313" s="126"/>
      <c r="F313" s="125"/>
      <c r="G313" s="124"/>
      <c r="H313" s="124"/>
      <c r="I313" s="126"/>
      <c r="J313" s="126"/>
    </row>
    <row r="314" spans="1:10" ht="12.75" customHeight="1" x14ac:dyDescent="0.2">
      <c r="A314" s="124"/>
      <c r="B314" s="124"/>
      <c r="C314" s="124"/>
      <c r="D314" s="126"/>
      <c r="E314" s="126"/>
      <c r="F314" s="125"/>
      <c r="G314" s="124"/>
      <c r="H314" s="124"/>
      <c r="I314" s="126"/>
      <c r="J314" s="126"/>
    </row>
    <row r="315" spans="1:10" ht="12.75" customHeight="1" x14ac:dyDescent="0.2">
      <c r="A315" s="124"/>
      <c r="B315" s="124"/>
      <c r="C315" s="124"/>
      <c r="D315" s="126"/>
      <c r="E315" s="126"/>
      <c r="F315" s="126"/>
      <c r="G315" s="124"/>
      <c r="H315" s="124"/>
      <c r="I315" s="126"/>
      <c r="J315" s="126"/>
    </row>
    <row r="316" spans="1:10" x14ac:dyDescent="0.2">
      <c r="A316" s="124"/>
      <c r="B316" s="124"/>
      <c r="C316" s="124"/>
      <c r="D316" s="126"/>
      <c r="E316" s="126"/>
      <c r="F316" s="125"/>
      <c r="G316" s="124"/>
      <c r="H316" s="124"/>
      <c r="I316" s="126"/>
      <c r="J316" s="126"/>
    </row>
    <row r="317" spans="1:10" x14ac:dyDescent="0.2">
      <c r="A317" s="124"/>
      <c r="B317" s="124"/>
      <c r="C317" s="124"/>
      <c r="D317" s="126"/>
      <c r="E317" s="126"/>
      <c r="F317" s="125"/>
      <c r="G317" s="124"/>
      <c r="H317" s="124"/>
      <c r="I317" s="126"/>
      <c r="J317" s="126"/>
    </row>
    <row r="318" spans="1:10" x14ac:dyDescent="0.2">
      <c r="A318" s="124"/>
      <c r="B318" s="124"/>
      <c r="C318" s="124"/>
      <c r="D318" s="126"/>
      <c r="E318" s="126"/>
      <c r="F318" s="126"/>
      <c r="G318" s="124"/>
      <c r="H318" s="124"/>
      <c r="I318" s="126"/>
      <c r="J318" s="126"/>
    </row>
    <row r="319" spans="1:10" x14ac:dyDescent="0.2">
      <c r="A319" s="124"/>
      <c r="B319" s="124"/>
      <c r="C319" s="124"/>
      <c r="D319" s="126"/>
      <c r="E319" s="126"/>
      <c r="F319" s="125"/>
      <c r="G319" s="124"/>
      <c r="H319" s="124"/>
      <c r="I319" s="126"/>
      <c r="J319" s="126"/>
    </row>
    <row r="320" spans="1:10" x14ac:dyDescent="0.2">
      <c r="A320" s="124"/>
      <c r="B320" s="124"/>
      <c r="C320" s="124"/>
      <c r="D320" s="126"/>
      <c r="E320" s="126"/>
      <c r="F320" s="125"/>
      <c r="G320" s="124"/>
      <c r="H320" s="124"/>
      <c r="I320" s="126"/>
      <c r="J320" s="126"/>
    </row>
    <row r="321" spans="1:10" ht="12.75" customHeight="1" x14ac:dyDescent="0.2">
      <c r="A321" s="124"/>
      <c r="B321" s="124"/>
      <c r="C321" s="124"/>
      <c r="D321" s="126"/>
      <c r="E321" s="126"/>
      <c r="F321" s="126"/>
      <c r="G321" s="124"/>
      <c r="H321" s="124"/>
      <c r="I321" s="126"/>
      <c r="J321" s="126"/>
    </row>
    <row r="322" spans="1:10" ht="12.75" customHeight="1" x14ac:dyDescent="0.2">
      <c r="A322" s="124"/>
      <c r="B322" s="124"/>
      <c r="C322" s="124"/>
      <c r="D322" s="126"/>
      <c r="E322" s="126"/>
      <c r="F322" s="125"/>
      <c r="G322" s="124"/>
      <c r="H322" s="124"/>
      <c r="I322" s="126"/>
      <c r="J322" s="126"/>
    </row>
    <row r="323" spans="1:10" x14ac:dyDescent="0.2">
      <c r="A323" s="124"/>
      <c r="B323" s="124"/>
      <c r="C323" s="124"/>
      <c r="D323" s="126"/>
      <c r="E323" s="126"/>
      <c r="F323" s="125"/>
      <c r="G323" s="124"/>
      <c r="H323" s="124"/>
      <c r="I323" s="126"/>
      <c r="J323" s="126"/>
    </row>
    <row r="324" spans="1:10" x14ac:dyDescent="0.2">
      <c r="A324" s="124"/>
      <c r="B324" s="124"/>
      <c r="C324" s="124"/>
      <c r="D324" s="126"/>
      <c r="E324" s="126"/>
      <c r="F324" s="126"/>
      <c r="G324" s="124"/>
      <c r="H324" s="124"/>
      <c r="I324" s="126"/>
      <c r="J324" s="126"/>
    </row>
    <row r="325" spans="1:10" x14ac:dyDescent="0.2">
      <c r="A325" s="124"/>
      <c r="B325" s="124"/>
      <c r="C325" s="124"/>
      <c r="D325" s="126"/>
      <c r="E325" s="126"/>
      <c r="F325" s="125"/>
      <c r="G325" s="124"/>
      <c r="H325" s="124"/>
      <c r="I325" s="126"/>
      <c r="J325" s="126"/>
    </row>
    <row r="326" spans="1:10" x14ac:dyDescent="0.2">
      <c r="A326" s="124"/>
      <c r="B326" s="124"/>
      <c r="C326" s="124"/>
      <c r="D326" s="126"/>
      <c r="E326" s="126"/>
      <c r="F326" s="125"/>
      <c r="G326" s="124"/>
      <c r="H326" s="124"/>
      <c r="I326" s="126"/>
      <c r="J326" s="126"/>
    </row>
    <row r="327" spans="1:10" x14ac:dyDescent="0.2">
      <c r="A327" s="124"/>
      <c r="B327" s="124"/>
      <c r="C327" s="124"/>
      <c r="D327" s="126"/>
      <c r="E327" s="126"/>
      <c r="F327" s="126"/>
      <c r="G327" s="124"/>
      <c r="H327" s="124"/>
      <c r="I327" s="126"/>
      <c r="J327" s="126"/>
    </row>
    <row r="328" spans="1:10" ht="12.75" customHeight="1" x14ac:dyDescent="0.2">
      <c r="A328" s="124"/>
      <c r="B328" s="124"/>
      <c r="C328" s="124"/>
      <c r="D328" s="126"/>
      <c r="E328" s="126"/>
      <c r="F328" s="125"/>
      <c r="G328" s="124"/>
      <c r="H328" s="124"/>
      <c r="I328" s="126"/>
      <c r="J328" s="126"/>
    </row>
    <row r="329" spans="1:10" ht="12.75" customHeight="1" x14ac:dyDescent="0.2">
      <c r="A329" s="124"/>
      <c r="B329" s="124"/>
      <c r="C329" s="124"/>
      <c r="D329" s="126"/>
      <c r="E329" s="126"/>
      <c r="F329" s="125"/>
      <c r="G329" s="124"/>
      <c r="H329" s="124"/>
      <c r="I329" s="126"/>
      <c r="J329" s="126"/>
    </row>
    <row r="330" spans="1:10" x14ac:dyDescent="0.2">
      <c r="A330" s="124"/>
      <c r="B330" s="124"/>
      <c r="C330" s="124"/>
      <c r="D330" s="126"/>
      <c r="E330" s="126"/>
      <c r="F330" s="126"/>
      <c r="G330" s="124"/>
      <c r="H330" s="124"/>
      <c r="I330" s="126"/>
      <c r="J330" s="126"/>
    </row>
    <row r="331" spans="1:10" x14ac:dyDescent="0.2">
      <c r="A331" s="124"/>
      <c r="B331" s="124"/>
      <c r="C331" s="124"/>
      <c r="D331" s="126"/>
      <c r="E331" s="126"/>
      <c r="F331" s="125"/>
      <c r="G331" s="124"/>
      <c r="H331" s="124"/>
      <c r="I331" s="126"/>
      <c r="J331" s="126"/>
    </row>
    <row r="332" spans="1:10" x14ac:dyDescent="0.2">
      <c r="A332" s="124"/>
      <c r="B332" s="124"/>
      <c r="C332" s="124"/>
      <c r="D332" s="126"/>
      <c r="E332" s="126"/>
      <c r="F332" s="125"/>
      <c r="G332" s="124"/>
      <c r="H332" s="124"/>
      <c r="I332" s="126"/>
      <c r="J332" s="126"/>
    </row>
    <row r="333" spans="1:10" x14ac:dyDescent="0.2">
      <c r="A333" s="124"/>
      <c r="B333" s="124"/>
      <c r="C333" s="124"/>
      <c r="D333" s="126"/>
      <c r="E333" s="126"/>
      <c r="F333" s="126"/>
      <c r="G333" s="124"/>
      <c r="H333" s="124"/>
      <c r="I333" s="126"/>
      <c r="J333" s="126"/>
    </row>
    <row r="334" spans="1:10" x14ac:dyDescent="0.2">
      <c r="A334" s="124"/>
      <c r="B334" s="124"/>
      <c r="C334" s="124"/>
      <c r="D334" s="126"/>
      <c r="E334" s="126"/>
      <c r="F334" s="125"/>
      <c r="G334" s="124"/>
      <c r="H334" s="124"/>
      <c r="I334" s="126"/>
      <c r="J334" s="126"/>
    </row>
    <row r="335" spans="1:10" ht="12.75" customHeight="1" x14ac:dyDescent="0.2">
      <c r="A335" s="124"/>
      <c r="B335" s="124"/>
      <c r="C335" s="124"/>
      <c r="D335" s="126"/>
      <c r="E335" s="126"/>
      <c r="F335" s="125"/>
      <c r="G335" s="124"/>
      <c r="H335" s="124"/>
      <c r="I335" s="126"/>
      <c r="J335" s="126"/>
    </row>
    <row r="336" spans="1:10" ht="12.75" customHeight="1" x14ac:dyDescent="0.2">
      <c r="A336" s="124"/>
      <c r="B336" s="124"/>
      <c r="C336" s="124"/>
      <c r="D336" s="126"/>
      <c r="E336" s="126"/>
      <c r="F336" s="126"/>
      <c r="G336" s="124"/>
      <c r="H336" s="124"/>
      <c r="I336" s="126"/>
      <c r="J336" s="126"/>
    </row>
    <row r="337" spans="1:10" x14ac:dyDescent="0.2">
      <c r="A337" s="124"/>
      <c r="B337" s="124"/>
      <c r="C337" s="124"/>
      <c r="D337" s="126"/>
      <c r="E337" s="126"/>
      <c r="F337" s="125"/>
      <c r="G337" s="124"/>
      <c r="H337" s="124"/>
      <c r="I337" s="126"/>
      <c r="J337" s="126"/>
    </row>
    <row r="338" spans="1:10" x14ac:dyDescent="0.2">
      <c r="A338" s="124"/>
      <c r="B338" s="124"/>
      <c r="C338" s="124"/>
      <c r="D338" s="126"/>
      <c r="E338" s="126"/>
      <c r="F338" s="125"/>
      <c r="G338" s="124"/>
      <c r="H338" s="124"/>
      <c r="I338" s="126"/>
      <c r="J338" s="126"/>
    </row>
    <row r="339" spans="1:10" x14ac:dyDescent="0.2">
      <c r="A339" s="124"/>
      <c r="B339" s="124"/>
      <c r="C339" s="124"/>
      <c r="D339" s="126"/>
      <c r="E339" s="126"/>
      <c r="F339" s="126"/>
      <c r="G339" s="124"/>
      <c r="H339" s="124"/>
      <c r="I339" s="126"/>
      <c r="J339" s="126"/>
    </row>
    <row r="340" spans="1:10" x14ac:dyDescent="0.2">
      <c r="A340" s="124"/>
      <c r="B340" s="124"/>
      <c r="C340" s="124"/>
      <c r="D340" s="126"/>
      <c r="E340" s="126"/>
      <c r="F340" s="125"/>
      <c r="G340" s="124"/>
      <c r="H340" s="124"/>
      <c r="I340" s="126"/>
      <c r="J340" s="126"/>
    </row>
    <row r="341" spans="1:10" x14ac:dyDescent="0.2">
      <c r="A341" s="124"/>
      <c r="B341" s="124"/>
      <c r="C341" s="124"/>
      <c r="D341" s="126"/>
      <c r="E341" s="126"/>
      <c r="F341" s="125"/>
      <c r="G341" s="124"/>
      <c r="H341" s="124"/>
      <c r="I341" s="126"/>
      <c r="J341" s="126"/>
    </row>
    <row r="342" spans="1:10" ht="12.75" customHeight="1" x14ac:dyDescent="0.2">
      <c r="A342" s="124"/>
      <c r="B342" s="124"/>
      <c r="C342" s="124"/>
      <c r="D342" s="126"/>
      <c r="E342" s="126"/>
      <c r="F342" s="126"/>
      <c r="G342" s="124"/>
      <c r="H342" s="124"/>
      <c r="I342" s="126"/>
      <c r="J342" s="126"/>
    </row>
    <row r="343" spans="1:10" ht="12.75" customHeight="1" x14ac:dyDescent="0.2">
      <c r="A343" s="124"/>
      <c r="B343" s="124"/>
      <c r="C343" s="124"/>
      <c r="D343" s="126"/>
      <c r="E343" s="126"/>
      <c r="F343" s="125"/>
      <c r="G343" s="124"/>
      <c r="H343" s="124"/>
      <c r="I343" s="126"/>
      <c r="J343" s="126"/>
    </row>
    <row r="344" spans="1:10" x14ac:dyDescent="0.2">
      <c r="A344" s="124"/>
      <c r="B344" s="124"/>
      <c r="C344" s="124"/>
      <c r="D344" s="126"/>
      <c r="E344" s="126"/>
      <c r="F344" s="125"/>
      <c r="G344" s="124"/>
      <c r="H344" s="124"/>
      <c r="I344" s="126"/>
      <c r="J344" s="126"/>
    </row>
    <row r="345" spans="1:10" x14ac:dyDescent="0.2">
      <c r="A345" s="124"/>
      <c r="B345" s="124"/>
      <c r="C345" s="124"/>
      <c r="D345" s="126"/>
      <c r="E345" s="126"/>
      <c r="F345" s="126"/>
      <c r="G345" s="124"/>
      <c r="H345" s="124"/>
      <c r="I345" s="126"/>
      <c r="J345" s="126"/>
    </row>
    <row r="346" spans="1:10" x14ac:dyDescent="0.2">
      <c r="A346" s="124"/>
      <c r="B346" s="124"/>
      <c r="C346" s="124"/>
      <c r="D346" s="126"/>
      <c r="E346" s="126"/>
      <c r="F346" s="125"/>
      <c r="G346" s="124"/>
      <c r="H346" s="124"/>
      <c r="I346" s="126"/>
      <c r="J346" s="126"/>
    </row>
    <row r="347" spans="1:10" x14ac:dyDescent="0.2">
      <c r="A347" s="124"/>
      <c r="B347" s="124"/>
      <c r="C347" s="124"/>
      <c r="D347" s="126"/>
      <c r="E347" s="126"/>
      <c r="F347" s="125"/>
      <c r="G347" s="124"/>
      <c r="H347" s="124"/>
      <c r="I347" s="126"/>
      <c r="J347" s="126"/>
    </row>
    <row r="348" spans="1:10" x14ac:dyDescent="0.2">
      <c r="A348" s="124"/>
      <c r="B348" s="124"/>
      <c r="C348" s="124"/>
      <c r="D348" s="126"/>
      <c r="E348" s="126"/>
      <c r="F348" s="126"/>
      <c r="G348" s="124"/>
      <c r="H348" s="124"/>
      <c r="I348" s="126"/>
      <c r="J348" s="126"/>
    </row>
    <row r="349" spans="1:10" ht="12.75" customHeight="1" x14ac:dyDescent="0.2">
      <c r="A349" s="124"/>
      <c r="B349" s="124"/>
      <c r="C349" s="124"/>
      <c r="D349" s="126"/>
      <c r="E349" s="126"/>
      <c r="F349" s="125"/>
      <c r="G349" s="124"/>
      <c r="H349" s="124"/>
      <c r="I349" s="126"/>
      <c r="J349" s="126"/>
    </row>
    <row r="350" spans="1:10" ht="12.75" customHeight="1" x14ac:dyDescent="0.2">
      <c r="A350" s="124"/>
      <c r="B350" s="124"/>
      <c r="C350" s="124"/>
      <c r="D350" s="126"/>
      <c r="E350" s="126"/>
      <c r="F350" s="125"/>
      <c r="G350" s="124"/>
      <c r="H350" s="124"/>
      <c r="I350" s="126"/>
      <c r="J350" s="126"/>
    </row>
    <row r="351" spans="1:10" x14ac:dyDescent="0.2">
      <c r="A351" s="124"/>
      <c r="B351" s="124"/>
      <c r="C351" s="124"/>
      <c r="D351" s="126"/>
      <c r="E351" s="126"/>
      <c r="F351" s="126"/>
      <c r="G351" s="124"/>
      <c r="H351" s="124"/>
      <c r="I351" s="126"/>
      <c r="J351" s="126"/>
    </row>
    <row r="352" spans="1:10" x14ac:dyDescent="0.2">
      <c r="A352" s="124"/>
      <c r="B352" s="124"/>
      <c r="C352" s="124"/>
      <c r="D352" s="126"/>
      <c r="E352" s="126"/>
      <c r="F352" s="125"/>
      <c r="G352" s="124"/>
      <c r="H352" s="124"/>
      <c r="I352" s="126"/>
      <c r="J352" s="126"/>
    </row>
    <row r="353" spans="1:10" x14ac:dyDescent="0.2">
      <c r="A353" s="124"/>
      <c r="B353" s="124"/>
      <c r="C353" s="124"/>
      <c r="D353" s="126"/>
      <c r="E353" s="126"/>
      <c r="F353" s="125"/>
      <c r="G353" s="124"/>
      <c r="H353" s="124"/>
      <c r="I353" s="126"/>
      <c r="J353" s="126"/>
    </row>
    <row r="354" spans="1:10" x14ac:dyDescent="0.2">
      <c r="A354" s="124"/>
      <c r="B354" s="124"/>
      <c r="C354" s="124"/>
      <c r="D354" s="126"/>
      <c r="E354" s="126"/>
      <c r="F354" s="126"/>
      <c r="G354" s="124"/>
      <c r="H354" s="124"/>
      <c r="I354" s="126"/>
      <c r="J354" s="126"/>
    </row>
    <row r="355" spans="1:10" x14ac:dyDescent="0.2">
      <c r="A355" s="124"/>
      <c r="B355" s="124"/>
      <c r="C355" s="124"/>
      <c r="D355" s="126"/>
      <c r="E355" s="126"/>
      <c r="F355" s="125"/>
      <c r="G355" s="124"/>
      <c r="H355" s="124"/>
      <c r="I355" s="126"/>
      <c r="J355" s="126"/>
    </row>
    <row r="356" spans="1:10" ht="12.75" customHeight="1" x14ac:dyDescent="0.2">
      <c r="A356" s="124"/>
      <c r="B356" s="124"/>
      <c r="C356" s="124"/>
      <c r="D356" s="126"/>
      <c r="E356" s="126"/>
      <c r="F356" s="125"/>
      <c r="G356" s="124"/>
      <c r="H356" s="124"/>
      <c r="I356" s="126"/>
      <c r="J356" s="126"/>
    </row>
    <row r="357" spans="1:10" ht="12.75" customHeight="1" x14ac:dyDescent="0.2">
      <c r="A357" s="124"/>
      <c r="B357" s="124"/>
      <c r="C357" s="124"/>
      <c r="D357" s="126"/>
      <c r="E357" s="126"/>
      <c r="F357" s="126"/>
      <c r="G357" s="124"/>
      <c r="H357" s="124"/>
      <c r="I357" s="126"/>
      <c r="J357" s="126"/>
    </row>
    <row r="358" spans="1:10" x14ac:dyDescent="0.2">
      <c r="A358" s="124"/>
      <c r="B358" s="124"/>
      <c r="C358" s="124"/>
      <c r="D358" s="126"/>
      <c r="E358" s="126"/>
      <c r="F358" s="125"/>
      <c r="G358" s="124"/>
      <c r="H358" s="124"/>
      <c r="I358" s="126"/>
      <c r="J358" s="126"/>
    </row>
    <row r="359" spans="1:10" x14ac:dyDescent="0.2">
      <c r="A359" s="124"/>
      <c r="B359" s="124"/>
      <c r="C359" s="124"/>
      <c r="D359" s="126"/>
      <c r="E359" s="126"/>
      <c r="F359" s="125"/>
      <c r="G359" s="124"/>
      <c r="H359" s="124"/>
      <c r="I359" s="126"/>
      <c r="J359" s="126"/>
    </row>
    <row r="360" spans="1:10" x14ac:dyDescent="0.2">
      <c r="A360" s="124"/>
      <c r="B360" s="124"/>
      <c r="C360" s="124"/>
      <c r="D360" s="126"/>
      <c r="E360" s="126"/>
      <c r="F360" s="126"/>
      <c r="G360" s="124"/>
      <c r="H360" s="124"/>
      <c r="I360" s="126"/>
      <c r="J360" s="126"/>
    </row>
    <row r="361" spans="1:10" x14ac:dyDescent="0.2">
      <c r="A361" s="124"/>
      <c r="B361" s="124"/>
      <c r="C361" s="124"/>
      <c r="D361" s="126"/>
      <c r="E361" s="126"/>
      <c r="F361" s="125"/>
      <c r="G361" s="124"/>
      <c r="H361" s="124"/>
      <c r="I361" s="126"/>
      <c r="J361" s="126"/>
    </row>
    <row r="362" spans="1:10" x14ac:dyDescent="0.2">
      <c r="A362" s="124"/>
      <c r="B362" s="124"/>
      <c r="C362" s="124"/>
      <c r="D362" s="126"/>
      <c r="E362" s="126"/>
      <c r="F362" s="125"/>
      <c r="G362" s="124"/>
      <c r="H362" s="124"/>
      <c r="I362" s="126"/>
      <c r="J362" s="126"/>
    </row>
    <row r="363" spans="1:10" ht="12.75" customHeight="1" x14ac:dyDescent="0.2">
      <c r="A363" s="124"/>
      <c r="B363" s="124"/>
      <c r="C363" s="124"/>
      <c r="D363" s="126"/>
      <c r="E363" s="126"/>
      <c r="F363" s="126"/>
      <c r="G363" s="124"/>
      <c r="H363" s="124"/>
      <c r="I363" s="126"/>
      <c r="J363" s="126"/>
    </row>
    <row r="364" spans="1:10" ht="12.75" customHeight="1" x14ac:dyDescent="0.2">
      <c r="A364" s="124"/>
      <c r="B364" s="124"/>
      <c r="C364" s="124"/>
      <c r="D364" s="126"/>
      <c r="E364" s="126"/>
      <c r="F364" s="125"/>
      <c r="G364" s="124"/>
      <c r="H364" s="124"/>
      <c r="I364" s="126"/>
      <c r="J364" s="126"/>
    </row>
    <row r="365" spans="1:10" x14ac:dyDescent="0.2">
      <c r="A365" s="124"/>
      <c r="B365" s="124"/>
      <c r="C365" s="124"/>
      <c r="D365" s="126"/>
      <c r="E365" s="126"/>
      <c r="F365" s="125"/>
      <c r="G365" s="124"/>
      <c r="H365" s="124"/>
      <c r="I365" s="126"/>
      <c r="J365" s="126"/>
    </row>
    <row r="366" spans="1:10" x14ac:dyDescent="0.2">
      <c r="A366" s="124"/>
      <c r="B366" s="124"/>
      <c r="C366" s="124"/>
      <c r="D366" s="126"/>
      <c r="E366" s="126"/>
      <c r="F366" s="126"/>
      <c r="G366" s="124"/>
      <c r="H366" s="124"/>
      <c r="I366" s="126"/>
      <c r="J366" s="126"/>
    </row>
    <row r="367" spans="1:10" x14ac:dyDescent="0.2">
      <c r="A367" s="124"/>
      <c r="B367" s="124"/>
      <c r="C367" s="124"/>
      <c r="D367" s="126"/>
      <c r="E367" s="126"/>
      <c r="F367" s="125"/>
      <c r="G367" s="124"/>
      <c r="H367" s="124"/>
      <c r="I367" s="126"/>
      <c r="J367" s="126"/>
    </row>
    <row r="368" spans="1:10" x14ac:dyDescent="0.2">
      <c r="A368" s="124"/>
      <c r="B368" s="124"/>
      <c r="C368" s="124"/>
      <c r="D368" s="126"/>
      <c r="E368" s="126"/>
      <c r="F368" s="125"/>
      <c r="G368" s="124"/>
      <c r="H368" s="124"/>
      <c r="I368" s="126"/>
      <c r="J368" s="126"/>
    </row>
    <row r="369" spans="1:10" x14ac:dyDescent="0.2">
      <c r="A369" s="124"/>
      <c r="B369" s="124"/>
      <c r="C369" s="124"/>
      <c r="D369" s="126"/>
      <c r="E369" s="126"/>
      <c r="F369" s="126"/>
      <c r="G369" s="124"/>
      <c r="H369" s="124"/>
      <c r="I369" s="126"/>
      <c r="J369" s="126"/>
    </row>
    <row r="370" spans="1:10" ht="12.75" customHeight="1" x14ac:dyDescent="0.2">
      <c r="A370" s="124"/>
      <c r="B370" s="124"/>
      <c r="C370" s="124"/>
      <c r="D370" s="126"/>
      <c r="E370" s="126"/>
      <c r="F370" s="125"/>
      <c r="G370" s="124"/>
      <c r="H370" s="124"/>
      <c r="I370" s="126"/>
      <c r="J370" s="126"/>
    </row>
    <row r="371" spans="1:10" ht="12.75" customHeight="1" x14ac:dyDescent="0.2">
      <c r="A371" s="124"/>
      <c r="B371" s="124"/>
      <c r="C371" s="124"/>
      <c r="D371" s="126"/>
      <c r="E371" s="126"/>
      <c r="F371" s="125"/>
      <c r="G371" s="124"/>
      <c r="H371" s="124"/>
      <c r="I371" s="126"/>
      <c r="J371" s="126"/>
    </row>
    <row r="372" spans="1:10" x14ac:dyDescent="0.2">
      <c r="A372" s="124"/>
      <c r="B372" s="124"/>
      <c r="C372" s="124"/>
      <c r="D372" s="126"/>
      <c r="E372" s="126"/>
      <c r="F372" s="126"/>
      <c r="G372" s="124"/>
      <c r="H372" s="124"/>
      <c r="I372" s="126"/>
      <c r="J372" s="126"/>
    </row>
    <row r="373" spans="1:10" x14ac:dyDescent="0.2">
      <c r="A373" s="124"/>
      <c r="B373" s="124"/>
      <c r="C373" s="124"/>
      <c r="D373" s="126"/>
      <c r="E373" s="126"/>
      <c r="F373" s="125"/>
      <c r="G373" s="124"/>
      <c r="H373" s="124"/>
      <c r="I373" s="126"/>
      <c r="J373" s="126"/>
    </row>
    <row r="374" spans="1:10" x14ac:dyDescent="0.2">
      <c r="A374" s="124"/>
      <c r="B374" s="124"/>
      <c r="C374" s="124"/>
      <c r="D374" s="126"/>
      <c r="E374" s="126"/>
      <c r="F374" s="125"/>
      <c r="G374" s="124"/>
      <c r="H374" s="124"/>
      <c r="I374" s="126"/>
      <c r="J374" s="126"/>
    </row>
    <row r="375" spans="1:10" x14ac:dyDescent="0.2">
      <c r="A375" s="124"/>
      <c r="B375" s="124"/>
      <c r="C375" s="124"/>
      <c r="D375" s="126"/>
      <c r="E375" s="126"/>
      <c r="F375" s="126"/>
      <c r="G375" s="124"/>
      <c r="H375" s="124"/>
      <c r="I375" s="126"/>
      <c r="J375" s="126"/>
    </row>
    <row r="376" spans="1:10" x14ac:dyDescent="0.2">
      <c r="A376" s="124"/>
      <c r="B376" s="124"/>
      <c r="C376" s="124"/>
      <c r="D376" s="126"/>
      <c r="E376" s="126"/>
      <c r="F376" s="125"/>
      <c r="G376" s="124"/>
      <c r="H376" s="124"/>
      <c r="I376" s="126"/>
      <c r="J376" s="126"/>
    </row>
    <row r="377" spans="1:10" ht="12.75" customHeight="1" x14ac:dyDescent="0.2">
      <c r="A377" s="124"/>
      <c r="B377" s="124"/>
      <c r="C377" s="124"/>
      <c r="D377" s="126"/>
      <c r="E377" s="126"/>
      <c r="F377" s="125"/>
      <c r="G377" s="124"/>
      <c r="H377" s="124"/>
      <c r="I377" s="126"/>
      <c r="J377" s="126"/>
    </row>
    <row r="378" spans="1:10" ht="12.75" customHeight="1" x14ac:dyDescent="0.2">
      <c r="A378" s="124"/>
      <c r="B378" s="124"/>
      <c r="C378" s="124"/>
      <c r="D378" s="126"/>
      <c r="E378" s="126"/>
      <c r="F378" s="126"/>
      <c r="G378" s="124"/>
      <c r="H378" s="124"/>
      <c r="I378" s="126"/>
      <c r="J378" s="126"/>
    </row>
    <row r="379" spans="1:10" x14ac:dyDescent="0.2">
      <c r="A379" s="124"/>
      <c r="B379" s="124"/>
      <c r="C379" s="124"/>
      <c r="D379" s="126"/>
      <c r="E379" s="126"/>
      <c r="F379" s="125"/>
      <c r="G379" s="124"/>
      <c r="H379" s="124"/>
      <c r="I379" s="126"/>
      <c r="J379" s="126"/>
    </row>
    <row r="380" spans="1:10" x14ac:dyDescent="0.2">
      <c r="A380" s="124"/>
      <c r="B380" s="124"/>
      <c r="C380" s="124"/>
      <c r="D380" s="126"/>
      <c r="E380" s="126"/>
      <c r="F380" s="125"/>
      <c r="G380" s="124"/>
      <c r="H380" s="124"/>
      <c r="I380" s="126"/>
      <c r="J380" s="126"/>
    </row>
    <row r="381" spans="1:10" x14ac:dyDescent="0.2">
      <c r="A381" s="124"/>
      <c r="B381" s="124"/>
      <c r="C381" s="124"/>
      <c r="D381" s="126"/>
      <c r="E381" s="126"/>
      <c r="F381" s="126"/>
      <c r="G381" s="124"/>
      <c r="H381" s="124"/>
      <c r="I381" s="126"/>
      <c r="J381" s="126"/>
    </row>
    <row r="382" spans="1:10" x14ac:dyDescent="0.2">
      <c r="A382" s="124"/>
      <c r="B382" s="124"/>
      <c r="C382" s="124"/>
      <c r="D382" s="126"/>
      <c r="E382" s="126"/>
      <c r="F382" s="125"/>
      <c r="G382" s="124"/>
      <c r="H382" s="124"/>
      <c r="I382" s="126"/>
      <c r="J382" s="126"/>
    </row>
    <row r="383" spans="1:10" x14ac:dyDescent="0.2">
      <c r="A383" s="124"/>
      <c r="B383" s="124"/>
      <c r="C383" s="124"/>
      <c r="D383" s="126"/>
      <c r="E383" s="126"/>
      <c r="F383" s="125"/>
      <c r="G383" s="124"/>
      <c r="H383" s="124"/>
      <c r="I383" s="126"/>
      <c r="J383" s="126"/>
    </row>
    <row r="384" spans="1:10" ht="12.75" customHeight="1" x14ac:dyDescent="0.2">
      <c r="A384" s="124"/>
      <c r="B384" s="124"/>
      <c r="C384" s="124"/>
      <c r="D384" s="126"/>
      <c r="E384" s="126"/>
      <c r="F384" s="126"/>
      <c r="G384" s="124"/>
      <c r="H384" s="124"/>
      <c r="I384" s="126"/>
      <c r="J384" s="126"/>
    </row>
    <row r="385" spans="1:10" ht="12.75" customHeight="1" x14ac:dyDescent="0.2">
      <c r="A385" s="124"/>
      <c r="B385" s="124"/>
      <c r="C385" s="124"/>
      <c r="D385" s="126"/>
      <c r="E385" s="126"/>
      <c r="F385" s="125"/>
      <c r="G385" s="124"/>
      <c r="H385" s="124"/>
      <c r="I385" s="126"/>
      <c r="J385" s="126"/>
    </row>
    <row r="386" spans="1:10" x14ac:dyDescent="0.2">
      <c r="A386" s="124"/>
      <c r="B386" s="124"/>
      <c r="C386" s="124"/>
      <c r="D386" s="126"/>
      <c r="E386" s="126"/>
      <c r="F386" s="125"/>
      <c r="G386" s="124"/>
      <c r="H386" s="124"/>
      <c r="I386" s="126"/>
      <c r="J386" s="126"/>
    </row>
    <row r="387" spans="1:10" x14ac:dyDescent="0.2">
      <c r="A387" s="124"/>
      <c r="B387" s="124"/>
      <c r="C387" s="124"/>
      <c r="D387" s="126"/>
      <c r="E387" s="126"/>
      <c r="F387" s="126"/>
      <c r="G387" s="124"/>
      <c r="H387" s="124"/>
      <c r="I387" s="126"/>
      <c r="J387" s="126"/>
    </row>
    <row r="388" spans="1:10" x14ac:dyDescent="0.2">
      <c r="A388" s="124"/>
      <c r="B388" s="124"/>
      <c r="C388" s="124"/>
      <c r="D388" s="126"/>
      <c r="E388" s="126"/>
      <c r="F388" s="125"/>
      <c r="G388" s="124"/>
      <c r="H388" s="124"/>
      <c r="I388" s="126"/>
      <c r="J388" s="126"/>
    </row>
    <row r="389" spans="1:10" x14ac:dyDescent="0.2">
      <c r="A389" s="124"/>
      <c r="B389" s="124"/>
      <c r="C389" s="124"/>
      <c r="D389" s="126"/>
      <c r="E389" s="126"/>
      <c r="F389" s="125"/>
      <c r="G389" s="124"/>
      <c r="H389" s="124"/>
      <c r="I389" s="126"/>
      <c r="J389" s="126"/>
    </row>
    <row r="390" spans="1:10" x14ac:dyDescent="0.2">
      <c r="A390" s="124"/>
      <c r="B390" s="124"/>
      <c r="C390" s="124"/>
      <c r="D390" s="126"/>
      <c r="E390" s="126"/>
      <c r="F390" s="126"/>
      <c r="G390" s="124"/>
      <c r="H390" s="124"/>
      <c r="I390" s="126"/>
      <c r="J390" s="126"/>
    </row>
    <row r="391" spans="1:10" ht="12.75" customHeight="1" x14ac:dyDescent="0.2">
      <c r="A391" s="124"/>
      <c r="B391" s="124"/>
      <c r="C391" s="124"/>
      <c r="D391" s="126"/>
      <c r="E391" s="126"/>
      <c r="F391" s="125"/>
      <c r="G391" s="124"/>
      <c r="H391" s="124"/>
      <c r="I391" s="126"/>
      <c r="J391" s="126"/>
    </row>
    <row r="392" spans="1:10" ht="12.75" customHeight="1" x14ac:dyDescent="0.2">
      <c r="A392" s="124"/>
      <c r="B392" s="124"/>
      <c r="C392" s="124"/>
      <c r="D392" s="126"/>
      <c r="E392" s="126"/>
      <c r="F392" s="125"/>
      <c r="G392" s="124"/>
      <c r="H392" s="124"/>
      <c r="I392" s="126"/>
      <c r="J392" s="126"/>
    </row>
    <row r="393" spans="1:10" x14ac:dyDescent="0.2">
      <c r="A393" s="124"/>
      <c r="B393" s="124"/>
      <c r="C393" s="124"/>
      <c r="D393" s="126"/>
      <c r="E393" s="126"/>
      <c r="F393" s="126"/>
      <c r="G393" s="124"/>
      <c r="H393" s="124"/>
      <c r="I393" s="126"/>
      <c r="J393" s="126"/>
    </row>
    <row r="394" spans="1:10" x14ac:dyDescent="0.2">
      <c r="A394" s="124"/>
      <c r="B394" s="124"/>
      <c r="C394" s="124"/>
      <c r="D394" s="126"/>
      <c r="E394" s="126"/>
      <c r="F394" s="125"/>
      <c r="G394" s="124"/>
      <c r="H394" s="124"/>
      <c r="I394" s="126"/>
      <c r="J394" s="126"/>
    </row>
    <row r="395" spans="1:10" x14ac:dyDescent="0.2">
      <c r="A395" s="124"/>
      <c r="B395" s="124"/>
      <c r="C395" s="124"/>
      <c r="D395" s="126"/>
      <c r="E395" s="126"/>
      <c r="F395" s="125"/>
      <c r="G395" s="124"/>
      <c r="H395" s="124"/>
      <c r="I395" s="126"/>
      <c r="J395" s="126"/>
    </row>
    <row r="396" spans="1:10" x14ac:dyDescent="0.2">
      <c r="A396" s="124"/>
      <c r="B396" s="124"/>
      <c r="C396" s="124"/>
      <c r="D396" s="126"/>
      <c r="E396" s="126"/>
      <c r="F396" s="126"/>
      <c r="G396" s="124"/>
      <c r="H396" s="124"/>
      <c r="I396" s="126"/>
      <c r="J396" s="126"/>
    </row>
    <row r="397" spans="1:10" x14ac:dyDescent="0.2">
      <c r="A397" s="124"/>
      <c r="B397" s="124"/>
      <c r="C397" s="124"/>
      <c r="D397" s="126"/>
      <c r="E397" s="126"/>
      <c r="F397" s="125"/>
      <c r="G397" s="124"/>
      <c r="H397" s="124"/>
      <c r="I397" s="126"/>
      <c r="J397" s="126"/>
    </row>
    <row r="398" spans="1:10" ht="12.75" customHeight="1" x14ac:dyDescent="0.2">
      <c r="A398" s="124"/>
      <c r="B398" s="124"/>
      <c r="C398" s="124"/>
      <c r="D398" s="126"/>
      <c r="E398" s="126"/>
      <c r="F398" s="125"/>
      <c r="G398" s="124"/>
      <c r="H398" s="124"/>
      <c r="I398" s="126"/>
      <c r="J398" s="126"/>
    </row>
    <row r="399" spans="1:10" ht="12.75" customHeight="1" x14ac:dyDescent="0.2">
      <c r="A399" s="124"/>
      <c r="B399" s="124"/>
      <c r="C399" s="124"/>
      <c r="D399" s="126"/>
      <c r="E399" s="126"/>
      <c r="F399" s="126"/>
      <c r="G399" s="124"/>
      <c r="H399" s="124"/>
      <c r="I399" s="126"/>
      <c r="J399" s="126"/>
    </row>
    <row r="400" spans="1:10" x14ac:dyDescent="0.2">
      <c r="A400" s="124"/>
      <c r="B400" s="124"/>
      <c r="C400" s="124"/>
      <c r="D400" s="126"/>
      <c r="E400" s="126"/>
      <c r="F400" s="125"/>
      <c r="G400" s="124"/>
      <c r="H400" s="124"/>
      <c r="I400" s="126"/>
      <c r="J400" s="126"/>
    </row>
    <row r="401" spans="1:10" x14ac:dyDescent="0.2">
      <c r="A401" s="124"/>
      <c r="B401" s="124"/>
      <c r="C401" s="124"/>
      <c r="D401" s="126"/>
      <c r="E401" s="126"/>
      <c r="F401" s="125"/>
      <c r="G401" s="124"/>
      <c r="H401" s="124"/>
      <c r="I401" s="126"/>
      <c r="J401" s="126"/>
    </row>
    <row r="402" spans="1:10" x14ac:dyDescent="0.2">
      <c r="A402" s="124"/>
      <c r="B402" s="124"/>
      <c r="C402" s="124"/>
      <c r="D402" s="126"/>
      <c r="E402" s="126"/>
      <c r="F402" s="126"/>
      <c r="G402" s="124"/>
      <c r="H402" s="124"/>
      <c r="I402" s="126"/>
      <c r="J402" s="126"/>
    </row>
    <row r="403" spans="1:10" x14ac:dyDescent="0.2">
      <c r="A403" s="124"/>
      <c r="B403" s="124"/>
      <c r="C403" s="124"/>
      <c r="D403" s="126"/>
      <c r="E403" s="126"/>
      <c r="F403" s="125"/>
      <c r="G403" s="124"/>
      <c r="H403" s="124"/>
      <c r="I403" s="126"/>
      <c r="J403" s="126"/>
    </row>
    <row r="404" spans="1:10" x14ac:dyDescent="0.2">
      <c r="A404" s="124"/>
      <c r="B404" s="124"/>
      <c r="C404" s="124"/>
      <c r="D404" s="126"/>
      <c r="E404" s="126"/>
      <c r="F404" s="125"/>
      <c r="G404" s="124"/>
      <c r="H404" s="124"/>
      <c r="I404" s="126"/>
      <c r="J404" s="126"/>
    </row>
    <row r="405" spans="1:10" ht="12.75" customHeight="1" x14ac:dyDescent="0.2">
      <c r="A405" s="124"/>
      <c r="B405" s="124"/>
      <c r="C405" s="124"/>
      <c r="D405" s="126"/>
      <c r="E405" s="126"/>
      <c r="F405" s="126"/>
      <c r="G405" s="124"/>
      <c r="H405" s="124"/>
      <c r="I405" s="126"/>
      <c r="J405" s="126"/>
    </row>
    <row r="406" spans="1:10" ht="12.75" customHeight="1" x14ac:dyDescent="0.2">
      <c r="A406" s="124"/>
      <c r="B406" s="124"/>
      <c r="C406" s="124"/>
      <c r="D406" s="126"/>
      <c r="E406" s="126"/>
      <c r="F406" s="125"/>
      <c r="G406" s="124"/>
      <c r="H406" s="124"/>
      <c r="I406" s="126"/>
      <c r="J406" s="126"/>
    </row>
    <row r="407" spans="1:10" x14ac:dyDescent="0.2">
      <c r="A407" s="124"/>
      <c r="B407" s="124"/>
      <c r="C407" s="124"/>
      <c r="D407" s="126"/>
      <c r="E407" s="126"/>
      <c r="F407" s="125"/>
      <c r="G407" s="124"/>
      <c r="H407" s="124"/>
      <c r="I407" s="126"/>
      <c r="J407" s="126"/>
    </row>
    <row r="408" spans="1:10" x14ac:dyDescent="0.2">
      <c r="A408" s="124"/>
      <c r="B408" s="124"/>
      <c r="C408" s="124"/>
      <c r="D408" s="126"/>
      <c r="E408" s="126"/>
      <c r="F408" s="126"/>
      <c r="G408" s="124"/>
      <c r="H408" s="124"/>
      <c r="I408" s="126"/>
      <c r="J408" s="126"/>
    </row>
    <row r="409" spans="1:10" x14ac:dyDescent="0.2">
      <c r="A409" s="124"/>
      <c r="B409" s="124"/>
      <c r="C409" s="124"/>
      <c r="D409" s="126"/>
      <c r="E409" s="126"/>
      <c r="F409" s="125"/>
      <c r="G409" s="124"/>
      <c r="H409" s="124"/>
      <c r="I409" s="126"/>
      <c r="J409" s="126"/>
    </row>
    <row r="410" spans="1:10" x14ac:dyDescent="0.2">
      <c r="A410" s="124"/>
      <c r="B410" s="124"/>
      <c r="C410" s="124"/>
      <c r="D410" s="126"/>
      <c r="E410" s="126"/>
      <c r="F410" s="125"/>
      <c r="G410" s="124"/>
      <c r="H410" s="124"/>
      <c r="I410" s="126"/>
      <c r="J410" s="126"/>
    </row>
    <row r="411" spans="1:10" x14ac:dyDescent="0.2">
      <c r="A411" s="124"/>
      <c r="B411" s="124"/>
      <c r="C411" s="124"/>
      <c r="D411" s="126"/>
      <c r="E411" s="126"/>
      <c r="F411" s="126"/>
      <c r="G411" s="124"/>
      <c r="H411" s="124"/>
      <c r="I411" s="126"/>
      <c r="J411" s="126"/>
    </row>
    <row r="412" spans="1:10" ht="12.75" customHeight="1" x14ac:dyDescent="0.2">
      <c r="A412" s="124"/>
      <c r="B412" s="124"/>
      <c r="C412" s="124"/>
      <c r="D412" s="126"/>
      <c r="E412" s="126"/>
      <c r="F412" s="125"/>
      <c r="G412" s="124"/>
      <c r="H412" s="124"/>
      <c r="I412" s="126"/>
      <c r="J412" s="126"/>
    </row>
    <row r="413" spans="1:10" ht="12.75" customHeight="1" x14ac:dyDescent="0.2">
      <c r="A413" s="124"/>
      <c r="B413" s="124"/>
      <c r="C413" s="124"/>
      <c r="D413" s="126"/>
      <c r="E413" s="126"/>
      <c r="F413" s="125"/>
      <c r="G413" s="124"/>
      <c r="H413" s="124"/>
      <c r="I413" s="126"/>
      <c r="J413" s="126"/>
    </row>
    <row r="414" spans="1:10" x14ac:dyDescent="0.2">
      <c r="A414" s="124"/>
      <c r="B414" s="124"/>
      <c r="C414" s="124"/>
      <c r="D414" s="126"/>
      <c r="E414" s="126"/>
      <c r="F414" s="126"/>
      <c r="G414" s="124"/>
      <c r="H414" s="124"/>
      <c r="I414" s="126"/>
      <c r="J414" s="126"/>
    </row>
    <row r="415" spans="1:10" x14ac:dyDescent="0.2">
      <c r="A415" s="124"/>
      <c r="B415" s="124"/>
      <c r="C415" s="124"/>
      <c r="D415" s="126"/>
      <c r="E415" s="126"/>
      <c r="F415" s="125"/>
      <c r="G415" s="124"/>
      <c r="H415" s="124"/>
      <c r="I415" s="126"/>
      <c r="J415" s="126"/>
    </row>
    <row r="416" spans="1:10" x14ac:dyDescent="0.2">
      <c r="A416" s="124"/>
      <c r="B416" s="124"/>
      <c r="C416" s="124"/>
      <c r="D416" s="126"/>
      <c r="E416" s="126"/>
      <c r="F416" s="125"/>
      <c r="G416" s="124"/>
      <c r="H416" s="124"/>
      <c r="I416" s="126"/>
      <c r="J416" s="126"/>
    </row>
    <row r="417" spans="1:10" x14ac:dyDescent="0.2">
      <c r="A417" s="124"/>
      <c r="B417" s="124"/>
      <c r="C417" s="124"/>
      <c r="D417" s="126"/>
      <c r="E417" s="126"/>
      <c r="F417" s="126"/>
      <c r="G417" s="124"/>
      <c r="H417" s="124"/>
      <c r="I417" s="126"/>
      <c r="J417" s="126"/>
    </row>
    <row r="418" spans="1:10" x14ac:dyDescent="0.2">
      <c r="A418" s="124"/>
      <c r="B418" s="124"/>
      <c r="C418" s="124"/>
      <c r="D418" s="126"/>
      <c r="E418" s="126"/>
      <c r="F418" s="125"/>
      <c r="G418" s="124"/>
      <c r="H418" s="124"/>
      <c r="I418" s="126"/>
      <c r="J418" s="126"/>
    </row>
    <row r="419" spans="1:10" ht="12.75" customHeight="1" x14ac:dyDescent="0.2">
      <c r="A419" s="124"/>
      <c r="B419" s="124"/>
      <c r="C419" s="124"/>
      <c r="D419" s="126"/>
      <c r="E419" s="126"/>
      <c r="F419" s="125"/>
      <c r="G419" s="124"/>
      <c r="H419" s="124"/>
      <c r="I419" s="126"/>
      <c r="J419" s="126"/>
    </row>
    <row r="420" spans="1:10" ht="12.75" customHeight="1" x14ac:dyDescent="0.2">
      <c r="A420" s="124"/>
      <c r="B420" s="124"/>
      <c r="C420" s="124"/>
      <c r="D420" s="126"/>
      <c r="E420" s="126"/>
      <c r="F420" s="126"/>
      <c r="G420" s="124"/>
      <c r="H420" s="124"/>
      <c r="I420" s="126"/>
      <c r="J420" s="126"/>
    </row>
    <row r="421" spans="1:10" x14ac:dyDescent="0.2">
      <c r="A421" s="124"/>
      <c r="B421" s="124"/>
      <c r="C421" s="124"/>
      <c r="D421" s="126"/>
      <c r="E421" s="126"/>
      <c r="F421" s="125"/>
      <c r="G421" s="124"/>
      <c r="H421" s="124"/>
      <c r="I421" s="126"/>
      <c r="J421" s="126"/>
    </row>
    <row r="422" spans="1:10" x14ac:dyDescent="0.2">
      <c r="A422" s="124"/>
      <c r="B422" s="124"/>
      <c r="C422" s="124"/>
      <c r="D422" s="126"/>
      <c r="E422" s="126"/>
      <c r="F422" s="125"/>
      <c r="G422" s="124"/>
      <c r="H422" s="124"/>
      <c r="I422" s="126"/>
      <c r="J422" s="126"/>
    </row>
    <row r="423" spans="1:10" x14ac:dyDescent="0.2">
      <c r="A423" s="124"/>
      <c r="B423" s="124"/>
      <c r="C423" s="124"/>
      <c r="D423" s="126"/>
      <c r="E423" s="126"/>
      <c r="F423" s="126"/>
      <c r="G423" s="124"/>
      <c r="H423" s="124"/>
      <c r="I423" s="126"/>
      <c r="J423" s="126"/>
    </row>
    <row r="424" spans="1:10" x14ac:dyDescent="0.2">
      <c r="A424" s="124"/>
      <c r="B424" s="124"/>
      <c r="C424" s="124"/>
      <c r="D424" s="126"/>
      <c r="E424" s="126"/>
      <c r="F424" s="125"/>
      <c r="G424" s="124"/>
      <c r="H424" s="124"/>
      <c r="I424" s="126"/>
      <c r="J424" s="126"/>
    </row>
    <row r="425" spans="1:10" x14ac:dyDescent="0.2">
      <c r="A425" s="124"/>
      <c r="B425" s="124"/>
      <c r="C425" s="124"/>
      <c r="D425" s="126"/>
      <c r="E425" s="126"/>
      <c r="F425" s="125"/>
      <c r="G425" s="124"/>
      <c r="H425" s="124"/>
      <c r="I425" s="126"/>
      <c r="J425" s="126"/>
    </row>
    <row r="426" spans="1:10" ht="12.75" customHeight="1" x14ac:dyDescent="0.2">
      <c r="A426" s="124"/>
      <c r="B426" s="124"/>
      <c r="C426" s="124"/>
      <c r="D426" s="126"/>
      <c r="E426" s="126"/>
      <c r="F426" s="126"/>
      <c r="G426" s="124"/>
      <c r="H426" s="124"/>
      <c r="I426" s="126"/>
      <c r="J426" s="126"/>
    </row>
    <row r="427" spans="1:10" ht="12.75" customHeight="1" x14ac:dyDescent="0.2">
      <c r="A427" s="124"/>
      <c r="B427" s="124"/>
      <c r="C427" s="124"/>
      <c r="D427" s="126"/>
      <c r="E427" s="126"/>
      <c r="F427" s="125"/>
      <c r="G427" s="124"/>
      <c r="H427" s="124"/>
      <c r="I427" s="126"/>
      <c r="J427" s="126"/>
    </row>
    <row r="428" spans="1:10" x14ac:dyDescent="0.2">
      <c r="A428" s="124"/>
      <c r="B428" s="124"/>
      <c r="C428" s="124"/>
      <c r="D428" s="126"/>
      <c r="E428" s="126"/>
      <c r="F428" s="125"/>
      <c r="G428" s="124"/>
      <c r="H428" s="124"/>
      <c r="I428" s="126"/>
      <c r="J428" s="126"/>
    </row>
    <row r="429" spans="1:10" x14ac:dyDescent="0.2">
      <c r="A429" s="124"/>
      <c r="B429" s="124"/>
      <c r="C429" s="124"/>
      <c r="D429" s="126"/>
      <c r="E429" s="126"/>
      <c r="F429" s="126"/>
      <c r="G429" s="124"/>
      <c r="H429" s="124"/>
      <c r="I429" s="126"/>
      <c r="J429" s="126"/>
    </row>
    <row r="430" spans="1:10" x14ac:dyDescent="0.2">
      <c r="A430" s="124"/>
      <c r="B430" s="124"/>
      <c r="C430" s="124"/>
      <c r="D430" s="126"/>
      <c r="E430" s="126"/>
      <c r="F430" s="125"/>
      <c r="G430" s="124"/>
      <c r="H430" s="124"/>
      <c r="I430" s="126"/>
      <c r="J430" s="126"/>
    </row>
    <row r="431" spans="1:10" x14ac:dyDescent="0.2">
      <c r="A431" s="124"/>
      <c r="B431" s="124"/>
      <c r="C431" s="124"/>
      <c r="D431" s="126"/>
      <c r="E431" s="126"/>
      <c r="F431" s="125"/>
      <c r="G431" s="124"/>
      <c r="H431" s="124"/>
      <c r="I431" s="126"/>
      <c r="J431" s="126"/>
    </row>
    <row r="432" spans="1:10" x14ac:dyDescent="0.2">
      <c r="A432" s="124"/>
      <c r="B432" s="124"/>
      <c r="C432" s="124"/>
      <c r="D432" s="126"/>
      <c r="E432" s="126"/>
      <c r="F432" s="126"/>
      <c r="G432" s="124"/>
      <c r="H432" s="124"/>
      <c r="I432" s="126"/>
      <c r="J432" s="126"/>
    </row>
    <row r="433" spans="1:10" ht="12.75" customHeight="1" x14ac:dyDescent="0.2">
      <c r="A433" s="124"/>
      <c r="B433" s="124"/>
      <c r="C433" s="124"/>
      <c r="D433" s="126"/>
      <c r="E433" s="126"/>
      <c r="F433" s="125"/>
      <c r="G433" s="124"/>
      <c r="H433" s="124"/>
      <c r="I433" s="126"/>
      <c r="J433" s="126"/>
    </row>
    <row r="434" spans="1:10" ht="12.75" customHeight="1" x14ac:dyDescent="0.2">
      <c r="A434" s="124"/>
      <c r="B434" s="124"/>
      <c r="C434" s="124"/>
      <c r="D434" s="126"/>
      <c r="E434" s="126"/>
      <c r="F434" s="125"/>
      <c r="G434" s="124"/>
      <c r="H434" s="124"/>
      <c r="I434" s="126"/>
      <c r="J434" s="126"/>
    </row>
    <row r="435" spans="1:10" x14ac:dyDescent="0.2">
      <c r="A435" s="124"/>
      <c r="B435" s="124"/>
      <c r="C435" s="124"/>
      <c r="D435" s="126"/>
      <c r="E435" s="126"/>
      <c r="F435" s="126"/>
      <c r="G435" s="124"/>
      <c r="H435" s="124"/>
      <c r="I435" s="126"/>
      <c r="J435" s="126"/>
    </row>
    <row r="436" spans="1:10" x14ac:dyDescent="0.2">
      <c r="A436" s="124"/>
      <c r="B436" s="124"/>
      <c r="C436" s="124"/>
      <c r="D436" s="126"/>
      <c r="E436" s="126"/>
      <c r="F436" s="125"/>
      <c r="G436" s="124"/>
      <c r="H436" s="124"/>
      <c r="I436" s="126"/>
      <c r="J436" s="126"/>
    </row>
    <row r="437" spans="1:10" x14ac:dyDescent="0.2">
      <c r="A437" s="124"/>
      <c r="B437" s="124"/>
      <c r="C437" s="124"/>
      <c r="D437" s="126"/>
      <c r="E437" s="126"/>
      <c r="F437" s="125"/>
      <c r="G437" s="124"/>
      <c r="H437" s="124"/>
      <c r="I437" s="126"/>
      <c r="J437" s="126"/>
    </row>
    <row r="438" spans="1:10" x14ac:dyDescent="0.2">
      <c r="A438" s="124"/>
      <c r="B438" s="124"/>
      <c r="C438" s="124"/>
      <c r="D438" s="126"/>
      <c r="E438" s="126"/>
      <c r="F438" s="126"/>
      <c r="G438" s="124"/>
      <c r="H438" s="124"/>
      <c r="I438" s="126"/>
      <c r="J438" s="126"/>
    </row>
    <row r="439" spans="1:10" x14ac:dyDescent="0.2">
      <c r="A439" s="124"/>
      <c r="B439" s="124"/>
      <c r="C439" s="124"/>
      <c r="D439" s="126"/>
      <c r="E439" s="126"/>
      <c r="F439" s="125"/>
      <c r="G439" s="124"/>
      <c r="H439" s="124"/>
      <c r="I439" s="126"/>
      <c r="J439" s="126"/>
    </row>
    <row r="440" spans="1:10" ht="12.75" customHeight="1" x14ac:dyDescent="0.2">
      <c r="A440" s="124"/>
      <c r="B440" s="124"/>
      <c r="C440" s="124"/>
      <c r="D440" s="126"/>
      <c r="E440" s="126"/>
      <c r="F440" s="125"/>
      <c r="G440" s="124"/>
      <c r="H440" s="124"/>
      <c r="I440" s="126"/>
      <c r="J440" s="126"/>
    </row>
    <row r="441" spans="1:10" ht="12.75" customHeight="1" x14ac:dyDescent="0.2">
      <c r="A441" s="124"/>
      <c r="B441" s="124"/>
      <c r="C441" s="124"/>
      <c r="D441" s="126"/>
      <c r="E441" s="126"/>
      <c r="F441" s="126"/>
      <c r="G441" s="124"/>
      <c r="H441" s="124"/>
      <c r="I441" s="126"/>
      <c r="J441" s="126"/>
    </row>
    <row r="442" spans="1:10" x14ac:dyDescent="0.2">
      <c r="A442" s="124"/>
      <c r="B442" s="124"/>
      <c r="C442" s="124"/>
      <c r="D442" s="126"/>
      <c r="E442" s="126"/>
      <c r="F442" s="125"/>
      <c r="G442" s="124"/>
      <c r="H442" s="124"/>
      <c r="I442" s="126"/>
      <c r="J442" s="126"/>
    </row>
    <row r="443" spans="1:10" x14ac:dyDescent="0.2">
      <c r="A443" s="124"/>
      <c r="B443" s="124"/>
      <c r="C443" s="124"/>
      <c r="D443" s="126"/>
      <c r="E443" s="126"/>
      <c r="F443" s="125"/>
      <c r="G443" s="124"/>
      <c r="H443" s="124"/>
      <c r="I443" s="126"/>
      <c r="J443" s="126"/>
    </row>
    <row r="444" spans="1:10" x14ac:dyDescent="0.2">
      <c r="A444" s="124"/>
      <c r="B444" s="124"/>
      <c r="C444" s="124"/>
      <c r="D444" s="126"/>
      <c r="E444" s="126"/>
      <c r="F444" s="126"/>
      <c r="G444" s="124"/>
      <c r="H444" s="124"/>
      <c r="I444" s="126"/>
      <c r="J444" s="126"/>
    </row>
    <row r="445" spans="1:10" x14ac:dyDescent="0.2">
      <c r="A445" s="124"/>
      <c r="B445" s="124"/>
      <c r="C445" s="124"/>
      <c r="D445" s="126"/>
      <c r="E445" s="126"/>
      <c r="F445" s="125"/>
      <c r="G445" s="124"/>
      <c r="H445" s="124"/>
      <c r="I445" s="126"/>
      <c r="J445" s="126"/>
    </row>
    <row r="446" spans="1:10" x14ac:dyDescent="0.2">
      <c r="A446" s="124"/>
      <c r="B446" s="124"/>
      <c r="C446" s="124"/>
      <c r="D446" s="126"/>
      <c r="E446" s="126"/>
      <c r="F446" s="125"/>
      <c r="G446" s="124"/>
      <c r="H446" s="124"/>
      <c r="I446" s="126"/>
      <c r="J446" s="126"/>
    </row>
    <row r="447" spans="1:10" ht="12.75" customHeight="1" x14ac:dyDescent="0.2">
      <c r="A447" s="124"/>
      <c r="B447" s="124"/>
      <c r="C447" s="124"/>
      <c r="D447" s="126"/>
      <c r="E447" s="126"/>
      <c r="F447" s="126"/>
      <c r="G447" s="124"/>
      <c r="H447" s="124"/>
      <c r="I447" s="126"/>
      <c r="J447" s="126"/>
    </row>
    <row r="448" spans="1:10" ht="12.75" customHeight="1" x14ac:dyDescent="0.2">
      <c r="A448" s="124"/>
      <c r="B448" s="124"/>
      <c r="C448" s="124"/>
      <c r="D448" s="126"/>
      <c r="E448" s="126"/>
      <c r="F448" s="125"/>
      <c r="G448" s="124"/>
      <c r="H448" s="124"/>
      <c r="I448" s="126"/>
      <c r="J448" s="126"/>
    </row>
    <row r="449" spans="1:10" x14ac:dyDescent="0.2">
      <c r="A449" s="124"/>
      <c r="B449" s="124"/>
      <c r="C449" s="124"/>
      <c r="D449" s="126"/>
      <c r="E449" s="126"/>
      <c r="F449" s="125"/>
      <c r="G449" s="124"/>
      <c r="H449" s="124"/>
      <c r="I449" s="126"/>
      <c r="J449" s="126"/>
    </row>
    <row r="450" spans="1:10" x14ac:dyDescent="0.2">
      <c r="A450" s="124"/>
      <c r="B450" s="124"/>
      <c r="C450" s="124"/>
      <c r="D450" s="126"/>
      <c r="E450" s="126"/>
      <c r="F450" s="126"/>
      <c r="G450" s="124"/>
      <c r="H450" s="124"/>
      <c r="I450" s="126"/>
      <c r="J450" s="126"/>
    </row>
    <row r="451" spans="1:10" x14ac:dyDescent="0.2">
      <c r="A451" s="124"/>
      <c r="B451" s="124"/>
      <c r="C451" s="124"/>
      <c r="D451" s="126"/>
      <c r="E451" s="126"/>
      <c r="F451" s="125"/>
      <c r="G451" s="124"/>
      <c r="H451" s="124"/>
      <c r="I451" s="126"/>
      <c r="J451" s="126"/>
    </row>
    <row r="452" spans="1:10" x14ac:dyDescent="0.2">
      <c r="A452" s="124"/>
      <c r="B452" s="124"/>
      <c r="C452" s="124"/>
      <c r="D452" s="126"/>
      <c r="E452" s="126"/>
      <c r="F452" s="125"/>
      <c r="G452" s="124"/>
      <c r="H452" s="124"/>
      <c r="I452" s="126"/>
      <c r="J452" s="126"/>
    </row>
    <row r="453" spans="1:10" x14ac:dyDescent="0.2">
      <c r="A453" s="124"/>
      <c r="B453" s="124"/>
      <c r="C453" s="124"/>
      <c r="D453" s="126"/>
      <c r="E453" s="126"/>
      <c r="F453" s="126"/>
      <c r="G453" s="124"/>
      <c r="H453" s="124"/>
      <c r="I453" s="126"/>
      <c r="J453" s="126"/>
    </row>
    <row r="454" spans="1:10" ht="12.75" customHeight="1" x14ac:dyDescent="0.2">
      <c r="A454" s="124"/>
      <c r="B454" s="124"/>
      <c r="C454" s="124"/>
      <c r="D454" s="126"/>
      <c r="E454" s="126"/>
      <c r="F454" s="125"/>
      <c r="G454" s="124"/>
      <c r="H454" s="124"/>
      <c r="I454" s="126"/>
      <c r="J454" s="126"/>
    </row>
    <row r="455" spans="1:10" ht="12.75" customHeight="1" x14ac:dyDescent="0.2">
      <c r="A455" s="124"/>
      <c r="B455" s="124"/>
      <c r="C455" s="124"/>
      <c r="D455" s="126"/>
      <c r="E455" s="126"/>
      <c r="F455" s="125"/>
      <c r="G455" s="124"/>
      <c r="H455" s="124"/>
      <c r="I455" s="126"/>
      <c r="J455" s="126"/>
    </row>
    <row r="456" spans="1:10" x14ac:dyDescent="0.2">
      <c r="A456" s="124"/>
      <c r="B456" s="124"/>
      <c r="C456" s="124"/>
      <c r="D456" s="126"/>
      <c r="E456" s="126"/>
      <c r="F456" s="126"/>
      <c r="G456" s="124"/>
      <c r="H456" s="124"/>
      <c r="I456" s="126"/>
      <c r="J456" s="126"/>
    </row>
    <row r="457" spans="1:10" x14ac:dyDescent="0.2">
      <c r="A457" s="124"/>
      <c r="B457" s="124"/>
      <c r="C457" s="124"/>
      <c r="D457" s="126"/>
      <c r="E457" s="126"/>
      <c r="F457" s="125"/>
      <c r="G457" s="124"/>
      <c r="H457" s="124"/>
      <c r="I457" s="126"/>
      <c r="J457" s="126"/>
    </row>
    <row r="458" spans="1:10" x14ac:dyDescent="0.2">
      <c r="A458" s="124"/>
      <c r="B458" s="124"/>
      <c r="C458" s="124"/>
      <c r="D458" s="126"/>
      <c r="E458" s="126"/>
      <c r="F458" s="125"/>
      <c r="G458" s="124"/>
      <c r="H458" s="124"/>
      <c r="I458" s="126"/>
      <c r="J458" s="126"/>
    </row>
    <row r="459" spans="1:10" x14ac:dyDescent="0.2">
      <c r="A459" s="124"/>
      <c r="B459" s="124"/>
      <c r="C459" s="124"/>
      <c r="D459" s="126"/>
      <c r="E459" s="126"/>
      <c r="F459" s="126"/>
      <c r="G459" s="124"/>
      <c r="H459" s="124"/>
      <c r="I459" s="126"/>
      <c r="J459" s="126"/>
    </row>
    <row r="460" spans="1:10" x14ac:dyDescent="0.2">
      <c r="A460" s="124"/>
      <c r="B460" s="124"/>
      <c r="C460" s="124"/>
      <c r="D460" s="126"/>
      <c r="E460" s="126"/>
      <c r="F460" s="125"/>
      <c r="G460" s="124"/>
      <c r="H460" s="124"/>
      <c r="I460" s="126"/>
      <c r="J460" s="126"/>
    </row>
    <row r="461" spans="1:10" ht="12.75" customHeight="1" x14ac:dyDescent="0.2">
      <c r="A461" s="124"/>
      <c r="B461" s="124"/>
      <c r="C461" s="124"/>
      <c r="D461" s="126"/>
      <c r="E461" s="126"/>
      <c r="F461" s="125"/>
      <c r="G461" s="124"/>
      <c r="H461" s="124"/>
      <c r="I461" s="126"/>
      <c r="J461" s="126"/>
    </row>
    <row r="462" spans="1:10" ht="12.75" customHeight="1" x14ac:dyDescent="0.2">
      <c r="A462" s="124"/>
      <c r="B462" s="124"/>
      <c r="C462" s="124"/>
      <c r="D462" s="126"/>
      <c r="E462" s="126"/>
      <c r="F462" s="126"/>
      <c r="G462" s="124"/>
      <c r="H462" s="124"/>
      <c r="I462" s="126"/>
      <c r="J462" s="126"/>
    </row>
    <row r="463" spans="1:10" x14ac:dyDescent="0.2">
      <c r="A463" s="124"/>
      <c r="B463" s="124"/>
      <c r="C463" s="124"/>
      <c r="D463" s="126"/>
      <c r="E463" s="126"/>
      <c r="F463" s="125"/>
      <c r="G463" s="124"/>
      <c r="H463" s="124"/>
      <c r="I463" s="126"/>
      <c r="J463" s="126"/>
    </row>
    <row r="464" spans="1:10" x14ac:dyDescent="0.2">
      <c r="A464" s="124"/>
      <c r="B464" s="124"/>
      <c r="C464" s="124"/>
      <c r="D464" s="126"/>
      <c r="E464" s="126"/>
      <c r="F464" s="125"/>
      <c r="G464" s="124"/>
      <c r="H464" s="124"/>
      <c r="I464" s="126"/>
      <c r="J464" s="126"/>
    </row>
    <row r="465" spans="1:10" x14ac:dyDescent="0.2">
      <c r="A465" s="124"/>
      <c r="B465" s="124"/>
      <c r="C465" s="124"/>
      <c r="D465" s="126"/>
      <c r="E465" s="126"/>
      <c r="F465" s="126"/>
      <c r="G465" s="124"/>
      <c r="H465" s="124"/>
      <c r="I465" s="126"/>
      <c r="J465" s="126"/>
    </row>
    <row r="466" spans="1:10" x14ac:dyDescent="0.2">
      <c r="A466" s="124"/>
      <c r="B466" s="124"/>
      <c r="C466" s="124"/>
      <c r="D466" s="126"/>
      <c r="E466" s="126"/>
      <c r="F466" s="125"/>
      <c r="G466" s="124"/>
      <c r="H466" s="124"/>
      <c r="I466" s="126"/>
      <c r="J466" s="126"/>
    </row>
    <row r="467" spans="1:10" x14ac:dyDescent="0.2">
      <c r="A467" s="124"/>
      <c r="B467" s="124"/>
      <c r="C467" s="124"/>
      <c r="D467" s="126"/>
      <c r="E467" s="126"/>
      <c r="F467" s="125"/>
      <c r="G467" s="124"/>
      <c r="H467" s="124"/>
      <c r="I467" s="126"/>
      <c r="J467" s="126"/>
    </row>
    <row r="468" spans="1:10" ht="12.75" customHeight="1" x14ac:dyDescent="0.2">
      <c r="A468" s="124"/>
      <c r="B468" s="124"/>
      <c r="C468" s="124"/>
      <c r="D468" s="126"/>
      <c r="E468" s="126"/>
      <c r="F468" s="126"/>
      <c r="G468" s="124"/>
      <c r="H468" s="124"/>
      <c r="I468" s="126"/>
      <c r="J468" s="126"/>
    </row>
    <row r="469" spans="1:10" ht="12.75" customHeight="1" x14ac:dyDescent="0.2">
      <c r="A469" s="124"/>
      <c r="B469" s="124"/>
      <c r="C469" s="124"/>
      <c r="D469" s="126"/>
      <c r="E469" s="126"/>
      <c r="F469" s="125"/>
      <c r="G469" s="124"/>
      <c r="H469" s="124"/>
      <c r="I469" s="126"/>
      <c r="J469" s="126"/>
    </row>
    <row r="470" spans="1:10" x14ac:dyDescent="0.2">
      <c r="A470" s="124"/>
      <c r="B470" s="124"/>
      <c r="C470" s="124"/>
      <c r="D470" s="126"/>
      <c r="E470" s="126"/>
      <c r="F470" s="125"/>
      <c r="G470" s="124"/>
      <c r="H470" s="124"/>
      <c r="I470" s="126"/>
      <c r="J470" s="126"/>
    </row>
    <row r="471" spans="1:10" x14ac:dyDescent="0.2">
      <c r="A471" s="124"/>
      <c r="B471" s="124"/>
      <c r="C471" s="124"/>
      <c r="D471" s="126"/>
      <c r="E471" s="126"/>
      <c r="F471" s="126"/>
      <c r="G471" s="124"/>
      <c r="H471" s="124"/>
      <c r="I471" s="126"/>
      <c r="J471" s="126"/>
    </row>
    <row r="472" spans="1:10" x14ac:dyDescent="0.2">
      <c r="A472" s="124"/>
      <c r="B472" s="124"/>
      <c r="C472" s="124"/>
      <c r="D472" s="126"/>
      <c r="E472" s="126"/>
      <c r="F472" s="125"/>
      <c r="G472" s="124"/>
      <c r="H472" s="124"/>
      <c r="I472" s="126"/>
      <c r="J472" s="126"/>
    </row>
    <row r="473" spans="1:10" x14ac:dyDescent="0.2">
      <c r="A473" s="124"/>
      <c r="B473" s="124"/>
      <c r="C473" s="124"/>
      <c r="D473" s="126"/>
      <c r="E473" s="126"/>
      <c r="F473" s="125"/>
      <c r="G473" s="124"/>
      <c r="H473" s="124"/>
      <c r="I473" s="126"/>
      <c r="J473" s="126"/>
    </row>
    <row r="474" spans="1:10" x14ac:dyDescent="0.2">
      <c r="A474" s="124"/>
      <c r="B474" s="124"/>
      <c r="C474" s="124"/>
      <c r="D474" s="126"/>
      <c r="E474" s="126"/>
      <c r="F474" s="126"/>
      <c r="G474" s="124"/>
      <c r="H474" s="124"/>
      <c r="I474" s="126"/>
      <c r="J474" s="126"/>
    </row>
    <row r="475" spans="1:10" ht="12.75" customHeight="1" x14ac:dyDescent="0.2">
      <c r="A475" s="124"/>
      <c r="B475" s="124"/>
      <c r="C475" s="124"/>
      <c r="D475" s="126"/>
      <c r="E475" s="126"/>
      <c r="F475" s="125"/>
      <c r="G475" s="124"/>
      <c r="H475" s="124"/>
      <c r="I475" s="126"/>
      <c r="J475" s="126"/>
    </row>
    <row r="476" spans="1:10" ht="12.75" customHeight="1" x14ac:dyDescent="0.2">
      <c r="A476" s="124"/>
      <c r="B476" s="124"/>
      <c r="C476" s="124"/>
      <c r="D476" s="126"/>
      <c r="E476" s="126"/>
      <c r="F476" s="125"/>
      <c r="G476" s="124"/>
      <c r="H476" s="124"/>
      <c r="I476" s="126"/>
      <c r="J476" s="126"/>
    </row>
    <row r="477" spans="1:10" x14ac:dyDescent="0.2">
      <c r="A477" s="124"/>
      <c r="B477" s="124"/>
      <c r="C477" s="124"/>
      <c r="D477" s="126"/>
      <c r="E477" s="126"/>
      <c r="F477" s="126"/>
      <c r="G477" s="124"/>
      <c r="H477" s="124"/>
      <c r="I477" s="126"/>
      <c r="J477" s="126"/>
    </row>
    <row r="478" spans="1:10" x14ac:dyDescent="0.2">
      <c r="A478" s="124"/>
      <c r="B478" s="124"/>
      <c r="C478" s="124"/>
      <c r="D478" s="126"/>
      <c r="E478" s="126"/>
      <c r="F478" s="125"/>
      <c r="G478" s="124"/>
      <c r="H478" s="124"/>
      <c r="I478" s="126"/>
      <c r="J478" s="126"/>
    </row>
    <row r="479" spans="1:10" x14ac:dyDescent="0.2">
      <c r="A479" s="124"/>
      <c r="B479" s="124"/>
      <c r="C479" s="124"/>
      <c r="D479" s="126"/>
      <c r="E479" s="126"/>
      <c r="F479" s="125"/>
      <c r="G479" s="124"/>
      <c r="H479" s="124"/>
      <c r="I479" s="126"/>
      <c r="J479" s="126"/>
    </row>
    <row r="480" spans="1:10" x14ac:dyDescent="0.2">
      <c r="A480" s="124"/>
      <c r="B480" s="124"/>
      <c r="C480" s="124"/>
      <c r="D480" s="126"/>
      <c r="E480" s="126"/>
      <c r="F480" s="126"/>
      <c r="G480" s="124"/>
      <c r="H480" s="124"/>
      <c r="I480" s="126"/>
      <c r="J480" s="126"/>
    </row>
    <row r="481" spans="1:10" x14ac:dyDescent="0.2">
      <c r="A481" s="124"/>
      <c r="B481" s="124"/>
      <c r="C481" s="124"/>
      <c r="D481" s="126"/>
      <c r="E481" s="126"/>
      <c r="F481" s="125"/>
      <c r="G481" s="124"/>
      <c r="H481" s="124"/>
      <c r="I481" s="126"/>
      <c r="J481" s="126"/>
    </row>
    <row r="482" spans="1:10" ht="12.75" customHeight="1" x14ac:dyDescent="0.2">
      <c r="A482" s="124"/>
      <c r="B482" s="124"/>
      <c r="C482" s="124"/>
      <c r="D482" s="126"/>
      <c r="E482" s="126"/>
      <c r="F482" s="125"/>
      <c r="G482" s="124"/>
      <c r="H482" s="124"/>
      <c r="I482" s="126"/>
      <c r="J482" s="126"/>
    </row>
    <row r="483" spans="1:10" ht="12.75" customHeight="1" x14ac:dyDescent="0.2">
      <c r="A483" s="124"/>
      <c r="B483" s="124"/>
      <c r="C483" s="124"/>
      <c r="D483" s="126"/>
      <c r="E483" s="126"/>
      <c r="F483" s="126"/>
      <c r="G483" s="124"/>
      <c r="H483" s="124"/>
      <c r="I483" s="126"/>
      <c r="J483" s="126"/>
    </row>
    <row r="484" spans="1:10" ht="12.75" customHeight="1" x14ac:dyDescent="0.2">
      <c r="A484" s="124"/>
      <c r="B484" s="124"/>
      <c r="C484" s="124"/>
      <c r="D484" s="126"/>
      <c r="E484" s="126"/>
      <c r="F484" s="125"/>
      <c r="G484" s="124"/>
      <c r="H484" s="124"/>
      <c r="I484" s="126"/>
      <c r="J484" s="126"/>
    </row>
    <row r="485" spans="1:10" x14ac:dyDescent="0.2">
      <c r="A485" s="124"/>
      <c r="B485" s="124"/>
      <c r="C485" s="124"/>
      <c r="D485" s="126"/>
      <c r="E485" s="126"/>
      <c r="F485" s="125"/>
      <c r="G485" s="124"/>
      <c r="H485" s="124"/>
      <c r="I485" s="126"/>
      <c r="J485" s="126"/>
    </row>
    <row r="486" spans="1:10" ht="12.75" customHeight="1" x14ac:dyDescent="0.2">
      <c r="A486" s="124"/>
      <c r="B486" s="124"/>
      <c r="C486" s="124"/>
      <c r="D486" s="126"/>
      <c r="E486" s="126"/>
      <c r="F486" s="126"/>
      <c r="G486" s="124"/>
      <c r="H486" s="124"/>
      <c r="I486" s="126"/>
      <c r="J486" s="126"/>
    </row>
    <row r="487" spans="1:10" x14ac:dyDescent="0.2">
      <c r="A487" s="124"/>
      <c r="B487" s="124"/>
      <c r="C487" s="124"/>
      <c r="D487" s="126"/>
      <c r="E487" s="126"/>
      <c r="F487" s="125"/>
      <c r="G487" s="124"/>
      <c r="H487" s="124"/>
      <c r="I487" s="126"/>
      <c r="J487" s="126"/>
    </row>
    <row r="488" spans="1:10" ht="12.75" customHeight="1" x14ac:dyDescent="0.2">
      <c r="A488" s="124"/>
      <c r="B488" s="124"/>
      <c r="C488" s="124"/>
      <c r="D488" s="126"/>
      <c r="E488" s="126"/>
      <c r="F488" s="125"/>
      <c r="G488" s="124"/>
      <c r="H488" s="124"/>
      <c r="I488" s="126"/>
      <c r="J488" s="126"/>
    </row>
    <row r="489" spans="1:10" x14ac:dyDescent="0.2">
      <c r="A489" s="124"/>
      <c r="B489" s="124"/>
      <c r="C489" s="124"/>
      <c r="D489" s="126"/>
      <c r="E489" s="126"/>
      <c r="F489" s="126"/>
      <c r="G489" s="124"/>
      <c r="H489" s="124"/>
      <c r="I489" s="126"/>
      <c r="J489" s="126"/>
    </row>
    <row r="490" spans="1:10" x14ac:dyDescent="0.2">
      <c r="A490" s="124"/>
      <c r="B490" s="124"/>
      <c r="C490" s="124"/>
      <c r="D490" s="126"/>
      <c r="E490" s="126"/>
      <c r="F490" s="125"/>
      <c r="G490" s="124"/>
      <c r="H490" s="124"/>
      <c r="I490" s="126"/>
      <c r="J490" s="126"/>
    </row>
    <row r="491" spans="1:10" ht="12.75" customHeight="1" x14ac:dyDescent="0.2">
      <c r="A491" s="124"/>
      <c r="B491" s="124"/>
      <c r="C491" s="124"/>
      <c r="D491" s="126"/>
      <c r="E491" s="126"/>
      <c r="F491" s="125"/>
      <c r="G491" s="124"/>
      <c r="H491" s="124"/>
      <c r="I491" s="126"/>
      <c r="J491" s="126"/>
    </row>
    <row r="492" spans="1:10" x14ac:dyDescent="0.2">
      <c r="A492" s="124"/>
      <c r="B492" s="124"/>
      <c r="C492" s="124"/>
      <c r="D492" s="126"/>
      <c r="E492" s="126"/>
      <c r="F492" s="126"/>
      <c r="G492" s="124"/>
      <c r="H492" s="124"/>
      <c r="I492" s="126"/>
      <c r="J492" s="126"/>
    </row>
    <row r="493" spans="1:10" x14ac:dyDescent="0.2">
      <c r="A493" s="124"/>
      <c r="B493" s="124"/>
      <c r="C493" s="124"/>
      <c r="D493" s="126"/>
      <c r="E493" s="126"/>
      <c r="F493" s="125"/>
      <c r="G493" s="124"/>
      <c r="H493" s="124"/>
      <c r="I493" s="126"/>
      <c r="J493" s="126"/>
    </row>
    <row r="494" spans="1:10" x14ac:dyDescent="0.2">
      <c r="A494" s="124"/>
      <c r="B494" s="124"/>
      <c r="C494" s="124"/>
      <c r="D494" s="126"/>
      <c r="E494" s="126"/>
      <c r="F494" s="125"/>
      <c r="G494" s="124"/>
      <c r="H494" s="124"/>
      <c r="I494" s="126"/>
      <c r="J494" s="126"/>
    </row>
    <row r="495" spans="1:10" x14ac:dyDescent="0.2">
      <c r="A495" s="124"/>
      <c r="B495" s="124"/>
      <c r="C495" s="124"/>
      <c r="D495" s="126"/>
      <c r="E495" s="126"/>
      <c r="F495" s="126"/>
      <c r="G495" s="124"/>
      <c r="H495" s="124"/>
      <c r="I495" s="126"/>
      <c r="J495" s="126"/>
    </row>
    <row r="496" spans="1:10" ht="12.75" customHeight="1" x14ac:dyDescent="0.2">
      <c r="A496" s="124"/>
      <c r="B496" s="124"/>
      <c r="C496" s="124"/>
      <c r="D496" s="126"/>
      <c r="E496" s="126"/>
      <c r="F496" s="125"/>
      <c r="G496" s="124"/>
      <c r="H496" s="124"/>
      <c r="I496" s="126"/>
      <c r="J496" s="126"/>
    </row>
    <row r="497" spans="1:10" ht="12.75" customHeight="1" x14ac:dyDescent="0.2">
      <c r="A497" s="124"/>
      <c r="B497" s="124"/>
      <c r="C497" s="124"/>
      <c r="D497" s="126"/>
      <c r="E497" s="126"/>
      <c r="F497" s="125"/>
      <c r="G497" s="124"/>
      <c r="H497" s="124"/>
      <c r="I497" s="126"/>
      <c r="J497" s="126"/>
    </row>
    <row r="498" spans="1:10" x14ac:dyDescent="0.2">
      <c r="A498" s="124"/>
      <c r="B498" s="124"/>
      <c r="C498" s="124"/>
      <c r="D498" s="126"/>
      <c r="E498" s="126"/>
      <c r="F498" s="126"/>
      <c r="G498" s="124"/>
      <c r="H498" s="124"/>
      <c r="I498" s="126"/>
      <c r="J498" s="126"/>
    </row>
    <row r="499" spans="1:10" x14ac:dyDescent="0.2">
      <c r="A499" s="124"/>
      <c r="B499" s="124"/>
      <c r="C499" s="124"/>
      <c r="D499" s="126"/>
      <c r="E499" s="126"/>
      <c r="F499" s="125"/>
      <c r="G499" s="124"/>
      <c r="H499" s="124"/>
      <c r="I499" s="126"/>
      <c r="J499" s="126"/>
    </row>
    <row r="500" spans="1:10" x14ac:dyDescent="0.2">
      <c r="A500" s="124"/>
      <c r="B500" s="124"/>
      <c r="C500" s="124"/>
      <c r="D500" s="126"/>
      <c r="E500" s="126"/>
      <c r="F500" s="125"/>
      <c r="G500" s="124"/>
      <c r="H500" s="124"/>
      <c r="I500" s="126"/>
      <c r="J500" s="126"/>
    </row>
    <row r="501" spans="1:10" x14ac:dyDescent="0.2">
      <c r="A501" s="124"/>
      <c r="B501" s="124"/>
      <c r="C501" s="124"/>
      <c r="D501" s="126"/>
      <c r="E501" s="126"/>
      <c r="F501" s="126"/>
      <c r="G501" s="124"/>
      <c r="H501" s="124"/>
      <c r="I501" s="126"/>
      <c r="J501" s="126"/>
    </row>
    <row r="502" spans="1:10" x14ac:dyDescent="0.2">
      <c r="A502" s="124"/>
      <c r="B502" s="124"/>
      <c r="C502" s="124"/>
      <c r="D502" s="126"/>
      <c r="E502" s="126"/>
      <c r="F502" s="125"/>
      <c r="G502" s="124"/>
      <c r="H502" s="124"/>
      <c r="I502" s="126"/>
      <c r="J502" s="126"/>
    </row>
    <row r="503" spans="1:10" x14ac:dyDescent="0.2">
      <c r="A503" s="124"/>
      <c r="B503" s="124"/>
      <c r="C503" s="124"/>
      <c r="D503" s="126"/>
      <c r="E503" s="126"/>
      <c r="F503" s="125"/>
      <c r="G503" s="124"/>
      <c r="H503" s="124"/>
      <c r="I503" s="126"/>
      <c r="J503" s="126"/>
    </row>
    <row r="504" spans="1:10" x14ac:dyDescent="0.2">
      <c r="A504" s="124"/>
      <c r="B504" s="124"/>
      <c r="C504" s="124"/>
      <c r="D504" s="126"/>
      <c r="E504" s="126"/>
      <c r="F504" s="126"/>
      <c r="G504" s="124"/>
      <c r="H504" s="124"/>
      <c r="I504" s="126"/>
      <c r="J504" s="126"/>
    </row>
    <row r="505" spans="1:10" x14ac:dyDescent="0.2">
      <c r="A505" s="124"/>
      <c r="B505" s="124"/>
      <c r="C505" s="124"/>
      <c r="D505" s="126"/>
      <c r="E505" s="126"/>
      <c r="F505" s="125"/>
      <c r="G505" s="124"/>
      <c r="H505" s="124"/>
      <c r="I505" s="126"/>
      <c r="J505" s="126"/>
    </row>
    <row r="506" spans="1:10" x14ac:dyDescent="0.2">
      <c r="A506" s="124"/>
      <c r="B506" s="124"/>
      <c r="C506" s="124"/>
      <c r="D506" s="126"/>
      <c r="E506" s="126"/>
      <c r="F506" s="125"/>
      <c r="G506" s="124"/>
      <c r="H506" s="124"/>
      <c r="I506" s="126"/>
      <c r="J506" s="126"/>
    </row>
    <row r="507" spans="1:10" x14ac:dyDescent="0.2">
      <c r="A507" s="124"/>
      <c r="B507" s="124"/>
      <c r="C507" s="124"/>
      <c r="D507" s="126"/>
      <c r="E507" s="126"/>
      <c r="F507" s="126"/>
      <c r="G507" s="124"/>
      <c r="H507" s="124"/>
      <c r="I507" s="126"/>
      <c r="J507" s="126"/>
    </row>
    <row r="508" spans="1:10" x14ac:dyDescent="0.2">
      <c r="A508" s="124"/>
      <c r="B508" s="124"/>
      <c r="C508" s="124"/>
      <c r="D508" s="126"/>
      <c r="E508" s="126"/>
      <c r="F508" s="125"/>
      <c r="G508" s="124"/>
      <c r="H508" s="124"/>
      <c r="I508" s="126"/>
      <c r="J508" s="126"/>
    </row>
    <row r="509" spans="1:10" x14ac:dyDescent="0.2">
      <c r="A509" s="124"/>
      <c r="B509" s="124"/>
      <c r="C509" s="124"/>
      <c r="D509" s="126"/>
      <c r="E509" s="126"/>
      <c r="F509" s="125"/>
      <c r="G509" s="124"/>
      <c r="H509" s="124"/>
      <c r="I509" s="126"/>
      <c r="J509" s="126"/>
    </row>
    <row r="510" spans="1:10" x14ac:dyDescent="0.2">
      <c r="A510" s="124"/>
      <c r="B510" s="124"/>
      <c r="C510" s="124"/>
      <c r="D510" s="126"/>
      <c r="E510" s="126"/>
      <c r="F510" s="126"/>
      <c r="G510" s="124"/>
      <c r="H510" s="124"/>
      <c r="I510" s="126"/>
      <c r="J510" s="126"/>
    </row>
    <row r="511" spans="1:10" x14ac:dyDescent="0.2">
      <c r="A511" s="124"/>
      <c r="B511" s="124"/>
      <c r="C511" s="124"/>
      <c r="D511" s="126"/>
      <c r="E511" s="126"/>
      <c r="F511" s="125"/>
      <c r="G511" s="124"/>
      <c r="H511" s="124"/>
      <c r="I511" s="126"/>
      <c r="J511" s="126"/>
    </row>
    <row r="512" spans="1:10" x14ac:dyDescent="0.2">
      <c r="A512" s="124"/>
      <c r="B512" s="124"/>
      <c r="C512" s="124"/>
      <c r="D512" s="126"/>
      <c r="E512" s="126"/>
      <c r="F512" s="125"/>
      <c r="G512" s="124"/>
      <c r="H512" s="124"/>
      <c r="I512" s="126"/>
      <c r="J512" s="126"/>
    </row>
    <row r="513" spans="1:10" x14ac:dyDescent="0.2">
      <c r="A513" s="124"/>
      <c r="B513" s="124"/>
      <c r="C513" s="124"/>
      <c r="D513" s="126"/>
      <c r="E513" s="126"/>
      <c r="F513" s="126"/>
      <c r="G513" s="124"/>
      <c r="H513" s="124"/>
      <c r="I513" s="126"/>
      <c r="J513" s="126"/>
    </row>
    <row r="514" spans="1:10" x14ac:dyDescent="0.2">
      <c r="A514" s="124"/>
      <c r="B514" s="124"/>
      <c r="C514" s="124"/>
      <c r="D514" s="126"/>
      <c r="E514" s="126"/>
      <c r="F514" s="125"/>
      <c r="G514" s="124"/>
      <c r="H514" s="124"/>
      <c r="I514" s="126"/>
      <c r="J514" s="126"/>
    </row>
    <row r="515" spans="1:10" x14ac:dyDescent="0.2">
      <c r="A515" s="124"/>
      <c r="B515" s="124"/>
      <c r="C515" s="124"/>
      <c r="D515" s="126"/>
      <c r="E515" s="126"/>
      <c r="F515" s="126"/>
      <c r="G515" s="124"/>
      <c r="H515" s="124"/>
      <c r="I515" s="126"/>
      <c r="J515" s="126"/>
    </row>
    <row r="516" spans="1:10" x14ac:dyDescent="0.2">
      <c r="A516" s="124"/>
      <c r="B516" s="124"/>
      <c r="C516" s="124"/>
      <c r="D516" s="126"/>
      <c r="E516" s="126"/>
      <c r="F516" s="125"/>
      <c r="G516" s="124"/>
      <c r="H516" s="124"/>
      <c r="I516" s="126"/>
      <c r="J516" s="126"/>
    </row>
    <row r="517" spans="1:10" x14ac:dyDescent="0.2">
      <c r="A517" s="124"/>
      <c r="B517" s="124"/>
      <c r="C517" s="124"/>
      <c r="D517" s="126"/>
      <c r="E517" s="126"/>
      <c r="F517" s="126"/>
      <c r="G517" s="124"/>
      <c r="H517" s="124"/>
      <c r="I517" s="126"/>
      <c r="J517" s="126"/>
    </row>
    <row r="518" spans="1:10" x14ac:dyDescent="0.2">
      <c r="A518" s="124"/>
      <c r="B518" s="124"/>
      <c r="C518" s="124"/>
      <c r="D518" s="126"/>
      <c r="E518" s="126"/>
      <c r="F518" s="125"/>
      <c r="G518" s="124"/>
      <c r="H518" s="124"/>
      <c r="I518" s="126"/>
      <c r="J518" s="126"/>
    </row>
    <row r="519" spans="1:10" x14ac:dyDescent="0.2">
      <c r="A519" s="124"/>
      <c r="B519" s="124"/>
      <c r="C519" s="124"/>
      <c r="D519" s="126"/>
      <c r="E519" s="126"/>
      <c r="F519" s="126"/>
      <c r="G519" s="124"/>
      <c r="H519" s="124"/>
      <c r="I519" s="126"/>
      <c r="J519" s="126"/>
    </row>
    <row r="520" spans="1:10" x14ac:dyDescent="0.2">
      <c r="A520" s="124"/>
      <c r="B520" s="124"/>
      <c r="C520" s="124"/>
      <c r="D520" s="126"/>
      <c r="E520" s="126"/>
      <c r="F520" s="125"/>
      <c r="G520" s="124"/>
      <c r="H520" s="124"/>
      <c r="I520" s="126"/>
      <c r="J520" s="126"/>
    </row>
    <row r="521" spans="1:10" x14ac:dyDescent="0.2">
      <c r="A521" s="124"/>
      <c r="B521" s="124"/>
      <c r="C521" s="124"/>
      <c r="D521" s="126"/>
      <c r="E521" s="126"/>
      <c r="F521" s="126"/>
      <c r="G521" s="124"/>
      <c r="H521" s="124"/>
      <c r="I521" s="126"/>
      <c r="J521" s="126"/>
    </row>
    <row r="522" spans="1:10" x14ac:dyDescent="0.2">
      <c r="A522" s="124"/>
      <c r="B522" s="124"/>
      <c r="C522" s="124"/>
      <c r="D522" s="126"/>
      <c r="E522" s="126"/>
      <c r="F522" s="125"/>
      <c r="G522" s="124"/>
      <c r="H522" s="124"/>
      <c r="I522" s="126"/>
      <c r="J522" s="126"/>
    </row>
    <row r="523" spans="1:10" x14ac:dyDescent="0.2">
      <c r="A523" s="124"/>
      <c r="B523" s="124"/>
      <c r="C523" s="124"/>
      <c r="D523" s="126"/>
      <c r="E523" s="126"/>
      <c r="F523" s="126"/>
      <c r="G523" s="124"/>
      <c r="H523" s="124"/>
      <c r="I523" s="126"/>
      <c r="J523" s="126"/>
    </row>
    <row r="524" spans="1:10" x14ac:dyDescent="0.2">
      <c r="A524" s="124"/>
      <c r="B524" s="124"/>
      <c r="C524" s="124"/>
      <c r="D524" s="126"/>
      <c r="E524" s="126"/>
      <c r="F524" s="125"/>
      <c r="G524" s="124"/>
      <c r="H524" s="124"/>
      <c r="I524" s="126"/>
      <c r="J524" s="126"/>
    </row>
    <row r="525" spans="1:10" x14ac:dyDescent="0.2">
      <c r="A525" s="124"/>
      <c r="B525" s="124"/>
      <c r="C525" s="124"/>
      <c r="D525" s="126"/>
      <c r="E525" s="126"/>
      <c r="F525" s="126"/>
      <c r="G525" s="124"/>
      <c r="H525" s="124"/>
      <c r="I525" s="126"/>
      <c r="J525" s="126"/>
    </row>
    <row r="526" spans="1:10" x14ac:dyDescent="0.2">
      <c r="A526" s="124"/>
      <c r="B526" s="124"/>
      <c r="C526" s="124"/>
      <c r="D526" s="126"/>
      <c r="E526" s="126"/>
      <c r="F526" s="125"/>
      <c r="G526" s="124"/>
      <c r="H526" s="124"/>
      <c r="I526" s="126"/>
      <c r="J526" s="126"/>
    </row>
    <row r="527" spans="1:10" x14ac:dyDescent="0.2">
      <c r="A527" s="124"/>
      <c r="B527" s="124"/>
      <c r="C527" s="124"/>
      <c r="D527" s="126"/>
      <c r="E527" s="126"/>
      <c r="F527" s="126"/>
      <c r="G527" s="124"/>
      <c r="H527" s="124"/>
      <c r="I527" s="126"/>
      <c r="J527" s="126"/>
    </row>
    <row r="528" spans="1:10" x14ac:dyDescent="0.2">
      <c r="A528" s="124"/>
      <c r="B528" s="124"/>
      <c r="C528" s="124"/>
      <c r="D528" s="126"/>
      <c r="E528" s="126"/>
      <c r="F528" s="125"/>
      <c r="G528" s="124"/>
      <c r="H528" s="124"/>
      <c r="I528" s="126"/>
      <c r="J528" s="126"/>
    </row>
    <row r="529" spans="1:10" x14ac:dyDescent="0.2">
      <c r="A529" s="124"/>
      <c r="B529" s="124"/>
      <c r="C529" s="124"/>
      <c r="D529" s="126"/>
      <c r="E529" s="126"/>
      <c r="F529" s="126"/>
      <c r="G529" s="124"/>
      <c r="H529" s="124"/>
      <c r="I529" s="126"/>
      <c r="J529" s="126"/>
    </row>
    <row r="530" spans="1:10" x14ac:dyDescent="0.2">
      <c r="A530" s="124"/>
      <c r="B530" s="124"/>
      <c r="C530" s="124"/>
      <c r="D530" s="126"/>
      <c r="E530" s="126"/>
      <c r="F530" s="125"/>
      <c r="G530" s="124"/>
      <c r="H530" s="124"/>
      <c r="I530" s="126"/>
      <c r="J530" s="126"/>
    </row>
    <row r="531" spans="1:10" x14ac:dyDescent="0.2">
      <c r="A531" s="124"/>
      <c r="B531" s="124"/>
      <c r="C531" s="124"/>
      <c r="D531" s="126"/>
      <c r="E531" s="126"/>
      <c r="F531" s="126"/>
      <c r="G531" s="124"/>
      <c r="H531" s="124"/>
      <c r="I531" s="126"/>
      <c r="J531" s="126"/>
    </row>
    <row r="532" spans="1:10" x14ac:dyDescent="0.2">
      <c r="A532" s="124"/>
      <c r="B532" s="124"/>
      <c r="C532" s="124"/>
      <c r="D532" s="126"/>
      <c r="E532" s="126"/>
      <c r="F532" s="125"/>
      <c r="G532" s="124"/>
      <c r="H532" s="124"/>
      <c r="I532" s="126"/>
      <c r="J532" s="126"/>
    </row>
    <row r="533" spans="1:10" x14ac:dyDescent="0.2">
      <c r="A533" s="124"/>
      <c r="B533" s="124"/>
      <c r="C533" s="124"/>
      <c r="D533" s="126"/>
      <c r="E533" s="126"/>
      <c r="F533" s="126"/>
      <c r="G533" s="124"/>
      <c r="H533" s="124"/>
      <c r="I533" s="126"/>
      <c r="J533" s="126"/>
    </row>
    <row r="534" spans="1:10" x14ac:dyDescent="0.2">
      <c r="A534" s="124"/>
      <c r="B534" s="124"/>
      <c r="C534" s="124"/>
      <c r="D534" s="126"/>
      <c r="E534" s="126"/>
      <c r="F534" s="125"/>
      <c r="G534" s="124"/>
      <c r="H534" s="124"/>
      <c r="I534" s="126"/>
      <c r="J534" s="126"/>
    </row>
    <row r="535" spans="1:10" x14ac:dyDescent="0.2">
      <c r="A535" s="124"/>
      <c r="B535" s="124"/>
      <c r="C535" s="124"/>
      <c r="D535" s="126"/>
      <c r="E535" s="126"/>
      <c r="F535" s="126"/>
      <c r="G535" s="124"/>
      <c r="H535" s="124"/>
      <c r="I535" s="126"/>
      <c r="J535" s="126"/>
    </row>
    <row r="536" spans="1:10" x14ac:dyDescent="0.2">
      <c r="A536" s="124"/>
      <c r="B536" s="124"/>
      <c r="C536" s="124"/>
      <c r="D536" s="126"/>
      <c r="E536" s="126"/>
      <c r="F536" s="125"/>
      <c r="G536" s="124"/>
      <c r="H536" s="124"/>
      <c r="I536" s="126"/>
      <c r="J536" s="126"/>
    </row>
    <row r="537" spans="1:10" x14ac:dyDescent="0.2">
      <c r="A537" s="124"/>
      <c r="B537" s="124"/>
      <c r="C537" s="124"/>
      <c r="D537" s="126"/>
      <c r="E537" s="126"/>
      <c r="F537" s="126"/>
      <c r="G537" s="124"/>
      <c r="H537" s="124"/>
      <c r="I537" s="126"/>
      <c r="J537" s="126"/>
    </row>
    <row r="538" spans="1:10" x14ac:dyDescent="0.2">
      <c r="A538" s="124"/>
      <c r="B538" s="124"/>
      <c r="C538" s="124"/>
      <c r="D538" s="126"/>
      <c r="E538" s="126"/>
      <c r="F538" s="125"/>
      <c r="G538" s="124"/>
      <c r="H538" s="124"/>
      <c r="I538" s="126"/>
      <c r="J538" s="126"/>
    </row>
    <row r="539" spans="1:10" x14ac:dyDescent="0.2">
      <c r="A539" s="124"/>
      <c r="B539" s="124"/>
      <c r="C539" s="124"/>
      <c r="D539" s="126"/>
      <c r="E539" s="126"/>
      <c r="F539" s="126"/>
      <c r="G539" s="124"/>
      <c r="H539" s="124"/>
      <c r="I539" s="126"/>
      <c r="J539" s="126"/>
    </row>
    <row r="540" spans="1:10" x14ac:dyDescent="0.2">
      <c r="A540" s="124"/>
      <c r="B540" s="124"/>
      <c r="C540" s="124"/>
      <c r="D540" s="126"/>
      <c r="E540" s="126"/>
      <c r="F540" s="125"/>
      <c r="G540" s="124"/>
      <c r="H540" s="124"/>
      <c r="I540" s="126"/>
      <c r="J540" s="126"/>
    </row>
    <row r="541" spans="1:10" x14ac:dyDescent="0.2">
      <c r="A541" s="124"/>
      <c r="B541" s="124"/>
      <c r="C541" s="124"/>
      <c r="D541" s="126"/>
      <c r="E541" s="126"/>
      <c r="F541" s="126"/>
      <c r="G541" s="124"/>
      <c r="H541" s="124"/>
      <c r="I541" s="126"/>
      <c r="J541" s="126"/>
    </row>
    <row r="542" spans="1:10" x14ac:dyDescent="0.2">
      <c r="A542" s="124"/>
      <c r="B542" s="124"/>
      <c r="C542" s="124"/>
      <c r="D542" s="126"/>
      <c r="E542" s="126"/>
      <c r="F542" s="125"/>
      <c r="G542" s="124"/>
      <c r="H542" s="124"/>
      <c r="I542" s="126"/>
      <c r="J542" s="126"/>
    </row>
    <row r="543" spans="1:10" ht="12.75" customHeight="1" x14ac:dyDescent="0.2">
      <c r="A543" s="124"/>
      <c r="B543" s="124"/>
      <c r="C543" s="124"/>
      <c r="D543" s="126"/>
      <c r="E543" s="126"/>
      <c r="F543" s="126"/>
      <c r="G543" s="124"/>
      <c r="H543" s="124"/>
      <c r="I543" s="126"/>
      <c r="J543" s="126"/>
    </row>
    <row r="566" spans="1:10" x14ac:dyDescent="0.2">
      <c r="A566" s="129"/>
      <c r="B566" s="129"/>
      <c r="C566" s="130"/>
      <c r="D566" s="110"/>
      <c r="E566" s="110"/>
      <c r="F566" s="131"/>
      <c r="G566" s="131"/>
      <c r="H566" s="131"/>
      <c r="I566" s="131"/>
      <c r="J566" s="131"/>
    </row>
    <row r="567" spans="1:10" x14ac:dyDescent="0.2">
      <c r="A567" s="129"/>
      <c r="B567" s="129"/>
      <c r="C567" s="130"/>
      <c r="D567" s="110"/>
      <c r="E567" s="110"/>
      <c r="F567" s="131"/>
      <c r="G567" s="131"/>
      <c r="H567" s="131"/>
      <c r="I567" s="131"/>
      <c r="J567" s="131"/>
    </row>
    <row r="568" spans="1:10" x14ac:dyDescent="0.2">
      <c r="A568" s="129"/>
      <c r="B568" s="129"/>
      <c r="C568" s="130"/>
      <c r="D568" s="110"/>
      <c r="E568" s="110"/>
      <c r="F568" s="131"/>
      <c r="G568" s="131"/>
      <c r="H568" s="131"/>
      <c r="I568" s="131"/>
      <c r="J568" s="131"/>
    </row>
    <row r="569" spans="1:10" x14ac:dyDescent="0.2">
      <c r="A569" s="129"/>
      <c r="B569" s="129"/>
      <c r="C569" s="130"/>
      <c r="D569" s="110"/>
      <c r="E569" s="110"/>
      <c r="F569" s="131"/>
      <c r="G569" s="131"/>
      <c r="H569" s="131"/>
      <c r="I569" s="131"/>
      <c r="J569" s="131"/>
    </row>
    <row r="570" spans="1:10" x14ac:dyDescent="0.2">
      <c r="A570" s="129"/>
      <c r="B570" s="129"/>
      <c r="C570" s="130"/>
      <c r="D570" s="110"/>
      <c r="E570" s="110"/>
      <c r="F570" s="131"/>
      <c r="G570" s="131"/>
      <c r="H570" s="131"/>
      <c r="I570" s="131"/>
      <c r="J570" s="131"/>
    </row>
    <row r="571" spans="1:10" x14ac:dyDescent="0.2">
      <c r="A571" s="129"/>
      <c r="B571" s="129"/>
      <c r="C571" s="130"/>
      <c r="D571" s="110"/>
      <c r="E571" s="110"/>
      <c r="F571" s="131"/>
      <c r="G571" s="131"/>
      <c r="H571" s="131"/>
      <c r="I571" s="131"/>
      <c r="J571" s="131"/>
    </row>
    <row r="572" spans="1:10" x14ac:dyDescent="0.2">
      <c r="A572" s="129"/>
      <c r="B572" s="129"/>
      <c r="C572" s="130"/>
      <c r="D572" s="110"/>
      <c r="E572" s="110"/>
      <c r="F572" s="131"/>
      <c r="G572" s="131"/>
      <c r="H572" s="131"/>
      <c r="I572" s="131"/>
      <c r="J572" s="131"/>
    </row>
    <row r="573" spans="1:10" x14ac:dyDescent="0.2">
      <c r="A573" s="129"/>
      <c r="B573" s="129"/>
      <c r="C573" s="130"/>
      <c r="D573" s="110"/>
      <c r="E573" s="110"/>
      <c r="F573" s="131"/>
      <c r="G573" s="131"/>
      <c r="H573" s="131"/>
      <c r="I573" s="131"/>
      <c r="J573" s="131"/>
    </row>
    <row r="574" spans="1:10" x14ac:dyDescent="0.2">
      <c r="A574" s="129"/>
      <c r="B574" s="129"/>
      <c r="C574" s="130"/>
      <c r="D574" s="110"/>
      <c r="E574" s="110"/>
      <c r="F574" s="131"/>
      <c r="G574" s="131"/>
      <c r="H574" s="131"/>
      <c r="I574" s="131"/>
      <c r="J574" s="131"/>
    </row>
    <row r="575" spans="1:10" x14ac:dyDescent="0.2">
      <c r="A575" s="129"/>
      <c r="B575" s="129"/>
      <c r="C575" s="130"/>
      <c r="D575" s="110"/>
      <c r="E575" s="110"/>
      <c r="F575" s="131"/>
      <c r="G575" s="131"/>
      <c r="H575" s="131"/>
      <c r="I575" s="131"/>
      <c r="J575" s="131"/>
    </row>
    <row r="576" spans="1:10" x14ac:dyDescent="0.2">
      <c r="A576" s="129"/>
      <c r="B576" s="129"/>
      <c r="C576" s="130"/>
      <c r="D576" s="110"/>
      <c r="E576" s="110"/>
      <c r="F576" s="131"/>
      <c r="G576" s="131"/>
      <c r="H576" s="131"/>
      <c r="I576" s="131"/>
      <c r="J576" s="131"/>
    </row>
    <row r="577" spans="1:10" x14ac:dyDescent="0.2">
      <c r="A577" s="130"/>
      <c r="B577" s="130"/>
      <c r="C577" s="132"/>
      <c r="D577" s="133"/>
      <c r="E577" s="133"/>
      <c r="F577" s="134"/>
      <c r="G577" s="135"/>
      <c r="H577" s="134"/>
      <c r="I577" s="134"/>
      <c r="J577" s="134"/>
    </row>
    <row r="578" spans="1:10" x14ac:dyDescent="0.2">
      <c r="A578" s="130"/>
      <c r="B578" s="130"/>
      <c r="C578" s="132"/>
      <c r="D578" s="133"/>
      <c r="E578" s="133"/>
      <c r="F578" s="134"/>
      <c r="G578" s="135"/>
      <c r="H578" s="134"/>
      <c r="I578" s="134"/>
      <c r="J578" s="134"/>
    </row>
    <row r="579" spans="1:10" x14ac:dyDescent="0.2">
      <c r="A579" s="130"/>
      <c r="B579" s="130"/>
      <c r="C579" s="132"/>
      <c r="D579" s="133"/>
      <c r="E579" s="133"/>
      <c r="F579" s="134"/>
      <c r="G579" s="135"/>
      <c r="H579" s="134"/>
      <c r="I579" s="134"/>
      <c r="J579" s="134"/>
    </row>
    <row r="580" spans="1:10" x14ac:dyDescent="0.2">
      <c r="A580" s="130"/>
      <c r="B580" s="130"/>
      <c r="C580" s="132"/>
      <c r="D580" s="133"/>
      <c r="E580" s="133"/>
      <c r="F580" s="134"/>
      <c r="G580" s="135"/>
      <c r="H580" s="134"/>
      <c r="I580" s="134"/>
      <c r="J580" s="134"/>
    </row>
    <row r="581" spans="1:10" x14ac:dyDescent="0.2">
      <c r="A581" s="130"/>
      <c r="B581" s="130"/>
      <c r="C581" s="132"/>
      <c r="D581" s="133"/>
      <c r="E581" s="133"/>
      <c r="F581" s="134"/>
      <c r="G581" s="135"/>
      <c r="H581" s="134"/>
      <c r="I581" s="134"/>
      <c r="J581" s="134"/>
    </row>
    <row r="582" spans="1:10" x14ac:dyDescent="0.2">
      <c r="A582" s="130"/>
      <c r="B582" s="130"/>
      <c r="C582" s="132"/>
      <c r="D582" s="133"/>
      <c r="E582" s="133"/>
      <c r="F582" s="134"/>
      <c r="G582" s="135"/>
      <c r="H582" s="134"/>
      <c r="I582" s="134"/>
      <c r="J582" s="134"/>
    </row>
    <row r="583" spans="1:10" x14ac:dyDescent="0.2">
      <c r="A583" s="130"/>
      <c r="B583" s="130"/>
      <c r="C583" s="132"/>
      <c r="D583" s="133"/>
      <c r="E583" s="133"/>
      <c r="F583" s="134"/>
      <c r="G583" s="135"/>
      <c r="H583" s="134"/>
      <c r="I583" s="134"/>
      <c r="J583" s="134"/>
    </row>
    <row r="584" spans="1:10" x14ac:dyDescent="0.2">
      <c r="A584" s="130"/>
      <c r="B584" s="130"/>
      <c r="C584" s="132"/>
      <c r="D584" s="133"/>
      <c r="E584" s="133"/>
      <c r="F584" s="134"/>
      <c r="G584" s="135"/>
      <c r="H584" s="134"/>
      <c r="I584" s="134"/>
      <c r="J584" s="134"/>
    </row>
    <row r="585" spans="1:10" x14ac:dyDescent="0.2">
      <c r="A585" s="130"/>
      <c r="B585" s="130"/>
      <c r="C585" s="132"/>
      <c r="D585" s="133"/>
      <c r="E585" s="133"/>
      <c r="F585" s="134"/>
      <c r="G585" s="135"/>
      <c r="H585" s="134"/>
      <c r="I585" s="134"/>
      <c r="J585" s="134"/>
    </row>
    <row r="586" spans="1:10" x14ac:dyDescent="0.2">
      <c r="A586" s="130"/>
      <c r="B586" s="130"/>
      <c r="C586" s="132"/>
      <c r="D586" s="133"/>
      <c r="E586" s="133"/>
      <c r="F586" s="134"/>
      <c r="G586" s="135"/>
      <c r="H586" s="134"/>
      <c r="I586" s="134"/>
      <c r="J586" s="134"/>
    </row>
    <row r="587" spans="1:10" x14ac:dyDescent="0.2">
      <c r="A587" s="130"/>
      <c r="B587" s="130"/>
      <c r="C587" s="132"/>
      <c r="D587" s="133"/>
      <c r="E587" s="133"/>
      <c r="F587" s="134"/>
      <c r="G587" s="135"/>
      <c r="H587" s="134"/>
      <c r="I587" s="134"/>
      <c r="J587" s="134"/>
    </row>
    <row r="588" spans="1:10" x14ac:dyDescent="0.2">
      <c r="A588" s="130"/>
      <c r="B588" s="130"/>
      <c r="C588" s="132"/>
      <c r="D588" s="133"/>
      <c r="E588" s="133"/>
      <c r="F588" s="134"/>
      <c r="G588" s="135"/>
      <c r="H588" s="134"/>
      <c r="I588" s="134"/>
      <c r="J588" s="134"/>
    </row>
    <row r="589" spans="1:10" x14ac:dyDescent="0.2">
      <c r="B589" s="136"/>
    </row>
    <row r="590" spans="1:10" x14ac:dyDescent="0.2">
      <c r="B590" s="136"/>
    </row>
    <row r="591" spans="1:10" x14ac:dyDescent="0.2">
      <c r="B591" s="136"/>
    </row>
  </sheetData>
  <autoFilter ref="A1:J104" xr:uid="{00000000-0009-0000-0000-000005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6" bestFit="1" customWidth="1"/>
    <col min="3" max="3" width="37" style="8" bestFit="1" customWidth="1"/>
    <col min="4" max="4" width="5.7109375" style="7" hidden="1" customWidth="1"/>
    <col min="5" max="5" width="29.85546875" bestFit="1" customWidth="1"/>
    <col min="6" max="6" width="26.5703125" bestFit="1" customWidth="1"/>
  </cols>
  <sheetData>
    <row r="1" spans="1:6" ht="26.25" thickBot="1" x14ac:dyDescent="0.25">
      <c r="A1" s="23" t="s">
        <v>15</v>
      </c>
      <c r="B1" s="24" t="s">
        <v>16</v>
      </c>
      <c r="C1" s="25" t="s">
        <v>17</v>
      </c>
      <c r="D1" s="26" t="s">
        <v>131</v>
      </c>
      <c r="E1" s="27" t="s">
        <v>18</v>
      </c>
      <c r="F1" s="28" t="s">
        <v>19</v>
      </c>
    </row>
    <row r="2" spans="1:6" x14ac:dyDescent="0.2">
      <c r="A2" s="98"/>
      <c r="B2" s="19"/>
      <c r="C2" s="20"/>
      <c r="D2" s="99"/>
      <c r="E2" s="21"/>
      <c r="F2" s="22"/>
    </row>
    <row r="3" spans="1:6" x14ac:dyDescent="0.2">
      <c r="A3" s="96"/>
      <c r="B3" s="5"/>
      <c r="C3" s="10"/>
      <c r="D3" s="12"/>
      <c r="E3" s="9"/>
      <c r="F3" s="13"/>
    </row>
    <row r="4" spans="1:6" x14ac:dyDescent="0.2">
      <c r="A4" s="96"/>
      <c r="B4" s="5"/>
      <c r="C4" s="10"/>
      <c r="D4" s="12"/>
      <c r="E4" s="9"/>
      <c r="F4" s="13"/>
    </row>
    <row r="5" spans="1:6" x14ac:dyDescent="0.2">
      <c r="A5" s="96"/>
      <c r="B5" s="5"/>
      <c r="C5" s="10"/>
      <c r="D5" s="12"/>
      <c r="E5" s="9"/>
      <c r="F5" s="13"/>
    </row>
    <row r="6" spans="1:6" x14ac:dyDescent="0.2">
      <c r="A6" s="96"/>
      <c r="B6" s="5"/>
      <c r="C6" s="10"/>
      <c r="D6" s="12"/>
      <c r="E6" s="9"/>
      <c r="F6" s="13"/>
    </row>
    <row r="7" spans="1:6" x14ac:dyDescent="0.2">
      <c r="A7" s="96"/>
      <c r="B7" s="5"/>
      <c r="C7" s="10"/>
      <c r="D7" s="12"/>
      <c r="E7" s="9"/>
      <c r="F7" s="13"/>
    </row>
    <row r="8" spans="1:6" x14ac:dyDescent="0.2">
      <c r="A8" s="96"/>
      <c r="B8" s="5"/>
      <c r="C8" s="10"/>
      <c r="D8" s="12"/>
      <c r="E8" s="9"/>
      <c r="F8" s="13"/>
    </row>
    <row r="9" spans="1:6" x14ac:dyDescent="0.2">
      <c r="A9" s="96"/>
      <c r="B9" s="5"/>
      <c r="C9" s="10"/>
      <c r="D9" s="12"/>
      <c r="E9" s="9"/>
      <c r="F9" s="13"/>
    </row>
    <row r="10" spans="1:6" x14ac:dyDescent="0.2">
      <c r="A10" s="96"/>
      <c r="B10" s="5"/>
      <c r="C10" s="10"/>
      <c r="D10" s="12"/>
      <c r="E10" s="9"/>
      <c r="F10" s="13"/>
    </row>
    <row r="11" spans="1:6" x14ac:dyDescent="0.2">
      <c r="A11" s="96"/>
      <c r="B11" s="5"/>
      <c r="C11" s="10"/>
      <c r="D11" s="12"/>
      <c r="E11" s="9"/>
      <c r="F11" s="13"/>
    </row>
    <row r="12" spans="1:6" x14ac:dyDescent="0.2">
      <c r="A12" s="96"/>
      <c r="B12" s="5"/>
      <c r="C12" s="10"/>
      <c r="D12" s="12"/>
      <c r="E12" s="9"/>
      <c r="F12" s="13"/>
    </row>
    <row r="13" spans="1:6" x14ac:dyDescent="0.2">
      <c r="A13" s="96"/>
      <c r="B13" s="5"/>
      <c r="C13" s="10"/>
      <c r="D13" s="12"/>
      <c r="E13" s="9"/>
      <c r="F13" s="13"/>
    </row>
    <row r="14" spans="1:6" x14ac:dyDescent="0.2">
      <c r="A14" s="96"/>
      <c r="B14" s="5"/>
      <c r="C14" s="10"/>
      <c r="D14" s="11"/>
      <c r="E14" s="9"/>
      <c r="F14" s="13"/>
    </row>
    <row r="15" spans="1:6" x14ac:dyDescent="0.2">
      <c r="A15" s="96"/>
      <c r="B15" s="5"/>
      <c r="C15" s="10"/>
      <c r="D15" s="12"/>
      <c r="E15" s="9"/>
      <c r="F15" s="13"/>
    </row>
    <row r="16" spans="1:6" x14ac:dyDescent="0.2">
      <c r="A16" s="96"/>
      <c r="B16" s="5"/>
      <c r="C16" s="10"/>
      <c r="D16" s="12"/>
      <c r="E16" s="9"/>
      <c r="F16" s="13"/>
    </row>
    <row r="17" spans="1:6" x14ac:dyDescent="0.2">
      <c r="A17" s="96"/>
      <c r="B17" s="5"/>
      <c r="C17" s="10"/>
      <c r="D17" s="12"/>
      <c r="E17" s="9"/>
      <c r="F17" s="13"/>
    </row>
    <row r="18" spans="1:6" x14ac:dyDescent="0.2">
      <c r="A18" s="96"/>
      <c r="B18" s="5"/>
      <c r="C18" s="10"/>
      <c r="D18" s="12"/>
      <c r="E18" s="9"/>
      <c r="F18" s="13"/>
    </row>
    <row r="19" spans="1:6" x14ac:dyDescent="0.2">
      <c r="A19" s="96"/>
      <c r="B19" s="5"/>
      <c r="C19" s="10"/>
      <c r="D19" s="12"/>
      <c r="E19" s="9"/>
      <c r="F19" s="13"/>
    </row>
    <row r="20" spans="1:6" x14ac:dyDescent="0.2">
      <c r="A20" s="96"/>
      <c r="B20" s="5"/>
      <c r="C20" s="10"/>
      <c r="D20" s="12"/>
      <c r="E20" s="9"/>
      <c r="F20" s="13"/>
    </row>
    <row r="21" spans="1:6" x14ac:dyDescent="0.2">
      <c r="A21" s="96"/>
      <c r="B21" s="5"/>
      <c r="C21" s="10"/>
      <c r="D21" s="12"/>
      <c r="E21" s="9"/>
      <c r="F21" s="13"/>
    </row>
    <row r="22" spans="1:6" x14ac:dyDescent="0.2">
      <c r="A22" s="96"/>
      <c r="B22" s="5"/>
      <c r="C22" s="10"/>
      <c r="D22" s="12"/>
      <c r="E22" s="9"/>
      <c r="F22" s="13"/>
    </row>
    <row r="23" spans="1:6" x14ac:dyDescent="0.2">
      <c r="A23" s="96"/>
      <c r="B23" s="5"/>
      <c r="C23" s="10"/>
      <c r="D23" s="12"/>
      <c r="E23" s="9"/>
      <c r="F23" s="13"/>
    </row>
    <row r="24" spans="1:6" x14ac:dyDescent="0.2">
      <c r="A24" s="96"/>
      <c r="B24" s="5"/>
      <c r="C24" s="10"/>
      <c r="D24" s="12"/>
      <c r="E24" s="9"/>
      <c r="F24" s="13"/>
    </row>
    <row r="25" spans="1:6" x14ac:dyDescent="0.2">
      <c r="A25" s="96"/>
      <c r="B25" s="5"/>
      <c r="C25" s="10"/>
      <c r="D25" s="12"/>
      <c r="E25" s="9"/>
      <c r="F25" s="13"/>
    </row>
    <row r="26" spans="1:6" x14ac:dyDescent="0.2">
      <c r="A26" s="96"/>
      <c r="B26" s="5"/>
      <c r="C26" s="10"/>
      <c r="D26" s="12"/>
      <c r="E26" s="9"/>
      <c r="F26" s="13"/>
    </row>
    <row r="27" spans="1:6" x14ac:dyDescent="0.2">
      <c r="A27" s="96"/>
      <c r="B27" s="5"/>
      <c r="C27" s="10"/>
      <c r="D27" s="12"/>
      <c r="E27" s="9"/>
      <c r="F27" s="13"/>
    </row>
    <row r="28" spans="1:6" x14ac:dyDescent="0.2">
      <c r="A28" s="96"/>
      <c r="B28" s="5"/>
      <c r="C28" s="10"/>
      <c r="D28" s="12"/>
      <c r="E28" s="9"/>
      <c r="F28" s="13"/>
    </row>
    <row r="29" spans="1:6" x14ac:dyDescent="0.2">
      <c r="A29" s="96"/>
      <c r="B29" s="5"/>
      <c r="C29" s="10"/>
      <c r="D29" s="12"/>
      <c r="E29" s="9"/>
      <c r="F29" s="13"/>
    </row>
    <row r="30" spans="1:6" x14ac:dyDescent="0.2">
      <c r="A30" s="96"/>
      <c r="B30" s="5"/>
      <c r="C30" s="10"/>
      <c r="D30" s="11"/>
      <c r="E30" s="9"/>
      <c r="F30" s="13"/>
    </row>
    <row r="31" spans="1:6" x14ac:dyDescent="0.2">
      <c r="A31" s="96"/>
      <c r="B31" s="5"/>
      <c r="C31" s="10"/>
      <c r="D31" s="12"/>
      <c r="E31" s="9"/>
      <c r="F31" s="13"/>
    </row>
    <row r="32" spans="1:6" x14ac:dyDescent="0.2">
      <c r="A32" s="96"/>
      <c r="B32" s="5"/>
      <c r="C32" s="10"/>
      <c r="D32" s="12"/>
      <c r="E32" s="9"/>
      <c r="F32" s="13"/>
    </row>
    <row r="33" spans="1:6" x14ac:dyDescent="0.2">
      <c r="A33" s="96"/>
      <c r="B33" s="5"/>
      <c r="C33" s="10"/>
      <c r="D33" s="12"/>
      <c r="E33" s="9"/>
      <c r="F33" s="13"/>
    </row>
    <row r="34" spans="1:6" x14ac:dyDescent="0.2">
      <c r="A34" s="96"/>
      <c r="B34" s="5"/>
      <c r="C34" s="10"/>
      <c r="D34" s="12"/>
      <c r="E34" s="9"/>
      <c r="F34" s="13"/>
    </row>
    <row r="35" spans="1:6" x14ac:dyDescent="0.2">
      <c r="A35" s="96"/>
      <c r="B35" s="5"/>
      <c r="C35" s="10"/>
      <c r="D35" s="12"/>
      <c r="E35" s="9"/>
      <c r="F35" s="13"/>
    </row>
    <row r="36" spans="1:6" x14ac:dyDescent="0.2">
      <c r="A36" s="96"/>
      <c r="B36" s="5"/>
      <c r="C36" s="10"/>
      <c r="D36" s="12"/>
      <c r="E36" s="9"/>
      <c r="F36" s="13"/>
    </row>
    <row r="37" spans="1:6" x14ac:dyDescent="0.2">
      <c r="A37" s="96"/>
      <c r="B37" s="5"/>
      <c r="C37" s="10"/>
      <c r="D37" s="12"/>
      <c r="E37" s="9"/>
      <c r="F37" s="29"/>
    </row>
    <row r="38" spans="1:6" x14ac:dyDescent="0.2">
      <c r="A38" s="96"/>
      <c r="B38" s="5"/>
      <c r="C38" s="10"/>
      <c r="D38" s="12"/>
      <c r="E38" s="9"/>
      <c r="F38" s="13"/>
    </row>
    <row r="39" spans="1:6" x14ac:dyDescent="0.2">
      <c r="A39" s="96"/>
      <c r="B39" s="5"/>
      <c r="C39" s="10"/>
      <c r="D39" s="12"/>
      <c r="E39" s="9"/>
      <c r="F39" s="13"/>
    </row>
    <row r="40" spans="1:6" x14ac:dyDescent="0.2">
      <c r="A40" s="96"/>
      <c r="B40" s="5"/>
      <c r="C40" s="10"/>
      <c r="D40" s="12"/>
      <c r="E40" s="9"/>
      <c r="F40" s="13"/>
    </row>
    <row r="41" spans="1:6" x14ac:dyDescent="0.2">
      <c r="A41" s="96"/>
      <c r="B41" s="5"/>
      <c r="C41" s="10"/>
      <c r="D41" s="12"/>
      <c r="E41" s="9"/>
      <c r="F41" s="13"/>
    </row>
    <row r="42" spans="1:6" x14ac:dyDescent="0.2">
      <c r="A42" s="96"/>
      <c r="B42" s="5"/>
      <c r="C42" s="10"/>
      <c r="D42" s="12"/>
      <c r="E42" s="9"/>
      <c r="F42" s="13"/>
    </row>
    <row r="43" spans="1:6" x14ac:dyDescent="0.2">
      <c r="A43" s="96"/>
      <c r="B43" s="5"/>
      <c r="C43" s="10"/>
      <c r="D43" s="12"/>
      <c r="E43" s="9"/>
      <c r="F43" s="13"/>
    </row>
    <row r="44" spans="1:6" x14ac:dyDescent="0.2">
      <c r="A44" s="96"/>
      <c r="B44" s="5"/>
      <c r="C44" s="10"/>
      <c r="D44" s="12"/>
      <c r="E44" s="9"/>
      <c r="F44" s="13"/>
    </row>
    <row r="45" spans="1:6" x14ac:dyDescent="0.2">
      <c r="A45" s="96"/>
      <c r="B45" s="5"/>
      <c r="C45" s="10"/>
      <c r="D45" s="12"/>
      <c r="E45" s="9"/>
      <c r="F45" s="13"/>
    </row>
    <row r="46" spans="1:6" x14ac:dyDescent="0.2">
      <c r="A46" s="96"/>
      <c r="B46" s="5"/>
      <c r="C46" s="10"/>
      <c r="D46" s="12"/>
      <c r="E46" s="9"/>
      <c r="F46" s="13"/>
    </row>
    <row r="47" spans="1:6" x14ac:dyDescent="0.2">
      <c r="A47" s="96"/>
      <c r="B47" s="5"/>
      <c r="C47" s="10"/>
      <c r="D47" s="12"/>
      <c r="E47" s="9"/>
      <c r="F47" s="13"/>
    </row>
    <row r="48" spans="1:6" x14ac:dyDescent="0.2">
      <c r="A48" s="96"/>
      <c r="B48" s="5"/>
      <c r="C48" s="10"/>
      <c r="D48" s="12"/>
      <c r="E48" s="9"/>
      <c r="F48" s="13"/>
    </row>
    <row r="49" spans="1:6" x14ac:dyDescent="0.2">
      <c r="A49" s="96"/>
      <c r="B49" s="5"/>
      <c r="C49" s="10"/>
      <c r="D49" s="12"/>
      <c r="E49" s="9"/>
      <c r="F49" s="29"/>
    </row>
    <row r="50" spans="1:6" x14ac:dyDescent="0.2">
      <c r="A50" s="96"/>
      <c r="B50" s="5"/>
      <c r="C50" s="10"/>
      <c r="D50" s="12"/>
      <c r="E50" s="9"/>
      <c r="F50" s="13"/>
    </row>
    <row r="51" spans="1:6" x14ac:dyDescent="0.2">
      <c r="A51" s="96"/>
      <c r="B51" s="5"/>
      <c r="C51" s="10"/>
      <c r="D51" s="12"/>
      <c r="E51" s="9"/>
      <c r="F51" s="13"/>
    </row>
    <row r="52" spans="1:6" x14ac:dyDescent="0.2">
      <c r="A52" s="96"/>
      <c r="B52" s="5"/>
      <c r="C52" s="10"/>
      <c r="D52" s="12"/>
      <c r="E52" s="9"/>
      <c r="F52" s="13"/>
    </row>
    <row r="53" spans="1:6" x14ac:dyDescent="0.2">
      <c r="A53" s="96"/>
      <c r="B53" s="5"/>
      <c r="C53" s="10"/>
      <c r="D53" s="12"/>
      <c r="E53" s="9"/>
      <c r="F53" s="13"/>
    </row>
    <row r="54" spans="1:6" x14ac:dyDescent="0.2">
      <c r="A54" s="96"/>
      <c r="B54" s="5"/>
      <c r="C54" s="10"/>
      <c r="D54" s="12"/>
      <c r="E54" s="9"/>
      <c r="F54" s="13"/>
    </row>
    <row r="55" spans="1:6" x14ac:dyDescent="0.2">
      <c r="A55" s="96"/>
      <c r="B55" s="5"/>
      <c r="C55" s="10"/>
      <c r="D55" s="12"/>
      <c r="E55" s="9"/>
      <c r="F55" s="13"/>
    </row>
    <row r="56" spans="1:6" x14ac:dyDescent="0.2">
      <c r="A56" s="96"/>
      <c r="B56" s="5"/>
      <c r="C56" s="10"/>
      <c r="D56" s="12"/>
      <c r="E56" s="9"/>
      <c r="F56" s="13"/>
    </row>
    <row r="57" spans="1:6" x14ac:dyDescent="0.2">
      <c r="A57" s="96"/>
      <c r="B57" s="5"/>
      <c r="C57" s="10"/>
      <c r="D57" s="12"/>
      <c r="E57" s="9"/>
      <c r="F57" s="13"/>
    </row>
    <row r="58" spans="1:6" x14ac:dyDescent="0.2">
      <c r="A58" s="96"/>
      <c r="B58" s="5"/>
      <c r="C58" s="10"/>
      <c r="D58" s="12"/>
      <c r="E58" s="9"/>
      <c r="F58" s="13"/>
    </row>
    <row r="59" spans="1:6" x14ac:dyDescent="0.2">
      <c r="A59" s="96"/>
      <c r="B59" s="5"/>
      <c r="C59" s="10"/>
      <c r="D59" s="12"/>
      <c r="E59" s="9"/>
      <c r="F59" s="13"/>
    </row>
    <row r="60" spans="1:6" x14ac:dyDescent="0.2">
      <c r="A60" s="96"/>
      <c r="B60" s="5"/>
      <c r="C60" s="10"/>
      <c r="D60" s="12"/>
      <c r="E60" s="9"/>
      <c r="F60" s="13"/>
    </row>
    <row r="61" spans="1:6" x14ac:dyDescent="0.2">
      <c r="A61" s="96"/>
      <c r="B61" s="5"/>
      <c r="C61" s="10"/>
      <c r="D61" s="12"/>
      <c r="E61" s="9"/>
      <c r="F61" s="13"/>
    </row>
    <row r="62" spans="1:6" x14ac:dyDescent="0.2">
      <c r="A62" s="96"/>
      <c r="B62" s="5"/>
      <c r="C62" s="10"/>
      <c r="D62" s="12"/>
      <c r="E62" s="9"/>
      <c r="F62" s="13"/>
    </row>
    <row r="63" spans="1:6" x14ac:dyDescent="0.2">
      <c r="A63" s="96"/>
      <c r="B63" s="5"/>
      <c r="C63" s="10"/>
      <c r="D63" s="12"/>
      <c r="E63" s="9"/>
      <c r="F63" s="13"/>
    </row>
    <row r="64" spans="1:6" x14ac:dyDescent="0.2">
      <c r="A64" s="96"/>
      <c r="B64" s="5"/>
      <c r="C64" s="10"/>
      <c r="D64" s="12"/>
      <c r="E64" s="9"/>
      <c r="F64" s="13"/>
    </row>
    <row r="65" spans="1:6" x14ac:dyDescent="0.2">
      <c r="A65" s="96"/>
      <c r="B65" s="5"/>
      <c r="C65" s="10"/>
      <c r="D65" s="12"/>
      <c r="E65" s="9"/>
      <c r="F65" s="13"/>
    </row>
    <row r="66" spans="1:6" x14ac:dyDescent="0.2">
      <c r="A66" s="96"/>
      <c r="B66" s="5"/>
      <c r="C66" s="10"/>
      <c r="D66" s="12"/>
      <c r="E66" s="9"/>
      <c r="F66" s="13"/>
    </row>
    <row r="67" spans="1:6" x14ac:dyDescent="0.2">
      <c r="A67" s="96"/>
      <c r="B67" s="5"/>
      <c r="C67" s="10"/>
      <c r="D67" s="12"/>
      <c r="E67" s="9"/>
      <c r="F67" s="13"/>
    </row>
    <row r="68" spans="1:6" x14ac:dyDescent="0.2">
      <c r="A68" s="96"/>
      <c r="B68" s="5"/>
      <c r="C68" s="10"/>
      <c r="D68" s="12"/>
      <c r="E68" s="9"/>
      <c r="F68" s="13"/>
    </row>
    <row r="69" spans="1:6" x14ac:dyDescent="0.2">
      <c r="A69" s="96"/>
      <c r="B69" s="5"/>
      <c r="C69" s="10"/>
      <c r="D69" s="12"/>
      <c r="E69" s="9"/>
      <c r="F69" s="13"/>
    </row>
    <row r="70" spans="1:6" x14ac:dyDescent="0.2">
      <c r="A70" s="96"/>
      <c r="B70" s="5"/>
      <c r="C70" s="10"/>
      <c r="D70" s="12"/>
      <c r="E70" s="9"/>
      <c r="F70" s="13"/>
    </row>
    <row r="71" spans="1:6" x14ac:dyDescent="0.2">
      <c r="A71" s="96"/>
      <c r="B71" s="5"/>
      <c r="C71" s="10"/>
      <c r="D71" s="12"/>
      <c r="E71" s="9"/>
      <c r="F71" s="13"/>
    </row>
    <row r="72" spans="1:6" x14ac:dyDescent="0.2">
      <c r="A72" s="96"/>
      <c r="B72" s="5"/>
      <c r="C72" s="10"/>
      <c r="D72" s="12"/>
      <c r="E72" s="9"/>
      <c r="F72" s="13"/>
    </row>
    <row r="73" spans="1:6" ht="13.5" thickBot="1" x14ac:dyDescent="0.25">
      <c r="A73" s="97"/>
      <c r="B73" s="14"/>
      <c r="C73" s="15"/>
      <c r="D73" s="16"/>
      <c r="E73" s="17"/>
      <c r="F73" s="18"/>
    </row>
    <row r="74" spans="1:6" x14ac:dyDescent="0.2">
      <c r="A74" s="100"/>
      <c r="B74" s="93"/>
      <c r="C74" s="94"/>
      <c r="D74" s="95"/>
      <c r="E74" s="92"/>
      <c r="F74" s="92"/>
    </row>
    <row r="75" spans="1:6" x14ac:dyDescent="0.2">
      <c r="A75" s="92"/>
      <c r="B75" s="93"/>
      <c r="C75" s="94"/>
      <c r="D75" s="95"/>
      <c r="E75" s="92"/>
      <c r="F75" s="92"/>
    </row>
    <row r="76" spans="1:6" x14ac:dyDescent="0.2">
      <c r="A76" s="92"/>
      <c r="B76" s="93"/>
      <c r="C76" s="94"/>
      <c r="D76" s="95"/>
      <c r="E76" s="92"/>
      <c r="F76" s="92"/>
    </row>
    <row r="77" spans="1:6" x14ac:dyDescent="0.2">
      <c r="A77" s="92"/>
      <c r="B77" s="93"/>
      <c r="C77" s="94"/>
      <c r="D77" s="95"/>
      <c r="E77" s="92"/>
      <c r="F77" s="92"/>
    </row>
    <row r="78" spans="1:6" x14ac:dyDescent="0.2">
      <c r="A78" s="92"/>
      <c r="B78" s="93"/>
      <c r="C78" s="94"/>
      <c r="D78" s="95"/>
      <c r="E78" s="92"/>
      <c r="F78" s="92"/>
    </row>
    <row r="79" spans="1:6" x14ac:dyDescent="0.2">
      <c r="A79" s="92"/>
      <c r="B79" s="93"/>
      <c r="C79" s="94"/>
      <c r="D79" s="95"/>
      <c r="E79" s="92"/>
      <c r="F79" s="92"/>
    </row>
    <row r="80" spans="1:6" x14ac:dyDescent="0.2">
      <c r="A80" s="92"/>
      <c r="B80" s="93"/>
      <c r="C80" s="94"/>
      <c r="D80" s="95"/>
      <c r="E80" s="92"/>
      <c r="F80" s="92"/>
    </row>
    <row r="81" spans="1:6" x14ac:dyDescent="0.2">
      <c r="A81" s="92"/>
      <c r="B81" s="93"/>
      <c r="C81" s="94"/>
      <c r="D81" s="95"/>
      <c r="E81" s="92"/>
      <c r="F81" s="92"/>
    </row>
    <row r="82" spans="1:6" x14ac:dyDescent="0.2">
      <c r="A82" s="92"/>
      <c r="B82" s="93"/>
      <c r="C82" s="94"/>
      <c r="D82" s="95"/>
      <c r="E82" s="92"/>
      <c r="F82" s="92"/>
    </row>
    <row r="83" spans="1:6" x14ac:dyDescent="0.2">
      <c r="A83" s="92"/>
      <c r="B83" s="93"/>
      <c r="C83" s="94"/>
      <c r="D83" s="95"/>
      <c r="E83" s="92"/>
      <c r="F83" s="92"/>
    </row>
    <row r="84" spans="1:6" x14ac:dyDescent="0.2">
      <c r="A84" s="92"/>
      <c r="B84" s="93"/>
      <c r="C84" s="94"/>
      <c r="D84" s="95"/>
      <c r="E84" s="92"/>
      <c r="F84" s="92"/>
    </row>
    <row r="85" spans="1:6" x14ac:dyDescent="0.2">
      <c r="A85" s="92"/>
      <c r="B85" s="93"/>
      <c r="C85" s="94"/>
      <c r="D85" s="95"/>
      <c r="E85" s="92"/>
      <c r="F85" s="92"/>
    </row>
    <row r="86" spans="1:6" x14ac:dyDescent="0.2">
      <c r="A86" s="92"/>
      <c r="B86" s="93"/>
      <c r="C86" s="94"/>
      <c r="D86" s="95"/>
      <c r="E86" s="92"/>
      <c r="F86" s="92"/>
    </row>
    <row r="87" spans="1:6" x14ac:dyDescent="0.2">
      <c r="A87" s="92"/>
      <c r="B87" s="93"/>
      <c r="C87" s="94"/>
      <c r="D87" s="95"/>
      <c r="E87" s="92"/>
      <c r="F87" s="92"/>
    </row>
    <row r="88" spans="1:6" x14ac:dyDescent="0.2">
      <c r="A88" s="92"/>
      <c r="B88" s="93"/>
      <c r="C88" s="94"/>
      <c r="D88" s="95"/>
      <c r="E88" s="92"/>
      <c r="F88" s="92"/>
    </row>
    <row r="89" spans="1:6" x14ac:dyDescent="0.2">
      <c r="A89" s="92"/>
      <c r="B89" s="93"/>
      <c r="C89" s="94"/>
      <c r="D89" s="95"/>
      <c r="E89" s="92"/>
      <c r="F89" s="92"/>
    </row>
    <row r="90" spans="1:6" x14ac:dyDescent="0.2">
      <c r="A90" s="92"/>
      <c r="B90" s="93"/>
      <c r="C90" s="94"/>
      <c r="D90" s="95"/>
      <c r="E90" s="92"/>
      <c r="F90" s="92"/>
    </row>
    <row r="91" spans="1:6" x14ac:dyDescent="0.2">
      <c r="A91" s="92"/>
      <c r="B91" s="93"/>
      <c r="C91" s="94"/>
      <c r="D91" s="95"/>
      <c r="E91" s="92"/>
      <c r="F91" s="92"/>
    </row>
    <row r="92" spans="1:6" x14ac:dyDescent="0.2">
      <c r="A92" s="92"/>
      <c r="B92" s="93"/>
      <c r="C92" s="94"/>
      <c r="D92" s="95"/>
      <c r="E92" s="92"/>
      <c r="F92" s="92"/>
    </row>
    <row r="93" spans="1:6" x14ac:dyDescent="0.2">
      <c r="A93" s="92"/>
      <c r="B93" s="93"/>
      <c r="C93" s="94"/>
      <c r="D93" s="95"/>
      <c r="E93" s="92"/>
      <c r="F93" s="92"/>
    </row>
    <row r="94" spans="1:6" x14ac:dyDescent="0.2">
      <c r="A94" s="92"/>
      <c r="B94" s="93"/>
      <c r="C94" s="94"/>
      <c r="D94" s="95"/>
      <c r="E94" s="92"/>
      <c r="F94" s="92"/>
    </row>
    <row r="95" spans="1:6" x14ac:dyDescent="0.2">
      <c r="A95" s="92"/>
      <c r="B95" s="93"/>
      <c r="C95" s="94"/>
      <c r="D95" s="95"/>
      <c r="E95" s="92"/>
      <c r="F95" s="92"/>
    </row>
    <row r="96" spans="1:6" x14ac:dyDescent="0.2">
      <c r="A96" s="92"/>
      <c r="B96" s="93"/>
      <c r="C96" s="94"/>
      <c r="D96" s="95"/>
      <c r="E96" s="92"/>
      <c r="F96" s="92"/>
    </row>
    <row r="97" spans="1:6" x14ac:dyDescent="0.2">
      <c r="A97" s="92"/>
      <c r="B97" s="93"/>
      <c r="C97" s="94"/>
      <c r="D97" s="95"/>
      <c r="E97" s="92"/>
      <c r="F97" s="92"/>
    </row>
    <row r="98" spans="1:6" x14ac:dyDescent="0.2">
      <c r="A98" s="92"/>
      <c r="B98" s="93"/>
      <c r="C98" s="94"/>
      <c r="D98" s="95"/>
      <c r="E98" s="92"/>
      <c r="F98" s="92"/>
    </row>
    <row r="99" spans="1:6" x14ac:dyDescent="0.2">
      <c r="A99" s="92"/>
      <c r="B99" s="93"/>
      <c r="C99" s="94"/>
      <c r="D99" s="95"/>
      <c r="E99" s="92"/>
      <c r="F99" s="92"/>
    </row>
    <row r="100" spans="1:6" x14ac:dyDescent="0.2">
      <c r="A100" s="92"/>
      <c r="B100" s="93"/>
      <c r="C100" s="94"/>
      <c r="D100" s="95"/>
      <c r="E100" s="92"/>
      <c r="F100" s="92"/>
    </row>
    <row r="101" spans="1:6" x14ac:dyDescent="0.2">
      <c r="A101" s="92"/>
      <c r="B101" s="93"/>
      <c r="C101" s="94"/>
      <c r="D101" s="95"/>
      <c r="E101" s="92"/>
      <c r="F101" s="92"/>
    </row>
    <row r="102" spans="1:6" x14ac:dyDescent="0.2">
      <c r="A102" s="92"/>
      <c r="B102" s="93"/>
      <c r="C102" s="94"/>
      <c r="D102" s="95"/>
      <c r="E102" s="92"/>
      <c r="F102" s="92"/>
    </row>
    <row r="103" spans="1:6" x14ac:dyDescent="0.2">
      <c r="A103" s="92"/>
      <c r="B103" s="93"/>
      <c r="C103" s="94"/>
      <c r="D103" s="95"/>
      <c r="E103" s="92"/>
      <c r="F103" s="92"/>
    </row>
    <row r="104" spans="1:6" x14ac:dyDescent="0.2">
      <c r="A104" s="92"/>
      <c r="B104" s="93"/>
      <c r="C104" s="94"/>
      <c r="D104" s="95"/>
      <c r="E104" s="92"/>
      <c r="F104" s="92"/>
    </row>
    <row r="105" spans="1:6" x14ac:dyDescent="0.2">
      <c r="A105" s="92"/>
      <c r="B105" s="93"/>
      <c r="C105" s="94"/>
      <c r="D105" s="95"/>
      <c r="E105" s="92"/>
      <c r="F105" s="92"/>
    </row>
    <row r="106" spans="1:6" x14ac:dyDescent="0.2">
      <c r="A106" s="92"/>
      <c r="B106" s="93"/>
      <c r="C106" s="94"/>
      <c r="D106" s="95"/>
      <c r="E106" s="92"/>
      <c r="F106" s="92"/>
    </row>
    <row r="107" spans="1:6" x14ac:dyDescent="0.2">
      <c r="A107" s="92"/>
      <c r="B107" s="93"/>
      <c r="C107" s="94"/>
      <c r="D107" s="95"/>
      <c r="E107" s="92"/>
      <c r="F107" s="92"/>
    </row>
    <row r="108" spans="1:6" x14ac:dyDescent="0.2">
      <c r="A108" s="92"/>
      <c r="B108" s="93"/>
      <c r="C108" s="94"/>
      <c r="D108" s="95"/>
      <c r="E108" s="92"/>
      <c r="F108" s="92"/>
    </row>
    <row r="109" spans="1:6" x14ac:dyDescent="0.2">
      <c r="A109" s="92"/>
      <c r="B109" s="93"/>
      <c r="C109" s="94"/>
      <c r="D109" s="95"/>
      <c r="E109" s="92"/>
      <c r="F109" s="92"/>
    </row>
    <row r="110" spans="1:6" x14ac:dyDescent="0.2">
      <c r="A110" s="92"/>
      <c r="B110" s="93"/>
      <c r="C110" s="94"/>
      <c r="D110" s="95"/>
      <c r="E110" s="92"/>
      <c r="F110" s="92"/>
    </row>
    <row r="111" spans="1:6" x14ac:dyDescent="0.2">
      <c r="A111" s="92"/>
      <c r="B111" s="93"/>
      <c r="C111" s="94"/>
      <c r="D111" s="95"/>
      <c r="E111" s="92"/>
      <c r="F111" s="92"/>
    </row>
    <row r="112" spans="1:6" x14ac:dyDescent="0.2">
      <c r="A112" s="92"/>
      <c r="B112" s="93"/>
      <c r="C112" s="94"/>
      <c r="D112" s="95"/>
      <c r="E112" s="92"/>
      <c r="F112" s="92"/>
    </row>
    <row r="113" spans="1:6" x14ac:dyDescent="0.2">
      <c r="A113" s="92"/>
      <c r="B113" s="93"/>
      <c r="C113" s="94"/>
      <c r="D113" s="95"/>
      <c r="E113" s="92"/>
      <c r="F113" s="92"/>
    </row>
    <row r="114" spans="1:6" x14ac:dyDescent="0.2">
      <c r="A114" s="92"/>
      <c r="B114" s="93"/>
      <c r="C114" s="94"/>
      <c r="D114" s="95"/>
      <c r="E114" s="92"/>
      <c r="F114" s="92"/>
    </row>
    <row r="115" spans="1:6" x14ac:dyDescent="0.2">
      <c r="A115" s="92"/>
      <c r="B115" s="93"/>
      <c r="C115" s="94"/>
      <c r="D115" s="95"/>
      <c r="E115" s="92"/>
      <c r="F115" s="92"/>
    </row>
    <row r="116" spans="1:6" x14ac:dyDescent="0.2">
      <c r="A116" s="92"/>
      <c r="B116" s="93"/>
      <c r="C116" s="94"/>
      <c r="D116" s="95"/>
      <c r="E116" s="92"/>
      <c r="F116" s="92"/>
    </row>
    <row r="117" spans="1:6" x14ac:dyDescent="0.2">
      <c r="A117" s="92"/>
      <c r="B117" s="93"/>
      <c r="C117" s="94"/>
      <c r="D117" s="95"/>
      <c r="E117" s="92"/>
      <c r="F117" s="92"/>
    </row>
    <row r="118" spans="1:6" x14ac:dyDescent="0.2">
      <c r="A118" s="92"/>
      <c r="B118" s="93"/>
      <c r="C118" s="94"/>
      <c r="D118" s="95"/>
      <c r="E118" s="92"/>
      <c r="F118" s="92"/>
    </row>
    <row r="119" spans="1:6" x14ac:dyDescent="0.2">
      <c r="A119" s="92"/>
      <c r="B119" s="93"/>
      <c r="C119" s="94"/>
      <c r="D119" s="95"/>
      <c r="E119" s="92"/>
      <c r="F119" s="92"/>
    </row>
    <row r="120" spans="1:6" x14ac:dyDescent="0.2">
      <c r="A120" s="92"/>
      <c r="B120" s="93"/>
      <c r="C120" s="94"/>
      <c r="D120" s="95"/>
      <c r="E120" s="92"/>
      <c r="F120" s="92"/>
    </row>
    <row r="121" spans="1:6" x14ac:dyDescent="0.2">
      <c r="A121" s="92"/>
      <c r="B121" s="93"/>
      <c r="C121" s="94"/>
      <c r="D121" s="95"/>
      <c r="E121" s="92"/>
      <c r="F121" s="92"/>
    </row>
    <row r="122" spans="1:6" x14ac:dyDescent="0.2">
      <c r="A122" s="92"/>
      <c r="B122" s="93"/>
      <c r="C122" s="94"/>
      <c r="D122" s="95"/>
      <c r="E122" s="92"/>
      <c r="F122" s="92"/>
    </row>
    <row r="123" spans="1:6" x14ac:dyDescent="0.2">
      <c r="A123" s="92"/>
      <c r="B123" s="93"/>
      <c r="C123" s="94"/>
      <c r="D123" s="95"/>
      <c r="E123" s="92"/>
      <c r="F123" s="92"/>
    </row>
    <row r="124" spans="1:6" x14ac:dyDescent="0.2">
      <c r="A124" s="92"/>
      <c r="B124" s="93"/>
      <c r="C124" s="94"/>
      <c r="D124" s="95"/>
      <c r="E124" s="92"/>
      <c r="F124" s="92"/>
    </row>
    <row r="125" spans="1:6" x14ac:dyDescent="0.2">
      <c r="A125" s="92"/>
      <c r="B125" s="93"/>
      <c r="C125" s="94"/>
      <c r="D125" s="95"/>
      <c r="E125" s="92"/>
      <c r="F125" s="92"/>
    </row>
    <row r="126" spans="1:6" x14ac:dyDescent="0.2">
      <c r="A126" s="92"/>
      <c r="B126" s="93"/>
      <c r="C126" s="94"/>
      <c r="D126" s="95"/>
      <c r="E126" s="92"/>
      <c r="F126" s="92"/>
    </row>
    <row r="127" spans="1:6" x14ac:dyDescent="0.2">
      <c r="A127" s="92"/>
      <c r="B127" s="93"/>
      <c r="C127" s="94"/>
      <c r="D127" s="95"/>
      <c r="E127" s="92"/>
      <c r="F127" s="92"/>
    </row>
    <row r="128" spans="1:6" x14ac:dyDescent="0.2">
      <c r="A128" s="92"/>
      <c r="B128" s="93"/>
      <c r="C128" s="94"/>
      <c r="D128" s="95"/>
      <c r="E128" s="92"/>
      <c r="F128" s="92"/>
    </row>
    <row r="129" spans="1:6" x14ac:dyDescent="0.2">
      <c r="A129" s="92"/>
      <c r="B129" s="93"/>
      <c r="C129" s="94"/>
      <c r="D129" s="95"/>
      <c r="E129" s="92"/>
      <c r="F129" s="92"/>
    </row>
    <row r="130" spans="1:6" x14ac:dyDescent="0.2">
      <c r="A130" s="92"/>
      <c r="B130" s="93"/>
      <c r="C130" s="94"/>
      <c r="D130" s="95"/>
      <c r="E130" s="92"/>
      <c r="F130" s="92"/>
    </row>
    <row r="131" spans="1:6" x14ac:dyDescent="0.2">
      <c r="A131" s="92"/>
      <c r="B131" s="93"/>
      <c r="C131" s="94"/>
      <c r="D131" s="95"/>
      <c r="E131" s="92"/>
      <c r="F131" s="92"/>
    </row>
    <row r="132" spans="1:6" x14ac:dyDescent="0.2">
      <c r="A132" s="92"/>
      <c r="B132" s="93"/>
      <c r="C132" s="94"/>
      <c r="D132" s="95"/>
      <c r="E132" s="92"/>
      <c r="F132" s="92"/>
    </row>
    <row r="133" spans="1:6" x14ac:dyDescent="0.2">
      <c r="A133" s="92"/>
      <c r="B133" s="93"/>
      <c r="C133" s="94"/>
      <c r="D133" s="95"/>
      <c r="E133" s="92"/>
      <c r="F133" s="92"/>
    </row>
    <row r="134" spans="1:6" x14ac:dyDescent="0.2">
      <c r="A134" s="92"/>
      <c r="B134" s="93"/>
      <c r="C134" s="94"/>
      <c r="D134" s="95"/>
      <c r="E134" s="92"/>
      <c r="F134" s="92"/>
    </row>
    <row r="135" spans="1:6" x14ac:dyDescent="0.2">
      <c r="A135" s="92"/>
      <c r="B135" s="93"/>
      <c r="C135" s="94"/>
      <c r="D135" s="95"/>
      <c r="E135" s="92"/>
      <c r="F135" s="92"/>
    </row>
    <row r="136" spans="1:6" x14ac:dyDescent="0.2">
      <c r="A136" s="92"/>
      <c r="B136" s="93"/>
      <c r="C136" s="94"/>
      <c r="D136" s="95"/>
      <c r="E136" s="92"/>
      <c r="F136" s="92"/>
    </row>
    <row r="137" spans="1:6" x14ac:dyDescent="0.2">
      <c r="A137" s="92"/>
      <c r="B137" s="93"/>
      <c r="C137" s="94"/>
      <c r="D137" s="95"/>
      <c r="E137" s="92"/>
      <c r="F137" s="92"/>
    </row>
    <row r="138" spans="1:6" x14ac:dyDescent="0.2">
      <c r="A138" s="92"/>
      <c r="B138" s="93"/>
      <c r="C138" s="94"/>
      <c r="D138" s="95"/>
      <c r="E138" s="92"/>
      <c r="F138" s="92"/>
    </row>
    <row r="139" spans="1:6" x14ac:dyDescent="0.2">
      <c r="A139" s="92"/>
      <c r="B139" s="93"/>
      <c r="C139" s="94"/>
      <c r="D139" s="95"/>
      <c r="E139" s="92"/>
      <c r="F139" s="92"/>
    </row>
    <row r="140" spans="1:6" x14ac:dyDescent="0.2">
      <c r="A140" s="92"/>
      <c r="B140" s="93"/>
      <c r="C140" s="94"/>
      <c r="D140" s="95"/>
      <c r="E140" s="92"/>
      <c r="F140" s="92"/>
    </row>
    <row r="141" spans="1:6" x14ac:dyDescent="0.2">
      <c r="A141" s="92"/>
      <c r="B141" s="93"/>
      <c r="C141" s="94"/>
      <c r="D141" s="95"/>
      <c r="E141" s="92"/>
      <c r="F141" s="92"/>
    </row>
    <row r="142" spans="1:6" x14ac:dyDescent="0.2">
      <c r="A142" s="92"/>
      <c r="B142" s="93"/>
      <c r="C142" s="94"/>
      <c r="D142" s="95"/>
      <c r="E142" s="92"/>
      <c r="F142" s="92"/>
    </row>
    <row r="143" spans="1:6" x14ac:dyDescent="0.2">
      <c r="A143" s="92"/>
      <c r="B143" s="93"/>
      <c r="C143" s="94"/>
      <c r="D143" s="95"/>
      <c r="E143" s="92"/>
      <c r="F143" s="92"/>
    </row>
    <row r="144" spans="1:6" x14ac:dyDescent="0.2">
      <c r="A144" s="92"/>
      <c r="B144" s="93"/>
      <c r="C144" s="94"/>
      <c r="D144" s="95"/>
      <c r="E144" s="92"/>
      <c r="F144" s="92"/>
    </row>
    <row r="145" spans="1:6" x14ac:dyDescent="0.2">
      <c r="A145" s="92"/>
      <c r="B145" s="93"/>
      <c r="C145" s="94"/>
      <c r="D145" s="95"/>
      <c r="E145" s="92"/>
      <c r="F145" s="92"/>
    </row>
    <row r="146" spans="1:6" x14ac:dyDescent="0.2">
      <c r="A146" s="92"/>
      <c r="B146" s="93"/>
      <c r="C146" s="94"/>
      <c r="D146" s="95"/>
      <c r="E146" s="92"/>
      <c r="F146" s="92"/>
    </row>
    <row r="147" spans="1:6" x14ac:dyDescent="0.2">
      <c r="A147" s="92"/>
      <c r="B147" s="93"/>
      <c r="C147" s="94"/>
      <c r="D147" s="95"/>
      <c r="E147" s="92"/>
      <c r="F147" s="92"/>
    </row>
    <row r="148" spans="1:6" x14ac:dyDescent="0.2">
      <c r="A148" s="92"/>
      <c r="B148" s="93"/>
      <c r="C148" s="94"/>
      <c r="D148" s="95"/>
      <c r="E148" s="92"/>
      <c r="F148" s="92"/>
    </row>
    <row r="149" spans="1:6" x14ac:dyDescent="0.2">
      <c r="A149" s="92"/>
      <c r="B149" s="93"/>
      <c r="C149" s="94"/>
      <c r="D149" s="95"/>
      <c r="E149" s="92"/>
      <c r="F149" s="92"/>
    </row>
    <row r="150" spans="1:6" x14ac:dyDescent="0.2">
      <c r="A150" s="92"/>
      <c r="B150" s="93"/>
      <c r="C150" s="94"/>
      <c r="D150" s="95"/>
      <c r="E150" s="92"/>
      <c r="F150" s="92"/>
    </row>
    <row r="151" spans="1:6" x14ac:dyDescent="0.2">
      <c r="A151" s="92"/>
      <c r="B151" s="93"/>
      <c r="C151" s="94"/>
      <c r="D151" s="95"/>
      <c r="E151" s="92"/>
      <c r="F151" s="92"/>
    </row>
    <row r="152" spans="1:6" x14ac:dyDescent="0.2">
      <c r="A152" s="92"/>
      <c r="B152" s="93"/>
      <c r="C152" s="94"/>
      <c r="D152" s="95"/>
      <c r="E152" s="92"/>
      <c r="F152" s="92"/>
    </row>
    <row r="153" spans="1:6" x14ac:dyDescent="0.2">
      <c r="A153" s="92"/>
      <c r="B153" s="93"/>
      <c r="C153" s="94"/>
      <c r="D153" s="95"/>
      <c r="E153" s="92"/>
      <c r="F153" s="92"/>
    </row>
    <row r="154" spans="1:6" x14ac:dyDescent="0.2">
      <c r="A154" s="92"/>
      <c r="B154" s="93"/>
      <c r="C154" s="94"/>
      <c r="D154" s="95"/>
      <c r="E154" s="92"/>
      <c r="F154" s="92"/>
    </row>
    <row r="155" spans="1:6" x14ac:dyDescent="0.2">
      <c r="A155" s="92"/>
      <c r="B155" s="93"/>
      <c r="C155" s="94"/>
      <c r="D155" s="95"/>
      <c r="E155" s="92"/>
      <c r="F155" s="92"/>
    </row>
    <row r="156" spans="1:6" x14ac:dyDescent="0.2">
      <c r="A156" s="92"/>
      <c r="B156" s="93"/>
      <c r="C156" s="94"/>
      <c r="D156" s="95"/>
      <c r="E156" s="92"/>
      <c r="F156" s="92"/>
    </row>
    <row r="157" spans="1:6" x14ac:dyDescent="0.2">
      <c r="A157" s="92"/>
      <c r="B157" s="93"/>
      <c r="C157" s="94"/>
      <c r="D157" s="95"/>
      <c r="E157" s="92"/>
      <c r="F157" s="92"/>
    </row>
    <row r="158" spans="1:6" x14ac:dyDescent="0.2">
      <c r="A158" s="92"/>
      <c r="B158" s="93"/>
      <c r="C158" s="94"/>
      <c r="D158" s="95"/>
      <c r="E158" s="92"/>
      <c r="F158" s="92"/>
    </row>
    <row r="159" spans="1:6" x14ac:dyDescent="0.2">
      <c r="A159" s="92"/>
      <c r="B159" s="93"/>
      <c r="C159" s="94"/>
      <c r="D159" s="95"/>
      <c r="E159" s="92"/>
      <c r="F159" s="92"/>
    </row>
    <row r="160" spans="1:6" x14ac:dyDescent="0.2">
      <c r="A160" s="92"/>
      <c r="B160" s="93"/>
      <c r="C160" s="94"/>
      <c r="D160" s="95"/>
      <c r="E160" s="92"/>
      <c r="F160" s="92"/>
    </row>
    <row r="161" spans="1:6" x14ac:dyDescent="0.2">
      <c r="A161" s="92"/>
      <c r="B161" s="93"/>
      <c r="C161" s="94"/>
      <c r="D161" s="95"/>
      <c r="E161" s="92"/>
      <c r="F161" s="92"/>
    </row>
    <row r="162" spans="1:6" x14ac:dyDescent="0.2">
      <c r="A162" s="92"/>
      <c r="B162" s="93"/>
      <c r="C162" s="94"/>
      <c r="D162" s="95"/>
      <c r="E162" s="92"/>
      <c r="F162" s="92"/>
    </row>
    <row r="163" spans="1:6" x14ac:dyDescent="0.2">
      <c r="A163" s="92"/>
      <c r="B163" s="93"/>
      <c r="C163" s="94"/>
      <c r="D163" s="95"/>
      <c r="E163" s="92"/>
      <c r="F163" s="92"/>
    </row>
    <row r="164" spans="1:6" x14ac:dyDescent="0.2">
      <c r="A164" s="92"/>
      <c r="B164" s="93"/>
      <c r="C164" s="94"/>
      <c r="D164" s="95"/>
      <c r="E164" s="92"/>
      <c r="F164" s="92"/>
    </row>
    <row r="165" spans="1:6" x14ac:dyDescent="0.2">
      <c r="A165" s="92"/>
      <c r="B165" s="93"/>
      <c r="C165" s="94"/>
      <c r="D165" s="95"/>
      <c r="E165" s="92"/>
      <c r="F165" s="92"/>
    </row>
    <row r="166" spans="1:6" x14ac:dyDescent="0.2">
      <c r="A166" s="92"/>
      <c r="B166" s="93"/>
      <c r="C166" s="94"/>
      <c r="D166" s="95"/>
      <c r="E166" s="92"/>
      <c r="F166" s="92"/>
    </row>
    <row r="167" spans="1:6" x14ac:dyDescent="0.2">
      <c r="A167" s="92"/>
      <c r="B167" s="93"/>
      <c r="C167" s="94"/>
      <c r="D167" s="95"/>
      <c r="E167" s="92"/>
      <c r="F167" s="92"/>
    </row>
    <row r="168" spans="1:6" x14ac:dyDescent="0.2">
      <c r="A168" s="92"/>
      <c r="B168" s="93"/>
      <c r="C168" s="94"/>
      <c r="D168" s="95"/>
      <c r="E168" s="92"/>
      <c r="F168" s="92"/>
    </row>
    <row r="169" spans="1:6" x14ac:dyDescent="0.2">
      <c r="A169" s="92"/>
      <c r="B169" s="93"/>
      <c r="C169" s="94"/>
      <c r="D169" s="95"/>
      <c r="E169" s="92"/>
      <c r="F169" s="92"/>
    </row>
    <row r="170" spans="1:6" x14ac:dyDescent="0.2">
      <c r="A170" s="92"/>
      <c r="B170" s="93"/>
      <c r="C170" s="94"/>
      <c r="D170" s="95"/>
      <c r="E170" s="92"/>
      <c r="F170" s="92"/>
    </row>
    <row r="171" spans="1:6" x14ac:dyDescent="0.2">
      <c r="A171" s="92"/>
      <c r="B171" s="93"/>
      <c r="C171" s="94"/>
      <c r="D171" s="95"/>
      <c r="E171" s="92"/>
      <c r="F171" s="92"/>
    </row>
    <row r="172" spans="1:6" x14ac:dyDescent="0.2">
      <c r="A172" s="92"/>
      <c r="B172" s="93"/>
      <c r="C172" s="94"/>
      <c r="D172" s="95"/>
      <c r="E172" s="92"/>
      <c r="F172" s="92"/>
    </row>
    <row r="173" spans="1:6" x14ac:dyDescent="0.2">
      <c r="A173" s="92"/>
      <c r="B173" s="93"/>
      <c r="C173" s="94"/>
      <c r="D173" s="95"/>
      <c r="E173" s="92"/>
      <c r="F173" s="92"/>
    </row>
    <row r="174" spans="1:6" x14ac:dyDescent="0.2">
      <c r="A174" s="92"/>
      <c r="B174" s="93"/>
      <c r="C174" s="94"/>
      <c r="D174" s="95"/>
      <c r="E174" s="92"/>
      <c r="F174" s="92"/>
    </row>
    <row r="175" spans="1:6" x14ac:dyDescent="0.2">
      <c r="A175" s="92"/>
      <c r="B175" s="93"/>
      <c r="C175" s="94"/>
      <c r="D175" s="95"/>
      <c r="E175" s="92"/>
      <c r="F175" s="92"/>
    </row>
    <row r="176" spans="1:6" x14ac:dyDescent="0.2">
      <c r="A176" s="92"/>
      <c r="B176" s="93"/>
      <c r="C176" s="94"/>
      <c r="D176" s="95"/>
      <c r="E176" s="92"/>
      <c r="F176" s="92"/>
    </row>
    <row r="177" spans="1:6" x14ac:dyDescent="0.2">
      <c r="A177" s="92"/>
      <c r="B177" s="93"/>
      <c r="C177" s="94"/>
      <c r="D177" s="95"/>
      <c r="E177" s="92"/>
      <c r="F177" s="92"/>
    </row>
    <row r="178" spans="1:6" x14ac:dyDescent="0.2">
      <c r="A178" s="92"/>
      <c r="B178" s="93"/>
      <c r="C178" s="94"/>
      <c r="D178" s="95"/>
      <c r="E178" s="92"/>
      <c r="F178" s="92"/>
    </row>
    <row r="179" spans="1:6" x14ac:dyDescent="0.2">
      <c r="A179" s="92"/>
      <c r="B179" s="93"/>
      <c r="C179" s="94"/>
      <c r="D179" s="95"/>
      <c r="E179" s="92"/>
      <c r="F179" s="92"/>
    </row>
    <row r="180" spans="1:6" x14ac:dyDescent="0.2">
      <c r="A180" s="92"/>
      <c r="B180" s="93"/>
      <c r="C180" s="94"/>
      <c r="D180" s="95"/>
      <c r="E180" s="92"/>
      <c r="F180" s="92"/>
    </row>
    <row r="181" spans="1:6" x14ac:dyDescent="0.2">
      <c r="A181" s="92"/>
      <c r="B181" s="93"/>
      <c r="C181" s="94"/>
      <c r="D181" s="95"/>
      <c r="E181" s="92"/>
      <c r="F181" s="92"/>
    </row>
    <row r="182" spans="1:6" x14ac:dyDescent="0.2">
      <c r="A182" s="92"/>
      <c r="B182" s="93"/>
      <c r="C182" s="94"/>
      <c r="D182" s="95"/>
      <c r="E182" s="92"/>
      <c r="F182" s="92"/>
    </row>
    <row r="183" spans="1:6" x14ac:dyDescent="0.2">
      <c r="A183" s="92"/>
      <c r="B183" s="93"/>
      <c r="C183" s="94"/>
      <c r="D183" s="95"/>
      <c r="E183" s="92"/>
      <c r="F183" s="92"/>
    </row>
    <row r="184" spans="1:6" x14ac:dyDescent="0.2">
      <c r="A184" s="92"/>
      <c r="B184" s="93"/>
      <c r="C184" s="94"/>
      <c r="D184" s="95"/>
      <c r="E184" s="92"/>
      <c r="F184" s="92"/>
    </row>
    <row r="185" spans="1:6" x14ac:dyDescent="0.2">
      <c r="A185" s="92"/>
      <c r="B185" s="93"/>
      <c r="C185" s="94"/>
      <c r="D185" s="95"/>
      <c r="E185" s="92"/>
      <c r="F185" s="92"/>
    </row>
    <row r="186" spans="1:6" x14ac:dyDescent="0.2">
      <c r="A186" s="92"/>
      <c r="B186" s="93"/>
      <c r="C186" s="94"/>
      <c r="D186" s="95"/>
      <c r="E186" s="92"/>
      <c r="F186" s="92"/>
    </row>
    <row r="187" spans="1:6" x14ac:dyDescent="0.2">
      <c r="A187" s="92"/>
      <c r="B187" s="93"/>
      <c r="C187" s="94"/>
      <c r="D187" s="95"/>
      <c r="E187" s="92"/>
      <c r="F187" s="92"/>
    </row>
    <row r="188" spans="1:6" x14ac:dyDescent="0.2">
      <c r="A188" s="92"/>
      <c r="B188" s="93"/>
      <c r="C188" s="94"/>
      <c r="D188" s="95"/>
      <c r="E188" s="92"/>
      <c r="F188" s="92"/>
    </row>
    <row r="189" spans="1:6" x14ac:dyDescent="0.2">
      <c r="A189" s="92"/>
      <c r="B189" s="93"/>
      <c r="C189" s="94"/>
      <c r="D189" s="95"/>
      <c r="E189" s="92"/>
      <c r="F189" s="92"/>
    </row>
    <row r="190" spans="1:6" x14ac:dyDescent="0.2">
      <c r="A190" s="92"/>
      <c r="B190" s="93"/>
      <c r="C190" s="94"/>
      <c r="D190" s="95"/>
      <c r="E190" s="92"/>
      <c r="F190" s="92"/>
    </row>
    <row r="191" spans="1:6" x14ac:dyDescent="0.2">
      <c r="A191" s="92"/>
      <c r="B191" s="93"/>
      <c r="C191" s="94"/>
      <c r="D191" s="95"/>
      <c r="E191" s="92"/>
      <c r="F191" s="92"/>
    </row>
    <row r="192" spans="1:6" x14ac:dyDescent="0.2">
      <c r="A192" s="92"/>
      <c r="B192" s="93"/>
      <c r="C192" s="94"/>
      <c r="D192" s="95"/>
      <c r="E192" s="92"/>
      <c r="F192" s="92"/>
    </row>
    <row r="193" spans="1:6" x14ac:dyDescent="0.2">
      <c r="A193" s="92"/>
      <c r="B193" s="93"/>
      <c r="C193" s="94"/>
      <c r="D193" s="95"/>
      <c r="E193" s="92"/>
      <c r="F193" s="92"/>
    </row>
    <row r="194" spans="1:6" x14ac:dyDescent="0.2">
      <c r="A194" s="92"/>
      <c r="B194" s="93"/>
      <c r="C194" s="94"/>
      <c r="D194" s="95"/>
      <c r="E194" s="92"/>
      <c r="F194" s="92"/>
    </row>
    <row r="195" spans="1:6" x14ac:dyDescent="0.2">
      <c r="A195" s="92"/>
      <c r="B195" s="93"/>
      <c r="C195" s="94"/>
      <c r="D195" s="95"/>
      <c r="E195" s="92"/>
      <c r="F195" s="92"/>
    </row>
    <row r="196" spans="1:6" x14ac:dyDescent="0.2">
      <c r="A196" s="92"/>
      <c r="B196" s="93"/>
      <c r="C196" s="94"/>
      <c r="D196" s="95"/>
      <c r="E196" s="92"/>
      <c r="F196" s="92"/>
    </row>
    <row r="197" spans="1:6" x14ac:dyDescent="0.2">
      <c r="A197" s="92"/>
      <c r="B197" s="93"/>
      <c r="C197" s="94"/>
      <c r="D197" s="95"/>
      <c r="E197" s="92"/>
      <c r="F197" s="92"/>
    </row>
    <row r="198" spans="1:6" x14ac:dyDescent="0.2">
      <c r="A198" s="92"/>
      <c r="B198" s="93"/>
      <c r="C198" s="94"/>
      <c r="D198" s="95"/>
      <c r="E198" s="92"/>
      <c r="F198" s="92"/>
    </row>
    <row r="199" spans="1:6" x14ac:dyDescent="0.2">
      <c r="A199" s="92"/>
      <c r="B199" s="93"/>
      <c r="C199" s="94"/>
      <c r="D199" s="95"/>
      <c r="E199" s="92"/>
      <c r="F199" s="92"/>
    </row>
    <row r="200" spans="1:6" x14ac:dyDescent="0.2">
      <c r="A200" s="92"/>
      <c r="B200" s="93"/>
      <c r="C200" s="94"/>
      <c r="D200" s="95"/>
      <c r="E200" s="92"/>
      <c r="F200" s="92"/>
    </row>
    <row r="201" spans="1:6" x14ac:dyDescent="0.2">
      <c r="A201" s="92"/>
      <c r="B201" s="93"/>
      <c r="C201" s="94"/>
      <c r="D201" s="95"/>
      <c r="E201" s="92"/>
      <c r="F201" s="92"/>
    </row>
    <row r="202" spans="1:6" x14ac:dyDescent="0.2">
      <c r="A202" s="92"/>
      <c r="B202" s="93"/>
      <c r="C202" s="94"/>
      <c r="D202" s="95"/>
      <c r="E202" s="92"/>
      <c r="F202" s="92"/>
    </row>
    <row r="203" spans="1:6" x14ac:dyDescent="0.2">
      <c r="A203" s="92"/>
      <c r="B203" s="93"/>
      <c r="C203" s="94"/>
      <c r="D203" s="95"/>
      <c r="E203" s="92"/>
      <c r="F203" s="92"/>
    </row>
    <row r="204" spans="1:6" x14ac:dyDescent="0.2">
      <c r="A204" s="92"/>
      <c r="B204" s="93"/>
      <c r="C204" s="94"/>
      <c r="D204" s="95"/>
      <c r="E204" s="92"/>
      <c r="F204" s="92"/>
    </row>
    <row r="205" spans="1:6" x14ac:dyDescent="0.2">
      <c r="A205" s="92"/>
      <c r="B205" s="93"/>
      <c r="C205" s="94"/>
      <c r="D205" s="95"/>
      <c r="E205" s="92"/>
      <c r="F205" s="92"/>
    </row>
    <row r="206" spans="1:6" x14ac:dyDescent="0.2">
      <c r="A206" s="92"/>
      <c r="B206" s="93"/>
      <c r="C206" s="94"/>
      <c r="D206" s="95"/>
      <c r="E206" s="92"/>
      <c r="F206" s="92"/>
    </row>
    <row r="207" spans="1:6" x14ac:dyDescent="0.2">
      <c r="A207" s="92"/>
      <c r="B207" s="93"/>
      <c r="C207" s="94"/>
      <c r="D207" s="95"/>
      <c r="E207" s="92"/>
      <c r="F207" s="92"/>
    </row>
    <row r="208" spans="1:6" x14ac:dyDescent="0.2">
      <c r="A208" s="92"/>
      <c r="B208" s="93"/>
      <c r="C208" s="94"/>
      <c r="D208" s="95"/>
      <c r="E208" s="92"/>
      <c r="F208" s="92"/>
    </row>
    <row r="209" spans="1:6" x14ac:dyDescent="0.2">
      <c r="A209" s="92"/>
      <c r="B209" s="93"/>
      <c r="C209" s="94"/>
      <c r="D209" s="95"/>
      <c r="E209" s="92"/>
      <c r="F209" s="92"/>
    </row>
    <row r="210" spans="1:6" x14ac:dyDescent="0.2">
      <c r="A210" s="92"/>
      <c r="B210" s="93"/>
      <c r="C210" s="94"/>
      <c r="D210" s="95"/>
      <c r="E210" s="92"/>
      <c r="F210" s="92"/>
    </row>
    <row r="211" spans="1:6" x14ac:dyDescent="0.2">
      <c r="A211" s="92"/>
      <c r="B211" s="93"/>
      <c r="C211" s="94"/>
      <c r="D211" s="95"/>
      <c r="E211" s="92"/>
      <c r="F211" s="92"/>
    </row>
    <row r="212" spans="1:6" x14ac:dyDescent="0.2">
      <c r="A212" s="92"/>
      <c r="B212" s="93"/>
      <c r="C212" s="94"/>
      <c r="D212" s="95"/>
      <c r="E212" s="92"/>
      <c r="F212" s="92"/>
    </row>
    <row r="213" spans="1:6" x14ac:dyDescent="0.2">
      <c r="A213" s="92"/>
      <c r="B213" s="93"/>
      <c r="C213" s="94"/>
      <c r="D213" s="95"/>
      <c r="E213" s="92"/>
      <c r="F213" s="92"/>
    </row>
    <row r="214" spans="1:6" x14ac:dyDescent="0.2">
      <c r="A214" s="92"/>
      <c r="B214" s="93"/>
      <c r="C214" s="94"/>
      <c r="D214" s="95"/>
      <c r="E214" s="92"/>
      <c r="F214" s="92"/>
    </row>
    <row r="215" spans="1:6" x14ac:dyDescent="0.2">
      <c r="A215" s="92"/>
      <c r="B215" s="93"/>
      <c r="C215" s="94"/>
      <c r="D215" s="95"/>
      <c r="E215" s="92"/>
      <c r="F215" s="92"/>
    </row>
    <row r="216" spans="1:6" x14ac:dyDescent="0.2">
      <c r="A216" s="92"/>
      <c r="B216" s="93"/>
      <c r="C216" s="94"/>
      <c r="D216" s="95"/>
      <c r="E216" s="92"/>
      <c r="F216" s="92"/>
    </row>
    <row r="217" spans="1:6" x14ac:dyDescent="0.2">
      <c r="A217" s="92"/>
      <c r="B217" s="93"/>
      <c r="C217" s="94"/>
      <c r="D217" s="95"/>
      <c r="E217" s="92"/>
      <c r="F217" s="92"/>
    </row>
    <row r="218" spans="1:6" x14ac:dyDescent="0.2">
      <c r="A218" s="92"/>
      <c r="B218" s="93"/>
      <c r="C218" s="94"/>
      <c r="D218" s="95"/>
      <c r="E218" s="92"/>
      <c r="F218" s="92"/>
    </row>
    <row r="219" spans="1:6" x14ac:dyDescent="0.2">
      <c r="A219" s="92"/>
      <c r="B219" s="93"/>
      <c r="C219" s="94"/>
      <c r="D219" s="95"/>
      <c r="E219" s="92"/>
      <c r="F219" s="92"/>
    </row>
    <row r="220" spans="1:6" x14ac:dyDescent="0.2">
      <c r="A220" s="92"/>
      <c r="B220" s="93"/>
      <c r="C220" s="94"/>
      <c r="D220" s="95"/>
      <c r="E220" s="92"/>
      <c r="F220" s="92"/>
    </row>
    <row r="221" spans="1:6" x14ac:dyDescent="0.2">
      <c r="A221" s="92"/>
      <c r="B221" s="93"/>
      <c r="C221" s="94"/>
      <c r="D221" s="95"/>
      <c r="E221" s="92"/>
      <c r="F221" s="92"/>
    </row>
    <row r="222" spans="1:6" x14ac:dyDescent="0.2">
      <c r="A222" s="92"/>
      <c r="B222" s="93"/>
      <c r="C222" s="94"/>
      <c r="D222" s="95"/>
      <c r="E222" s="92"/>
      <c r="F222" s="92"/>
    </row>
    <row r="223" spans="1:6" x14ac:dyDescent="0.2">
      <c r="A223" s="92"/>
      <c r="B223" s="93"/>
      <c r="C223" s="94"/>
      <c r="D223" s="95"/>
      <c r="E223" s="92"/>
      <c r="F223" s="92"/>
    </row>
    <row r="224" spans="1:6" x14ac:dyDescent="0.2">
      <c r="A224" s="92"/>
      <c r="B224" s="93"/>
      <c r="C224" s="94"/>
      <c r="D224" s="95"/>
      <c r="E224" s="92"/>
      <c r="F224" s="92"/>
    </row>
    <row r="225" spans="1:6" x14ac:dyDescent="0.2">
      <c r="A225" s="92"/>
      <c r="B225" s="93"/>
      <c r="C225" s="94"/>
      <c r="D225" s="95"/>
      <c r="E225" s="92"/>
      <c r="F225" s="92"/>
    </row>
    <row r="226" spans="1:6" x14ac:dyDescent="0.2">
      <c r="A226" s="92"/>
      <c r="B226" s="93"/>
      <c r="C226" s="94"/>
      <c r="D226" s="95"/>
      <c r="E226" s="92"/>
      <c r="F226" s="92"/>
    </row>
    <row r="227" spans="1:6" x14ac:dyDescent="0.2">
      <c r="A227" s="92"/>
      <c r="B227" s="93"/>
      <c r="C227" s="94"/>
      <c r="D227" s="95"/>
      <c r="E227" s="92"/>
      <c r="F227" s="92"/>
    </row>
    <row r="228" spans="1:6" x14ac:dyDescent="0.2">
      <c r="A228" s="92"/>
      <c r="B228" s="93"/>
      <c r="C228" s="94"/>
      <c r="D228" s="95"/>
      <c r="E228" s="92"/>
      <c r="F228" s="92"/>
    </row>
    <row r="229" spans="1:6" x14ac:dyDescent="0.2">
      <c r="A229" s="92"/>
      <c r="B229" s="93"/>
      <c r="C229" s="94"/>
      <c r="D229" s="95"/>
      <c r="E229" s="92"/>
      <c r="F229" s="92"/>
    </row>
    <row r="230" spans="1:6" x14ac:dyDescent="0.2">
      <c r="A230" s="92"/>
      <c r="B230" s="93"/>
      <c r="C230" s="94"/>
      <c r="D230" s="95"/>
      <c r="E230" s="92"/>
      <c r="F230" s="92"/>
    </row>
    <row r="231" spans="1:6" x14ac:dyDescent="0.2">
      <c r="A231" s="92"/>
      <c r="B231" s="93"/>
      <c r="C231" s="94"/>
      <c r="D231" s="95"/>
      <c r="E231" s="92"/>
      <c r="F231" s="92"/>
    </row>
    <row r="232" spans="1:6" x14ac:dyDescent="0.2">
      <c r="A232" s="92"/>
      <c r="B232" s="93"/>
      <c r="C232" s="94"/>
      <c r="D232" s="95"/>
      <c r="E232" s="92"/>
      <c r="F232" s="92"/>
    </row>
    <row r="233" spans="1:6" x14ac:dyDescent="0.2">
      <c r="A233" s="92"/>
      <c r="B233" s="93"/>
      <c r="C233" s="94"/>
      <c r="D233" s="95"/>
      <c r="E233" s="92"/>
      <c r="F233" s="92"/>
    </row>
    <row r="234" spans="1:6" x14ac:dyDescent="0.2">
      <c r="A234" s="92"/>
      <c r="B234" s="93"/>
      <c r="C234" s="94"/>
      <c r="D234" s="95"/>
      <c r="E234" s="92"/>
      <c r="F234" s="92"/>
    </row>
    <row r="235" spans="1:6" x14ac:dyDescent="0.2">
      <c r="A235" s="92"/>
      <c r="B235" s="93"/>
      <c r="C235" s="94"/>
      <c r="D235" s="95"/>
      <c r="E235" s="92"/>
      <c r="F235" s="92"/>
    </row>
    <row r="236" spans="1:6" x14ac:dyDescent="0.2">
      <c r="A236" s="92"/>
      <c r="B236" s="93"/>
      <c r="C236" s="94"/>
      <c r="D236" s="95"/>
      <c r="E236" s="92"/>
      <c r="F236" s="92"/>
    </row>
    <row r="237" spans="1:6" x14ac:dyDescent="0.2">
      <c r="A237" s="92"/>
      <c r="B237" s="93"/>
      <c r="C237" s="94"/>
      <c r="D237" s="95"/>
      <c r="E237" s="92"/>
      <c r="F237" s="92"/>
    </row>
    <row r="238" spans="1:6" x14ac:dyDescent="0.2">
      <c r="A238" s="92"/>
      <c r="B238" s="93"/>
      <c r="C238" s="94"/>
      <c r="D238" s="95"/>
      <c r="E238" s="92"/>
      <c r="F238" s="92"/>
    </row>
    <row r="239" spans="1:6" x14ac:dyDescent="0.2">
      <c r="A239" s="92"/>
      <c r="B239" s="93"/>
      <c r="C239" s="94"/>
      <c r="D239" s="95"/>
      <c r="E239" s="92"/>
      <c r="F239" s="92"/>
    </row>
    <row r="240" spans="1:6" x14ac:dyDescent="0.2">
      <c r="A240" s="92"/>
      <c r="B240" s="93"/>
      <c r="C240" s="94"/>
      <c r="D240" s="95"/>
      <c r="E240" s="92"/>
      <c r="F240" s="92"/>
    </row>
    <row r="241" spans="1:6" x14ac:dyDescent="0.2">
      <c r="A241" s="92"/>
      <c r="B241" s="93"/>
      <c r="C241" s="94"/>
      <c r="D241" s="95"/>
      <c r="E241" s="92"/>
      <c r="F241" s="92"/>
    </row>
    <row r="242" spans="1:6" x14ac:dyDescent="0.2">
      <c r="A242" s="92"/>
      <c r="B242" s="93"/>
      <c r="C242" s="94"/>
      <c r="D242" s="95"/>
      <c r="E242" s="92"/>
      <c r="F242" s="92"/>
    </row>
    <row r="243" spans="1:6" x14ac:dyDescent="0.2">
      <c r="A243" s="92"/>
      <c r="B243" s="93"/>
      <c r="C243" s="94"/>
      <c r="D243" s="95"/>
      <c r="E243" s="92"/>
      <c r="F243" s="92"/>
    </row>
    <row r="244" spans="1:6" x14ac:dyDescent="0.2">
      <c r="A244" s="92"/>
      <c r="B244" s="93"/>
      <c r="C244" s="94"/>
      <c r="D244" s="95"/>
      <c r="E244" s="92"/>
      <c r="F244" s="92"/>
    </row>
    <row r="245" spans="1:6" x14ac:dyDescent="0.2">
      <c r="A245" s="92"/>
      <c r="B245" s="93"/>
      <c r="C245" s="94"/>
      <c r="D245" s="95"/>
      <c r="E245" s="92"/>
      <c r="F245" s="92"/>
    </row>
    <row r="246" spans="1:6" x14ac:dyDescent="0.2">
      <c r="A246" s="92"/>
      <c r="B246" s="93"/>
      <c r="C246" s="94"/>
      <c r="D246" s="95"/>
      <c r="E246" s="92"/>
      <c r="F246" s="92"/>
    </row>
    <row r="247" spans="1:6" x14ac:dyDescent="0.2">
      <c r="A247" s="92"/>
      <c r="B247" s="93"/>
      <c r="C247" s="94"/>
      <c r="D247" s="95"/>
      <c r="E247" s="92"/>
      <c r="F247" s="92"/>
    </row>
    <row r="248" spans="1:6" x14ac:dyDescent="0.2">
      <c r="A248" s="92"/>
      <c r="B248" s="93"/>
      <c r="C248" s="94"/>
      <c r="D248" s="95"/>
      <c r="E248" s="92"/>
      <c r="F248" s="92"/>
    </row>
    <row r="249" spans="1:6" x14ac:dyDescent="0.2">
      <c r="A249" s="92"/>
      <c r="B249" s="93"/>
      <c r="C249" s="94"/>
      <c r="D249" s="95"/>
      <c r="E249" s="92"/>
      <c r="F249" s="92"/>
    </row>
    <row r="250" spans="1:6" x14ac:dyDescent="0.2">
      <c r="A250" s="92"/>
      <c r="B250" s="93"/>
      <c r="C250" s="94"/>
      <c r="D250" s="95"/>
      <c r="E250" s="92"/>
      <c r="F250" s="92"/>
    </row>
    <row r="251" spans="1:6" x14ac:dyDescent="0.2">
      <c r="A251" s="92"/>
      <c r="B251" s="93"/>
      <c r="C251" s="94"/>
      <c r="D251" s="95"/>
      <c r="E251" s="92"/>
      <c r="F251" s="92"/>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54"/>
  <sheetViews>
    <sheetView topLeftCell="A7" workbookViewId="0">
      <selection activeCell="K11" sqref="K11"/>
    </sheetView>
  </sheetViews>
  <sheetFormatPr defaultColWidth="9.140625" defaultRowHeight="12.75" x14ac:dyDescent="0.2"/>
  <cols>
    <col min="1" max="1" width="2.7109375" style="75" customWidth="1"/>
    <col min="2" max="2" width="12.42578125" style="84" customWidth="1"/>
    <col min="3" max="3" width="50.7109375" style="84" customWidth="1"/>
    <col min="4" max="5" width="25.7109375" style="84" customWidth="1"/>
    <col min="6" max="6" width="0.85546875" style="75" customWidth="1"/>
    <col min="7" max="7" width="2.7109375" style="75" customWidth="1"/>
    <col min="8" max="16384" width="9.140625" style="75"/>
  </cols>
  <sheetData>
    <row r="1" spans="1:7" x14ac:dyDescent="0.2">
      <c r="A1" s="166" t="s">
        <v>152</v>
      </c>
      <c r="B1" s="68" t="s">
        <v>9</v>
      </c>
      <c r="C1" s="68"/>
      <c r="D1" s="68"/>
      <c r="E1" s="68"/>
      <c r="F1" s="67"/>
      <c r="G1" s="67"/>
    </row>
    <row r="2" spans="1:7" ht="6" customHeight="1" x14ac:dyDescent="0.2">
      <c r="A2" s="67"/>
      <c r="B2" s="68"/>
      <c r="C2" s="68"/>
      <c r="D2" s="68"/>
      <c r="E2" s="68"/>
      <c r="F2" s="67"/>
      <c r="G2" s="67"/>
    </row>
    <row r="3" spans="1:7" x14ac:dyDescent="0.2">
      <c r="A3" s="67"/>
      <c r="B3" s="68" t="s">
        <v>6</v>
      </c>
      <c r="C3" s="289" t="s">
        <v>1</v>
      </c>
      <c r="D3" s="289"/>
      <c r="E3" s="289"/>
      <c r="F3" s="67"/>
      <c r="G3" s="67"/>
    </row>
    <row r="4" spans="1:7" ht="6" customHeight="1" x14ac:dyDescent="0.2">
      <c r="A4" s="67"/>
      <c r="B4" s="68"/>
      <c r="C4" s="68"/>
      <c r="D4" s="68"/>
      <c r="E4" s="68"/>
      <c r="F4" s="67"/>
      <c r="G4" s="67"/>
    </row>
    <row r="5" spans="1:7" ht="27" customHeight="1" x14ac:dyDescent="0.2">
      <c r="A5" s="67"/>
      <c r="B5" s="68" t="s">
        <v>7</v>
      </c>
      <c r="C5" s="290" t="s">
        <v>2</v>
      </c>
      <c r="D5" s="289"/>
      <c r="E5" s="289"/>
      <c r="F5" s="67"/>
      <c r="G5" s="67"/>
    </row>
    <row r="6" spans="1:7" x14ac:dyDescent="0.2">
      <c r="A6" s="67"/>
      <c r="B6" s="68"/>
      <c r="C6" s="68"/>
      <c r="D6" s="68"/>
      <c r="E6" s="68"/>
      <c r="F6" s="67"/>
      <c r="G6" s="67"/>
    </row>
    <row r="7" spans="1:7" x14ac:dyDescent="0.2">
      <c r="A7" s="71"/>
      <c r="B7" s="72" t="s">
        <v>4</v>
      </c>
      <c r="C7" s="72"/>
      <c r="D7" s="72"/>
      <c r="E7" s="72"/>
      <c r="F7" s="71"/>
      <c r="G7" s="71"/>
    </row>
    <row r="8" spans="1:7" ht="6" customHeight="1" x14ac:dyDescent="0.2">
      <c r="A8" s="71"/>
      <c r="B8" s="72"/>
      <c r="C8" s="72"/>
      <c r="D8" s="72"/>
      <c r="E8" s="72"/>
      <c r="F8" s="71"/>
      <c r="G8" s="71"/>
    </row>
    <row r="9" spans="1:7" x14ac:dyDescent="0.2">
      <c r="A9" s="71"/>
      <c r="B9" s="72" t="s">
        <v>6</v>
      </c>
      <c r="C9" s="289" t="s">
        <v>1</v>
      </c>
      <c r="D9" s="289"/>
      <c r="E9" s="289"/>
      <c r="F9" s="71"/>
      <c r="G9" s="71"/>
    </row>
    <row r="10" spans="1:7" ht="6" customHeight="1" x14ac:dyDescent="0.2">
      <c r="A10" s="71"/>
      <c r="B10" s="72"/>
      <c r="C10" s="72"/>
      <c r="D10" s="72"/>
      <c r="E10" s="72"/>
      <c r="F10" s="71"/>
      <c r="G10" s="71"/>
    </row>
    <row r="11" spans="1:7" ht="26.25" customHeight="1" x14ac:dyDescent="0.2">
      <c r="A11" s="71"/>
      <c r="B11" s="72" t="s">
        <v>7</v>
      </c>
      <c r="C11" s="290" t="s">
        <v>2</v>
      </c>
      <c r="D11" s="289"/>
      <c r="E11" s="289"/>
      <c r="F11" s="71"/>
      <c r="G11" s="71"/>
    </row>
    <row r="12" spans="1:7" x14ac:dyDescent="0.2">
      <c r="A12" s="71"/>
      <c r="B12" s="72"/>
      <c r="C12" s="72"/>
      <c r="D12" s="72"/>
      <c r="E12" s="72"/>
      <c r="F12" s="71"/>
      <c r="G12" s="71"/>
    </row>
    <row r="13" spans="1:7" x14ac:dyDescent="0.2">
      <c r="A13" s="73"/>
      <c r="B13" s="74" t="s">
        <v>5</v>
      </c>
      <c r="C13" s="74"/>
      <c r="D13" s="74"/>
      <c r="E13" s="74"/>
      <c r="F13" s="73"/>
      <c r="G13" s="73"/>
    </row>
    <row r="14" spans="1:7" ht="6" customHeight="1" x14ac:dyDescent="0.2">
      <c r="A14" s="73"/>
      <c r="B14" s="74"/>
      <c r="C14" s="74"/>
      <c r="D14" s="74"/>
      <c r="E14" s="74"/>
      <c r="F14" s="73"/>
      <c r="G14" s="73"/>
    </row>
    <row r="15" spans="1:7" x14ac:dyDescent="0.2">
      <c r="A15" s="73"/>
      <c r="B15" s="74" t="s">
        <v>6</v>
      </c>
      <c r="C15" s="289" t="s">
        <v>130</v>
      </c>
      <c r="D15" s="289"/>
      <c r="E15" s="289"/>
      <c r="F15" s="73"/>
      <c r="G15" s="73"/>
    </row>
    <row r="16" spans="1:7" x14ac:dyDescent="0.2">
      <c r="A16" s="73"/>
      <c r="B16" s="74"/>
      <c r="C16" s="74"/>
      <c r="D16" s="74"/>
      <c r="E16" s="74"/>
      <c r="F16" s="73"/>
      <c r="G16" s="73"/>
    </row>
    <row r="17" spans="1:7" x14ac:dyDescent="0.2">
      <c r="A17" s="168"/>
      <c r="B17" s="170" t="s">
        <v>158</v>
      </c>
      <c r="C17" s="169"/>
      <c r="D17" s="169"/>
      <c r="E17" s="169"/>
      <c r="F17" s="168"/>
      <c r="G17" s="168"/>
    </row>
    <row r="18" spans="1:7" ht="6" customHeight="1" x14ac:dyDescent="0.2">
      <c r="A18" s="168"/>
      <c r="B18" s="169"/>
      <c r="C18" s="169"/>
      <c r="D18" s="169"/>
      <c r="E18" s="169"/>
      <c r="F18" s="168"/>
      <c r="G18" s="168"/>
    </row>
    <row r="19" spans="1:7" x14ac:dyDescent="0.2">
      <c r="A19" s="168"/>
      <c r="B19" s="171" t="s">
        <v>159</v>
      </c>
      <c r="C19" s="287" t="s">
        <v>160</v>
      </c>
      <c r="D19" s="288"/>
      <c r="E19" s="288"/>
      <c r="F19" s="168"/>
      <c r="G19" s="168"/>
    </row>
    <row r="20" spans="1:7" x14ac:dyDescent="0.2">
      <c r="A20" s="168"/>
      <c r="B20" s="169"/>
      <c r="C20" s="169"/>
      <c r="D20" s="169"/>
      <c r="E20" s="169"/>
      <c r="F20" s="168"/>
      <c r="G20" s="168"/>
    </row>
    <row r="21" spans="1:7" x14ac:dyDescent="0.2">
      <c r="A21" s="69"/>
      <c r="B21" s="70" t="s">
        <v>3</v>
      </c>
      <c r="C21" s="70"/>
      <c r="D21" s="70"/>
      <c r="E21" s="70"/>
      <c r="F21" s="69"/>
      <c r="G21" s="69"/>
    </row>
    <row r="22" spans="1:7" ht="6" customHeight="1" x14ac:dyDescent="0.2">
      <c r="A22" s="69"/>
      <c r="B22" s="70"/>
      <c r="C22" s="70"/>
      <c r="D22" s="70"/>
      <c r="E22" s="70"/>
      <c r="F22" s="69"/>
      <c r="G22" s="69"/>
    </row>
    <row r="23" spans="1:7" x14ac:dyDescent="0.2">
      <c r="A23" s="69"/>
      <c r="B23" s="70" t="s">
        <v>153</v>
      </c>
      <c r="C23" s="85" t="s">
        <v>3271</v>
      </c>
      <c r="D23" s="70"/>
      <c r="E23" s="70"/>
      <c r="F23" s="69"/>
      <c r="G23" s="69"/>
    </row>
    <row r="24" spans="1:7" ht="6" customHeight="1" x14ac:dyDescent="0.2">
      <c r="A24" s="69"/>
      <c r="B24" s="70"/>
      <c r="C24" s="70"/>
      <c r="D24" s="70"/>
      <c r="E24" s="70"/>
      <c r="F24" s="69"/>
      <c r="G24" s="69"/>
    </row>
    <row r="25" spans="1:7" ht="6" customHeight="1" x14ac:dyDescent="0.2">
      <c r="A25" s="69"/>
      <c r="B25" s="83"/>
      <c r="C25" s="87"/>
      <c r="D25" s="87"/>
      <c r="E25" s="87"/>
      <c r="F25" s="81"/>
      <c r="G25" s="69"/>
    </row>
    <row r="26" spans="1:7" x14ac:dyDescent="0.2">
      <c r="A26" s="69"/>
      <c r="B26" s="77" t="s">
        <v>8</v>
      </c>
      <c r="C26" s="86" t="s">
        <v>82</v>
      </c>
      <c r="D26" s="167" t="s">
        <v>154</v>
      </c>
      <c r="E26" s="86"/>
      <c r="F26" s="76"/>
      <c r="G26" s="69"/>
    </row>
    <row r="27" spans="1:7" ht="6" customHeight="1" x14ac:dyDescent="0.2">
      <c r="A27" s="69"/>
      <c r="B27" s="77"/>
      <c r="C27" s="79"/>
      <c r="D27" s="79"/>
      <c r="E27" s="79"/>
      <c r="F27" s="76"/>
      <c r="G27" s="69"/>
    </row>
    <row r="28" spans="1:7" x14ac:dyDescent="0.2">
      <c r="A28" s="69"/>
      <c r="B28" s="77" t="s">
        <v>6</v>
      </c>
      <c r="C28" s="285" t="s">
        <v>155</v>
      </c>
      <c r="D28" s="285"/>
      <c r="E28" s="285"/>
      <c r="F28" s="76"/>
      <c r="G28" s="69"/>
    </row>
    <row r="29" spans="1:7" ht="6" customHeight="1" x14ac:dyDescent="0.2">
      <c r="A29" s="69"/>
      <c r="B29" s="77"/>
      <c r="C29" s="79"/>
      <c r="D29" s="79"/>
      <c r="E29" s="79"/>
      <c r="F29" s="76"/>
      <c r="G29" s="69"/>
    </row>
    <row r="30" spans="1:7" ht="27" customHeight="1" x14ac:dyDescent="0.2">
      <c r="A30" s="69"/>
      <c r="B30" s="77" t="s">
        <v>7</v>
      </c>
      <c r="C30" s="286" t="s">
        <v>156</v>
      </c>
      <c r="D30" s="285"/>
      <c r="E30" s="285"/>
      <c r="F30" s="76"/>
      <c r="G30" s="69"/>
    </row>
    <row r="31" spans="1:7" ht="6" customHeight="1" x14ac:dyDescent="0.2">
      <c r="A31" s="69"/>
      <c r="B31" s="77"/>
      <c r="C31" s="79"/>
      <c r="D31" s="79"/>
      <c r="E31" s="79"/>
      <c r="F31" s="76"/>
      <c r="G31" s="69"/>
    </row>
    <row r="32" spans="1:7" x14ac:dyDescent="0.2">
      <c r="A32" s="69"/>
      <c r="B32" s="77" t="s">
        <v>105</v>
      </c>
      <c r="C32" s="285" t="s">
        <v>157</v>
      </c>
      <c r="D32" s="285"/>
      <c r="E32" s="285"/>
      <c r="F32" s="76"/>
      <c r="G32" s="69"/>
    </row>
    <row r="33" spans="1:7" ht="6" customHeight="1" x14ac:dyDescent="0.2">
      <c r="A33" s="69"/>
      <c r="B33" s="78"/>
      <c r="C33" s="80"/>
      <c r="D33" s="80"/>
      <c r="E33" s="80"/>
      <c r="F33" s="82"/>
      <c r="G33" s="69"/>
    </row>
    <row r="34" spans="1:7" ht="6" customHeight="1" x14ac:dyDescent="0.2">
      <c r="A34" s="69"/>
      <c r="B34" s="70"/>
      <c r="C34" s="70"/>
      <c r="D34" s="70"/>
      <c r="E34" s="70"/>
      <c r="F34" s="69"/>
      <c r="G34" s="69"/>
    </row>
    <row r="35" spans="1:7" ht="6" customHeight="1" x14ac:dyDescent="0.2">
      <c r="A35" s="69"/>
      <c r="B35" s="83"/>
      <c r="C35" s="87"/>
      <c r="D35" s="87"/>
      <c r="E35" s="87"/>
      <c r="F35" s="81"/>
      <c r="G35" s="69"/>
    </row>
    <row r="36" spans="1:7" x14ac:dyDescent="0.2">
      <c r="A36" s="69"/>
      <c r="B36" s="77" t="s">
        <v>8</v>
      </c>
      <c r="C36" s="86" t="s">
        <v>81</v>
      </c>
      <c r="D36" s="167" t="s">
        <v>154</v>
      </c>
      <c r="E36" s="214" t="s">
        <v>3237</v>
      </c>
      <c r="F36" s="76"/>
      <c r="G36" s="69"/>
    </row>
    <row r="37" spans="1:7" ht="6" customHeight="1" x14ac:dyDescent="0.2">
      <c r="A37" s="69"/>
      <c r="B37" s="77"/>
      <c r="C37" s="79"/>
      <c r="D37" s="79"/>
      <c r="E37" s="79"/>
      <c r="F37" s="76"/>
      <c r="G37" s="69"/>
    </row>
    <row r="38" spans="1:7" ht="14.25" customHeight="1" x14ac:dyDescent="0.2">
      <c r="A38" s="69"/>
      <c r="B38" s="77" t="s">
        <v>6</v>
      </c>
      <c r="C38" s="286" t="s">
        <v>1742</v>
      </c>
      <c r="D38" s="285"/>
      <c r="E38" s="285"/>
      <c r="F38" s="76"/>
      <c r="G38" s="69"/>
    </row>
    <row r="39" spans="1:7" ht="6" customHeight="1" x14ac:dyDescent="0.2">
      <c r="A39" s="69"/>
      <c r="B39" s="77"/>
      <c r="C39" s="79"/>
      <c r="D39" s="79"/>
      <c r="E39" s="79"/>
      <c r="F39" s="76"/>
      <c r="G39" s="69"/>
    </row>
    <row r="40" spans="1:7" ht="36" customHeight="1" x14ac:dyDescent="0.2">
      <c r="A40" s="69"/>
      <c r="B40" s="77" t="s">
        <v>7</v>
      </c>
      <c r="C40" s="286" t="s">
        <v>1741</v>
      </c>
      <c r="D40" s="285"/>
      <c r="E40" s="285"/>
      <c r="F40" s="76"/>
      <c r="G40" s="69"/>
    </row>
    <row r="41" spans="1:7" ht="6" customHeight="1" x14ac:dyDescent="0.2">
      <c r="A41" s="69"/>
      <c r="B41" s="77"/>
      <c r="C41" s="79"/>
      <c r="D41" s="79"/>
      <c r="E41" s="79"/>
      <c r="F41" s="76"/>
      <c r="G41" s="69"/>
    </row>
    <row r="42" spans="1:7" ht="20.25" customHeight="1" x14ac:dyDescent="0.2">
      <c r="A42" s="69"/>
      <c r="B42" s="77" t="s">
        <v>105</v>
      </c>
      <c r="C42" s="286" t="s">
        <v>1743</v>
      </c>
      <c r="D42" s="285"/>
      <c r="E42" s="285"/>
      <c r="F42" s="76"/>
      <c r="G42" s="69"/>
    </row>
    <row r="43" spans="1:7" ht="6" customHeight="1" x14ac:dyDescent="0.2">
      <c r="A43" s="69"/>
      <c r="B43" s="78"/>
      <c r="C43" s="80"/>
      <c r="D43" s="80"/>
      <c r="E43" s="80"/>
      <c r="F43" s="82"/>
      <c r="G43" s="69"/>
    </row>
    <row r="44" spans="1:7" ht="6" customHeight="1" x14ac:dyDescent="0.2">
      <c r="A44" s="69"/>
      <c r="B44" s="70"/>
      <c r="C44" s="70"/>
      <c r="D44" s="70"/>
      <c r="E44" s="70"/>
      <c r="F44" s="69"/>
      <c r="G44" s="69"/>
    </row>
    <row r="45" spans="1:7" ht="6" customHeight="1" x14ac:dyDescent="0.2">
      <c r="A45" s="69"/>
      <c r="B45" s="83"/>
      <c r="C45" s="87"/>
      <c r="D45" s="87"/>
      <c r="E45" s="87"/>
      <c r="F45" s="81"/>
      <c r="G45" s="69"/>
    </row>
    <row r="46" spans="1:7" x14ac:dyDescent="0.2">
      <c r="A46" s="69"/>
      <c r="B46" s="77" t="s">
        <v>8</v>
      </c>
      <c r="C46" s="86" t="s">
        <v>0</v>
      </c>
      <c r="D46" s="167" t="s">
        <v>154</v>
      </c>
      <c r="E46" s="86" t="s">
        <v>3019</v>
      </c>
      <c r="F46" s="76"/>
      <c r="G46" s="69"/>
    </row>
    <row r="47" spans="1:7" ht="6" customHeight="1" x14ac:dyDescent="0.2">
      <c r="A47" s="69"/>
      <c r="B47" s="77"/>
      <c r="C47" s="79"/>
      <c r="D47" s="79"/>
      <c r="E47" s="79"/>
      <c r="F47" s="76"/>
      <c r="G47" s="69"/>
    </row>
    <row r="48" spans="1:7" ht="18" customHeight="1" x14ac:dyDescent="0.2">
      <c r="A48" s="69"/>
      <c r="B48" s="77" t="s">
        <v>6</v>
      </c>
      <c r="C48" s="286" t="s">
        <v>3018</v>
      </c>
      <c r="D48" s="285"/>
      <c r="E48" s="285"/>
      <c r="F48" s="76"/>
      <c r="G48" s="69"/>
    </row>
    <row r="49" spans="1:7" ht="6" customHeight="1" x14ac:dyDescent="0.2">
      <c r="A49" s="69"/>
      <c r="B49" s="77"/>
      <c r="C49" s="79"/>
      <c r="D49" s="79"/>
      <c r="E49" s="79"/>
      <c r="F49" s="76"/>
      <c r="G49" s="69"/>
    </row>
    <row r="50" spans="1:7" ht="52.9" customHeight="1" x14ac:dyDescent="0.2">
      <c r="A50" s="69"/>
      <c r="B50" s="77" t="s">
        <v>7</v>
      </c>
      <c r="C50" s="284" t="s">
        <v>3022</v>
      </c>
      <c r="D50" s="285"/>
      <c r="E50" s="285"/>
      <c r="F50" s="76"/>
      <c r="G50" s="69"/>
    </row>
    <row r="51" spans="1:7" ht="6" customHeight="1" x14ac:dyDescent="0.2">
      <c r="A51" s="69"/>
      <c r="B51" s="77"/>
      <c r="C51" s="79"/>
      <c r="D51" s="79"/>
      <c r="E51" s="79"/>
      <c r="F51" s="76"/>
      <c r="G51" s="69"/>
    </row>
    <row r="52" spans="1:7" ht="16.5" customHeight="1" x14ac:dyDescent="0.2">
      <c r="A52" s="69"/>
      <c r="B52" s="77" t="s">
        <v>105</v>
      </c>
      <c r="C52" s="286" t="s">
        <v>3017</v>
      </c>
      <c r="D52" s="285"/>
      <c r="E52" s="285"/>
      <c r="F52" s="76"/>
      <c r="G52" s="69"/>
    </row>
    <row r="53" spans="1:7" ht="6" customHeight="1" x14ac:dyDescent="0.2">
      <c r="A53" s="69"/>
      <c r="B53" s="78"/>
      <c r="C53" s="80"/>
      <c r="D53" s="80"/>
      <c r="E53" s="80"/>
      <c r="F53" s="82"/>
      <c r="G53" s="69"/>
    </row>
    <row r="54" spans="1:7" ht="6" customHeight="1" x14ac:dyDescent="0.2">
      <c r="A54" s="69"/>
      <c r="B54" s="70"/>
      <c r="C54" s="70"/>
      <c r="D54" s="70"/>
      <c r="E54" s="70"/>
      <c r="F54" s="69"/>
      <c r="G54" s="69"/>
    </row>
  </sheetData>
  <mergeCells count="15">
    <mergeCell ref="C28:E28"/>
    <mergeCell ref="C19:E19"/>
    <mergeCell ref="C3:E3"/>
    <mergeCell ref="C5:E5"/>
    <mergeCell ref="C9:E9"/>
    <mergeCell ref="C11:E11"/>
    <mergeCell ref="C15:E15"/>
    <mergeCell ref="C50:E50"/>
    <mergeCell ref="C52:E52"/>
    <mergeCell ref="C30:E30"/>
    <mergeCell ref="C32:E32"/>
    <mergeCell ref="C38:E38"/>
    <mergeCell ref="C40:E40"/>
    <mergeCell ref="C42:E42"/>
    <mergeCell ref="C48:E48"/>
  </mergeCell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55" t="s">
        <v>121</v>
      </c>
      <c r="C1" s="55" t="s">
        <v>120</v>
      </c>
      <c r="D1" s="55" t="s">
        <v>122</v>
      </c>
    </row>
    <row r="2" spans="2:4" ht="15.75" x14ac:dyDescent="0.2">
      <c r="B2" s="56" t="s">
        <v>118</v>
      </c>
      <c r="C2" s="56" t="s">
        <v>123</v>
      </c>
      <c r="D2" s="57" t="s">
        <v>78</v>
      </c>
    </row>
    <row r="3" spans="2:4" ht="15.75" x14ac:dyDescent="0.2">
      <c r="B3" s="56"/>
      <c r="C3" s="56"/>
      <c r="D3" s="57"/>
    </row>
    <row r="4" spans="2:4" ht="47.25" x14ac:dyDescent="0.2">
      <c r="B4" s="56"/>
      <c r="C4" s="56" t="s">
        <v>125</v>
      </c>
      <c r="D4" s="57" t="s">
        <v>126</v>
      </c>
    </row>
    <row r="5" spans="2:4" ht="31.5" x14ac:dyDescent="0.2">
      <c r="B5" s="56"/>
      <c r="C5" s="56" t="s">
        <v>124</v>
      </c>
      <c r="D5" s="57" t="s">
        <v>119</v>
      </c>
    </row>
    <row r="6" spans="2:4" ht="31.5" x14ac:dyDescent="0.2">
      <c r="B6" s="56"/>
      <c r="C6" s="56" t="s">
        <v>127</v>
      </c>
      <c r="D6" s="57" t="s">
        <v>103</v>
      </c>
    </row>
  </sheetData>
  <autoFilter ref="B1:D2" xr:uid="{00000000-0009-0000-0000-000008000000}"/>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A205"/>
  <sheetViews>
    <sheetView workbookViewId="0"/>
  </sheetViews>
  <sheetFormatPr defaultRowHeight="12.75" x14ac:dyDescent="0.2"/>
  <cols>
    <col min="1" max="1" width="51.140625" bestFit="1" customWidth="1"/>
    <col min="2" max="2" width="49.7109375" customWidth="1"/>
  </cols>
  <sheetData>
    <row r="1" spans="1:1" x14ac:dyDescent="0.2">
      <c r="A1" t="s">
        <v>220</v>
      </c>
    </row>
    <row r="2" spans="1:1" x14ac:dyDescent="0.2">
      <c r="A2" t="s">
        <v>221</v>
      </c>
    </row>
    <row r="3" spans="1:1" x14ac:dyDescent="0.2">
      <c r="A3" t="s">
        <v>222</v>
      </c>
    </row>
    <row r="4" spans="1:1" x14ac:dyDescent="0.2">
      <c r="A4" t="s">
        <v>223</v>
      </c>
    </row>
    <row r="5" spans="1:1" x14ac:dyDescent="0.2">
      <c r="A5" t="s">
        <v>224</v>
      </c>
    </row>
    <row r="6" spans="1:1" x14ac:dyDescent="0.2">
      <c r="A6" t="s">
        <v>225</v>
      </c>
    </row>
    <row r="7" spans="1:1" x14ac:dyDescent="0.2">
      <c r="A7" t="s">
        <v>3277</v>
      </c>
    </row>
    <row r="8" spans="1:1" x14ac:dyDescent="0.2">
      <c r="A8" t="s">
        <v>226</v>
      </c>
    </row>
    <row r="9" spans="1:1" x14ac:dyDescent="0.2">
      <c r="A9" t="s">
        <v>3119</v>
      </c>
    </row>
    <row r="10" spans="1:1" x14ac:dyDescent="0.2">
      <c r="A10" t="s">
        <v>227</v>
      </c>
    </row>
    <row r="11" spans="1:1" x14ac:dyDescent="0.2">
      <c r="A11" t="s">
        <v>2367</v>
      </c>
    </row>
    <row r="12" spans="1:1" x14ac:dyDescent="0.2">
      <c r="A12" t="s">
        <v>2368</v>
      </c>
    </row>
    <row r="13" spans="1:1" x14ac:dyDescent="0.2">
      <c r="A13" t="s">
        <v>2369</v>
      </c>
    </row>
    <row r="14" spans="1:1" x14ac:dyDescent="0.2">
      <c r="A14" t="s">
        <v>3100</v>
      </c>
    </row>
    <row r="15" spans="1:1" x14ac:dyDescent="0.2">
      <c r="A15" t="s">
        <v>1969</v>
      </c>
    </row>
    <row r="16" spans="1:1" x14ac:dyDescent="0.2">
      <c r="A16" t="s">
        <v>3101</v>
      </c>
    </row>
    <row r="17" spans="1:1" x14ac:dyDescent="0.2">
      <c r="A17" t="s">
        <v>1970</v>
      </c>
    </row>
    <row r="18" spans="1:1" x14ac:dyDescent="0.2">
      <c r="A18" t="s">
        <v>3102</v>
      </c>
    </row>
    <row r="19" spans="1:1" x14ac:dyDescent="0.2">
      <c r="A19" t="s">
        <v>1967</v>
      </c>
    </row>
    <row r="20" spans="1:1" x14ac:dyDescent="0.2">
      <c r="A20" t="s">
        <v>2574</v>
      </c>
    </row>
    <row r="21" spans="1:1" x14ac:dyDescent="0.2">
      <c r="A21" t="s">
        <v>2481</v>
      </c>
    </row>
    <row r="22" spans="1:1" x14ac:dyDescent="0.2">
      <c r="A22" t="s">
        <v>2568</v>
      </c>
    </row>
    <row r="23" spans="1:1" x14ac:dyDescent="0.2">
      <c r="A23" t="s">
        <v>2482</v>
      </c>
    </row>
    <row r="24" spans="1:1" x14ac:dyDescent="0.2">
      <c r="A24" t="s">
        <v>2536</v>
      </c>
    </row>
    <row r="25" spans="1:1" x14ac:dyDescent="0.2">
      <c r="A25" t="s">
        <v>2554</v>
      </c>
    </row>
    <row r="26" spans="1:1" x14ac:dyDescent="0.2">
      <c r="A26" t="s">
        <v>2555</v>
      </c>
    </row>
    <row r="27" spans="1:1" x14ac:dyDescent="0.2">
      <c r="A27" t="s">
        <v>2552</v>
      </c>
    </row>
    <row r="28" spans="1:1" x14ac:dyDescent="0.2">
      <c r="A28" t="s">
        <v>2564</v>
      </c>
    </row>
    <row r="29" spans="1:1" x14ac:dyDescent="0.2">
      <c r="A29" t="s">
        <v>2565</v>
      </c>
    </row>
    <row r="30" spans="1:1" x14ac:dyDescent="0.2">
      <c r="A30" t="s">
        <v>2583</v>
      </c>
    </row>
    <row r="31" spans="1:1" x14ac:dyDescent="0.2">
      <c r="A31" t="s">
        <v>3281</v>
      </c>
    </row>
    <row r="32" spans="1:1" x14ac:dyDescent="0.2">
      <c r="A32" t="s">
        <v>3115</v>
      </c>
    </row>
    <row r="33" spans="1:1" x14ac:dyDescent="0.2">
      <c r="A33" t="s">
        <v>3103</v>
      </c>
    </row>
    <row r="34" spans="1:1" x14ac:dyDescent="0.2">
      <c r="A34" t="s">
        <v>3104</v>
      </c>
    </row>
    <row r="35" spans="1:1" x14ac:dyDescent="0.2">
      <c r="A35" t="s">
        <v>3121</v>
      </c>
    </row>
    <row r="36" spans="1:1" x14ac:dyDescent="0.2">
      <c r="A36" t="s">
        <v>3272</v>
      </c>
    </row>
    <row r="37" spans="1:1" x14ac:dyDescent="0.2">
      <c r="A37" t="s">
        <v>3273</v>
      </c>
    </row>
    <row r="38" spans="1:1" x14ac:dyDescent="0.2">
      <c r="A38" t="s">
        <v>3173</v>
      </c>
    </row>
    <row r="39" spans="1:1" x14ac:dyDescent="0.2">
      <c r="A39" t="s">
        <v>3250</v>
      </c>
    </row>
    <row r="40" spans="1:1" x14ac:dyDescent="0.2">
      <c r="A40" t="s">
        <v>3249</v>
      </c>
    </row>
    <row r="41" spans="1:1" x14ac:dyDescent="0.2">
      <c r="A41" t="s">
        <v>3236</v>
      </c>
    </row>
    <row r="42" spans="1:1" x14ac:dyDescent="0.2">
      <c r="A42" t="s">
        <v>3276</v>
      </c>
    </row>
    <row r="43" spans="1:1" x14ac:dyDescent="0.2">
      <c r="A43" t="s">
        <v>3278</v>
      </c>
    </row>
    <row r="44" spans="1:1" x14ac:dyDescent="0.2">
      <c r="A44" t="s">
        <v>3282</v>
      </c>
    </row>
    <row r="45" spans="1:1" x14ac:dyDescent="0.2">
      <c r="A45" t="s">
        <v>3458</v>
      </c>
    </row>
    <row r="46" spans="1:1" x14ac:dyDescent="0.2">
      <c r="A46" t="s">
        <v>3698</v>
      </c>
    </row>
    <row r="47" spans="1:1" x14ac:dyDescent="0.2">
      <c r="A47" t="s">
        <v>3568</v>
      </c>
    </row>
    <row r="48" spans="1:1" x14ac:dyDescent="0.2">
      <c r="A48" t="s">
        <v>3699</v>
      </c>
    </row>
    <row r="49" spans="1:1" x14ac:dyDescent="0.2">
      <c r="A49" t="s">
        <v>3712</v>
      </c>
    </row>
    <row r="50" spans="1:1" x14ac:dyDescent="0.2">
      <c r="A50" t="s">
        <v>2532</v>
      </c>
    </row>
    <row r="51" spans="1:1" x14ac:dyDescent="0.2">
      <c r="A51" t="s">
        <v>3111</v>
      </c>
    </row>
    <row r="52" spans="1:1" x14ac:dyDescent="0.2">
      <c r="A52" t="s">
        <v>2584</v>
      </c>
    </row>
    <row r="53" spans="1:1" x14ac:dyDescent="0.2">
      <c r="A53" t="s">
        <v>2535</v>
      </c>
    </row>
    <row r="54" spans="1:1" x14ac:dyDescent="0.2">
      <c r="A54" t="s">
        <v>2537</v>
      </c>
    </row>
    <row r="55" spans="1:1" x14ac:dyDescent="0.2">
      <c r="A55" t="s">
        <v>2569</v>
      </c>
    </row>
    <row r="56" spans="1:1" x14ac:dyDescent="0.2">
      <c r="A56" t="s">
        <v>3114</v>
      </c>
    </row>
    <row r="57" spans="1:1" x14ac:dyDescent="0.2">
      <c r="A57" t="s">
        <v>3117</v>
      </c>
    </row>
    <row r="58" spans="1:1" x14ac:dyDescent="0.2">
      <c r="A58" t="s">
        <v>2889</v>
      </c>
    </row>
    <row r="59" spans="1:1" x14ac:dyDescent="0.2">
      <c r="A59" t="s">
        <v>2575</v>
      </c>
    </row>
    <row r="60" spans="1:1" x14ac:dyDescent="0.2">
      <c r="A60" t="s">
        <v>2185</v>
      </c>
    </row>
    <row r="61" spans="1:1" x14ac:dyDescent="0.2">
      <c r="A61" t="s">
        <v>2483</v>
      </c>
    </row>
    <row r="62" spans="1:1" x14ac:dyDescent="0.2">
      <c r="A62" t="s">
        <v>3701</v>
      </c>
    </row>
    <row r="63" spans="1:1" x14ac:dyDescent="0.2">
      <c r="A63" t="s">
        <v>2484</v>
      </c>
    </row>
    <row r="64" spans="1:1" x14ac:dyDescent="0.2">
      <c r="A64" t="s">
        <v>2525</v>
      </c>
    </row>
    <row r="65" spans="1:1" x14ac:dyDescent="0.2">
      <c r="A65" t="s">
        <v>2890</v>
      </c>
    </row>
    <row r="66" spans="1:1" x14ac:dyDescent="0.2">
      <c r="A66" t="s">
        <v>3099</v>
      </c>
    </row>
    <row r="67" spans="1:1" x14ac:dyDescent="0.2">
      <c r="A67" t="s">
        <v>2526</v>
      </c>
    </row>
    <row r="68" spans="1:1" x14ac:dyDescent="0.2">
      <c r="A68" t="s">
        <v>2485</v>
      </c>
    </row>
    <row r="69" spans="1:1" x14ac:dyDescent="0.2">
      <c r="A69" t="s">
        <v>2486</v>
      </c>
    </row>
    <row r="70" spans="1:1" x14ac:dyDescent="0.2">
      <c r="A70" t="s">
        <v>2495</v>
      </c>
    </row>
    <row r="71" spans="1:1" x14ac:dyDescent="0.2">
      <c r="A71" t="s">
        <v>2578</v>
      </c>
    </row>
    <row r="72" spans="1:1" x14ac:dyDescent="0.2">
      <c r="A72" t="s">
        <v>2487</v>
      </c>
    </row>
    <row r="73" spans="1:1" x14ac:dyDescent="0.2">
      <c r="A73" t="s">
        <v>2533</v>
      </c>
    </row>
    <row r="74" spans="1:1" x14ac:dyDescent="0.2">
      <c r="A74" t="s">
        <v>2577</v>
      </c>
    </row>
    <row r="75" spans="1:1" x14ac:dyDescent="0.2">
      <c r="A75" t="s">
        <v>2549</v>
      </c>
    </row>
    <row r="76" spans="1:1" x14ac:dyDescent="0.2">
      <c r="A76" t="s">
        <v>2550</v>
      </c>
    </row>
    <row r="77" spans="1:1" x14ac:dyDescent="0.2">
      <c r="A77" t="s">
        <v>2580</v>
      </c>
    </row>
    <row r="78" spans="1:1" x14ac:dyDescent="0.2">
      <c r="A78" t="s">
        <v>2553</v>
      </c>
    </row>
    <row r="79" spans="1:1" x14ac:dyDescent="0.2">
      <c r="A79" t="s">
        <v>2579</v>
      </c>
    </row>
    <row r="80" spans="1:1" x14ac:dyDescent="0.2">
      <c r="A80" t="s">
        <v>2527</v>
      </c>
    </row>
    <row r="81" spans="1:1" x14ac:dyDescent="0.2">
      <c r="A81" t="s">
        <v>2576</v>
      </c>
    </row>
    <row r="82" spans="1:1" x14ac:dyDescent="0.2">
      <c r="A82" t="s">
        <v>2581</v>
      </c>
    </row>
    <row r="83" spans="1:1" x14ac:dyDescent="0.2">
      <c r="A83" t="s">
        <v>2582</v>
      </c>
    </row>
    <row r="84" spans="1:1" x14ac:dyDescent="0.2">
      <c r="A84" t="s">
        <v>2534</v>
      </c>
    </row>
    <row r="85" spans="1:1" x14ac:dyDescent="0.2">
      <c r="A85" t="s">
        <v>3116</v>
      </c>
    </row>
    <row r="86" spans="1:1" x14ac:dyDescent="0.2">
      <c r="A86" t="s">
        <v>3122</v>
      </c>
    </row>
    <row r="87" spans="1:1" x14ac:dyDescent="0.2">
      <c r="A87" t="s">
        <v>3112</v>
      </c>
    </row>
    <row r="88" spans="1:1" x14ac:dyDescent="0.2">
      <c r="A88" t="s">
        <v>3283</v>
      </c>
    </row>
    <row r="89" spans="1:1" x14ac:dyDescent="0.2">
      <c r="A89" t="s">
        <v>162</v>
      </c>
    </row>
    <row r="90" spans="1:1" x14ac:dyDescent="0.2">
      <c r="A90" t="s">
        <v>163</v>
      </c>
    </row>
    <row r="91" spans="1:1" x14ac:dyDescent="0.2">
      <c r="A91" t="s">
        <v>3284</v>
      </c>
    </row>
    <row r="92" spans="1:1" x14ac:dyDescent="0.2">
      <c r="A92" t="s">
        <v>164</v>
      </c>
    </row>
    <row r="93" spans="1:1" x14ac:dyDescent="0.2">
      <c r="A93" t="s">
        <v>165</v>
      </c>
    </row>
    <row r="94" spans="1:1" x14ac:dyDescent="0.2">
      <c r="A94" t="s">
        <v>166</v>
      </c>
    </row>
    <row r="95" spans="1:1" x14ac:dyDescent="0.2">
      <c r="A95" t="s">
        <v>228</v>
      </c>
    </row>
    <row r="96" spans="1:1" x14ac:dyDescent="0.2">
      <c r="A96" t="s">
        <v>167</v>
      </c>
    </row>
    <row r="97" spans="1:1" x14ac:dyDescent="0.2">
      <c r="A97" t="s">
        <v>168</v>
      </c>
    </row>
    <row r="98" spans="1:1" x14ac:dyDescent="0.2">
      <c r="A98" t="s">
        <v>169</v>
      </c>
    </row>
    <row r="99" spans="1:1" x14ac:dyDescent="0.2">
      <c r="A99" t="s">
        <v>1966</v>
      </c>
    </row>
    <row r="100" spans="1:1" x14ac:dyDescent="0.2">
      <c r="A100" t="s">
        <v>170</v>
      </c>
    </row>
    <row r="101" spans="1:1" x14ac:dyDescent="0.2">
      <c r="A101" t="s">
        <v>171</v>
      </c>
    </row>
    <row r="102" spans="1:1" x14ac:dyDescent="0.2">
      <c r="A102" t="s">
        <v>172</v>
      </c>
    </row>
    <row r="103" spans="1:1" x14ac:dyDescent="0.2">
      <c r="A103" t="s">
        <v>3105</v>
      </c>
    </row>
    <row r="104" spans="1:1" x14ac:dyDescent="0.2">
      <c r="A104" t="s">
        <v>229</v>
      </c>
    </row>
    <row r="105" spans="1:1" x14ac:dyDescent="0.2">
      <c r="A105" t="s">
        <v>3106</v>
      </c>
    </row>
    <row r="106" spans="1:1" x14ac:dyDescent="0.2">
      <c r="A106" t="s">
        <v>173</v>
      </c>
    </row>
    <row r="107" spans="1:1" x14ac:dyDescent="0.2">
      <c r="A107" t="s">
        <v>174</v>
      </c>
    </row>
    <row r="108" spans="1:1" x14ac:dyDescent="0.2">
      <c r="A108" t="s">
        <v>175</v>
      </c>
    </row>
    <row r="109" spans="1:1" x14ac:dyDescent="0.2">
      <c r="A109" t="s">
        <v>2126</v>
      </c>
    </row>
    <row r="110" spans="1:1" x14ac:dyDescent="0.2">
      <c r="A110" t="s">
        <v>2488</v>
      </c>
    </row>
    <row r="111" spans="1:1" x14ac:dyDescent="0.2">
      <c r="A111" t="s">
        <v>177</v>
      </c>
    </row>
    <row r="112" spans="1:1" x14ac:dyDescent="0.2">
      <c r="A112" t="s">
        <v>178</v>
      </c>
    </row>
    <row r="113" spans="1:1" x14ac:dyDescent="0.2">
      <c r="A113" t="s">
        <v>230</v>
      </c>
    </row>
    <row r="114" spans="1:1" x14ac:dyDescent="0.2">
      <c r="A114" t="s">
        <v>179</v>
      </c>
    </row>
    <row r="115" spans="1:1" x14ac:dyDescent="0.2">
      <c r="A115" t="s">
        <v>180</v>
      </c>
    </row>
    <row r="116" spans="1:1" x14ac:dyDescent="0.2">
      <c r="A116" t="s">
        <v>181</v>
      </c>
    </row>
    <row r="117" spans="1:1" x14ac:dyDescent="0.2">
      <c r="A117" t="s">
        <v>2127</v>
      </c>
    </row>
    <row r="118" spans="1:1" x14ac:dyDescent="0.2">
      <c r="A118" t="s">
        <v>182</v>
      </c>
    </row>
    <row r="119" spans="1:1" x14ac:dyDescent="0.2">
      <c r="A119" t="s">
        <v>183</v>
      </c>
    </row>
    <row r="120" spans="1:1" x14ac:dyDescent="0.2">
      <c r="A120" t="s">
        <v>2489</v>
      </c>
    </row>
    <row r="121" spans="1:1" x14ac:dyDescent="0.2">
      <c r="A121" t="s">
        <v>231</v>
      </c>
    </row>
    <row r="122" spans="1:1" x14ac:dyDescent="0.2">
      <c r="A122" t="s">
        <v>184</v>
      </c>
    </row>
    <row r="123" spans="1:1" x14ac:dyDescent="0.2">
      <c r="A123" t="s">
        <v>185</v>
      </c>
    </row>
    <row r="124" spans="1:1" x14ac:dyDescent="0.2">
      <c r="A124" t="s">
        <v>232</v>
      </c>
    </row>
    <row r="125" spans="1:1" x14ac:dyDescent="0.2">
      <c r="A125" t="s">
        <v>186</v>
      </c>
    </row>
    <row r="126" spans="1:1" x14ac:dyDescent="0.2">
      <c r="A126" t="s">
        <v>233</v>
      </c>
    </row>
    <row r="127" spans="1:1" x14ac:dyDescent="0.2">
      <c r="A127" t="s">
        <v>234</v>
      </c>
    </row>
    <row r="128" spans="1:1" x14ac:dyDescent="0.2">
      <c r="A128" t="s">
        <v>187</v>
      </c>
    </row>
    <row r="129" spans="1:1" x14ac:dyDescent="0.2">
      <c r="A129" t="s">
        <v>235</v>
      </c>
    </row>
    <row r="130" spans="1:1" x14ac:dyDescent="0.2">
      <c r="A130" t="s">
        <v>236</v>
      </c>
    </row>
    <row r="131" spans="1:1" x14ac:dyDescent="0.2">
      <c r="A131" t="s">
        <v>237</v>
      </c>
    </row>
    <row r="132" spans="1:1" x14ac:dyDescent="0.2">
      <c r="A132" t="s">
        <v>238</v>
      </c>
    </row>
    <row r="133" spans="1:1" x14ac:dyDescent="0.2">
      <c r="A133" t="s">
        <v>239</v>
      </c>
    </row>
    <row r="134" spans="1:1" x14ac:dyDescent="0.2">
      <c r="A134" t="s">
        <v>188</v>
      </c>
    </row>
    <row r="135" spans="1:1" x14ac:dyDescent="0.2">
      <c r="A135" t="s">
        <v>189</v>
      </c>
    </row>
    <row r="136" spans="1:1" x14ac:dyDescent="0.2">
      <c r="A136" t="s">
        <v>190</v>
      </c>
    </row>
    <row r="137" spans="1:1" x14ac:dyDescent="0.2">
      <c r="A137" t="s">
        <v>191</v>
      </c>
    </row>
    <row r="138" spans="1:1" x14ac:dyDescent="0.2">
      <c r="A138" t="s">
        <v>2538</v>
      </c>
    </row>
    <row r="139" spans="1:1" x14ac:dyDescent="0.2">
      <c r="A139" t="s">
        <v>192</v>
      </c>
    </row>
    <row r="140" spans="1:1" x14ac:dyDescent="0.2">
      <c r="A140" t="s">
        <v>193</v>
      </c>
    </row>
    <row r="141" spans="1:1" x14ac:dyDescent="0.2">
      <c r="A141" t="s">
        <v>194</v>
      </c>
    </row>
    <row r="142" spans="1:1" x14ac:dyDescent="0.2">
      <c r="A142" t="s">
        <v>195</v>
      </c>
    </row>
    <row r="143" spans="1:1" x14ac:dyDescent="0.2">
      <c r="A143" t="s">
        <v>196</v>
      </c>
    </row>
    <row r="144" spans="1:1" x14ac:dyDescent="0.2">
      <c r="A144" t="s">
        <v>197</v>
      </c>
    </row>
    <row r="145" spans="1:1" x14ac:dyDescent="0.2">
      <c r="A145" t="s">
        <v>198</v>
      </c>
    </row>
    <row r="146" spans="1:1" x14ac:dyDescent="0.2">
      <c r="A146" t="s">
        <v>1971</v>
      </c>
    </row>
    <row r="147" spans="1:1" x14ac:dyDescent="0.2">
      <c r="A147" t="s">
        <v>2370</v>
      </c>
    </row>
    <row r="148" spans="1:1" x14ac:dyDescent="0.2">
      <c r="A148" t="s">
        <v>199</v>
      </c>
    </row>
    <row r="149" spans="1:1" x14ac:dyDescent="0.2">
      <c r="A149" t="s">
        <v>200</v>
      </c>
    </row>
    <row r="150" spans="1:1" x14ac:dyDescent="0.2">
      <c r="A150" t="s">
        <v>201</v>
      </c>
    </row>
    <row r="151" spans="1:1" x14ac:dyDescent="0.2">
      <c r="A151" t="s">
        <v>202</v>
      </c>
    </row>
    <row r="152" spans="1:1" x14ac:dyDescent="0.2">
      <c r="A152" t="s">
        <v>203</v>
      </c>
    </row>
    <row r="153" spans="1:1" x14ac:dyDescent="0.2">
      <c r="A153" t="s">
        <v>204</v>
      </c>
    </row>
    <row r="154" spans="1:1" x14ac:dyDescent="0.2">
      <c r="A154" t="s">
        <v>205</v>
      </c>
    </row>
    <row r="155" spans="1:1" x14ac:dyDescent="0.2">
      <c r="A155" t="s">
        <v>206</v>
      </c>
    </row>
    <row r="156" spans="1:1" x14ac:dyDescent="0.2">
      <c r="A156" t="s">
        <v>207</v>
      </c>
    </row>
    <row r="157" spans="1:1" x14ac:dyDescent="0.2">
      <c r="A157" t="s">
        <v>208</v>
      </c>
    </row>
    <row r="158" spans="1:1" x14ac:dyDescent="0.2">
      <c r="A158" t="s">
        <v>3285</v>
      </c>
    </row>
    <row r="159" spans="1:1" x14ac:dyDescent="0.2">
      <c r="A159" t="s">
        <v>209</v>
      </c>
    </row>
    <row r="160" spans="1:1" x14ac:dyDescent="0.2">
      <c r="A160" t="s">
        <v>3120</v>
      </c>
    </row>
    <row r="161" spans="1:1" x14ac:dyDescent="0.2">
      <c r="A161" t="s">
        <v>210</v>
      </c>
    </row>
    <row r="162" spans="1:1" x14ac:dyDescent="0.2">
      <c r="A162" t="s">
        <v>211</v>
      </c>
    </row>
    <row r="163" spans="1:1" x14ac:dyDescent="0.2">
      <c r="A163" t="s">
        <v>240</v>
      </c>
    </row>
    <row r="164" spans="1:1" x14ac:dyDescent="0.2">
      <c r="A164" t="s">
        <v>212</v>
      </c>
    </row>
    <row r="165" spans="1:1" x14ac:dyDescent="0.2">
      <c r="A165" t="s">
        <v>213</v>
      </c>
    </row>
    <row r="166" spans="1:1" x14ac:dyDescent="0.2">
      <c r="A166" t="s">
        <v>214</v>
      </c>
    </row>
    <row r="167" spans="1:1" x14ac:dyDescent="0.2">
      <c r="A167" t="s">
        <v>241</v>
      </c>
    </row>
    <row r="168" spans="1:1" x14ac:dyDescent="0.2">
      <c r="A168" t="s">
        <v>215</v>
      </c>
    </row>
    <row r="169" spans="1:1" x14ac:dyDescent="0.2">
      <c r="A169" t="s">
        <v>216</v>
      </c>
    </row>
    <row r="170" spans="1:1" x14ac:dyDescent="0.2">
      <c r="A170" t="s">
        <v>217</v>
      </c>
    </row>
    <row r="171" spans="1:1" x14ac:dyDescent="0.2">
      <c r="A171" t="s">
        <v>242</v>
      </c>
    </row>
    <row r="172" spans="1:1" x14ac:dyDescent="0.2">
      <c r="A172" t="s">
        <v>3107</v>
      </c>
    </row>
    <row r="173" spans="1:1" x14ac:dyDescent="0.2">
      <c r="A173" t="s">
        <v>243</v>
      </c>
    </row>
    <row r="174" spans="1:1" x14ac:dyDescent="0.2">
      <c r="A174" t="s">
        <v>2490</v>
      </c>
    </row>
    <row r="175" spans="1:1" x14ac:dyDescent="0.2">
      <c r="A175" t="s">
        <v>244</v>
      </c>
    </row>
    <row r="176" spans="1:1" x14ac:dyDescent="0.2">
      <c r="A176" t="s">
        <v>3286</v>
      </c>
    </row>
    <row r="177" spans="1:1" x14ac:dyDescent="0.2">
      <c r="A177" t="s">
        <v>3287</v>
      </c>
    </row>
    <row r="178" spans="1:1" x14ac:dyDescent="0.2">
      <c r="A178" t="s">
        <v>245</v>
      </c>
    </row>
    <row r="179" spans="1:1" x14ac:dyDescent="0.2">
      <c r="A179" t="s">
        <v>3288</v>
      </c>
    </row>
    <row r="180" spans="1:1" x14ac:dyDescent="0.2">
      <c r="A180" t="s">
        <v>3289</v>
      </c>
    </row>
    <row r="181" spans="1:1" x14ac:dyDescent="0.2">
      <c r="A181" t="s">
        <v>246</v>
      </c>
    </row>
    <row r="182" spans="1:1" x14ac:dyDescent="0.2">
      <c r="A182" t="s">
        <v>247</v>
      </c>
    </row>
    <row r="183" spans="1:1" x14ac:dyDescent="0.2">
      <c r="A183" t="s">
        <v>248</v>
      </c>
    </row>
    <row r="184" spans="1:1" x14ac:dyDescent="0.2">
      <c r="A184" t="s">
        <v>249</v>
      </c>
    </row>
    <row r="185" spans="1:1" x14ac:dyDescent="0.2">
      <c r="A185" t="s">
        <v>250</v>
      </c>
    </row>
    <row r="186" spans="1:1" x14ac:dyDescent="0.2">
      <c r="A186" t="s">
        <v>2371</v>
      </c>
    </row>
    <row r="187" spans="1:1" x14ac:dyDescent="0.2">
      <c r="A187" t="s">
        <v>2186</v>
      </c>
    </row>
    <row r="188" spans="1:1" x14ac:dyDescent="0.2">
      <c r="A188" t="s">
        <v>2187</v>
      </c>
    </row>
    <row r="189" spans="1:1" x14ac:dyDescent="0.2">
      <c r="A189" t="s">
        <v>2252</v>
      </c>
    </row>
    <row r="190" spans="1:1" x14ac:dyDescent="0.2">
      <c r="A190" t="s">
        <v>2491</v>
      </c>
    </row>
    <row r="191" spans="1:1" x14ac:dyDescent="0.2">
      <c r="A191" t="s">
        <v>2492</v>
      </c>
    </row>
    <row r="192" spans="1:1" x14ac:dyDescent="0.2">
      <c r="A192" t="s">
        <v>2493</v>
      </c>
    </row>
    <row r="193" spans="1:1" x14ac:dyDescent="0.2">
      <c r="A193" t="s">
        <v>2551</v>
      </c>
    </row>
    <row r="194" spans="1:1" x14ac:dyDescent="0.2">
      <c r="A194" t="s">
        <v>2539</v>
      </c>
    </row>
    <row r="195" spans="1:1" x14ac:dyDescent="0.2">
      <c r="A195" t="s">
        <v>3172</v>
      </c>
    </row>
    <row r="196" spans="1:1" x14ac:dyDescent="0.2">
      <c r="A196" t="s">
        <v>3118</v>
      </c>
    </row>
    <row r="197" spans="1:1" x14ac:dyDescent="0.2">
      <c r="A197" t="s">
        <v>3020</v>
      </c>
    </row>
    <row r="198" spans="1:1" x14ac:dyDescent="0.2">
      <c r="A198" t="s">
        <v>3021</v>
      </c>
    </row>
    <row r="199" spans="1:1" x14ac:dyDescent="0.2">
      <c r="A199" t="s">
        <v>3113</v>
      </c>
    </row>
    <row r="200" spans="1:1" x14ac:dyDescent="0.2">
      <c r="A200" t="s">
        <v>3108</v>
      </c>
    </row>
    <row r="201" spans="1:1" x14ac:dyDescent="0.2">
      <c r="A201" t="s">
        <v>3109</v>
      </c>
    </row>
    <row r="202" spans="1:1" x14ac:dyDescent="0.2">
      <c r="A202" t="s">
        <v>3110</v>
      </c>
    </row>
    <row r="203" spans="1:1" x14ac:dyDescent="0.2">
      <c r="A203" t="s">
        <v>3171</v>
      </c>
    </row>
    <row r="204" spans="1:1" x14ac:dyDescent="0.2">
      <c r="A204" t="s">
        <v>1968</v>
      </c>
    </row>
    <row r="205" spans="1:1" x14ac:dyDescent="0.2">
      <c r="A205" t="s">
        <v>3290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Change Log</vt:lpstr>
      <vt:lpstr>Variable Dictionary</vt:lpstr>
      <vt:lpstr>Calibration Dictionary</vt:lpstr>
      <vt:lpstr>MemMap</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Owen Tosh (nzx5jd)</dc:creator>
  <cp:lastModifiedBy>Bartocha, Mateusz Z</cp:lastModifiedBy>
  <cp:lastPrinted>2008-07-30T16:56:41Z</cp:lastPrinted>
  <dcterms:created xsi:type="dcterms:W3CDTF">1996-10-14T23:33:28Z</dcterms:created>
  <dcterms:modified xsi:type="dcterms:W3CDTF">2018-07-17T10:15:09Z</dcterms:modified>
</cp:coreProperties>
</file>