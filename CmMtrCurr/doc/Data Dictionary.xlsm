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765" yWindow="495" windowWidth="12495" windowHeight="9630" tabRatio="519"/>
  </bookViews>
  <sheets>
    <sheet name="Change Log" sheetId="7" r:id="rId1"/>
    <sheet name="Global Data Dictionary" sheetId="6" state="hidden" r:id="rId2"/>
    <sheet name="Variable Dictionary" sheetId="26" r:id="rId3"/>
    <sheet name="Calibration Dictionary" sheetId="27" r:id="rId4"/>
    <sheet name="Global Constants" sheetId="10" r:id="rId5"/>
    <sheet name="NVM" sheetId="25" state="hidden" r:id="rId6"/>
    <sheet name="Layered Module List" sheetId="9" state="hidden" r:id="rId7"/>
    <sheet name="Template" sheetId="28" r:id="rId8"/>
    <sheet name="Help" sheetId="11" r:id="rId9"/>
  </sheets>
  <externalReferences>
    <externalReference r:id="rId10"/>
  </externalReferences>
  <definedNames>
    <definedName name="_xlnm._FilterDatabase" localSheetId="3" hidden="1">'Calibration Dictionary'!$A$1:$O$6</definedName>
    <definedName name="_xlnm._FilterDatabase" localSheetId="0" hidden="1">'Change Log'!$A$2:$D$4</definedName>
    <definedName name="_xlnm._FilterDatabase" localSheetId="4" hidden="1">'Global Constants'!$F$4:$BZ$187</definedName>
    <definedName name="_xlnm._FilterDatabase" localSheetId="1" hidden="1">'Global Data Dictionary'!$N$4:$CH$229</definedName>
    <definedName name="_xlnm._FilterDatabase" localSheetId="8" hidden="1">Help!$B$1:$D$2</definedName>
    <definedName name="_xlnm._FilterDatabase" localSheetId="6" hidden="1">'Layered Module List'!$A$1:$F$73</definedName>
    <definedName name="_xlnm._FilterDatabase" localSheetId="5" hidden="1">NVM!$A$1:$J$104</definedName>
    <definedName name="_xlnm._FilterDatabase" localSheetId="2" hidden="1">'Variable Dictionary'!$A$4:$M$87</definedName>
    <definedName name="ComponentDTCMask">'[1]Calibration Dictionary'!#REF!</definedName>
    <definedName name="ComponentFltRsp">'[1]Calibration Dictionary'!#REF!</definedName>
    <definedName name="DataFlow" localSheetId="4">'Global Constants'!$F$5:$BZ$187</definedName>
    <definedName name="DataFlow" localSheetId="1">'Global Data Dictionary'!$N$5:$CH$229</definedName>
    <definedName name="DataFlow">'Global Data Dictionary'!$N$5:$CH$229</definedName>
    <definedName name="DTCMask" localSheetId="3">'Calibration Dictionary'!#REF!</definedName>
    <definedName name="DTCMask" localSheetId="2">'Variable Dictionary'!#REF!</definedName>
    <definedName name="DTCMask">#REF!</definedName>
    <definedName name="FltRsp" localSheetId="3">'Calibration Dictionary'!#REF!</definedName>
    <definedName name="FltRsp" localSheetId="5">NVM!#REF!</definedName>
    <definedName name="FltRsp" localSheetId="2">'Variable Dictionary'!#REF!</definedName>
    <definedName name="FltRsp">#REF!</definedName>
    <definedName name="OLE_LINK11" localSheetId="3">'Calibration Dictionary'!#REF!</definedName>
    <definedName name="OLE_LINK11" localSheetId="5">NVM!#REF!</definedName>
    <definedName name="OLE_LINK11" localSheetId="2">'Variable Dictionary'!#REF!</definedName>
    <definedName name="OLE_LINK5" localSheetId="3">'Calibration Dictionary'!#REF!</definedName>
    <definedName name="OLE_LINK5" localSheetId="5">NVM!#REF!</definedName>
    <definedName name="OLE_LINK5" localSheetId="2">'Variable Dictionary'!#REF!</definedName>
    <definedName name="_xlnm.Print_Area" localSheetId="3">'Calibration Dictionary'!$A$1:$M$6</definedName>
    <definedName name="_xlnm.Print_Area" localSheetId="5">NVM!$A$1:$J$42</definedName>
    <definedName name="_xlnm.Print_Area" localSheetId="2">'Variable Dictionary'!$A$1:$M$8</definedName>
    <definedName name="_xlnm.Print_Titles" localSheetId="3">'Calibration Dictionary'!$1:$4</definedName>
    <definedName name="_xlnm.Print_Titles" localSheetId="6">'Layered Module List'!$1:$1</definedName>
    <definedName name="_xlnm.Print_Titles" localSheetId="5">NVM!$1:$4</definedName>
    <definedName name="_xlnm.Print_Titles" localSheetId="2">'Variable Dictionary'!$1:$4</definedName>
  </definedNames>
  <calcPr calcId="145621"/>
</workbook>
</file>

<file path=xl/calcChain.xml><?xml version="1.0" encoding="utf-8"?>
<calcChain xmlns="http://schemas.openxmlformats.org/spreadsheetml/2006/main">
  <c r="H71" i="26" l="1"/>
  <c r="H70" i="26"/>
  <c r="J62" i="26"/>
  <c r="H62" i="26"/>
  <c r="H47" i="26"/>
  <c r="J55" i="26"/>
  <c r="J54" i="26"/>
  <c r="J53" i="26"/>
  <c r="J52" i="26"/>
  <c r="J51" i="26"/>
  <c r="J50" i="26"/>
  <c r="J49" i="26"/>
  <c r="J48" i="26"/>
  <c r="J47" i="26"/>
  <c r="J46" i="26"/>
  <c r="A1" i="7"/>
  <c r="A1" i="6" s="1"/>
  <c r="Q3" i="27"/>
  <c r="Q2" i="27"/>
  <c r="Q1" i="27"/>
  <c r="A1" i="10" l="1"/>
  <c r="A1" i="27"/>
  <c r="A1" i="26"/>
  <c r="A1" i="25"/>
</calcChain>
</file>

<file path=xl/comments1.xml><?xml version="1.0" encoding="utf-8"?>
<comments xmlns="http://schemas.openxmlformats.org/spreadsheetml/2006/main">
  <authors>
    <author>Terry Smith</author>
  </authors>
  <commentList>
    <comment ref="J132" authorId="0">
      <text>
        <r>
          <rPr>
            <b/>
            <sz val="8"/>
            <color indexed="81"/>
            <rFont val="Tahoma"/>
            <family val="2"/>
          </rPr>
          <t>Terry Smith:</t>
        </r>
        <r>
          <rPr>
            <sz val="8"/>
            <color indexed="81"/>
            <rFont val="Tahoma"/>
            <family val="2"/>
          </rPr>
          <t xml:space="preserve">
180 Amp^2</t>
        </r>
      </text>
    </comment>
  </commentList>
</comments>
</file>

<file path=xl/sharedStrings.xml><?xml version="1.0" encoding="utf-8"?>
<sst xmlns="http://schemas.openxmlformats.org/spreadsheetml/2006/main" count="974" uniqueCount="368">
  <si>
    <t>P</t>
  </si>
  <si>
    <t>extern &lt;TYPE&gt;&lt;TAB&gt;&lt;NAME&gt;;</t>
  </si>
  <si>
    <t>#pragma DATA_SECTION(&lt;ROOTNAME&gt;, "&lt;SEGMENT&gt;");
&lt;TYPE&gt; &lt;NAME&gt;;</t>
  </si>
  <si>
    <t>Calibration Constants:</t>
  </si>
  <si>
    <t>EOL Constants:</t>
  </si>
  <si>
    <t>Global (Embedded) Constants:</t>
  </si>
  <si>
    <t>Header:</t>
  </si>
  <si>
    <t>Source:</t>
  </si>
  <si>
    <t>Tuning:</t>
  </si>
  <si>
    <t>Data File:</t>
  </si>
  <si>
    <t>Data Flow Table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</si>
  <si>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</si>
  <si>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</si>
  <si>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</si>
  <si>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</si>
  <si>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</si>
  <si>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</si>
  <si>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</si>
  <si>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</si>
  <si>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</si>
  <si>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</si>
  <si>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</si>
  <si>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</si>
  <si>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</si>
  <si>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</si>
  <si>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</si>
  <si>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</si>
  <si>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</si>
  <si>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</si>
  <si>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</si>
  <si>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</si>
  <si>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</si>
  <si>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</si>
  <si>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</si>
  <si>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</si>
  <si>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</si>
  <si>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</si>
  <si>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</si>
  <si>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</si>
  <si>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</si>
  <si>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</si>
  <si>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</si>
  <si>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</si>
  <si>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</si>
  <si>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</si>
  <si>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</si>
  <si>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</si>
  <si>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</si>
  <si>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</si>
  <si>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</si>
  <si>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</si>
  <si>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</si>
  <si>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</si>
  <si>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</si>
  <si>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</si>
  <si>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</si>
  <si>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</si>
  <si>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</si>
  <si>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</si>
  <si>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</si>
  <si>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</si>
  <si>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</si>
  <si>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</si>
  <si>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</si>
  <si>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</si>
  <si>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</si>
  <si>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</si>
  <si>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</si>
  <si>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</si>
  <si>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</si>
  <si>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</si>
  <si>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</si>
  <si>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</si>
  <si>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</si>
  <si>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</si>
  <si>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</si>
  <si>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</si>
  <si>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</si>
  <si>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</si>
  <si>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</si>
  <si>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</si>
  <si>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</si>
  <si>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</si>
  <si>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 xml:space="preserve">Destination Layer </t>
  </si>
  <si>
    <t>N</t>
  </si>
  <si>
    <t>Range</t>
  </si>
  <si>
    <t>Achieved in Software Design</t>
  </si>
  <si>
    <t>Memory Segment</t>
  </si>
  <si>
    <t>Constant Name</t>
  </si>
  <si>
    <t xml:space="preserve">      Motor Position Diagnostics</t>
  </si>
  <si>
    <t xml:space="preserve">      Motor Velocity</t>
  </si>
  <si>
    <t xml:space="preserve">      Serial Communications I/O</t>
  </si>
  <si>
    <t>Type</t>
  </si>
  <si>
    <t>Value 
(per count)</t>
  </si>
  <si>
    <t xml:space="preserve">      Source Layer</t>
  </si>
  <si>
    <t xml:space="preserve">      Driver Layer (2)</t>
  </si>
  <si>
    <t xml:space="preserve">      Standardization Layer (3)</t>
  </si>
  <si>
    <t xml:space="preserve">      Virtual Layer (4)</t>
  </si>
  <si>
    <t xml:space="preserve">      Application Layer (5)</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</si>
  <si>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</si>
  <si>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</si>
  <si>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</si>
  <si>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</si>
  <si>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</si>
  <si>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</si>
  <si>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</si>
  <si>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</si>
  <si>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</si>
  <si>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</si>
  <si>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</si>
  <si>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</si>
  <si>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Software Segment</t>
  </si>
  <si>
    <t xml:space="preserve">Formate and prepares to print the Data Flow Worksheet pages.  </t>
  </si>
  <si>
    <t xml:space="preserve">      Motor Position Initialization</t>
  </si>
  <si>
    <t xml:space="preserve">      Program Memory Diagnostic</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</si>
  <si>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</si>
  <si>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</si>
  <si>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</si>
  <si>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</si>
  <si>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</si>
  <si>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</si>
  <si>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</si>
  <si>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</si>
  <si>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</si>
  <si>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</si>
  <si>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</si>
  <si>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</si>
  <si>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</si>
  <si>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</si>
  <si>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</si>
  <si>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</si>
  <si>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</si>
  <si>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</si>
  <si>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</si>
  <si>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</si>
  <si>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</si>
  <si>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</si>
  <si>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</si>
  <si>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</si>
  <si>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</si>
  <si>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</si>
  <si>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</si>
  <si>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</si>
  <si>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</si>
  <si>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</si>
  <si>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</si>
  <si>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</si>
  <si>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</si>
  <si>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</si>
  <si>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</si>
  <si>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</si>
  <si>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</si>
  <si>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</si>
  <si>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</si>
  <si>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</si>
  <si>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</si>
  <si>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</si>
  <si>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</si>
  <si>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</si>
  <si>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</si>
  <si>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</si>
  <si>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</si>
  <si>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r>
      <t>Usage 
(</t>
    </r>
    <r>
      <rPr>
        <b/>
        <sz val="8"/>
        <color indexed="10"/>
        <rFont val="Arial"/>
        <family val="2"/>
      </rPr>
      <t>I</t>
    </r>
    <r>
      <rPr>
        <b/>
        <sz val="8"/>
        <rFont val="Arial"/>
        <family val="2"/>
      </rPr>
      <t xml:space="preserve">nput, </t>
    </r>
    <r>
      <rPr>
        <b/>
        <sz val="8"/>
        <color indexed="10"/>
        <rFont val="Arial"/>
        <family val="2"/>
      </rPr>
      <t>O</t>
    </r>
    <r>
      <rPr>
        <b/>
        <sz val="8"/>
        <rFont val="Arial"/>
        <family val="2"/>
      </rPr>
      <t xml:space="preserve">uput, </t>
    </r>
    <r>
      <rPr>
        <b/>
        <sz val="8"/>
        <color indexed="10"/>
        <rFont val="Arial"/>
        <family val="2"/>
      </rPr>
      <t>M</t>
    </r>
    <r>
      <rPr>
        <b/>
        <sz val="8"/>
        <rFont val="Arial"/>
        <family val="2"/>
      </rPr>
      <t xml:space="preserve">oduleInternal, </t>
    </r>
    <r>
      <rPr>
        <b/>
        <sz val="8"/>
        <color indexed="10"/>
        <rFont val="Arial"/>
        <family val="2"/>
      </rPr>
      <t>D</t>
    </r>
    <r>
      <rPr>
        <b/>
        <sz val="8"/>
        <rFont val="Arial"/>
        <family val="2"/>
      </rPr>
      <t xml:space="preserve">isplay, </t>
    </r>
    <r>
      <rPr>
        <b/>
        <sz val="8"/>
        <color indexed="10"/>
        <rFont val="Arial"/>
        <family val="2"/>
      </rPr>
      <t>N</t>
    </r>
    <r>
      <rPr>
        <b/>
        <sz val="8"/>
        <rFont val="Arial"/>
        <family val="2"/>
      </rPr>
      <t>onVolatileMemory)</t>
    </r>
  </si>
  <si>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</si>
  <si>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</si>
  <si>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</si>
  <si>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</si>
  <si>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</si>
  <si>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</si>
  <si>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</si>
  <si>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</si>
  <si>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</si>
  <si>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</si>
  <si>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</si>
  <si>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</si>
  <si>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Initial Version</t>
  </si>
  <si>
    <t>single precision float</t>
  </si>
  <si>
    <t>float32</t>
  </si>
  <si>
    <t>Volt</t>
  </si>
  <si>
    <t>Amp</t>
  </si>
  <si>
    <t>Uls</t>
  </si>
  <si>
    <t>RR</t>
  </si>
  <si>
    <t>MtrCurrQax_Amps_f32</t>
  </si>
  <si>
    <t>MtrCurrQax_Amps</t>
  </si>
  <si>
    <t>MtrCurrDax_Amps</t>
  </si>
  <si>
    <t>MtrCurrDax_Amps_f32</t>
  </si>
  <si>
    <t>Rad</t>
  </si>
  <si>
    <t>Rev</t>
  </si>
  <si>
    <t>uint16</t>
  </si>
  <si>
    <t>ADCMtrCurr1_Volt_f32</t>
  </si>
  <si>
    <t>ADC_MtrCurr1_Volts</t>
  </si>
  <si>
    <t>ADCMtrCurr2_Volt_f32</t>
  </si>
  <si>
    <t>ADC_MtrCurr2_Volts</t>
  </si>
  <si>
    <t>MtrVel_MtrRadpS_f32</t>
  </si>
  <si>
    <t>RadpSec</t>
  </si>
  <si>
    <t>Cnt</t>
  </si>
  <si>
    <t>FiltCntrlTemp_DegC_f32</t>
  </si>
  <si>
    <t>Deg</t>
  </si>
  <si>
    <t>MtrCurrAngle_Rev_f32</t>
  </si>
  <si>
    <t>VehSpd_Kph_f32</t>
  </si>
  <si>
    <t>Kph</t>
  </si>
  <si>
    <t>MtrCurr1_Amps</t>
  </si>
  <si>
    <t>MtrCurr2_Amps</t>
  </si>
  <si>
    <t>SF-01C- Current Measurement</t>
  </si>
  <si>
    <t>Filter_Coeff for CurrentErr</t>
  </si>
  <si>
    <t>k_CurrCorrErrThresh_Amps_f32</t>
  </si>
  <si>
    <t>k_CurrCorrErrFiltKn</t>
  </si>
  <si>
    <t>k_CurrCorrErrThresh</t>
  </si>
  <si>
    <t>k_MtrPosComputDelay_Sec_f32</t>
  </si>
  <si>
    <t>k_MtrPosTdelay</t>
  </si>
  <si>
    <t>Sec</t>
  </si>
  <si>
    <t>k_MtrCurrEOLMinOffset_Volts_f32</t>
  </si>
  <si>
    <t>k_MtrCurrEOLMaxOffset_Volts_f32</t>
  </si>
  <si>
    <t>k_MtrCurrEOLMinOffset_Volts</t>
  </si>
  <si>
    <t>k_MtrCurrEOLMaxOffset_Volts</t>
  </si>
  <si>
    <t>k_MtrCurrEOLMinGain_AmpspVolts_f32</t>
  </si>
  <si>
    <t>k_MtrCurrEOLMinGain_AmpspVolts</t>
  </si>
  <si>
    <t>AmpspVolt</t>
  </si>
  <si>
    <t>k_MtrCurrEOLMaxGain_AmpspVolts_f32</t>
  </si>
  <si>
    <t>k_MtrCurrEOLMaxGain_AmpspVolts</t>
  </si>
  <si>
    <t>MtrRadpS</t>
  </si>
  <si>
    <t>k_CurrOffGainKn_Cnt_u16</t>
  </si>
  <si>
    <t>k_CurrOffGainKn</t>
  </si>
  <si>
    <t>k_CurrGainNumerator_Amps_f32</t>
  </si>
  <si>
    <t>k_MaxCurrOffMtrVel_RadpS_f32</t>
  </si>
  <si>
    <t>k_MaxCurrOffMtrVel_RadpS</t>
  </si>
  <si>
    <t>k_CurrGainNumerator_Amps</t>
  </si>
  <si>
    <t>IPM Changes</t>
  </si>
  <si>
    <t xml:space="preserve">Selva </t>
  </si>
  <si>
    <t>Updated for the A5561 and A5f66</t>
  </si>
  <si>
    <t>CurrentGainSvc_Cnt_lgc</t>
  </si>
  <si>
    <t>CurrentGainSvc</t>
  </si>
  <si>
    <t>Boolean</t>
  </si>
  <si>
    <t>Count</t>
  </si>
  <si>
    <t>SP</t>
  </si>
  <si>
    <t>Anomaly 5967 and 5873 fixes</t>
  </si>
  <si>
    <t>KMC</t>
  </si>
  <si>
    <t>k_CurrCorrErrFiltFc_Hz_f32</t>
  </si>
  <si>
    <t>Hz</t>
  </si>
  <si>
    <t>LPF32KSV_Str</t>
  </si>
  <si>
    <t>CurrCorrDiagKSV_M_str.SV_Uls_f32</t>
  </si>
  <si>
    <t>CurrCorrDiagKSV_M_str.K_Uls_f32</t>
  </si>
  <si>
    <t>Changed k_CurrCorrErrFiltKn_Cnt_u16 to k_CurrCorrErrFiltFc_Hz_f32, added variable CurrCorrDiagKSV_M_str for CR 10895; corrected range of input MtrVel_MtrRadpS_f32</t>
  </si>
  <si>
    <t>5 significant digits</t>
  </si>
  <si>
    <t>Vehicle_Speed_Valid</t>
  </si>
  <si>
    <t>VhSpdValid_Cnt_lgc</t>
  </si>
  <si>
    <t>Filt_Meas_Temp</t>
  </si>
  <si>
    <t>Vecu_Volt_f32</t>
  </si>
  <si>
    <t>Vecu</t>
  </si>
  <si>
    <t>Phs1Curr_Cnt_u16</t>
  </si>
  <si>
    <t>Phs2Curr_Cnt_u16</t>
  </si>
  <si>
    <t>PWM_Duty_Cycle_1</t>
  </si>
  <si>
    <t>PWM_Duty_Cycle_2</t>
  </si>
  <si>
    <t>ComOffset_Cnt_u16</t>
  </si>
  <si>
    <t>ComOffsetReq_Cnts</t>
  </si>
  <si>
    <t>MtrCurr1TempOffset_Volt_f32</t>
  </si>
  <si>
    <t>MtrCurr2TempOffset_Volt_f32</t>
  </si>
  <si>
    <t>MtrElecPol_Cnt_s08</t>
  </si>
  <si>
    <t>DCPhsBComp_Cnt_u16</t>
  </si>
  <si>
    <t>DCPhsCComp_Cnt_u16</t>
  </si>
  <si>
    <t>DCPhsAComp_Cnt_u16</t>
  </si>
  <si>
    <t>ElecPosDelayComp_Rad_f32</t>
  </si>
  <si>
    <t>CorrMtrCurrPosition_Rev_f32</t>
  </si>
  <si>
    <t>MtrCurrK1_Amps_f32</t>
  </si>
  <si>
    <t>MtrCurrK2_Amps_f32</t>
  </si>
  <si>
    <t>MtrCurr1_Volts_f32</t>
  </si>
  <si>
    <t>MtrCurr2_Volts_f32</t>
  </si>
  <si>
    <t>Rte_Pim_ShCurrCal.EOLMtrCurrVcalCmd_VoltCnts_f32</t>
  </si>
  <si>
    <t>Rte_Pim_ShCurrCal.EOLMtrCurr2OffsetLo_Volts_f32</t>
  </si>
  <si>
    <t>Rte_Pim_ShCurrCal.EOLMtrCurr1OffsetDiff_Volts_f32</t>
  </si>
  <si>
    <t>Rte_Pim_ShCurrCal.EOLMtrCurr2OffsetDiff_Volts_f32</t>
  </si>
  <si>
    <t>Rte_Pim_ShCurrCal.EOLPhscurr1Gain_AmpspVolt_f32</t>
  </si>
  <si>
    <t>Rte_Pim_ShCurrCal.EOLPhscurr2Gain_AmpspVolt_f32</t>
  </si>
  <si>
    <t>Rte_Pim_CurrTempOffset.CurrTempOffsetX_DegC_s10p5</t>
  </si>
  <si>
    <t>Rte_Pim_CurrTempOffset.CurrOffsetY2_Volts_s4p11</t>
  </si>
  <si>
    <t>Rte_Pim_CurrTempOffset.CurrOffsetY1_Volts_s4p11</t>
  </si>
  <si>
    <t>LK</t>
  </si>
  <si>
    <t>Rte_Pim_ShCurrCal.EOLMtrCurr1OffsetLo_Volts_f32</t>
  </si>
  <si>
    <t>u16</t>
  </si>
  <si>
    <t>MtrCurr1_TempOffset_Volts</t>
  </si>
  <si>
    <t xml:space="preserve">k_System_Polarity.MtrElecMech_Polarity </t>
  </si>
  <si>
    <t>u08</t>
  </si>
  <si>
    <t xml:space="preserve">Pos_Delay_Comp </t>
  </si>
  <si>
    <t>CmMtrCurr_MtrCurr1Offset_Volt_D_f32</t>
  </si>
  <si>
    <t>CmMtrCurr_MtrCurr2Offset_Volt_D_f32</t>
  </si>
  <si>
    <t>CmMtrCurr_FiltCurrCorrDiag_Amp_D_f32</t>
  </si>
  <si>
    <t>CmMtrCurr_VectPosSinTheta_Uls_D_f32</t>
  </si>
  <si>
    <t>CmMtrCurr_VectPosCosTheta_Uls_D_f32</t>
  </si>
  <si>
    <t>CmMtrCurr_CurrVectPosition_Rev_D_f32</t>
  </si>
  <si>
    <t>CmMtrCurr_CorrMtrCurr2_Amp_D_f32</t>
  </si>
  <si>
    <t>CmMtrCurr_CorrMtrCurr1_Amp_D_f32</t>
  </si>
  <si>
    <t>full</t>
  </si>
  <si>
    <t>FiltCurrCorr_Diag</t>
  </si>
  <si>
    <t>CmMtrCurr_CurrCorrDiag_Amp_D_f32</t>
  </si>
  <si>
    <t>CurrCorr_Diag</t>
  </si>
  <si>
    <t>Sin_CVP</t>
  </si>
  <si>
    <t>Cos_CVP</t>
  </si>
  <si>
    <t>CurrVect_Position_eRad</t>
  </si>
  <si>
    <t>MtrCurr2_Offset_Volts</t>
  </si>
  <si>
    <t>MtrCurr1_Offset_Volts</t>
  </si>
  <si>
    <t>N/A</t>
  </si>
  <si>
    <t xml:space="preserve">Motor_Vel_MRF </t>
  </si>
  <si>
    <t>MtrCurrAplha_eRad</t>
  </si>
  <si>
    <t>Vehicle_Speed</t>
  </si>
  <si>
    <t>Buffer write output</t>
  </si>
  <si>
    <t>Added, deleted and modified variables and added one new calibration.</t>
  </si>
  <si>
    <t>CmMtrCurr_CurrCorrDiagKSV_M_str</t>
  </si>
  <si>
    <t>CmMtrCurr_MtrCurr1SumHi_Volt_M_f32</t>
  </si>
  <si>
    <t>CmMtrCurr_MtrCurr2SumHi_Volt_M_f32</t>
  </si>
  <si>
    <t>CmMtrCurr_MtrCurr1SumLo_Volt_M_f32</t>
  </si>
  <si>
    <t>CmMtrCurr_MtrCurr2SumLo_Volt_M_f32</t>
  </si>
  <si>
    <t>CmMtrCurr_MtrCurr1SumZero_Volt_M_f32</t>
  </si>
  <si>
    <t>CmMtrCurr_MtrCurr2SumZero_Volt_M_f32</t>
  </si>
  <si>
    <t>CmMtrCurr_VecuSum_Volt_M_f32</t>
  </si>
  <si>
    <t>CmMtrCurr_MtrCurr1OffsetHi_Volt_M_f32</t>
  </si>
  <si>
    <t>CmMtrCurr_MtrCurr2OffsetHi_Volt_M_f32</t>
  </si>
  <si>
    <t>CmMtrCurr_MtrCurr2OffsetLo_Volt_M_f32</t>
  </si>
  <si>
    <t>CmMtrCurr_MtrCurr1OffsetLo_Volt_M_f32</t>
  </si>
  <si>
    <t>CmMtrCurr_MtrCurr1OffsetZero_Volt_M_f32</t>
  </si>
  <si>
    <t>CmMtrCurr_MtrCurr2OffsetZero_Volt_M_f32</t>
  </si>
  <si>
    <t>CmMtrCurr_MtrCurrValCmd_VoltCnt_M_f32</t>
  </si>
  <si>
    <t>CmMtrCurr_MtrCurr1OffDelta_VoltpVoltCnt_M_f32</t>
  </si>
  <si>
    <t>CmMtrCurr_MtrCurr2OffDelta_VoltpVoltCnt_M_f32</t>
  </si>
  <si>
    <t>CmMtrCurr_CurrOffAvgCounter_Cnt_M_u16</t>
  </si>
  <si>
    <t>CmMtrCurr_CurrOffState_Uls_M_enum</t>
  </si>
  <si>
    <t>CmMtrCurr_CurroffProcessFlag_M_enum</t>
  </si>
  <si>
    <t>CmMtrCurr_CurrOffTrimFlag_Cnt_M_lgc</t>
  </si>
  <si>
    <t>CmMtrCurr_MtrCurr1LpFltrSV_Volt_M_u3p29</t>
  </si>
  <si>
    <t>CmMtrCurr_MtrCurr2LpFltrSV_Volt_M_u3p29</t>
  </si>
  <si>
    <t>CmMtrCurr_FiltMtrCurr1_Volt_M_f32</t>
  </si>
  <si>
    <t>CmMtrCurr_FiltMtrCurr2_Volt_M_f32</t>
  </si>
  <si>
    <t>Deleted unused display variables and corrected for the review comments of v7</t>
  </si>
  <si>
    <t>Phy_MtrCurr1_Volts</t>
  </si>
  <si>
    <t>Phy_MtrCurr2_Volts</t>
  </si>
  <si>
    <t>Amps</t>
  </si>
  <si>
    <t>uint32</t>
  </si>
  <si>
    <t>MtrCurrOffProcessFlag</t>
  </si>
  <si>
    <t>VoltCnt</t>
  </si>
  <si>
    <t>VoltpVoltCnt</t>
  </si>
  <si>
    <t>CurrOffState_T</t>
  </si>
  <si>
    <t>k_MtrCurr_EOL_VcalCmd_VoltCnts</t>
  </si>
  <si>
    <t>k_MtrCurr1_EOL_OffsetLo_Volts</t>
  </si>
  <si>
    <t>k_MtrCurr2_EOL_OffsetLo_Volts</t>
  </si>
  <si>
    <t>k_MtrCurr1_EOL_OffsetDiff_Volts</t>
  </si>
  <si>
    <t>k_MtrCurr2_EOL_OffsetDiff_Volts</t>
  </si>
  <si>
    <t>k_MtrCurr1_EOL_Gain_AmpspVolt</t>
  </si>
  <si>
    <t>k_MtrCurr2_EOL_Gain_AmpspVolt</t>
  </si>
  <si>
    <t>t_CurrOffsetX_C</t>
  </si>
  <si>
    <t>t_CurrOffsetY1_Volts</t>
  </si>
  <si>
    <t>t_CurrOffsetY2_Volts</t>
  </si>
  <si>
    <t>DegC</t>
  </si>
  <si>
    <t>Volts</t>
  </si>
  <si>
    <t>s4p11_T</t>
  </si>
  <si>
    <t>s10p5_T</t>
  </si>
  <si>
    <t>VoltCnts</t>
  </si>
  <si>
    <t>Filtered_MtrCurr1_Volts</t>
  </si>
  <si>
    <t>Filtered_MtrCurr2_Volts</t>
  </si>
  <si>
    <t>CmMtrCurr_CurrentGainSvc_Cnt_M_lgc</t>
  </si>
  <si>
    <t xml:space="preserve">tmp_MtrCurr1_EOL_OffsetHi_Volts </t>
  </si>
  <si>
    <t xml:space="preserve">tmp_MtrCurr2_EOL_OffsetHi_Volts </t>
  </si>
  <si>
    <t xml:space="preserve">MtrCurr1_EOL_ZeroOffsetLo_Volts </t>
  </si>
  <si>
    <t>Updated for V8 of FDD</t>
  </si>
  <si>
    <t>k_MtrCurrOffLoComOff_Cnt_u16</t>
  </si>
  <si>
    <t>k_CurrOffNoofAvg_Cnt_u16</t>
  </si>
  <si>
    <t>k_CurrOffNoofAvg_Cnt</t>
  </si>
  <si>
    <t>ADC2OffsetComp_Cnt_u8p8</t>
  </si>
  <si>
    <t>Cnts</t>
  </si>
  <si>
    <t>u8p8_T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</si>
</sst>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0.00000"/>
  </numFmts>
  <fonts count="21"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sz val="8"/>
      <color indexed="10"/>
      <name val="Arial"/>
      <family val="2"/>
    </font>
    <font>
      <b/>
      <sz val="8"/>
      <color indexed="10"/>
      <name val="Arial"/>
      <family val="2"/>
    </font>
    <font>
      <sz val="8"/>
      <color indexed="8"/>
      <name val="Arial"/>
      <family val="2"/>
    </font>
    <font>
      <sz val="8"/>
      <color indexed="81"/>
      <name val="Tahoma"/>
      <family val="2"/>
    </font>
    <font>
      <b/>
      <sz val="8"/>
      <color indexed="81"/>
      <name val="Tahoma"/>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sz val="11"/>
      <color theme="1"/>
      <name val="Calibri"/>
      <family val="2"/>
      <scheme val="minor"/>
    </font>
    <font>
      <sz val="8"/>
      <color rgb="FF000000"/>
      <name val="Calibri"/>
      <family val="2"/>
      <scheme val="minor"/>
    </font>
    <font>
      <sz val="8"/>
      <name val="Calibri"/>
      <family val="2"/>
      <scheme val="minor"/>
    </font>
  </fonts>
  <fills count="12">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61"/>
        <bgColor indexed="64"/>
      </patternFill>
    </fill>
    <fill>
      <patternFill patternType="solid">
        <fgColor indexed="46"/>
        <bgColor indexed="64"/>
      </patternFill>
    </fill>
    <fill>
      <patternFill patternType="solid">
        <fgColor indexed="44"/>
        <bgColor indexed="64"/>
      </patternFill>
    </fill>
    <fill>
      <patternFill patternType="solid">
        <fgColor rgb="FFFFFF00"/>
        <bgColor indexed="64"/>
      </patternFill>
    </fill>
    <fill>
      <patternFill patternType="solid">
        <fgColor theme="0"/>
        <bgColor indexed="64"/>
      </patternFill>
    </fill>
  </fills>
  <borders count="76">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right style="medium">
        <color indexed="64"/>
      </right>
      <top/>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double">
        <color indexed="64"/>
      </right>
      <top/>
      <bottom style="medium">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style="thin">
        <color indexed="64"/>
      </left>
      <right/>
      <top style="thin">
        <color indexed="64"/>
      </top>
      <bottom style="thin">
        <color indexed="64"/>
      </bottom>
      <diagonal/>
    </border>
    <border>
      <left style="double">
        <color indexed="64"/>
      </left>
      <right style="double">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double">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style="double">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double">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thin">
        <color indexed="64"/>
      </top>
      <bottom/>
      <diagonal/>
    </border>
    <border>
      <left/>
      <right style="medium">
        <color indexed="64"/>
      </right>
      <top style="thin">
        <color indexed="64"/>
      </top>
      <bottom/>
      <diagonal/>
    </border>
    <border>
      <left/>
      <right/>
      <top style="thin">
        <color indexed="64"/>
      </top>
      <bottom/>
      <diagonal/>
    </border>
    <border>
      <left style="double">
        <color indexed="64"/>
      </left>
      <right style="medium">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top style="medium">
        <color indexed="64"/>
      </top>
      <bottom style="medium">
        <color indexed="64"/>
      </bottom>
      <diagonal/>
    </border>
    <border>
      <left style="double">
        <color indexed="64"/>
      </left>
      <right/>
      <top/>
      <bottom style="thin">
        <color indexed="64"/>
      </bottom>
      <diagonal/>
    </border>
    <border>
      <left/>
      <right style="double">
        <color indexed="64"/>
      </right>
      <top/>
      <bottom style="thin">
        <color indexed="64"/>
      </bottom>
      <diagonal/>
    </border>
    <border>
      <left/>
      <right style="medium">
        <color indexed="64"/>
      </right>
      <top style="medium">
        <color indexed="64"/>
      </top>
      <bottom style="thin">
        <color indexed="64"/>
      </bottom>
      <diagonal/>
    </border>
  </borders>
  <cellStyleXfs count="5">
    <xf numFmtId="0" fontId="0" fillId="0" borderId="0"/>
    <xf numFmtId="0" fontId="1" fillId="2" borderId="1" applyFont="0" applyAlignment="0">
      <alignment horizontal="center"/>
    </xf>
    <xf numFmtId="0" fontId="4" fillId="0" borderId="0"/>
    <xf numFmtId="0" fontId="18" fillId="0" borderId="0"/>
    <xf numFmtId="0" fontId="4" fillId="0" borderId="0"/>
  </cellStyleXfs>
  <cellXfs count="373">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2" xfId="0"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2" xfId="0" applyFont="1" applyFill="1" applyBorder="1" applyAlignment="1">
      <alignment horizontal="center" wrapText="1"/>
    </xf>
    <xf numFmtId="0" fontId="3" fillId="0" borderId="13" xfId="0" applyFont="1" applyFill="1" applyBorder="1" applyAlignment="1">
      <alignment horizontal="center" wrapText="1"/>
    </xf>
    <xf numFmtId="0" fontId="3" fillId="0" borderId="12" xfId="0" applyFont="1" applyFill="1" applyBorder="1" applyAlignment="1">
      <alignment horizontal="center" vertical="top" wrapText="1"/>
    </xf>
    <xf numFmtId="0" fontId="3" fillId="0" borderId="14" xfId="0" applyFont="1" applyFill="1" applyBorder="1" applyAlignment="1">
      <alignment horizontal="center" wrapText="1"/>
    </xf>
    <xf numFmtId="0" fontId="3" fillId="0" borderId="0" xfId="0" applyFont="1" applyFill="1" applyAlignment="1"/>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3" fillId="0" borderId="17" xfId="0" applyFont="1" applyFill="1" applyBorder="1" applyAlignment="1">
      <alignment horizontal="center" textRotation="90" wrapText="1"/>
    </xf>
    <xf numFmtId="0" fontId="3" fillId="0" borderId="18" xfId="0" applyFont="1" applyFill="1" applyBorder="1" applyAlignment="1">
      <alignment horizontal="center" textRotation="90" wrapText="1"/>
    </xf>
    <xf numFmtId="0" fontId="3" fillId="0" borderId="19" xfId="0" applyFont="1" applyFill="1" applyBorder="1" applyAlignment="1">
      <alignment horizontal="center" textRotation="90" wrapText="1"/>
    </xf>
    <xf numFmtId="0" fontId="3" fillId="0" borderId="20" xfId="0" applyFont="1" applyFill="1" applyBorder="1" applyAlignment="1">
      <alignment horizontal="center" wrapText="1"/>
    </xf>
    <xf numFmtId="0" fontId="3" fillId="0" borderId="21" xfId="0" applyFont="1" applyFill="1" applyBorder="1" applyAlignment="1">
      <alignment horizontal="center" wrapText="1"/>
    </xf>
    <xf numFmtId="0" fontId="3" fillId="0" borderId="22" xfId="0" applyNumberFormat="1" applyFont="1" applyFill="1" applyBorder="1" applyAlignment="1">
      <alignment horizontal="center" wrapText="1"/>
    </xf>
    <xf numFmtId="0" fontId="3" fillId="0" borderId="23" xfId="0" applyFont="1" applyFill="1" applyBorder="1" applyAlignment="1">
      <alignment horizontal="center" wrapText="1"/>
    </xf>
    <xf numFmtId="0" fontId="6" fillId="0" borderId="0" xfId="0" applyFont="1" applyFill="1" applyAlignment="1"/>
    <xf numFmtId="0" fontId="8" fillId="0" borderId="0" xfId="0" applyFont="1" applyFill="1" applyAlignment="1"/>
    <xf numFmtId="0" fontId="4" fillId="0" borderId="0" xfId="0" applyFont="1" applyFill="1" applyAlignment="1">
      <alignment horizontal="center" wrapText="1"/>
    </xf>
    <xf numFmtId="0" fontId="4" fillId="0" borderId="0" xfId="0" applyFont="1" applyFill="1" applyAlignment="1">
      <alignment horizontal="center"/>
    </xf>
    <xf numFmtId="0" fontId="4" fillId="0" borderId="0" xfId="0" applyFont="1" applyFill="1" applyAlignment="1">
      <alignment horizontal="left" wrapText="1"/>
    </xf>
    <xf numFmtId="0" fontId="4" fillId="0" borderId="0" xfId="0" applyNumberFormat="1" applyFont="1" applyFill="1" applyAlignment="1">
      <alignment horizontal="center"/>
    </xf>
    <xf numFmtId="0" fontId="4" fillId="3" borderId="24" xfId="0" applyFont="1" applyFill="1" applyBorder="1" applyAlignment="1">
      <alignment horizontal="center"/>
    </xf>
    <xf numFmtId="0" fontId="3" fillId="0" borderId="16" xfId="0" applyFont="1" applyFill="1" applyBorder="1" applyAlignment="1">
      <alignment horizontal="center" textRotation="90" wrapText="1"/>
    </xf>
    <xf numFmtId="0" fontId="1" fillId="0" borderId="25" xfId="0" applyFont="1" applyFill="1" applyBorder="1" applyAlignment="1">
      <alignment vertical="top"/>
    </xf>
    <xf numFmtId="0" fontId="1" fillId="0" borderId="26" xfId="0" applyFont="1" applyFill="1" applyBorder="1" applyAlignment="1">
      <alignment vertical="top" wrapText="1"/>
    </xf>
    <xf numFmtId="0" fontId="1" fillId="0" borderId="26" xfId="0" applyFont="1" applyFill="1" applyBorder="1" applyAlignment="1">
      <alignment horizontal="center" vertical="top" wrapText="1"/>
    </xf>
    <xf numFmtId="0" fontId="1" fillId="0" borderId="27" xfId="0" applyFont="1" applyFill="1" applyBorder="1" applyAlignment="1">
      <alignment horizontal="center" vertical="top"/>
    </xf>
    <xf numFmtId="0" fontId="1" fillId="0" borderId="2" xfId="0" applyFont="1" applyFill="1" applyBorder="1" applyAlignment="1">
      <alignment horizontal="center" vertical="top"/>
    </xf>
    <xf numFmtId="0" fontId="1" fillId="0" borderId="3" xfId="0" applyFont="1" applyFill="1" applyBorder="1" applyAlignment="1">
      <alignment horizontal="center" vertical="top"/>
    </xf>
    <xf numFmtId="0" fontId="3" fillId="0" borderId="28" xfId="0" applyFont="1" applyFill="1" applyBorder="1" applyAlignment="1">
      <alignment horizontal="center" vertical="top"/>
    </xf>
    <xf numFmtId="0" fontId="3" fillId="0" borderId="0" xfId="0" applyFont="1" applyFill="1" applyBorder="1" applyAlignment="1">
      <alignment horizontal="center" vertical="top"/>
    </xf>
    <xf numFmtId="0" fontId="3" fillId="0" borderId="14" xfId="0" applyFont="1" applyFill="1" applyBorder="1" applyAlignment="1">
      <alignment horizontal="center" vertical="top"/>
    </xf>
    <xf numFmtId="0" fontId="1" fillId="0" borderId="29" xfId="0" applyFont="1" applyFill="1" applyBorder="1" applyAlignment="1">
      <alignment vertical="top"/>
    </xf>
    <xf numFmtId="0" fontId="6" fillId="0" borderId="28" xfId="0" applyFont="1" applyFill="1" applyBorder="1" applyAlignment="1">
      <alignment horizontal="center" vertical="top"/>
    </xf>
    <xf numFmtId="0" fontId="6" fillId="0" borderId="0" xfId="0" applyFont="1" applyFill="1" applyBorder="1" applyAlignment="1">
      <alignment horizontal="center" vertical="top"/>
    </xf>
    <xf numFmtId="0" fontId="6" fillId="0" borderId="14" xfId="0" applyFont="1" applyFill="1" applyBorder="1" applyAlignment="1">
      <alignment horizontal="center" vertical="top"/>
    </xf>
    <xf numFmtId="0" fontId="1" fillId="0" borderId="29" xfId="0" applyFont="1" applyFill="1" applyBorder="1" applyAlignment="1">
      <alignment vertical="top" wrapText="1"/>
    </xf>
    <xf numFmtId="0" fontId="1" fillId="0" borderId="30" xfId="0" applyFont="1" applyFill="1" applyBorder="1" applyAlignment="1">
      <alignment horizontal="center" vertical="top" wrapText="1"/>
    </xf>
    <xf numFmtId="0" fontId="1" fillId="0" borderId="31" xfId="0" applyFont="1" applyFill="1" applyBorder="1" applyAlignment="1">
      <alignment horizontal="center" vertical="top"/>
    </xf>
    <xf numFmtId="0" fontId="1" fillId="0" borderId="32" xfId="0" applyFont="1" applyFill="1" applyBorder="1" applyAlignment="1">
      <alignment horizontal="center" vertical="top"/>
    </xf>
    <xf numFmtId="0" fontId="1" fillId="0" borderId="33" xfId="0" applyFont="1" applyFill="1" applyBorder="1" applyAlignment="1">
      <alignment horizontal="center" vertical="top"/>
    </xf>
    <xf numFmtId="0" fontId="9" fillId="0" borderId="26" xfId="0" applyFont="1" applyFill="1" applyBorder="1" applyAlignment="1">
      <alignment vertical="top" wrapText="1"/>
    </xf>
    <xf numFmtId="0" fontId="1" fillId="0" borderId="34" xfId="0" applyFont="1" applyFill="1" applyBorder="1" applyAlignment="1">
      <alignment horizontal="center" vertical="top" wrapText="1"/>
    </xf>
    <xf numFmtId="0" fontId="9" fillId="0" borderId="28" xfId="0" applyFont="1" applyFill="1" applyBorder="1" applyAlignment="1">
      <alignment horizontal="center" vertical="top"/>
    </xf>
    <xf numFmtId="0" fontId="9" fillId="0" borderId="0" xfId="0" applyFont="1" applyFill="1" applyBorder="1" applyAlignment="1">
      <alignment horizontal="center" vertical="top"/>
    </xf>
    <xf numFmtId="0" fontId="9" fillId="0" borderId="14" xfId="0" applyFont="1" applyFill="1" applyBorder="1" applyAlignment="1">
      <alignment horizontal="center" vertical="top"/>
    </xf>
    <xf numFmtId="0" fontId="1" fillId="0" borderId="25" xfId="0" applyFont="1" applyFill="1" applyBorder="1" applyAlignment="1">
      <alignment vertical="top" wrapText="1"/>
    </xf>
    <xf numFmtId="0" fontId="1" fillId="0" borderId="35" xfId="0" applyFont="1" applyFill="1" applyBorder="1" applyAlignment="1">
      <alignment vertical="top"/>
    </xf>
    <xf numFmtId="0" fontId="4" fillId="0" borderId="0" xfId="0" applyFont="1" applyFill="1" applyBorder="1" applyAlignment="1"/>
    <xf numFmtId="0" fontId="2" fillId="3" borderId="36" xfId="0" applyFont="1" applyFill="1" applyBorder="1" applyAlignment="1">
      <alignment horizontal="center"/>
    </xf>
    <xf numFmtId="0" fontId="1" fillId="0" borderId="37" xfId="0" applyFont="1" applyFill="1" applyBorder="1" applyAlignment="1">
      <alignment vertical="top"/>
    </xf>
    <xf numFmtId="0" fontId="1" fillId="0" borderId="38" xfId="0" applyFont="1" applyFill="1" applyBorder="1" applyAlignment="1">
      <alignment horizontal="center" vertical="top" wrapText="1"/>
    </xf>
    <xf numFmtId="0" fontId="1" fillId="0" borderId="2" xfId="0" applyFont="1" applyFill="1" applyBorder="1" applyAlignment="1">
      <alignment vertical="top"/>
    </xf>
    <xf numFmtId="0" fontId="10" fillId="0" borderId="29" xfId="0" applyFont="1" applyFill="1" applyBorder="1" applyAlignment="1">
      <alignment vertical="top"/>
    </xf>
    <xf numFmtId="0" fontId="13" fillId="0" borderId="0" xfId="0" applyFont="1" applyFill="1" applyBorder="1" applyAlignment="1">
      <alignment horizontal="center" vertical="top"/>
    </xf>
    <xf numFmtId="6" fontId="1" fillId="0" borderId="38" xfId="0" applyNumberFormat="1" applyFont="1" applyFill="1" applyBorder="1" applyAlignment="1">
      <alignment horizontal="center" vertical="top" wrapText="1"/>
    </xf>
    <xf numFmtId="0" fontId="1" fillId="0" borderId="38" xfId="0" applyNumberFormat="1" applyFont="1" applyFill="1" applyBorder="1" applyAlignment="1">
      <alignment horizontal="center" vertical="top" wrapText="1"/>
    </xf>
    <xf numFmtId="0" fontId="6" fillId="0" borderId="39" xfId="0" applyFont="1" applyFill="1" applyBorder="1" applyAlignment="1">
      <alignment horizontal="center" vertical="top"/>
    </xf>
    <xf numFmtId="0" fontId="6" fillId="0" borderId="40" xfId="0" applyFont="1" applyFill="1" applyBorder="1" applyAlignment="1">
      <alignment horizontal="center" vertical="top"/>
    </xf>
    <xf numFmtId="0" fontId="6" fillId="0" borderId="41" xfId="0" applyFont="1" applyFill="1" applyBorder="1" applyAlignment="1">
      <alignment horizontal="center" vertical="top"/>
    </xf>
    <xf numFmtId="0" fontId="15" fillId="0" borderId="0" xfId="0" applyFont="1"/>
    <xf numFmtId="0" fontId="14" fillId="0" borderId="0" xfId="0" applyFont="1" applyAlignment="1">
      <alignment vertical="top"/>
    </xf>
    <xf numFmtId="0" fontId="14" fillId="0" borderId="0" xfId="0" applyFont="1" applyAlignment="1">
      <alignment vertical="top" wrapText="1"/>
    </xf>
    <xf numFmtId="0" fontId="6" fillId="0" borderId="28" xfId="0" applyFont="1" applyFill="1" applyBorder="1" applyAlignment="1">
      <alignment horizontal="center"/>
    </xf>
    <xf numFmtId="0" fontId="6" fillId="0" borderId="0" xfId="0" applyFont="1" applyFill="1" applyBorder="1" applyAlignment="1">
      <alignment horizontal="center"/>
    </xf>
    <xf numFmtId="0" fontId="6" fillId="0" borderId="14" xfId="0" applyFont="1" applyFill="1" applyBorder="1" applyAlignment="1">
      <alignment horizontal="center"/>
    </xf>
    <xf numFmtId="0" fontId="6" fillId="0" borderId="42" xfId="0" applyFont="1" applyFill="1" applyBorder="1" applyAlignment="1">
      <alignment horizontal="center"/>
    </xf>
    <xf numFmtId="0" fontId="6" fillId="0" borderId="43" xfId="0" applyFont="1" applyFill="1" applyBorder="1" applyAlignment="1">
      <alignment horizontal="center"/>
    </xf>
    <xf numFmtId="0" fontId="6" fillId="0" borderId="23" xfId="0" applyFont="1" applyFill="1" applyBorder="1" applyAlignment="1">
      <alignment horizontal="center"/>
    </xf>
    <xf numFmtId="0" fontId="4" fillId="3" borderId="44" xfId="0" applyFont="1" applyFill="1" applyBorder="1" applyAlignment="1">
      <alignment horizontal="center"/>
    </xf>
    <xf numFmtId="0" fontId="3" fillId="0" borderId="45" xfId="0" applyFont="1" applyFill="1" applyBorder="1" applyAlignment="1">
      <alignment horizontal="center" wrapText="1"/>
    </xf>
    <xf numFmtId="0" fontId="3" fillId="0" borderId="46" xfId="0" applyFont="1" applyFill="1" applyBorder="1" applyAlignment="1">
      <alignment horizontal="center" wrapText="1"/>
    </xf>
    <xf numFmtId="0" fontId="1" fillId="0" borderId="37" xfId="0" applyFont="1" applyFill="1" applyBorder="1" applyAlignment="1">
      <alignment horizontal="center" vertical="top" wrapText="1"/>
    </xf>
    <xf numFmtId="0" fontId="9" fillId="0" borderId="37" xfId="0" applyFont="1" applyFill="1" applyBorder="1" applyAlignment="1">
      <alignment horizontal="center" vertical="top" wrapText="1"/>
    </xf>
    <xf numFmtId="0" fontId="1" fillId="0" borderId="25" xfId="0" applyFont="1" applyFill="1" applyBorder="1" applyAlignment="1" applyProtection="1">
      <alignment vertical="top" wrapText="1"/>
      <protection locked="0"/>
    </xf>
    <xf numFmtId="0" fontId="1" fillId="0" borderId="38" xfId="0" applyFont="1" applyFill="1" applyBorder="1" applyAlignment="1" applyProtection="1">
      <alignment horizontal="left" vertical="top" wrapText="1"/>
      <protection locked="0"/>
    </xf>
    <xf numFmtId="0" fontId="1" fillId="0" borderId="47" xfId="0" applyFont="1" applyFill="1" applyBorder="1" applyAlignment="1" applyProtection="1">
      <alignment horizontal="center" vertical="top"/>
      <protection locked="0"/>
    </xf>
    <xf numFmtId="0" fontId="1" fillId="0" borderId="35" xfId="0" applyNumberFormat="1" applyFont="1" applyFill="1" applyBorder="1" applyAlignment="1" applyProtection="1">
      <alignment horizontal="center" vertical="top"/>
      <protection locked="0"/>
    </xf>
    <xf numFmtId="0" fontId="1" fillId="0" borderId="26" xfId="0" applyFont="1" applyFill="1" applyBorder="1" applyAlignment="1" applyProtection="1">
      <alignment horizontal="center" vertical="top"/>
      <protection locked="0"/>
    </xf>
    <xf numFmtId="0" fontId="1" fillId="0" borderId="48" xfId="0" applyFont="1" applyFill="1" applyBorder="1" applyAlignment="1" applyProtection="1">
      <alignment horizontal="center" vertical="top"/>
      <protection locked="0"/>
    </xf>
    <xf numFmtId="0" fontId="1" fillId="0" borderId="49" xfId="0" applyFont="1" applyFill="1" applyBorder="1" applyAlignment="1" applyProtection="1">
      <alignment horizontal="center" vertical="top"/>
      <protection locked="0"/>
    </xf>
    <xf numFmtId="0" fontId="6" fillId="0" borderId="39" xfId="0" applyFont="1" applyFill="1" applyBorder="1" applyAlignment="1" applyProtection="1">
      <alignment horizontal="center" vertical="top"/>
      <protection locked="0"/>
    </xf>
    <xf numFmtId="0" fontId="6" fillId="0" borderId="40" xfId="0" applyFont="1" applyFill="1" applyBorder="1" applyAlignment="1" applyProtection="1">
      <alignment horizontal="center" vertical="top"/>
      <protection locked="0"/>
    </xf>
    <xf numFmtId="0" fontId="6" fillId="0" borderId="41" xfId="0" applyFont="1" applyFill="1" applyBorder="1" applyAlignment="1" applyProtection="1">
      <alignment horizontal="center" vertical="top"/>
      <protection locked="0"/>
    </xf>
    <xf numFmtId="0" fontId="6" fillId="0" borderId="28" xfId="0" applyFont="1" applyFill="1" applyBorder="1" applyAlignment="1" applyProtection="1">
      <alignment horizontal="center" vertical="top"/>
      <protection locked="0"/>
    </xf>
    <xf numFmtId="0" fontId="6" fillId="0" borderId="0" xfId="0" applyFont="1" applyFill="1" applyBorder="1" applyAlignment="1" applyProtection="1">
      <alignment horizontal="center" vertical="top"/>
      <protection locked="0"/>
    </xf>
    <xf numFmtId="0" fontId="6" fillId="0" borderId="14" xfId="0" applyFont="1" applyFill="1" applyBorder="1" applyAlignment="1" applyProtection="1">
      <alignment horizontal="center" vertical="top"/>
      <protection locked="0"/>
    </xf>
    <xf numFmtId="10" fontId="1" fillId="0" borderId="38" xfId="0" applyNumberFormat="1" applyFont="1" applyFill="1" applyBorder="1" applyAlignment="1" applyProtection="1">
      <alignment horizontal="left" vertical="top" wrapText="1"/>
      <protection locked="0"/>
    </xf>
    <xf numFmtId="0" fontId="1" fillId="0" borderId="26" xfId="0" applyFont="1" applyFill="1" applyBorder="1" applyAlignment="1" applyProtection="1">
      <alignment horizontal="center" vertical="top" wrapText="1"/>
      <protection locked="0"/>
    </xf>
    <xf numFmtId="0" fontId="1" fillId="0" borderId="35" xfId="0" applyNumberFormat="1" applyFont="1" applyFill="1" applyBorder="1" applyAlignment="1" applyProtection="1">
      <alignment horizontal="center" vertical="top" wrapText="1"/>
      <protection locked="0"/>
    </xf>
    <xf numFmtId="0" fontId="1" fillId="0" borderId="48" xfId="0" applyFont="1" applyFill="1" applyBorder="1" applyAlignment="1" applyProtection="1">
      <alignment horizontal="center" vertical="top" wrapText="1"/>
      <protection locked="0"/>
    </xf>
    <xf numFmtId="0" fontId="1" fillId="0" borderId="49" xfId="0" applyFont="1" applyFill="1" applyBorder="1" applyAlignment="1" applyProtection="1">
      <alignment horizontal="center" vertical="top" wrapText="1"/>
      <protection locked="0"/>
    </xf>
    <xf numFmtId="0" fontId="1" fillId="0" borderId="50" xfId="0" applyFont="1" applyFill="1" applyBorder="1" applyAlignment="1" applyProtection="1">
      <alignment horizontal="left" vertical="top" wrapText="1"/>
      <protection locked="0"/>
    </xf>
    <xf numFmtId="0" fontId="1" fillId="0" borderId="51" xfId="0" applyFont="1" applyFill="1" applyBorder="1" applyAlignment="1" applyProtection="1">
      <alignment horizontal="center" vertical="top"/>
      <protection locked="0"/>
    </xf>
    <xf numFmtId="0" fontId="1" fillId="0" borderId="52" xfId="0" applyNumberFormat="1" applyFont="1" applyFill="1" applyBorder="1" applyAlignment="1" applyProtection="1">
      <alignment horizontal="center" vertical="top"/>
      <protection locked="0"/>
    </xf>
    <xf numFmtId="0" fontId="1" fillId="0" borderId="30" xfId="0" applyFont="1" applyFill="1" applyBorder="1" applyAlignment="1" applyProtection="1">
      <alignment horizontal="center" vertical="top"/>
      <protection locked="0"/>
    </xf>
    <xf numFmtId="0" fontId="1" fillId="0" borderId="53" xfId="0" applyFont="1" applyFill="1" applyBorder="1" applyAlignment="1" applyProtection="1">
      <alignment horizontal="center" vertical="top"/>
      <protection locked="0"/>
    </xf>
    <xf numFmtId="0" fontId="1" fillId="0" borderId="54" xfId="0" applyFont="1" applyFill="1" applyBorder="1" applyAlignment="1" applyProtection="1">
      <alignment horizontal="center" vertical="top"/>
      <protection locked="0"/>
    </xf>
    <xf numFmtId="0" fontId="1" fillId="0" borderId="55" xfId="0" applyFont="1" applyFill="1" applyBorder="1" applyAlignment="1" applyProtection="1">
      <alignment horizontal="center" vertical="top"/>
      <protection locked="0"/>
    </xf>
    <xf numFmtId="0" fontId="1" fillId="0" borderId="35" xfId="0" applyFont="1" applyFill="1" applyBorder="1" applyAlignment="1" applyProtection="1">
      <alignment horizontal="center" vertical="top"/>
      <protection locked="0"/>
    </xf>
    <xf numFmtId="0" fontId="0" fillId="0" borderId="47" xfId="0" applyFill="1" applyBorder="1" applyAlignment="1" applyProtection="1">
      <alignment vertical="top"/>
      <protection locked="0"/>
    </xf>
    <xf numFmtId="0" fontId="0" fillId="0" borderId="35" xfId="0" applyFill="1" applyBorder="1" applyAlignment="1" applyProtection="1">
      <alignment vertical="top"/>
      <protection locked="0"/>
    </xf>
    <xf numFmtId="0" fontId="1" fillId="0" borderId="47" xfId="0" applyNumberFormat="1" applyFont="1" applyFill="1" applyBorder="1" applyAlignment="1" applyProtection="1">
      <alignment horizontal="center" vertical="top"/>
      <protection locked="0"/>
    </xf>
    <xf numFmtId="0" fontId="1" fillId="0" borderId="47" xfId="0" applyFont="1" applyFill="1" applyBorder="1" applyAlignment="1" applyProtection="1">
      <alignment horizontal="center" vertical="top" wrapText="1"/>
      <protection locked="0"/>
    </xf>
    <xf numFmtId="0" fontId="1" fillId="0" borderId="35" xfId="0" applyFont="1" applyFill="1" applyBorder="1" applyAlignment="1" applyProtection="1">
      <alignment horizontal="center" vertical="top" wrapText="1"/>
      <protection locked="0"/>
    </xf>
    <xf numFmtId="0" fontId="1" fillId="0" borderId="38" xfId="0" applyFont="1" applyFill="1" applyBorder="1" applyAlignment="1" applyProtection="1">
      <alignment horizontal="left" vertical="top"/>
      <protection locked="0"/>
    </xf>
    <xf numFmtId="164" fontId="1" fillId="0" borderId="47" xfId="0" applyNumberFormat="1" applyFont="1" applyFill="1" applyBorder="1" applyAlignment="1" applyProtection="1">
      <alignment horizontal="center" vertical="top" wrapText="1"/>
      <protection locked="0"/>
    </xf>
    <xf numFmtId="164" fontId="1" fillId="0" borderId="35" xfId="0" applyNumberFormat="1" applyFont="1" applyFill="1" applyBorder="1" applyAlignment="1" applyProtection="1">
      <alignment horizontal="center" vertical="top"/>
      <protection locked="0"/>
    </xf>
    <xf numFmtId="0" fontId="1" fillId="0" borderId="26" xfId="0" applyNumberFormat="1" applyFont="1" applyFill="1" applyBorder="1" applyAlignment="1" applyProtection="1">
      <alignment horizontal="center" vertical="top"/>
      <protection locked="0"/>
    </xf>
    <xf numFmtId="0" fontId="6" fillId="0" borderId="28" xfId="0" applyFont="1" applyFill="1" applyBorder="1" applyAlignment="1" applyProtection="1">
      <alignment horizontal="center"/>
      <protection locked="0"/>
    </xf>
    <xf numFmtId="0" fontId="6" fillId="0" borderId="0" xfId="0" applyFont="1" applyFill="1" applyBorder="1" applyAlignment="1" applyProtection="1">
      <alignment horizontal="center"/>
      <protection locked="0"/>
    </xf>
    <xf numFmtId="0" fontId="6" fillId="0" borderId="14" xfId="0" applyFont="1" applyFill="1" applyBorder="1" applyAlignment="1" applyProtection="1">
      <alignment horizontal="center"/>
      <protection locked="0"/>
    </xf>
    <xf numFmtId="0" fontId="6" fillId="0" borderId="42" xfId="0" applyFont="1" applyFill="1" applyBorder="1" applyAlignment="1" applyProtection="1">
      <alignment horizontal="center"/>
      <protection locked="0"/>
    </xf>
    <xf numFmtId="0" fontId="6" fillId="0" borderId="43" xfId="0" applyFont="1" applyFill="1" applyBorder="1" applyAlignment="1" applyProtection="1">
      <alignment horizontal="center"/>
      <protection locked="0"/>
    </xf>
    <xf numFmtId="0" fontId="6" fillId="0" borderId="23" xfId="0" applyFont="1" applyFill="1" applyBorder="1" applyAlignment="1" applyProtection="1">
      <alignment horizontal="center"/>
      <protection locked="0"/>
    </xf>
    <xf numFmtId="0" fontId="1" fillId="0" borderId="38" xfId="0" quotePrefix="1" applyFont="1" applyFill="1" applyBorder="1" applyAlignment="1">
      <alignment horizontal="center" vertical="top" wrapText="1"/>
    </xf>
    <xf numFmtId="0" fontId="1" fillId="0" borderId="49" xfId="0" applyFont="1" applyFill="1" applyBorder="1" applyAlignment="1">
      <alignment vertical="top"/>
    </xf>
    <xf numFmtId="0" fontId="3" fillId="0" borderId="25" xfId="0" applyFont="1" applyFill="1" applyBorder="1" applyAlignment="1" applyProtection="1">
      <alignment vertical="top" wrapText="1"/>
      <protection locked="0"/>
    </xf>
    <xf numFmtId="0" fontId="16" fillId="0" borderId="29" xfId="0" applyFont="1" applyFill="1" applyBorder="1" applyAlignment="1">
      <alignment vertical="top" wrapText="1"/>
    </xf>
    <xf numFmtId="0" fontId="3" fillId="0" borderId="35" xfId="0" applyFont="1" applyFill="1" applyBorder="1" applyAlignment="1">
      <alignment vertical="top" wrapText="1"/>
    </xf>
    <xf numFmtId="0" fontId="3" fillId="0" borderId="0" xfId="0" applyFont="1" applyFill="1" applyAlignment="1">
      <alignment wrapText="1"/>
    </xf>
    <xf numFmtId="0" fontId="0" fillId="4" borderId="0" xfId="0" applyFill="1"/>
    <xf numFmtId="0" fontId="0" fillId="4" borderId="0" xfId="0" applyFill="1" applyAlignment="1">
      <alignment vertical="top"/>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5" borderId="56" xfId="0" applyFill="1" applyBorder="1"/>
    <xf numFmtId="0" fontId="0" fillId="5" borderId="57" xfId="0" applyFill="1" applyBorder="1" applyAlignment="1">
      <alignment vertical="top"/>
    </xf>
    <xf numFmtId="0" fontId="0" fillId="5" borderId="58" xfId="0" applyFill="1" applyBorder="1" applyAlignment="1">
      <alignment vertical="top"/>
    </xf>
    <xf numFmtId="0" fontId="0" fillId="5" borderId="0" xfId="0" applyFill="1" applyBorder="1" applyAlignment="1">
      <alignment vertical="top"/>
    </xf>
    <xf numFmtId="0" fontId="0" fillId="5" borderId="59" xfId="0" applyFill="1" applyBorder="1" applyAlignment="1">
      <alignment vertical="top"/>
    </xf>
    <xf numFmtId="0" fontId="0" fillId="5" borderId="31" xfId="0" applyFill="1" applyBorder="1"/>
    <xf numFmtId="0" fontId="0" fillId="5" borderId="60" xfId="0" applyFill="1" applyBorder="1"/>
    <xf numFmtId="0" fontId="0" fillId="5" borderId="61"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5" borderId="54"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62" xfId="0" applyNumberFormat="1" applyFont="1" applyFill="1" applyBorder="1" applyAlignment="1">
      <alignment horizontal="center" textRotation="90"/>
    </xf>
    <xf numFmtId="0" fontId="6" fillId="0" borderId="18"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63" xfId="0" applyBorder="1"/>
    <xf numFmtId="0" fontId="0" fillId="0" borderId="64" xfId="0" applyBorder="1"/>
    <xf numFmtId="0" fontId="0" fillId="0" borderId="65" xfId="0" applyBorder="1"/>
    <xf numFmtId="49" fontId="0" fillId="0" borderId="6" xfId="0" quotePrefix="1" applyNumberFormat="1" applyBorder="1" applyAlignment="1">
      <alignment horizontal="center"/>
    </xf>
    <xf numFmtId="0" fontId="0" fillId="0" borderId="66" xfId="0" applyFill="1" applyBorder="1"/>
    <xf numFmtId="0" fontId="3" fillId="0" borderId="29" xfId="0" applyFont="1" applyFill="1" applyBorder="1" applyAlignment="1">
      <alignment vertical="top"/>
    </xf>
    <xf numFmtId="0" fontId="6" fillId="0" borderId="19" xfId="0" applyFont="1" applyFill="1" applyBorder="1" applyAlignment="1">
      <alignment horizontal="center" textRotation="90"/>
    </xf>
    <xf numFmtId="0" fontId="1" fillId="0" borderId="0" xfId="0" applyFont="1" applyFill="1" applyProtection="1">
      <protection locked="0"/>
    </xf>
    <xf numFmtId="0" fontId="3" fillId="0" borderId="43"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44" xfId="2" applyFont="1" applyFill="1" applyBorder="1" applyAlignment="1">
      <alignment horizontal="center"/>
    </xf>
    <xf numFmtId="0" fontId="4" fillId="3" borderId="24" xfId="2" applyFont="1" applyFill="1" applyBorder="1" applyAlignment="1">
      <alignment horizontal="center"/>
    </xf>
    <xf numFmtId="0" fontId="4" fillId="0" borderId="0" xfId="2" applyFont="1" applyAlignment="1">
      <alignment horizontal="left"/>
    </xf>
    <xf numFmtId="0" fontId="1" fillId="0" borderId="0" xfId="2" applyFont="1" applyFill="1" applyBorder="1" applyAlignment="1">
      <alignment horizontal="center" wrapText="1"/>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3" fillId="0" borderId="36" xfId="2" applyFont="1" applyBorder="1" applyAlignment="1">
      <alignment wrapText="1"/>
    </xf>
    <xf numFmtId="0" fontId="3" fillId="0" borderId="67" xfId="2" applyFont="1" applyBorder="1" applyAlignment="1">
      <alignment wrapText="1"/>
    </xf>
    <xf numFmtId="0" fontId="3" fillId="0" borderId="67" xfId="2" applyFont="1" applyBorder="1" applyAlignment="1">
      <alignment horizontal="center" wrapText="1"/>
    </xf>
    <xf numFmtId="0" fontId="3" fillId="0" borderId="24" xfId="2" applyFont="1" applyBorder="1" applyAlignment="1">
      <alignment horizontal="center" wrapText="1"/>
    </xf>
    <xf numFmtId="0" fontId="3" fillId="0" borderId="67" xfId="2" applyFont="1" applyBorder="1" applyAlignment="1">
      <alignment horizontal="center" vertical="top" wrapText="1"/>
    </xf>
    <xf numFmtId="0" fontId="3" fillId="0" borderId="67" xfId="2" applyNumberFormat="1" applyFont="1" applyBorder="1" applyAlignment="1">
      <alignment horizontal="center" wrapText="1"/>
    </xf>
    <xf numFmtId="0" fontId="1" fillId="0" borderId="68" xfId="2" applyFont="1" applyBorder="1"/>
    <xf numFmtId="0" fontId="1" fillId="0" borderId="69" xfId="2" applyFont="1" applyBorder="1"/>
    <xf numFmtId="0" fontId="1" fillId="0" borderId="68" xfId="2" applyFont="1" applyBorder="1" applyAlignment="1">
      <alignment horizontal="center"/>
    </xf>
    <xf numFmtId="0" fontId="1" fillId="0" borderId="69"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3" fillId="0" borderId="11" xfId="2" applyFont="1" applyBorder="1" applyAlignment="1">
      <alignment wrapText="1"/>
    </xf>
    <xf numFmtId="0" fontId="3" fillId="0" borderId="40"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46" xfId="2" applyFont="1" applyBorder="1" applyAlignment="1">
      <alignment horizontal="center" wrapText="1"/>
    </xf>
    <xf numFmtId="0" fontId="3" fillId="0" borderId="0" xfId="2" applyFont="1" applyBorder="1" applyAlignment="1">
      <alignment horizontal="center" wrapText="1"/>
    </xf>
    <xf numFmtId="0" fontId="3" fillId="0" borderId="14" xfId="2" applyFont="1" applyBorder="1" applyAlignment="1">
      <alignment horizontal="center" wrapText="1"/>
    </xf>
    <xf numFmtId="0" fontId="3" fillId="0" borderId="15" xfId="2" applyFont="1" applyBorder="1" applyAlignment="1">
      <alignment horizontal="center" wrapText="1"/>
    </xf>
    <xf numFmtId="0" fontId="3" fillId="0" borderId="43" xfId="2" applyFont="1" applyBorder="1" applyAlignment="1">
      <alignment horizontal="center" wrapText="1"/>
    </xf>
    <xf numFmtId="0" fontId="3" fillId="0" borderId="16" xfId="2" applyFont="1" applyBorder="1" applyAlignment="1">
      <alignment horizontal="center" wrapText="1"/>
    </xf>
    <xf numFmtId="0" fontId="3" fillId="0" borderId="45" xfId="2" applyFont="1" applyBorder="1" applyAlignment="1">
      <alignment horizontal="center" wrapText="1"/>
    </xf>
    <xf numFmtId="0" fontId="3" fillId="0" borderId="21" xfId="2" applyFont="1" applyBorder="1" applyAlignment="1">
      <alignment horizontal="center" wrapText="1"/>
    </xf>
    <xf numFmtId="0" fontId="3" fillId="0" borderId="22" xfId="2" applyNumberFormat="1" applyFont="1" applyBorder="1" applyAlignment="1">
      <alignment horizontal="center" wrapText="1"/>
    </xf>
    <xf numFmtId="0" fontId="3" fillId="0" borderId="23" xfId="2" applyFont="1" applyBorder="1" applyAlignment="1">
      <alignment horizontal="center" wrapText="1"/>
    </xf>
    <xf numFmtId="0" fontId="4" fillId="0" borderId="0" xfId="2" applyFont="1" applyAlignment="1" applyProtection="1">
      <alignment horizontal="left"/>
      <protection locked="0"/>
    </xf>
    <xf numFmtId="0" fontId="4" fillId="0" borderId="0" xfId="2" applyProtection="1">
      <protection locked="0"/>
    </xf>
    <xf numFmtId="0" fontId="3" fillId="0" borderId="13" xfId="2" applyFont="1" applyBorder="1" applyAlignment="1">
      <alignment horizontal="center" wrapText="1"/>
    </xf>
    <xf numFmtId="0" fontId="3" fillId="0" borderId="20" xfId="2" applyFont="1" applyBorder="1" applyAlignment="1">
      <alignment horizontal="center" wrapText="1"/>
    </xf>
    <xf numFmtId="0" fontId="3" fillId="0" borderId="16" xfId="0" applyFont="1" applyBorder="1" applyAlignment="1">
      <alignment horizontal="center" wrapText="1"/>
    </xf>
    <xf numFmtId="0" fontId="17" fillId="4" borderId="0" xfId="0" applyFont="1" applyFill="1"/>
    <xf numFmtId="0" fontId="0" fillId="5" borderId="0" xfId="0" applyFill="1" applyBorder="1" applyAlignment="1">
      <alignment horizontal="right" vertical="top"/>
    </xf>
    <xf numFmtId="0" fontId="0" fillId="0" borderId="2" xfId="0" applyBorder="1" applyAlignment="1">
      <alignment horizontal="center" vertical="center"/>
    </xf>
    <xf numFmtId="0" fontId="0" fillId="0" borderId="2" xfId="0" applyBorder="1" applyAlignment="1">
      <alignment vertical="center" wrapText="1"/>
    </xf>
    <xf numFmtId="15" fontId="0" fillId="0" borderId="2" xfId="0" applyNumberFormat="1" applyBorder="1" applyAlignment="1">
      <alignment horizontal="center" vertical="center"/>
    </xf>
    <xf numFmtId="0" fontId="0" fillId="0" borderId="2" xfId="0" quotePrefix="1"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4" fillId="0" borderId="43" xfId="0" applyFont="1" applyBorder="1" applyAlignment="1" applyProtection="1">
      <alignment horizontal="left"/>
      <protection locked="0"/>
    </xf>
    <xf numFmtId="0" fontId="0" fillId="0" borderId="43" xfId="0" applyBorder="1" applyAlignment="1" applyProtection="1">
      <alignment horizontal="center" wrapText="1"/>
      <protection locked="0"/>
    </xf>
    <xf numFmtId="0" fontId="0" fillId="0" borderId="0" xfId="0" applyAlignment="1"/>
    <xf numFmtId="0" fontId="4" fillId="0" borderId="57" xfId="0" applyFont="1" applyFill="1" applyBorder="1" applyAlignment="1">
      <alignment horizontal="right"/>
    </xf>
    <xf numFmtId="0" fontId="7" fillId="2" borderId="70" xfId="2" applyFont="1" applyFill="1" applyBorder="1" applyAlignment="1">
      <alignment horizontal="left" vertical="center"/>
    </xf>
    <xf numFmtId="0" fontId="7" fillId="2" borderId="1" xfId="2" applyFont="1" applyFill="1" applyBorder="1" applyAlignment="1">
      <alignment horizontal="left" vertical="center"/>
    </xf>
    <xf numFmtId="0" fontId="1" fillId="2" borderId="1" xfId="2" applyFont="1" applyFill="1" applyBorder="1" applyAlignment="1">
      <alignment vertical="center" wrapText="1"/>
    </xf>
    <xf numFmtId="0" fontId="1" fillId="2" borderId="1" xfId="2" applyFont="1" applyFill="1" applyBorder="1" applyAlignment="1">
      <alignment horizontal="center" vertical="center" wrapText="1"/>
    </xf>
    <xf numFmtId="0" fontId="1" fillId="2" borderId="1" xfId="2" applyFont="1" applyFill="1" applyBorder="1" applyAlignment="1">
      <alignment horizontal="center" vertical="center"/>
    </xf>
    <xf numFmtId="0" fontId="1" fillId="2" borderId="1" xfId="2" applyNumberFormat="1" applyFont="1" applyFill="1" applyBorder="1" applyAlignment="1">
      <alignment horizontal="center" vertical="center"/>
    </xf>
    <xf numFmtId="0" fontId="19" fillId="0" borderId="37" xfId="2" applyFont="1" applyBorder="1" applyAlignment="1">
      <alignment horizontal="left" vertical="center" wrapText="1"/>
    </xf>
    <xf numFmtId="0" fontId="20" fillId="0" borderId="26" xfId="2" applyFont="1" applyBorder="1" applyAlignment="1" applyProtection="1">
      <alignment vertical="center" wrapText="1"/>
      <protection locked="0"/>
    </xf>
    <xf numFmtId="0" fontId="20" fillId="0" borderId="26" xfId="2" applyFont="1" applyBorder="1" applyAlignment="1" applyProtection="1">
      <alignment horizontal="center" vertical="center" wrapText="1"/>
      <protection locked="0"/>
    </xf>
    <xf numFmtId="0" fontId="20" fillId="0" borderId="37" xfId="2" applyFont="1" applyBorder="1" applyAlignment="1" applyProtection="1">
      <alignment horizontal="center" vertical="center" wrapText="1"/>
      <protection locked="0"/>
    </xf>
    <xf numFmtId="0" fontId="20" fillId="0" borderId="47" xfId="2" applyFont="1" applyBorder="1" applyAlignment="1" applyProtection="1">
      <alignment horizontal="center" vertical="center"/>
      <protection locked="0"/>
    </xf>
    <xf numFmtId="0" fontId="20" fillId="0" borderId="47" xfId="2" applyFont="1" applyBorder="1" applyAlignment="1">
      <alignment horizontal="center" vertical="center"/>
    </xf>
    <xf numFmtId="0" fontId="1" fillId="0" borderId="47" xfId="2" applyFont="1" applyBorder="1" applyAlignment="1">
      <alignment horizontal="center" vertical="center"/>
    </xf>
    <xf numFmtId="0" fontId="1" fillId="0" borderId="3" xfId="2" applyFont="1" applyBorder="1" applyAlignment="1" applyProtection="1">
      <alignment horizontal="center" vertical="center"/>
      <protection locked="0"/>
    </xf>
    <xf numFmtId="0" fontId="1" fillId="0" borderId="0" xfId="2" applyFont="1" applyAlignment="1" applyProtection="1">
      <alignment vertical="center" wrapText="1"/>
      <protection locked="0"/>
    </xf>
    <xf numFmtId="0" fontId="4" fillId="0" borderId="0" xfId="2" applyFont="1" applyAlignment="1" applyProtection="1">
      <alignment vertical="center"/>
      <protection locked="0"/>
    </xf>
    <xf numFmtId="0" fontId="4" fillId="0" borderId="0" xfId="2" applyFont="1" applyAlignment="1" applyProtection="1">
      <alignment horizontal="center" vertical="center" wrapText="1"/>
      <protection locked="0"/>
    </xf>
    <xf numFmtId="0" fontId="4" fillId="0" borderId="0" xfId="2" applyFont="1" applyAlignment="1" applyProtection="1">
      <alignment horizontal="center" vertical="center"/>
      <protection locked="0"/>
    </xf>
    <xf numFmtId="0" fontId="4" fillId="0" borderId="0" xfId="2" applyNumberFormat="1" applyFont="1" applyAlignment="1" applyProtection="1">
      <alignment horizontal="center" vertical="center"/>
      <protection locked="0"/>
    </xf>
    <xf numFmtId="0" fontId="4" fillId="0" borderId="0" xfId="2" applyAlignment="1"/>
    <xf numFmtId="0" fontId="1" fillId="2" borderId="1" xfId="2" applyFont="1" applyFill="1" applyBorder="1" applyAlignment="1">
      <alignment horizontal="left" vertical="center" wrapText="1"/>
    </xf>
    <xf numFmtId="0" fontId="1" fillId="0" borderId="49" xfId="2" applyFont="1" applyBorder="1" applyAlignment="1" applyProtection="1">
      <alignment vertical="center"/>
      <protection locked="0"/>
    </xf>
    <xf numFmtId="0" fontId="1" fillId="0" borderId="26" xfId="2" applyFont="1" applyBorder="1" applyAlignment="1" applyProtection="1">
      <alignment vertical="center" wrapText="1"/>
      <protection locked="0"/>
    </xf>
    <xf numFmtId="0" fontId="1" fillId="0" borderId="26" xfId="2" applyFont="1" applyBorder="1" applyAlignment="1" applyProtection="1">
      <alignment horizontal="center" vertical="center" wrapText="1"/>
      <protection locked="0"/>
    </xf>
    <xf numFmtId="0" fontId="1" fillId="0" borderId="37" xfId="2" applyFont="1" applyBorder="1" applyAlignment="1" applyProtection="1">
      <alignment horizontal="center" vertical="center" wrapText="1"/>
      <protection locked="0"/>
    </xf>
    <xf numFmtId="0" fontId="1" fillId="0" borderId="38" xfId="2" applyFont="1" applyBorder="1" applyAlignment="1" applyProtection="1">
      <alignment horizontal="left" vertical="center" wrapText="1"/>
      <protection locked="0"/>
    </xf>
    <xf numFmtId="0" fontId="1" fillId="0" borderId="47" xfId="2" applyFont="1" applyBorder="1" applyAlignment="1" applyProtection="1">
      <alignment horizontal="center" vertical="center"/>
      <protection locked="0"/>
    </xf>
    <xf numFmtId="0" fontId="1" fillId="0" borderId="6" xfId="2" applyFont="1" applyBorder="1" applyAlignment="1" applyProtection="1">
      <alignment vertical="center" wrapText="1"/>
      <protection locked="0"/>
    </xf>
    <xf numFmtId="0" fontId="4" fillId="0" borderId="0" xfId="2" applyFont="1" applyAlignment="1" applyProtection="1">
      <alignment vertical="center" wrapText="1"/>
      <protection locked="0"/>
    </xf>
    <xf numFmtId="0" fontId="4" fillId="0" borderId="0" xfId="2" applyFont="1" applyAlignment="1" applyProtection="1">
      <alignment horizontal="left" vertical="center" wrapText="1"/>
      <protection locked="0"/>
    </xf>
    <xf numFmtId="15" fontId="4" fillId="0" borderId="2" xfId="2" applyNumberFormat="1" applyBorder="1" applyAlignment="1">
      <alignment horizontal="center" vertical="center"/>
    </xf>
    <xf numFmtId="1" fontId="4" fillId="0" borderId="2" xfId="2" quotePrefix="1" applyNumberFormat="1" applyBorder="1" applyAlignment="1">
      <alignment horizontal="center" vertical="center"/>
    </xf>
    <xf numFmtId="0" fontId="4" fillId="0" borderId="2" xfId="2" applyBorder="1" applyAlignment="1">
      <alignment horizontal="center" vertical="center"/>
    </xf>
    <xf numFmtId="0" fontId="4" fillId="0" borderId="2" xfId="2" applyBorder="1" applyAlignment="1">
      <alignment vertical="center" wrapText="1"/>
    </xf>
    <xf numFmtId="0" fontId="4" fillId="0" borderId="2" xfId="0" applyFont="1" applyBorder="1" applyAlignment="1">
      <alignment horizontal="center" vertical="center"/>
    </xf>
    <xf numFmtId="0" fontId="4" fillId="0" borderId="2" xfId="0" applyFont="1" applyBorder="1" applyAlignment="1">
      <alignment vertical="center" wrapText="1"/>
    </xf>
    <xf numFmtId="0" fontId="20" fillId="10" borderId="47" xfId="2" applyFont="1" applyFill="1" applyBorder="1" applyAlignment="1">
      <alignment horizontal="center" vertical="center"/>
    </xf>
    <xf numFmtId="0" fontId="20" fillId="10" borderId="71" xfId="2" applyFont="1" applyFill="1" applyBorder="1" applyAlignment="1">
      <alignment vertical="center" wrapText="1"/>
    </xf>
    <xf numFmtId="0" fontId="19" fillId="10" borderId="37" xfId="2" applyFont="1" applyFill="1" applyBorder="1" applyAlignment="1">
      <alignment horizontal="left" vertical="center" wrapText="1"/>
    </xf>
    <xf numFmtId="11" fontId="20" fillId="10" borderId="47" xfId="2" applyNumberFormat="1" applyFont="1" applyFill="1" applyBorder="1" applyAlignment="1" applyProtection="1">
      <alignment horizontal="center" vertical="center"/>
      <protection locked="0"/>
    </xf>
    <xf numFmtId="0" fontId="1" fillId="10" borderId="47" xfId="2" applyFont="1" applyFill="1" applyBorder="1" applyAlignment="1">
      <alignment horizontal="center" vertical="center"/>
    </xf>
    <xf numFmtId="0" fontId="20" fillId="0" borderId="26" xfId="2" applyFont="1" applyFill="1" applyBorder="1" applyAlignment="1" applyProtection="1">
      <alignment vertical="center" wrapText="1"/>
      <protection locked="0"/>
    </xf>
    <xf numFmtId="0" fontId="20" fillId="0" borderId="26" xfId="2" applyFont="1" applyFill="1" applyBorder="1" applyAlignment="1" applyProtection="1">
      <alignment horizontal="center" vertical="center" wrapText="1"/>
      <protection locked="0"/>
    </xf>
    <xf numFmtId="0" fontId="20" fillId="0" borderId="37" xfId="2" applyFont="1" applyFill="1" applyBorder="1" applyAlignment="1" applyProtection="1">
      <alignment horizontal="center" vertical="center" wrapText="1"/>
      <protection locked="0"/>
    </xf>
    <xf numFmtId="0" fontId="19" fillId="0" borderId="37" xfId="2" applyFont="1" applyBorder="1" applyAlignment="1">
      <alignment horizontal="left" vertical="center" wrapText="1"/>
    </xf>
    <xf numFmtId="0" fontId="1" fillId="0" borderId="6" xfId="2" applyFont="1" applyFill="1" applyBorder="1" applyAlignment="1" applyProtection="1">
      <alignment vertical="center" wrapText="1"/>
      <protection locked="0"/>
    </xf>
    <xf numFmtId="0" fontId="1" fillId="10" borderId="3" xfId="2" applyFont="1" applyFill="1" applyBorder="1" applyAlignment="1" applyProtection="1">
      <alignment horizontal="center" vertical="center"/>
      <protection locked="0"/>
    </xf>
    <xf numFmtId="0" fontId="1" fillId="11" borderId="6" xfId="2" applyFont="1" applyFill="1" applyBorder="1" applyAlignment="1">
      <alignment vertical="center" wrapText="1"/>
    </xf>
    <xf numFmtId="0" fontId="1" fillId="11" borderId="38" xfId="2" applyFont="1" applyFill="1" applyBorder="1" applyAlignment="1" applyProtection="1">
      <alignment horizontal="left" vertical="center" wrapText="1"/>
      <protection locked="0"/>
    </xf>
    <xf numFmtId="0" fontId="1" fillId="11" borderId="47" xfId="2" applyFont="1" applyFill="1" applyBorder="1" applyAlignment="1" applyProtection="1">
      <alignment horizontal="center" vertical="center"/>
      <protection locked="0"/>
    </xf>
    <xf numFmtId="0" fontId="20" fillId="11" borderId="71" xfId="2" applyFont="1" applyFill="1" applyBorder="1" applyAlignment="1">
      <alignment vertical="center" wrapText="1"/>
    </xf>
    <xf numFmtId="0" fontId="19" fillId="11" borderId="37" xfId="2" applyFont="1" applyFill="1" applyBorder="1" applyAlignment="1">
      <alignment horizontal="left" vertical="center" wrapText="1"/>
    </xf>
    <xf numFmtId="0" fontId="20" fillId="11" borderId="26" xfId="2" applyFont="1" applyFill="1" applyBorder="1" applyAlignment="1" applyProtection="1">
      <alignment vertical="center" wrapText="1"/>
      <protection locked="0"/>
    </xf>
    <xf numFmtId="0" fontId="20" fillId="11" borderId="26" xfId="2" applyFont="1" applyFill="1" applyBorder="1" applyAlignment="1" applyProtection="1">
      <alignment horizontal="center" vertical="center" wrapText="1"/>
      <protection locked="0"/>
    </xf>
    <xf numFmtId="0" fontId="20" fillId="11" borderId="37" xfId="2" applyFont="1" applyFill="1" applyBorder="1" applyAlignment="1" applyProtection="1">
      <alignment horizontal="center" vertical="center" wrapText="1"/>
      <protection locked="0"/>
    </xf>
    <xf numFmtId="0" fontId="20" fillId="11" borderId="47" xfId="2" applyFont="1" applyFill="1" applyBorder="1" applyAlignment="1" applyProtection="1">
      <alignment horizontal="center" vertical="center"/>
      <protection locked="0"/>
    </xf>
    <xf numFmtId="0" fontId="20" fillId="11" borderId="47" xfId="2" applyFont="1" applyFill="1" applyBorder="1" applyAlignment="1">
      <alignment horizontal="center" vertical="center"/>
    </xf>
    <xf numFmtId="11" fontId="20" fillId="11" borderId="47" xfId="2" applyNumberFormat="1" applyFont="1" applyFill="1" applyBorder="1" applyAlignment="1" applyProtection="1">
      <alignment horizontal="center" vertical="center"/>
      <protection locked="0"/>
    </xf>
    <xf numFmtId="0" fontId="1" fillId="11" borderId="47" xfId="2" applyFont="1" applyFill="1" applyBorder="1" applyAlignment="1">
      <alignment horizontal="center" vertical="center"/>
    </xf>
    <xf numFmtId="0" fontId="20" fillId="11" borderId="47" xfId="2" applyFont="1" applyFill="1" applyBorder="1" applyAlignment="1">
      <alignment horizontal="left" vertical="center"/>
    </xf>
    <xf numFmtId="0" fontId="20" fillId="11" borderId="58" xfId="2" applyFont="1" applyFill="1" applyBorder="1" applyAlignment="1">
      <alignment vertical="center" wrapText="1"/>
    </xf>
    <xf numFmtId="0" fontId="20" fillId="11" borderId="37" xfId="2" applyFont="1" applyFill="1" applyBorder="1" applyAlignment="1" applyProtection="1">
      <alignment vertical="center" wrapText="1"/>
      <protection locked="0"/>
    </xf>
    <xf numFmtId="0" fontId="5" fillId="7" borderId="15" xfId="0" applyFont="1" applyFill="1" applyBorder="1" applyAlignment="1" applyProtection="1">
      <alignment horizontal="center" wrapText="1"/>
      <protection locked="0"/>
    </xf>
    <xf numFmtId="0" fontId="5" fillId="7" borderId="43" xfId="0" applyFont="1" applyFill="1" applyBorder="1" applyAlignment="1" applyProtection="1">
      <alignment horizontal="center" wrapText="1"/>
      <protection locked="0"/>
    </xf>
    <xf numFmtId="0" fontId="5" fillId="7" borderId="15" xfId="0" applyFont="1" applyFill="1" applyBorder="1" applyAlignment="1" applyProtection="1">
      <alignment horizontal="center" vertical="center" wrapText="1"/>
      <protection locked="0"/>
    </xf>
    <xf numFmtId="0" fontId="5" fillId="7" borderId="43" xfId="0" applyFont="1" applyFill="1" applyBorder="1" applyAlignment="1" applyProtection="1">
      <alignment horizontal="center" vertical="center" wrapText="1"/>
      <protection locked="0"/>
    </xf>
    <xf numFmtId="0" fontId="3" fillId="8" borderId="36" xfId="0" applyFont="1" applyFill="1" applyBorder="1" applyAlignment="1">
      <alignment horizontal="center"/>
    </xf>
    <xf numFmtId="0" fontId="6" fillId="8" borderId="44" xfId="0" applyFont="1" applyFill="1" applyBorder="1" applyAlignment="1">
      <alignment horizontal="center"/>
    </xf>
    <xf numFmtId="0" fontId="6" fillId="8" borderId="24" xfId="0" applyFont="1" applyFill="1" applyBorder="1" applyAlignment="1">
      <alignment horizontal="center"/>
    </xf>
    <xf numFmtId="0" fontId="2" fillId="3" borderId="36" xfId="0" applyFont="1" applyFill="1" applyBorder="1" applyAlignment="1">
      <alignment horizontal="center"/>
    </xf>
    <xf numFmtId="0" fontId="6" fillId="3" borderId="44" xfId="0" applyFont="1" applyFill="1" applyBorder="1" applyAlignment="1">
      <alignment horizontal="center"/>
    </xf>
    <xf numFmtId="0" fontId="6" fillId="3" borderId="24" xfId="0" applyFont="1" applyFill="1" applyBorder="1" applyAlignment="1">
      <alignment horizontal="center"/>
    </xf>
    <xf numFmtId="0" fontId="3" fillId="4" borderId="36" xfId="0" applyFont="1" applyFill="1" applyBorder="1" applyAlignment="1">
      <alignment horizontal="center"/>
    </xf>
    <xf numFmtId="0" fontId="6" fillId="4" borderId="44" xfId="0" applyFont="1" applyFill="1" applyBorder="1" applyAlignment="1">
      <alignment horizontal="center"/>
    </xf>
    <xf numFmtId="0" fontId="6" fillId="4" borderId="24" xfId="0" applyFont="1" applyFill="1" applyBorder="1" applyAlignment="1">
      <alignment horizontal="center"/>
    </xf>
    <xf numFmtId="0" fontId="3" fillId="6" borderId="36" xfId="0" applyFont="1" applyFill="1" applyBorder="1" applyAlignment="1">
      <alignment horizontal="center"/>
    </xf>
    <xf numFmtId="0" fontId="6" fillId="6" borderId="44" xfId="0" applyFont="1" applyFill="1" applyBorder="1" applyAlignment="1">
      <alignment horizontal="center"/>
    </xf>
    <xf numFmtId="0" fontId="6" fillId="6" borderId="24" xfId="0" applyFont="1" applyFill="1" applyBorder="1" applyAlignment="1">
      <alignment horizontal="center"/>
    </xf>
    <xf numFmtId="0" fontId="3" fillId="9" borderId="36" xfId="0" applyFont="1" applyFill="1" applyBorder="1" applyAlignment="1">
      <alignment horizontal="center"/>
    </xf>
    <xf numFmtId="0" fontId="6" fillId="9" borderId="44" xfId="0" applyFont="1" applyFill="1" applyBorder="1" applyAlignment="1">
      <alignment horizontal="center"/>
    </xf>
    <xf numFmtId="0" fontId="6" fillId="9" borderId="24" xfId="0" applyFont="1" applyFill="1" applyBorder="1" applyAlignment="1">
      <alignment horizontal="center"/>
    </xf>
    <xf numFmtId="0" fontId="2" fillId="3" borderId="72" xfId="0" applyFont="1" applyFill="1" applyBorder="1" applyAlignment="1">
      <alignment horizontal="center" wrapText="1"/>
    </xf>
    <xf numFmtId="0" fontId="4" fillId="3" borderId="44" xfId="0" applyFont="1" applyFill="1" applyBorder="1" applyAlignment="1">
      <alignment horizontal="center"/>
    </xf>
    <xf numFmtId="0" fontId="4" fillId="3" borderId="24" xfId="0" applyFont="1" applyFill="1" applyBorder="1" applyAlignment="1">
      <alignment horizontal="center"/>
    </xf>
    <xf numFmtId="0" fontId="3" fillId="0" borderId="73" xfId="0" applyFont="1" applyFill="1" applyBorder="1" applyAlignment="1">
      <alignment horizontal="center" wrapText="1"/>
    </xf>
    <xf numFmtId="0" fontId="3" fillId="0" borderId="74" xfId="0" applyFont="1" applyFill="1" applyBorder="1" applyAlignment="1">
      <alignment horizontal="center" wrapText="1"/>
    </xf>
    <xf numFmtId="0" fontId="3" fillId="0" borderId="1" xfId="0" applyFont="1" applyFill="1" applyBorder="1" applyAlignment="1">
      <alignment horizontal="center" wrapText="1"/>
    </xf>
    <xf numFmtId="0" fontId="4" fillId="0" borderId="1" xfId="0" applyFont="1" applyFill="1" applyBorder="1" applyAlignment="1">
      <alignment horizontal="center" wrapText="1"/>
    </xf>
    <xf numFmtId="0" fontId="4" fillId="0" borderId="75" xfId="0" applyFont="1" applyFill="1" applyBorder="1" applyAlignment="1">
      <alignment horizontal="center" wrapText="1"/>
    </xf>
    <xf numFmtId="0" fontId="5" fillId="7" borderId="57" xfId="2" applyFont="1" applyFill="1" applyBorder="1" applyAlignment="1">
      <alignment horizontal="center" vertical="center" wrapText="1"/>
    </xf>
    <xf numFmtId="0" fontId="5" fillId="7" borderId="0" xfId="2" applyFont="1" applyFill="1" applyBorder="1" applyAlignment="1">
      <alignment horizontal="center" vertical="center" wrapText="1"/>
    </xf>
    <xf numFmtId="0" fontId="2" fillId="3" borderId="72" xfId="2" applyFont="1" applyFill="1" applyBorder="1" applyAlignment="1">
      <alignment horizontal="center" wrapText="1"/>
    </xf>
    <xf numFmtId="0" fontId="2" fillId="3" borderId="44" xfId="2" applyFont="1" applyFill="1" applyBorder="1" applyAlignment="1">
      <alignment horizontal="center" wrapText="1"/>
    </xf>
    <xf numFmtId="0" fontId="4" fillId="3" borderId="44" xfId="2" applyFont="1" applyFill="1" applyBorder="1" applyAlignment="1">
      <alignment horizontal="center"/>
    </xf>
    <xf numFmtId="0" fontId="4" fillId="3" borderId="24" xfId="2" applyFont="1" applyFill="1" applyBorder="1" applyAlignment="1">
      <alignment horizontal="center"/>
    </xf>
    <xf numFmtId="0" fontId="3" fillId="0" borderId="73" xfId="2" applyFont="1" applyBorder="1" applyAlignment="1">
      <alignment horizontal="center" wrapText="1"/>
    </xf>
    <xf numFmtId="0" fontId="3" fillId="0" borderId="74" xfId="2" applyFont="1" applyBorder="1" applyAlignment="1">
      <alignment horizontal="center" wrapText="1"/>
    </xf>
    <xf numFmtId="0" fontId="2" fillId="3" borderId="36" xfId="2" applyFont="1" applyFill="1" applyBorder="1" applyAlignment="1">
      <alignment horizontal="center"/>
    </xf>
    <xf numFmtId="0" fontId="5" fillId="7" borderId="15" xfId="0" applyFont="1" applyFill="1" applyBorder="1" applyAlignment="1">
      <alignment horizontal="center" vertical="center"/>
    </xf>
    <xf numFmtId="0" fontId="5" fillId="7" borderId="43" xfId="0" applyFont="1" applyFill="1" applyBorder="1" applyAlignment="1">
      <alignment horizontal="center" vertical="center"/>
    </xf>
    <xf numFmtId="0" fontId="5" fillId="7" borderId="42" xfId="2" applyFont="1" applyFill="1" applyBorder="1" applyAlignment="1">
      <alignment horizontal="center" vertical="center" wrapText="1"/>
    </xf>
    <xf numFmtId="0" fontId="5" fillId="7" borderId="43" xfId="2" applyFont="1" applyFill="1" applyBorder="1" applyAlignment="1">
      <alignment horizontal="center" vertical="center" wrapText="1"/>
    </xf>
    <xf numFmtId="0" fontId="2" fillId="3" borderId="36" xfId="2" applyFont="1" applyFill="1" applyBorder="1" applyAlignment="1">
      <alignment horizontal="center" wrapText="1"/>
    </xf>
    <xf numFmtId="0" fontId="4" fillId="0" borderId="44" xfId="2" applyBorder="1"/>
    <xf numFmtId="0" fontId="4" fillId="0" borderId="24" xfId="2" applyBorder="1"/>
    <xf numFmtId="0" fontId="3" fillId="0" borderId="36" xfId="2" applyFont="1" applyBorder="1" applyAlignment="1">
      <alignment horizontal="center" wrapText="1"/>
    </xf>
    <xf numFmtId="0" fontId="3" fillId="0" borderId="44" xfId="2" applyFont="1" applyBorder="1" applyAlignment="1">
      <alignment horizontal="center" wrapText="1"/>
    </xf>
    <xf numFmtId="0" fontId="0" fillId="0" borderId="0" xfId="0" applyFill="1" applyBorder="1" applyAlignment="1" applyProtection="1">
      <alignment vertical="top"/>
      <protection locked="0"/>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1" fillId="10" borderId="6" xfId="2" applyFont="1" applyFill="1" applyBorder="1" applyAlignment="1" applyProtection="1">
      <alignment vertical="center" wrapText="1"/>
      <protection locked="0"/>
    </xf>
    <xf numFmtId="0" fontId="1" fillId="10" borderId="49" xfId="2" applyFont="1" applyFill="1" applyBorder="1" applyAlignment="1" applyProtection="1">
      <alignment vertical="center"/>
      <protection locked="0"/>
    </xf>
    <xf numFmtId="0" fontId="1" fillId="10" borderId="26" xfId="2" applyFont="1" applyFill="1" applyBorder="1" applyAlignment="1" applyProtection="1">
      <alignment vertical="center" wrapText="1"/>
      <protection locked="0"/>
    </xf>
    <xf numFmtId="0" fontId="1" fillId="10" borderId="26" xfId="2" applyFont="1" applyFill="1" applyBorder="1" applyAlignment="1" applyProtection="1">
      <alignment horizontal="center" vertical="center" wrapText="1"/>
      <protection locked="0"/>
    </xf>
    <xf numFmtId="0" fontId="1" fillId="10" borderId="37" xfId="2" applyFont="1" applyFill="1" applyBorder="1" applyAlignment="1" applyProtection="1">
      <alignment horizontal="center" vertical="center" wrapText="1"/>
      <protection locked="0"/>
    </xf>
    <xf numFmtId="0" fontId="1" fillId="10" borderId="38" xfId="2" applyFont="1" applyFill="1" applyBorder="1" applyAlignment="1" applyProtection="1">
      <alignment horizontal="left" vertical="center" wrapText="1"/>
      <protection locked="0"/>
    </xf>
    <xf numFmtId="0" fontId="1" fillId="10" borderId="47" xfId="2" applyFont="1" applyFill="1" applyBorder="1" applyAlignment="1" applyProtection="1">
      <alignment horizontal="center" vertical="center"/>
      <protection locked="0"/>
    </xf>
    <xf numFmtId="0" fontId="4" fillId="10" borderId="0" xfId="2" applyFont="1" applyFill="1" applyAlignment="1" applyProtection="1">
      <alignment horizontal="left"/>
      <protection locked="0"/>
    </xf>
    <xf numFmtId="0" fontId="4" fillId="10" borderId="0" xfId="2" applyFill="1" applyProtection="1">
      <protection locked="0"/>
    </xf>
  </cellXfs>
  <cellStyles count="5">
    <cellStyle name="Heading" xfId="1"/>
    <cellStyle name="Normal" xfId="0" builtinId="0"/>
    <cellStyle name="Normal 2" xfId="2"/>
    <cellStyle name="Normal 3" xfId="3"/>
    <cellStyle name="Normal 4" xfId="4"/>
  </cellStyles>
  <dxfs count="132">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323" name="Control 26"/>
        <xdr:cNvSpPr>
          <a:spLocks noRot="1" noChangeArrowheads="1" noChangeShapeType="1" noTextEdit="1"/>
        </xdr:cNvSpPr>
      </xdr:nvSpPr>
      <xdr:spPr bwMode="auto">
        <a:xfrm>
          <a:off x="8848725" y="421957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tabSelected="1" zoomScale="80" zoomScaleNormal="80" workbookViewId="0">
      <selection activeCell="D10" sqref="D10"/>
    </sheetView>
  </sheetViews>
  <sheetFormatPr defaultRowHeight="12.75" x14ac:dyDescent="0.2"/>
  <cols>
    <col min="1" max="2" width="9.140625" style="247"/>
    <col min="3" max="3" width="14.7109375" style="247" customWidth="1"/>
    <col min="4" max="4" width="78.42578125" style="248" bestFit="1" customWidth="1"/>
    <col min="8" max="8" width="10.42578125" bestFit="1" customWidth="1"/>
  </cols>
  <sheetData>
    <row r="1" spans="1:14" s="251" customFormat="1" ht="18.75" thickBot="1" x14ac:dyDescent="0.3">
      <c r="A1" s="315" t="str">
        <f>CONCATENATE("MtrCurr - Rev", MAX(A3:A100))</f>
        <v>MtrCurr - Rev9</v>
      </c>
      <c r="B1" s="316"/>
      <c r="C1" s="316"/>
      <c r="D1" s="316"/>
      <c r="E1" s="249" t="s">
        <v>165</v>
      </c>
      <c r="F1" s="250"/>
      <c r="G1" s="250"/>
      <c r="H1" s="250"/>
      <c r="I1" s="250"/>
      <c r="J1" s="250"/>
      <c r="K1" s="250"/>
      <c r="L1" s="250"/>
      <c r="M1" s="250"/>
      <c r="N1" s="250"/>
    </row>
    <row r="2" spans="1:14" s="251" customFormat="1" x14ac:dyDescent="0.2">
      <c r="A2" s="4" t="s">
        <v>48</v>
      </c>
      <c r="B2" s="4" t="s">
        <v>49</v>
      </c>
      <c r="C2" s="4" t="s">
        <v>50</v>
      </c>
      <c r="D2" s="3" t="s">
        <v>51</v>
      </c>
      <c r="G2" s="252" t="s">
        <v>161</v>
      </c>
      <c r="H2" s="251" t="s">
        <v>160</v>
      </c>
    </row>
    <row r="3" spans="1:14" x14ac:dyDescent="0.2">
      <c r="A3" s="284">
        <v>1</v>
      </c>
      <c r="B3" s="285" t="s">
        <v>181</v>
      </c>
      <c r="C3" s="283">
        <v>40928</v>
      </c>
      <c r="D3" s="286" t="s">
        <v>175</v>
      </c>
    </row>
    <row r="4" spans="1:14" x14ac:dyDescent="0.2">
      <c r="A4" s="285">
        <v>3</v>
      </c>
      <c r="B4" s="285" t="s">
        <v>181</v>
      </c>
      <c r="C4" s="283">
        <v>41015</v>
      </c>
      <c r="D4" s="286" t="s">
        <v>227</v>
      </c>
    </row>
    <row r="5" spans="1:14" x14ac:dyDescent="0.2">
      <c r="A5" s="285">
        <v>4</v>
      </c>
      <c r="B5" s="285" t="s">
        <v>228</v>
      </c>
      <c r="C5" s="283">
        <v>41523</v>
      </c>
      <c r="D5" s="286" t="s">
        <v>229</v>
      </c>
    </row>
    <row r="6" spans="1:14" x14ac:dyDescent="0.2">
      <c r="A6" s="285">
        <v>5</v>
      </c>
      <c r="B6" s="285" t="s">
        <v>234</v>
      </c>
      <c r="C6" s="283">
        <v>41584</v>
      </c>
      <c r="D6" s="286" t="s">
        <v>235</v>
      </c>
    </row>
    <row r="7" spans="1:14" ht="25.5" x14ac:dyDescent="0.2">
      <c r="A7" s="243">
        <v>6</v>
      </c>
      <c r="B7" s="287" t="s">
        <v>236</v>
      </c>
      <c r="C7" s="245">
        <v>41598</v>
      </c>
      <c r="D7" s="288" t="s">
        <v>242</v>
      </c>
    </row>
    <row r="8" spans="1:14" x14ac:dyDescent="0.2">
      <c r="A8" s="243">
        <v>7</v>
      </c>
      <c r="B8" s="287" t="s">
        <v>276</v>
      </c>
      <c r="C8" s="245">
        <v>41663</v>
      </c>
      <c r="D8" s="288" t="s">
        <v>305</v>
      </c>
    </row>
    <row r="9" spans="1:14" x14ac:dyDescent="0.2">
      <c r="A9" s="243">
        <v>8</v>
      </c>
      <c r="B9" s="287" t="s">
        <v>228</v>
      </c>
      <c r="C9" s="245">
        <v>41750</v>
      </c>
      <c r="D9" s="288" t="s">
        <v>331</v>
      </c>
    </row>
    <row r="10" spans="1:14" x14ac:dyDescent="0.2">
      <c r="A10" s="243">
        <v>9</v>
      </c>
      <c r="B10" s="243" t="s">
        <v>228</v>
      </c>
      <c r="C10" s="245">
        <v>41816</v>
      </c>
      <c r="D10" s="244" t="s">
        <v>361</v>
      </c>
    </row>
    <row r="11" spans="1:14" x14ac:dyDescent="0.2">
      <c r="A11" s="243"/>
      <c r="B11" s="243"/>
      <c r="C11" s="245"/>
      <c r="D11" s="244"/>
    </row>
    <row r="12" spans="1:14" x14ac:dyDescent="0.2">
      <c r="A12" s="243"/>
      <c r="B12" s="243"/>
      <c r="C12" s="245"/>
      <c r="D12" s="244"/>
    </row>
    <row r="13" spans="1:14" x14ac:dyDescent="0.2">
      <c r="A13" s="246"/>
      <c r="B13" s="243"/>
      <c r="C13" s="245"/>
      <c r="D13" s="244"/>
    </row>
    <row r="14" spans="1:14" x14ac:dyDescent="0.2">
      <c r="A14" s="243"/>
      <c r="B14" s="243"/>
      <c r="C14" s="245"/>
      <c r="D14" s="244"/>
    </row>
    <row r="15" spans="1:14" x14ac:dyDescent="0.2">
      <c r="A15" s="243"/>
      <c r="B15" s="243"/>
      <c r="C15" s="245"/>
      <c r="D15" s="244"/>
    </row>
    <row r="16" spans="1:14" x14ac:dyDescent="0.2">
      <c r="A16" s="243"/>
      <c r="B16" s="243"/>
      <c r="C16" s="245"/>
      <c r="D16" s="244"/>
    </row>
    <row r="17" spans="1:4" x14ac:dyDescent="0.2">
      <c r="A17" s="243"/>
      <c r="B17" s="243"/>
      <c r="C17" s="245"/>
      <c r="D17" s="244"/>
    </row>
    <row r="18" spans="1:4" x14ac:dyDescent="0.2">
      <c r="A18" s="243"/>
      <c r="B18" s="243"/>
      <c r="C18" s="245"/>
      <c r="D18" s="244"/>
    </row>
    <row r="19" spans="1:4" x14ac:dyDescent="0.2">
      <c r="A19" s="243"/>
      <c r="B19" s="243"/>
      <c r="C19" s="245"/>
      <c r="D19" s="244"/>
    </row>
    <row r="20" spans="1:4" x14ac:dyDescent="0.2">
      <c r="A20" s="243"/>
      <c r="B20" s="243"/>
      <c r="C20" s="245"/>
      <c r="D20" s="244"/>
    </row>
    <row r="21" spans="1:4" x14ac:dyDescent="0.2">
      <c r="A21" s="243"/>
      <c r="B21" s="243"/>
      <c r="C21" s="245"/>
      <c r="D21" s="244"/>
    </row>
    <row r="22" spans="1:4" x14ac:dyDescent="0.2">
      <c r="A22" s="243"/>
      <c r="B22" s="243"/>
      <c r="C22" s="245"/>
      <c r="D22" s="244"/>
    </row>
    <row r="23" spans="1:4" x14ac:dyDescent="0.2">
      <c r="A23" s="243"/>
      <c r="B23" s="243"/>
      <c r="C23" s="245"/>
      <c r="D23" s="244"/>
    </row>
    <row r="24" spans="1:4" x14ac:dyDescent="0.2">
      <c r="A24" s="243"/>
      <c r="B24" s="243"/>
      <c r="C24" s="245"/>
      <c r="D24" s="244"/>
    </row>
    <row r="25" spans="1:4" x14ac:dyDescent="0.2">
      <c r="A25" s="243"/>
      <c r="B25" s="243"/>
      <c r="C25" s="245"/>
      <c r="D25" s="244"/>
    </row>
    <row r="26" spans="1:4" x14ac:dyDescent="0.2">
      <c r="A26" s="243"/>
      <c r="B26" s="243"/>
      <c r="C26" s="245"/>
      <c r="D26" s="244"/>
    </row>
    <row r="27" spans="1:4" x14ac:dyDescent="0.2">
      <c r="A27" s="243"/>
      <c r="B27" s="243"/>
      <c r="C27" s="245"/>
      <c r="D27" s="244"/>
    </row>
    <row r="28" spans="1:4" x14ac:dyDescent="0.2">
      <c r="A28" s="243"/>
      <c r="B28" s="243"/>
      <c r="C28" s="245"/>
      <c r="D28" s="244"/>
    </row>
    <row r="29" spans="1:4" x14ac:dyDescent="0.2">
      <c r="A29" s="243"/>
      <c r="B29" s="243"/>
      <c r="C29" s="245"/>
      <c r="D29" s="244"/>
    </row>
    <row r="30" spans="1:4" x14ac:dyDescent="0.2">
      <c r="A30" s="243"/>
      <c r="B30" s="243"/>
      <c r="C30" s="243"/>
      <c r="D30" s="244"/>
    </row>
    <row r="31" spans="1:4" x14ac:dyDescent="0.2">
      <c r="A31" s="243"/>
      <c r="B31" s="243"/>
      <c r="C31" s="243"/>
      <c r="D31" s="244"/>
    </row>
    <row r="32" spans="1:4" x14ac:dyDescent="0.2">
      <c r="A32" s="243"/>
      <c r="B32" s="243"/>
      <c r="C32" s="243"/>
      <c r="D32" s="244"/>
    </row>
    <row r="33" spans="1:4" x14ac:dyDescent="0.2">
      <c r="A33" s="243"/>
      <c r="B33" s="243"/>
      <c r="C33" s="243"/>
      <c r="D33" s="244"/>
    </row>
    <row r="34" spans="1:4" x14ac:dyDescent="0.2">
      <c r="A34" s="243"/>
      <c r="B34" s="243"/>
      <c r="C34" s="243"/>
      <c r="D34" s="244"/>
    </row>
    <row r="35" spans="1:4" x14ac:dyDescent="0.2">
      <c r="A35" s="243"/>
      <c r="B35" s="243"/>
      <c r="C35" s="243"/>
      <c r="D35" s="244"/>
    </row>
    <row r="36" spans="1:4" x14ac:dyDescent="0.2">
      <c r="A36" s="243"/>
      <c r="B36" s="243"/>
      <c r="C36" s="243"/>
      <c r="D36" s="244"/>
    </row>
    <row r="37" spans="1:4" x14ac:dyDescent="0.2">
      <c r="A37" s="243"/>
      <c r="B37" s="243"/>
      <c r="C37" s="243"/>
      <c r="D37" s="244"/>
    </row>
    <row r="38" spans="1:4" x14ac:dyDescent="0.2">
      <c r="A38" s="243"/>
      <c r="B38" s="243"/>
      <c r="C38" s="243"/>
      <c r="D38" s="244"/>
    </row>
    <row r="39" spans="1:4" x14ac:dyDescent="0.2">
      <c r="A39" s="243"/>
      <c r="B39" s="243"/>
      <c r="C39" s="243"/>
      <c r="D39" s="244"/>
    </row>
    <row r="40" spans="1:4" x14ac:dyDescent="0.2">
      <c r="A40" s="243"/>
      <c r="B40" s="243"/>
      <c r="C40" s="243"/>
      <c r="D40" s="244"/>
    </row>
    <row r="41" spans="1:4" x14ac:dyDescent="0.2">
      <c r="A41" s="243"/>
      <c r="B41" s="243"/>
      <c r="C41" s="243"/>
      <c r="D41" s="244"/>
    </row>
    <row r="42" spans="1:4" x14ac:dyDescent="0.2">
      <c r="A42" s="243"/>
      <c r="B42" s="243"/>
      <c r="C42" s="243"/>
      <c r="D42" s="244"/>
    </row>
    <row r="43" spans="1:4" x14ac:dyDescent="0.2">
      <c r="A43" s="243"/>
      <c r="B43" s="243"/>
      <c r="C43" s="243"/>
      <c r="D43" s="244"/>
    </row>
    <row r="44" spans="1:4" x14ac:dyDescent="0.2">
      <c r="A44" s="243"/>
      <c r="B44" s="243"/>
      <c r="C44" s="243"/>
      <c r="D44" s="244"/>
    </row>
    <row r="45" spans="1:4" x14ac:dyDescent="0.2">
      <c r="A45" s="243"/>
      <c r="B45" s="243"/>
      <c r="C45" s="243"/>
      <c r="D45" s="244"/>
    </row>
    <row r="46" spans="1:4" x14ac:dyDescent="0.2">
      <c r="A46" s="243"/>
      <c r="B46" s="243"/>
      <c r="C46" s="243"/>
      <c r="D46" s="244"/>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J252"/>
  <sheetViews>
    <sheetView workbookViewId="0">
      <pane xSplit="1" ySplit="4" topLeftCell="B5" activePane="bottomRight" state="frozen"/>
      <selection pane="topRight" activeCell="B1" sqref="B1"/>
      <selection pane="bottomLeft" activeCell="A5" sqref="A5"/>
      <selection pane="bottomRight" activeCell="A5" sqref="A5"/>
    </sheetView>
  </sheetViews>
  <sheetFormatPr defaultRowHeight="12.75" x14ac:dyDescent="0.2"/>
  <cols>
    <col min="1" max="1" width="36" style="2" customWidth="1"/>
    <col min="2" max="2" width="26.140625" style="1" customWidth="1"/>
    <col min="3" max="3" width="3.42578125" style="48" customWidth="1"/>
    <col min="4" max="4" width="3.42578125" style="49" customWidth="1"/>
    <col min="5" max="5" width="3.28515625" style="49" customWidth="1"/>
    <col min="6" max="6" width="3.42578125" style="49" customWidth="1"/>
    <col min="7" max="7" width="3" style="49" bestFit="1" customWidth="1"/>
    <col min="8" max="8" width="21.7109375" style="50" customWidth="1"/>
    <col min="9" max="9" width="6.5703125" style="49" bestFit="1" customWidth="1"/>
    <col min="10" max="10" width="9.5703125" style="51" bestFit="1" customWidth="1"/>
    <col min="11" max="11" width="8" style="49" bestFit="1" customWidth="1"/>
    <col min="12" max="12" width="17.28515625" style="49" bestFit="1" customWidth="1"/>
    <col min="13" max="13" width="23" style="49" bestFit="1" customWidth="1"/>
    <col min="14" max="14" width="3.28515625" style="1" customWidth="1"/>
    <col min="15" max="45" width="3.28515625" style="1" bestFit="1" customWidth="1"/>
    <col min="46" max="46" width="3.28515625" style="1" customWidth="1"/>
    <col min="47" max="60" width="3.28515625" style="1" bestFit="1" customWidth="1"/>
    <col min="61" max="61" width="3.28515625" style="1" customWidth="1"/>
    <col min="62" max="86" width="3.28515625" style="1" bestFit="1" customWidth="1"/>
    <col min="87" max="16384" width="9.140625" style="1"/>
  </cols>
  <sheetData>
    <row r="1" spans="1:88" s="29" customFormat="1" ht="29.25" customHeight="1" thickBot="1" x14ac:dyDescent="0.25">
      <c r="A1" s="317" t="str">
        <f>'Change Log'!A1:D1</f>
        <v>MtrCurr - Rev9</v>
      </c>
      <c r="B1" s="318"/>
      <c r="C1" s="318"/>
      <c r="D1" s="318"/>
      <c r="E1" s="318"/>
      <c r="F1" s="318"/>
      <c r="G1" s="318"/>
      <c r="H1" s="318"/>
      <c r="I1" s="318"/>
      <c r="J1" s="318"/>
      <c r="K1" s="318"/>
      <c r="L1" s="318"/>
      <c r="M1" s="318"/>
    </row>
    <row r="2" spans="1:88" ht="13.5" customHeight="1" thickBot="1" x14ac:dyDescent="0.25">
      <c r="A2" s="334" t="s">
        <v>15</v>
      </c>
      <c r="B2" s="335"/>
      <c r="C2" s="335"/>
      <c r="D2" s="335"/>
      <c r="E2" s="335"/>
      <c r="F2" s="335"/>
      <c r="G2" s="335"/>
      <c r="H2" s="322" t="s">
        <v>86</v>
      </c>
      <c r="I2" s="335"/>
      <c r="J2" s="335"/>
      <c r="K2" s="335"/>
      <c r="L2" s="336"/>
      <c r="M2" s="52"/>
      <c r="N2" s="322" t="s">
        <v>10</v>
      </c>
      <c r="O2" s="323"/>
      <c r="P2" s="323"/>
      <c r="Q2" s="323"/>
      <c r="R2" s="323"/>
      <c r="S2" s="323"/>
      <c r="T2" s="323"/>
      <c r="U2" s="323"/>
      <c r="V2" s="323"/>
      <c r="W2" s="323"/>
      <c r="X2" s="323"/>
      <c r="Y2" s="323"/>
      <c r="Z2" s="323"/>
      <c r="AA2" s="323"/>
      <c r="AB2" s="323"/>
      <c r="AC2" s="323"/>
      <c r="AD2" s="323"/>
      <c r="AE2" s="323"/>
      <c r="AF2" s="323"/>
      <c r="AG2" s="323"/>
      <c r="AH2" s="323"/>
      <c r="AI2" s="323"/>
      <c r="AJ2" s="323"/>
      <c r="AK2" s="323"/>
      <c r="AL2" s="323"/>
      <c r="AM2" s="323"/>
      <c r="AN2" s="323"/>
      <c r="AO2" s="323"/>
      <c r="AP2" s="323"/>
      <c r="AQ2" s="323"/>
      <c r="AR2" s="323"/>
      <c r="AS2" s="323"/>
      <c r="AT2" s="323"/>
      <c r="AU2" s="323"/>
      <c r="AV2" s="323"/>
      <c r="AW2" s="323"/>
      <c r="AX2" s="323"/>
      <c r="AY2" s="323"/>
      <c r="AZ2" s="323"/>
      <c r="BA2" s="323"/>
      <c r="BB2" s="323"/>
      <c r="BC2" s="323"/>
      <c r="BD2" s="323"/>
      <c r="BE2" s="323"/>
      <c r="BF2" s="323"/>
      <c r="BG2" s="323"/>
      <c r="BH2" s="323"/>
      <c r="BI2" s="323"/>
      <c r="BJ2" s="323"/>
      <c r="BK2" s="323"/>
      <c r="BL2" s="323"/>
      <c r="BM2" s="323"/>
      <c r="BN2" s="323"/>
      <c r="BO2" s="323"/>
      <c r="BP2" s="323"/>
      <c r="BQ2" s="323"/>
      <c r="BR2" s="323"/>
      <c r="BS2" s="323"/>
      <c r="BT2" s="323"/>
      <c r="BU2" s="323"/>
      <c r="BV2" s="323"/>
      <c r="BW2" s="323"/>
      <c r="BX2" s="323"/>
      <c r="BY2" s="323"/>
      <c r="BZ2" s="323"/>
      <c r="CA2" s="323"/>
      <c r="CB2" s="323"/>
      <c r="CC2" s="323"/>
      <c r="CD2" s="323"/>
      <c r="CE2" s="323"/>
      <c r="CF2" s="323"/>
      <c r="CG2" s="323"/>
      <c r="CH2" s="324"/>
      <c r="CI2" s="173"/>
      <c r="CJ2" s="173"/>
    </row>
    <row r="3" spans="1:88" s="36" customFormat="1" ht="13.5" thickBot="1" x14ac:dyDescent="0.25">
      <c r="A3" s="30"/>
      <c r="B3" s="31"/>
      <c r="C3" s="32"/>
      <c r="D3" s="339" t="s">
        <v>83</v>
      </c>
      <c r="E3" s="340"/>
      <c r="F3" s="340"/>
      <c r="G3" s="341"/>
      <c r="H3" s="33" t="s">
        <v>52</v>
      </c>
      <c r="I3" s="337" t="s">
        <v>85</v>
      </c>
      <c r="J3" s="338"/>
      <c r="K3" s="34"/>
      <c r="L3" s="35"/>
      <c r="M3" s="35"/>
      <c r="N3" s="325" t="s">
        <v>56</v>
      </c>
      <c r="O3" s="326"/>
      <c r="P3" s="326"/>
      <c r="Q3" s="326"/>
      <c r="R3" s="326"/>
      <c r="S3" s="326"/>
      <c r="T3" s="326"/>
      <c r="U3" s="326"/>
      <c r="V3" s="326"/>
      <c r="W3" s="326"/>
      <c r="X3" s="326"/>
      <c r="Y3" s="326"/>
      <c r="Z3" s="326"/>
      <c r="AA3" s="326"/>
      <c r="AB3" s="326"/>
      <c r="AC3" s="326"/>
      <c r="AD3" s="326"/>
      <c r="AE3" s="326"/>
      <c r="AF3" s="326"/>
      <c r="AG3" s="326"/>
      <c r="AH3" s="326"/>
      <c r="AI3" s="326"/>
      <c r="AJ3" s="326"/>
      <c r="AK3" s="326"/>
      <c r="AL3" s="326"/>
      <c r="AM3" s="326"/>
      <c r="AN3" s="326"/>
      <c r="AO3" s="326"/>
      <c r="AP3" s="326"/>
      <c r="AQ3" s="326"/>
      <c r="AR3" s="326"/>
      <c r="AS3" s="326"/>
      <c r="AT3" s="327"/>
      <c r="AU3" s="328" t="s">
        <v>80</v>
      </c>
      <c r="AV3" s="329"/>
      <c r="AW3" s="329"/>
      <c r="AX3" s="329"/>
      <c r="AY3" s="329"/>
      <c r="AZ3" s="329"/>
      <c r="BA3" s="329"/>
      <c r="BB3" s="329"/>
      <c r="BC3" s="329"/>
      <c r="BD3" s="329"/>
      <c r="BE3" s="329"/>
      <c r="BF3" s="329"/>
      <c r="BG3" s="329"/>
      <c r="BH3" s="329"/>
      <c r="BI3" s="329"/>
      <c r="BJ3" s="329"/>
      <c r="BK3" s="329"/>
      <c r="BL3" s="329"/>
      <c r="BM3" s="329"/>
      <c r="BN3" s="329"/>
      <c r="BO3" s="330"/>
      <c r="BP3" s="331" t="s">
        <v>59</v>
      </c>
      <c r="BQ3" s="332"/>
      <c r="BR3" s="332"/>
      <c r="BS3" s="332"/>
      <c r="BT3" s="332"/>
      <c r="BU3" s="332"/>
      <c r="BV3" s="332"/>
      <c r="BW3" s="332"/>
      <c r="BX3" s="333"/>
      <c r="BY3" s="319" t="s">
        <v>81</v>
      </c>
      <c r="BZ3" s="320"/>
      <c r="CA3" s="320"/>
      <c r="CB3" s="320"/>
      <c r="CC3" s="320"/>
      <c r="CD3" s="320"/>
      <c r="CE3" s="320"/>
      <c r="CF3" s="320"/>
      <c r="CG3" s="320"/>
      <c r="CH3" s="321"/>
      <c r="CI3" s="174"/>
      <c r="CJ3" s="174"/>
    </row>
    <row r="4" spans="1:88" s="36" customFormat="1" ht="201.75" customHeight="1" thickBot="1" x14ac:dyDescent="0.25">
      <c r="A4" s="37" t="s">
        <v>57</v>
      </c>
      <c r="B4" s="38" t="s">
        <v>58</v>
      </c>
      <c r="C4" s="53" t="s">
        <v>94</v>
      </c>
      <c r="D4" s="39" t="s">
        <v>95</v>
      </c>
      <c r="E4" s="40" t="s">
        <v>96</v>
      </c>
      <c r="F4" s="40" t="s">
        <v>97</v>
      </c>
      <c r="G4" s="41" t="s">
        <v>98</v>
      </c>
      <c r="H4" s="42" t="s">
        <v>93</v>
      </c>
      <c r="I4" s="43" t="s">
        <v>54</v>
      </c>
      <c r="J4" s="44" t="s">
        <v>55</v>
      </c>
      <c r="K4" s="38" t="s">
        <v>53</v>
      </c>
      <c r="L4" s="45" t="s">
        <v>92</v>
      </c>
      <c r="M4" s="35" t="s">
        <v>111</v>
      </c>
      <c r="N4" s="175" t="s">
        <v>21</v>
      </c>
      <c r="O4" s="176" t="s">
        <v>22</v>
      </c>
      <c r="P4" s="176" t="s">
        <v>23</v>
      </c>
      <c r="Q4" s="176" t="s">
        <v>103</v>
      </c>
      <c r="R4" s="176" t="s">
        <v>123</v>
      </c>
      <c r="S4" s="176" t="s">
        <v>124</v>
      </c>
      <c r="T4" s="176" t="s">
        <v>125</v>
      </c>
      <c r="U4" s="176" t="s">
        <v>126</v>
      </c>
      <c r="V4" s="176" t="s">
        <v>127</v>
      </c>
      <c r="W4" s="176" t="s">
        <v>128</v>
      </c>
      <c r="X4" s="176" t="s">
        <v>129</v>
      </c>
      <c r="Y4" s="176" t="s">
        <v>130</v>
      </c>
      <c r="Z4" s="176" t="s">
        <v>24</v>
      </c>
      <c r="AA4" s="176" t="s">
        <v>25</v>
      </c>
      <c r="AB4" s="176" t="s">
        <v>26</v>
      </c>
      <c r="AC4" s="176" t="s">
        <v>27</v>
      </c>
      <c r="AD4" s="176" t="s">
        <v>28</v>
      </c>
      <c r="AE4" s="176" t="s">
        <v>29</v>
      </c>
      <c r="AF4" s="176" t="s">
        <v>30</v>
      </c>
      <c r="AG4" s="176" t="s">
        <v>114</v>
      </c>
      <c r="AH4" s="176" t="s">
        <v>31</v>
      </c>
      <c r="AI4" s="176" t="s">
        <v>32</v>
      </c>
      <c r="AJ4" s="176" t="s">
        <v>33</v>
      </c>
      <c r="AK4" s="176" t="s">
        <v>34</v>
      </c>
      <c r="AL4" s="176" t="s">
        <v>35</v>
      </c>
      <c r="AM4" s="176" t="s">
        <v>36</v>
      </c>
      <c r="AN4" s="176" t="s">
        <v>37</v>
      </c>
      <c r="AO4" s="176" t="s">
        <v>38</v>
      </c>
      <c r="AP4" s="176" t="s">
        <v>39</v>
      </c>
      <c r="AQ4" s="176" t="s">
        <v>40</v>
      </c>
      <c r="AR4" s="176" t="s">
        <v>41</v>
      </c>
      <c r="AS4" s="176" t="s">
        <v>42</v>
      </c>
      <c r="AT4" s="176" t="s">
        <v>14</v>
      </c>
      <c r="AU4" s="176" t="s">
        <v>43</v>
      </c>
      <c r="AV4" s="176" t="s">
        <v>44</v>
      </c>
      <c r="AW4" s="176" t="s">
        <v>45</v>
      </c>
      <c r="AX4" s="176" t="s">
        <v>46</v>
      </c>
      <c r="AY4" s="176" t="s">
        <v>47</v>
      </c>
      <c r="AZ4" s="176" t="s">
        <v>73</v>
      </c>
      <c r="BA4" s="176" t="s">
        <v>74</v>
      </c>
      <c r="BB4" s="176" t="s">
        <v>75</v>
      </c>
      <c r="BC4" s="176" t="s">
        <v>76</v>
      </c>
      <c r="BD4" s="176" t="s">
        <v>77</v>
      </c>
      <c r="BE4" s="176" t="s">
        <v>78</v>
      </c>
      <c r="BF4" s="176" t="s">
        <v>89</v>
      </c>
      <c r="BG4" s="176" t="s">
        <v>113</v>
      </c>
      <c r="BH4" s="176" t="s">
        <v>90</v>
      </c>
      <c r="BI4" s="176" t="s">
        <v>141</v>
      </c>
      <c r="BJ4" s="176" t="s">
        <v>91</v>
      </c>
      <c r="BK4" s="176" t="s">
        <v>60</v>
      </c>
      <c r="BL4" s="176" t="s">
        <v>61</v>
      </c>
      <c r="BM4" s="176" t="s">
        <v>62</v>
      </c>
      <c r="BN4" s="176" t="s">
        <v>63</v>
      </c>
      <c r="BO4" s="176" t="s">
        <v>64</v>
      </c>
      <c r="BP4" s="176" t="s">
        <v>65</v>
      </c>
      <c r="BQ4" s="176" t="s">
        <v>66</v>
      </c>
      <c r="BR4" s="176" t="s">
        <v>67</v>
      </c>
      <c r="BS4" s="176" t="s">
        <v>68</v>
      </c>
      <c r="BT4" s="176" t="s">
        <v>69</v>
      </c>
      <c r="BU4" s="176" t="s">
        <v>70</v>
      </c>
      <c r="BV4" s="176" t="s">
        <v>71</v>
      </c>
      <c r="BW4" s="176" t="s">
        <v>72</v>
      </c>
      <c r="BX4" s="176" t="s">
        <v>104</v>
      </c>
      <c r="BY4" s="176" t="s">
        <v>105</v>
      </c>
      <c r="BZ4" s="176" t="s">
        <v>106</v>
      </c>
      <c r="CA4" s="176" t="s">
        <v>107</v>
      </c>
      <c r="CB4" s="176" t="s">
        <v>108</v>
      </c>
      <c r="CC4" s="176" t="s">
        <v>109</v>
      </c>
      <c r="CD4" s="176" t="s">
        <v>110</v>
      </c>
      <c r="CE4" s="176" t="s">
        <v>119</v>
      </c>
      <c r="CF4" s="176" t="s">
        <v>120</v>
      </c>
      <c r="CG4" s="176" t="s">
        <v>121</v>
      </c>
      <c r="CH4" s="176" t="s">
        <v>122</v>
      </c>
    </row>
    <row r="5" spans="1:88" s="36" customFormat="1" x14ac:dyDescent="0.2">
      <c r="A5" s="105"/>
      <c r="B5" s="105"/>
      <c r="C5" s="56"/>
      <c r="D5" s="57" t="s">
        <v>84</v>
      </c>
      <c r="E5" s="58" t="s">
        <v>84</v>
      </c>
      <c r="F5" s="58" t="s">
        <v>84</v>
      </c>
      <c r="G5" s="59" t="s">
        <v>84</v>
      </c>
      <c r="H5" s="106"/>
      <c r="I5" s="107"/>
      <c r="J5" s="108"/>
      <c r="K5" s="109"/>
      <c r="L5" s="110"/>
      <c r="M5" s="111"/>
      <c r="N5" s="112"/>
      <c r="O5" s="113"/>
      <c r="P5" s="113"/>
      <c r="Q5" s="113"/>
      <c r="R5" s="113"/>
      <c r="S5" s="113"/>
      <c r="T5" s="113"/>
      <c r="U5" s="113"/>
      <c r="V5" s="113"/>
      <c r="W5" s="113"/>
      <c r="X5" s="113"/>
      <c r="Y5" s="113"/>
      <c r="Z5" s="113"/>
      <c r="AA5" s="113"/>
      <c r="AB5" s="113"/>
      <c r="AC5" s="113"/>
      <c r="AD5" s="113"/>
      <c r="AE5" s="113"/>
      <c r="AF5" s="113"/>
      <c r="AG5" s="113"/>
      <c r="AH5" s="113"/>
      <c r="AI5" s="113"/>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13"/>
      <c r="BI5" s="113"/>
      <c r="BJ5" s="113"/>
      <c r="BK5" s="113"/>
      <c r="BL5" s="113"/>
      <c r="BM5" s="113"/>
      <c r="BN5" s="113"/>
      <c r="BO5" s="113"/>
      <c r="BP5" s="113"/>
      <c r="BQ5" s="113"/>
      <c r="BR5" s="113"/>
      <c r="BS5" s="113"/>
      <c r="BT5" s="113"/>
      <c r="BU5" s="113"/>
      <c r="BV5" s="113"/>
      <c r="BW5" s="113"/>
      <c r="BX5" s="113"/>
      <c r="BY5" s="113"/>
      <c r="BZ5" s="113"/>
      <c r="CA5" s="113"/>
      <c r="CB5" s="113"/>
      <c r="CC5" s="113"/>
      <c r="CD5" s="113"/>
      <c r="CE5" s="113"/>
      <c r="CF5" s="113"/>
      <c r="CG5" s="113"/>
      <c r="CH5" s="114"/>
    </row>
    <row r="6" spans="1:88" s="36" customFormat="1" x14ac:dyDescent="0.2">
      <c r="A6" s="105"/>
      <c r="B6" s="105"/>
      <c r="C6" s="56"/>
      <c r="D6" s="57"/>
      <c r="E6" s="58"/>
      <c r="F6" s="58"/>
      <c r="G6" s="59"/>
      <c r="H6" s="106"/>
      <c r="I6" s="107"/>
      <c r="J6" s="108"/>
      <c r="K6" s="109"/>
      <c r="L6" s="110"/>
      <c r="M6" s="111"/>
      <c r="N6" s="115"/>
      <c r="O6" s="116"/>
      <c r="P6" s="116"/>
      <c r="Q6" s="116"/>
      <c r="R6" s="116"/>
      <c r="S6" s="116"/>
      <c r="T6" s="116"/>
      <c r="U6" s="116"/>
      <c r="V6" s="116"/>
      <c r="W6" s="116"/>
      <c r="X6" s="116"/>
      <c r="Y6" s="116"/>
      <c r="Z6" s="116"/>
      <c r="AA6" s="116"/>
      <c r="AB6" s="116"/>
      <c r="AC6" s="116"/>
      <c r="AD6" s="116"/>
      <c r="AE6" s="116"/>
      <c r="AF6" s="116"/>
      <c r="AG6" s="116"/>
      <c r="AH6" s="116"/>
      <c r="AI6" s="116"/>
      <c r="AJ6" s="116"/>
      <c r="AK6" s="116"/>
      <c r="AL6" s="116"/>
      <c r="AM6" s="116"/>
      <c r="AN6" s="116"/>
      <c r="AO6" s="116"/>
      <c r="AP6" s="116"/>
      <c r="AQ6" s="116"/>
      <c r="AR6" s="116"/>
      <c r="AS6" s="116"/>
      <c r="AT6" s="116"/>
      <c r="AU6" s="116"/>
      <c r="AV6" s="116"/>
      <c r="AW6" s="116"/>
      <c r="AX6" s="116"/>
      <c r="AY6" s="116"/>
      <c r="AZ6" s="116"/>
      <c r="BA6" s="116"/>
      <c r="BB6" s="116"/>
      <c r="BC6" s="116"/>
      <c r="BD6" s="116"/>
      <c r="BE6" s="116"/>
      <c r="BF6" s="116"/>
      <c r="BG6" s="116"/>
      <c r="BH6" s="116"/>
      <c r="BI6" s="116"/>
      <c r="BJ6" s="116"/>
      <c r="BK6" s="116"/>
      <c r="BL6" s="116"/>
      <c r="BM6" s="116"/>
      <c r="BN6" s="116"/>
      <c r="BO6" s="116"/>
      <c r="BP6" s="116"/>
      <c r="BQ6" s="116"/>
      <c r="BR6" s="116"/>
      <c r="BS6" s="116"/>
      <c r="BT6" s="116"/>
      <c r="BU6" s="116"/>
      <c r="BV6" s="116"/>
      <c r="BW6" s="116"/>
      <c r="BX6" s="116"/>
      <c r="BY6" s="116"/>
      <c r="BZ6" s="116"/>
      <c r="CA6" s="116"/>
      <c r="CB6" s="116"/>
      <c r="CC6" s="116"/>
      <c r="CD6" s="116"/>
      <c r="CE6" s="116"/>
      <c r="CF6" s="116"/>
      <c r="CG6" s="116"/>
      <c r="CH6" s="117"/>
    </row>
    <row r="7" spans="1:88" s="36" customFormat="1" x14ac:dyDescent="0.2">
      <c r="A7" s="105"/>
      <c r="B7" s="105"/>
      <c r="C7" s="56"/>
      <c r="D7" s="57"/>
      <c r="E7" s="58"/>
      <c r="F7" s="58"/>
      <c r="G7" s="59"/>
      <c r="H7" s="106"/>
      <c r="I7" s="107"/>
      <c r="J7" s="108"/>
      <c r="K7" s="109"/>
      <c r="L7" s="110"/>
      <c r="M7" s="111"/>
      <c r="N7" s="115"/>
      <c r="O7" s="116"/>
      <c r="P7" s="116"/>
      <c r="Q7" s="116"/>
      <c r="R7" s="116"/>
      <c r="S7" s="116"/>
      <c r="T7" s="116"/>
      <c r="U7" s="116"/>
      <c r="V7" s="116"/>
      <c r="W7" s="116"/>
      <c r="X7" s="116"/>
      <c r="Y7" s="116"/>
      <c r="Z7" s="116"/>
      <c r="AA7" s="116"/>
      <c r="AB7" s="116"/>
      <c r="AC7" s="116"/>
      <c r="AD7" s="116"/>
      <c r="AE7" s="116"/>
      <c r="AF7" s="116"/>
      <c r="AG7" s="116"/>
      <c r="AH7" s="116"/>
      <c r="AI7" s="116"/>
      <c r="AJ7" s="116"/>
      <c r="AK7" s="116"/>
      <c r="AL7" s="116"/>
      <c r="AM7" s="116"/>
      <c r="AN7" s="116"/>
      <c r="AO7" s="116"/>
      <c r="AP7" s="116"/>
      <c r="AQ7" s="116"/>
      <c r="AR7" s="116"/>
      <c r="AS7" s="116"/>
      <c r="AT7" s="116"/>
      <c r="AU7" s="116"/>
      <c r="AV7" s="116"/>
      <c r="AW7" s="116"/>
      <c r="AX7" s="116"/>
      <c r="AY7" s="116"/>
      <c r="AZ7" s="116"/>
      <c r="BA7" s="116"/>
      <c r="BB7" s="116"/>
      <c r="BC7" s="116"/>
      <c r="BD7" s="116"/>
      <c r="BE7" s="116"/>
      <c r="BF7" s="116"/>
      <c r="BG7" s="116"/>
      <c r="BH7" s="116"/>
      <c r="BI7" s="116"/>
      <c r="BJ7" s="116"/>
      <c r="BK7" s="116"/>
      <c r="BL7" s="116"/>
      <c r="BM7" s="116"/>
      <c r="BN7" s="116"/>
      <c r="BO7" s="116"/>
      <c r="BP7" s="116"/>
      <c r="BQ7" s="116"/>
      <c r="BR7" s="116"/>
      <c r="BS7" s="116"/>
      <c r="BT7" s="116"/>
      <c r="BU7" s="116"/>
      <c r="BV7" s="116"/>
      <c r="BW7" s="116"/>
      <c r="BX7" s="116"/>
      <c r="BY7" s="116"/>
      <c r="BZ7" s="116"/>
      <c r="CA7" s="116"/>
      <c r="CB7" s="116"/>
      <c r="CC7" s="116"/>
      <c r="CD7" s="116"/>
      <c r="CE7" s="116"/>
      <c r="CF7" s="116"/>
      <c r="CG7" s="116"/>
      <c r="CH7" s="117"/>
    </row>
    <row r="8" spans="1:88" s="36" customFormat="1" ht="39" customHeight="1" x14ac:dyDescent="0.2">
      <c r="A8" s="105"/>
      <c r="B8" s="105"/>
      <c r="C8" s="56"/>
      <c r="D8" s="57"/>
      <c r="E8" s="58"/>
      <c r="F8" s="58"/>
      <c r="G8" s="59"/>
      <c r="H8" s="106"/>
      <c r="I8" s="107"/>
      <c r="J8" s="108"/>
      <c r="K8" s="109"/>
      <c r="L8" s="110"/>
      <c r="M8" s="111"/>
      <c r="N8" s="115"/>
      <c r="O8" s="116"/>
      <c r="P8" s="116"/>
      <c r="Q8" s="116"/>
      <c r="R8" s="116"/>
      <c r="S8" s="116"/>
      <c r="T8" s="116"/>
      <c r="U8" s="116"/>
      <c r="V8" s="116"/>
      <c r="W8" s="116"/>
      <c r="X8" s="116"/>
      <c r="Y8" s="116"/>
      <c r="Z8" s="116"/>
      <c r="AA8" s="116"/>
      <c r="AB8" s="116"/>
      <c r="AC8" s="116"/>
      <c r="AD8" s="116"/>
      <c r="AE8" s="116"/>
      <c r="AF8" s="116"/>
      <c r="AG8" s="116"/>
      <c r="AH8" s="116"/>
      <c r="AI8" s="116"/>
      <c r="AJ8" s="116"/>
      <c r="AK8" s="116"/>
      <c r="AL8" s="116"/>
      <c r="AM8" s="116"/>
      <c r="AN8" s="116"/>
      <c r="AO8" s="116"/>
      <c r="AP8" s="116"/>
      <c r="AQ8" s="116"/>
      <c r="AR8" s="116"/>
      <c r="AS8" s="116"/>
      <c r="AT8" s="116"/>
      <c r="AU8" s="116"/>
      <c r="AV8" s="116"/>
      <c r="AW8" s="116"/>
      <c r="AX8" s="116"/>
      <c r="AY8" s="116"/>
      <c r="AZ8" s="116"/>
      <c r="BA8" s="116"/>
      <c r="BB8" s="116"/>
      <c r="BC8" s="116"/>
      <c r="BD8" s="116"/>
      <c r="BE8" s="116"/>
      <c r="BF8" s="116"/>
      <c r="BG8" s="116"/>
      <c r="BH8" s="116"/>
      <c r="BI8" s="116"/>
      <c r="BJ8" s="116"/>
      <c r="BK8" s="116"/>
      <c r="BL8" s="116"/>
      <c r="BM8" s="116"/>
      <c r="BN8" s="116"/>
      <c r="BO8" s="116"/>
      <c r="BP8" s="116"/>
      <c r="BQ8" s="116"/>
      <c r="BR8" s="116"/>
      <c r="BS8" s="116"/>
      <c r="BT8" s="116"/>
      <c r="BU8" s="116"/>
      <c r="BV8" s="116"/>
      <c r="BW8" s="116"/>
      <c r="BX8" s="116"/>
      <c r="BY8" s="116"/>
      <c r="BZ8" s="116"/>
      <c r="CA8" s="116"/>
      <c r="CB8" s="116"/>
      <c r="CC8" s="116"/>
      <c r="CD8" s="116"/>
      <c r="CE8" s="116"/>
      <c r="CF8" s="116"/>
      <c r="CG8" s="116"/>
      <c r="CH8" s="117"/>
    </row>
    <row r="9" spans="1:88" s="36" customFormat="1" x14ac:dyDescent="0.2">
      <c r="A9" s="105"/>
      <c r="B9" s="105"/>
      <c r="C9" s="56"/>
      <c r="D9" s="57"/>
      <c r="E9" s="58"/>
      <c r="F9" s="58"/>
      <c r="G9" s="59"/>
      <c r="H9" s="118"/>
      <c r="I9" s="107"/>
      <c r="J9" s="108"/>
      <c r="K9" s="119"/>
      <c r="L9" s="110"/>
      <c r="M9" s="111"/>
      <c r="N9" s="115"/>
      <c r="O9" s="116"/>
      <c r="P9" s="116"/>
      <c r="Q9" s="116"/>
      <c r="R9" s="116"/>
      <c r="S9" s="116"/>
      <c r="T9" s="116"/>
      <c r="U9" s="116"/>
      <c r="V9" s="116"/>
      <c r="W9" s="116"/>
      <c r="X9" s="116"/>
      <c r="Y9" s="116"/>
      <c r="Z9" s="116"/>
      <c r="AA9" s="116"/>
      <c r="AB9" s="116"/>
      <c r="AC9" s="116"/>
      <c r="AD9" s="116"/>
      <c r="AE9" s="116"/>
      <c r="AF9" s="116"/>
      <c r="AG9" s="116"/>
      <c r="AH9" s="116"/>
      <c r="AI9" s="116"/>
      <c r="AJ9" s="116"/>
      <c r="AK9" s="116"/>
      <c r="AL9" s="116"/>
      <c r="AM9" s="116"/>
      <c r="AN9" s="116"/>
      <c r="AO9" s="116"/>
      <c r="AP9" s="116"/>
      <c r="AQ9" s="116"/>
      <c r="AR9" s="116"/>
      <c r="AS9" s="116"/>
      <c r="AT9" s="116"/>
      <c r="AU9" s="116"/>
      <c r="AV9" s="116"/>
      <c r="AW9" s="116"/>
      <c r="AX9" s="116"/>
      <c r="AY9" s="116"/>
      <c r="AZ9" s="116"/>
      <c r="BA9" s="116"/>
      <c r="BB9" s="116"/>
      <c r="BC9" s="116"/>
      <c r="BD9" s="116"/>
      <c r="BE9" s="116"/>
      <c r="BF9" s="116"/>
      <c r="BG9" s="116"/>
      <c r="BH9" s="116"/>
      <c r="BI9" s="116"/>
      <c r="BJ9" s="116"/>
      <c r="BK9" s="116"/>
      <c r="BL9" s="116"/>
      <c r="BM9" s="116"/>
      <c r="BN9" s="116"/>
      <c r="BO9" s="116"/>
      <c r="BP9" s="116"/>
      <c r="BQ9" s="116"/>
      <c r="BR9" s="116"/>
      <c r="BS9" s="116"/>
      <c r="BT9" s="116"/>
      <c r="BU9" s="116"/>
      <c r="BV9" s="116"/>
      <c r="BW9" s="116"/>
      <c r="BX9" s="116"/>
      <c r="BY9" s="116"/>
      <c r="BZ9" s="116"/>
      <c r="CA9" s="116"/>
      <c r="CB9" s="116"/>
      <c r="CC9" s="116"/>
      <c r="CD9" s="116"/>
      <c r="CE9" s="116"/>
      <c r="CF9" s="116"/>
      <c r="CG9" s="116"/>
      <c r="CH9" s="117"/>
    </row>
    <row r="10" spans="1:88" x14ac:dyDescent="0.2">
      <c r="A10" s="105"/>
      <c r="B10" s="105"/>
      <c r="C10" s="56"/>
      <c r="D10" s="57"/>
      <c r="E10" s="58"/>
      <c r="F10" s="58"/>
      <c r="G10" s="59"/>
      <c r="H10" s="106"/>
      <c r="I10" s="107"/>
      <c r="J10" s="108"/>
      <c r="K10" s="109"/>
      <c r="L10" s="110"/>
      <c r="M10" s="111"/>
      <c r="N10" s="115"/>
      <c r="O10" s="116"/>
      <c r="P10" s="116"/>
      <c r="Q10" s="116"/>
      <c r="R10" s="116"/>
      <c r="S10" s="116"/>
      <c r="T10" s="116"/>
      <c r="U10" s="116"/>
      <c r="V10" s="116"/>
      <c r="W10" s="116"/>
      <c r="X10" s="116"/>
      <c r="Y10" s="116"/>
      <c r="Z10" s="116"/>
      <c r="AA10" s="116"/>
      <c r="AB10" s="116"/>
      <c r="AC10" s="116"/>
      <c r="AD10" s="116"/>
      <c r="AE10" s="116"/>
      <c r="AF10" s="116"/>
      <c r="AG10" s="116"/>
      <c r="AH10" s="116"/>
      <c r="AI10" s="116"/>
      <c r="AJ10" s="116"/>
      <c r="AK10" s="116"/>
      <c r="AL10" s="116"/>
      <c r="AM10" s="116"/>
      <c r="AN10" s="116"/>
      <c r="AO10" s="116"/>
      <c r="AP10" s="116"/>
      <c r="AQ10" s="116"/>
      <c r="AR10" s="116"/>
      <c r="AS10" s="116"/>
      <c r="AT10" s="116"/>
      <c r="AU10" s="116"/>
      <c r="AV10" s="116"/>
      <c r="AW10" s="116"/>
      <c r="AX10" s="116"/>
      <c r="AY10" s="116"/>
      <c r="AZ10" s="116"/>
      <c r="BA10" s="116"/>
      <c r="BB10" s="116"/>
      <c r="BC10" s="116"/>
      <c r="BD10" s="116"/>
      <c r="BE10" s="116"/>
      <c r="BF10" s="116"/>
      <c r="BG10" s="116"/>
      <c r="BH10" s="116"/>
      <c r="BI10" s="116"/>
      <c r="BJ10" s="116"/>
      <c r="BK10" s="116"/>
      <c r="BL10" s="116"/>
      <c r="BM10" s="116"/>
      <c r="BN10" s="116"/>
      <c r="BO10" s="116"/>
      <c r="BP10" s="116"/>
      <c r="BQ10" s="116"/>
      <c r="BR10" s="116"/>
      <c r="BS10" s="116"/>
      <c r="BT10" s="116"/>
      <c r="BU10" s="116"/>
      <c r="BV10" s="116"/>
      <c r="BW10" s="116"/>
      <c r="BX10" s="116"/>
      <c r="BY10" s="116"/>
      <c r="BZ10" s="116"/>
      <c r="CA10" s="116"/>
      <c r="CB10" s="116"/>
      <c r="CC10" s="116"/>
      <c r="CD10" s="116"/>
      <c r="CE10" s="116"/>
      <c r="CF10" s="116"/>
      <c r="CG10" s="116"/>
      <c r="CH10" s="117"/>
    </row>
    <row r="11" spans="1:88" x14ac:dyDescent="0.2">
      <c r="A11" s="105"/>
      <c r="B11" s="105"/>
      <c r="C11" s="56"/>
      <c r="D11" s="57"/>
      <c r="E11" s="58"/>
      <c r="F11" s="58"/>
      <c r="G11" s="59"/>
      <c r="H11" s="106"/>
      <c r="I11" s="107"/>
      <c r="J11" s="108"/>
      <c r="K11" s="109"/>
      <c r="L11" s="110"/>
      <c r="M11" s="111"/>
      <c r="N11" s="115"/>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7"/>
    </row>
    <row r="12" spans="1:88" x14ac:dyDescent="0.2">
      <c r="A12" s="105"/>
      <c r="B12" s="105"/>
      <c r="C12" s="56"/>
      <c r="D12" s="57"/>
      <c r="E12" s="58"/>
      <c r="F12" s="58"/>
      <c r="G12" s="59"/>
      <c r="H12" s="106"/>
      <c r="I12" s="107"/>
      <c r="J12" s="108"/>
      <c r="K12" s="109"/>
      <c r="L12" s="110"/>
      <c r="M12" s="111"/>
      <c r="N12" s="115"/>
      <c r="O12" s="116"/>
      <c r="P12" s="116"/>
      <c r="Q12" s="116"/>
      <c r="R12" s="116"/>
      <c r="S12" s="116"/>
      <c r="T12" s="116"/>
      <c r="U12" s="116"/>
      <c r="V12" s="116"/>
      <c r="W12" s="116"/>
      <c r="X12" s="116"/>
      <c r="Y12" s="116"/>
      <c r="Z12" s="116"/>
      <c r="AA12" s="116"/>
      <c r="AB12" s="116"/>
      <c r="AC12" s="116"/>
      <c r="AD12" s="116"/>
      <c r="AE12" s="116"/>
      <c r="AF12" s="116"/>
      <c r="AG12" s="116"/>
      <c r="AH12" s="116"/>
      <c r="AI12" s="116"/>
      <c r="AJ12" s="116"/>
      <c r="AK12" s="116"/>
      <c r="AL12" s="116"/>
      <c r="AM12" s="116"/>
      <c r="AN12" s="116"/>
      <c r="AO12" s="116"/>
      <c r="AP12" s="116"/>
      <c r="AQ12" s="116"/>
      <c r="AR12" s="116"/>
      <c r="AS12" s="116"/>
      <c r="AT12" s="116"/>
      <c r="AU12" s="116"/>
      <c r="AV12" s="116"/>
      <c r="AW12" s="116"/>
      <c r="AX12" s="116"/>
      <c r="AY12" s="116"/>
      <c r="AZ12" s="116"/>
      <c r="BA12" s="116"/>
      <c r="BB12" s="116"/>
      <c r="BC12" s="116"/>
      <c r="BD12" s="116"/>
      <c r="BE12" s="116"/>
      <c r="BF12" s="116"/>
      <c r="BG12" s="116"/>
      <c r="BH12" s="116"/>
      <c r="BI12" s="116"/>
      <c r="BJ12" s="116"/>
      <c r="BK12" s="116"/>
      <c r="BL12" s="116"/>
      <c r="BM12" s="116"/>
      <c r="BN12" s="116"/>
      <c r="BO12" s="116"/>
      <c r="BP12" s="116"/>
      <c r="BQ12" s="116"/>
      <c r="BR12" s="116"/>
      <c r="BS12" s="116"/>
      <c r="BT12" s="116"/>
      <c r="BU12" s="116"/>
      <c r="BV12" s="116"/>
      <c r="BW12" s="116"/>
      <c r="BX12" s="116"/>
      <c r="BY12" s="116"/>
      <c r="BZ12" s="116"/>
      <c r="CA12" s="116"/>
      <c r="CB12" s="116"/>
      <c r="CC12" s="116"/>
      <c r="CD12" s="116"/>
      <c r="CE12" s="116"/>
      <c r="CF12" s="116"/>
      <c r="CG12" s="116"/>
      <c r="CH12" s="117"/>
    </row>
    <row r="13" spans="1:88" x14ac:dyDescent="0.2">
      <c r="A13" s="105"/>
      <c r="B13" s="105"/>
      <c r="C13" s="56"/>
      <c r="D13" s="57"/>
      <c r="E13" s="58"/>
      <c r="F13" s="58"/>
      <c r="G13" s="59"/>
      <c r="H13" s="106"/>
      <c r="I13" s="107"/>
      <c r="J13" s="108"/>
      <c r="K13" s="109"/>
      <c r="L13" s="110"/>
      <c r="M13" s="111"/>
      <c r="N13" s="115"/>
      <c r="O13" s="116"/>
      <c r="P13" s="116"/>
      <c r="Q13" s="116"/>
      <c r="R13" s="116"/>
      <c r="S13" s="116"/>
      <c r="T13" s="116"/>
      <c r="U13" s="116"/>
      <c r="V13" s="116"/>
      <c r="W13" s="116"/>
      <c r="X13" s="116"/>
      <c r="Y13" s="116"/>
      <c r="Z13" s="116"/>
      <c r="AA13" s="116"/>
      <c r="AB13" s="116"/>
      <c r="AC13" s="116"/>
      <c r="AD13" s="116"/>
      <c r="AE13" s="116"/>
      <c r="AF13" s="116"/>
      <c r="AG13" s="116"/>
      <c r="AH13" s="116"/>
      <c r="AI13" s="116"/>
      <c r="AJ13" s="116"/>
      <c r="AK13" s="116"/>
      <c r="AL13" s="116"/>
      <c r="AM13" s="116"/>
      <c r="AN13" s="116"/>
      <c r="AO13" s="116"/>
      <c r="AP13" s="116"/>
      <c r="AQ13" s="116"/>
      <c r="AR13" s="116"/>
      <c r="AS13" s="116"/>
      <c r="AT13" s="116"/>
      <c r="AU13" s="116"/>
      <c r="AV13" s="116"/>
      <c r="AW13" s="116"/>
      <c r="AX13" s="116"/>
      <c r="AY13" s="116"/>
      <c r="AZ13" s="116"/>
      <c r="BA13" s="116"/>
      <c r="BB13" s="116"/>
      <c r="BC13" s="116"/>
      <c r="BD13" s="116"/>
      <c r="BE13" s="116"/>
      <c r="BF13" s="116"/>
      <c r="BG13" s="116"/>
      <c r="BH13" s="116"/>
      <c r="BI13" s="116"/>
      <c r="BJ13" s="116"/>
      <c r="BK13" s="116"/>
      <c r="BL13" s="116"/>
      <c r="BM13" s="116"/>
      <c r="BN13" s="116"/>
      <c r="BO13" s="116"/>
      <c r="BP13" s="116"/>
      <c r="BQ13" s="116"/>
      <c r="BR13" s="116"/>
      <c r="BS13" s="116"/>
      <c r="BT13" s="116"/>
      <c r="BU13" s="116"/>
      <c r="BV13" s="116"/>
      <c r="BW13" s="116"/>
      <c r="BX13" s="116"/>
      <c r="BY13" s="116"/>
      <c r="BZ13" s="116"/>
      <c r="CA13" s="116"/>
      <c r="CB13" s="116"/>
      <c r="CC13" s="116"/>
      <c r="CD13" s="116"/>
      <c r="CE13" s="116"/>
      <c r="CF13" s="116"/>
      <c r="CG13" s="116"/>
      <c r="CH13" s="117"/>
    </row>
    <row r="14" spans="1:88" x14ac:dyDescent="0.2">
      <c r="A14" s="105"/>
      <c r="B14" s="105"/>
      <c r="C14" s="56"/>
      <c r="D14" s="57"/>
      <c r="E14" s="58"/>
      <c r="F14" s="58"/>
      <c r="G14" s="59"/>
      <c r="H14" s="106"/>
      <c r="I14" s="107"/>
      <c r="J14" s="108"/>
      <c r="K14" s="109"/>
      <c r="L14" s="110"/>
      <c r="M14" s="111"/>
      <c r="N14" s="115"/>
      <c r="O14" s="116"/>
      <c r="P14" s="116"/>
      <c r="Q14" s="116"/>
      <c r="R14" s="116"/>
      <c r="S14" s="116"/>
      <c r="T14" s="116"/>
      <c r="U14" s="116"/>
      <c r="V14" s="116"/>
      <c r="W14" s="116"/>
      <c r="X14" s="116"/>
      <c r="Y14" s="116"/>
      <c r="Z14" s="116"/>
      <c r="AA14" s="116"/>
      <c r="AB14" s="116"/>
      <c r="AC14" s="116"/>
      <c r="AD14" s="116"/>
      <c r="AE14" s="116"/>
      <c r="AF14" s="116"/>
      <c r="AG14" s="116"/>
      <c r="AH14" s="116"/>
      <c r="AI14" s="116"/>
      <c r="AJ14" s="116"/>
      <c r="AK14" s="116"/>
      <c r="AL14" s="116"/>
      <c r="AM14" s="116"/>
      <c r="AN14" s="116"/>
      <c r="AO14" s="116"/>
      <c r="AP14" s="116"/>
      <c r="AQ14" s="116"/>
      <c r="AR14" s="116"/>
      <c r="AS14" s="116"/>
      <c r="AT14" s="116"/>
      <c r="AU14" s="116"/>
      <c r="AV14" s="116"/>
      <c r="AW14" s="116"/>
      <c r="AX14" s="116"/>
      <c r="AY14" s="116"/>
      <c r="AZ14" s="116"/>
      <c r="BA14" s="116"/>
      <c r="BB14" s="116"/>
      <c r="BC14" s="116"/>
      <c r="BD14" s="116"/>
      <c r="BE14" s="116"/>
      <c r="BF14" s="116"/>
      <c r="BG14" s="116"/>
      <c r="BH14" s="116"/>
      <c r="BI14" s="116"/>
      <c r="BJ14" s="116"/>
      <c r="BK14" s="116"/>
      <c r="BL14" s="116"/>
      <c r="BM14" s="116"/>
      <c r="BN14" s="116"/>
      <c r="BO14" s="116"/>
      <c r="BP14" s="116"/>
      <c r="BQ14" s="116"/>
      <c r="BR14" s="116"/>
      <c r="BS14" s="116"/>
      <c r="BT14" s="116"/>
      <c r="BU14" s="116"/>
      <c r="BV14" s="116"/>
      <c r="BW14" s="116"/>
      <c r="BX14" s="116"/>
      <c r="BY14" s="116"/>
      <c r="BZ14" s="116"/>
      <c r="CA14" s="116"/>
      <c r="CB14" s="116"/>
      <c r="CC14" s="116"/>
      <c r="CD14" s="116"/>
      <c r="CE14" s="116"/>
      <c r="CF14" s="116"/>
      <c r="CG14" s="116"/>
      <c r="CH14" s="117"/>
    </row>
    <row r="15" spans="1:88" x14ac:dyDescent="0.2">
      <c r="A15" s="105"/>
      <c r="B15" s="105"/>
      <c r="C15" s="56"/>
      <c r="D15" s="57"/>
      <c r="E15" s="58"/>
      <c r="F15" s="58"/>
      <c r="G15" s="59"/>
      <c r="H15" s="106"/>
      <c r="I15" s="107"/>
      <c r="J15" s="108"/>
      <c r="K15" s="109"/>
      <c r="L15" s="110"/>
      <c r="M15" s="111"/>
      <c r="N15" s="115"/>
      <c r="O15" s="116"/>
      <c r="P15" s="116"/>
      <c r="Q15" s="116"/>
      <c r="R15" s="116"/>
      <c r="S15" s="116"/>
      <c r="T15" s="116"/>
      <c r="U15" s="116"/>
      <c r="V15" s="116"/>
      <c r="W15" s="116"/>
      <c r="X15" s="116"/>
      <c r="Y15" s="116"/>
      <c r="Z15" s="116"/>
      <c r="AA15" s="116"/>
      <c r="AB15" s="116"/>
      <c r="AC15" s="116"/>
      <c r="AD15" s="116"/>
      <c r="AE15" s="116"/>
      <c r="AF15" s="116"/>
      <c r="AG15" s="116"/>
      <c r="AH15" s="116"/>
      <c r="AI15" s="116"/>
      <c r="AJ15" s="116"/>
      <c r="AK15" s="116"/>
      <c r="AL15" s="116"/>
      <c r="AM15" s="116"/>
      <c r="AN15" s="116"/>
      <c r="AO15" s="116"/>
      <c r="AP15" s="116"/>
      <c r="AQ15" s="116"/>
      <c r="AR15" s="116"/>
      <c r="AS15" s="116"/>
      <c r="AT15" s="116"/>
      <c r="AU15" s="116"/>
      <c r="AV15" s="116"/>
      <c r="AW15" s="116"/>
      <c r="AX15" s="116"/>
      <c r="AY15" s="116"/>
      <c r="AZ15" s="116"/>
      <c r="BA15" s="116"/>
      <c r="BB15" s="116"/>
      <c r="BC15" s="116"/>
      <c r="BD15" s="116"/>
      <c r="BE15" s="116"/>
      <c r="BF15" s="116"/>
      <c r="BG15" s="116"/>
      <c r="BH15" s="116"/>
      <c r="BI15" s="116"/>
      <c r="BJ15" s="116"/>
      <c r="BK15" s="116"/>
      <c r="BL15" s="116"/>
      <c r="BM15" s="116"/>
      <c r="BN15" s="116"/>
      <c r="BO15" s="116"/>
      <c r="BP15" s="116"/>
      <c r="BQ15" s="116"/>
      <c r="BR15" s="116"/>
      <c r="BS15" s="116"/>
      <c r="BT15" s="116"/>
      <c r="BU15" s="116"/>
      <c r="BV15" s="116"/>
      <c r="BW15" s="116"/>
      <c r="BX15" s="116"/>
      <c r="BY15" s="116"/>
      <c r="BZ15" s="116"/>
      <c r="CA15" s="116"/>
      <c r="CB15" s="116"/>
      <c r="CC15" s="116"/>
      <c r="CD15" s="116"/>
      <c r="CE15" s="116"/>
      <c r="CF15" s="116"/>
      <c r="CG15" s="116"/>
      <c r="CH15" s="117"/>
    </row>
    <row r="16" spans="1:88" x14ac:dyDescent="0.2">
      <c r="A16" s="105"/>
      <c r="B16" s="105"/>
      <c r="C16" s="56"/>
      <c r="D16" s="57"/>
      <c r="E16" s="58"/>
      <c r="F16" s="58"/>
      <c r="G16" s="59"/>
      <c r="H16" s="106"/>
      <c r="I16" s="107"/>
      <c r="J16" s="108"/>
      <c r="K16" s="109"/>
      <c r="L16" s="110"/>
      <c r="M16" s="111"/>
      <c r="N16" s="115"/>
      <c r="O16" s="116"/>
      <c r="P16" s="116"/>
      <c r="Q16" s="116"/>
      <c r="R16" s="116"/>
      <c r="S16" s="116"/>
      <c r="T16" s="116"/>
      <c r="U16" s="116"/>
      <c r="V16" s="116"/>
      <c r="W16" s="116"/>
      <c r="X16" s="116"/>
      <c r="Y16" s="116"/>
      <c r="Z16" s="116"/>
      <c r="AA16" s="116"/>
      <c r="AB16" s="116"/>
      <c r="AC16" s="116"/>
      <c r="AD16" s="116"/>
      <c r="AE16" s="116"/>
      <c r="AF16" s="116"/>
      <c r="AG16" s="116"/>
      <c r="AH16" s="116"/>
      <c r="AI16" s="116"/>
      <c r="AJ16" s="116"/>
      <c r="AK16" s="116"/>
      <c r="AL16" s="116"/>
      <c r="AM16" s="116"/>
      <c r="AN16" s="116"/>
      <c r="AO16" s="116"/>
      <c r="AP16" s="116"/>
      <c r="AQ16" s="116"/>
      <c r="AR16" s="116"/>
      <c r="AS16" s="116"/>
      <c r="AT16" s="116"/>
      <c r="AU16" s="116"/>
      <c r="AV16" s="116"/>
      <c r="AW16" s="116"/>
      <c r="AX16" s="116"/>
      <c r="AY16" s="116"/>
      <c r="AZ16" s="116"/>
      <c r="BA16" s="116"/>
      <c r="BB16" s="116"/>
      <c r="BC16" s="116"/>
      <c r="BD16" s="116"/>
      <c r="BE16" s="116"/>
      <c r="BF16" s="116"/>
      <c r="BG16" s="116"/>
      <c r="BH16" s="116"/>
      <c r="BI16" s="116"/>
      <c r="BJ16" s="116"/>
      <c r="BK16" s="116"/>
      <c r="BL16" s="116"/>
      <c r="BM16" s="116"/>
      <c r="BN16" s="116"/>
      <c r="BO16" s="116"/>
      <c r="BP16" s="116"/>
      <c r="BQ16" s="116"/>
      <c r="BR16" s="116"/>
      <c r="BS16" s="116"/>
      <c r="BT16" s="116"/>
      <c r="BU16" s="116"/>
      <c r="BV16" s="116"/>
      <c r="BW16" s="116"/>
      <c r="BX16" s="116"/>
      <c r="BY16" s="116"/>
      <c r="BZ16" s="116"/>
      <c r="CA16" s="116"/>
      <c r="CB16" s="116"/>
      <c r="CC16" s="116"/>
      <c r="CD16" s="116"/>
      <c r="CE16" s="116"/>
      <c r="CF16" s="116"/>
      <c r="CG16" s="116"/>
      <c r="CH16" s="117"/>
    </row>
    <row r="17" spans="1:86" x14ac:dyDescent="0.2">
      <c r="A17" s="105"/>
      <c r="B17" s="105"/>
      <c r="C17" s="56"/>
      <c r="D17" s="57"/>
      <c r="E17" s="58"/>
      <c r="F17" s="58"/>
      <c r="G17" s="59"/>
      <c r="H17" s="106"/>
      <c r="I17" s="107"/>
      <c r="J17" s="108"/>
      <c r="K17" s="109"/>
      <c r="L17" s="110"/>
      <c r="M17" s="111"/>
      <c r="N17" s="115"/>
      <c r="O17" s="116"/>
      <c r="P17" s="116"/>
      <c r="Q17" s="116"/>
      <c r="R17" s="116"/>
      <c r="S17" s="116"/>
      <c r="T17" s="116"/>
      <c r="U17" s="116"/>
      <c r="V17" s="116"/>
      <c r="W17" s="116"/>
      <c r="X17" s="116"/>
      <c r="Y17" s="116"/>
      <c r="Z17" s="116"/>
      <c r="AA17" s="116"/>
      <c r="AB17" s="116"/>
      <c r="AC17" s="116"/>
      <c r="AD17" s="116"/>
      <c r="AE17" s="116"/>
      <c r="AF17" s="116"/>
      <c r="AG17" s="116"/>
      <c r="AH17" s="116"/>
      <c r="AI17" s="116"/>
      <c r="AJ17" s="116"/>
      <c r="AK17" s="116"/>
      <c r="AL17" s="116"/>
      <c r="AM17" s="116"/>
      <c r="AN17" s="116"/>
      <c r="AO17" s="116"/>
      <c r="AP17" s="116"/>
      <c r="AQ17" s="116"/>
      <c r="AR17" s="116"/>
      <c r="AS17" s="116"/>
      <c r="AT17" s="116"/>
      <c r="AU17" s="116"/>
      <c r="AV17" s="116"/>
      <c r="AW17" s="116"/>
      <c r="AX17" s="116"/>
      <c r="AY17" s="116"/>
      <c r="AZ17" s="116"/>
      <c r="BA17" s="116"/>
      <c r="BB17" s="116"/>
      <c r="BC17" s="116"/>
      <c r="BD17" s="116"/>
      <c r="BE17" s="116"/>
      <c r="BF17" s="116"/>
      <c r="BG17" s="116"/>
      <c r="BH17" s="116"/>
      <c r="BI17" s="116"/>
      <c r="BJ17" s="116"/>
      <c r="BK17" s="116"/>
      <c r="BL17" s="116"/>
      <c r="BM17" s="116"/>
      <c r="BN17" s="116"/>
      <c r="BO17" s="116"/>
      <c r="BP17" s="116"/>
      <c r="BQ17" s="116"/>
      <c r="BR17" s="116"/>
      <c r="BS17" s="116"/>
      <c r="BT17" s="116"/>
      <c r="BU17" s="116"/>
      <c r="BV17" s="116"/>
      <c r="BW17" s="116"/>
      <c r="BX17" s="116"/>
      <c r="BY17" s="116"/>
      <c r="BZ17" s="116"/>
      <c r="CA17" s="116"/>
      <c r="CB17" s="116"/>
      <c r="CC17" s="116"/>
      <c r="CD17" s="116"/>
      <c r="CE17" s="116"/>
      <c r="CF17" s="116"/>
      <c r="CG17" s="116"/>
      <c r="CH17" s="117"/>
    </row>
    <row r="18" spans="1:86" x14ac:dyDescent="0.2">
      <c r="A18" s="105"/>
      <c r="B18" s="105"/>
      <c r="C18" s="56"/>
      <c r="D18" s="57"/>
      <c r="E18" s="58"/>
      <c r="F18" s="58"/>
      <c r="G18" s="59"/>
      <c r="H18" s="106"/>
      <c r="I18" s="107"/>
      <c r="J18" s="108"/>
      <c r="K18" s="109"/>
      <c r="L18" s="110"/>
      <c r="M18" s="111"/>
      <c r="N18" s="115"/>
      <c r="O18" s="116"/>
      <c r="P18" s="116"/>
      <c r="Q18" s="116"/>
      <c r="R18" s="116"/>
      <c r="S18" s="116"/>
      <c r="T18" s="116"/>
      <c r="U18" s="116"/>
      <c r="V18" s="116"/>
      <c r="W18" s="116"/>
      <c r="X18" s="116"/>
      <c r="Y18" s="116"/>
      <c r="Z18" s="116"/>
      <c r="AA18" s="116"/>
      <c r="AB18" s="116"/>
      <c r="AC18" s="116"/>
      <c r="AD18" s="116"/>
      <c r="AE18" s="116"/>
      <c r="AF18" s="116"/>
      <c r="AG18" s="116"/>
      <c r="AH18" s="116"/>
      <c r="AI18" s="116"/>
      <c r="AJ18" s="116"/>
      <c r="AK18" s="116"/>
      <c r="AL18" s="116"/>
      <c r="AM18" s="116"/>
      <c r="AN18" s="116"/>
      <c r="AO18" s="116"/>
      <c r="AP18" s="116"/>
      <c r="AQ18" s="116"/>
      <c r="AR18" s="116"/>
      <c r="AS18" s="116"/>
      <c r="AT18" s="116"/>
      <c r="AU18" s="116"/>
      <c r="AV18" s="116"/>
      <c r="AW18" s="116"/>
      <c r="AX18" s="116"/>
      <c r="AY18" s="116"/>
      <c r="AZ18" s="116"/>
      <c r="BA18" s="116"/>
      <c r="BB18" s="116"/>
      <c r="BC18" s="116"/>
      <c r="BD18" s="116"/>
      <c r="BE18" s="116"/>
      <c r="BF18" s="116"/>
      <c r="BG18" s="116"/>
      <c r="BH18" s="116"/>
      <c r="BI18" s="116"/>
      <c r="BJ18" s="116"/>
      <c r="BK18" s="116"/>
      <c r="BL18" s="116"/>
      <c r="BM18" s="116"/>
      <c r="BN18" s="116"/>
      <c r="BO18" s="116"/>
      <c r="BP18" s="116"/>
      <c r="BQ18" s="116"/>
      <c r="BR18" s="116"/>
      <c r="BS18" s="116"/>
      <c r="BT18" s="116"/>
      <c r="BU18" s="116"/>
      <c r="BV18" s="116"/>
      <c r="BW18" s="116"/>
      <c r="BX18" s="116"/>
      <c r="BY18" s="116"/>
      <c r="BZ18" s="116"/>
      <c r="CA18" s="116"/>
      <c r="CB18" s="116"/>
      <c r="CC18" s="116"/>
      <c r="CD18" s="116"/>
      <c r="CE18" s="116"/>
      <c r="CF18" s="116"/>
      <c r="CG18" s="116"/>
      <c r="CH18" s="117"/>
    </row>
    <row r="19" spans="1:86" x14ac:dyDescent="0.2">
      <c r="A19" s="105"/>
      <c r="B19" s="105"/>
      <c r="C19" s="56"/>
      <c r="D19" s="57"/>
      <c r="E19" s="58"/>
      <c r="F19" s="58"/>
      <c r="G19" s="59"/>
      <c r="H19" s="106"/>
      <c r="I19" s="107"/>
      <c r="J19" s="108"/>
      <c r="K19" s="109"/>
      <c r="L19" s="110"/>
      <c r="M19" s="111"/>
      <c r="N19" s="115"/>
      <c r="O19" s="116"/>
      <c r="P19" s="116"/>
      <c r="Q19" s="116"/>
      <c r="R19" s="116"/>
      <c r="S19" s="116"/>
      <c r="T19" s="116"/>
      <c r="U19" s="116"/>
      <c r="V19" s="116"/>
      <c r="W19" s="116"/>
      <c r="X19" s="116"/>
      <c r="Y19" s="116"/>
      <c r="Z19" s="116"/>
      <c r="AA19" s="116"/>
      <c r="AB19" s="116"/>
      <c r="AC19" s="116"/>
      <c r="AD19" s="116"/>
      <c r="AE19" s="116"/>
      <c r="AF19" s="116"/>
      <c r="AG19" s="116"/>
      <c r="AH19" s="116"/>
      <c r="AI19" s="116"/>
      <c r="AJ19" s="116"/>
      <c r="AK19" s="116"/>
      <c r="AL19" s="116"/>
      <c r="AM19" s="116"/>
      <c r="AN19" s="116"/>
      <c r="AO19" s="116"/>
      <c r="AP19" s="116"/>
      <c r="AQ19" s="116"/>
      <c r="AR19" s="116"/>
      <c r="AS19" s="116"/>
      <c r="AT19" s="116"/>
      <c r="AU19" s="116"/>
      <c r="AV19" s="116"/>
      <c r="AW19" s="116"/>
      <c r="AX19" s="116"/>
      <c r="AY19" s="116"/>
      <c r="AZ19" s="116"/>
      <c r="BA19" s="116"/>
      <c r="BB19" s="116"/>
      <c r="BC19" s="116"/>
      <c r="BD19" s="116"/>
      <c r="BE19" s="116"/>
      <c r="BF19" s="116"/>
      <c r="BG19" s="116"/>
      <c r="BH19" s="116"/>
      <c r="BI19" s="116"/>
      <c r="BJ19" s="116"/>
      <c r="BK19" s="116"/>
      <c r="BL19" s="116"/>
      <c r="BM19" s="116"/>
      <c r="BN19" s="116"/>
      <c r="BO19" s="116"/>
      <c r="BP19" s="116"/>
      <c r="BQ19" s="116"/>
      <c r="BR19" s="116"/>
      <c r="BS19" s="116"/>
      <c r="BT19" s="116"/>
      <c r="BU19" s="116"/>
      <c r="BV19" s="116"/>
      <c r="BW19" s="116"/>
      <c r="BX19" s="116"/>
      <c r="BY19" s="116"/>
      <c r="BZ19" s="116"/>
      <c r="CA19" s="116"/>
      <c r="CB19" s="116"/>
      <c r="CC19" s="116"/>
      <c r="CD19" s="116"/>
      <c r="CE19" s="116"/>
      <c r="CF19" s="116"/>
      <c r="CG19" s="116"/>
      <c r="CH19" s="117"/>
    </row>
    <row r="20" spans="1:86" x14ac:dyDescent="0.2">
      <c r="A20" s="105"/>
      <c r="B20" s="105"/>
      <c r="C20" s="56"/>
      <c r="D20" s="57"/>
      <c r="E20" s="58"/>
      <c r="F20" s="58"/>
      <c r="G20" s="59"/>
      <c r="H20" s="106"/>
      <c r="I20" s="107"/>
      <c r="J20" s="108"/>
      <c r="K20" s="109"/>
      <c r="L20" s="110"/>
      <c r="M20" s="111"/>
      <c r="N20" s="115"/>
      <c r="O20" s="116"/>
      <c r="P20" s="116"/>
      <c r="Q20" s="116"/>
      <c r="R20" s="116"/>
      <c r="S20" s="116"/>
      <c r="T20" s="116"/>
      <c r="U20" s="116"/>
      <c r="V20" s="116"/>
      <c r="W20" s="116"/>
      <c r="X20" s="116"/>
      <c r="Y20" s="116"/>
      <c r="Z20" s="116"/>
      <c r="AA20" s="116"/>
      <c r="AB20" s="116"/>
      <c r="AC20" s="116"/>
      <c r="AD20" s="116"/>
      <c r="AE20" s="116"/>
      <c r="AF20" s="116"/>
      <c r="AG20" s="116"/>
      <c r="AH20" s="116"/>
      <c r="AI20" s="116"/>
      <c r="AJ20" s="116"/>
      <c r="AK20" s="116"/>
      <c r="AL20" s="116"/>
      <c r="AM20" s="116"/>
      <c r="AN20" s="116"/>
      <c r="AO20" s="116"/>
      <c r="AP20" s="116"/>
      <c r="AQ20" s="116"/>
      <c r="AR20" s="116"/>
      <c r="AS20" s="116"/>
      <c r="AT20" s="116"/>
      <c r="AU20" s="116"/>
      <c r="AV20" s="116"/>
      <c r="AW20" s="116"/>
      <c r="AX20" s="116"/>
      <c r="AY20" s="116"/>
      <c r="AZ20" s="116"/>
      <c r="BA20" s="116"/>
      <c r="BB20" s="116"/>
      <c r="BC20" s="116"/>
      <c r="BD20" s="116"/>
      <c r="BE20" s="116"/>
      <c r="BF20" s="116"/>
      <c r="BG20" s="116"/>
      <c r="BH20" s="116"/>
      <c r="BI20" s="116"/>
      <c r="BJ20" s="116"/>
      <c r="BK20" s="116"/>
      <c r="BL20" s="116"/>
      <c r="BM20" s="116"/>
      <c r="BN20" s="116"/>
      <c r="BO20" s="116"/>
      <c r="BP20" s="116"/>
      <c r="BQ20" s="116"/>
      <c r="BR20" s="116"/>
      <c r="BS20" s="116"/>
      <c r="BT20" s="116"/>
      <c r="BU20" s="116"/>
      <c r="BV20" s="116"/>
      <c r="BW20" s="116"/>
      <c r="BX20" s="116"/>
      <c r="BY20" s="116"/>
      <c r="BZ20" s="116"/>
      <c r="CA20" s="116"/>
      <c r="CB20" s="116"/>
      <c r="CC20" s="116"/>
      <c r="CD20" s="116"/>
      <c r="CE20" s="116"/>
      <c r="CF20" s="116"/>
      <c r="CG20" s="116"/>
      <c r="CH20" s="117"/>
    </row>
    <row r="21" spans="1:86" x14ac:dyDescent="0.2">
      <c r="A21" s="105"/>
      <c r="B21" s="105"/>
      <c r="C21" s="56"/>
      <c r="D21" s="57"/>
      <c r="E21" s="58"/>
      <c r="F21" s="58"/>
      <c r="G21" s="59"/>
      <c r="H21" s="106"/>
      <c r="I21" s="107"/>
      <c r="J21" s="108"/>
      <c r="K21" s="109"/>
      <c r="L21" s="110"/>
      <c r="M21" s="111"/>
      <c r="N21" s="115"/>
      <c r="O21" s="116"/>
      <c r="P21" s="116"/>
      <c r="Q21" s="116"/>
      <c r="R21" s="116"/>
      <c r="S21" s="116"/>
      <c r="T21" s="116"/>
      <c r="U21" s="116"/>
      <c r="V21" s="116"/>
      <c r="W21" s="116"/>
      <c r="X21" s="116"/>
      <c r="Y21" s="116"/>
      <c r="Z21" s="116"/>
      <c r="AA21" s="116"/>
      <c r="AB21" s="116"/>
      <c r="AC21" s="116"/>
      <c r="AD21" s="116"/>
      <c r="AE21" s="116"/>
      <c r="AF21" s="116"/>
      <c r="AG21" s="116"/>
      <c r="AH21" s="116"/>
      <c r="AI21" s="116"/>
      <c r="AJ21" s="116"/>
      <c r="AK21" s="116"/>
      <c r="AL21" s="116"/>
      <c r="AM21" s="116"/>
      <c r="AN21" s="116"/>
      <c r="AO21" s="116"/>
      <c r="AP21" s="116"/>
      <c r="AQ21" s="116"/>
      <c r="AR21" s="116"/>
      <c r="AS21" s="116"/>
      <c r="AT21" s="116"/>
      <c r="AU21" s="116"/>
      <c r="AV21" s="116"/>
      <c r="AW21" s="116"/>
      <c r="AX21" s="116"/>
      <c r="AY21" s="116"/>
      <c r="AZ21" s="116"/>
      <c r="BA21" s="116"/>
      <c r="BB21" s="116"/>
      <c r="BC21" s="116"/>
      <c r="BD21" s="116"/>
      <c r="BE21" s="116"/>
      <c r="BF21" s="116"/>
      <c r="BG21" s="116"/>
      <c r="BH21" s="116"/>
      <c r="BI21" s="116"/>
      <c r="BJ21" s="116"/>
      <c r="BK21" s="116"/>
      <c r="BL21" s="116"/>
      <c r="BM21" s="116"/>
      <c r="BN21" s="116"/>
      <c r="BO21" s="116"/>
      <c r="BP21" s="116"/>
      <c r="BQ21" s="116"/>
      <c r="BR21" s="116"/>
      <c r="BS21" s="116"/>
      <c r="BT21" s="116"/>
      <c r="BU21" s="116"/>
      <c r="BV21" s="116"/>
      <c r="BW21" s="116"/>
      <c r="BX21" s="116"/>
      <c r="BY21" s="116"/>
      <c r="BZ21" s="116"/>
      <c r="CA21" s="116"/>
      <c r="CB21" s="116"/>
      <c r="CC21" s="116"/>
      <c r="CD21" s="116"/>
      <c r="CE21" s="116"/>
      <c r="CF21" s="116"/>
      <c r="CG21" s="116"/>
      <c r="CH21" s="117"/>
    </row>
    <row r="22" spans="1:86" x14ac:dyDescent="0.2">
      <c r="A22" s="105"/>
      <c r="B22" s="105"/>
      <c r="C22" s="56"/>
      <c r="D22" s="57"/>
      <c r="E22" s="58"/>
      <c r="F22" s="58"/>
      <c r="G22" s="59"/>
      <c r="H22" s="118"/>
      <c r="I22" s="107"/>
      <c r="J22" s="108"/>
      <c r="K22" s="119"/>
      <c r="L22" s="110"/>
      <c r="M22" s="111"/>
      <c r="N22" s="115"/>
      <c r="O22" s="116"/>
      <c r="P22" s="116"/>
      <c r="Q22" s="116"/>
      <c r="R22" s="116"/>
      <c r="S22" s="116"/>
      <c r="T22" s="116"/>
      <c r="U22" s="116"/>
      <c r="V22" s="116"/>
      <c r="W22" s="116"/>
      <c r="X22" s="116"/>
      <c r="Y22" s="116"/>
      <c r="Z22" s="116"/>
      <c r="AA22" s="116"/>
      <c r="AB22" s="116"/>
      <c r="AC22" s="116"/>
      <c r="AD22" s="116"/>
      <c r="AE22" s="116"/>
      <c r="AF22" s="116"/>
      <c r="AG22" s="116"/>
      <c r="AH22" s="116"/>
      <c r="AI22" s="116"/>
      <c r="AJ22" s="116"/>
      <c r="AK22" s="116"/>
      <c r="AL22" s="116"/>
      <c r="AM22" s="116"/>
      <c r="AN22" s="116"/>
      <c r="AO22" s="116"/>
      <c r="AP22" s="116"/>
      <c r="AQ22" s="116"/>
      <c r="AR22" s="116"/>
      <c r="AS22" s="116"/>
      <c r="AT22" s="116"/>
      <c r="AU22" s="116"/>
      <c r="AV22" s="116"/>
      <c r="AW22" s="116"/>
      <c r="AX22" s="116"/>
      <c r="AY22" s="116"/>
      <c r="AZ22" s="116"/>
      <c r="BA22" s="116"/>
      <c r="BB22" s="116"/>
      <c r="BC22" s="116"/>
      <c r="BD22" s="116"/>
      <c r="BE22" s="116"/>
      <c r="BF22" s="116"/>
      <c r="BG22" s="116"/>
      <c r="BH22" s="116"/>
      <c r="BI22" s="116"/>
      <c r="BJ22" s="116"/>
      <c r="BK22" s="116"/>
      <c r="BL22" s="116"/>
      <c r="BM22" s="116"/>
      <c r="BN22" s="116"/>
      <c r="BO22" s="116"/>
      <c r="BP22" s="116"/>
      <c r="BQ22" s="116"/>
      <c r="BR22" s="116"/>
      <c r="BS22" s="116"/>
      <c r="BT22" s="116"/>
      <c r="BU22" s="116"/>
      <c r="BV22" s="116"/>
      <c r="BW22" s="116"/>
      <c r="BX22" s="116"/>
      <c r="BY22" s="116"/>
      <c r="BZ22" s="116"/>
      <c r="CA22" s="116"/>
      <c r="CB22" s="116"/>
      <c r="CC22" s="116"/>
      <c r="CD22" s="116"/>
      <c r="CE22" s="116"/>
      <c r="CF22" s="116"/>
      <c r="CG22" s="116"/>
      <c r="CH22" s="117"/>
    </row>
    <row r="23" spans="1:86" x14ac:dyDescent="0.2">
      <c r="A23" s="105"/>
      <c r="B23" s="105"/>
      <c r="C23" s="56"/>
      <c r="D23" s="57"/>
      <c r="E23" s="58"/>
      <c r="F23" s="58"/>
      <c r="G23" s="59"/>
      <c r="H23" s="106"/>
      <c r="I23" s="107"/>
      <c r="J23" s="120"/>
      <c r="K23" s="119"/>
      <c r="L23" s="121"/>
      <c r="M23" s="122"/>
      <c r="N23" s="115"/>
      <c r="O23" s="116"/>
      <c r="P23" s="116"/>
      <c r="Q23" s="116"/>
      <c r="R23" s="116"/>
      <c r="S23" s="116"/>
      <c r="T23" s="116"/>
      <c r="U23" s="116"/>
      <c r="V23" s="116"/>
      <c r="W23" s="116"/>
      <c r="X23" s="116"/>
      <c r="Y23" s="116"/>
      <c r="Z23" s="116"/>
      <c r="AA23" s="116"/>
      <c r="AB23" s="116"/>
      <c r="AC23" s="116"/>
      <c r="AD23" s="116"/>
      <c r="AE23" s="116"/>
      <c r="AF23" s="116"/>
      <c r="AG23" s="116"/>
      <c r="AH23" s="116"/>
      <c r="AI23" s="116"/>
      <c r="AJ23" s="116"/>
      <c r="AK23" s="116"/>
      <c r="AL23" s="116"/>
      <c r="AM23" s="116"/>
      <c r="AN23" s="116"/>
      <c r="AO23" s="116"/>
      <c r="AP23" s="116"/>
      <c r="AQ23" s="116"/>
      <c r="AR23" s="116"/>
      <c r="AS23" s="116"/>
      <c r="AT23" s="116"/>
      <c r="AU23" s="116"/>
      <c r="AV23" s="116"/>
      <c r="AW23" s="116"/>
      <c r="AX23" s="116"/>
      <c r="AY23" s="116"/>
      <c r="AZ23" s="116"/>
      <c r="BA23" s="116"/>
      <c r="BB23" s="116"/>
      <c r="BC23" s="116"/>
      <c r="BD23" s="116"/>
      <c r="BE23" s="116"/>
      <c r="BF23" s="116"/>
      <c r="BG23" s="116"/>
      <c r="BH23" s="116"/>
      <c r="BI23" s="116"/>
      <c r="BJ23" s="116"/>
      <c r="BK23" s="116"/>
      <c r="BL23" s="116"/>
      <c r="BM23" s="116"/>
      <c r="BN23" s="116"/>
      <c r="BO23" s="116"/>
      <c r="BP23" s="116"/>
      <c r="BQ23" s="116"/>
      <c r="BR23" s="116"/>
      <c r="BS23" s="116"/>
      <c r="BT23" s="116"/>
      <c r="BU23" s="116"/>
      <c r="BV23" s="116"/>
      <c r="BW23" s="116"/>
      <c r="BX23" s="116"/>
      <c r="BY23" s="116"/>
      <c r="BZ23" s="116"/>
      <c r="CA23" s="116"/>
      <c r="CB23" s="116"/>
      <c r="CC23" s="116"/>
      <c r="CD23" s="116"/>
      <c r="CE23" s="116"/>
      <c r="CF23" s="116"/>
      <c r="CG23" s="116"/>
      <c r="CH23" s="117"/>
    </row>
    <row r="24" spans="1:86" x14ac:dyDescent="0.2">
      <c r="A24" s="105"/>
      <c r="B24" s="105"/>
      <c r="C24" s="56"/>
      <c r="D24" s="57"/>
      <c r="E24" s="58"/>
      <c r="F24" s="58"/>
      <c r="G24" s="59"/>
      <c r="H24" s="106"/>
      <c r="I24" s="107"/>
      <c r="J24" s="108"/>
      <c r="K24" s="109"/>
      <c r="L24" s="110"/>
      <c r="M24" s="111"/>
      <c r="N24" s="115"/>
      <c r="O24" s="116"/>
      <c r="P24" s="116"/>
      <c r="Q24" s="116"/>
      <c r="R24" s="116"/>
      <c r="S24" s="116"/>
      <c r="T24" s="116"/>
      <c r="U24" s="116"/>
      <c r="V24" s="116"/>
      <c r="W24" s="116"/>
      <c r="X24" s="116"/>
      <c r="Y24" s="116"/>
      <c r="Z24" s="116"/>
      <c r="AA24" s="116"/>
      <c r="AB24" s="116"/>
      <c r="AC24" s="116"/>
      <c r="AD24" s="116"/>
      <c r="AE24" s="116"/>
      <c r="AF24" s="116"/>
      <c r="AG24" s="116"/>
      <c r="AH24" s="116"/>
      <c r="AI24" s="116"/>
      <c r="AJ24" s="116"/>
      <c r="AK24" s="116"/>
      <c r="AL24" s="116"/>
      <c r="AM24" s="116"/>
      <c r="AN24" s="116"/>
      <c r="AO24" s="116"/>
      <c r="AP24" s="116"/>
      <c r="AQ24" s="116"/>
      <c r="AR24" s="116"/>
      <c r="AS24" s="116"/>
      <c r="AT24" s="116"/>
      <c r="AU24" s="116"/>
      <c r="AV24" s="116"/>
      <c r="AW24" s="116"/>
      <c r="AX24" s="116"/>
      <c r="AY24" s="116"/>
      <c r="AZ24" s="116"/>
      <c r="BA24" s="116"/>
      <c r="BB24" s="116"/>
      <c r="BC24" s="116"/>
      <c r="BD24" s="116"/>
      <c r="BE24" s="116"/>
      <c r="BF24" s="116"/>
      <c r="BG24" s="116"/>
      <c r="BH24" s="116"/>
      <c r="BI24" s="116"/>
      <c r="BJ24" s="116"/>
      <c r="BK24" s="116"/>
      <c r="BL24" s="116"/>
      <c r="BM24" s="116"/>
      <c r="BN24" s="116"/>
      <c r="BO24" s="116"/>
      <c r="BP24" s="116"/>
      <c r="BQ24" s="116"/>
      <c r="BR24" s="116"/>
      <c r="BS24" s="116"/>
      <c r="BT24" s="116"/>
      <c r="BU24" s="116"/>
      <c r="BV24" s="116"/>
      <c r="BW24" s="116"/>
      <c r="BX24" s="116"/>
      <c r="BY24" s="116"/>
      <c r="BZ24" s="116"/>
      <c r="CA24" s="116"/>
      <c r="CB24" s="116"/>
      <c r="CC24" s="116"/>
      <c r="CD24" s="116"/>
      <c r="CE24" s="116"/>
      <c r="CF24" s="116"/>
      <c r="CG24" s="116"/>
      <c r="CH24" s="117"/>
    </row>
    <row r="25" spans="1:86" x14ac:dyDescent="0.2">
      <c r="A25" s="105"/>
      <c r="B25" s="105"/>
      <c r="C25" s="56"/>
      <c r="D25" s="57"/>
      <c r="E25" s="58"/>
      <c r="F25" s="58"/>
      <c r="G25" s="59"/>
      <c r="H25" s="106"/>
      <c r="I25" s="107"/>
      <c r="J25" s="108"/>
      <c r="K25" s="119"/>
      <c r="L25" s="110"/>
      <c r="M25" s="111"/>
      <c r="N25" s="115"/>
      <c r="O25" s="116"/>
      <c r="P25" s="116"/>
      <c r="Q25" s="116"/>
      <c r="R25" s="116"/>
      <c r="S25" s="116"/>
      <c r="T25" s="116"/>
      <c r="U25" s="116"/>
      <c r="V25" s="116"/>
      <c r="W25" s="116"/>
      <c r="X25" s="116"/>
      <c r="Y25" s="116"/>
      <c r="Z25" s="116"/>
      <c r="AA25" s="116"/>
      <c r="AB25" s="116"/>
      <c r="AC25" s="116"/>
      <c r="AD25" s="116"/>
      <c r="AE25" s="116"/>
      <c r="AF25" s="116"/>
      <c r="AG25" s="116"/>
      <c r="AH25" s="116"/>
      <c r="AI25" s="116"/>
      <c r="AJ25" s="116"/>
      <c r="AK25" s="116"/>
      <c r="AL25" s="116"/>
      <c r="AM25" s="116"/>
      <c r="AN25" s="116"/>
      <c r="AO25" s="116"/>
      <c r="AP25" s="116"/>
      <c r="AQ25" s="116"/>
      <c r="AR25" s="116"/>
      <c r="AS25" s="116"/>
      <c r="AT25" s="116"/>
      <c r="AU25" s="116"/>
      <c r="AV25" s="116"/>
      <c r="AW25" s="116"/>
      <c r="AX25" s="116"/>
      <c r="AY25" s="116"/>
      <c r="AZ25" s="116"/>
      <c r="BA25" s="116"/>
      <c r="BB25" s="116"/>
      <c r="BC25" s="116"/>
      <c r="BD25" s="116"/>
      <c r="BE25" s="116"/>
      <c r="BF25" s="116"/>
      <c r="BG25" s="116"/>
      <c r="BH25" s="116"/>
      <c r="BI25" s="116"/>
      <c r="BJ25" s="116"/>
      <c r="BK25" s="116"/>
      <c r="BL25" s="116"/>
      <c r="BM25" s="116"/>
      <c r="BN25" s="116"/>
      <c r="BO25" s="116"/>
      <c r="BP25" s="116"/>
      <c r="BQ25" s="116"/>
      <c r="BR25" s="116"/>
      <c r="BS25" s="116"/>
      <c r="BT25" s="116"/>
      <c r="BU25" s="116"/>
      <c r="BV25" s="116"/>
      <c r="BW25" s="116"/>
      <c r="BX25" s="116"/>
      <c r="BY25" s="116"/>
      <c r="BZ25" s="116"/>
      <c r="CA25" s="116"/>
      <c r="CB25" s="116"/>
      <c r="CC25" s="116"/>
      <c r="CD25" s="116"/>
      <c r="CE25" s="116"/>
      <c r="CF25" s="116"/>
      <c r="CG25" s="116"/>
      <c r="CH25" s="117"/>
    </row>
    <row r="26" spans="1:86" x14ac:dyDescent="0.2">
      <c r="A26" s="105"/>
      <c r="B26" s="105"/>
      <c r="C26" s="56"/>
      <c r="D26" s="57"/>
      <c r="E26" s="58"/>
      <c r="F26" s="58"/>
      <c r="G26" s="59"/>
      <c r="H26" s="106"/>
      <c r="I26" s="107"/>
      <c r="J26" s="108"/>
      <c r="K26" s="119"/>
      <c r="L26" s="110"/>
      <c r="M26" s="111"/>
      <c r="N26" s="115"/>
      <c r="O26" s="116"/>
      <c r="P26" s="116"/>
      <c r="Q26" s="116"/>
      <c r="R26" s="116"/>
      <c r="S26" s="116"/>
      <c r="T26" s="116"/>
      <c r="U26" s="116"/>
      <c r="V26" s="116"/>
      <c r="W26" s="116"/>
      <c r="X26" s="116"/>
      <c r="Y26" s="116"/>
      <c r="Z26" s="116"/>
      <c r="AA26" s="116"/>
      <c r="AB26" s="116"/>
      <c r="AC26" s="116"/>
      <c r="AD26" s="116"/>
      <c r="AE26" s="116"/>
      <c r="AF26" s="116"/>
      <c r="AG26" s="116"/>
      <c r="AH26" s="116"/>
      <c r="AI26" s="116"/>
      <c r="AJ26" s="116"/>
      <c r="AK26" s="116"/>
      <c r="AL26" s="116"/>
      <c r="AM26" s="116"/>
      <c r="AN26" s="116"/>
      <c r="AO26" s="116"/>
      <c r="AP26" s="116"/>
      <c r="AQ26" s="116"/>
      <c r="AR26" s="116"/>
      <c r="AS26" s="116"/>
      <c r="AT26" s="116"/>
      <c r="AU26" s="116"/>
      <c r="AV26" s="116"/>
      <c r="AW26" s="116"/>
      <c r="AX26" s="116"/>
      <c r="AY26" s="116"/>
      <c r="AZ26" s="116"/>
      <c r="BA26" s="116"/>
      <c r="BB26" s="116"/>
      <c r="BC26" s="116"/>
      <c r="BD26" s="116"/>
      <c r="BE26" s="116"/>
      <c r="BF26" s="116"/>
      <c r="BG26" s="116"/>
      <c r="BH26" s="116"/>
      <c r="BI26" s="116"/>
      <c r="BJ26" s="116"/>
      <c r="BK26" s="116"/>
      <c r="BL26" s="116"/>
      <c r="BM26" s="116"/>
      <c r="BN26" s="116"/>
      <c r="BO26" s="116"/>
      <c r="BP26" s="116"/>
      <c r="BQ26" s="116"/>
      <c r="BR26" s="116"/>
      <c r="BS26" s="116"/>
      <c r="BT26" s="116"/>
      <c r="BU26" s="116"/>
      <c r="BV26" s="116"/>
      <c r="BW26" s="116"/>
      <c r="BX26" s="116"/>
      <c r="BY26" s="116"/>
      <c r="BZ26" s="116"/>
      <c r="CA26" s="116"/>
      <c r="CB26" s="116"/>
      <c r="CC26" s="116"/>
      <c r="CD26" s="116"/>
      <c r="CE26" s="116"/>
      <c r="CF26" s="116"/>
      <c r="CG26" s="116"/>
      <c r="CH26" s="117"/>
    </row>
    <row r="27" spans="1:86" x14ac:dyDescent="0.2">
      <c r="A27" s="105"/>
      <c r="B27" s="105"/>
      <c r="C27" s="56"/>
      <c r="D27" s="57"/>
      <c r="E27" s="58"/>
      <c r="F27" s="58"/>
      <c r="G27" s="59"/>
      <c r="H27" s="106"/>
      <c r="I27" s="107"/>
      <c r="J27" s="108"/>
      <c r="K27" s="109"/>
      <c r="L27" s="110"/>
      <c r="M27" s="111"/>
      <c r="N27" s="115"/>
      <c r="O27" s="116"/>
      <c r="P27" s="116"/>
      <c r="Q27" s="116"/>
      <c r="R27" s="116"/>
      <c r="S27" s="116"/>
      <c r="T27" s="116"/>
      <c r="U27" s="116"/>
      <c r="V27" s="116"/>
      <c r="W27" s="116"/>
      <c r="X27" s="116"/>
      <c r="Y27" s="116"/>
      <c r="Z27" s="116"/>
      <c r="AA27" s="116"/>
      <c r="AB27" s="116"/>
      <c r="AC27" s="116"/>
      <c r="AD27" s="116"/>
      <c r="AE27" s="116"/>
      <c r="AF27" s="116"/>
      <c r="AG27" s="116"/>
      <c r="AH27" s="116"/>
      <c r="AI27" s="116"/>
      <c r="AJ27" s="116"/>
      <c r="AK27" s="116"/>
      <c r="AL27" s="116"/>
      <c r="AM27" s="116"/>
      <c r="AN27" s="116"/>
      <c r="AO27" s="116"/>
      <c r="AP27" s="116"/>
      <c r="AQ27" s="116"/>
      <c r="AR27" s="116"/>
      <c r="AS27" s="116"/>
      <c r="AT27" s="116"/>
      <c r="AU27" s="116"/>
      <c r="AV27" s="116"/>
      <c r="AW27" s="116"/>
      <c r="AX27" s="116"/>
      <c r="AY27" s="116"/>
      <c r="AZ27" s="116"/>
      <c r="BA27" s="116"/>
      <c r="BB27" s="116"/>
      <c r="BC27" s="116"/>
      <c r="BD27" s="116"/>
      <c r="BE27" s="116"/>
      <c r="BF27" s="116"/>
      <c r="BG27" s="116"/>
      <c r="BH27" s="116"/>
      <c r="BI27" s="116"/>
      <c r="BJ27" s="116"/>
      <c r="BK27" s="116"/>
      <c r="BL27" s="116"/>
      <c r="BM27" s="116"/>
      <c r="BN27" s="116"/>
      <c r="BO27" s="116"/>
      <c r="BP27" s="116"/>
      <c r="BQ27" s="116"/>
      <c r="BR27" s="116"/>
      <c r="BS27" s="116"/>
      <c r="BT27" s="116"/>
      <c r="BU27" s="116"/>
      <c r="BV27" s="116"/>
      <c r="BW27" s="116"/>
      <c r="BX27" s="116"/>
      <c r="BY27" s="116"/>
      <c r="BZ27" s="116"/>
      <c r="CA27" s="116"/>
      <c r="CB27" s="116"/>
      <c r="CC27" s="116"/>
      <c r="CD27" s="116"/>
      <c r="CE27" s="116"/>
      <c r="CF27" s="116"/>
      <c r="CG27" s="116"/>
      <c r="CH27" s="117"/>
    </row>
    <row r="28" spans="1:86" ht="21.75" customHeight="1" x14ac:dyDescent="0.2">
      <c r="A28" s="105"/>
      <c r="B28" s="105"/>
      <c r="C28" s="56"/>
      <c r="D28" s="57"/>
      <c r="E28" s="58"/>
      <c r="F28" s="58"/>
      <c r="G28" s="59"/>
      <c r="H28" s="106"/>
      <c r="I28" s="107"/>
      <c r="J28" s="108"/>
      <c r="K28" s="109"/>
      <c r="L28" s="110"/>
      <c r="M28" s="111"/>
      <c r="N28" s="115"/>
      <c r="O28" s="116"/>
      <c r="P28" s="116"/>
      <c r="Q28" s="116"/>
      <c r="R28" s="116"/>
      <c r="S28" s="116"/>
      <c r="T28" s="116"/>
      <c r="U28" s="116"/>
      <c r="V28" s="116"/>
      <c r="W28" s="116"/>
      <c r="X28" s="116"/>
      <c r="Y28" s="116"/>
      <c r="Z28" s="116"/>
      <c r="AA28" s="116"/>
      <c r="AB28" s="116"/>
      <c r="AC28" s="116"/>
      <c r="AD28" s="116"/>
      <c r="AE28" s="116"/>
      <c r="AF28" s="116"/>
      <c r="AG28" s="116"/>
      <c r="AH28" s="116"/>
      <c r="AI28" s="116"/>
      <c r="AJ28" s="116"/>
      <c r="AK28" s="116"/>
      <c r="AL28" s="116"/>
      <c r="AM28" s="116"/>
      <c r="AN28" s="116"/>
      <c r="AO28" s="116"/>
      <c r="AP28" s="116"/>
      <c r="AQ28" s="116"/>
      <c r="AR28" s="116"/>
      <c r="AS28" s="116"/>
      <c r="AT28" s="116"/>
      <c r="AU28" s="116"/>
      <c r="AV28" s="116"/>
      <c r="AW28" s="116"/>
      <c r="AX28" s="116"/>
      <c r="AY28" s="116"/>
      <c r="AZ28" s="116"/>
      <c r="BA28" s="116"/>
      <c r="BB28" s="116"/>
      <c r="BC28" s="116"/>
      <c r="BD28" s="116"/>
      <c r="BE28" s="116"/>
      <c r="BF28" s="116"/>
      <c r="BG28" s="116"/>
      <c r="BH28" s="116"/>
      <c r="BI28" s="116"/>
      <c r="BJ28" s="116"/>
      <c r="BK28" s="116"/>
      <c r="BL28" s="116"/>
      <c r="BM28" s="116"/>
      <c r="BN28" s="116"/>
      <c r="BO28" s="116"/>
      <c r="BP28" s="116"/>
      <c r="BQ28" s="116"/>
      <c r="BR28" s="116"/>
      <c r="BS28" s="116"/>
      <c r="BT28" s="116"/>
      <c r="BU28" s="116"/>
      <c r="BV28" s="116"/>
      <c r="BW28" s="116"/>
      <c r="BX28" s="116"/>
      <c r="BY28" s="116"/>
      <c r="BZ28" s="116"/>
      <c r="CA28" s="116"/>
      <c r="CB28" s="116"/>
      <c r="CC28" s="116"/>
      <c r="CD28" s="116"/>
      <c r="CE28" s="116"/>
      <c r="CF28" s="116"/>
      <c r="CG28" s="116"/>
      <c r="CH28" s="117"/>
    </row>
    <row r="29" spans="1:86" ht="21.75" customHeight="1" x14ac:dyDescent="0.2">
      <c r="A29" s="105"/>
      <c r="B29" s="105"/>
      <c r="C29" s="68"/>
      <c r="D29" s="69"/>
      <c r="E29" s="70"/>
      <c r="F29" s="70"/>
      <c r="G29" s="71"/>
      <c r="H29" s="123"/>
      <c r="I29" s="124"/>
      <c r="J29" s="125"/>
      <c r="K29" s="126"/>
      <c r="L29" s="127"/>
      <c r="M29" s="128"/>
      <c r="N29" s="115"/>
      <c r="O29" s="116"/>
      <c r="P29" s="116"/>
      <c r="Q29" s="116"/>
      <c r="R29" s="116"/>
      <c r="S29" s="116"/>
      <c r="T29" s="116"/>
      <c r="U29" s="116"/>
      <c r="V29" s="116"/>
      <c r="W29" s="116"/>
      <c r="X29" s="116"/>
      <c r="Y29" s="116"/>
      <c r="Z29" s="116"/>
      <c r="AA29" s="116"/>
      <c r="AB29" s="116"/>
      <c r="AC29" s="116"/>
      <c r="AD29" s="116"/>
      <c r="AE29" s="116"/>
      <c r="AF29" s="116"/>
      <c r="AG29" s="116"/>
      <c r="AH29" s="116"/>
      <c r="AI29" s="116"/>
      <c r="AJ29" s="116"/>
      <c r="AK29" s="116"/>
      <c r="AL29" s="116"/>
      <c r="AM29" s="116"/>
      <c r="AN29" s="116"/>
      <c r="AO29" s="116"/>
      <c r="AP29" s="116"/>
      <c r="AQ29" s="116"/>
      <c r="AR29" s="116"/>
      <c r="AS29" s="116"/>
      <c r="AT29" s="116"/>
      <c r="AU29" s="116"/>
      <c r="AV29" s="116"/>
      <c r="AW29" s="116"/>
      <c r="AX29" s="116"/>
      <c r="AY29" s="116"/>
      <c r="AZ29" s="116"/>
      <c r="BA29" s="116"/>
      <c r="BB29" s="116"/>
      <c r="BC29" s="116"/>
      <c r="BD29" s="116"/>
      <c r="BE29" s="116"/>
      <c r="BF29" s="116"/>
      <c r="BG29" s="116"/>
      <c r="BH29" s="116"/>
      <c r="BI29" s="116"/>
      <c r="BJ29" s="116"/>
      <c r="BK29" s="116"/>
      <c r="BL29" s="116"/>
      <c r="BM29" s="116"/>
      <c r="BN29" s="116"/>
      <c r="BO29" s="116"/>
      <c r="BP29" s="116"/>
      <c r="BQ29" s="116"/>
      <c r="BR29" s="116"/>
      <c r="BS29" s="116"/>
      <c r="BT29" s="116"/>
      <c r="BU29" s="116"/>
      <c r="BV29" s="116"/>
      <c r="BW29" s="116"/>
      <c r="BX29" s="116"/>
      <c r="BY29" s="116"/>
      <c r="BZ29" s="116"/>
      <c r="CA29" s="116"/>
      <c r="CB29" s="116"/>
      <c r="CC29" s="116"/>
      <c r="CD29" s="116"/>
      <c r="CE29" s="116"/>
      <c r="CF29" s="116"/>
      <c r="CG29" s="116"/>
      <c r="CH29" s="117"/>
    </row>
    <row r="30" spans="1:86" s="46" customFormat="1" x14ac:dyDescent="0.2">
      <c r="A30" s="105"/>
      <c r="B30" s="105"/>
      <c r="C30" s="56"/>
      <c r="D30" s="57"/>
      <c r="E30" s="58"/>
      <c r="F30" s="58"/>
      <c r="G30" s="59"/>
      <c r="H30" s="106"/>
      <c r="I30" s="107"/>
      <c r="J30" s="108"/>
      <c r="K30" s="119"/>
      <c r="L30" s="110"/>
      <c r="M30" s="111"/>
      <c r="N30" s="115"/>
      <c r="O30" s="116"/>
      <c r="P30" s="116"/>
      <c r="Q30" s="116"/>
      <c r="R30" s="116"/>
      <c r="S30" s="116"/>
      <c r="T30" s="116"/>
      <c r="U30" s="116"/>
      <c r="V30" s="116"/>
      <c r="W30" s="116"/>
      <c r="X30" s="116"/>
      <c r="Y30" s="116"/>
      <c r="Z30" s="116"/>
      <c r="AA30" s="116"/>
      <c r="AB30" s="116"/>
      <c r="AC30" s="116"/>
      <c r="AD30" s="116"/>
      <c r="AE30" s="116"/>
      <c r="AF30" s="116"/>
      <c r="AG30" s="116"/>
      <c r="AH30" s="116"/>
      <c r="AI30" s="116"/>
      <c r="AJ30" s="116"/>
      <c r="AK30" s="116"/>
      <c r="AL30" s="116"/>
      <c r="AM30" s="116"/>
      <c r="AN30" s="116"/>
      <c r="AO30" s="116"/>
      <c r="AP30" s="116"/>
      <c r="AQ30" s="116"/>
      <c r="AR30" s="116"/>
      <c r="AS30" s="116"/>
      <c r="AT30" s="116"/>
      <c r="AU30" s="116"/>
      <c r="AV30" s="116"/>
      <c r="AW30" s="116"/>
      <c r="AX30" s="116"/>
      <c r="AY30" s="116"/>
      <c r="AZ30" s="116"/>
      <c r="BA30" s="116"/>
      <c r="BB30" s="116"/>
      <c r="BC30" s="116"/>
      <c r="BD30" s="116"/>
      <c r="BE30" s="116"/>
      <c r="BF30" s="116"/>
      <c r="BG30" s="116"/>
      <c r="BH30" s="116"/>
      <c r="BI30" s="116"/>
      <c r="BJ30" s="116"/>
      <c r="BK30" s="116"/>
      <c r="BL30" s="116"/>
      <c r="BM30" s="116"/>
      <c r="BN30" s="116"/>
      <c r="BO30" s="116"/>
      <c r="BP30" s="116"/>
      <c r="BQ30" s="116"/>
      <c r="BR30" s="116"/>
      <c r="BS30" s="116"/>
      <c r="BT30" s="116"/>
      <c r="BU30" s="116"/>
      <c r="BV30" s="116"/>
      <c r="BW30" s="116"/>
      <c r="BX30" s="116"/>
      <c r="BY30" s="116"/>
      <c r="BZ30" s="116"/>
      <c r="CA30" s="116"/>
      <c r="CB30" s="116"/>
      <c r="CC30" s="116"/>
      <c r="CD30" s="116"/>
      <c r="CE30" s="116"/>
      <c r="CF30" s="116"/>
      <c r="CG30" s="116"/>
      <c r="CH30" s="117"/>
    </row>
    <row r="31" spans="1:86" s="46" customFormat="1" x14ac:dyDescent="0.2">
      <c r="A31" s="105"/>
      <c r="B31" s="105"/>
      <c r="C31" s="56"/>
      <c r="D31" s="57"/>
      <c r="E31" s="58"/>
      <c r="F31" s="58"/>
      <c r="G31" s="59"/>
      <c r="H31" s="106"/>
      <c r="I31" s="107"/>
      <c r="J31" s="108"/>
      <c r="K31" s="109"/>
      <c r="L31" s="110"/>
      <c r="M31" s="111"/>
      <c r="N31" s="115"/>
      <c r="O31" s="116"/>
      <c r="P31" s="116"/>
      <c r="Q31" s="116"/>
      <c r="R31" s="116"/>
      <c r="S31" s="116"/>
      <c r="T31" s="116"/>
      <c r="U31" s="116"/>
      <c r="V31" s="116"/>
      <c r="W31" s="116"/>
      <c r="X31" s="116"/>
      <c r="Y31" s="116"/>
      <c r="Z31" s="116"/>
      <c r="AA31" s="116"/>
      <c r="AB31" s="116"/>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c r="BA31" s="116"/>
      <c r="BB31" s="116"/>
      <c r="BC31" s="116"/>
      <c r="BD31" s="116"/>
      <c r="BE31" s="116"/>
      <c r="BF31" s="116"/>
      <c r="BG31" s="116"/>
      <c r="BH31" s="116"/>
      <c r="BI31" s="116"/>
      <c r="BJ31" s="116"/>
      <c r="BK31" s="116"/>
      <c r="BL31" s="116"/>
      <c r="BM31" s="116"/>
      <c r="BN31" s="116"/>
      <c r="BO31" s="116"/>
      <c r="BP31" s="116"/>
      <c r="BQ31" s="116"/>
      <c r="BR31" s="116"/>
      <c r="BS31" s="116"/>
      <c r="BT31" s="116"/>
      <c r="BU31" s="116"/>
      <c r="BV31" s="116"/>
      <c r="BW31" s="116"/>
      <c r="BX31" s="116"/>
      <c r="BY31" s="116"/>
      <c r="BZ31" s="116"/>
      <c r="CA31" s="116"/>
      <c r="CB31" s="116"/>
      <c r="CC31" s="116"/>
      <c r="CD31" s="116"/>
      <c r="CE31" s="116"/>
      <c r="CF31" s="116"/>
      <c r="CG31" s="116"/>
      <c r="CH31" s="117"/>
    </row>
    <row r="32" spans="1:86" x14ac:dyDescent="0.2">
      <c r="A32" s="105"/>
      <c r="B32" s="105"/>
      <c r="C32" s="56"/>
      <c r="D32" s="57"/>
      <c r="E32" s="58"/>
      <c r="F32" s="58"/>
      <c r="G32" s="59"/>
      <c r="H32" s="106"/>
      <c r="I32" s="107"/>
      <c r="J32" s="108"/>
      <c r="K32" s="109"/>
      <c r="L32" s="110"/>
      <c r="M32" s="111"/>
      <c r="N32" s="115"/>
      <c r="O32" s="116"/>
      <c r="P32" s="116"/>
      <c r="Q32" s="116"/>
      <c r="R32" s="116"/>
      <c r="S32" s="116"/>
      <c r="T32" s="116"/>
      <c r="U32" s="116"/>
      <c r="V32" s="116"/>
      <c r="W32" s="116"/>
      <c r="X32" s="116"/>
      <c r="Y32" s="116"/>
      <c r="Z32" s="116"/>
      <c r="AA32" s="116"/>
      <c r="AB32" s="116"/>
      <c r="AC32" s="116"/>
      <c r="AD32" s="116"/>
      <c r="AE32" s="116"/>
      <c r="AF32" s="116"/>
      <c r="AG32" s="116"/>
      <c r="AH32" s="116"/>
      <c r="AI32" s="116"/>
      <c r="AJ32" s="116"/>
      <c r="AK32" s="116"/>
      <c r="AL32" s="116"/>
      <c r="AM32" s="116"/>
      <c r="AN32" s="116"/>
      <c r="AO32" s="116"/>
      <c r="AP32" s="116"/>
      <c r="AQ32" s="116"/>
      <c r="AR32" s="116"/>
      <c r="AS32" s="116"/>
      <c r="AT32" s="116"/>
      <c r="AU32" s="116"/>
      <c r="AV32" s="116"/>
      <c r="AW32" s="116"/>
      <c r="AX32" s="116"/>
      <c r="AY32" s="116"/>
      <c r="AZ32" s="116"/>
      <c r="BA32" s="116"/>
      <c r="BB32" s="116"/>
      <c r="BC32" s="116"/>
      <c r="BD32" s="116"/>
      <c r="BE32" s="116"/>
      <c r="BF32" s="116"/>
      <c r="BG32" s="116"/>
      <c r="BH32" s="116"/>
      <c r="BI32" s="116"/>
      <c r="BJ32" s="116"/>
      <c r="BK32" s="116"/>
      <c r="BL32" s="116"/>
      <c r="BM32" s="116"/>
      <c r="BN32" s="116"/>
      <c r="BO32" s="116"/>
      <c r="BP32" s="116"/>
      <c r="BQ32" s="116"/>
      <c r="BR32" s="116"/>
      <c r="BS32" s="116"/>
      <c r="BT32" s="116"/>
      <c r="BU32" s="116"/>
      <c r="BV32" s="116"/>
      <c r="BW32" s="116"/>
      <c r="BX32" s="116"/>
      <c r="BY32" s="116"/>
      <c r="BZ32" s="116"/>
      <c r="CA32" s="116"/>
      <c r="CB32" s="116"/>
      <c r="CC32" s="116"/>
      <c r="CD32" s="116"/>
      <c r="CE32" s="116"/>
      <c r="CF32" s="116"/>
      <c r="CG32" s="116"/>
      <c r="CH32" s="117"/>
    </row>
    <row r="33" spans="1:86" x14ac:dyDescent="0.2">
      <c r="A33" s="105"/>
      <c r="B33" s="105"/>
      <c r="C33" s="56"/>
      <c r="D33" s="57"/>
      <c r="E33" s="58"/>
      <c r="F33" s="58"/>
      <c r="G33" s="59"/>
      <c r="H33" s="106"/>
      <c r="I33" s="107"/>
      <c r="J33" s="108"/>
      <c r="K33" s="109"/>
      <c r="L33" s="110"/>
      <c r="M33" s="111"/>
      <c r="N33" s="115"/>
      <c r="O33" s="116"/>
      <c r="P33" s="116"/>
      <c r="Q33" s="116"/>
      <c r="R33" s="116"/>
      <c r="S33" s="116"/>
      <c r="T33" s="116"/>
      <c r="U33" s="116"/>
      <c r="V33" s="116"/>
      <c r="W33" s="116"/>
      <c r="X33" s="116"/>
      <c r="Y33" s="116"/>
      <c r="Z33" s="116"/>
      <c r="AA33" s="116"/>
      <c r="AB33" s="116"/>
      <c r="AC33" s="116"/>
      <c r="AD33" s="116"/>
      <c r="AE33" s="116"/>
      <c r="AF33" s="116"/>
      <c r="AG33" s="116"/>
      <c r="AH33" s="116"/>
      <c r="AI33" s="116"/>
      <c r="AJ33" s="116"/>
      <c r="AK33" s="116"/>
      <c r="AL33" s="116"/>
      <c r="AM33" s="116"/>
      <c r="AN33" s="116"/>
      <c r="AO33" s="116"/>
      <c r="AP33" s="116"/>
      <c r="AQ33" s="116"/>
      <c r="AR33" s="116"/>
      <c r="AS33" s="116"/>
      <c r="AT33" s="116"/>
      <c r="AU33" s="116"/>
      <c r="AV33" s="116"/>
      <c r="AW33" s="116"/>
      <c r="AX33" s="116"/>
      <c r="AY33" s="116"/>
      <c r="AZ33" s="116"/>
      <c r="BA33" s="116"/>
      <c r="BB33" s="116"/>
      <c r="BC33" s="116"/>
      <c r="BD33" s="116"/>
      <c r="BE33" s="116"/>
      <c r="BF33" s="116"/>
      <c r="BG33" s="116"/>
      <c r="BH33" s="116"/>
      <c r="BI33" s="116"/>
      <c r="BJ33" s="116"/>
      <c r="BK33" s="116"/>
      <c r="BL33" s="116"/>
      <c r="BM33" s="116"/>
      <c r="BN33" s="116"/>
      <c r="BO33" s="116"/>
      <c r="BP33" s="116"/>
      <c r="BQ33" s="116"/>
      <c r="BR33" s="116"/>
      <c r="BS33" s="116"/>
      <c r="BT33" s="116"/>
      <c r="BU33" s="116"/>
      <c r="BV33" s="116"/>
      <c r="BW33" s="116"/>
      <c r="BX33" s="116"/>
      <c r="BY33" s="116"/>
      <c r="BZ33" s="116"/>
      <c r="CA33" s="116"/>
      <c r="CB33" s="116"/>
      <c r="CC33" s="116"/>
      <c r="CD33" s="116"/>
      <c r="CE33" s="116"/>
      <c r="CF33" s="116"/>
      <c r="CG33" s="116"/>
      <c r="CH33" s="117"/>
    </row>
    <row r="34" spans="1:86" x14ac:dyDescent="0.2">
      <c r="A34" s="105"/>
      <c r="B34" s="105"/>
      <c r="C34" s="56"/>
      <c r="D34" s="57"/>
      <c r="E34" s="58"/>
      <c r="F34" s="58"/>
      <c r="G34" s="59"/>
      <c r="H34" s="106"/>
      <c r="I34" s="107"/>
      <c r="J34" s="108"/>
      <c r="K34" s="109"/>
      <c r="L34" s="110"/>
      <c r="M34" s="111"/>
      <c r="N34" s="115"/>
      <c r="O34" s="116"/>
      <c r="P34" s="116"/>
      <c r="Q34" s="116"/>
      <c r="R34" s="116"/>
      <c r="S34" s="116"/>
      <c r="T34" s="116"/>
      <c r="U34" s="116"/>
      <c r="V34" s="116"/>
      <c r="W34" s="116"/>
      <c r="X34" s="116"/>
      <c r="Y34" s="116"/>
      <c r="Z34" s="116"/>
      <c r="AA34" s="116"/>
      <c r="AB34" s="116"/>
      <c r="AC34" s="116"/>
      <c r="AD34" s="116"/>
      <c r="AE34" s="116"/>
      <c r="AF34" s="116"/>
      <c r="AG34" s="116"/>
      <c r="AH34" s="116"/>
      <c r="AI34" s="116"/>
      <c r="AJ34" s="116"/>
      <c r="AK34" s="116"/>
      <c r="AL34" s="116"/>
      <c r="AM34" s="116"/>
      <c r="AN34" s="116"/>
      <c r="AO34" s="116"/>
      <c r="AP34" s="116"/>
      <c r="AQ34" s="116"/>
      <c r="AR34" s="116"/>
      <c r="AS34" s="116"/>
      <c r="AT34" s="116"/>
      <c r="AU34" s="116"/>
      <c r="AV34" s="116"/>
      <c r="AW34" s="116"/>
      <c r="AX34" s="116"/>
      <c r="AY34" s="116"/>
      <c r="AZ34" s="116"/>
      <c r="BA34" s="116"/>
      <c r="BB34" s="116"/>
      <c r="BC34" s="116"/>
      <c r="BD34" s="116"/>
      <c r="BE34" s="116"/>
      <c r="BF34" s="116"/>
      <c r="BG34" s="116"/>
      <c r="BH34" s="116"/>
      <c r="BI34" s="116"/>
      <c r="BJ34" s="116"/>
      <c r="BK34" s="116"/>
      <c r="BL34" s="116"/>
      <c r="BM34" s="116"/>
      <c r="BN34" s="116"/>
      <c r="BO34" s="116"/>
      <c r="BP34" s="116"/>
      <c r="BQ34" s="116"/>
      <c r="BR34" s="116"/>
      <c r="BS34" s="116"/>
      <c r="BT34" s="116"/>
      <c r="BU34" s="116"/>
      <c r="BV34" s="116"/>
      <c r="BW34" s="116"/>
      <c r="BX34" s="116"/>
      <c r="BY34" s="116"/>
      <c r="BZ34" s="116"/>
      <c r="CA34" s="116"/>
      <c r="CB34" s="116"/>
      <c r="CC34" s="116"/>
      <c r="CD34" s="116"/>
      <c r="CE34" s="116"/>
      <c r="CF34" s="116"/>
      <c r="CG34" s="116"/>
      <c r="CH34" s="117"/>
    </row>
    <row r="35" spans="1:86" x14ac:dyDescent="0.2">
      <c r="A35" s="105"/>
      <c r="B35" s="105"/>
      <c r="C35" s="56"/>
      <c r="D35" s="57"/>
      <c r="E35" s="58"/>
      <c r="F35" s="58"/>
      <c r="G35" s="59"/>
      <c r="H35" s="106"/>
      <c r="I35" s="107"/>
      <c r="J35" s="108"/>
      <c r="K35" s="109"/>
      <c r="L35" s="110"/>
      <c r="M35" s="111"/>
      <c r="N35" s="115"/>
      <c r="O35" s="116"/>
      <c r="P35" s="116"/>
      <c r="Q35" s="116"/>
      <c r="R35" s="116"/>
      <c r="S35" s="116"/>
      <c r="T35" s="116"/>
      <c r="U35" s="116"/>
      <c r="V35" s="116"/>
      <c r="W35" s="116"/>
      <c r="X35" s="116"/>
      <c r="Y35" s="116"/>
      <c r="Z35" s="116"/>
      <c r="AA35" s="116"/>
      <c r="AB35" s="116"/>
      <c r="AC35" s="116"/>
      <c r="AD35" s="116"/>
      <c r="AE35" s="116"/>
      <c r="AF35" s="116"/>
      <c r="AG35" s="116"/>
      <c r="AH35" s="116"/>
      <c r="AI35" s="116"/>
      <c r="AJ35" s="116"/>
      <c r="AK35" s="116"/>
      <c r="AL35" s="116"/>
      <c r="AM35" s="116"/>
      <c r="AN35" s="116"/>
      <c r="AO35" s="116"/>
      <c r="AP35" s="116"/>
      <c r="AQ35" s="116"/>
      <c r="AR35" s="116"/>
      <c r="AS35" s="116"/>
      <c r="AT35" s="116"/>
      <c r="AU35" s="116"/>
      <c r="AV35" s="116"/>
      <c r="AW35" s="116"/>
      <c r="AX35" s="116"/>
      <c r="AY35" s="116"/>
      <c r="AZ35" s="116"/>
      <c r="BA35" s="116"/>
      <c r="BB35" s="116"/>
      <c r="BC35" s="116"/>
      <c r="BD35" s="116"/>
      <c r="BE35" s="116"/>
      <c r="BF35" s="116"/>
      <c r="BG35" s="116"/>
      <c r="BH35" s="116"/>
      <c r="BI35" s="116"/>
      <c r="BJ35" s="116"/>
      <c r="BK35" s="116"/>
      <c r="BL35" s="116"/>
      <c r="BM35" s="116"/>
      <c r="BN35" s="116"/>
      <c r="BO35" s="116"/>
      <c r="BP35" s="116"/>
      <c r="BQ35" s="116"/>
      <c r="BR35" s="116"/>
      <c r="BS35" s="116"/>
      <c r="BT35" s="116"/>
      <c r="BU35" s="116"/>
      <c r="BV35" s="116"/>
      <c r="BW35" s="116"/>
      <c r="BX35" s="116"/>
      <c r="BY35" s="116"/>
      <c r="BZ35" s="116"/>
      <c r="CA35" s="116"/>
      <c r="CB35" s="116"/>
      <c r="CC35" s="116"/>
      <c r="CD35" s="116"/>
      <c r="CE35" s="116"/>
      <c r="CF35" s="116"/>
      <c r="CG35" s="116"/>
      <c r="CH35" s="117"/>
    </row>
    <row r="36" spans="1:86" x14ac:dyDescent="0.2">
      <c r="A36" s="105"/>
      <c r="B36" s="105"/>
      <c r="C36" s="56"/>
      <c r="D36" s="57"/>
      <c r="E36" s="58"/>
      <c r="F36" s="58"/>
      <c r="G36" s="59"/>
      <c r="H36" s="106"/>
      <c r="I36" s="107"/>
      <c r="J36" s="108"/>
      <c r="K36" s="109"/>
      <c r="L36" s="110"/>
      <c r="M36" s="111"/>
      <c r="N36" s="115"/>
      <c r="O36" s="116"/>
      <c r="P36" s="116"/>
      <c r="Q36" s="116"/>
      <c r="R36" s="116"/>
      <c r="S36" s="116"/>
      <c r="T36" s="116"/>
      <c r="U36" s="116"/>
      <c r="V36" s="116"/>
      <c r="W36" s="116"/>
      <c r="X36" s="116"/>
      <c r="Y36" s="116"/>
      <c r="Z36" s="116"/>
      <c r="AA36" s="116"/>
      <c r="AB36" s="116"/>
      <c r="AC36" s="116"/>
      <c r="AD36" s="116"/>
      <c r="AE36" s="116"/>
      <c r="AF36" s="116"/>
      <c r="AG36" s="116"/>
      <c r="AH36" s="116"/>
      <c r="AI36" s="116"/>
      <c r="AJ36" s="116"/>
      <c r="AK36" s="116"/>
      <c r="AL36" s="116"/>
      <c r="AM36" s="116"/>
      <c r="AN36" s="116"/>
      <c r="AO36" s="116"/>
      <c r="AP36" s="116"/>
      <c r="AQ36" s="116"/>
      <c r="AR36" s="116"/>
      <c r="AS36" s="116"/>
      <c r="AT36" s="116"/>
      <c r="AU36" s="116"/>
      <c r="AV36" s="116"/>
      <c r="AW36" s="116"/>
      <c r="AX36" s="116"/>
      <c r="AY36" s="116"/>
      <c r="AZ36" s="116"/>
      <c r="BA36" s="116"/>
      <c r="BB36" s="116"/>
      <c r="BC36" s="116"/>
      <c r="BD36" s="116"/>
      <c r="BE36" s="116"/>
      <c r="BF36" s="116"/>
      <c r="BG36" s="116"/>
      <c r="BH36" s="116"/>
      <c r="BI36" s="116"/>
      <c r="BJ36" s="116"/>
      <c r="BK36" s="116"/>
      <c r="BL36" s="116"/>
      <c r="BM36" s="116"/>
      <c r="BN36" s="116"/>
      <c r="BO36" s="116"/>
      <c r="BP36" s="116"/>
      <c r="BQ36" s="116"/>
      <c r="BR36" s="116"/>
      <c r="BS36" s="116"/>
      <c r="BT36" s="116"/>
      <c r="BU36" s="116"/>
      <c r="BV36" s="116"/>
      <c r="BW36" s="116"/>
      <c r="BX36" s="116"/>
      <c r="BY36" s="116"/>
      <c r="BZ36" s="116"/>
      <c r="CA36" s="116"/>
      <c r="CB36" s="116"/>
      <c r="CC36" s="116"/>
      <c r="CD36" s="116"/>
      <c r="CE36" s="116"/>
      <c r="CF36" s="116"/>
      <c r="CG36" s="116"/>
      <c r="CH36" s="117"/>
    </row>
    <row r="37" spans="1:86" x14ac:dyDescent="0.2">
      <c r="A37" s="105"/>
      <c r="B37" s="105"/>
      <c r="C37" s="56"/>
      <c r="D37" s="57"/>
      <c r="E37" s="58"/>
      <c r="F37" s="58"/>
      <c r="G37" s="59"/>
      <c r="H37" s="106"/>
      <c r="I37" s="107"/>
      <c r="J37" s="108"/>
      <c r="K37" s="109"/>
      <c r="L37" s="110"/>
      <c r="M37" s="111"/>
      <c r="N37" s="115"/>
      <c r="O37" s="116"/>
      <c r="P37" s="116"/>
      <c r="Q37" s="116"/>
      <c r="R37" s="116"/>
      <c r="S37" s="116"/>
      <c r="T37" s="116"/>
      <c r="U37" s="116"/>
      <c r="V37" s="116"/>
      <c r="W37" s="116"/>
      <c r="X37" s="116"/>
      <c r="Y37" s="116"/>
      <c r="Z37" s="116"/>
      <c r="AA37" s="116"/>
      <c r="AB37" s="116"/>
      <c r="AC37" s="116"/>
      <c r="AD37" s="116"/>
      <c r="AE37" s="116"/>
      <c r="AF37" s="116"/>
      <c r="AG37" s="116"/>
      <c r="AH37" s="116"/>
      <c r="AI37" s="116"/>
      <c r="AJ37" s="116"/>
      <c r="AK37" s="116"/>
      <c r="AL37" s="116"/>
      <c r="AM37" s="116"/>
      <c r="AN37" s="116"/>
      <c r="AO37" s="116"/>
      <c r="AP37" s="116"/>
      <c r="AQ37" s="116"/>
      <c r="AR37" s="116"/>
      <c r="AS37" s="116"/>
      <c r="AT37" s="116"/>
      <c r="AU37" s="116"/>
      <c r="AV37" s="116"/>
      <c r="AW37" s="116"/>
      <c r="AX37" s="116"/>
      <c r="AY37" s="116"/>
      <c r="AZ37" s="116"/>
      <c r="BA37" s="116"/>
      <c r="BB37" s="116"/>
      <c r="BC37" s="116"/>
      <c r="BD37" s="116"/>
      <c r="BE37" s="116"/>
      <c r="BF37" s="116"/>
      <c r="BG37" s="116"/>
      <c r="BH37" s="116"/>
      <c r="BI37" s="116"/>
      <c r="BJ37" s="116"/>
      <c r="BK37" s="116"/>
      <c r="BL37" s="116"/>
      <c r="BM37" s="116"/>
      <c r="BN37" s="116"/>
      <c r="BO37" s="116"/>
      <c r="BP37" s="116"/>
      <c r="BQ37" s="116"/>
      <c r="BR37" s="116"/>
      <c r="BS37" s="116"/>
      <c r="BT37" s="116"/>
      <c r="BU37" s="116"/>
      <c r="BV37" s="116"/>
      <c r="BW37" s="116"/>
      <c r="BX37" s="116"/>
      <c r="BY37" s="116"/>
      <c r="BZ37" s="116"/>
      <c r="CA37" s="116"/>
      <c r="CB37" s="116"/>
      <c r="CC37" s="116"/>
      <c r="CD37" s="116"/>
      <c r="CE37" s="116"/>
      <c r="CF37" s="116"/>
      <c r="CG37" s="116"/>
      <c r="CH37" s="117"/>
    </row>
    <row r="38" spans="1:86" x14ac:dyDescent="0.2">
      <c r="A38" s="105"/>
      <c r="B38" s="105"/>
      <c r="C38" s="56"/>
      <c r="D38" s="57"/>
      <c r="E38" s="58"/>
      <c r="F38" s="58"/>
      <c r="G38" s="59"/>
      <c r="H38" s="106"/>
      <c r="I38" s="107"/>
      <c r="J38" s="108"/>
      <c r="K38" s="109"/>
      <c r="L38" s="110"/>
      <c r="M38" s="111"/>
      <c r="N38" s="115"/>
      <c r="O38" s="116"/>
      <c r="P38" s="116"/>
      <c r="Q38" s="116"/>
      <c r="R38" s="116"/>
      <c r="S38" s="116"/>
      <c r="T38" s="116"/>
      <c r="U38" s="116"/>
      <c r="V38" s="116"/>
      <c r="W38" s="116"/>
      <c r="X38" s="116"/>
      <c r="Y38" s="116"/>
      <c r="Z38" s="116"/>
      <c r="AA38" s="116"/>
      <c r="AB38" s="116"/>
      <c r="AC38" s="116"/>
      <c r="AD38" s="116"/>
      <c r="AE38" s="116"/>
      <c r="AF38" s="116"/>
      <c r="AG38" s="116"/>
      <c r="AH38" s="116"/>
      <c r="AI38" s="116"/>
      <c r="AJ38" s="116"/>
      <c r="AK38" s="116"/>
      <c r="AL38" s="116"/>
      <c r="AM38" s="116"/>
      <c r="AN38" s="116"/>
      <c r="AO38" s="116"/>
      <c r="AP38" s="116"/>
      <c r="AQ38" s="116"/>
      <c r="AR38" s="116"/>
      <c r="AS38" s="116"/>
      <c r="AT38" s="116"/>
      <c r="AU38" s="116"/>
      <c r="AV38" s="116"/>
      <c r="AW38" s="116"/>
      <c r="AX38" s="116"/>
      <c r="AY38" s="116"/>
      <c r="AZ38" s="116"/>
      <c r="BA38" s="116"/>
      <c r="BB38" s="116"/>
      <c r="BC38" s="116"/>
      <c r="BD38" s="116"/>
      <c r="BE38" s="116"/>
      <c r="BF38" s="116"/>
      <c r="BG38" s="116"/>
      <c r="BH38" s="116"/>
      <c r="BI38" s="116"/>
      <c r="BJ38" s="116"/>
      <c r="BK38" s="116"/>
      <c r="BL38" s="116"/>
      <c r="BM38" s="116"/>
      <c r="BN38" s="116"/>
      <c r="BO38" s="116"/>
      <c r="BP38" s="116"/>
      <c r="BQ38" s="116"/>
      <c r="BR38" s="116"/>
      <c r="BS38" s="116"/>
      <c r="BT38" s="116"/>
      <c r="BU38" s="116"/>
      <c r="BV38" s="116"/>
      <c r="BW38" s="116"/>
      <c r="BX38" s="116"/>
      <c r="BY38" s="116"/>
      <c r="BZ38" s="116"/>
      <c r="CA38" s="116"/>
      <c r="CB38" s="116"/>
      <c r="CC38" s="116"/>
      <c r="CD38" s="116"/>
      <c r="CE38" s="116"/>
      <c r="CF38" s="116"/>
      <c r="CG38" s="116"/>
      <c r="CH38" s="117"/>
    </row>
    <row r="39" spans="1:86" x14ac:dyDescent="0.2">
      <c r="A39" s="105"/>
      <c r="B39" s="105"/>
      <c r="C39" s="56"/>
      <c r="D39" s="57"/>
      <c r="E39" s="58"/>
      <c r="F39" s="58"/>
      <c r="G39" s="59"/>
      <c r="H39" s="106"/>
      <c r="I39" s="107"/>
      <c r="J39" s="108"/>
      <c r="K39" s="109"/>
      <c r="L39" s="110"/>
      <c r="M39" s="111"/>
      <c r="N39" s="115"/>
      <c r="O39" s="116"/>
      <c r="P39" s="116"/>
      <c r="Q39" s="116"/>
      <c r="R39" s="116"/>
      <c r="S39" s="116"/>
      <c r="T39" s="116"/>
      <c r="U39" s="116"/>
      <c r="V39" s="116"/>
      <c r="W39" s="116"/>
      <c r="X39" s="116"/>
      <c r="Y39" s="116"/>
      <c r="Z39" s="116"/>
      <c r="AA39" s="116"/>
      <c r="AB39" s="116"/>
      <c r="AC39" s="116"/>
      <c r="AD39" s="116"/>
      <c r="AE39" s="116"/>
      <c r="AF39" s="116"/>
      <c r="AG39" s="116"/>
      <c r="AH39" s="116"/>
      <c r="AI39" s="116"/>
      <c r="AJ39" s="116"/>
      <c r="AK39" s="116"/>
      <c r="AL39" s="116"/>
      <c r="AM39" s="116"/>
      <c r="AN39" s="116"/>
      <c r="AO39" s="116"/>
      <c r="AP39" s="116"/>
      <c r="AQ39" s="116"/>
      <c r="AR39" s="116"/>
      <c r="AS39" s="116"/>
      <c r="AT39" s="116"/>
      <c r="AU39" s="116"/>
      <c r="AV39" s="116"/>
      <c r="AW39" s="116"/>
      <c r="AX39" s="116"/>
      <c r="AY39" s="116"/>
      <c r="AZ39" s="116"/>
      <c r="BA39" s="116"/>
      <c r="BB39" s="116"/>
      <c r="BC39" s="116"/>
      <c r="BD39" s="116"/>
      <c r="BE39" s="116"/>
      <c r="BF39" s="116"/>
      <c r="BG39" s="116"/>
      <c r="BH39" s="116"/>
      <c r="BI39" s="116"/>
      <c r="BJ39" s="116"/>
      <c r="BK39" s="116"/>
      <c r="BL39" s="116"/>
      <c r="BM39" s="116"/>
      <c r="BN39" s="116"/>
      <c r="BO39" s="116"/>
      <c r="BP39" s="116"/>
      <c r="BQ39" s="116"/>
      <c r="BR39" s="116"/>
      <c r="BS39" s="116"/>
      <c r="BT39" s="116"/>
      <c r="BU39" s="116"/>
      <c r="BV39" s="116"/>
      <c r="BW39" s="116"/>
      <c r="BX39" s="116"/>
      <c r="BY39" s="116"/>
      <c r="BZ39" s="116"/>
      <c r="CA39" s="116"/>
      <c r="CB39" s="116"/>
      <c r="CC39" s="116"/>
      <c r="CD39" s="116"/>
      <c r="CE39" s="116"/>
      <c r="CF39" s="116"/>
      <c r="CG39" s="116"/>
      <c r="CH39" s="117"/>
    </row>
    <row r="40" spans="1:86" x14ac:dyDescent="0.2">
      <c r="A40" s="105"/>
      <c r="B40" s="105"/>
      <c r="C40" s="56"/>
      <c r="D40" s="57"/>
      <c r="E40" s="58"/>
      <c r="F40" s="58"/>
      <c r="G40" s="59"/>
      <c r="H40" s="106"/>
      <c r="I40" s="107"/>
      <c r="J40" s="108"/>
      <c r="K40" s="109"/>
      <c r="L40" s="129"/>
      <c r="M40" s="111"/>
      <c r="N40" s="115"/>
      <c r="O40" s="116"/>
      <c r="P40" s="116"/>
      <c r="Q40" s="116"/>
      <c r="R40" s="116"/>
      <c r="S40" s="116"/>
      <c r="T40" s="116"/>
      <c r="U40" s="116"/>
      <c r="V40" s="116"/>
      <c r="W40" s="116"/>
      <c r="X40" s="116"/>
      <c r="Y40" s="116"/>
      <c r="Z40" s="116"/>
      <c r="AA40" s="116"/>
      <c r="AB40" s="116"/>
      <c r="AC40" s="116"/>
      <c r="AD40" s="116"/>
      <c r="AE40" s="116"/>
      <c r="AF40" s="116"/>
      <c r="AG40" s="116"/>
      <c r="AH40" s="116"/>
      <c r="AI40" s="116"/>
      <c r="AJ40" s="116"/>
      <c r="AK40" s="116"/>
      <c r="AL40" s="116"/>
      <c r="AM40" s="116"/>
      <c r="AN40" s="116"/>
      <c r="AO40" s="116"/>
      <c r="AP40" s="116"/>
      <c r="AQ40" s="116"/>
      <c r="AR40" s="116"/>
      <c r="AS40" s="116"/>
      <c r="AT40" s="116"/>
      <c r="AU40" s="116"/>
      <c r="AV40" s="116"/>
      <c r="AW40" s="116"/>
      <c r="AX40" s="116"/>
      <c r="AY40" s="116"/>
      <c r="AZ40" s="116"/>
      <c r="BA40" s="116"/>
      <c r="BB40" s="116"/>
      <c r="BC40" s="116"/>
      <c r="BD40" s="116"/>
      <c r="BE40" s="116"/>
      <c r="BF40" s="116"/>
      <c r="BG40" s="116"/>
      <c r="BH40" s="116"/>
      <c r="BI40" s="116"/>
      <c r="BJ40" s="116"/>
      <c r="BK40" s="116"/>
      <c r="BL40" s="116"/>
      <c r="BM40" s="116"/>
      <c r="BN40" s="116"/>
      <c r="BO40" s="116"/>
      <c r="BP40" s="116"/>
      <c r="BQ40" s="116"/>
      <c r="BR40" s="116"/>
      <c r="BS40" s="116"/>
      <c r="BT40" s="116"/>
      <c r="BU40" s="116"/>
      <c r="BV40" s="116"/>
      <c r="BW40" s="116"/>
      <c r="BX40" s="116"/>
      <c r="BY40" s="116"/>
      <c r="BZ40" s="116"/>
      <c r="CA40" s="116"/>
      <c r="CB40" s="116"/>
      <c r="CC40" s="116"/>
      <c r="CD40" s="116"/>
      <c r="CE40" s="116"/>
      <c r="CF40" s="116"/>
      <c r="CG40" s="116"/>
      <c r="CH40" s="117"/>
    </row>
    <row r="41" spans="1:86" x14ac:dyDescent="0.2">
      <c r="A41" s="105"/>
      <c r="B41" s="105"/>
      <c r="C41" s="56"/>
      <c r="D41" s="57"/>
      <c r="E41" s="58"/>
      <c r="F41" s="58"/>
      <c r="G41" s="59"/>
      <c r="H41" s="106"/>
      <c r="I41" s="107"/>
      <c r="J41" s="108"/>
      <c r="K41" s="109"/>
      <c r="L41" s="129"/>
      <c r="M41" s="111"/>
      <c r="N41" s="115"/>
      <c r="O41" s="116"/>
      <c r="P41" s="116"/>
      <c r="Q41" s="116"/>
      <c r="R41" s="116"/>
      <c r="S41" s="116"/>
      <c r="T41" s="116"/>
      <c r="U41" s="116"/>
      <c r="V41" s="116"/>
      <c r="W41" s="116"/>
      <c r="X41" s="116"/>
      <c r="Y41" s="116"/>
      <c r="Z41" s="116"/>
      <c r="AA41" s="116"/>
      <c r="AB41" s="116"/>
      <c r="AC41" s="116"/>
      <c r="AD41" s="116"/>
      <c r="AE41" s="116"/>
      <c r="AF41" s="116"/>
      <c r="AG41" s="116"/>
      <c r="AH41" s="116"/>
      <c r="AI41" s="116"/>
      <c r="AJ41" s="116"/>
      <c r="AK41" s="116"/>
      <c r="AL41" s="116"/>
      <c r="AM41" s="116"/>
      <c r="AN41" s="116"/>
      <c r="AO41" s="116"/>
      <c r="AP41" s="116"/>
      <c r="AQ41" s="116"/>
      <c r="AR41" s="116"/>
      <c r="AS41" s="116"/>
      <c r="AT41" s="116"/>
      <c r="AU41" s="116"/>
      <c r="AV41" s="116"/>
      <c r="AW41" s="116"/>
      <c r="AX41" s="116"/>
      <c r="AY41" s="116"/>
      <c r="AZ41" s="116"/>
      <c r="BA41" s="116"/>
      <c r="BB41" s="116"/>
      <c r="BC41" s="116"/>
      <c r="BD41" s="116"/>
      <c r="BE41" s="116"/>
      <c r="BF41" s="116"/>
      <c r="BG41" s="116"/>
      <c r="BH41" s="116"/>
      <c r="BI41" s="116"/>
      <c r="BJ41" s="116"/>
      <c r="BK41" s="116"/>
      <c r="BL41" s="116"/>
      <c r="BM41" s="116"/>
      <c r="BN41" s="116"/>
      <c r="BO41" s="116"/>
      <c r="BP41" s="116"/>
      <c r="BQ41" s="116"/>
      <c r="BR41" s="116"/>
      <c r="BS41" s="116"/>
      <c r="BT41" s="116"/>
      <c r="BU41" s="116"/>
      <c r="BV41" s="116"/>
      <c r="BW41" s="116"/>
      <c r="BX41" s="116"/>
      <c r="BY41" s="116"/>
      <c r="BZ41" s="116"/>
      <c r="CA41" s="116"/>
      <c r="CB41" s="116"/>
      <c r="CC41" s="116"/>
      <c r="CD41" s="116"/>
      <c r="CE41" s="116"/>
      <c r="CF41" s="116"/>
      <c r="CG41" s="116"/>
      <c r="CH41" s="117"/>
    </row>
    <row r="42" spans="1:86" x14ac:dyDescent="0.2">
      <c r="A42" s="105"/>
      <c r="B42" s="105"/>
      <c r="C42" s="56"/>
      <c r="D42" s="57"/>
      <c r="E42" s="58"/>
      <c r="F42" s="58"/>
      <c r="G42" s="59"/>
      <c r="H42" s="106"/>
      <c r="I42" s="107"/>
      <c r="J42" s="108"/>
      <c r="K42" s="109"/>
      <c r="L42" s="129"/>
      <c r="M42" s="111"/>
      <c r="N42" s="115"/>
      <c r="O42" s="116"/>
      <c r="P42" s="116"/>
      <c r="Q42" s="116"/>
      <c r="R42" s="116"/>
      <c r="S42" s="116"/>
      <c r="T42" s="116"/>
      <c r="U42" s="116"/>
      <c r="V42" s="116"/>
      <c r="W42" s="116"/>
      <c r="X42" s="116"/>
      <c r="Y42" s="116"/>
      <c r="Z42" s="116"/>
      <c r="AA42" s="116"/>
      <c r="AB42" s="116"/>
      <c r="AC42" s="116"/>
      <c r="AD42" s="116"/>
      <c r="AE42" s="116"/>
      <c r="AF42" s="116"/>
      <c r="AG42" s="116"/>
      <c r="AH42" s="116"/>
      <c r="AI42" s="116"/>
      <c r="AJ42" s="116"/>
      <c r="AK42" s="116"/>
      <c r="AL42" s="116"/>
      <c r="AM42" s="116"/>
      <c r="AN42" s="116"/>
      <c r="AO42" s="116"/>
      <c r="AP42" s="116"/>
      <c r="AQ42" s="116"/>
      <c r="AR42" s="116"/>
      <c r="AS42" s="116"/>
      <c r="AT42" s="116"/>
      <c r="AU42" s="116"/>
      <c r="AV42" s="116"/>
      <c r="AW42" s="116"/>
      <c r="AX42" s="116"/>
      <c r="AY42" s="116"/>
      <c r="AZ42" s="116"/>
      <c r="BA42" s="116"/>
      <c r="BB42" s="116"/>
      <c r="BC42" s="116"/>
      <c r="BD42" s="116"/>
      <c r="BE42" s="116"/>
      <c r="BF42" s="116"/>
      <c r="BG42" s="116"/>
      <c r="BH42" s="116"/>
      <c r="BI42" s="116"/>
      <c r="BJ42" s="116"/>
      <c r="BK42" s="116"/>
      <c r="BL42" s="116"/>
      <c r="BM42" s="116"/>
      <c r="BN42" s="116"/>
      <c r="BO42" s="116"/>
      <c r="BP42" s="116"/>
      <c r="BQ42" s="116"/>
      <c r="BR42" s="116"/>
      <c r="BS42" s="116"/>
      <c r="BT42" s="116"/>
      <c r="BU42" s="116"/>
      <c r="BV42" s="116"/>
      <c r="BW42" s="116"/>
      <c r="BX42" s="116"/>
      <c r="BY42" s="116"/>
      <c r="BZ42" s="116"/>
      <c r="CA42" s="116"/>
      <c r="CB42" s="116"/>
      <c r="CC42" s="116"/>
      <c r="CD42" s="116"/>
      <c r="CE42" s="116"/>
      <c r="CF42" s="116"/>
      <c r="CG42" s="116"/>
      <c r="CH42" s="117"/>
    </row>
    <row r="43" spans="1:86" x14ac:dyDescent="0.2">
      <c r="A43" s="105"/>
      <c r="B43" s="105"/>
      <c r="C43" s="56"/>
      <c r="D43" s="57"/>
      <c r="E43" s="58"/>
      <c r="F43" s="58"/>
      <c r="G43" s="59"/>
      <c r="H43" s="106"/>
      <c r="I43" s="107"/>
      <c r="J43" s="108"/>
      <c r="K43" s="109"/>
      <c r="L43" s="110"/>
      <c r="M43" s="111"/>
      <c r="N43" s="115"/>
      <c r="O43" s="116"/>
      <c r="P43" s="116"/>
      <c r="Q43" s="116"/>
      <c r="R43" s="116"/>
      <c r="S43" s="116"/>
      <c r="T43" s="116"/>
      <c r="U43" s="116"/>
      <c r="V43" s="116"/>
      <c r="W43" s="116"/>
      <c r="X43" s="116"/>
      <c r="Y43" s="116"/>
      <c r="Z43" s="116"/>
      <c r="AA43" s="116"/>
      <c r="AB43" s="116"/>
      <c r="AC43" s="116"/>
      <c r="AD43" s="116"/>
      <c r="AE43" s="116"/>
      <c r="AF43" s="116"/>
      <c r="AG43" s="116"/>
      <c r="AH43" s="116"/>
      <c r="AI43" s="116"/>
      <c r="AJ43" s="116"/>
      <c r="AK43" s="116"/>
      <c r="AL43" s="116"/>
      <c r="AM43" s="116"/>
      <c r="AN43" s="116"/>
      <c r="AO43" s="116"/>
      <c r="AP43" s="116"/>
      <c r="AQ43" s="116"/>
      <c r="AR43" s="116"/>
      <c r="AS43" s="116"/>
      <c r="AT43" s="116"/>
      <c r="AU43" s="116"/>
      <c r="AV43" s="116"/>
      <c r="AW43" s="116"/>
      <c r="AX43" s="116"/>
      <c r="AY43" s="116"/>
      <c r="AZ43" s="116"/>
      <c r="BA43" s="116"/>
      <c r="BB43" s="116"/>
      <c r="BC43" s="116"/>
      <c r="BD43" s="116"/>
      <c r="BE43" s="116"/>
      <c r="BF43" s="116"/>
      <c r="BG43" s="116"/>
      <c r="BH43" s="116"/>
      <c r="BI43" s="116"/>
      <c r="BJ43" s="116"/>
      <c r="BK43" s="116"/>
      <c r="BL43" s="116"/>
      <c r="BM43" s="116"/>
      <c r="BN43" s="116"/>
      <c r="BO43" s="116"/>
      <c r="BP43" s="116"/>
      <c r="BQ43" s="116"/>
      <c r="BR43" s="116"/>
      <c r="BS43" s="116"/>
      <c r="BT43" s="116"/>
      <c r="BU43" s="116"/>
      <c r="BV43" s="116"/>
      <c r="BW43" s="116"/>
      <c r="BX43" s="116"/>
      <c r="BY43" s="116"/>
      <c r="BZ43" s="116"/>
      <c r="CA43" s="116"/>
      <c r="CB43" s="116"/>
      <c r="CC43" s="116"/>
      <c r="CD43" s="116"/>
      <c r="CE43" s="116"/>
      <c r="CF43" s="116"/>
      <c r="CG43" s="116"/>
      <c r="CH43" s="117"/>
    </row>
    <row r="44" spans="1:86" x14ac:dyDescent="0.2">
      <c r="A44" s="105"/>
      <c r="B44" s="105"/>
      <c r="C44" s="56"/>
      <c r="D44" s="57"/>
      <c r="E44" s="58"/>
      <c r="F44" s="58"/>
      <c r="G44" s="59"/>
      <c r="H44" s="106"/>
      <c r="I44" s="107"/>
      <c r="J44" s="108"/>
      <c r="K44" s="109"/>
      <c r="L44" s="110"/>
      <c r="M44" s="122"/>
      <c r="N44" s="115"/>
      <c r="O44" s="116"/>
      <c r="P44" s="116"/>
      <c r="Q44" s="116"/>
      <c r="R44" s="116"/>
      <c r="S44" s="116"/>
      <c r="T44" s="116"/>
      <c r="U44" s="116"/>
      <c r="V44" s="116"/>
      <c r="W44" s="116"/>
      <c r="X44" s="116"/>
      <c r="Y44" s="116"/>
      <c r="Z44" s="116"/>
      <c r="AA44" s="116"/>
      <c r="AB44" s="116"/>
      <c r="AC44" s="116"/>
      <c r="AD44" s="116"/>
      <c r="AE44" s="116"/>
      <c r="AF44" s="116"/>
      <c r="AG44" s="116"/>
      <c r="AH44" s="116"/>
      <c r="AI44" s="116"/>
      <c r="AJ44" s="116"/>
      <c r="AK44" s="116"/>
      <c r="AL44" s="116"/>
      <c r="AM44" s="116"/>
      <c r="AN44" s="116"/>
      <c r="AO44" s="116"/>
      <c r="AP44" s="116"/>
      <c r="AQ44" s="116"/>
      <c r="AR44" s="116"/>
      <c r="AS44" s="116"/>
      <c r="AT44" s="116"/>
      <c r="AU44" s="116"/>
      <c r="AV44" s="116"/>
      <c r="AW44" s="116"/>
      <c r="AX44" s="116"/>
      <c r="AY44" s="116"/>
      <c r="AZ44" s="116"/>
      <c r="BA44" s="116"/>
      <c r="BB44" s="116"/>
      <c r="BC44" s="116"/>
      <c r="BD44" s="116"/>
      <c r="BE44" s="116"/>
      <c r="BF44" s="116"/>
      <c r="BG44" s="116"/>
      <c r="BH44" s="116"/>
      <c r="BI44" s="116"/>
      <c r="BJ44" s="116"/>
      <c r="BK44" s="116"/>
      <c r="BL44" s="116"/>
      <c r="BM44" s="116"/>
      <c r="BN44" s="116"/>
      <c r="BO44" s="116"/>
      <c r="BP44" s="116"/>
      <c r="BQ44" s="116"/>
      <c r="BR44" s="116"/>
      <c r="BS44" s="116"/>
      <c r="BT44" s="116"/>
      <c r="BU44" s="116"/>
      <c r="BV44" s="116"/>
      <c r="BW44" s="116"/>
      <c r="BX44" s="116"/>
      <c r="BY44" s="116"/>
      <c r="BZ44" s="116"/>
      <c r="CA44" s="116"/>
      <c r="CB44" s="116"/>
      <c r="CC44" s="116"/>
      <c r="CD44" s="116"/>
      <c r="CE44" s="116"/>
      <c r="CF44" s="116"/>
      <c r="CG44" s="116"/>
      <c r="CH44" s="117"/>
    </row>
    <row r="45" spans="1:86" x14ac:dyDescent="0.2">
      <c r="A45" s="105"/>
      <c r="B45" s="105"/>
      <c r="C45" s="56"/>
      <c r="D45" s="57"/>
      <c r="E45" s="58"/>
      <c r="F45" s="58"/>
      <c r="G45" s="59"/>
      <c r="H45" s="106"/>
      <c r="I45" s="107"/>
      <c r="J45" s="108"/>
      <c r="K45" s="109"/>
      <c r="L45" s="110"/>
      <c r="M45" s="111"/>
      <c r="N45" s="115"/>
      <c r="O45" s="116"/>
      <c r="P45" s="116"/>
      <c r="Q45" s="116"/>
      <c r="R45" s="116"/>
      <c r="S45" s="116"/>
      <c r="T45" s="116"/>
      <c r="U45" s="116"/>
      <c r="V45" s="116"/>
      <c r="W45" s="116"/>
      <c r="X45" s="116"/>
      <c r="Y45" s="116"/>
      <c r="Z45" s="116"/>
      <c r="AA45" s="116"/>
      <c r="AB45" s="116"/>
      <c r="AC45" s="116"/>
      <c r="AD45" s="116"/>
      <c r="AE45" s="116"/>
      <c r="AF45" s="116"/>
      <c r="AG45" s="116"/>
      <c r="AH45" s="116"/>
      <c r="AI45" s="116"/>
      <c r="AJ45" s="116"/>
      <c r="AK45" s="116"/>
      <c r="AL45" s="116"/>
      <c r="AM45" s="116"/>
      <c r="AN45" s="116"/>
      <c r="AO45" s="116"/>
      <c r="AP45" s="116"/>
      <c r="AQ45" s="116"/>
      <c r="AR45" s="116"/>
      <c r="AS45" s="116"/>
      <c r="AT45" s="116"/>
      <c r="AU45" s="116"/>
      <c r="AV45" s="116"/>
      <c r="AW45" s="116"/>
      <c r="AX45" s="116"/>
      <c r="AY45" s="116"/>
      <c r="AZ45" s="116"/>
      <c r="BA45" s="116"/>
      <c r="BB45" s="116"/>
      <c r="BC45" s="116"/>
      <c r="BD45" s="116"/>
      <c r="BE45" s="116"/>
      <c r="BF45" s="116"/>
      <c r="BG45" s="116"/>
      <c r="BH45" s="116"/>
      <c r="BI45" s="116"/>
      <c r="BJ45" s="116"/>
      <c r="BK45" s="116"/>
      <c r="BL45" s="116"/>
      <c r="BM45" s="116"/>
      <c r="BN45" s="116"/>
      <c r="BO45" s="116"/>
      <c r="BP45" s="116"/>
      <c r="BQ45" s="116"/>
      <c r="BR45" s="116"/>
      <c r="BS45" s="116"/>
      <c r="BT45" s="116"/>
      <c r="BU45" s="116"/>
      <c r="BV45" s="116"/>
      <c r="BW45" s="116"/>
      <c r="BX45" s="116"/>
      <c r="BY45" s="116"/>
      <c r="BZ45" s="116"/>
      <c r="CA45" s="116"/>
      <c r="CB45" s="116"/>
      <c r="CC45" s="116"/>
      <c r="CD45" s="116"/>
      <c r="CE45" s="116"/>
      <c r="CF45" s="116"/>
      <c r="CG45" s="116"/>
      <c r="CH45" s="117"/>
    </row>
    <row r="46" spans="1:86" x14ac:dyDescent="0.2">
      <c r="A46" s="105"/>
      <c r="B46" s="105"/>
      <c r="C46" s="56"/>
      <c r="D46" s="57"/>
      <c r="E46" s="58"/>
      <c r="F46" s="58"/>
      <c r="G46" s="59"/>
      <c r="H46" s="106"/>
      <c r="I46" s="107"/>
      <c r="J46" s="108"/>
      <c r="K46" s="109"/>
      <c r="L46" s="110"/>
      <c r="M46" s="111"/>
      <c r="N46" s="115"/>
      <c r="O46" s="116"/>
      <c r="P46" s="116"/>
      <c r="Q46" s="116"/>
      <c r="R46" s="116"/>
      <c r="S46" s="116"/>
      <c r="T46" s="116"/>
      <c r="U46" s="116"/>
      <c r="V46" s="116"/>
      <c r="W46" s="116"/>
      <c r="X46" s="116"/>
      <c r="Y46" s="116"/>
      <c r="Z46" s="116"/>
      <c r="AA46" s="116"/>
      <c r="AB46" s="116"/>
      <c r="AC46" s="116"/>
      <c r="AD46" s="116"/>
      <c r="AE46" s="116"/>
      <c r="AF46" s="116"/>
      <c r="AG46" s="116"/>
      <c r="AH46" s="116"/>
      <c r="AI46" s="116"/>
      <c r="AJ46" s="116"/>
      <c r="AK46" s="116"/>
      <c r="AL46" s="116"/>
      <c r="AM46" s="116"/>
      <c r="AN46" s="116"/>
      <c r="AO46" s="116"/>
      <c r="AP46" s="116"/>
      <c r="AQ46" s="116"/>
      <c r="AR46" s="116"/>
      <c r="AS46" s="116"/>
      <c r="AT46" s="116"/>
      <c r="AU46" s="116"/>
      <c r="AV46" s="116"/>
      <c r="AW46" s="116"/>
      <c r="AX46" s="116"/>
      <c r="AY46" s="116"/>
      <c r="AZ46" s="116"/>
      <c r="BA46" s="116"/>
      <c r="BB46" s="116"/>
      <c r="BC46" s="116"/>
      <c r="BD46" s="116"/>
      <c r="BE46" s="116"/>
      <c r="BF46" s="116"/>
      <c r="BG46" s="116"/>
      <c r="BH46" s="116"/>
      <c r="BI46" s="116"/>
      <c r="BJ46" s="116"/>
      <c r="BK46" s="116"/>
      <c r="BL46" s="116"/>
      <c r="BM46" s="116"/>
      <c r="BN46" s="116"/>
      <c r="BO46" s="116"/>
      <c r="BP46" s="116"/>
      <c r="BQ46" s="116"/>
      <c r="BR46" s="116"/>
      <c r="BS46" s="116"/>
      <c r="BT46" s="116"/>
      <c r="BU46" s="116"/>
      <c r="BV46" s="116"/>
      <c r="BW46" s="116"/>
      <c r="BX46" s="116"/>
      <c r="BY46" s="116"/>
      <c r="BZ46" s="116"/>
      <c r="CA46" s="116"/>
      <c r="CB46" s="116"/>
      <c r="CC46" s="116"/>
      <c r="CD46" s="116"/>
      <c r="CE46" s="116"/>
      <c r="CF46" s="116"/>
      <c r="CG46" s="116"/>
      <c r="CH46" s="117"/>
    </row>
    <row r="47" spans="1:86" x14ac:dyDescent="0.2">
      <c r="A47" s="105"/>
      <c r="B47" s="105"/>
      <c r="C47" s="56"/>
      <c r="D47" s="57"/>
      <c r="E47" s="58"/>
      <c r="F47" s="58"/>
      <c r="G47" s="59"/>
      <c r="H47" s="106"/>
      <c r="I47" s="107"/>
      <c r="J47" s="108"/>
      <c r="K47" s="109"/>
      <c r="L47" s="110"/>
      <c r="M47" s="111"/>
      <c r="N47" s="115"/>
      <c r="O47" s="116"/>
      <c r="P47" s="116"/>
      <c r="Q47" s="116"/>
      <c r="R47" s="116"/>
      <c r="S47" s="116"/>
      <c r="T47" s="116"/>
      <c r="U47" s="116"/>
      <c r="V47" s="116"/>
      <c r="W47" s="116"/>
      <c r="X47" s="116"/>
      <c r="Y47" s="116"/>
      <c r="Z47" s="116"/>
      <c r="AA47" s="116"/>
      <c r="AB47" s="116"/>
      <c r="AC47" s="116"/>
      <c r="AD47" s="116"/>
      <c r="AE47" s="116"/>
      <c r="AF47" s="116"/>
      <c r="AG47" s="116"/>
      <c r="AH47" s="116"/>
      <c r="AI47" s="116"/>
      <c r="AJ47" s="116"/>
      <c r="AK47" s="116"/>
      <c r="AL47" s="116"/>
      <c r="AM47" s="116"/>
      <c r="AN47" s="116"/>
      <c r="AO47" s="116"/>
      <c r="AP47" s="116"/>
      <c r="AQ47" s="116"/>
      <c r="AR47" s="116"/>
      <c r="AS47" s="116"/>
      <c r="AT47" s="116"/>
      <c r="AU47" s="116"/>
      <c r="AV47" s="116"/>
      <c r="AW47" s="116"/>
      <c r="AX47" s="116"/>
      <c r="AY47" s="116"/>
      <c r="AZ47" s="116"/>
      <c r="BA47" s="116"/>
      <c r="BB47" s="116"/>
      <c r="BC47" s="116"/>
      <c r="BD47" s="116"/>
      <c r="BE47" s="116"/>
      <c r="BF47" s="116"/>
      <c r="BG47" s="116"/>
      <c r="BH47" s="116"/>
      <c r="BI47" s="116"/>
      <c r="BJ47" s="116"/>
      <c r="BK47" s="116"/>
      <c r="BL47" s="116"/>
      <c r="BM47" s="116"/>
      <c r="BN47" s="116"/>
      <c r="BO47" s="116"/>
      <c r="BP47" s="116"/>
      <c r="BQ47" s="116"/>
      <c r="BR47" s="116"/>
      <c r="BS47" s="116"/>
      <c r="BT47" s="116"/>
      <c r="BU47" s="116"/>
      <c r="BV47" s="116"/>
      <c r="BW47" s="116"/>
      <c r="BX47" s="116"/>
      <c r="BY47" s="116"/>
      <c r="BZ47" s="116"/>
      <c r="CA47" s="116"/>
      <c r="CB47" s="116"/>
      <c r="CC47" s="116"/>
      <c r="CD47" s="116"/>
      <c r="CE47" s="116"/>
      <c r="CF47" s="116"/>
      <c r="CG47" s="116"/>
      <c r="CH47" s="117"/>
    </row>
    <row r="48" spans="1:86" x14ac:dyDescent="0.2">
      <c r="A48" s="105"/>
      <c r="B48" s="105"/>
      <c r="C48" s="56"/>
      <c r="D48" s="57"/>
      <c r="E48" s="58"/>
      <c r="F48" s="58"/>
      <c r="G48" s="59"/>
      <c r="H48" s="106"/>
      <c r="I48" s="107"/>
      <c r="J48" s="108"/>
      <c r="K48" s="109"/>
      <c r="L48" s="110"/>
      <c r="M48" s="111"/>
      <c r="N48" s="115"/>
      <c r="O48" s="116"/>
      <c r="P48" s="116"/>
      <c r="Q48" s="116"/>
      <c r="R48" s="116"/>
      <c r="S48" s="116"/>
      <c r="T48" s="116"/>
      <c r="U48" s="116"/>
      <c r="V48" s="116"/>
      <c r="W48" s="116"/>
      <c r="X48" s="116"/>
      <c r="Y48" s="116"/>
      <c r="Z48" s="116"/>
      <c r="AA48" s="116"/>
      <c r="AB48" s="116"/>
      <c r="AC48" s="116"/>
      <c r="AD48" s="116"/>
      <c r="AE48" s="116"/>
      <c r="AF48" s="116"/>
      <c r="AG48" s="116"/>
      <c r="AH48" s="116"/>
      <c r="AI48" s="116"/>
      <c r="AJ48" s="116"/>
      <c r="AK48" s="116"/>
      <c r="AL48" s="116"/>
      <c r="AM48" s="116"/>
      <c r="AN48" s="116"/>
      <c r="AO48" s="116"/>
      <c r="AP48" s="116"/>
      <c r="AQ48" s="116"/>
      <c r="AR48" s="116"/>
      <c r="AS48" s="116"/>
      <c r="AT48" s="116"/>
      <c r="AU48" s="116"/>
      <c r="AV48" s="116"/>
      <c r="AW48" s="116"/>
      <c r="AX48" s="116"/>
      <c r="AY48" s="116"/>
      <c r="AZ48" s="116"/>
      <c r="BA48" s="116"/>
      <c r="BB48" s="116"/>
      <c r="BC48" s="116"/>
      <c r="BD48" s="116"/>
      <c r="BE48" s="116"/>
      <c r="BF48" s="116"/>
      <c r="BG48" s="116"/>
      <c r="BH48" s="116"/>
      <c r="BI48" s="116"/>
      <c r="BJ48" s="116"/>
      <c r="BK48" s="116"/>
      <c r="BL48" s="116"/>
      <c r="BM48" s="116"/>
      <c r="BN48" s="116"/>
      <c r="BO48" s="116"/>
      <c r="BP48" s="116"/>
      <c r="BQ48" s="116"/>
      <c r="BR48" s="116"/>
      <c r="BS48" s="116"/>
      <c r="BT48" s="116"/>
      <c r="BU48" s="116"/>
      <c r="BV48" s="116"/>
      <c r="BW48" s="116"/>
      <c r="BX48" s="116"/>
      <c r="BY48" s="116"/>
      <c r="BZ48" s="116"/>
      <c r="CA48" s="116"/>
      <c r="CB48" s="116"/>
      <c r="CC48" s="116"/>
      <c r="CD48" s="116"/>
      <c r="CE48" s="116"/>
      <c r="CF48" s="116"/>
      <c r="CG48" s="116"/>
      <c r="CH48" s="117"/>
    </row>
    <row r="49" spans="1:86" x14ac:dyDescent="0.2">
      <c r="A49" s="105"/>
      <c r="B49" s="105"/>
      <c r="C49" s="56"/>
      <c r="D49" s="57"/>
      <c r="E49" s="58"/>
      <c r="F49" s="58"/>
      <c r="G49" s="59"/>
      <c r="H49" s="106"/>
      <c r="I49" s="107"/>
      <c r="J49" s="108"/>
      <c r="K49" s="109"/>
      <c r="L49" s="110"/>
      <c r="M49" s="111"/>
      <c r="N49" s="115"/>
      <c r="O49" s="116"/>
      <c r="P49" s="116"/>
      <c r="Q49" s="116"/>
      <c r="R49" s="116"/>
      <c r="S49" s="116"/>
      <c r="T49" s="116"/>
      <c r="U49" s="116"/>
      <c r="V49" s="116"/>
      <c r="W49" s="116"/>
      <c r="X49" s="116"/>
      <c r="Y49" s="116"/>
      <c r="Z49" s="116"/>
      <c r="AA49" s="116"/>
      <c r="AB49" s="116"/>
      <c r="AC49" s="116"/>
      <c r="AD49" s="116"/>
      <c r="AE49" s="116"/>
      <c r="AF49" s="116"/>
      <c r="AG49" s="116"/>
      <c r="AH49" s="116"/>
      <c r="AI49" s="116"/>
      <c r="AJ49" s="116"/>
      <c r="AK49" s="116"/>
      <c r="AL49" s="116"/>
      <c r="AM49" s="116"/>
      <c r="AN49" s="116"/>
      <c r="AO49" s="116"/>
      <c r="AP49" s="116"/>
      <c r="AQ49" s="116"/>
      <c r="AR49" s="116"/>
      <c r="AS49" s="116"/>
      <c r="AT49" s="116"/>
      <c r="AU49" s="116"/>
      <c r="AV49" s="116"/>
      <c r="AW49" s="116"/>
      <c r="AX49" s="116"/>
      <c r="AY49" s="116"/>
      <c r="AZ49" s="116"/>
      <c r="BA49" s="116"/>
      <c r="BB49" s="116"/>
      <c r="BC49" s="116"/>
      <c r="BD49" s="116"/>
      <c r="BE49" s="116"/>
      <c r="BF49" s="116"/>
      <c r="BG49" s="116"/>
      <c r="BH49" s="116"/>
      <c r="BI49" s="116"/>
      <c r="BJ49" s="116"/>
      <c r="BK49" s="116"/>
      <c r="BL49" s="116"/>
      <c r="BM49" s="116"/>
      <c r="BN49" s="116"/>
      <c r="BO49" s="116"/>
      <c r="BP49" s="116"/>
      <c r="BQ49" s="116"/>
      <c r="BR49" s="116"/>
      <c r="BS49" s="116"/>
      <c r="BT49" s="116"/>
      <c r="BU49" s="116"/>
      <c r="BV49" s="116"/>
      <c r="BW49" s="116"/>
      <c r="BX49" s="116"/>
      <c r="BY49" s="116"/>
      <c r="BZ49" s="116"/>
      <c r="CA49" s="116"/>
      <c r="CB49" s="116"/>
      <c r="CC49" s="116"/>
      <c r="CD49" s="116"/>
      <c r="CE49" s="116"/>
      <c r="CF49" s="116"/>
      <c r="CG49" s="116"/>
      <c r="CH49" s="117"/>
    </row>
    <row r="50" spans="1:86" x14ac:dyDescent="0.2">
      <c r="A50" s="105"/>
      <c r="B50" s="105"/>
      <c r="C50" s="56"/>
      <c r="D50" s="57"/>
      <c r="E50" s="58"/>
      <c r="F50" s="58"/>
      <c r="G50" s="59"/>
      <c r="H50" s="106"/>
      <c r="I50" s="107"/>
      <c r="J50" s="108"/>
      <c r="K50" s="109"/>
      <c r="L50" s="110"/>
      <c r="M50" s="111"/>
      <c r="N50" s="115"/>
      <c r="O50" s="116"/>
      <c r="P50" s="116"/>
      <c r="Q50" s="116"/>
      <c r="R50" s="116"/>
      <c r="S50" s="116"/>
      <c r="T50" s="116"/>
      <c r="U50" s="116"/>
      <c r="V50" s="116"/>
      <c r="W50" s="116"/>
      <c r="X50" s="116"/>
      <c r="Y50" s="116"/>
      <c r="Z50" s="116"/>
      <c r="AA50" s="116"/>
      <c r="AB50" s="116"/>
      <c r="AC50" s="116"/>
      <c r="AD50" s="116"/>
      <c r="AE50" s="116"/>
      <c r="AF50" s="116"/>
      <c r="AG50" s="116"/>
      <c r="AH50" s="116"/>
      <c r="AI50" s="116"/>
      <c r="AJ50" s="116"/>
      <c r="AK50" s="116"/>
      <c r="AL50" s="116"/>
      <c r="AM50" s="116"/>
      <c r="AN50" s="116"/>
      <c r="AO50" s="116"/>
      <c r="AP50" s="116"/>
      <c r="AQ50" s="116"/>
      <c r="AR50" s="116"/>
      <c r="AS50" s="116"/>
      <c r="AT50" s="116"/>
      <c r="AU50" s="116"/>
      <c r="AV50" s="116"/>
      <c r="AW50" s="116"/>
      <c r="AX50" s="116"/>
      <c r="AY50" s="116"/>
      <c r="AZ50" s="116"/>
      <c r="BA50" s="116"/>
      <c r="BB50" s="116"/>
      <c r="BC50" s="116"/>
      <c r="BD50" s="116"/>
      <c r="BE50" s="116"/>
      <c r="BF50" s="116"/>
      <c r="BG50" s="116"/>
      <c r="BH50" s="116"/>
      <c r="BI50" s="116"/>
      <c r="BJ50" s="116"/>
      <c r="BK50" s="116"/>
      <c r="BL50" s="116"/>
      <c r="BM50" s="116"/>
      <c r="BN50" s="116"/>
      <c r="BO50" s="116"/>
      <c r="BP50" s="116"/>
      <c r="BQ50" s="116"/>
      <c r="BR50" s="116"/>
      <c r="BS50" s="116"/>
      <c r="BT50" s="116"/>
      <c r="BU50" s="116"/>
      <c r="BV50" s="116"/>
      <c r="BW50" s="116"/>
      <c r="BX50" s="116"/>
      <c r="BY50" s="116"/>
      <c r="BZ50" s="116"/>
      <c r="CA50" s="116"/>
      <c r="CB50" s="116"/>
      <c r="CC50" s="116"/>
      <c r="CD50" s="116"/>
      <c r="CE50" s="116"/>
      <c r="CF50" s="116"/>
      <c r="CG50" s="116"/>
      <c r="CH50" s="117"/>
    </row>
    <row r="51" spans="1:86" x14ac:dyDescent="0.2">
      <c r="A51" s="105"/>
      <c r="B51" s="105"/>
      <c r="C51" s="56"/>
      <c r="D51" s="57"/>
      <c r="E51" s="58"/>
      <c r="F51" s="58"/>
      <c r="G51" s="59"/>
      <c r="H51" s="106"/>
      <c r="I51" s="107"/>
      <c r="J51" s="108"/>
      <c r="K51" s="109"/>
      <c r="L51" s="110"/>
      <c r="M51" s="111"/>
      <c r="N51" s="115"/>
      <c r="O51" s="116"/>
      <c r="P51" s="116"/>
      <c r="Q51" s="116"/>
      <c r="R51" s="116"/>
      <c r="S51" s="116"/>
      <c r="T51" s="116"/>
      <c r="U51" s="116"/>
      <c r="V51" s="116"/>
      <c r="W51" s="116"/>
      <c r="X51" s="116"/>
      <c r="Y51" s="116"/>
      <c r="Z51" s="116"/>
      <c r="AA51" s="116"/>
      <c r="AB51" s="116"/>
      <c r="AC51" s="116"/>
      <c r="AD51" s="116"/>
      <c r="AE51" s="116"/>
      <c r="AF51" s="116"/>
      <c r="AG51" s="116"/>
      <c r="AH51" s="116"/>
      <c r="AI51" s="116"/>
      <c r="AJ51" s="116"/>
      <c r="AK51" s="116"/>
      <c r="AL51" s="116"/>
      <c r="AM51" s="116"/>
      <c r="AN51" s="116"/>
      <c r="AO51" s="116"/>
      <c r="AP51" s="116"/>
      <c r="AQ51" s="116"/>
      <c r="AR51" s="116"/>
      <c r="AS51" s="116"/>
      <c r="AT51" s="116"/>
      <c r="AU51" s="116"/>
      <c r="AV51" s="116"/>
      <c r="AW51" s="116"/>
      <c r="AX51" s="116"/>
      <c r="AY51" s="116"/>
      <c r="AZ51" s="116"/>
      <c r="BA51" s="116"/>
      <c r="BB51" s="116"/>
      <c r="BC51" s="116"/>
      <c r="BD51" s="116"/>
      <c r="BE51" s="116"/>
      <c r="BF51" s="116"/>
      <c r="BG51" s="116"/>
      <c r="BH51" s="116"/>
      <c r="BI51" s="116"/>
      <c r="BJ51" s="116"/>
      <c r="BK51" s="116"/>
      <c r="BL51" s="116"/>
      <c r="BM51" s="116"/>
      <c r="BN51" s="116"/>
      <c r="BO51" s="116"/>
      <c r="BP51" s="116"/>
      <c r="BQ51" s="116"/>
      <c r="BR51" s="116"/>
      <c r="BS51" s="116"/>
      <c r="BT51" s="116"/>
      <c r="BU51" s="116"/>
      <c r="BV51" s="116"/>
      <c r="BW51" s="116"/>
      <c r="BX51" s="116"/>
      <c r="BY51" s="116"/>
      <c r="BZ51" s="116"/>
      <c r="CA51" s="116"/>
      <c r="CB51" s="116"/>
      <c r="CC51" s="116"/>
      <c r="CD51" s="116"/>
      <c r="CE51" s="116"/>
      <c r="CF51" s="116"/>
      <c r="CG51" s="116"/>
      <c r="CH51" s="117"/>
    </row>
    <row r="52" spans="1:86" x14ac:dyDescent="0.2">
      <c r="A52" s="105"/>
      <c r="B52" s="105"/>
      <c r="C52" s="56"/>
      <c r="D52" s="57"/>
      <c r="E52" s="58"/>
      <c r="F52" s="58"/>
      <c r="G52" s="59"/>
      <c r="H52" s="106"/>
      <c r="I52" s="107"/>
      <c r="J52" s="108"/>
      <c r="K52" s="109"/>
      <c r="L52" s="110"/>
      <c r="M52" s="111"/>
      <c r="N52" s="115"/>
      <c r="O52" s="116"/>
      <c r="P52" s="116"/>
      <c r="Q52" s="116"/>
      <c r="R52" s="116"/>
      <c r="S52" s="116"/>
      <c r="T52" s="116"/>
      <c r="U52" s="116"/>
      <c r="V52" s="116"/>
      <c r="W52" s="116"/>
      <c r="X52" s="116"/>
      <c r="Y52" s="116"/>
      <c r="Z52" s="116"/>
      <c r="AA52" s="116"/>
      <c r="AB52" s="116"/>
      <c r="AC52" s="116"/>
      <c r="AD52" s="116"/>
      <c r="AE52" s="116"/>
      <c r="AF52" s="116"/>
      <c r="AG52" s="116"/>
      <c r="AH52" s="116"/>
      <c r="AI52" s="116"/>
      <c r="AJ52" s="116"/>
      <c r="AK52" s="116"/>
      <c r="AL52" s="116"/>
      <c r="AM52" s="116"/>
      <c r="AN52" s="116"/>
      <c r="AO52" s="116"/>
      <c r="AP52" s="116"/>
      <c r="AQ52" s="116"/>
      <c r="AR52" s="116"/>
      <c r="AS52" s="116"/>
      <c r="AT52" s="116"/>
      <c r="AU52" s="116"/>
      <c r="AV52" s="116"/>
      <c r="AW52" s="116"/>
      <c r="AX52" s="116"/>
      <c r="AY52" s="116"/>
      <c r="AZ52" s="116"/>
      <c r="BA52" s="116"/>
      <c r="BB52" s="116"/>
      <c r="BC52" s="116"/>
      <c r="BD52" s="116"/>
      <c r="BE52" s="116"/>
      <c r="BF52" s="116"/>
      <c r="BG52" s="116"/>
      <c r="BH52" s="116"/>
      <c r="BI52" s="116"/>
      <c r="BJ52" s="116"/>
      <c r="BK52" s="116"/>
      <c r="BL52" s="116"/>
      <c r="BM52" s="116"/>
      <c r="BN52" s="116"/>
      <c r="BO52" s="116"/>
      <c r="BP52" s="116"/>
      <c r="BQ52" s="116"/>
      <c r="BR52" s="116"/>
      <c r="BS52" s="116"/>
      <c r="BT52" s="116"/>
      <c r="BU52" s="116"/>
      <c r="BV52" s="116"/>
      <c r="BW52" s="116"/>
      <c r="BX52" s="116"/>
      <c r="BY52" s="116"/>
      <c r="BZ52" s="116"/>
      <c r="CA52" s="116"/>
      <c r="CB52" s="116"/>
      <c r="CC52" s="116"/>
      <c r="CD52" s="116"/>
      <c r="CE52" s="116"/>
      <c r="CF52" s="116"/>
      <c r="CG52" s="116"/>
      <c r="CH52" s="117"/>
    </row>
    <row r="53" spans="1:86" x14ac:dyDescent="0.2">
      <c r="A53" s="105"/>
      <c r="B53" s="105"/>
      <c r="C53" s="56"/>
      <c r="D53" s="57"/>
      <c r="E53" s="58"/>
      <c r="F53" s="58"/>
      <c r="G53" s="59"/>
      <c r="H53" s="106"/>
      <c r="I53" s="107"/>
      <c r="J53" s="108"/>
      <c r="K53" s="109"/>
      <c r="L53" s="110"/>
      <c r="M53" s="111"/>
      <c r="N53" s="115"/>
      <c r="O53" s="116"/>
      <c r="P53" s="116"/>
      <c r="Q53" s="116"/>
      <c r="R53" s="116"/>
      <c r="S53" s="116"/>
      <c r="T53" s="116"/>
      <c r="U53" s="116"/>
      <c r="V53" s="116"/>
      <c r="W53" s="116"/>
      <c r="X53" s="116"/>
      <c r="Y53" s="116"/>
      <c r="Z53" s="116"/>
      <c r="AA53" s="116"/>
      <c r="AB53" s="116"/>
      <c r="AC53" s="116"/>
      <c r="AD53" s="116"/>
      <c r="AE53" s="116"/>
      <c r="AF53" s="116"/>
      <c r="AG53" s="116"/>
      <c r="AH53" s="116"/>
      <c r="AI53" s="116"/>
      <c r="AJ53" s="116"/>
      <c r="AK53" s="116"/>
      <c r="AL53" s="116"/>
      <c r="AM53" s="116"/>
      <c r="AN53" s="116"/>
      <c r="AO53" s="116"/>
      <c r="AP53" s="116"/>
      <c r="AQ53" s="116"/>
      <c r="AR53" s="116"/>
      <c r="AS53" s="116"/>
      <c r="AT53" s="116"/>
      <c r="AU53" s="116"/>
      <c r="AV53" s="116"/>
      <c r="AW53" s="116"/>
      <c r="AX53" s="116"/>
      <c r="AY53" s="116"/>
      <c r="AZ53" s="116"/>
      <c r="BA53" s="116"/>
      <c r="BB53" s="116"/>
      <c r="BC53" s="116"/>
      <c r="BD53" s="116"/>
      <c r="BE53" s="116"/>
      <c r="BF53" s="116"/>
      <c r="BG53" s="116"/>
      <c r="BH53" s="116"/>
      <c r="BI53" s="116"/>
      <c r="BJ53" s="116"/>
      <c r="BK53" s="116"/>
      <c r="BL53" s="116"/>
      <c r="BM53" s="116"/>
      <c r="BN53" s="116"/>
      <c r="BO53" s="116"/>
      <c r="BP53" s="116"/>
      <c r="BQ53" s="116"/>
      <c r="BR53" s="116"/>
      <c r="BS53" s="116"/>
      <c r="BT53" s="116"/>
      <c r="BU53" s="116"/>
      <c r="BV53" s="116"/>
      <c r="BW53" s="116"/>
      <c r="BX53" s="116"/>
      <c r="BY53" s="116"/>
      <c r="BZ53" s="116"/>
      <c r="CA53" s="116"/>
      <c r="CB53" s="116"/>
      <c r="CC53" s="116"/>
      <c r="CD53" s="116"/>
      <c r="CE53" s="116"/>
      <c r="CF53" s="116"/>
      <c r="CG53" s="116"/>
      <c r="CH53" s="117"/>
    </row>
    <row r="54" spans="1:86" x14ac:dyDescent="0.2">
      <c r="A54" s="105"/>
      <c r="B54" s="105"/>
      <c r="C54" s="56"/>
      <c r="D54" s="57"/>
      <c r="E54" s="58"/>
      <c r="F54" s="58"/>
      <c r="G54" s="59"/>
      <c r="H54" s="106"/>
      <c r="I54" s="107"/>
      <c r="J54" s="108"/>
      <c r="K54" s="109"/>
      <c r="L54" s="110"/>
      <c r="M54" s="111"/>
      <c r="N54" s="115"/>
      <c r="O54" s="116"/>
      <c r="P54" s="116"/>
      <c r="Q54" s="116"/>
      <c r="R54" s="116"/>
      <c r="S54" s="116"/>
      <c r="T54" s="116"/>
      <c r="U54" s="116"/>
      <c r="V54" s="116"/>
      <c r="W54" s="116"/>
      <c r="X54" s="116"/>
      <c r="Y54" s="116"/>
      <c r="Z54" s="116"/>
      <c r="AA54" s="116"/>
      <c r="AB54" s="116"/>
      <c r="AC54" s="116"/>
      <c r="AD54" s="116"/>
      <c r="AE54" s="116"/>
      <c r="AF54" s="116"/>
      <c r="AG54" s="116"/>
      <c r="AH54" s="116"/>
      <c r="AI54" s="116"/>
      <c r="AJ54" s="116"/>
      <c r="AK54" s="116"/>
      <c r="AL54" s="116"/>
      <c r="AM54" s="116"/>
      <c r="AN54" s="116"/>
      <c r="AO54" s="116"/>
      <c r="AP54" s="116"/>
      <c r="AQ54" s="116"/>
      <c r="AR54" s="116"/>
      <c r="AS54" s="116"/>
      <c r="AT54" s="116"/>
      <c r="AU54" s="116"/>
      <c r="AV54" s="116"/>
      <c r="AW54" s="116"/>
      <c r="AX54" s="116"/>
      <c r="AY54" s="116"/>
      <c r="AZ54" s="116"/>
      <c r="BA54" s="116"/>
      <c r="BB54" s="116"/>
      <c r="BC54" s="116"/>
      <c r="BD54" s="116"/>
      <c r="BE54" s="116"/>
      <c r="BF54" s="116"/>
      <c r="BG54" s="116"/>
      <c r="BH54" s="116"/>
      <c r="BI54" s="116"/>
      <c r="BJ54" s="116"/>
      <c r="BK54" s="116"/>
      <c r="BL54" s="116"/>
      <c r="BM54" s="116"/>
      <c r="BN54" s="116"/>
      <c r="BO54" s="116"/>
      <c r="BP54" s="116"/>
      <c r="BQ54" s="116"/>
      <c r="BR54" s="116"/>
      <c r="BS54" s="116"/>
      <c r="BT54" s="116"/>
      <c r="BU54" s="116"/>
      <c r="BV54" s="116"/>
      <c r="BW54" s="116"/>
      <c r="BX54" s="116"/>
      <c r="BY54" s="116"/>
      <c r="BZ54" s="116"/>
      <c r="CA54" s="116"/>
      <c r="CB54" s="116"/>
      <c r="CC54" s="116"/>
      <c r="CD54" s="116"/>
      <c r="CE54" s="116"/>
      <c r="CF54" s="116"/>
      <c r="CG54" s="116"/>
      <c r="CH54" s="117"/>
    </row>
    <row r="55" spans="1:86" s="46" customFormat="1" x14ac:dyDescent="0.2">
      <c r="A55" s="105"/>
      <c r="B55" s="105"/>
      <c r="C55" s="56"/>
      <c r="D55" s="57"/>
      <c r="E55" s="58"/>
      <c r="F55" s="58"/>
      <c r="G55" s="59"/>
      <c r="H55" s="106"/>
      <c r="I55" s="107"/>
      <c r="J55" s="108"/>
      <c r="K55" s="109"/>
      <c r="L55" s="110"/>
      <c r="M55" s="111"/>
      <c r="N55" s="115"/>
      <c r="O55" s="116"/>
      <c r="P55" s="116"/>
      <c r="Q55" s="116"/>
      <c r="R55" s="116"/>
      <c r="S55" s="116"/>
      <c r="T55" s="116"/>
      <c r="U55" s="116"/>
      <c r="V55" s="116"/>
      <c r="W55" s="116"/>
      <c r="X55" s="116"/>
      <c r="Y55" s="116"/>
      <c r="Z55" s="116"/>
      <c r="AA55" s="116"/>
      <c r="AB55" s="116"/>
      <c r="AC55" s="116"/>
      <c r="AD55" s="116"/>
      <c r="AE55" s="116"/>
      <c r="AF55" s="116"/>
      <c r="AG55" s="116"/>
      <c r="AH55" s="116"/>
      <c r="AI55" s="116"/>
      <c r="AJ55" s="116"/>
      <c r="AK55" s="116"/>
      <c r="AL55" s="116"/>
      <c r="AM55" s="116"/>
      <c r="AN55" s="116"/>
      <c r="AO55" s="116"/>
      <c r="AP55" s="116"/>
      <c r="AQ55" s="116"/>
      <c r="AR55" s="116"/>
      <c r="AS55" s="116"/>
      <c r="AT55" s="116"/>
      <c r="AU55" s="116"/>
      <c r="AV55" s="116"/>
      <c r="AW55" s="116"/>
      <c r="AX55" s="116"/>
      <c r="AY55" s="116"/>
      <c r="AZ55" s="116"/>
      <c r="BA55" s="116"/>
      <c r="BB55" s="116"/>
      <c r="BC55" s="116"/>
      <c r="BD55" s="116"/>
      <c r="BE55" s="116"/>
      <c r="BF55" s="116"/>
      <c r="BG55" s="116"/>
      <c r="BH55" s="116"/>
      <c r="BI55" s="116"/>
      <c r="BJ55" s="116"/>
      <c r="BK55" s="116"/>
      <c r="BL55" s="116"/>
      <c r="BM55" s="116"/>
      <c r="BN55" s="116"/>
      <c r="BO55" s="116"/>
      <c r="BP55" s="116"/>
      <c r="BQ55" s="116"/>
      <c r="BR55" s="116"/>
      <c r="BS55" s="116"/>
      <c r="BT55" s="116"/>
      <c r="BU55" s="116"/>
      <c r="BV55" s="116"/>
      <c r="BW55" s="116"/>
      <c r="BX55" s="116"/>
      <c r="BY55" s="116"/>
      <c r="BZ55" s="116"/>
      <c r="CA55" s="116"/>
      <c r="CB55" s="116"/>
      <c r="CC55" s="116"/>
      <c r="CD55" s="116"/>
      <c r="CE55" s="116"/>
      <c r="CF55" s="116"/>
      <c r="CG55" s="116"/>
      <c r="CH55" s="117"/>
    </row>
    <row r="56" spans="1:86" x14ac:dyDescent="0.2">
      <c r="A56" s="105"/>
      <c r="B56" s="105"/>
      <c r="C56" s="56"/>
      <c r="D56" s="57"/>
      <c r="E56" s="58"/>
      <c r="F56" s="58"/>
      <c r="G56" s="59"/>
      <c r="H56" s="106"/>
      <c r="I56" s="107"/>
      <c r="J56" s="108"/>
      <c r="K56" s="109"/>
      <c r="L56" s="110"/>
      <c r="M56" s="111"/>
      <c r="N56" s="115"/>
      <c r="O56" s="116"/>
      <c r="P56" s="116"/>
      <c r="Q56" s="116"/>
      <c r="R56" s="116"/>
      <c r="S56" s="116"/>
      <c r="T56" s="116"/>
      <c r="U56" s="116"/>
      <c r="V56" s="116"/>
      <c r="W56" s="116"/>
      <c r="X56" s="116"/>
      <c r="Y56" s="116"/>
      <c r="Z56" s="116"/>
      <c r="AA56" s="116"/>
      <c r="AB56" s="116"/>
      <c r="AC56" s="116"/>
      <c r="AD56" s="116"/>
      <c r="AE56" s="116"/>
      <c r="AF56" s="116"/>
      <c r="AG56" s="116"/>
      <c r="AH56" s="116"/>
      <c r="AI56" s="116"/>
      <c r="AJ56" s="116"/>
      <c r="AK56" s="116"/>
      <c r="AL56" s="116"/>
      <c r="AM56" s="116"/>
      <c r="AN56" s="116"/>
      <c r="AO56" s="116"/>
      <c r="AP56" s="116"/>
      <c r="AQ56" s="116"/>
      <c r="AR56" s="116"/>
      <c r="AS56" s="116"/>
      <c r="AT56" s="116"/>
      <c r="AU56" s="116"/>
      <c r="AV56" s="116"/>
      <c r="AW56" s="116"/>
      <c r="AX56" s="116"/>
      <c r="AY56" s="116"/>
      <c r="AZ56" s="116"/>
      <c r="BA56" s="116"/>
      <c r="BB56" s="116"/>
      <c r="BC56" s="116"/>
      <c r="BD56" s="116"/>
      <c r="BE56" s="116"/>
      <c r="BF56" s="116"/>
      <c r="BG56" s="116"/>
      <c r="BH56" s="116"/>
      <c r="BI56" s="116"/>
      <c r="BJ56" s="116"/>
      <c r="BK56" s="116"/>
      <c r="BL56" s="116"/>
      <c r="BM56" s="116"/>
      <c r="BN56" s="116"/>
      <c r="BO56" s="116"/>
      <c r="BP56" s="116"/>
      <c r="BQ56" s="116"/>
      <c r="BR56" s="116"/>
      <c r="BS56" s="116"/>
      <c r="BT56" s="116"/>
      <c r="BU56" s="116"/>
      <c r="BV56" s="116"/>
      <c r="BW56" s="116"/>
      <c r="BX56" s="116"/>
      <c r="BY56" s="116"/>
      <c r="BZ56" s="116"/>
      <c r="CA56" s="116"/>
      <c r="CB56" s="116"/>
      <c r="CC56" s="116"/>
      <c r="CD56" s="116"/>
      <c r="CE56" s="116"/>
      <c r="CF56" s="116"/>
      <c r="CG56" s="116"/>
      <c r="CH56" s="117"/>
    </row>
    <row r="57" spans="1:86" x14ac:dyDescent="0.2">
      <c r="A57" s="105"/>
      <c r="B57" s="105"/>
      <c r="C57" s="56"/>
      <c r="D57" s="57"/>
      <c r="E57" s="58"/>
      <c r="F57" s="58"/>
      <c r="G57" s="59"/>
      <c r="H57" s="106"/>
      <c r="I57" s="107"/>
      <c r="J57" s="108"/>
      <c r="K57" s="109"/>
      <c r="L57" s="110"/>
      <c r="M57" s="111"/>
      <c r="N57" s="115"/>
      <c r="O57" s="116"/>
      <c r="P57" s="116"/>
      <c r="Q57" s="116"/>
      <c r="R57" s="116"/>
      <c r="S57" s="116"/>
      <c r="T57" s="116"/>
      <c r="U57" s="116"/>
      <c r="V57" s="116"/>
      <c r="W57" s="116"/>
      <c r="X57" s="116"/>
      <c r="Y57" s="116"/>
      <c r="Z57" s="116"/>
      <c r="AA57" s="116"/>
      <c r="AB57" s="116"/>
      <c r="AC57" s="116"/>
      <c r="AD57" s="116"/>
      <c r="AE57" s="116"/>
      <c r="AF57" s="116"/>
      <c r="AG57" s="116"/>
      <c r="AH57" s="116"/>
      <c r="AI57" s="116"/>
      <c r="AJ57" s="116"/>
      <c r="AK57" s="116"/>
      <c r="AL57" s="116"/>
      <c r="AM57" s="116"/>
      <c r="AN57" s="116"/>
      <c r="AO57" s="116"/>
      <c r="AP57" s="116"/>
      <c r="AQ57" s="116"/>
      <c r="AR57" s="116"/>
      <c r="AS57" s="116"/>
      <c r="AT57" s="116"/>
      <c r="AU57" s="116"/>
      <c r="AV57" s="116"/>
      <c r="AW57" s="116"/>
      <c r="AX57" s="116"/>
      <c r="AY57" s="116"/>
      <c r="AZ57" s="116"/>
      <c r="BA57" s="116"/>
      <c r="BB57" s="116"/>
      <c r="BC57" s="116"/>
      <c r="BD57" s="116"/>
      <c r="BE57" s="116"/>
      <c r="BF57" s="116"/>
      <c r="BG57" s="116"/>
      <c r="BH57" s="116"/>
      <c r="BI57" s="116"/>
      <c r="BJ57" s="116"/>
      <c r="BK57" s="116"/>
      <c r="BL57" s="116"/>
      <c r="BM57" s="116"/>
      <c r="BN57" s="116"/>
      <c r="BO57" s="116"/>
      <c r="BP57" s="116"/>
      <c r="BQ57" s="116"/>
      <c r="BR57" s="116"/>
      <c r="BS57" s="116"/>
      <c r="BT57" s="116"/>
      <c r="BU57" s="116"/>
      <c r="BV57" s="116"/>
      <c r="BW57" s="116"/>
      <c r="BX57" s="116"/>
      <c r="BY57" s="116"/>
      <c r="BZ57" s="116"/>
      <c r="CA57" s="116"/>
      <c r="CB57" s="116"/>
      <c r="CC57" s="116"/>
      <c r="CD57" s="116"/>
      <c r="CE57" s="116"/>
      <c r="CF57" s="116"/>
      <c r="CG57" s="116"/>
      <c r="CH57" s="117"/>
    </row>
    <row r="58" spans="1:86" s="46" customFormat="1" x14ac:dyDescent="0.2">
      <c r="A58" s="105"/>
      <c r="B58" s="105"/>
      <c r="C58" s="56"/>
      <c r="D58" s="57"/>
      <c r="E58" s="58"/>
      <c r="F58" s="58"/>
      <c r="G58" s="59"/>
      <c r="H58" s="106"/>
      <c r="I58" s="107"/>
      <c r="J58" s="108"/>
      <c r="K58" s="109"/>
      <c r="L58" s="110"/>
      <c r="M58" s="111"/>
      <c r="N58" s="115"/>
      <c r="O58" s="116"/>
      <c r="P58" s="116"/>
      <c r="Q58" s="116"/>
      <c r="R58" s="116"/>
      <c r="S58" s="116"/>
      <c r="T58" s="116"/>
      <c r="U58" s="116"/>
      <c r="V58" s="116"/>
      <c r="W58" s="116"/>
      <c r="X58" s="116"/>
      <c r="Y58" s="116"/>
      <c r="Z58" s="116"/>
      <c r="AA58" s="116"/>
      <c r="AB58" s="116"/>
      <c r="AC58" s="116"/>
      <c r="AD58" s="116"/>
      <c r="AE58" s="116"/>
      <c r="AF58" s="116"/>
      <c r="AG58" s="116"/>
      <c r="AH58" s="116"/>
      <c r="AI58" s="116"/>
      <c r="AJ58" s="116"/>
      <c r="AK58" s="116"/>
      <c r="AL58" s="116"/>
      <c r="AM58" s="116"/>
      <c r="AN58" s="116"/>
      <c r="AO58" s="116"/>
      <c r="AP58" s="116"/>
      <c r="AQ58" s="116"/>
      <c r="AR58" s="116"/>
      <c r="AS58" s="116"/>
      <c r="AT58" s="116"/>
      <c r="AU58" s="116"/>
      <c r="AV58" s="116"/>
      <c r="AW58" s="116"/>
      <c r="AX58" s="116"/>
      <c r="AY58" s="116"/>
      <c r="AZ58" s="116"/>
      <c r="BA58" s="116"/>
      <c r="BB58" s="116"/>
      <c r="BC58" s="116"/>
      <c r="BD58" s="116"/>
      <c r="BE58" s="116"/>
      <c r="BF58" s="116"/>
      <c r="BG58" s="116"/>
      <c r="BH58" s="116"/>
      <c r="BI58" s="116"/>
      <c r="BJ58" s="116"/>
      <c r="BK58" s="116"/>
      <c r="BL58" s="116"/>
      <c r="BM58" s="116"/>
      <c r="BN58" s="116"/>
      <c r="BO58" s="116"/>
      <c r="BP58" s="116"/>
      <c r="BQ58" s="116"/>
      <c r="BR58" s="116"/>
      <c r="BS58" s="116"/>
      <c r="BT58" s="116"/>
      <c r="BU58" s="116"/>
      <c r="BV58" s="116"/>
      <c r="BW58" s="116"/>
      <c r="BX58" s="116"/>
      <c r="BY58" s="116"/>
      <c r="BZ58" s="116"/>
      <c r="CA58" s="116"/>
      <c r="CB58" s="116"/>
      <c r="CC58" s="116"/>
      <c r="CD58" s="116"/>
      <c r="CE58" s="116"/>
      <c r="CF58" s="116"/>
      <c r="CG58" s="116"/>
      <c r="CH58" s="117"/>
    </row>
    <row r="59" spans="1:86" x14ac:dyDescent="0.2">
      <c r="A59" s="105"/>
      <c r="B59" s="105"/>
      <c r="C59" s="56"/>
      <c r="D59" s="57"/>
      <c r="E59" s="58"/>
      <c r="F59" s="58"/>
      <c r="G59" s="59"/>
      <c r="H59" s="106"/>
      <c r="I59" s="107"/>
      <c r="J59" s="108"/>
      <c r="K59" s="109"/>
      <c r="L59" s="110"/>
      <c r="M59" s="111"/>
      <c r="N59" s="115"/>
      <c r="O59" s="116"/>
      <c r="P59" s="116"/>
      <c r="Q59" s="116"/>
      <c r="R59" s="116"/>
      <c r="S59" s="116"/>
      <c r="T59" s="116"/>
      <c r="U59" s="116"/>
      <c r="V59" s="116"/>
      <c r="W59" s="116"/>
      <c r="X59" s="116"/>
      <c r="Y59" s="116"/>
      <c r="Z59" s="116"/>
      <c r="AA59" s="116"/>
      <c r="AB59" s="116"/>
      <c r="AC59" s="116"/>
      <c r="AD59" s="116"/>
      <c r="AE59" s="116"/>
      <c r="AF59" s="116"/>
      <c r="AG59" s="116"/>
      <c r="AH59" s="116"/>
      <c r="AI59" s="116"/>
      <c r="AJ59" s="116"/>
      <c r="AK59" s="116"/>
      <c r="AL59" s="116"/>
      <c r="AM59" s="116"/>
      <c r="AN59" s="116"/>
      <c r="AO59" s="116"/>
      <c r="AP59" s="116"/>
      <c r="AQ59" s="116"/>
      <c r="AR59" s="116"/>
      <c r="AS59" s="116"/>
      <c r="AT59" s="116"/>
      <c r="AU59" s="116"/>
      <c r="AV59" s="116"/>
      <c r="AW59" s="116"/>
      <c r="AX59" s="116"/>
      <c r="AY59" s="116"/>
      <c r="AZ59" s="116"/>
      <c r="BA59" s="116"/>
      <c r="BB59" s="116"/>
      <c r="BC59" s="116"/>
      <c r="BD59" s="116"/>
      <c r="BE59" s="116"/>
      <c r="BF59" s="116"/>
      <c r="BG59" s="116"/>
      <c r="BH59" s="116"/>
      <c r="BI59" s="116"/>
      <c r="BJ59" s="116"/>
      <c r="BK59" s="116"/>
      <c r="BL59" s="116"/>
      <c r="BM59" s="116"/>
      <c r="BN59" s="116"/>
      <c r="BO59" s="116"/>
      <c r="BP59" s="116"/>
      <c r="BQ59" s="116"/>
      <c r="BR59" s="116"/>
      <c r="BS59" s="116"/>
      <c r="BT59" s="116"/>
      <c r="BU59" s="116"/>
      <c r="BV59" s="116"/>
      <c r="BW59" s="116"/>
      <c r="BX59" s="116"/>
      <c r="BY59" s="116"/>
      <c r="BZ59" s="116"/>
      <c r="CA59" s="116"/>
      <c r="CB59" s="116"/>
      <c r="CC59" s="116"/>
      <c r="CD59" s="116"/>
      <c r="CE59" s="116"/>
      <c r="CF59" s="116"/>
      <c r="CG59" s="116"/>
      <c r="CH59" s="117"/>
    </row>
    <row r="60" spans="1:86" x14ac:dyDescent="0.2">
      <c r="A60" s="105"/>
      <c r="B60" s="105"/>
      <c r="C60" s="56"/>
      <c r="D60" s="57"/>
      <c r="E60" s="58"/>
      <c r="F60" s="58"/>
      <c r="G60" s="59"/>
      <c r="H60" s="106"/>
      <c r="I60" s="107"/>
      <c r="J60" s="108"/>
      <c r="K60" s="109"/>
      <c r="L60" s="129"/>
      <c r="M60" s="111"/>
      <c r="N60" s="115"/>
      <c r="O60" s="116"/>
      <c r="P60" s="116"/>
      <c r="Q60" s="116"/>
      <c r="R60" s="116"/>
      <c r="S60" s="116"/>
      <c r="T60" s="116"/>
      <c r="U60" s="116"/>
      <c r="V60" s="116"/>
      <c r="W60" s="116"/>
      <c r="X60" s="116"/>
      <c r="Y60" s="116"/>
      <c r="Z60" s="116"/>
      <c r="AA60" s="116"/>
      <c r="AB60" s="116"/>
      <c r="AC60" s="116"/>
      <c r="AD60" s="116"/>
      <c r="AE60" s="116"/>
      <c r="AF60" s="116"/>
      <c r="AG60" s="116"/>
      <c r="AH60" s="116"/>
      <c r="AI60" s="116"/>
      <c r="AJ60" s="116"/>
      <c r="AK60" s="116"/>
      <c r="AL60" s="116"/>
      <c r="AM60" s="116"/>
      <c r="AN60" s="116"/>
      <c r="AO60" s="116"/>
      <c r="AP60" s="116"/>
      <c r="AQ60" s="116"/>
      <c r="AR60" s="116"/>
      <c r="AS60" s="116"/>
      <c r="AT60" s="116"/>
      <c r="AU60" s="116"/>
      <c r="AV60" s="116"/>
      <c r="AW60" s="116"/>
      <c r="AX60" s="116"/>
      <c r="AY60" s="116"/>
      <c r="AZ60" s="116"/>
      <c r="BA60" s="116"/>
      <c r="BB60" s="116"/>
      <c r="BC60" s="116"/>
      <c r="BD60" s="116"/>
      <c r="BE60" s="116"/>
      <c r="BF60" s="116"/>
      <c r="BG60" s="116"/>
      <c r="BH60" s="116"/>
      <c r="BI60" s="116"/>
      <c r="BJ60" s="116"/>
      <c r="BK60" s="116"/>
      <c r="BL60" s="116"/>
      <c r="BM60" s="116"/>
      <c r="BN60" s="116"/>
      <c r="BO60" s="116"/>
      <c r="BP60" s="116"/>
      <c r="BQ60" s="116"/>
      <c r="BR60" s="116"/>
      <c r="BS60" s="116"/>
      <c r="BT60" s="116"/>
      <c r="BU60" s="116"/>
      <c r="BV60" s="116"/>
      <c r="BW60" s="116"/>
      <c r="BX60" s="116"/>
      <c r="BY60" s="116"/>
      <c r="BZ60" s="116"/>
      <c r="CA60" s="116"/>
      <c r="CB60" s="116"/>
      <c r="CC60" s="116"/>
      <c r="CD60" s="116"/>
      <c r="CE60" s="116"/>
      <c r="CF60" s="116"/>
      <c r="CG60" s="116"/>
      <c r="CH60" s="117"/>
    </row>
    <row r="61" spans="1:86" x14ac:dyDescent="0.2">
      <c r="A61" s="105"/>
      <c r="B61" s="105"/>
      <c r="C61" s="56"/>
      <c r="D61" s="57"/>
      <c r="E61" s="58"/>
      <c r="F61" s="58"/>
      <c r="G61" s="59"/>
      <c r="H61" s="106"/>
      <c r="I61" s="107"/>
      <c r="J61" s="108"/>
      <c r="K61" s="109"/>
      <c r="L61" s="110"/>
      <c r="M61" s="111"/>
      <c r="N61" s="115"/>
      <c r="O61" s="116"/>
      <c r="P61" s="116"/>
      <c r="Q61" s="116"/>
      <c r="R61" s="116"/>
      <c r="S61" s="116"/>
      <c r="T61" s="116"/>
      <c r="U61" s="116"/>
      <c r="V61" s="116"/>
      <c r="W61" s="116"/>
      <c r="X61" s="116"/>
      <c r="Y61" s="116"/>
      <c r="Z61" s="116"/>
      <c r="AA61" s="116"/>
      <c r="AB61" s="116"/>
      <c r="AC61" s="116"/>
      <c r="AD61" s="116"/>
      <c r="AE61" s="116"/>
      <c r="AF61" s="116"/>
      <c r="AG61" s="116"/>
      <c r="AH61" s="116"/>
      <c r="AI61" s="116"/>
      <c r="AJ61" s="116"/>
      <c r="AK61" s="116"/>
      <c r="AL61" s="116"/>
      <c r="AM61" s="116"/>
      <c r="AN61" s="116"/>
      <c r="AO61" s="116"/>
      <c r="AP61" s="116"/>
      <c r="AQ61" s="116"/>
      <c r="AR61" s="116"/>
      <c r="AS61" s="116"/>
      <c r="AT61" s="116"/>
      <c r="AU61" s="116"/>
      <c r="AV61" s="116"/>
      <c r="AW61" s="116"/>
      <c r="AX61" s="116"/>
      <c r="AY61" s="116"/>
      <c r="AZ61" s="116"/>
      <c r="BA61" s="116"/>
      <c r="BB61" s="116"/>
      <c r="BC61" s="116"/>
      <c r="BD61" s="116"/>
      <c r="BE61" s="116"/>
      <c r="BF61" s="116"/>
      <c r="BG61" s="116"/>
      <c r="BH61" s="116"/>
      <c r="BI61" s="116"/>
      <c r="BJ61" s="116"/>
      <c r="BK61" s="116"/>
      <c r="BL61" s="116"/>
      <c r="BM61" s="116"/>
      <c r="BN61" s="116"/>
      <c r="BO61" s="116"/>
      <c r="BP61" s="116"/>
      <c r="BQ61" s="116"/>
      <c r="BR61" s="116"/>
      <c r="BS61" s="116"/>
      <c r="BT61" s="116"/>
      <c r="BU61" s="116"/>
      <c r="BV61" s="116"/>
      <c r="BW61" s="116"/>
      <c r="BX61" s="116"/>
      <c r="BY61" s="116"/>
      <c r="BZ61" s="116"/>
      <c r="CA61" s="116"/>
      <c r="CB61" s="116"/>
      <c r="CC61" s="116"/>
      <c r="CD61" s="116"/>
      <c r="CE61" s="116"/>
      <c r="CF61" s="116"/>
      <c r="CG61" s="116"/>
      <c r="CH61" s="117"/>
    </row>
    <row r="62" spans="1:86" x14ac:dyDescent="0.2">
      <c r="A62" s="105"/>
      <c r="B62" s="105"/>
      <c r="C62" s="56"/>
      <c r="D62" s="57"/>
      <c r="E62" s="58"/>
      <c r="F62" s="58"/>
      <c r="G62" s="59"/>
      <c r="H62" s="106"/>
      <c r="I62" s="107"/>
      <c r="J62" s="108"/>
      <c r="K62" s="109"/>
      <c r="L62" s="110"/>
      <c r="M62" s="111"/>
      <c r="N62" s="115"/>
      <c r="O62" s="116"/>
      <c r="P62" s="116"/>
      <c r="Q62" s="116"/>
      <c r="R62" s="116"/>
      <c r="S62" s="116"/>
      <c r="T62" s="116"/>
      <c r="U62" s="116"/>
      <c r="V62" s="116"/>
      <c r="W62" s="116"/>
      <c r="X62" s="116"/>
      <c r="Y62" s="116"/>
      <c r="Z62" s="116"/>
      <c r="AA62" s="116"/>
      <c r="AB62" s="116"/>
      <c r="AC62" s="116"/>
      <c r="AD62" s="116"/>
      <c r="AE62" s="116"/>
      <c r="AF62" s="116"/>
      <c r="AG62" s="116"/>
      <c r="AH62" s="116"/>
      <c r="AI62" s="116"/>
      <c r="AJ62" s="116"/>
      <c r="AK62" s="116"/>
      <c r="AL62" s="116"/>
      <c r="AM62" s="116"/>
      <c r="AN62" s="116"/>
      <c r="AO62" s="116"/>
      <c r="AP62" s="116"/>
      <c r="AQ62" s="116"/>
      <c r="AR62" s="116"/>
      <c r="AS62" s="116"/>
      <c r="AT62" s="116"/>
      <c r="AU62" s="116"/>
      <c r="AV62" s="116"/>
      <c r="AW62" s="116"/>
      <c r="AX62" s="116"/>
      <c r="AY62" s="116"/>
      <c r="AZ62" s="116"/>
      <c r="BA62" s="116"/>
      <c r="BB62" s="116"/>
      <c r="BC62" s="116"/>
      <c r="BD62" s="116"/>
      <c r="BE62" s="116"/>
      <c r="BF62" s="116"/>
      <c r="BG62" s="116"/>
      <c r="BH62" s="116"/>
      <c r="BI62" s="116"/>
      <c r="BJ62" s="116"/>
      <c r="BK62" s="116"/>
      <c r="BL62" s="116"/>
      <c r="BM62" s="116"/>
      <c r="BN62" s="116"/>
      <c r="BO62" s="116"/>
      <c r="BP62" s="116"/>
      <c r="BQ62" s="116"/>
      <c r="BR62" s="116"/>
      <c r="BS62" s="116"/>
      <c r="BT62" s="116"/>
      <c r="BU62" s="116"/>
      <c r="BV62" s="116"/>
      <c r="BW62" s="116"/>
      <c r="BX62" s="116"/>
      <c r="BY62" s="116"/>
      <c r="BZ62" s="116"/>
      <c r="CA62" s="116"/>
      <c r="CB62" s="116"/>
      <c r="CC62" s="116"/>
      <c r="CD62" s="116"/>
      <c r="CE62" s="116"/>
      <c r="CF62" s="116"/>
      <c r="CG62" s="116"/>
      <c r="CH62" s="117"/>
    </row>
    <row r="63" spans="1:86" x14ac:dyDescent="0.2">
      <c r="A63" s="105"/>
      <c r="B63" s="105"/>
      <c r="C63" s="56"/>
      <c r="D63" s="57"/>
      <c r="E63" s="58"/>
      <c r="F63" s="58"/>
      <c r="G63" s="59"/>
      <c r="H63" s="106"/>
      <c r="I63" s="107"/>
      <c r="J63" s="108"/>
      <c r="K63" s="109"/>
      <c r="L63" s="110"/>
      <c r="M63" s="111"/>
      <c r="N63" s="115"/>
      <c r="O63" s="116"/>
      <c r="P63" s="116"/>
      <c r="Q63" s="116"/>
      <c r="R63" s="116"/>
      <c r="S63" s="116"/>
      <c r="T63" s="116"/>
      <c r="U63" s="116"/>
      <c r="V63" s="116"/>
      <c r="W63" s="116"/>
      <c r="X63" s="116"/>
      <c r="Y63" s="116"/>
      <c r="Z63" s="116"/>
      <c r="AA63" s="116"/>
      <c r="AB63" s="116"/>
      <c r="AC63" s="116"/>
      <c r="AD63" s="116"/>
      <c r="AE63" s="116"/>
      <c r="AF63" s="116"/>
      <c r="AG63" s="116"/>
      <c r="AH63" s="116"/>
      <c r="AI63" s="116"/>
      <c r="AJ63" s="116"/>
      <c r="AK63" s="116"/>
      <c r="AL63" s="116"/>
      <c r="AM63" s="116"/>
      <c r="AN63" s="116"/>
      <c r="AO63" s="116"/>
      <c r="AP63" s="116"/>
      <c r="AQ63" s="116"/>
      <c r="AR63" s="116"/>
      <c r="AS63" s="116"/>
      <c r="AT63" s="116"/>
      <c r="AU63" s="116"/>
      <c r="AV63" s="116"/>
      <c r="AW63" s="116"/>
      <c r="AX63" s="116"/>
      <c r="AY63" s="116"/>
      <c r="AZ63" s="116"/>
      <c r="BA63" s="116"/>
      <c r="BB63" s="116"/>
      <c r="BC63" s="116"/>
      <c r="BD63" s="116"/>
      <c r="BE63" s="116"/>
      <c r="BF63" s="116"/>
      <c r="BG63" s="116"/>
      <c r="BH63" s="116"/>
      <c r="BI63" s="116"/>
      <c r="BJ63" s="116"/>
      <c r="BK63" s="116"/>
      <c r="BL63" s="116"/>
      <c r="BM63" s="116"/>
      <c r="BN63" s="116"/>
      <c r="BO63" s="116"/>
      <c r="BP63" s="116"/>
      <c r="BQ63" s="116"/>
      <c r="BR63" s="116"/>
      <c r="BS63" s="116"/>
      <c r="BT63" s="116"/>
      <c r="BU63" s="116"/>
      <c r="BV63" s="116"/>
      <c r="BW63" s="116"/>
      <c r="BX63" s="116"/>
      <c r="BY63" s="116"/>
      <c r="BZ63" s="116"/>
      <c r="CA63" s="116"/>
      <c r="CB63" s="116"/>
      <c r="CC63" s="116"/>
      <c r="CD63" s="116"/>
      <c r="CE63" s="116"/>
      <c r="CF63" s="116"/>
      <c r="CG63" s="116"/>
      <c r="CH63" s="117"/>
    </row>
    <row r="64" spans="1:86" x14ac:dyDescent="0.2">
      <c r="A64" s="148"/>
      <c r="B64" s="105"/>
      <c r="C64" s="56"/>
      <c r="D64" s="57"/>
      <c r="E64" s="58"/>
      <c r="F64" s="58"/>
      <c r="G64" s="59"/>
      <c r="H64" s="106"/>
      <c r="I64" s="107"/>
      <c r="J64" s="108"/>
      <c r="K64" s="109"/>
      <c r="L64" s="110"/>
      <c r="M64" s="111"/>
      <c r="N64" s="115"/>
      <c r="O64" s="116"/>
      <c r="P64" s="116"/>
      <c r="Q64" s="116"/>
      <c r="R64" s="116"/>
      <c r="S64" s="116"/>
      <c r="T64" s="116"/>
      <c r="U64" s="116"/>
      <c r="V64" s="116"/>
      <c r="W64" s="116"/>
      <c r="X64" s="116"/>
      <c r="Y64" s="116"/>
      <c r="Z64" s="116"/>
      <c r="AA64" s="116"/>
      <c r="AB64" s="116"/>
      <c r="AC64" s="116"/>
      <c r="AD64" s="116"/>
      <c r="AE64" s="116"/>
      <c r="AF64" s="116"/>
      <c r="AG64" s="116"/>
      <c r="AH64" s="116"/>
      <c r="AI64" s="116"/>
      <c r="AJ64" s="116"/>
      <c r="AK64" s="116"/>
      <c r="AL64" s="116"/>
      <c r="AM64" s="116"/>
      <c r="AN64" s="116"/>
      <c r="AO64" s="116"/>
      <c r="AP64" s="116"/>
      <c r="AQ64" s="116"/>
      <c r="AR64" s="116"/>
      <c r="AS64" s="116"/>
      <c r="AT64" s="116"/>
      <c r="AU64" s="116"/>
      <c r="AV64" s="116"/>
      <c r="AW64" s="116"/>
      <c r="AX64" s="116"/>
      <c r="AY64" s="116"/>
      <c r="AZ64" s="116"/>
      <c r="BA64" s="116"/>
      <c r="BB64" s="116"/>
      <c r="BC64" s="116"/>
      <c r="BD64" s="116"/>
      <c r="BE64" s="116"/>
      <c r="BF64" s="116"/>
      <c r="BG64" s="116"/>
      <c r="BH64" s="116"/>
      <c r="BI64" s="116"/>
      <c r="BJ64" s="116"/>
      <c r="BK64" s="116"/>
      <c r="BL64" s="116"/>
      <c r="BM64" s="116"/>
      <c r="BN64" s="116"/>
      <c r="BO64" s="116"/>
      <c r="BP64" s="116"/>
      <c r="BQ64" s="116"/>
      <c r="BR64" s="116"/>
      <c r="BS64" s="116"/>
      <c r="BT64" s="116"/>
      <c r="BU64" s="116"/>
      <c r="BV64" s="116"/>
      <c r="BW64" s="116"/>
      <c r="BX64" s="116"/>
      <c r="BY64" s="116"/>
      <c r="BZ64" s="116"/>
      <c r="CA64" s="116"/>
      <c r="CB64" s="116"/>
      <c r="CC64" s="116"/>
      <c r="CD64" s="116"/>
      <c r="CE64" s="116"/>
      <c r="CF64" s="116"/>
      <c r="CG64" s="116"/>
      <c r="CH64" s="117"/>
    </row>
    <row r="65" spans="1:86" x14ac:dyDescent="0.2">
      <c r="A65" s="105"/>
      <c r="B65" s="105"/>
      <c r="C65" s="56"/>
      <c r="D65" s="57"/>
      <c r="E65" s="58"/>
      <c r="F65" s="58"/>
      <c r="G65" s="59"/>
      <c r="H65" s="106"/>
      <c r="I65" s="107"/>
      <c r="J65" s="108"/>
      <c r="K65" s="109"/>
      <c r="L65" s="110"/>
      <c r="M65" s="111"/>
      <c r="N65" s="115"/>
      <c r="O65" s="116"/>
      <c r="P65" s="116"/>
      <c r="Q65" s="116"/>
      <c r="R65" s="116"/>
      <c r="S65" s="116"/>
      <c r="T65" s="116"/>
      <c r="U65" s="116"/>
      <c r="V65" s="116"/>
      <c r="W65" s="116"/>
      <c r="X65" s="116"/>
      <c r="Y65" s="116"/>
      <c r="Z65" s="116"/>
      <c r="AA65" s="116"/>
      <c r="AB65" s="116"/>
      <c r="AC65" s="116"/>
      <c r="AD65" s="116"/>
      <c r="AE65" s="116"/>
      <c r="AF65" s="116"/>
      <c r="AG65" s="116"/>
      <c r="AH65" s="116"/>
      <c r="AI65" s="116"/>
      <c r="AJ65" s="116"/>
      <c r="AK65" s="116"/>
      <c r="AL65" s="116"/>
      <c r="AM65" s="116"/>
      <c r="AN65" s="116"/>
      <c r="AO65" s="116"/>
      <c r="AP65" s="116"/>
      <c r="AQ65" s="116"/>
      <c r="AR65" s="116"/>
      <c r="AS65" s="116"/>
      <c r="AT65" s="116"/>
      <c r="AU65" s="116"/>
      <c r="AV65" s="116"/>
      <c r="AW65" s="116"/>
      <c r="AX65" s="116"/>
      <c r="AY65" s="116"/>
      <c r="AZ65" s="116"/>
      <c r="BA65" s="116"/>
      <c r="BB65" s="116"/>
      <c r="BC65" s="116"/>
      <c r="BD65" s="116"/>
      <c r="BE65" s="116"/>
      <c r="BF65" s="116"/>
      <c r="BG65" s="116"/>
      <c r="BH65" s="116"/>
      <c r="BI65" s="116"/>
      <c r="BJ65" s="116"/>
      <c r="BK65" s="116"/>
      <c r="BL65" s="116"/>
      <c r="BM65" s="116"/>
      <c r="BN65" s="116"/>
      <c r="BO65" s="116"/>
      <c r="BP65" s="116"/>
      <c r="BQ65" s="116"/>
      <c r="BR65" s="116"/>
      <c r="BS65" s="116"/>
      <c r="BT65" s="116"/>
      <c r="BU65" s="116"/>
      <c r="BV65" s="116"/>
      <c r="BW65" s="116"/>
      <c r="BX65" s="116"/>
      <c r="BY65" s="116"/>
      <c r="BZ65" s="116"/>
      <c r="CA65" s="116"/>
      <c r="CB65" s="116"/>
      <c r="CC65" s="116"/>
      <c r="CD65" s="116"/>
      <c r="CE65" s="116"/>
      <c r="CF65" s="116"/>
      <c r="CG65" s="116"/>
      <c r="CH65" s="117"/>
    </row>
    <row r="66" spans="1:86" x14ac:dyDescent="0.2">
      <c r="A66" s="105"/>
      <c r="B66" s="105"/>
      <c r="C66" s="56"/>
      <c r="D66" s="57"/>
      <c r="E66" s="58"/>
      <c r="F66" s="58"/>
      <c r="G66" s="59"/>
      <c r="H66" s="106"/>
      <c r="I66" s="107"/>
      <c r="J66" s="108"/>
      <c r="K66" s="109"/>
      <c r="L66" s="110"/>
      <c r="M66" s="111"/>
      <c r="N66" s="115"/>
      <c r="O66" s="116"/>
      <c r="P66" s="116"/>
      <c r="Q66" s="116"/>
      <c r="R66" s="116"/>
      <c r="S66" s="116"/>
      <c r="T66" s="116"/>
      <c r="U66" s="116"/>
      <c r="V66" s="116"/>
      <c r="W66" s="116"/>
      <c r="X66" s="116"/>
      <c r="Y66" s="116"/>
      <c r="Z66" s="116"/>
      <c r="AA66" s="116"/>
      <c r="AB66" s="116"/>
      <c r="AC66" s="116"/>
      <c r="AD66" s="116"/>
      <c r="AE66" s="116"/>
      <c r="AF66" s="116"/>
      <c r="AG66" s="116"/>
      <c r="AH66" s="116"/>
      <c r="AI66" s="116"/>
      <c r="AJ66" s="116"/>
      <c r="AK66" s="116"/>
      <c r="AL66" s="116"/>
      <c r="AM66" s="116"/>
      <c r="AN66" s="116"/>
      <c r="AO66" s="116"/>
      <c r="AP66" s="116"/>
      <c r="AQ66" s="116"/>
      <c r="AR66" s="116"/>
      <c r="AS66" s="116"/>
      <c r="AT66" s="116"/>
      <c r="AU66" s="116"/>
      <c r="AV66" s="116"/>
      <c r="AW66" s="116"/>
      <c r="AX66" s="116"/>
      <c r="AY66" s="116"/>
      <c r="AZ66" s="116"/>
      <c r="BA66" s="116"/>
      <c r="BB66" s="116"/>
      <c r="BC66" s="116"/>
      <c r="BD66" s="116"/>
      <c r="BE66" s="116"/>
      <c r="BF66" s="116"/>
      <c r="BG66" s="116"/>
      <c r="BH66" s="116"/>
      <c r="BI66" s="116"/>
      <c r="BJ66" s="116"/>
      <c r="BK66" s="116"/>
      <c r="BL66" s="116"/>
      <c r="BM66" s="116"/>
      <c r="BN66" s="116"/>
      <c r="BO66" s="116"/>
      <c r="BP66" s="116"/>
      <c r="BQ66" s="116"/>
      <c r="BR66" s="116"/>
      <c r="BS66" s="116"/>
      <c r="BT66" s="116"/>
      <c r="BU66" s="116"/>
      <c r="BV66" s="116"/>
      <c r="BW66" s="116"/>
      <c r="BX66" s="116"/>
      <c r="BY66" s="116"/>
      <c r="BZ66" s="116"/>
      <c r="CA66" s="116"/>
      <c r="CB66" s="116"/>
      <c r="CC66" s="116"/>
      <c r="CD66" s="116"/>
      <c r="CE66" s="116"/>
      <c r="CF66" s="116"/>
      <c r="CG66" s="116"/>
      <c r="CH66" s="117"/>
    </row>
    <row r="67" spans="1:86" x14ac:dyDescent="0.2">
      <c r="A67" s="105"/>
      <c r="B67" s="105"/>
      <c r="C67" s="56"/>
      <c r="D67" s="57"/>
      <c r="E67" s="58"/>
      <c r="F67" s="58"/>
      <c r="G67" s="59"/>
      <c r="H67" s="106"/>
      <c r="I67" s="107"/>
      <c r="J67" s="108"/>
      <c r="K67" s="109"/>
      <c r="L67" s="110"/>
      <c r="M67" s="111"/>
      <c r="N67" s="115"/>
      <c r="O67" s="116"/>
      <c r="P67" s="116"/>
      <c r="Q67" s="116"/>
      <c r="R67" s="116"/>
      <c r="S67" s="116"/>
      <c r="T67" s="116"/>
      <c r="U67" s="116"/>
      <c r="V67" s="116"/>
      <c r="W67" s="116"/>
      <c r="X67" s="116"/>
      <c r="Y67" s="116"/>
      <c r="Z67" s="116"/>
      <c r="AA67" s="116"/>
      <c r="AB67" s="116"/>
      <c r="AC67" s="116"/>
      <c r="AD67" s="116"/>
      <c r="AE67" s="116"/>
      <c r="AF67" s="116"/>
      <c r="AG67" s="116"/>
      <c r="AH67" s="116"/>
      <c r="AI67" s="116"/>
      <c r="AJ67" s="116"/>
      <c r="AK67" s="116"/>
      <c r="AL67" s="116"/>
      <c r="AM67" s="116"/>
      <c r="AN67" s="116"/>
      <c r="AO67" s="116"/>
      <c r="AP67" s="116"/>
      <c r="AQ67" s="116"/>
      <c r="AR67" s="116"/>
      <c r="AS67" s="116"/>
      <c r="AT67" s="116"/>
      <c r="AU67" s="116"/>
      <c r="AV67" s="116"/>
      <c r="AW67" s="116"/>
      <c r="AX67" s="116"/>
      <c r="AY67" s="116"/>
      <c r="AZ67" s="116"/>
      <c r="BA67" s="116"/>
      <c r="BB67" s="116"/>
      <c r="BC67" s="116"/>
      <c r="BD67" s="116"/>
      <c r="BE67" s="116"/>
      <c r="BF67" s="116"/>
      <c r="BG67" s="116"/>
      <c r="BH67" s="116"/>
      <c r="BI67" s="116"/>
      <c r="BJ67" s="116"/>
      <c r="BK67" s="116"/>
      <c r="BL67" s="116"/>
      <c r="BM67" s="116"/>
      <c r="BN67" s="116"/>
      <c r="BO67" s="116"/>
      <c r="BP67" s="116"/>
      <c r="BQ67" s="116"/>
      <c r="BR67" s="116"/>
      <c r="BS67" s="116"/>
      <c r="BT67" s="116"/>
      <c r="BU67" s="116"/>
      <c r="BV67" s="116"/>
      <c r="BW67" s="116"/>
      <c r="BX67" s="116"/>
      <c r="BY67" s="116"/>
      <c r="BZ67" s="116"/>
      <c r="CA67" s="116"/>
      <c r="CB67" s="116"/>
      <c r="CC67" s="116"/>
      <c r="CD67" s="116"/>
      <c r="CE67" s="116"/>
      <c r="CF67" s="116"/>
      <c r="CG67" s="116"/>
      <c r="CH67" s="117"/>
    </row>
    <row r="68" spans="1:86" x14ac:dyDescent="0.2">
      <c r="A68" s="105"/>
      <c r="B68" s="105"/>
      <c r="C68" s="56"/>
      <c r="D68" s="57"/>
      <c r="E68" s="58"/>
      <c r="F68" s="58"/>
      <c r="G68" s="59"/>
      <c r="H68" s="106"/>
      <c r="I68" s="107"/>
      <c r="J68" s="108"/>
      <c r="K68" s="109"/>
      <c r="L68" s="110"/>
      <c r="M68" s="111"/>
      <c r="N68" s="115"/>
      <c r="O68" s="116"/>
      <c r="P68" s="116"/>
      <c r="Q68" s="116"/>
      <c r="R68" s="116"/>
      <c r="S68" s="116"/>
      <c r="T68" s="116"/>
      <c r="U68" s="116"/>
      <c r="V68" s="116"/>
      <c r="W68" s="116"/>
      <c r="X68" s="116"/>
      <c r="Y68" s="116"/>
      <c r="Z68" s="116"/>
      <c r="AA68" s="116"/>
      <c r="AB68" s="116"/>
      <c r="AC68" s="116"/>
      <c r="AD68" s="116"/>
      <c r="AE68" s="116"/>
      <c r="AF68" s="116"/>
      <c r="AG68" s="116"/>
      <c r="AH68" s="116"/>
      <c r="AI68" s="116"/>
      <c r="AJ68" s="116"/>
      <c r="AK68" s="116"/>
      <c r="AL68" s="116"/>
      <c r="AM68" s="116"/>
      <c r="AN68" s="116"/>
      <c r="AO68" s="116"/>
      <c r="AP68" s="116"/>
      <c r="AQ68" s="116"/>
      <c r="AR68" s="116"/>
      <c r="AS68" s="116"/>
      <c r="AT68" s="116"/>
      <c r="AU68" s="116"/>
      <c r="AV68" s="116"/>
      <c r="AW68" s="116"/>
      <c r="AX68" s="116"/>
      <c r="AY68" s="116"/>
      <c r="AZ68" s="116"/>
      <c r="BA68" s="116"/>
      <c r="BB68" s="116"/>
      <c r="BC68" s="116"/>
      <c r="BD68" s="116"/>
      <c r="BE68" s="116"/>
      <c r="BF68" s="116"/>
      <c r="BG68" s="116"/>
      <c r="BH68" s="116"/>
      <c r="BI68" s="116"/>
      <c r="BJ68" s="116"/>
      <c r="BK68" s="116"/>
      <c r="BL68" s="116"/>
      <c r="BM68" s="116"/>
      <c r="BN68" s="116"/>
      <c r="BO68" s="116"/>
      <c r="BP68" s="116"/>
      <c r="BQ68" s="116"/>
      <c r="BR68" s="116"/>
      <c r="BS68" s="116"/>
      <c r="BT68" s="116"/>
      <c r="BU68" s="116"/>
      <c r="BV68" s="116"/>
      <c r="BW68" s="116"/>
      <c r="BX68" s="116"/>
      <c r="BY68" s="116"/>
      <c r="BZ68" s="116"/>
      <c r="CA68" s="116"/>
      <c r="CB68" s="116"/>
      <c r="CC68" s="116"/>
      <c r="CD68" s="116"/>
      <c r="CE68" s="116"/>
      <c r="CF68" s="116"/>
      <c r="CG68" s="116"/>
      <c r="CH68" s="117"/>
    </row>
    <row r="69" spans="1:86" x14ac:dyDescent="0.2">
      <c r="A69" s="105"/>
      <c r="B69" s="105"/>
      <c r="C69" s="56"/>
      <c r="D69" s="57"/>
      <c r="E69" s="58"/>
      <c r="F69" s="58"/>
      <c r="G69" s="59"/>
      <c r="H69" s="106"/>
      <c r="I69" s="107"/>
      <c r="J69" s="108"/>
      <c r="K69" s="109"/>
      <c r="L69" s="110"/>
      <c r="M69" s="111"/>
      <c r="N69" s="115"/>
      <c r="O69" s="116"/>
      <c r="P69" s="116"/>
      <c r="Q69" s="116"/>
      <c r="R69" s="116"/>
      <c r="S69" s="116"/>
      <c r="T69" s="116"/>
      <c r="U69" s="116"/>
      <c r="V69" s="116"/>
      <c r="W69" s="116"/>
      <c r="X69" s="116"/>
      <c r="Y69" s="116"/>
      <c r="Z69" s="116"/>
      <c r="AA69" s="116"/>
      <c r="AB69" s="116"/>
      <c r="AC69" s="116"/>
      <c r="AD69" s="116"/>
      <c r="AE69" s="116"/>
      <c r="AF69" s="116"/>
      <c r="AG69" s="116"/>
      <c r="AH69" s="116"/>
      <c r="AI69" s="116"/>
      <c r="AJ69" s="116"/>
      <c r="AK69" s="116"/>
      <c r="AL69" s="116"/>
      <c r="AM69" s="116"/>
      <c r="AN69" s="116"/>
      <c r="AO69" s="116"/>
      <c r="AP69" s="116"/>
      <c r="AQ69" s="116"/>
      <c r="AR69" s="116"/>
      <c r="AS69" s="116"/>
      <c r="AT69" s="116"/>
      <c r="AU69" s="116"/>
      <c r="AV69" s="116"/>
      <c r="AW69" s="116"/>
      <c r="AX69" s="116"/>
      <c r="AY69" s="116"/>
      <c r="AZ69" s="116"/>
      <c r="BA69" s="116"/>
      <c r="BB69" s="116"/>
      <c r="BC69" s="116"/>
      <c r="BD69" s="116"/>
      <c r="BE69" s="116"/>
      <c r="BF69" s="116"/>
      <c r="BG69" s="116"/>
      <c r="BH69" s="116"/>
      <c r="BI69" s="116"/>
      <c r="BJ69" s="116"/>
      <c r="BK69" s="116"/>
      <c r="BL69" s="116"/>
      <c r="BM69" s="116"/>
      <c r="BN69" s="116"/>
      <c r="BO69" s="116"/>
      <c r="BP69" s="116"/>
      <c r="BQ69" s="116"/>
      <c r="BR69" s="116"/>
      <c r="BS69" s="116"/>
      <c r="BT69" s="116"/>
      <c r="BU69" s="116"/>
      <c r="BV69" s="116"/>
      <c r="BW69" s="116"/>
      <c r="BX69" s="116"/>
      <c r="BY69" s="116"/>
      <c r="BZ69" s="116"/>
      <c r="CA69" s="116"/>
      <c r="CB69" s="116"/>
      <c r="CC69" s="116"/>
      <c r="CD69" s="116"/>
      <c r="CE69" s="116"/>
      <c r="CF69" s="116"/>
      <c r="CG69" s="116"/>
      <c r="CH69" s="117"/>
    </row>
    <row r="70" spans="1:86" x14ac:dyDescent="0.2">
      <c r="A70" s="105"/>
      <c r="B70" s="105"/>
      <c r="C70" s="56"/>
      <c r="D70" s="57"/>
      <c r="E70" s="58"/>
      <c r="F70" s="58"/>
      <c r="G70" s="59"/>
      <c r="H70" s="106"/>
      <c r="I70" s="107"/>
      <c r="J70" s="130"/>
      <c r="K70" s="109"/>
      <c r="L70" s="110"/>
      <c r="M70" s="111"/>
      <c r="N70" s="115"/>
      <c r="O70" s="116"/>
      <c r="P70" s="116"/>
      <c r="Q70" s="116"/>
      <c r="R70" s="116"/>
      <c r="S70" s="116"/>
      <c r="T70" s="116"/>
      <c r="U70" s="116"/>
      <c r="V70" s="116"/>
      <c r="W70" s="116"/>
      <c r="X70" s="116"/>
      <c r="Y70" s="116"/>
      <c r="Z70" s="116"/>
      <c r="AA70" s="116"/>
      <c r="AB70" s="116"/>
      <c r="AC70" s="116"/>
      <c r="AD70" s="116"/>
      <c r="AE70" s="116"/>
      <c r="AF70" s="116"/>
      <c r="AG70" s="116"/>
      <c r="AH70" s="116"/>
      <c r="AI70" s="116"/>
      <c r="AJ70" s="116"/>
      <c r="AK70" s="116"/>
      <c r="AL70" s="116"/>
      <c r="AM70" s="116"/>
      <c r="AN70" s="116"/>
      <c r="AO70" s="116"/>
      <c r="AP70" s="116"/>
      <c r="AQ70" s="116"/>
      <c r="AR70" s="116"/>
      <c r="AS70" s="116"/>
      <c r="AT70" s="116"/>
      <c r="AU70" s="116"/>
      <c r="AV70" s="116"/>
      <c r="AW70" s="116"/>
      <c r="AX70" s="116"/>
      <c r="AY70" s="116"/>
      <c r="AZ70" s="116"/>
      <c r="BA70" s="116"/>
      <c r="BB70" s="116"/>
      <c r="BC70" s="116"/>
      <c r="BD70" s="116"/>
      <c r="BE70" s="116"/>
      <c r="BF70" s="116"/>
      <c r="BG70" s="116"/>
      <c r="BH70" s="116"/>
      <c r="BI70" s="116"/>
      <c r="BJ70" s="116"/>
      <c r="BK70" s="116"/>
      <c r="BL70" s="116"/>
      <c r="BM70" s="116"/>
      <c r="BN70" s="116"/>
      <c r="BO70" s="116"/>
      <c r="BP70" s="116"/>
      <c r="BQ70" s="116"/>
      <c r="BR70" s="116"/>
      <c r="BS70" s="116"/>
      <c r="BT70" s="116"/>
      <c r="BU70" s="116"/>
      <c r="BV70" s="116"/>
      <c r="BW70" s="116"/>
      <c r="BX70" s="116"/>
      <c r="BY70" s="116"/>
      <c r="BZ70" s="116"/>
      <c r="CA70" s="116"/>
      <c r="CB70" s="116"/>
      <c r="CC70" s="116"/>
      <c r="CD70" s="116"/>
      <c r="CE70" s="116"/>
      <c r="CF70" s="116"/>
      <c r="CG70" s="116"/>
      <c r="CH70" s="117"/>
    </row>
    <row r="71" spans="1:86" x14ac:dyDescent="0.2">
      <c r="A71" s="105"/>
      <c r="B71" s="105"/>
      <c r="C71" s="56"/>
      <c r="D71" s="57"/>
      <c r="E71" s="58"/>
      <c r="F71" s="58"/>
      <c r="G71" s="59"/>
      <c r="H71" s="106"/>
      <c r="I71" s="107"/>
      <c r="J71" s="108"/>
      <c r="K71" s="109"/>
      <c r="L71" s="110"/>
      <c r="M71" s="111"/>
      <c r="N71" s="115"/>
      <c r="O71" s="116"/>
      <c r="P71" s="116"/>
      <c r="Q71" s="116"/>
      <c r="R71" s="116"/>
      <c r="S71" s="116"/>
      <c r="T71" s="116"/>
      <c r="U71" s="116"/>
      <c r="V71" s="116"/>
      <c r="W71" s="116"/>
      <c r="X71" s="116"/>
      <c r="Y71" s="116"/>
      <c r="Z71" s="116"/>
      <c r="AA71" s="116"/>
      <c r="AB71" s="116"/>
      <c r="AC71" s="116"/>
      <c r="AD71" s="116"/>
      <c r="AE71" s="116"/>
      <c r="AF71" s="116"/>
      <c r="AG71" s="116"/>
      <c r="AH71" s="116"/>
      <c r="AI71" s="116"/>
      <c r="AJ71" s="116"/>
      <c r="AK71" s="116"/>
      <c r="AL71" s="116"/>
      <c r="AM71" s="116"/>
      <c r="AN71" s="116"/>
      <c r="AO71" s="116"/>
      <c r="AP71" s="116"/>
      <c r="AQ71" s="116"/>
      <c r="AR71" s="116"/>
      <c r="AS71" s="116"/>
      <c r="AT71" s="116"/>
      <c r="AU71" s="116"/>
      <c r="AV71" s="116"/>
      <c r="AW71" s="116"/>
      <c r="AX71" s="116"/>
      <c r="AY71" s="116"/>
      <c r="AZ71" s="116"/>
      <c r="BA71" s="116"/>
      <c r="BB71" s="116"/>
      <c r="BC71" s="116"/>
      <c r="BD71" s="116"/>
      <c r="BE71" s="116"/>
      <c r="BF71" s="116"/>
      <c r="BG71" s="116"/>
      <c r="BH71" s="116"/>
      <c r="BI71" s="116"/>
      <c r="BJ71" s="116"/>
      <c r="BK71" s="116"/>
      <c r="BL71" s="116"/>
      <c r="BM71" s="116"/>
      <c r="BN71" s="116"/>
      <c r="BO71" s="116"/>
      <c r="BP71" s="116"/>
      <c r="BQ71" s="116"/>
      <c r="BR71" s="116"/>
      <c r="BS71" s="116"/>
      <c r="BT71" s="116"/>
      <c r="BU71" s="116"/>
      <c r="BV71" s="116"/>
      <c r="BW71" s="116"/>
      <c r="BX71" s="116"/>
      <c r="BY71" s="116"/>
      <c r="BZ71" s="116"/>
      <c r="CA71" s="116"/>
      <c r="CB71" s="116"/>
      <c r="CC71" s="116"/>
      <c r="CD71" s="116"/>
      <c r="CE71" s="116"/>
      <c r="CF71" s="116"/>
      <c r="CG71" s="116"/>
      <c r="CH71" s="117"/>
    </row>
    <row r="72" spans="1:86" x14ac:dyDescent="0.2">
      <c r="A72" s="105"/>
      <c r="B72" s="105"/>
      <c r="C72" s="56"/>
      <c r="D72" s="57"/>
      <c r="E72" s="58"/>
      <c r="F72" s="58"/>
      <c r="G72" s="59"/>
      <c r="H72" s="106"/>
      <c r="I72" s="107"/>
      <c r="J72" s="108"/>
      <c r="K72" s="109"/>
      <c r="L72" s="110"/>
      <c r="M72" s="111"/>
      <c r="N72" s="115"/>
      <c r="O72" s="116"/>
      <c r="P72" s="116"/>
      <c r="Q72" s="116"/>
      <c r="R72" s="116"/>
      <c r="S72" s="116"/>
      <c r="T72" s="116"/>
      <c r="U72" s="116"/>
      <c r="V72" s="116"/>
      <c r="W72" s="116"/>
      <c r="X72" s="116"/>
      <c r="Y72" s="116"/>
      <c r="Z72" s="116"/>
      <c r="AA72" s="116"/>
      <c r="AB72" s="116"/>
      <c r="AC72" s="116"/>
      <c r="AD72" s="116"/>
      <c r="AE72" s="116"/>
      <c r="AF72" s="116"/>
      <c r="AG72" s="116"/>
      <c r="AH72" s="116"/>
      <c r="AI72" s="116"/>
      <c r="AJ72" s="116"/>
      <c r="AK72" s="116"/>
      <c r="AL72" s="116"/>
      <c r="AM72" s="116"/>
      <c r="AN72" s="116"/>
      <c r="AO72" s="116"/>
      <c r="AP72" s="116"/>
      <c r="AQ72" s="116"/>
      <c r="AR72" s="116"/>
      <c r="AS72" s="116"/>
      <c r="AT72" s="116"/>
      <c r="AU72" s="116"/>
      <c r="AV72" s="116"/>
      <c r="AW72" s="116"/>
      <c r="AX72" s="116"/>
      <c r="AY72" s="116"/>
      <c r="AZ72" s="116"/>
      <c r="BA72" s="116"/>
      <c r="BB72" s="116"/>
      <c r="BC72" s="116"/>
      <c r="BD72" s="116"/>
      <c r="BE72" s="116"/>
      <c r="BF72" s="116"/>
      <c r="BG72" s="116"/>
      <c r="BH72" s="116"/>
      <c r="BI72" s="116"/>
      <c r="BJ72" s="116"/>
      <c r="BK72" s="116"/>
      <c r="BL72" s="116"/>
      <c r="BM72" s="116"/>
      <c r="BN72" s="116"/>
      <c r="BO72" s="116"/>
      <c r="BP72" s="116"/>
      <c r="BQ72" s="116"/>
      <c r="BR72" s="116"/>
      <c r="BS72" s="116"/>
      <c r="BT72" s="116"/>
      <c r="BU72" s="116"/>
      <c r="BV72" s="116"/>
      <c r="BW72" s="116"/>
      <c r="BX72" s="116"/>
      <c r="BY72" s="116"/>
      <c r="BZ72" s="116"/>
      <c r="CA72" s="116"/>
      <c r="CB72" s="116"/>
      <c r="CC72" s="116"/>
      <c r="CD72" s="116"/>
      <c r="CE72" s="116"/>
      <c r="CF72" s="116"/>
      <c r="CG72" s="116"/>
      <c r="CH72" s="117"/>
    </row>
    <row r="73" spans="1:86" x14ac:dyDescent="0.2">
      <c r="A73" s="105"/>
      <c r="B73" s="105"/>
      <c r="C73" s="56"/>
      <c r="D73" s="57"/>
      <c r="E73" s="58"/>
      <c r="F73" s="58"/>
      <c r="G73" s="59"/>
      <c r="H73" s="106"/>
      <c r="I73" s="107"/>
      <c r="J73" s="108"/>
      <c r="K73" s="109"/>
      <c r="L73" s="110"/>
      <c r="M73" s="111"/>
      <c r="N73" s="115"/>
      <c r="O73" s="116"/>
      <c r="P73" s="116"/>
      <c r="Q73" s="116"/>
      <c r="R73" s="116"/>
      <c r="S73" s="116"/>
      <c r="T73" s="116"/>
      <c r="U73" s="116"/>
      <c r="V73" s="116"/>
      <c r="W73" s="116"/>
      <c r="X73" s="116"/>
      <c r="Y73" s="116"/>
      <c r="Z73" s="116"/>
      <c r="AA73" s="116"/>
      <c r="AB73" s="116"/>
      <c r="AC73" s="116"/>
      <c r="AD73" s="116"/>
      <c r="AE73" s="116"/>
      <c r="AF73" s="116"/>
      <c r="AG73" s="116"/>
      <c r="AH73" s="116"/>
      <c r="AI73" s="116"/>
      <c r="AJ73" s="116"/>
      <c r="AK73" s="116"/>
      <c r="AL73" s="116"/>
      <c r="AM73" s="116"/>
      <c r="AN73" s="116"/>
      <c r="AO73" s="116"/>
      <c r="AP73" s="116"/>
      <c r="AQ73" s="116"/>
      <c r="AR73" s="116"/>
      <c r="AS73" s="116"/>
      <c r="AT73" s="116"/>
      <c r="AU73" s="116"/>
      <c r="AV73" s="116"/>
      <c r="AW73" s="116"/>
      <c r="AX73" s="116"/>
      <c r="AY73" s="116"/>
      <c r="AZ73" s="116"/>
      <c r="BA73" s="116"/>
      <c r="BB73" s="116"/>
      <c r="BC73" s="116"/>
      <c r="BD73" s="116"/>
      <c r="BE73" s="116"/>
      <c r="BF73" s="116"/>
      <c r="BG73" s="116"/>
      <c r="BH73" s="116"/>
      <c r="BI73" s="116"/>
      <c r="BJ73" s="116"/>
      <c r="BK73" s="116"/>
      <c r="BL73" s="116"/>
      <c r="BM73" s="116"/>
      <c r="BN73" s="116"/>
      <c r="BO73" s="116"/>
      <c r="BP73" s="116"/>
      <c r="BQ73" s="116"/>
      <c r="BR73" s="116"/>
      <c r="BS73" s="116"/>
      <c r="BT73" s="116"/>
      <c r="BU73" s="116"/>
      <c r="BV73" s="116"/>
      <c r="BW73" s="116"/>
      <c r="BX73" s="116"/>
      <c r="BY73" s="116"/>
      <c r="BZ73" s="116"/>
      <c r="CA73" s="116"/>
      <c r="CB73" s="116"/>
      <c r="CC73" s="116"/>
      <c r="CD73" s="116"/>
      <c r="CE73" s="116"/>
      <c r="CF73" s="116"/>
      <c r="CG73" s="116"/>
      <c r="CH73" s="117"/>
    </row>
    <row r="74" spans="1:86" x14ac:dyDescent="0.2">
      <c r="A74" s="105"/>
      <c r="B74" s="105"/>
      <c r="C74" s="56"/>
      <c r="D74" s="57"/>
      <c r="E74" s="58"/>
      <c r="F74" s="58"/>
      <c r="G74" s="59"/>
      <c r="H74" s="106"/>
      <c r="I74" s="107"/>
      <c r="J74" s="108"/>
      <c r="K74" s="109"/>
      <c r="L74" s="110"/>
      <c r="M74" s="111"/>
      <c r="N74" s="115"/>
      <c r="O74" s="116"/>
      <c r="P74" s="116"/>
      <c r="Q74" s="116"/>
      <c r="R74" s="116"/>
      <c r="S74" s="116"/>
      <c r="T74" s="116"/>
      <c r="U74" s="116"/>
      <c r="V74" s="116"/>
      <c r="W74" s="116"/>
      <c r="X74" s="116"/>
      <c r="Y74" s="116"/>
      <c r="Z74" s="116"/>
      <c r="AA74" s="116"/>
      <c r="AB74" s="116"/>
      <c r="AC74" s="116"/>
      <c r="AD74" s="116"/>
      <c r="AE74" s="116"/>
      <c r="AF74" s="116"/>
      <c r="AG74" s="116"/>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c r="BS74" s="116"/>
      <c r="BT74" s="116"/>
      <c r="BU74" s="116"/>
      <c r="BV74" s="116"/>
      <c r="BW74" s="116"/>
      <c r="BX74" s="116"/>
      <c r="BY74" s="116"/>
      <c r="BZ74" s="116"/>
      <c r="CA74" s="116"/>
      <c r="CB74" s="116"/>
      <c r="CC74" s="116"/>
      <c r="CD74" s="116"/>
      <c r="CE74" s="116"/>
      <c r="CF74" s="116"/>
      <c r="CG74" s="116"/>
      <c r="CH74" s="117"/>
    </row>
    <row r="75" spans="1:86" x14ac:dyDescent="0.2">
      <c r="A75" s="105"/>
      <c r="B75" s="105"/>
      <c r="C75" s="56"/>
      <c r="D75" s="57"/>
      <c r="E75" s="58"/>
      <c r="F75" s="58"/>
      <c r="G75" s="59"/>
      <c r="H75" s="106"/>
      <c r="I75" s="107"/>
      <c r="J75" s="108"/>
      <c r="K75" s="109"/>
      <c r="L75" s="110"/>
      <c r="M75" s="111"/>
      <c r="N75" s="115"/>
      <c r="O75" s="116"/>
      <c r="P75" s="116"/>
      <c r="Q75" s="116"/>
      <c r="R75" s="116"/>
      <c r="S75" s="116"/>
      <c r="T75" s="116"/>
      <c r="U75" s="116"/>
      <c r="V75" s="116"/>
      <c r="W75" s="116"/>
      <c r="X75" s="116"/>
      <c r="Y75" s="116"/>
      <c r="Z75" s="116"/>
      <c r="AA75" s="116"/>
      <c r="AB75" s="116"/>
      <c r="AC75" s="116"/>
      <c r="AD75" s="116"/>
      <c r="AE75" s="116"/>
      <c r="AF75" s="116"/>
      <c r="AG75" s="116"/>
      <c r="AH75" s="116"/>
      <c r="AI75" s="116"/>
      <c r="AJ75" s="116"/>
      <c r="AK75" s="116"/>
      <c r="AL75" s="116"/>
      <c r="AM75" s="116"/>
      <c r="AN75" s="116"/>
      <c r="AO75" s="116"/>
      <c r="AP75" s="116"/>
      <c r="AQ75" s="116"/>
      <c r="AR75" s="116"/>
      <c r="AS75" s="116"/>
      <c r="AT75" s="116"/>
      <c r="AU75" s="116"/>
      <c r="AV75" s="116"/>
      <c r="AW75" s="116"/>
      <c r="AX75" s="116"/>
      <c r="AY75" s="116"/>
      <c r="AZ75" s="116"/>
      <c r="BA75" s="116"/>
      <c r="BB75" s="116"/>
      <c r="BC75" s="116"/>
      <c r="BD75" s="116"/>
      <c r="BE75" s="116"/>
      <c r="BF75" s="116"/>
      <c r="BG75" s="116"/>
      <c r="BH75" s="116"/>
      <c r="BI75" s="116"/>
      <c r="BJ75" s="116"/>
      <c r="BK75" s="116"/>
      <c r="BL75" s="116"/>
      <c r="BM75" s="116"/>
      <c r="BN75" s="116"/>
      <c r="BO75" s="116"/>
      <c r="BP75" s="116"/>
      <c r="BQ75" s="116"/>
      <c r="BR75" s="116"/>
      <c r="BS75" s="116"/>
      <c r="BT75" s="116"/>
      <c r="BU75" s="116"/>
      <c r="BV75" s="116"/>
      <c r="BW75" s="116"/>
      <c r="BX75" s="116"/>
      <c r="BY75" s="116"/>
      <c r="BZ75" s="116"/>
      <c r="CA75" s="116"/>
      <c r="CB75" s="116"/>
      <c r="CC75" s="116"/>
      <c r="CD75" s="116"/>
      <c r="CE75" s="116"/>
      <c r="CF75" s="116"/>
      <c r="CG75" s="116"/>
      <c r="CH75" s="117"/>
    </row>
    <row r="76" spans="1:86" x14ac:dyDescent="0.2">
      <c r="A76" s="105"/>
      <c r="B76" s="105"/>
      <c r="C76" s="56"/>
      <c r="D76" s="57"/>
      <c r="E76" s="58"/>
      <c r="F76" s="58"/>
      <c r="G76" s="59"/>
      <c r="H76" s="106"/>
      <c r="I76" s="107"/>
      <c r="J76" s="108"/>
      <c r="K76" s="109"/>
      <c r="L76" s="110"/>
      <c r="M76" s="111"/>
      <c r="N76" s="115"/>
      <c r="O76" s="116"/>
      <c r="P76" s="116"/>
      <c r="Q76" s="116"/>
      <c r="R76" s="116"/>
      <c r="S76" s="116"/>
      <c r="T76" s="116"/>
      <c r="U76" s="116"/>
      <c r="V76" s="116"/>
      <c r="W76" s="116"/>
      <c r="X76" s="116"/>
      <c r="Y76" s="116"/>
      <c r="Z76" s="116"/>
      <c r="AA76" s="116"/>
      <c r="AB76" s="116"/>
      <c r="AC76" s="116"/>
      <c r="AD76" s="116"/>
      <c r="AE76" s="116"/>
      <c r="AF76" s="116"/>
      <c r="AG76" s="116"/>
      <c r="AH76" s="116"/>
      <c r="AI76" s="116"/>
      <c r="AJ76" s="116"/>
      <c r="AK76" s="116"/>
      <c r="AL76" s="116"/>
      <c r="AM76" s="116"/>
      <c r="AN76" s="116"/>
      <c r="AO76" s="116"/>
      <c r="AP76" s="116"/>
      <c r="AQ76" s="116"/>
      <c r="AR76" s="116"/>
      <c r="AS76" s="116"/>
      <c r="AT76" s="116"/>
      <c r="AU76" s="116"/>
      <c r="AV76" s="116"/>
      <c r="AW76" s="116"/>
      <c r="AX76" s="116"/>
      <c r="AY76" s="116"/>
      <c r="AZ76" s="116"/>
      <c r="BA76" s="116"/>
      <c r="BB76" s="116"/>
      <c r="BC76" s="116"/>
      <c r="BD76" s="116"/>
      <c r="BE76" s="116"/>
      <c r="BF76" s="116"/>
      <c r="BG76" s="116"/>
      <c r="BH76" s="116"/>
      <c r="BI76" s="116"/>
      <c r="BJ76" s="116"/>
      <c r="BK76" s="116"/>
      <c r="BL76" s="116"/>
      <c r="BM76" s="116"/>
      <c r="BN76" s="116"/>
      <c r="BO76" s="116"/>
      <c r="BP76" s="116"/>
      <c r="BQ76" s="116"/>
      <c r="BR76" s="116"/>
      <c r="BS76" s="116"/>
      <c r="BT76" s="116"/>
      <c r="BU76" s="116"/>
      <c r="BV76" s="116"/>
      <c r="BW76" s="116"/>
      <c r="BX76" s="116"/>
      <c r="BY76" s="116"/>
      <c r="BZ76" s="116"/>
      <c r="CA76" s="116"/>
      <c r="CB76" s="116"/>
      <c r="CC76" s="116"/>
      <c r="CD76" s="116"/>
      <c r="CE76" s="116"/>
      <c r="CF76" s="116"/>
      <c r="CG76" s="116"/>
      <c r="CH76" s="117"/>
    </row>
    <row r="77" spans="1:86" x14ac:dyDescent="0.2">
      <c r="A77" s="105"/>
      <c r="B77" s="105"/>
      <c r="C77" s="56"/>
      <c r="D77" s="57"/>
      <c r="E77" s="58"/>
      <c r="F77" s="58"/>
      <c r="G77" s="59"/>
      <c r="H77" s="106"/>
      <c r="I77" s="107"/>
      <c r="J77" s="108"/>
      <c r="K77" s="109"/>
      <c r="L77" s="110"/>
      <c r="M77" s="111"/>
      <c r="N77" s="115"/>
      <c r="O77" s="116"/>
      <c r="P77" s="116"/>
      <c r="Q77" s="116"/>
      <c r="R77" s="116"/>
      <c r="S77" s="116"/>
      <c r="T77" s="116"/>
      <c r="U77" s="116"/>
      <c r="V77" s="116"/>
      <c r="W77" s="116"/>
      <c r="X77" s="116"/>
      <c r="Y77" s="116"/>
      <c r="Z77" s="116"/>
      <c r="AA77" s="116"/>
      <c r="AB77" s="116"/>
      <c r="AC77" s="116"/>
      <c r="AD77" s="116"/>
      <c r="AE77" s="116"/>
      <c r="AF77" s="116"/>
      <c r="AG77" s="116"/>
      <c r="AH77" s="116"/>
      <c r="AI77" s="116"/>
      <c r="AJ77" s="116"/>
      <c r="AK77" s="116"/>
      <c r="AL77" s="116"/>
      <c r="AM77" s="116"/>
      <c r="AN77" s="116"/>
      <c r="AO77" s="116"/>
      <c r="AP77" s="116"/>
      <c r="AQ77" s="116"/>
      <c r="AR77" s="116"/>
      <c r="AS77" s="116"/>
      <c r="AT77" s="116"/>
      <c r="AU77" s="116"/>
      <c r="AV77" s="116"/>
      <c r="AW77" s="116"/>
      <c r="AX77" s="116"/>
      <c r="AY77" s="116"/>
      <c r="AZ77" s="116"/>
      <c r="BA77" s="116"/>
      <c r="BB77" s="116"/>
      <c r="BC77" s="116"/>
      <c r="BD77" s="116"/>
      <c r="BE77" s="116"/>
      <c r="BF77" s="116"/>
      <c r="BG77" s="116"/>
      <c r="BH77" s="116"/>
      <c r="BI77" s="116"/>
      <c r="BJ77" s="116"/>
      <c r="BK77" s="116"/>
      <c r="BL77" s="116"/>
      <c r="BM77" s="116"/>
      <c r="BN77" s="116"/>
      <c r="BO77" s="116"/>
      <c r="BP77" s="116"/>
      <c r="BQ77" s="116"/>
      <c r="BR77" s="116"/>
      <c r="BS77" s="116"/>
      <c r="BT77" s="116"/>
      <c r="BU77" s="116"/>
      <c r="BV77" s="116"/>
      <c r="BW77" s="116"/>
      <c r="BX77" s="116"/>
      <c r="BY77" s="116"/>
      <c r="BZ77" s="116"/>
      <c r="CA77" s="116"/>
      <c r="CB77" s="116"/>
      <c r="CC77" s="116"/>
      <c r="CD77" s="116"/>
      <c r="CE77" s="116"/>
      <c r="CF77" s="116"/>
      <c r="CG77" s="116"/>
      <c r="CH77" s="117"/>
    </row>
    <row r="78" spans="1:86" x14ac:dyDescent="0.2">
      <c r="A78" s="105"/>
      <c r="B78" s="105"/>
      <c r="C78" s="56"/>
      <c r="D78" s="57"/>
      <c r="E78" s="58"/>
      <c r="F78" s="58"/>
      <c r="G78" s="59"/>
      <c r="H78" s="106"/>
      <c r="I78" s="107"/>
      <c r="J78" s="108"/>
      <c r="K78" s="109"/>
      <c r="L78" s="110"/>
      <c r="M78" s="111"/>
      <c r="N78" s="115"/>
      <c r="O78" s="116"/>
      <c r="P78" s="116"/>
      <c r="Q78" s="116"/>
      <c r="R78" s="116"/>
      <c r="S78" s="116"/>
      <c r="T78" s="116"/>
      <c r="U78" s="116"/>
      <c r="V78" s="116"/>
      <c r="W78" s="116"/>
      <c r="X78" s="116"/>
      <c r="Y78" s="116"/>
      <c r="Z78" s="116"/>
      <c r="AA78" s="116"/>
      <c r="AB78" s="116"/>
      <c r="AC78" s="116"/>
      <c r="AD78" s="116"/>
      <c r="AE78" s="116"/>
      <c r="AF78" s="116"/>
      <c r="AG78" s="116"/>
      <c r="AH78" s="116"/>
      <c r="AI78" s="116"/>
      <c r="AJ78" s="116"/>
      <c r="AK78" s="116"/>
      <c r="AL78" s="116"/>
      <c r="AM78" s="116"/>
      <c r="AN78" s="116"/>
      <c r="AO78" s="116"/>
      <c r="AP78" s="116"/>
      <c r="AQ78" s="116"/>
      <c r="AR78" s="116"/>
      <c r="AS78" s="116"/>
      <c r="AT78" s="116"/>
      <c r="AU78" s="116"/>
      <c r="AV78" s="116"/>
      <c r="AW78" s="116"/>
      <c r="AX78" s="116"/>
      <c r="AY78" s="116"/>
      <c r="AZ78" s="116"/>
      <c r="BA78" s="116"/>
      <c r="BB78" s="116"/>
      <c r="BC78" s="116"/>
      <c r="BD78" s="116"/>
      <c r="BE78" s="116"/>
      <c r="BF78" s="116"/>
      <c r="BG78" s="116"/>
      <c r="BH78" s="116"/>
      <c r="BI78" s="116"/>
      <c r="BJ78" s="116"/>
      <c r="BK78" s="116"/>
      <c r="BL78" s="116"/>
      <c r="BM78" s="116"/>
      <c r="BN78" s="116"/>
      <c r="BO78" s="116"/>
      <c r="BP78" s="116"/>
      <c r="BQ78" s="116"/>
      <c r="BR78" s="116"/>
      <c r="BS78" s="116"/>
      <c r="BT78" s="116"/>
      <c r="BU78" s="116"/>
      <c r="BV78" s="116"/>
      <c r="BW78" s="116"/>
      <c r="BX78" s="116"/>
      <c r="BY78" s="116"/>
      <c r="BZ78" s="116"/>
      <c r="CA78" s="116"/>
      <c r="CB78" s="116"/>
      <c r="CC78" s="116"/>
      <c r="CD78" s="116"/>
      <c r="CE78" s="116"/>
      <c r="CF78" s="116"/>
      <c r="CG78" s="116"/>
      <c r="CH78" s="117"/>
    </row>
    <row r="79" spans="1:86" x14ac:dyDescent="0.2">
      <c r="A79" s="105"/>
      <c r="B79" s="105"/>
      <c r="C79" s="56"/>
      <c r="D79" s="57"/>
      <c r="E79" s="58"/>
      <c r="F79" s="58"/>
      <c r="G79" s="59"/>
      <c r="H79" s="106"/>
      <c r="I79" s="107"/>
      <c r="J79" s="108"/>
      <c r="K79" s="109"/>
      <c r="L79" s="110"/>
      <c r="M79" s="111"/>
      <c r="N79" s="115"/>
      <c r="O79" s="116"/>
      <c r="P79" s="116"/>
      <c r="Q79" s="116"/>
      <c r="R79" s="116"/>
      <c r="S79" s="116"/>
      <c r="T79" s="116"/>
      <c r="U79" s="116"/>
      <c r="V79" s="116"/>
      <c r="W79" s="116"/>
      <c r="X79" s="116"/>
      <c r="Y79" s="116"/>
      <c r="Z79" s="116"/>
      <c r="AA79" s="116"/>
      <c r="AB79" s="116"/>
      <c r="AC79" s="116"/>
      <c r="AD79" s="116"/>
      <c r="AE79" s="116"/>
      <c r="AF79" s="116"/>
      <c r="AG79" s="116"/>
      <c r="AH79" s="116"/>
      <c r="AI79" s="116"/>
      <c r="AJ79" s="116"/>
      <c r="AK79" s="116"/>
      <c r="AL79" s="116"/>
      <c r="AM79" s="116"/>
      <c r="AN79" s="116"/>
      <c r="AO79" s="116"/>
      <c r="AP79" s="116"/>
      <c r="AQ79" s="116"/>
      <c r="AR79" s="116"/>
      <c r="AS79" s="116"/>
      <c r="AT79" s="116"/>
      <c r="AU79" s="116"/>
      <c r="AV79" s="116"/>
      <c r="AW79" s="116"/>
      <c r="AX79" s="116"/>
      <c r="AY79" s="116"/>
      <c r="AZ79" s="116"/>
      <c r="BA79" s="116"/>
      <c r="BB79" s="116"/>
      <c r="BC79" s="116"/>
      <c r="BD79" s="116"/>
      <c r="BE79" s="116"/>
      <c r="BF79" s="116"/>
      <c r="BG79" s="116"/>
      <c r="BH79" s="116"/>
      <c r="BI79" s="116"/>
      <c r="BJ79" s="116"/>
      <c r="BK79" s="116"/>
      <c r="BL79" s="116"/>
      <c r="BM79" s="116"/>
      <c r="BN79" s="116"/>
      <c r="BO79" s="116"/>
      <c r="BP79" s="116"/>
      <c r="BQ79" s="116"/>
      <c r="BR79" s="116"/>
      <c r="BS79" s="116"/>
      <c r="BT79" s="116"/>
      <c r="BU79" s="116"/>
      <c r="BV79" s="116"/>
      <c r="BW79" s="116"/>
      <c r="BX79" s="116"/>
      <c r="BY79" s="116"/>
      <c r="BZ79" s="116"/>
      <c r="CA79" s="116"/>
      <c r="CB79" s="116"/>
      <c r="CC79" s="116"/>
      <c r="CD79" s="116"/>
      <c r="CE79" s="116"/>
      <c r="CF79" s="116"/>
      <c r="CG79" s="116"/>
      <c r="CH79" s="117"/>
    </row>
    <row r="80" spans="1:86" x14ac:dyDescent="0.2">
      <c r="A80" s="105"/>
      <c r="B80" s="105"/>
      <c r="C80" s="56"/>
      <c r="D80" s="57"/>
      <c r="E80" s="58"/>
      <c r="F80" s="58"/>
      <c r="G80" s="59"/>
      <c r="H80" s="106"/>
      <c r="I80" s="107"/>
      <c r="J80" s="108"/>
      <c r="K80" s="109"/>
      <c r="L80" s="110"/>
      <c r="M80" s="111"/>
      <c r="N80" s="115"/>
      <c r="O80" s="116"/>
      <c r="P80" s="116"/>
      <c r="Q80" s="116"/>
      <c r="R80" s="116"/>
      <c r="S80" s="116"/>
      <c r="T80" s="116"/>
      <c r="U80" s="116"/>
      <c r="V80" s="116"/>
      <c r="W80" s="116"/>
      <c r="X80" s="116"/>
      <c r="Y80" s="116"/>
      <c r="Z80" s="116"/>
      <c r="AA80" s="116"/>
      <c r="AB80" s="116"/>
      <c r="AC80" s="116"/>
      <c r="AD80" s="116"/>
      <c r="AE80" s="116"/>
      <c r="AF80" s="116"/>
      <c r="AG80" s="116"/>
      <c r="AH80" s="116"/>
      <c r="AI80" s="116"/>
      <c r="AJ80" s="116"/>
      <c r="AK80" s="116"/>
      <c r="AL80" s="116"/>
      <c r="AM80" s="116"/>
      <c r="AN80" s="116"/>
      <c r="AO80" s="116"/>
      <c r="AP80" s="116"/>
      <c r="AQ80" s="116"/>
      <c r="AR80" s="116"/>
      <c r="AS80" s="116"/>
      <c r="AT80" s="116"/>
      <c r="AU80" s="116"/>
      <c r="AV80" s="116"/>
      <c r="AW80" s="116"/>
      <c r="AX80" s="116"/>
      <c r="AY80" s="116"/>
      <c r="AZ80" s="116"/>
      <c r="BA80" s="116"/>
      <c r="BB80" s="116"/>
      <c r="BC80" s="116"/>
      <c r="BD80" s="116"/>
      <c r="BE80" s="116"/>
      <c r="BF80" s="116"/>
      <c r="BG80" s="116"/>
      <c r="BH80" s="116"/>
      <c r="BI80" s="116"/>
      <c r="BJ80" s="116"/>
      <c r="BK80" s="116"/>
      <c r="BL80" s="116"/>
      <c r="BM80" s="116"/>
      <c r="BN80" s="116"/>
      <c r="BO80" s="116"/>
      <c r="BP80" s="116"/>
      <c r="BQ80" s="116"/>
      <c r="BR80" s="116"/>
      <c r="BS80" s="116"/>
      <c r="BT80" s="116"/>
      <c r="BU80" s="116"/>
      <c r="BV80" s="116"/>
      <c r="BW80" s="116"/>
      <c r="BX80" s="116"/>
      <c r="BY80" s="116"/>
      <c r="BZ80" s="116"/>
      <c r="CA80" s="116"/>
      <c r="CB80" s="116"/>
      <c r="CC80" s="116"/>
      <c r="CD80" s="116"/>
      <c r="CE80" s="116"/>
      <c r="CF80" s="116"/>
      <c r="CG80" s="116"/>
      <c r="CH80" s="117"/>
    </row>
    <row r="81" spans="1:86" x14ac:dyDescent="0.2">
      <c r="A81" s="105"/>
      <c r="B81" s="105"/>
      <c r="C81" s="56"/>
      <c r="D81" s="57"/>
      <c r="E81" s="58"/>
      <c r="F81" s="58"/>
      <c r="G81" s="59"/>
      <c r="H81" s="106"/>
      <c r="I81" s="131"/>
      <c r="J81" s="132"/>
      <c r="K81" s="109"/>
      <c r="L81" s="110"/>
      <c r="M81" s="111"/>
      <c r="N81" s="115"/>
      <c r="O81" s="116"/>
      <c r="P81" s="116"/>
      <c r="Q81" s="116"/>
      <c r="R81" s="116"/>
      <c r="S81" s="116"/>
      <c r="T81" s="116"/>
      <c r="U81" s="116"/>
      <c r="V81" s="116"/>
      <c r="W81" s="116"/>
      <c r="X81" s="116"/>
      <c r="Y81" s="116"/>
      <c r="Z81" s="116"/>
      <c r="AA81" s="116"/>
      <c r="AB81" s="116"/>
      <c r="AC81" s="116"/>
      <c r="AD81" s="116"/>
      <c r="AE81" s="116"/>
      <c r="AF81" s="116"/>
      <c r="AG81" s="116"/>
      <c r="AH81" s="116"/>
      <c r="AI81" s="116"/>
      <c r="AJ81" s="116"/>
      <c r="AK81" s="116"/>
      <c r="AL81" s="116"/>
      <c r="AM81" s="116"/>
      <c r="AN81" s="116"/>
      <c r="AO81" s="116"/>
      <c r="AP81" s="116"/>
      <c r="AQ81" s="116"/>
      <c r="AR81" s="116"/>
      <c r="AS81" s="116"/>
      <c r="AT81" s="116"/>
      <c r="AU81" s="116"/>
      <c r="AV81" s="116"/>
      <c r="AW81" s="116"/>
      <c r="AX81" s="116"/>
      <c r="AY81" s="116"/>
      <c r="AZ81" s="116"/>
      <c r="BA81" s="116"/>
      <c r="BB81" s="116"/>
      <c r="BC81" s="116"/>
      <c r="BD81" s="116"/>
      <c r="BE81" s="116"/>
      <c r="BF81" s="116"/>
      <c r="BG81" s="116"/>
      <c r="BH81" s="116"/>
      <c r="BI81" s="116"/>
      <c r="BJ81" s="116"/>
      <c r="BK81" s="116"/>
      <c r="BL81" s="116"/>
      <c r="BM81" s="116"/>
      <c r="BN81" s="116"/>
      <c r="BO81" s="116"/>
      <c r="BP81" s="116"/>
      <c r="BQ81" s="116"/>
      <c r="BR81" s="116"/>
      <c r="BS81" s="116"/>
      <c r="BT81" s="116"/>
      <c r="BU81" s="116"/>
      <c r="BV81" s="116"/>
      <c r="BW81" s="116"/>
      <c r="BX81" s="116"/>
      <c r="BY81" s="116"/>
      <c r="BZ81" s="116"/>
      <c r="CA81" s="116"/>
      <c r="CB81" s="116"/>
      <c r="CC81" s="116"/>
      <c r="CD81" s="116"/>
      <c r="CE81" s="116"/>
      <c r="CF81" s="116"/>
      <c r="CG81" s="116"/>
      <c r="CH81" s="117"/>
    </row>
    <row r="82" spans="1:86" x14ac:dyDescent="0.2">
      <c r="A82" s="105"/>
      <c r="B82" s="105"/>
      <c r="C82" s="56"/>
      <c r="D82" s="57"/>
      <c r="E82" s="58"/>
      <c r="F82" s="58"/>
      <c r="G82" s="59"/>
      <c r="H82" s="106"/>
      <c r="I82" s="107"/>
      <c r="J82" s="108"/>
      <c r="K82" s="109"/>
      <c r="L82" s="110"/>
      <c r="M82" s="111"/>
      <c r="N82" s="115"/>
      <c r="O82" s="116"/>
      <c r="P82" s="116"/>
      <c r="Q82" s="116"/>
      <c r="R82" s="116"/>
      <c r="S82" s="116"/>
      <c r="T82" s="116"/>
      <c r="U82" s="116"/>
      <c r="V82" s="116"/>
      <c r="W82" s="116"/>
      <c r="X82" s="116"/>
      <c r="Y82" s="116"/>
      <c r="Z82" s="116"/>
      <c r="AA82" s="116"/>
      <c r="AB82" s="116"/>
      <c r="AC82" s="116"/>
      <c r="AD82" s="116"/>
      <c r="AE82" s="116"/>
      <c r="AF82" s="116"/>
      <c r="AG82" s="116"/>
      <c r="AH82" s="116"/>
      <c r="AI82" s="116"/>
      <c r="AJ82" s="116"/>
      <c r="AK82" s="116"/>
      <c r="AL82" s="116"/>
      <c r="AM82" s="116"/>
      <c r="AN82" s="116"/>
      <c r="AO82" s="116"/>
      <c r="AP82" s="116"/>
      <c r="AQ82" s="116"/>
      <c r="AR82" s="116"/>
      <c r="AS82" s="116"/>
      <c r="AT82" s="116"/>
      <c r="AU82" s="116"/>
      <c r="AV82" s="116"/>
      <c r="AW82" s="116"/>
      <c r="AX82" s="116"/>
      <c r="AY82" s="116"/>
      <c r="AZ82" s="116"/>
      <c r="BA82" s="116"/>
      <c r="BB82" s="116"/>
      <c r="BC82" s="116"/>
      <c r="BD82" s="116"/>
      <c r="BE82" s="116"/>
      <c r="BF82" s="116"/>
      <c r="BG82" s="116"/>
      <c r="BH82" s="116"/>
      <c r="BI82" s="116"/>
      <c r="BJ82" s="116"/>
      <c r="BK82" s="116"/>
      <c r="BL82" s="116"/>
      <c r="BM82" s="116"/>
      <c r="BN82" s="116"/>
      <c r="BO82" s="116"/>
      <c r="BP82" s="116"/>
      <c r="BQ82" s="116"/>
      <c r="BR82" s="116"/>
      <c r="BS82" s="116"/>
      <c r="BT82" s="116"/>
      <c r="BU82" s="116"/>
      <c r="BV82" s="116"/>
      <c r="BW82" s="116"/>
      <c r="BX82" s="116"/>
      <c r="BY82" s="116"/>
      <c r="BZ82" s="116"/>
      <c r="CA82" s="116"/>
      <c r="CB82" s="116"/>
      <c r="CC82" s="116"/>
      <c r="CD82" s="116"/>
      <c r="CE82" s="116"/>
      <c r="CF82" s="116"/>
      <c r="CG82" s="116"/>
      <c r="CH82" s="117"/>
    </row>
    <row r="83" spans="1:86" x14ac:dyDescent="0.2">
      <c r="A83" s="105"/>
      <c r="B83" s="105"/>
      <c r="C83" s="56"/>
      <c r="D83" s="57"/>
      <c r="E83" s="58"/>
      <c r="F83" s="58"/>
      <c r="G83" s="59"/>
      <c r="H83" s="106"/>
      <c r="I83" s="107"/>
      <c r="J83" s="108"/>
      <c r="K83" s="109"/>
      <c r="L83" s="110"/>
      <c r="M83" s="111"/>
      <c r="N83" s="115"/>
      <c r="O83" s="116"/>
      <c r="P83" s="116"/>
      <c r="Q83" s="116"/>
      <c r="R83" s="116"/>
      <c r="S83" s="116"/>
      <c r="T83" s="116"/>
      <c r="U83" s="116"/>
      <c r="V83" s="116"/>
      <c r="W83" s="116"/>
      <c r="X83" s="116"/>
      <c r="Y83" s="116"/>
      <c r="Z83" s="116"/>
      <c r="AA83" s="116"/>
      <c r="AB83" s="116"/>
      <c r="AC83" s="116"/>
      <c r="AD83" s="116"/>
      <c r="AE83" s="116"/>
      <c r="AF83" s="116"/>
      <c r="AG83" s="116"/>
      <c r="AH83" s="116"/>
      <c r="AI83" s="116"/>
      <c r="AJ83" s="116"/>
      <c r="AK83" s="116"/>
      <c r="AL83" s="116"/>
      <c r="AM83" s="116"/>
      <c r="AN83" s="116"/>
      <c r="AO83" s="116"/>
      <c r="AP83" s="116"/>
      <c r="AQ83" s="116"/>
      <c r="AR83" s="116"/>
      <c r="AS83" s="116"/>
      <c r="AT83" s="116"/>
      <c r="AU83" s="116"/>
      <c r="AV83" s="116"/>
      <c r="AW83" s="116"/>
      <c r="AX83" s="116"/>
      <c r="AY83" s="116"/>
      <c r="AZ83" s="116"/>
      <c r="BA83" s="116"/>
      <c r="BB83" s="116"/>
      <c r="BC83" s="116"/>
      <c r="BD83" s="116"/>
      <c r="BE83" s="116"/>
      <c r="BF83" s="116"/>
      <c r="BG83" s="116"/>
      <c r="BH83" s="116"/>
      <c r="BI83" s="116"/>
      <c r="BJ83" s="116"/>
      <c r="BK83" s="116"/>
      <c r="BL83" s="116"/>
      <c r="BM83" s="116"/>
      <c r="BN83" s="116"/>
      <c r="BO83" s="116"/>
      <c r="BP83" s="116"/>
      <c r="BQ83" s="116"/>
      <c r="BR83" s="116"/>
      <c r="BS83" s="116"/>
      <c r="BT83" s="116"/>
      <c r="BU83" s="116"/>
      <c r="BV83" s="116"/>
      <c r="BW83" s="116"/>
      <c r="BX83" s="116"/>
      <c r="BY83" s="116"/>
      <c r="BZ83" s="116"/>
      <c r="CA83" s="116"/>
      <c r="CB83" s="116"/>
      <c r="CC83" s="116"/>
      <c r="CD83" s="116"/>
      <c r="CE83" s="116"/>
      <c r="CF83" s="116"/>
      <c r="CG83" s="116"/>
      <c r="CH83" s="117"/>
    </row>
    <row r="84" spans="1:86" x14ac:dyDescent="0.2">
      <c r="A84" s="105"/>
      <c r="B84" s="105"/>
      <c r="C84" s="56"/>
      <c r="D84" s="57"/>
      <c r="E84" s="58"/>
      <c r="F84" s="58"/>
      <c r="G84" s="59"/>
      <c r="H84" s="106"/>
      <c r="I84" s="107"/>
      <c r="J84" s="108"/>
      <c r="K84" s="109"/>
      <c r="L84" s="110"/>
      <c r="M84" s="111"/>
      <c r="N84" s="115"/>
      <c r="O84" s="116"/>
      <c r="P84" s="116"/>
      <c r="Q84" s="116"/>
      <c r="R84" s="116"/>
      <c r="S84" s="116"/>
      <c r="T84" s="116"/>
      <c r="U84" s="116"/>
      <c r="V84" s="116"/>
      <c r="W84" s="116"/>
      <c r="X84" s="116"/>
      <c r="Y84" s="116"/>
      <c r="Z84" s="116"/>
      <c r="AA84" s="116"/>
      <c r="AB84" s="116"/>
      <c r="AC84" s="116"/>
      <c r="AD84" s="116"/>
      <c r="AE84" s="116"/>
      <c r="AF84" s="116"/>
      <c r="AG84" s="116"/>
      <c r="AH84" s="116"/>
      <c r="AI84" s="116"/>
      <c r="AJ84" s="116"/>
      <c r="AK84" s="116"/>
      <c r="AL84" s="116"/>
      <c r="AM84" s="116"/>
      <c r="AN84" s="116"/>
      <c r="AO84" s="116"/>
      <c r="AP84" s="116"/>
      <c r="AQ84" s="116"/>
      <c r="AR84" s="116"/>
      <c r="AS84" s="116"/>
      <c r="AT84" s="116"/>
      <c r="AU84" s="116"/>
      <c r="AV84" s="116"/>
      <c r="AW84" s="116"/>
      <c r="AX84" s="116"/>
      <c r="AY84" s="116"/>
      <c r="AZ84" s="116"/>
      <c r="BA84" s="116"/>
      <c r="BB84" s="116"/>
      <c r="BC84" s="116"/>
      <c r="BD84" s="116"/>
      <c r="BE84" s="116"/>
      <c r="BF84" s="116"/>
      <c r="BG84" s="116"/>
      <c r="BH84" s="116"/>
      <c r="BI84" s="116"/>
      <c r="BJ84" s="116"/>
      <c r="BK84" s="116"/>
      <c r="BL84" s="116"/>
      <c r="BM84" s="116"/>
      <c r="BN84" s="116"/>
      <c r="BO84" s="116"/>
      <c r="BP84" s="116"/>
      <c r="BQ84" s="116"/>
      <c r="BR84" s="116"/>
      <c r="BS84" s="116"/>
      <c r="BT84" s="116"/>
      <c r="BU84" s="116"/>
      <c r="BV84" s="116"/>
      <c r="BW84" s="116"/>
      <c r="BX84" s="116"/>
      <c r="BY84" s="116"/>
      <c r="BZ84" s="116"/>
      <c r="CA84" s="116"/>
      <c r="CB84" s="116"/>
      <c r="CC84" s="116"/>
      <c r="CD84" s="116"/>
      <c r="CE84" s="116"/>
      <c r="CF84" s="116"/>
      <c r="CG84" s="116"/>
      <c r="CH84" s="117"/>
    </row>
    <row r="85" spans="1:86" x14ac:dyDescent="0.2">
      <c r="A85" s="105"/>
      <c r="B85" s="105"/>
      <c r="C85" s="56"/>
      <c r="D85" s="57"/>
      <c r="E85" s="58"/>
      <c r="F85" s="58"/>
      <c r="G85" s="59"/>
      <c r="H85" s="106"/>
      <c r="I85" s="107"/>
      <c r="J85" s="108"/>
      <c r="K85" s="109"/>
      <c r="L85" s="110"/>
      <c r="M85" s="111"/>
      <c r="N85" s="115"/>
      <c r="O85" s="116"/>
      <c r="P85" s="116"/>
      <c r="Q85" s="116"/>
      <c r="R85" s="116"/>
      <c r="S85" s="116"/>
      <c r="T85" s="116"/>
      <c r="U85" s="116"/>
      <c r="V85" s="116"/>
      <c r="W85" s="116"/>
      <c r="X85" s="116"/>
      <c r="Y85" s="116"/>
      <c r="Z85" s="116"/>
      <c r="AA85" s="116"/>
      <c r="AB85" s="116"/>
      <c r="AC85" s="116"/>
      <c r="AD85" s="116"/>
      <c r="AE85" s="116"/>
      <c r="AF85" s="116"/>
      <c r="AG85" s="116"/>
      <c r="AH85" s="116"/>
      <c r="AI85" s="116"/>
      <c r="AJ85" s="116"/>
      <c r="AK85" s="116"/>
      <c r="AL85" s="116"/>
      <c r="AM85" s="116"/>
      <c r="AN85" s="116"/>
      <c r="AO85" s="116"/>
      <c r="AP85" s="116"/>
      <c r="AQ85" s="116"/>
      <c r="AR85" s="116"/>
      <c r="AS85" s="116"/>
      <c r="AT85" s="116"/>
      <c r="AU85" s="116"/>
      <c r="AV85" s="116"/>
      <c r="AW85" s="116"/>
      <c r="AX85" s="116"/>
      <c r="AY85" s="116"/>
      <c r="AZ85" s="116"/>
      <c r="BA85" s="116"/>
      <c r="BB85" s="116"/>
      <c r="BC85" s="116"/>
      <c r="BD85" s="116"/>
      <c r="BE85" s="116"/>
      <c r="BF85" s="116"/>
      <c r="BG85" s="116"/>
      <c r="BH85" s="116"/>
      <c r="BI85" s="116"/>
      <c r="BJ85" s="116"/>
      <c r="BK85" s="116"/>
      <c r="BL85" s="116"/>
      <c r="BM85" s="116"/>
      <c r="BN85" s="116"/>
      <c r="BO85" s="116"/>
      <c r="BP85" s="116"/>
      <c r="BQ85" s="116"/>
      <c r="BR85" s="116"/>
      <c r="BS85" s="116"/>
      <c r="BT85" s="116"/>
      <c r="BU85" s="116"/>
      <c r="BV85" s="116"/>
      <c r="BW85" s="116"/>
      <c r="BX85" s="116"/>
      <c r="BY85" s="116"/>
      <c r="BZ85" s="116"/>
      <c r="CA85" s="116"/>
      <c r="CB85" s="116"/>
      <c r="CC85" s="116"/>
      <c r="CD85" s="116"/>
      <c r="CE85" s="116"/>
      <c r="CF85" s="116"/>
      <c r="CG85" s="116"/>
      <c r="CH85" s="117"/>
    </row>
    <row r="86" spans="1:86" x14ac:dyDescent="0.2">
      <c r="A86" s="105"/>
      <c r="B86" s="105"/>
      <c r="C86" s="56"/>
      <c r="D86" s="57"/>
      <c r="E86" s="58"/>
      <c r="F86" s="58"/>
      <c r="G86" s="59"/>
      <c r="H86" s="106"/>
      <c r="I86" s="107"/>
      <c r="J86" s="108"/>
      <c r="K86" s="109"/>
      <c r="L86" s="110"/>
      <c r="M86" s="111"/>
      <c r="N86" s="115"/>
      <c r="O86" s="116"/>
      <c r="P86" s="116"/>
      <c r="Q86" s="116"/>
      <c r="R86" s="116"/>
      <c r="S86" s="116"/>
      <c r="T86" s="116"/>
      <c r="U86" s="116"/>
      <c r="V86" s="116"/>
      <c r="W86" s="116"/>
      <c r="X86" s="116"/>
      <c r="Y86" s="116"/>
      <c r="Z86" s="116"/>
      <c r="AA86" s="116"/>
      <c r="AB86" s="116"/>
      <c r="AC86" s="116"/>
      <c r="AD86" s="116"/>
      <c r="AE86" s="116"/>
      <c r="AF86" s="116"/>
      <c r="AG86" s="116"/>
      <c r="AH86" s="116"/>
      <c r="AI86" s="116"/>
      <c r="AJ86" s="116"/>
      <c r="AK86" s="116"/>
      <c r="AL86" s="116"/>
      <c r="AM86" s="116"/>
      <c r="AN86" s="116"/>
      <c r="AO86" s="116"/>
      <c r="AP86" s="116"/>
      <c r="AQ86" s="116"/>
      <c r="AR86" s="116"/>
      <c r="AS86" s="116"/>
      <c r="AT86" s="116"/>
      <c r="AU86" s="116"/>
      <c r="AV86" s="116"/>
      <c r="AW86" s="116"/>
      <c r="AX86" s="116"/>
      <c r="AY86" s="116"/>
      <c r="AZ86" s="116"/>
      <c r="BA86" s="116"/>
      <c r="BB86" s="116"/>
      <c r="BC86" s="116"/>
      <c r="BD86" s="116"/>
      <c r="BE86" s="116"/>
      <c r="BF86" s="116"/>
      <c r="BG86" s="116"/>
      <c r="BH86" s="116"/>
      <c r="BI86" s="116"/>
      <c r="BJ86" s="116"/>
      <c r="BK86" s="116"/>
      <c r="BL86" s="116"/>
      <c r="BM86" s="116"/>
      <c r="BN86" s="116"/>
      <c r="BO86" s="116"/>
      <c r="BP86" s="116"/>
      <c r="BQ86" s="116"/>
      <c r="BR86" s="116"/>
      <c r="BS86" s="116"/>
      <c r="BT86" s="116"/>
      <c r="BU86" s="116"/>
      <c r="BV86" s="116"/>
      <c r="BW86" s="116"/>
      <c r="BX86" s="116"/>
      <c r="BY86" s="116"/>
      <c r="BZ86" s="116"/>
      <c r="CA86" s="116"/>
      <c r="CB86" s="116"/>
      <c r="CC86" s="116"/>
      <c r="CD86" s="116"/>
      <c r="CE86" s="116"/>
      <c r="CF86" s="116"/>
      <c r="CG86" s="116"/>
      <c r="CH86" s="117"/>
    </row>
    <row r="87" spans="1:86" x14ac:dyDescent="0.2">
      <c r="A87" s="105"/>
      <c r="B87" s="105"/>
      <c r="C87" s="56"/>
      <c r="D87" s="57"/>
      <c r="E87" s="58"/>
      <c r="F87" s="58"/>
      <c r="G87" s="59"/>
      <c r="H87" s="106"/>
      <c r="I87" s="107"/>
      <c r="J87" s="108"/>
      <c r="K87" s="109"/>
      <c r="L87" s="110"/>
      <c r="M87" s="111"/>
      <c r="N87" s="115"/>
      <c r="O87" s="116"/>
      <c r="P87" s="116"/>
      <c r="Q87" s="116"/>
      <c r="R87" s="116"/>
      <c r="S87" s="116"/>
      <c r="T87" s="116"/>
      <c r="U87" s="116"/>
      <c r="V87" s="116"/>
      <c r="W87" s="116"/>
      <c r="X87" s="116"/>
      <c r="Y87" s="116"/>
      <c r="Z87" s="116"/>
      <c r="AA87" s="116"/>
      <c r="AB87" s="116"/>
      <c r="AC87" s="116"/>
      <c r="AD87" s="116"/>
      <c r="AE87" s="116"/>
      <c r="AF87" s="116"/>
      <c r="AG87" s="116"/>
      <c r="AH87" s="116"/>
      <c r="AI87" s="116"/>
      <c r="AJ87" s="116"/>
      <c r="AK87" s="116"/>
      <c r="AL87" s="116"/>
      <c r="AM87" s="116"/>
      <c r="AN87" s="116"/>
      <c r="AO87" s="116"/>
      <c r="AP87" s="116"/>
      <c r="AQ87" s="116"/>
      <c r="AR87" s="116"/>
      <c r="AS87" s="116"/>
      <c r="AT87" s="116"/>
      <c r="AU87" s="116"/>
      <c r="AV87" s="116"/>
      <c r="AW87" s="116"/>
      <c r="AX87" s="116"/>
      <c r="AY87" s="116"/>
      <c r="AZ87" s="116"/>
      <c r="BA87" s="116"/>
      <c r="BB87" s="116"/>
      <c r="BC87" s="116"/>
      <c r="BD87" s="116"/>
      <c r="BE87" s="116"/>
      <c r="BF87" s="116"/>
      <c r="BG87" s="116"/>
      <c r="BH87" s="116"/>
      <c r="BI87" s="116"/>
      <c r="BJ87" s="116"/>
      <c r="BK87" s="116"/>
      <c r="BL87" s="116"/>
      <c r="BM87" s="116"/>
      <c r="BN87" s="116"/>
      <c r="BO87" s="116"/>
      <c r="BP87" s="116"/>
      <c r="BQ87" s="116"/>
      <c r="BR87" s="116"/>
      <c r="BS87" s="116"/>
      <c r="BT87" s="116"/>
      <c r="BU87" s="116"/>
      <c r="BV87" s="116"/>
      <c r="BW87" s="116"/>
      <c r="BX87" s="116"/>
      <c r="BY87" s="116"/>
      <c r="BZ87" s="116"/>
      <c r="CA87" s="116"/>
      <c r="CB87" s="116"/>
      <c r="CC87" s="116"/>
      <c r="CD87" s="116"/>
      <c r="CE87" s="116"/>
      <c r="CF87" s="116"/>
      <c r="CG87" s="116"/>
      <c r="CH87" s="117"/>
    </row>
    <row r="88" spans="1:86" x14ac:dyDescent="0.2">
      <c r="A88" s="105"/>
      <c r="B88" s="105"/>
      <c r="C88" s="56"/>
      <c r="D88" s="57"/>
      <c r="E88" s="58"/>
      <c r="F88" s="58"/>
      <c r="G88" s="59"/>
      <c r="H88" s="106"/>
      <c r="I88" s="107"/>
      <c r="J88" s="108"/>
      <c r="K88" s="109"/>
      <c r="L88" s="110"/>
      <c r="M88" s="111"/>
      <c r="N88" s="115"/>
      <c r="O88" s="116"/>
      <c r="P88" s="116"/>
      <c r="Q88" s="116"/>
      <c r="R88" s="116"/>
      <c r="S88" s="116"/>
      <c r="T88" s="116"/>
      <c r="U88" s="116"/>
      <c r="V88" s="116"/>
      <c r="W88" s="116"/>
      <c r="X88" s="116"/>
      <c r="Y88" s="116"/>
      <c r="Z88" s="116"/>
      <c r="AA88" s="116"/>
      <c r="AB88" s="116"/>
      <c r="AC88" s="116"/>
      <c r="AD88" s="116"/>
      <c r="AE88" s="116"/>
      <c r="AF88" s="116"/>
      <c r="AG88" s="116"/>
      <c r="AH88" s="116"/>
      <c r="AI88" s="116"/>
      <c r="AJ88" s="116"/>
      <c r="AK88" s="116"/>
      <c r="AL88" s="116"/>
      <c r="AM88" s="116"/>
      <c r="AN88" s="116"/>
      <c r="AO88" s="116"/>
      <c r="AP88" s="116"/>
      <c r="AQ88" s="116"/>
      <c r="AR88" s="116"/>
      <c r="AS88" s="116"/>
      <c r="AT88" s="116"/>
      <c r="AU88" s="116"/>
      <c r="AV88" s="116"/>
      <c r="AW88" s="116"/>
      <c r="AX88" s="116"/>
      <c r="AY88" s="116"/>
      <c r="AZ88" s="116"/>
      <c r="BA88" s="116"/>
      <c r="BB88" s="116"/>
      <c r="BC88" s="116"/>
      <c r="BD88" s="116"/>
      <c r="BE88" s="116"/>
      <c r="BF88" s="116"/>
      <c r="BG88" s="116"/>
      <c r="BH88" s="116"/>
      <c r="BI88" s="116"/>
      <c r="BJ88" s="116"/>
      <c r="BK88" s="116"/>
      <c r="BL88" s="116"/>
      <c r="BM88" s="116"/>
      <c r="BN88" s="116"/>
      <c r="BO88" s="116"/>
      <c r="BP88" s="116"/>
      <c r="BQ88" s="116"/>
      <c r="BR88" s="116"/>
      <c r="BS88" s="116"/>
      <c r="BT88" s="116"/>
      <c r="BU88" s="116"/>
      <c r="BV88" s="116"/>
      <c r="BW88" s="116"/>
      <c r="BX88" s="116"/>
      <c r="BY88" s="116"/>
      <c r="BZ88" s="116"/>
      <c r="CA88" s="116"/>
      <c r="CB88" s="116"/>
      <c r="CC88" s="116"/>
      <c r="CD88" s="116"/>
      <c r="CE88" s="116"/>
      <c r="CF88" s="116"/>
      <c r="CG88" s="116"/>
      <c r="CH88" s="117"/>
    </row>
    <row r="89" spans="1:86" x14ac:dyDescent="0.2">
      <c r="A89" s="105"/>
      <c r="B89" s="105"/>
      <c r="C89" s="56"/>
      <c r="D89" s="57"/>
      <c r="E89" s="58"/>
      <c r="F89" s="58"/>
      <c r="G89" s="59"/>
      <c r="H89" s="106"/>
      <c r="I89" s="107"/>
      <c r="J89" s="108"/>
      <c r="K89" s="109"/>
      <c r="L89" s="121"/>
      <c r="M89" s="122"/>
      <c r="N89" s="115"/>
      <c r="O89" s="116"/>
      <c r="P89" s="116"/>
      <c r="Q89" s="116"/>
      <c r="R89" s="116"/>
      <c r="S89" s="116"/>
      <c r="T89" s="116"/>
      <c r="U89" s="116"/>
      <c r="V89" s="116"/>
      <c r="W89" s="116"/>
      <c r="X89" s="116"/>
      <c r="Y89" s="116"/>
      <c r="Z89" s="116"/>
      <c r="AA89" s="116"/>
      <c r="AB89" s="116"/>
      <c r="AC89" s="116"/>
      <c r="AD89" s="116"/>
      <c r="AE89" s="116"/>
      <c r="AF89" s="116"/>
      <c r="AG89" s="116"/>
      <c r="AH89" s="116"/>
      <c r="AI89" s="116"/>
      <c r="AJ89" s="116"/>
      <c r="AK89" s="116"/>
      <c r="AL89" s="116"/>
      <c r="AM89" s="116"/>
      <c r="AN89" s="116"/>
      <c r="AO89" s="116"/>
      <c r="AP89" s="116"/>
      <c r="AQ89" s="116"/>
      <c r="AR89" s="116"/>
      <c r="AS89" s="116"/>
      <c r="AT89" s="116"/>
      <c r="AU89" s="116"/>
      <c r="AV89" s="116"/>
      <c r="AW89" s="116"/>
      <c r="AX89" s="116"/>
      <c r="AY89" s="116"/>
      <c r="AZ89" s="116"/>
      <c r="BA89" s="116"/>
      <c r="BB89" s="116"/>
      <c r="BC89" s="116"/>
      <c r="BD89" s="116"/>
      <c r="BE89" s="116"/>
      <c r="BF89" s="116"/>
      <c r="BG89" s="116"/>
      <c r="BH89" s="116"/>
      <c r="BI89" s="116"/>
      <c r="BJ89" s="116"/>
      <c r="BK89" s="116"/>
      <c r="BL89" s="116"/>
      <c r="BM89" s="116"/>
      <c r="BN89" s="116"/>
      <c r="BO89" s="116"/>
      <c r="BP89" s="116"/>
      <c r="BQ89" s="116"/>
      <c r="BR89" s="116"/>
      <c r="BS89" s="116"/>
      <c r="BT89" s="116"/>
      <c r="BU89" s="116"/>
      <c r="BV89" s="116"/>
      <c r="BW89" s="116"/>
      <c r="BX89" s="116"/>
      <c r="BY89" s="116"/>
      <c r="BZ89" s="116"/>
      <c r="CA89" s="116"/>
      <c r="CB89" s="116"/>
      <c r="CC89" s="116"/>
      <c r="CD89" s="116"/>
      <c r="CE89" s="116"/>
      <c r="CF89" s="116"/>
      <c r="CG89" s="116"/>
      <c r="CH89" s="117"/>
    </row>
    <row r="90" spans="1:86" x14ac:dyDescent="0.2">
      <c r="A90" s="105"/>
      <c r="B90" s="105"/>
      <c r="C90" s="56"/>
      <c r="D90" s="57"/>
      <c r="E90" s="58"/>
      <c r="F90" s="58"/>
      <c r="G90" s="59"/>
      <c r="H90" s="106"/>
      <c r="I90" s="107"/>
      <c r="J90" s="108"/>
      <c r="K90" s="109"/>
      <c r="L90" s="129"/>
      <c r="M90" s="111"/>
      <c r="N90" s="115"/>
      <c r="O90" s="116"/>
      <c r="P90" s="116"/>
      <c r="Q90" s="116"/>
      <c r="R90" s="116"/>
      <c r="S90" s="116"/>
      <c r="T90" s="116"/>
      <c r="U90" s="116"/>
      <c r="V90" s="116"/>
      <c r="W90" s="116"/>
      <c r="X90" s="116"/>
      <c r="Y90" s="116"/>
      <c r="Z90" s="116"/>
      <c r="AA90" s="116"/>
      <c r="AB90" s="116"/>
      <c r="AC90" s="116"/>
      <c r="AD90" s="116"/>
      <c r="AE90" s="116"/>
      <c r="AF90" s="116"/>
      <c r="AG90" s="116"/>
      <c r="AH90" s="116"/>
      <c r="AI90" s="116"/>
      <c r="AJ90" s="116"/>
      <c r="AK90" s="116"/>
      <c r="AL90" s="116"/>
      <c r="AM90" s="116"/>
      <c r="AN90" s="116"/>
      <c r="AO90" s="116"/>
      <c r="AP90" s="116"/>
      <c r="AQ90" s="116"/>
      <c r="AR90" s="116"/>
      <c r="AS90" s="116"/>
      <c r="AT90" s="116"/>
      <c r="AU90" s="116"/>
      <c r="AV90" s="116"/>
      <c r="AW90" s="116"/>
      <c r="AX90" s="116"/>
      <c r="AY90" s="116"/>
      <c r="AZ90" s="116"/>
      <c r="BA90" s="116"/>
      <c r="BB90" s="116"/>
      <c r="BC90" s="116"/>
      <c r="BD90" s="116"/>
      <c r="BE90" s="116"/>
      <c r="BF90" s="116"/>
      <c r="BG90" s="116"/>
      <c r="BH90" s="116"/>
      <c r="BI90" s="116"/>
      <c r="BJ90" s="116"/>
      <c r="BK90" s="116"/>
      <c r="BL90" s="116"/>
      <c r="BM90" s="116"/>
      <c r="BN90" s="116"/>
      <c r="BO90" s="116"/>
      <c r="BP90" s="116"/>
      <c r="BQ90" s="116"/>
      <c r="BR90" s="116"/>
      <c r="BS90" s="116"/>
      <c r="BT90" s="116"/>
      <c r="BU90" s="116"/>
      <c r="BV90" s="116"/>
      <c r="BW90" s="116"/>
      <c r="BX90" s="116"/>
      <c r="BY90" s="116"/>
      <c r="BZ90" s="116"/>
      <c r="CA90" s="116"/>
      <c r="CB90" s="116"/>
      <c r="CC90" s="116"/>
      <c r="CD90" s="116"/>
      <c r="CE90" s="116"/>
      <c r="CF90" s="116"/>
      <c r="CG90" s="116"/>
      <c r="CH90" s="117"/>
    </row>
    <row r="91" spans="1:86" x14ac:dyDescent="0.2">
      <c r="A91" s="105"/>
      <c r="B91" s="105"/>
      <c r="C91" s="56"/>
      <c r="D91" s="57"/>
      <c r="E91" s="58"/>
      <c r="F91" s="58"/>
      <c r="G91" s="59"/>
      <c r="H91" s="106"/>
      <c r="I91" s="107"/>
      <c r="J91" s="108"/>
      <c r="K91" s="109"/>
      <c r="L91" s="129"/>
      <c r="M91" s="111"/>
      <c r="N91" s="115"/>
      <c r="O91" s="116"/>
      <c r="P91" s="116"/>
      <c r="Q91" s="116"/>
      <c r="R91" s="116"/>
      <c r="S91" s="116"/>
      <c r="T91" s="116"/>
      <c r="U91" s="116"/>
      <c r="V91" s="116"/>
      <c r="W91" s="116"/>
      <c r="X91" s="116"/>
      <c r="Y91" s="116"/>
      <c r="Z91" s="116"/>
      <c r="AA91" s="116"/>
      <c r="AB91" s="116"/>
      <c r="AC91" s="116"/>
      <c r="AD91" s="116"/>
      <c r="AE91" s="116"/>
      <c r="AF91" s="116"/>
      <c r="AG91" s="116"/>
      <c r="AH91" s="116"/>
      <c r="AI91" s="116"/>
      <c r="AJ91" s="116"/>
      <c r="AK91" s="116"/>
      <c r="AL91" s="116"/>
      <c r="AM91" s="116"/>
      <c r="AN91" s="116"/>
      <c r="AO91" s="116"/>
      <c r="AP91" s="116"/>
      <c r="AQ91" s="116"/>
      <c r="AR91" s="116"/>
      <c r="AS91" s="116"/>
      <c r="AT91" s="116"/>
      <c r="AU91" s="116"/>
      <c r="AV91" s="116"/>
      <c r="AW91" s="116"/>
      <c r="AX91" s="116"/>
      <c r="AY91" s="116"/>
      <c r="AZ91" s="116"/>
      <c r="BA91" s="116"/>
      <c r="BB91" s="116"/>
      <c r="BC91" s="116"/>
      <c r="BD91" s="116"/>
      <c r="BE91" s="116"/>
      <c r="BF91" s="116"/>
      <c r="BG91" s="116"/>
      <c r="BH91" s="116"/>
      <c r="BI91" s="116"/>
      <c r="BJ91" s="116"/>
      <c r="BK91" s="116"/>
      <c r="BL91" s="116"/>
      <c r="BM91" s="116"/>
      <c r="BN91" s="116"/>
      <c r="BO91" s="116"/>
      <c r="BP91" s="116"/>
      <c r="BQ91" s="116"/>
      <c r="BR91" s="116"/>
      <c r="BS91" s="116"/>
      <c r="BT91" s="116"/>
      <c r="BU91" s="116"/>
      <c r="BV91" s="116"/>
      <c r="BW91" s="116"/>
      <c r="BX91" s="116"/>
      <c r="BY91" s="116"/>
      <c r="BZ91" s="116"/>
      <c r="CA91" s="116"/>
      <c r="CB91" s="116"/>
      <c r="CC91" s="116"/>
      <c r="CD91" s="116"/>
      <c r="CE91" s="116"/>
      <c r="CF91" s="116"/>
      <c r="CG91" s="116"/>
      <c r="CH91" s="117"/>
    </row>
    <row r="92" spans="1:86" x14ac:dyDescent="0.2">
      <c r="A92" s="105"/>
      <c r="B92" s="105"/>
      <c r="C92" s="56"/>
      <c r="D92" s="57"/>
      <c r="E92" s="58"/>
      <c r="F92" s="58"/>
      <c r="G92" s="59"/>
      <c r="H92" s="106"/>
      <c r="I92" s="107"/>
      <c r="J92" s="108"/>
      <c r="K92" s="109"/>
      <c r="L92" s="110"/>
      <c r="M92" s="111"/>
      <c r="N92" s="115"/>
      <c r="O92" s="116"/>
      <c r="P92" s="116"/>
      <c r="Q92" s="116"/>
      <c r="R92" s="116"/>
      <c r="S92" s="116"/>
      <c r="T92" s="116"/>
      <c r="U92" s="116"/>
      <c r="V92" s="116"/>
      <c r="W92" s="116"/>
      <c r="X92" s="116"/>
      <c r="Y92" s="116"/>
      <c r="Z92" s="116"/>
      <c r="AA92" s="116"/>
      <c r="AB92" s="116"/>
      <c r="AC92" s="116"/>
      <c r="AD92" s="116"/>
      <c r="AE92" s="116"/>
      <c r="AF92" s="116"/>
      <c r="AG92" s="116"/>
      <c r="AH92" s="116"/>
      <c r="AI92" s="116"/>
      <c r="AJ92" s="116"/>
      <c r="AK92" s="116"/>
      <c r="AL92" s="116"/>
      <c r="AM92" s="116"/>
      <c r="AN92" s="116"/>
      <c r="AO92" s="116"/>
      <c r="AP92" s="116"/>
      <c r="AQ92" s="116"/>
      <c r="AR92" s="116"/>
      <c r="AS92" s="116"/>
      <c r="AT92" s="116"/>
      <c r="AU92" s="116"/>
      <c r="AV92" s="116"/>
      <c r="AW92" s="116"/>
      <c r="AX92" s="116"/>
      <c r="AY92" s="116"/>
      <c r="AZ92" s="116"/>
      <c r="BA92" s="116"/>
      <c r="BB92" s="116"/>
      <c r="BC92" s="116"/>
      <c r="BD92" s="116"/>
      <c r="BE92" s="116"/>
      <c r="BF92" s="116"/>
      <c r="BG92" s="116"/>
      <c r="BH92" s="116"/>
      <c r="BI92" s="116"/>
      <c r="BJ92" s="116"/>
      <c r="BK92" s="116"/>
      <c r="BL92" s="116"/>
      <c r="BM92" s="116"/>
      <c r="BN92" s="116"/>
      <c r="BO92" s="116"/>
      <c r="BP92" s="116"/>
      <c r="BQ92" s="116"/>
      <c r="BR92" s="116"/>
      <c r="BS92" s="116"/>
      <c r="BT92" s="116"/>
      <c r="BU92" s="116"/>
      <c r="BV92" s="116"/>
      <c r="BW92" s="116"/>
      <c r="BX92" s="116"/>
      <c r="BY92" s="116"/>
      <c r="BZ92" s="116"/>
      <c r="CA92" s="116"/>
      <c r="CB92" s="116"/>
      <c r="CC92" s="116"/>
      <c r="CD92" s="116"/>
      <c r="CE92" s="116"/>
      <c r="CF92" s="116"/>
      <c r="CG92" s="116"/>
      <c r="CH92" s="117"/>
    </row>
    <row r="93" spans="1:86" ht="77.25" customHeight="1" x14ac:dyDescent="0.2">
      <c r="A93" s="105"/>
      <c r="B93" s="105"/>
      <c r="C93" s="56"/>
      <c r="D93" s="57"/>
      <c r="E93" s="58"/>
      <c r="F93" s="58"/>
      <c r="G93" s="59"/>
      <c r="H93" s="106"/>
      <c r="I93" s="107"/>
      <c r="J93" s="108"/>
      <c r="K93" s="109"/>
      <c r="L93" s="110"/>
      <c r="M93" s="111"/>
      <c r="N93" s="115"/>
      <c r="O93" s="116"/>
      <c r="P93" s="116"/>
      <c r="Q93" s="116"/>
      <c r="R93" s="116"/>
      <c r="S93" s="116"/>
      <c r="T93" s="116"/>
      <c r="U93" s="116"/>
      <c r="V93" s="116"/>
      <c r="W93" s="116"/>
      <c r="X93" s="116"/>
      <c r="Y93" s="116"/>
      <c r="Z93" s="116"/>
      <c r="AA93" s="116"/>
      <c r="AB93" s="116"/>
      <c r="AC93" s="116"/>
      <c r="AD93" s="116"/>
      <c r="AE93" s="116"/>
      <c r="AF93" s="116"/>
      <c r="AG93" s="116"/>
      <c r="AH93" s="116"/>
      <c r="AI93" s="116"/>
      <c r="AJ93" s="116"/>
      <c r="AK93" s="116"/>
      <c r="AL93" s="116"/>
      <c r="AM93" s="116"/>
      <c r="AN93" s="116"/>
      <c r="AO93" s="116"/>
      <c r="AP93" s="116"/>
      <c r="AQ93" s="116"/>
      <c r="AR93" s="116"/>
      <c r="AS93" s="116"/>
      <c r="AT93" s="116"/>
      <c r="AU93" s="116"/>
      <c r="AV93" s="116"/>
      <c r="AW93" s="116"/>
      <c r="AX93" s="116"/>
      <c r="AY93" s="116"/>
      <c r="AZ93" s="116"/>
      <c r="BA93" s="116"/>
      <c r="BB93" s="116"/>
      <c r="BC93" s="116"/>
      <c r="BD93" s="116"/>
      <c r="BE93" s="116"/>
      <c r="BF93" s="116"/>
      <c r="BG93" s="116"/>
      <c r="BH93" s="116"/>
      <c r="BI93" s="116"/>
      <c r="BJ93" s="116"/>
      <c r="BK93" s="116"/>
      <c r="BL93" s="116"/>
      <c r="BM93" s="116"/>
      <c r="BN93" s="116"/>
      <c r="BO93" s="116"/>
      <c r="BP93" s="116"/>
      <c r="BQ93" s="116"/>
      <c r="BR93" s="116"/>
      <c r="BS93" s="116"/>
      <c r="BT93" s="116"/>
      <c r="BU93" s="116"/>
      <c r="BV93" s="116"/>
      <c r="BW93" s="116"/>
      <c r="BX93" s="116"/>
      <c r="BY93" s="116"/>
      <c r="BZ93" s="116"/>
      <c r="CA93" s="116"/>
      <c r="CB93" s="116"/>
      <c r="CC93" s="116"/>
      <c r="CD93" s="116"/>
      <c r="CE93" s="116"/>
      <c r="CF93" s="116"/>
      <c r="CG93" s="116"/>
      <c r="CH93" s="117"/>
    </row>
    <row r="94" spans="1:86" x14ac:dyDescent="0.2">
      <c r="A94" s="105"/>
      <c r="B94" s="105"/>
      <c r="C94" s="56"/>
      <c r="D94" s="57"/>
      <c r="E94" s="58"/>
      <c r="F94" s="58"/>
      <c r="G94" s="59"/>
      <c r="H94" s="106"/>
      <c r="I94" s="107"/>
      <c r="J94" s="108"/>
      <c r="K94" s="109"/>
      <c r="L94" s="129"/>
      <c r="M94" s="111"/>
      <c r="N94" s="115"/>
      <c r="O94" s="116"/>
      <c r="P94" s="116"/>
      <c r="Q94" s="116"/>
      <c r="R94" s="116"/>
      <c r="S94" s="116"/>
      <c r="T94" s="116"/>
      <c r="U94" s="116"/>
      <c r="V94" s="116"/>
      <c r="W94" s="116"/>
      <c r="X94" s="116"/>
      <c r="Y94" s="116"/>
      <c r="Z94" s="116"/>
      <c r="AA94" s="116"/>
      <c r="AB94" s="116"/>
      <c r="AC94" s="116"/>
      <c r="AD94" s="116"/>
      <c r="AE94" s="116"/>
      <c r="AF94" s="116"/>
      <c r="AG94" s="116"/>
      <c r="AH94" s="116"/>
      <c r="AI94" s="116"/>
      <c r="AJ94" s="116"/>
      <c r="AK94" s="116"/>
      <c r="AL94" s="116"/>
      <c r="AM94" s="116"/>
      <c r="AN94" s="116"/>
      <c r="AO94" s="116"/>
      <c r="AP94" s="116"/>
      <c r="AQ94" s="116"/>
      <c r="AR94" s="116"/>
      <c r="AS94" s="116"/>
      <c r="AT94" s="116"/>
      <c r="AU94" s="116"/>
      <c r="AV94" s="116"/>
      <c r="AW94" s="116"/>
      <c r="AX94" s="116"/>
      <c r="AY94" s="116"/>
      <c r="AZ94" s="116"/>
      <c r="BA94" s="116"/>
      <c r="BB94" s="116"/>
      <c r="BC94" s="116"/>
      <c r="BD94" s="116"/>
      <c r="BE94" s="116"/>
      <c r="BF94" s="116"/>
      <c r="BG94" s="116"/>
      <c r="BH94" s="116"/>
      <c r="BI94" s="116"/>
      <c r="BJ94" s="116"/>
      <c r="BK94" s="116"/>
      <c r="BL94" s="116"/>
      <c r="BM94" s="116"/>
      <c r="BN94" s="116"/>
      <c r="BO94" s="116"/>
      <c r="BP94" s="116"/>
      <c r="BQ94" s="116"/>
      <c r="BR94" s="116"/>
      <c r="BS94" s="116"/>
      <c r="BT94" s="116"/>
      <c r="BU94" s="116"/>
      <c r="BV94" s="116"/>
      <c r="BW94" s="116"/>
      <c r="BX94" s="116"/>
      <c r="BY94" s="116"/>
      <c r="BZ94" s="116"/>
      <c r="CA94" s="116"/>
      <c r="CB94" s="116"/>
      <c r="CC94" s="116"/>
      <c r="CD94" s="116"/>
      <c r="CE94" s="116"/>
      <c r="CF94" s="116"/>
      <c r="CG94" s="116"/>
      <c r="CH94" s="117"/>
    </row>
    <row r="95" spans="1:86" x14ac:dyDescent="0.2">
      <c r="A95" s="105"/>
      <c r="B95" s="105"/>
      <c r="C95" s="56"/>
      <c r="D95" s="57"/>
      <c r="E95" s="58"/>
      <c r="F95" s="58"/>
      <c r="G95" s="59"/>
      <c r="H95" s="106"/>
      <c r="I95" s="107"/>
      <c r="J95" s="108"/>
      <c r="K95" s="109"/>
      <c r="L95" s="129"/>
      <c r="M95" s="111"/>
      <c r="N95" s="115"/>
      <c r="O95" s="116"/>
      <c r="P95" s="116"/>
      <c r="Q95" s="116"/>
      <c r="R95" s="116"/>
      <c r="S95" s="116"/>
      <c r="T95" s="116"/>
      <c r="U95" s="116"/>
      <c r="V95" s="116"/>
      <c r="W95" s="116"/>
      <c r="X95" s="116"/>
      <c r="Y95" s="116"/>
      <c r="Z95" s="116"/>
      <c r="AA95" s="116"/>
      <c r="AB95" s="116"/>
      <c r="AC95" s="116"/>
      <c r="AD95" s="116"/>
      <c r="AE95" s="116"/>
      <c r="AF95" s="116"/>
      <c r="AG95" s="116"/>
      <c r="AH95" s="116"/>
      <c r="AI95" s="116"/>
      <c r="AJ95" s="116"/>
      <c r="AK95" s="116"/>
      <c r="AL95" s="116"/>
      <c r="AM95" s="116"/>
      <c r="AN95" s="116"/>
      <c r="AO95" s="116"/>
      <c r="AP95" s="116"/>
      <c r="AQ95" s="116"/>
      <c r="AR95" s="116"/>
      <c r="AS95" s="116"/>
      <c r="AT95" s="116"/>
      <c r="AU95" s="116"/>
      <c r="AV95" s="116"/>
      <c r="AW95" s="116"/>
      <c r="AX95" s="116"/>
      <c r="AY95" s="116"/>
      <c r="AZ95" s="116"/>
      <c r="BA95" s="116"/>
      <c r="BB95" s="116"/>
      <c r="BC95" s="116"/>
      <c r="BD95" s="116"/>
      <c r="BE95" s="116"/>
      <c r="BF95" s="116"/>
      <c r="BG95" s="116"/>
      <c r="BH95" s="116"/>
      <c r="BI95" s="116"/>
      <c r="BJ95" s="116"/>
      <c r="BK95" s="116"/>
      <c r="BL95" s="116"/>
      <c r="BM95" s="116"/>
      <c r="BN95" s="116"/>
      <c r="BO95" s="116"/>
      <c r="BP95" s="116"/>
      <c r="BQ95" s="116"/>
      <c r="BR95" s="116"/>
      <c r="BS95" s="116"/>
      <c r="BT95" s="116"/>
      <c r="BU95" s="116"/>
      <c r="BV95" s="116"/>
      <c r="BW95" s="116"/>
      <c r="BX95" s="116"/>
      <c r="BY95" s="116"/>
      <c r="BZ95" s="116"/>
      <c r="CA95" s="116"/>
      <c r="CB95" s="116"/>
      <c r="CC95" s="116"/>
      <c r="CD95" s="116"/>
      <c r="CE95" s="116"/>
      <c r="CF95" s="116"/>
      <c r="CG95" s="116"/>
      <c r="CH95" s="117"/>
    </row>
    <row r="96" spans="1:86" x14ac:dyDescent="0.2">
      <c r="A96" s="105"/>
      <c r="B96" s="105"/>
      <c r="C96" s="56"/>
      <c r="D96" s="57"/>
      <c r="E96" s="58"/>
      <c r="F96" s="58"/>
      <c r="G96" s="59"/>
      <c r="H96" s="106"/>
      <c r="I96" s="107"/>
      <c r="J96" s="108"/>
      <c r="K96" s="109"/>
      <c r="L96" s="129"/>
      <c r="M96" s="111"/>
      <c r="N96" s="115"/>
      <c r="O96" s="116"/>
      <c r="P96" s="116"/>
      <c r="Q96" s="116"/>
      <c r="R96" s="116"/>
      <c r="S96" s="116"/>
      <c r="T96" s="116"/>
      <c r="U96" s="116"/>
      <c r="V96" s="116"/>
      <c r="W96" s="116"/>
      <c r="X96" s="116"/>
      <c r="Y96" s="116"/>
      <c r="Z96" s="116"/>
      <c r="AA96" s="116"/>
      <c r="AB96" s="116"/>
      <c r="AC96" s="116"/>
      <c r="AD96" s="116"/>
      <c r="AE96" s="116"/>
      <c r="AF96" s="116"/>
      <c r="AG96" s="116"/>
      <c r="AH96" s="116"/>
      <c r="AI96" s="116"/>
      <c r="AJ96" s="116"/>
      <c r="AK96" s="116"/>
      <c r="AL96" s="116"/>
      <c r="AM96" s="116"/>
      <c r="AN96" s="116"/>
      <c r="AO96" s="116"/>
      <c r="AP96" s="116"/>
      <c r="AQ96" s="116"/>
      <c r="AR96" s="116"/>
      <c r="AS96" s="116"/>
      <c r="AT96" s="116"/>
      <c r="AU96" s="116"/>
      <c r="AV96" s="116"/>
      <c r="AW96" s="116"/>
      <c r="AX96" s="116"/>
      <c r="AY96" s="116"/>
      <c r="AZ96" s="116"/>
      <c r="BA96" s="116"/>
      <c r="BB96" s="116"/>
      <c r="BC96" s="116"/>
      <c r="BD96" s="116"/>
      <c r="BE96" s="116"/>
      <c r="BF96" s="116"/>
      <c r="BG96" s="116"/>
      <c r="BH96" s="116"/>
      <c r="BI96" s="116"/>
      <c r="BJ96" s="116"/>
      <c r="BK96" s="116"/>
      <c r="BL96" s="116"/>
      <c r="BM96" s="116"/>
      <c r="BN96" s="116"/>
      <c r="BO96" s="116"/>
      <c r="BP96" s="116"/>
      <c r="BQ96" s="116"/>
      <c r="BR96" s="116"/>
      <c r="BS96" s="116"/>
      <c r="BT96" s="116"/>
      <c r="BU96" s="116"/>
      <c r="BV96" s="116"/>
      <c r="BW96" s="116"/>
      <c r="BX96" s="116"/>
      <c r="BY96" s="116"/>
      <c r="BZ96" s="116"/>
      <c r="CA96" s="116"/>
      <c r="CB96" s="116"/>
      <c r="CC96" s="116"/>
      <c r="CD96" s="116"/>
      <c r="CE96" s="116"/>
      <c r="CF96" s="116"/>
      <c r="CG96" s="116"/>
      <c r="CH96" s="117"/>
    </row>
    <row r="97" spans="1:86" x14ac:dyDescent="0.2">
      <c r="A97" s="105"/>
      <c r="B97" s="105"/>
      <c r="C97" s="56"/>
      <c r="D97" s="57"/>
      <c r="E97" s="58"/>
      <c r="F97" s="58"/>
      <c r="G97" s="59"/>
      <c r="H97" s="106"/>
      <c r="I97" s="107"/>
      <c r="J97" s="108"/>
      <c r="K97" s="109"/>
      <c r="L97" s="129"/>
      <c r="M97" s="111"/>
      <c r="N97" s="115"/>
      <c r="O97" s="116"/>
      <c r="P97" s="116"/>
      <c r="Q97" s="116"/>
      <c r="R97" s="116"/>
      <c r="S97" s="116"/>
      <c r="T97" s="116"/>
      <c r="U97" s="116"/>
      <c r="V97" s="116"/>
      <c r="W97" s="116"/>
      <c r="X97" s="116"/>
      <c r="Y97" s="116"/>
      <c r="Z97" s="116"/>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16"/>
      <c r="BC97" s="116"/>
      <c r="BD97" s="116"/>
      <c r="BE97" s="116"/>
      <c r="BF97" s="116"/>
      <c r="BG97" s="116"/>
      <c r="BH97" s="116"/>
      <c r="BI97" s="116"/>
      <c r="BJ97" s="116"/>
      <c r="BK97" s="116"/>
      <c r="BL97" s="116"/>
      <c r="BM97" s="116"/>
      <c r="BN97" s="116"/>
      <c r="BO97" s="116"/>
      <c r="BP97" s="116"/>
      <c r="BQ97" s="116"/>
      <c r="BR97" s="116"/>
      <c r="BS97" s="116"/>
      <c r="BT97" s="116"/>
      <c r="BU97" s="116"/>
      <c r="BV97" s="116"/>
      <c r="BW97" s="116"/>
      <c r="BX97" s="116"/>
      <c r="BY97" s="116"/>
      <c r="BZ97" s="116"/>
      <c r="CA97" s="116"/>
      <c r="CB97" s="116"/>
      <c r="CC97" s="116"/>
      <c r="CD97" s="116"/>
      <c r="CE97" s="116"/>
      <c r="CF97" s="116"/>
      <c r="CG97" s="116"/>
      <c r="CH97" s="117"/>
    </row>
    <row r="98" spans="1:86" x14ac:dyDescent="0.2">
      <c r="A98" s="105"/>
      <c r="B98" s="105"/>
      <c r="C98" s="56"/>
      <c r="D98" s="57"/>
      <c r="E98" s="58"/>
      <c r="F98" s="58"/>
      <c r="G98" s="59"/>
      <c r="H98" s="106"/>
      <c r="I98" s="107"/>
      <c r="J98" s="108"/>
      <c r="K98" s="109"/>
      <c r="L98" s="129"/>
      <c r="M98" s="111"/>
      <c r="N98" s="115"/>
      <c r="O98" s="116"/>
      <c r="P98" s="116"/>
      <c r="Q98" s="116"/>
      <c r="R98" s="116"/>
      <c r="S98" s="116"/>
      <c r="T98" s="116"/>
      <c r="U98" s="116"/>
      <c r="V98" s="116"/>
      <c r="W98" s="116"/>
      <c r="X98" s="116"/>
      <c r="Y98" s="116"/>
      <c r="Z98" s="116"/>
      <c r="AA98" s="116"/>
      <c r="AB98" s="116"/>
      <c r="AC98" s="116"/>
      <c r="AD98" s="116"/>
      <c r="AE98" s="116"/>
      <c r="AF98" s="116"/>
      <c r="AG98" s="116"/>
      <c r="AH98" s="116"/>
      <c r="AI98" s="116"/>
      <c r="AJ98" s="116"/>
      <c r="AK98" s="116"/>
      <c r="AL98" s="116"/>
      <c r="AM98" s="116"/>
      <c r="AN98" s="116"/>
      <c r="AO98" s="116"/>
      <c r="AP98" s="116"/>
      <c r="AQ98" s="116"/>
      <c r="AR98" s="116"/>
      <c r="AS98" s="116"/>
      <c r="AT98" s="116"/>
      <c r="AU98" s="116"/>
      <c r="AV98" s="116"/>
      <c r="AW98" s="116"/>
      <c r="AX98" s="116"/>
      <c r="AY98" s="116"/>
      <c r="AZ98" s="116"/>
      <c r="BA98" s="116"/>
      <c r="BB98" s="116"/>
      <c r="BC98" s="116"/>
      <c r="BD98" s="116"/>
      <c r="BE98" s="116"/>
      <c r="BF98" s="116"/>
      <c r="BG98" s="116"/>
      <c r="BH98" s="116"/>
      <c r="BI98" s="116"/>
      <c r="BJ98" s="116"/>
      <c r="BK98" s="116"/>
      <c r="BL98" s="116"/>
      <c r="BM98" s="116"/>
      <c r="BN98" s="116"/>
      <c r="BO98" s="116"/>
      <c r="BP98" s="116"/>
      <c r="BQ98" s="116"/>
      <c r="BR98" s="116"/>
      <c r="BS98" s="116"/>
      <c r="BT98" s="116"/>
      <c r="BU98" s="116"/>
      <c r="BV98" s="116"/>
      <c r="BW98" s="116"/>
      <c r="BX98" s="116"/>
      <c r="BY98" s="116"/>
      <c r="BZ98" s="116"/>
      <c r="CA98" s="116"/>
      <c r="CB98" s="116"/>
      <c r="CC98" s="116"/>
      <c r="CD98" s="116"/>
      <c r="CE98" s="116"/>
      <c r="CF98" s="116"/>
      <c r="CG98" s="116"/>
      <c r="CH98" s="117"/>
    </row>
    <row r="99" spans="1:86" x14ac:dyDescent="0.2">
      <c r="A99" s="105"/>
      <c r="B99" s="105"/>
      <c r="C99" s="73"/>
      <c r="D99" s="58"/>
      <c r="E99" s="57"/>
      <c r="F99" s="57"/>
      <c r="G99" s="59"/>
      <c r="H99" s="106"/>
      <c r="I99" s="107"/>
      <c r="J99" s="108"/>
      <c r="K99" s="109"/>
      <c r="L99" s="129"/>
      <c r="M99" s="111"/>
      <c r="N99" s="115"/>
      <c r="O99" s="116"/>
      <c r="P99" s="116"/>
      <c r="Q99" s="116"/>
      <c r="R99" s="116"/>
      <c r="S99" s="116"/>
      <c r="T99" s="116"/>
      <c r="U99" s="116"/>
      <c r="V99" s="116"/>
      <c r="W99" s="116"/>
      <c r="X99" s="116"/>
      <c r="Y99" s="116"/>
      <c r="Z99" s="116"/>
      <c r="AA99" s="116"/>
      <c r="AB99" s="116"/>
      <c r="AC99" s="116"/>
      <c r="AD99" s="116"/>
      <c r="AE99" s="116"/>
      <c r="AF99" s="116"/>
      <c r="AG99" s="116"/>
      <c r="AH99" s="116"/>
      <c r="AI99" s="116"/>
      <c r="AJ99" s="116"/>
      <c r="AK99" s="116"/>
      <c r="AL99" s="116"/>
      <c r="AM99" s="116"/>
      <c r="AN99" s="116"/>
      <c r="AO99" s="116"/>
      <c r="AP99" s="116"/>
      <c r="AQ99" s="116"/>
      <c r="AR99" s="116"/>
      <c r="AS99" s="116"/>
      <c r="AT99" s="116"/>
      <c r="AU99" s="116"/>
      <c r="AV99" s="116"/>
      <c r="AW99" s="116"/>
      <c r="AX99" s="116"/>
      <c r="AY99" s="116"/>
      <c r="AZ99" s="116"/>
      <c r="BA99" s="116"/>
      <c r="BB99" s="116"/>
      <c r="BC99" s="116"/>
      <c r="BD99" s="116"/>
      <c r="BE99" s="116"/>
      <c r="BF99" s="116"/>
      <c r="BG99" s="116"/>
      <c r="BH99" s="116"/>
      <c r="BI99" s="116"/>
      <c r="BJ99" s="116"/>
      <c r="BK99" s="116"/>
      <c r="BL99" s="116"/>
      <c r="BM99" s="116"/>
      <c r="BN99" s="116"/>
      <c r="BO99" s="116"/>
      <c r="BP99" s="116"/>
      <c r="BQ99" s="116"/>
      <c r="BR99" s="116"/>
      <c r="BS99" s="116"/>
      <c r="BT99" s="116"/>
      <c r="BU99" s="116"/>
      <c r="BV99" s="116"/>
      <c r="BW99" s="116"/>
      <c r="BX99" s="116"/>
      <c r="BY99" s="116"/>
      <c r="BZ99" s="116"/>
      <c r="CA99" s="116"/>
      <c r="CB99" s="116"/>
      <c r="CC99" s="116"/>
      <c r="CD99" s="116"/>
      <c r="CE99" s="116"/>
      <c r="CF99" s="116"/>
      <c r="CG99" s="116"/>
      <c r="CH99" s="117"/>
    </row>
    <row r="100" spans="1:86" s="47" customFormat="1" x14ac:dyDescent="0.2">
      <c r="A100" s="105"/>
      <c r="B100" s="105"/>
      <c r="C100" s="73"/>
      <c r="D100" s="58"/>
      <c r="E100" s="57"/>
      <c r="F100" s="57"/>
      <c r="G100" s="59"/>
      <c r="H100" s="106"/>
      <c r="I100" s="107"/>
      <c r="J100" s="108"/>
      <c r="K100" s="109"/>
      <c r="L100" s="129"/>
      <c r="M100" s="111"/>
      <c r="N100" s="115"/>
      <c r="O100" s="116"/>
      <c r="P100" s="116"/>
      <c r="Q100" s="116"/>
      <c r="R100" s="116"/>
      <c r="S100" s="116"/>
      <c r="T100" s="116"/>
      <c r="U100" s="116"/>
      <c r="V100" s="116"/>
      <c r="W100" s="116"/>
      <c r="X100" s="116"/>
      <c r="Y100" s="116"/>
      <c r="Z100" s="116"/>
      <c r="AA100" s="116"/>
      <c r="AB100" s="116"/>
      <c r="AC100" s="116"/>
      <c r="AD100" s="116"/>
      <c r="AE100" s="116"/>
      <c r="AF100" s="116"/>
      <c r="AG100" s="116"/>
      <c r="AH100" s="116"/>
      <c r="AI100" s="116"/>
      <c r="AJ100" s="116"/>
      <c r="AK100" s="116"/>
      <c r="AL100" s="116"/>
      <c r="AM100" s="116"/>
      <c r="AN100" s="116"/>
      <c r="AO100" s="116"/>
      <c r="AP100" s="116"/>
      <c r="AQ100" s="116"/>
      <c r="AR100" s="116"/>
      <c r="AS100" s="116"/>
      <c r="AT100" s="116"/>
      <c r="AU100" s="116"/>
      <c r="AV100" s="116"/>
      <c r="AW100" s="116"/>
      <c r="AX100" s="116"/>
      <c r="AY100" s="116"/>
      <c r="AZ100" s="116"/>
      <c r="BA100" s="116"/>
      <c r="BB100" s="116"/>
      <c r="BC100" s="116"/>
      <c r="BD100" s="116"/>
      <c r="BE100" s="116"/>
      <c r="BF100" s="116"/>
      <c r="BG100" s="116"/>
      <c r="BH100" s="116"/>
      <c r="BI100" s="116"/>
      <c r="BJ100" s="116"/>
      <c r="BK100" s="116"/>
      <c r="BL100" s="116"/>
      <c r="BM100" s="116"/>
      <c r="BN100" s="116"/>
      <c r="BO100" s="116"/>
      <c r="BP100" s="116"/>
      <c r="BQ100" s="116"/>
      <c r="BR100" s="116"/>
      <c r="BS100" s="116"/>
      <c r="BT100" s="116"/>
      <c r="BU100" s="116"/>
      <c r="BV100" s="116"/>
      <c r="BW100" s="116"/>
      <c r="BX100" s="116"/>
      <c r="BY100" s="116"/>
      <c r="BZ100" s="116"/>
      <c r="CA100" s="116"/>
      <c r="CB100" s="116"/>
      <c r="CC100" s="116"/>
      <c r="CD100" s="116"/>
      <c r="CE100" s="116"/>
      <c r="CF100" s="116"/>
      <c r="CG100" s="116"/>
      <c r="CH100" s="117"/>
    </row>
    <row r="101" spans="1:86" x14ac:dyDescent="0.2">
      <c r="A101" s="105"/>
      <c r="B101" s="105"/>
      <c r="C101" s="56"/>
      <c r="D101" s="57"/>
      <c r="E101" s="58"/>
      <c r="F101" s="58"/>
      <c r="G101" s="59"/>
      <c r="H101" s="106"/>
      <c r="I101" s="107"/>
      <c r="J101" s="108"/>
      <c r="K101" s="109"/>
      <c r="L101" s="129"/>
      <c r="M101" s="111"/>
      <c r="N101" s="115"/>
      <c r="O101" s="116"/>
      <c r="P101" s="116"/>
      <c r="Q101" s="116"/>
      <c r="R101" s="116"/>
      <c r="S101" s="116"/>
      <c r="T101" s="116"/>
      <c r="U101" s="116"/>
      <c r="V101" s="116"/>
      <c r="W101" s="116"/>
      <c r="X101" s="116"/>
      <c r="Y101" s="116"/>
      <c r="Z101" s="116"/>
      <c r="AA101" s="116"/>
      <c r="AB101" s="116"/>
      <c r="AC101" s="116"/>
      <c r="AD101" s="116"/>
      <c r="AE101" s="116"/>
      <c r="AF101" s="116"/>
      <c r="AG101" s="116"/>
      <c r="AH101" s="116"/>
      <c r="AI101" s="116"/>
      <c r="AJ101" s="116"/>
      <c r="AK101" s="116"/>
      <c r="AL101" s="116"/>
      <c r="AM101" s="116"/>
      <c r="AN101" s="116"/>
      <c r="AO101" s="116"/>
      <c r="AP101" s="116"/>
      <c r="AQ101" s="116"/>
      <c r="AR101" s="116"/>
      <c r="AS101" s="116"/>
      <c r="AT101" s="116"/>
      <c r="AU101" s="116"/>
      <c r="AV101" s="116"/>
      <c r="AW101" s="116"/>
      <c r="AX101" s="116"/>
      <c r="AY101" s="116"/>
      <c r="AZ101" s="116"/>
      <c r="BA101" s="116"/>
      <c r="BB101" s="116"/>
      <c r="BC101" s="116"/>
      <c r="BD101" s="116"/>
      <c r="BE101" s="116"/>
      <c r="BF101" s="116"/>
      <c r="BG101" s="116"/>
      <c r="BH101" s="116"/>
      <c r="BI101" s="116"/>
      <c r="BJ101" s="116"/>
      <c r="BK101" s="116"/>
      <c r="BL101" s="116"/>
      <c r="BM101" s="116"/>
      <c r="BN101" s="116"/>
      <c r="BO101" s="116"/>
      <c r="BP101" s="116"/>
      <c r="BQ101" s="116"/>
      <c r="BR101" s="116"/>
      <c r="BS101" s="116"/>
      <c r="BT101" s="116"/>
      <c r="BU101" s="116"/>
      <c r="BV101" s="116"/>
      <c r="BW101" s="116"/>
      <c r="BX101" s="116"/>
      <c r="BY101" s="116"/>
      <c r="BZ101" s="116"/>
      <c r="CA101" s="116"/>
      <c r="CB101" s="116"/>
      <c r="CC101" s="116"/>
      <c r="CD101" s="116"/>
      <c r="CE101" s="116"/>
      <c r="CF101" s="116"/>
      <c r="CG101" s="116"/>
      <c r="CH101" s="117"/>
    </row>
    <row r="102" spans="1:86" x14ac:dyDescent="0.2">
      <c r="A102" s="105"/>
      <c r="B102" s="105"/>
      <c r="C102" s="56"/>
      <c r="D102" s="57"/>
      <c r="E102" s="58"/>
      <c r="F102" s="58"/>
      <c r="G102" s="59"/>
      <c r="H102" s="106"/>
      <c r="I102" s="107"/>
      <c r="J102" s="108"/>
      <c r="K102" s="109"/>
      <c r="L102" s="110"/>
      <c r="M102" s="111"/>
      <c r="N102" s="115"/>
      <c r="O102" s="116"/>
      <c r="P102" s="116"/>
      <c r="Q102" s="116"/>
      <c r="R102" s="116"/>
      <c r="S102" s="116"/>
      <c r="T102" s="116"/>
      <c r="U102" s="116"/>
      <c r="V102" s="116"/>
      <c r="W102" s="116"/>
      <c r="X102" s="116"/>
      <c r="Y102" s="116"/>
      <c r="Z102" s="116"/>
      <c r="AA102" s="116"/>
      <c r="AB102" s="116"/>
      <c r="AC102" s="116"/>
      <c r="AD102" s="116"/>
      <c r="AE102" s="116"/>
      <c r="AF102" s="116"/>
      <c r="AG102" s="116"/>
      <c r="AH102" s="116"/>
      <c r="AI102" s="116"/>
      <c r="AJ102" s="116"/>
      <c r="AK102" s="116"/>
      <c r="AL102" s="116"/>
      <c r="AM102" s="116"/>
      <c r="AN102" s="116"/>
      <c r="AO102" s="116"/>
      <c r="AP102" s="116"/>
      <c r="AQ102" s="116"/>
      <c r="AR102" s="116"/>
      <c r="AS102" s="116"/>
      <c r="AT102" s="116"/>
      <c r="AU102" s="116"/>
      <c r="AV102" s="116"/>
      <c r="AW102" s="116"/>
      <c r="AX102" s="116"/>
      <c r="AY102" s="116"/>
      <c r="AZ102" s="116"/>
      <c r="BA102" s="116"/>
      <c r="BB102" s="116"/>
      <c r="BC102" s="116"/>
      <c r="BD102" s="116"/>
      <c r="BE102" s="116"/>
      <c r="BF102" s="116"/>
      <c r="BG102" s="116"/>
      <c r="BH102" s="116"/>
      <c r="BI102" s="116"/>
      <c r="BJ102" s="116"/>
      <c r="BK102" s="116"/>
      <c r="BL102" s="116"/>
      <c r="BM102" s="116"/>
      <c r="BN102" s="116"/>
      <c r="BO102" s="116"/>
      <c r="BP102" s="116"/>
      <c r="BQ102" s="116"/>
      <c r="BR102" s="116"/>
      <c r="BS102" s="116"/>
      <c r="BT102" s="116"/>
      <c r="BU102" s="116"/>
      <c r="BV102" s="116"/>
      <c r="BW102" s="116"/>
      <c r="BX102" s="116"/>
      <c r="BY102" s="116"/>
      <c r="BZ102" s="116"/>
      <c r="CA102" s="116"/>
      <c r="CB102" s="116"/>
      <c r="CC102" s="116"/>
      <c r="CD102" s="116"/>
      <c r="CE102" s="116"/>
      <c r="CF102" s="116"/>
      <c r="CG102" s="116"/>
      <c r="CH102" s="117"/>
    </row>
    <row r="103" spans="1:86" x14ac:dyDescent="0.2">
      <c r="A103" s="105"/>
      <c r="B103" s="105"/>
      <c r="C103" s="56"/>
      <c r="D103" s="57"/>
      <c r="E103" s="58"/>
      <c r="F103" s="58"/>
      <c r="G103" s="59"/>
      <c r="H103" s="106"/>
      <c r="I103" s="107"/>
      <c r="J103" s="108"/>
      <c r="K103" s="109"/>
      <c r="L103" s="110"/>
      <c r="M103" s="111"/>
      <c r="N103" s="115"/>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116"/>
      <c r="AK103" s="116"/>
      <c r="AL103" s="116"/>
      <c r="AM103" s="116"/>
      <c r="AN103" s="116"/>
      <c r="AO103" s="116"/>
      <c r="AP103" s="116"/>
      <c r="AQ103" s="116"/>
      <c r="AR103" s="116"/>
      <c r="AS103" s="116"/>
      <c r="AT103" s="116"/>
      <c r="AU103" s="116"/>
      <c r="AV103" s="116"/>
      <c r="AW103" s="116"/>
      <c r="AX103" s="116"/>
      <c r="AY103" s="116"/>
      <c r="AZ103" s="116"/>
      <c r="BA103" s="116"/>
      <c r="BB103" s="116"/>
      <c r="BC103" s="116"/>
      <c r="BD103" s="116"/>
      <c r="BE103" s="116"/>
      <c r="BF103" s="116"/>
      <c r="BG103" s="116"/>
      <c r="BH103" s="116"/>
      <c r="BI103" s="116"/>
      <c r="BJ103" s="116"/>
      <c r="BK103" s="116"/>
      <c r="BL103" s="116"/>
      <c r="BM103" s="116"/>
      <c r="BN103" s="116"/>
      <c r="BO103" s="116"/>
      <c r="BP103" s="116"/>
      <c r="BQ103" s="116"/>
      <c r="BR103" s="116"/>
      <c r="BS103" s="116"/>
      <c r="BT103" s="116"/>
      <c r="BU103" s="116"/>
      <c r="BV103" s="116"/>
      <c r="BW103" s="116"/>
      <c r="BX103" s="116"/>
      <c r="BY103" s="116"/>
      <c r="BZ103" s="116"/>
      <c r="CA103" s="116"/>
      <c r="CB103" s="116"/>
      <c r="CC103" s="116"/>
      <c r="CD103" s="116"/>
      <c r="CE103" s="116"/>
      <c r="CF103" s="116"/>
      <c r="CG103" s="116"/>
      <c r="CH103" s="117"/>
    </row>
    <row r="104" spans="1:86" x14ac:dyDescent="0.2">
      <c r="A104" s="105"/>
      <c r="B104" s="105"/>
      <c r="C104" s="56"/>
      <c r="D104" s="57"/>
      <c r="E104" s="58"/>
      <c r="F104" s="58"/>
      <c r="G104" s="59"/>
      <c r="H104" s="106"/>
      <c r="I104" s="107"/>
      <c r="J104" s="108"/>
      <c r="K104" s="109"/>
      <c r="L104" s="110"/>
      <c r="M104" s="111"/>
      <c r="N104" s="115"/>
      <c r="O104" s="116"/>
      <c r="P104" s="116"/>
      <c r="Q104" s="116"/>
      <c r="R104" s="116"/>
      <c r="S104" s="116"/>
      <c r="T104" s="116"/>
      <c r="U104" s="116"/>
      <c r="V104" s="116"/>
      <c r="W104" s="116"/>
      <c r="X104" s="116"/>
      <c r="Y104" s="116"/>
      <c r="Z104" s="116"/>
      <c r="AA104" s="116"/>
      <c r="AB104" s="116"/>
      <c r="AC104" s="116"/>
      <c r="AD104" s="116"/>
      <c r="AE104" s="116"/>
      <c r="AF104" s="116"/>
      <c r="AG104" s="116"/>
      <c r="AH104" s="116"/>
      <c r="AI104" s="116"/>
      <c r="AJ104" s="116"/>
      <c r="AK104" s="116"/>
      <c r="AL104" s="116"/>
      <c r="AM104" s="116"/>
      <c r="AN104" s="116"/>
      <c r="AO104" s="116"/>
      <c r="AP104" s="116"/>
      <c r="AQ104" s="116"/>
      <c r="AR104" s="116"/>
      <c r="AS104" s="116"/>
      <c r="AT104" s="116"/>
      <c r="AU104" s="116"/>
      <c r="AV104" s="116"/>
      <c r="AW104" s="116"/>
      <c r="AX104" s="116"/>
      <c r="AY104" s="116"/>
      <c r="AZ104" s="116"/>
      <c r="BA104" s="116"/>
      <c r="BB104" s="116"/>
      <c r="BC104" s="116"/>
      <c r="BD104" s="116"/>
      <c r="BE104" s="116"/>
      <c r="BF104" s="116"/>
      <c r="BG104" s="116"/>
      <c r="BH104" s="116"/>
      <c r="BI104" s="116"/>
      <c r="BJ104" s="116"/>
      <c r="BK104" s="116"/>
      <c r="BL104" s="116"/>
      <c r="BM104" s="116"/>
      <c r="BN104" s="116"/>
      <c r="BO104" s="116"/>
      <c r="BP104" s="116"/>
      <c r="BQ104" s="116"/>
      <c r="BR104" s="116"/>
      <c r="BS104" s="116"/>
      <c r="BT104" s="116"/>
      <c r="BU104" s="116"/>
      <c r="BV104" s="116"/>
      <c r="BW104" s="116"/>
      <c r="BX104" s="116"/>
      <c r="BY104" s="116"/>
      <c r="BZ104" s="116"/>
      <c r="CA104" s="116"/>
      <c r="CB104" s="116"/>
      <c r="CC104" s="116"/>
      <c r="CD104" s="116"/>
      <c r="CE104" s="116"/>
      <c r="CF104" s="116"/>
      <c r="CG104" s="116"/>
      <c r="CH104" s="117"/>
    </row>
    <row r="105" spans="1:86" s="46" customFormat="1" x14ac:dyDescent="0.2">
      <c r="A105" s="105"/>
      <c r="B105" s="105"/>
      <c r="C105" s="56"/>
      <c r="D105" s="57"/>
      <c r="E105" s="58"/>
      <c r="F105" s="58"/>
      <c r="G105" s="59"/>
      <c r="H105" s="106"/>
      <c r="I105" s="107"/>
      <c r="J105" s="108"/>
      <c r="K105" s="109"/>
      <c r="L105" s="110"/>
      <c r="M105" s="111"/>
      <c r="N105" s="115"/>
      <c r="O105" s="116"/>
      <c r="P105" s="116"/>
      <c r="Q105" s="116"/>
      <c r="R105" s="116"/>
      <c r="S105" s="116"/>
      <c r="T105" s="116"/>
      <c r="U105" s="116"/>
      <c r="V105" s="116"/>
      <c r="W105" s="116"/>
      <c r="X105" s="116"/>
      <c r="Y105" s="116"/>
      <c r="Z105" s="116"/>
      <c r="AA105" s="116"/>
      <c r="AB105" s="116"/>
      <c r="AC105" s="116"/>
      <c r="AD105" s="116"/>
      <c r="AE105" s="116"/>
      <c r="AF105" s="116"/>
      <c r="AG105" s="116"/>
      <c r="AH105" s="116"/>
      <c r="AI105" s="116"/>
      <c r="AJ105" s="116"/>
      <c r="AK105" s="116"/>
      <c r="AL105" s="116"/>
      <c r="AM105" s="116"/>
      <c r="AN105" s="116"/>
      <c r="AO105" s="116"/>
      <c r="AP105" s="116"/>
      <c r="AQ105" s="116"/>
      <c r="AR105" s="116"/>
      <c r="AS105" s="116"/>
      <c r="AT105" s="116"/>
      <c r="AU105" s="116"/>
      <c r="AV105" s="116"/>
      <c r="AW105" s="116"/>
      <c r="AX105" s="116"/>
      <c r="AY105" s="116"/>
      <c r="AZ105" s="116"/>
      <c r="BA105" s="116"/>
      <c r="BB105" s="116"/>
      <c r="BC105" s="116"/>
      <c r="BD105" s="116"/>
      <c r="BE105" s="116"/>
      <c r="BF105" s="116"/>
      <c r="BG105" s="116"/>
      <c r="BH105" s="116"/>
      <c r="BI105" s="116"/>
      <c r="BJ105" s="116"/>
      <c r="BK105" s="116"/>
      <c r="BL105" s="116"/>
      <c r="BM105" s="116"/>
      <c r="BN105" s="116"/>
      <c r="BO105" s="116"/>
      <c r="BP105" s="116"/>
      <c r="BQ105" s="116"/>
      <c r="BR105" s="116"/>
      <c r="BS105" s="116"/>
      <c r="BT105" s="116"/>
      <c r="BU105" s="116"/>
      <c r="BV105" s="116"/>
      <c r="BW105" s="116"/>
      <c r="BX105" s="116"/>
      <c r="BY105" s="116"/>
      <c r="BZ105" s="116"/>
      <c r="CA105" s="116"/>
      <c r="CB105" s="116"/>
      <c r="CC105" s="116"/>
      <c r="CD105" s="116"/>
      <c r="CE105" s="116"/>
      <c r="CF105" s="116"/>
      <c r="CG105" s="116"/>
      <c r="CH105" s="117"/>
    </row>
    <row r="106" spans="1:86" x14ac:dyDescent="0.2">
      <c r="A106" s="105"/>
      <c r="B106" s="105"/>
      <c r="C106" s="56"/>
      <c r="D106" s="57"/>
      <c r="E106" s="58"/>
      <c r="F106" s="58"/>
      <c r="G106" s="59"/>
      <c r="H106" s="106"/>
      <c r="I106" s="107"/>
      <c r="J106" s="108"/>
      <c r="K106" s="109"/>
      <c r="L106" s="110"/>
      <c r="M106" s="111"/>
      <c r="N106" s="115"/>
      <c r="O106" s="116"/>
      <c r="P106" s="116"/>
      <c r="Q106" s="116"/>
      <c r="R106" s="116"/>
      <c r="S106" s="116"/>
      <c r="T106" s="116"/>
      <c r="U106" s="116"/>
      <c r="V106" s="116"/>
      <c r="W106" s="116"/>
      <c r="X106" s="116"/>
      <c r="Y106" s="116"/>
      <c r="Z106" s="116"/>
      <c r="AA106" s="116"/>
      <c r="AB106" s="116"/>
      <c r="AC106" s="116"/>
      <c r="AD106" s="116"/>
      <c r="AE106" s="116"/>
      <c r="AF106" s="116"/>
      <c r="AG106" s="116"/>
      <c r="AH106" s="116"/>
      <c r="AI106" s="116"/>
      <c r="AJ106" s="116"/>
      <c r="AK106" s="116"/>
      <c r="AL106" s="116"/>
      <c r="AM106" s="116"/>
      <c r="AN106" s="116"/>
      <c r="AO106" s="116"/>
      <c r="AP106" s="116"/>
      <c r="AQ106" s="116"/>
      <c r="AR106" s="116"/>
      <c r="AS106" s="116"/>
      <c r="AT106" s="116"/>
      <c r="AU106" s="116"/>
      <c r="AV106" s="116"/>
      <c r="AW106" s="116"/>
      <c r="AX106" s="116"/>
      <c r="AY106" s="116"/>
      <c r="AZ106" s="116"/>
      <c r="BA106" s="116"/>
      <c r="BB106" s="116"/>
      <c r="BC106" s="116"/>
      <c r="BD106" s="116"/>
      <c r="BE106" s="116"/>
      <c r="BF106" s="116"/>
      <c r="BG106" s="116"/>
      <c r="BH106" s="116"/>
      <c r="BI106" s="116"/>
      <c r="BJ106" s="116"/>
      <c r="BK106" s="116"/>
      <c r="BL106" s="116"/>
      <c r="BM106" s="116"/>
      <c r="BN106" s="116"/>
      <c r="BO106" s="116"/>
      <c r="BP106" s="116"/>
      <c r="BQ106" s="116"/>
      <c r="BR106" s="116"/>
      <c r="BS106" s="116"/>
      <c r="BT106" s="116"/>
      <c r="BU106" s="116"/>
      <c r="BV106" s="116"/>
      <c r="BW106" s="116"/>
      <c r="BX106" s="116"/>
      <c r="BY106" s="116"/>
      <c r="BZ106" s="116"/>
      <c r="CA106" s="116"/>
      <c r="CB106" s="116"/>
      <c r="CC106" s="116"/>
      <c r="CD106" s="116"/>
      <c r="CE106" s="116"/>
      <c r="CF106" s="116"/>
      <c r="CG106" s="116"/>
      <c r="CH106" s="117"/>
    </row>
    <row r="107" spans="1:86" s="46" customFormat="1" ht="135.75" customHeight="1" x14ac:dyDescent="0.2">
      <c r="A107" s="105"/>
      <c r="B107" s="105"/>
      <c r="C107" s="56"/>
      <c r="D107" s="57"/>
      <c r="E107" s="58"/>
      <c r="F107" s="58"/>
      <c r="G107" s="59"/>
      <c r="H107" s="106"/>
      <c r="I107" s="107"/>
      <c r="J107" s="108"/>
      <c r="K107" s="109"/>
      <c r="L107" s="110"/>
      <c r="M107" s="111"/>
      <c r="N107" s="115"/>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c r="AL107" s="116"/>
      <c r="AM107" s="116"/>
      <c r="AN107" s="116"/>
      <c r="AO107" s="116"/>
      <c r="AP107" s="116"/>
      <c r="AQ107" s="116"/>
      <c r="AR107" s="116"/>
      <c r="AS107" s="116"/>
      <c r="AT107" s="116"/>
      <c r="AU107" s="116"/>
      <c r="AV107" s="116"/>
      <c r="AW107" s="116"/>
      <c r="AX107" s="116"/>
      <c r="AY107" s="116"/>
      <c r="AZ107" s="116"/>
      <c r="BA107" s="116"/>
      <c r="BB107" s="116"/>
      <c r="BC107" s="116"/>
      <c r="BD107" s="116"/>
      <c r="BE107" s="116"/>
      <c r="BF107" s="116"/>
      <c r="BG107" s="116"/>
      <c r="BH107" s="116"/>
      <c r="BI107" s="116"/>
      <c r="BJ107" s="116"/>
      <c r="BK107" s="116"/>
      <c r="BL107" s="116"/>
      <c r="BM107" s="116"/>
      <c r="BN107" s="116"/>
      <c r="BO107" s="116"/>
      <c r="BP107" s="116"/>
      <c r="BQ107" s="116"/>
      <c r="BR107" s="116"/>
      <c r="BS107" s="116"/>
      <c r="BT107" s="116"/>
      <c r="BU107" s="116"/>
      <c r="BV107" s="116"/>
      <c r="BW107" s="116"/>
      <c r="BX107" s="116"/>
      <c r="BY107" s="116"/>
      <c r="BZ107" s="116"/>
      <c r="CA107" s="116"/>
      <c r="CB107" s="116"/>
      <c r="CC107" s="116"/>
      <c r="CD107" s="116"/>
      <c r="CE107" s="116"/>
      <c r="CF107" s="116"/>
      <c r="CG107" s="116"/>
      <c r="CH107" s="117"/>
    </row>
    <row r="108" spans="1:86" s="46" customFormat="1" x14ac:dyDescent="0.2">
      <c r="A108" s="105"/>
      <c r="B108" s="105"/>
      <c r="C108" s="56"/>
      <c r="D108" s="57"/>
      <c r="E108" s="58"/>
      <c r="F108" s="58"/>
      <c r="G108" s="59"/>
      <c r="H108" s="106"/>
      <c r="I108" s="107"/>
      <c r="J108" s="108"/>
      <c r="K108" s="109"/>
      <c r="L108" s="129"/>
      <c r="M108" s="111"/>
      <c r="N108" s="115"/>
      <c r="O108" s="116"/>
      <c r="P108" s="116"/>
      <c r="Q108" s="116"/>
      <c r="R108" s="116"/>
      <c r="S108" s="116"/>
      <c r="T108" s="116"/>
      <c r="U108" s="116"/>
      <c r="V108" s="116"/>
      <c r="W108" s="116"/>
      <c r="X108" s="116"/>
      <c r="Y108" s="116"/>
      <c r="Z108" s="116"/>
      <c r="AA108" s="116"/>
      <c r="AB108" s="116"/>
      <c r="AC108" s="116"/>
      <c r="AD108" s="116"/>
      <c r="AE108" s="116"/>
      <c r="AF108" s="116"/>
      <c r="AG108" s="116"/>
      <c r="AH108" s="116"/>
      <c r="AI108" s="116"/>
      <c r="AJ108" s="116"/>
      <c r="AK108" s="116"/>
      <c r="AL108" s="116"/>
      <c r="AM108" s="116"/>
      <c r="AN108" s="116"/>
      <c r="AO108" s="116"/>
      <c r="AP108" s="116"/>
      <c r="AQ108" s="116"/>
      <c r="AR108" s="116"/>
      <c r="AS108" s="116"/>
      <c r="AT108" s="116"/>
      <c r="AU108" s="116"/>
      <c r="AV108" s="116"/>
      <c r="AW108" s="116"/>
      <c r="AX108" s="116"/>
      <c r="AY108" s="116"/>
      <c r="AZ108" s="116"/>
      <c r="BA108" s="116"/>
      <c r="BB108" s="116"/>
      <c r="BC108" s="116"/>
      <c r="BD108" s="116"/>
      <c r="BE108" s="116"/>
      <c r="BF108" s="116"/>
      <c r="BG108" s="116"/>
      <c r="BH108" s="116"/>
      <c r="BI108" s="116"/>
      <c r="BJ108" s="116"/>
      <c r="BK108" s="116"/>
      <c r="BL108" s="116"/>
      <c r="BM108" s="116"/>
      <c r="BN108" s="116"/>
      <c r="BO108" s="116"/>
      <c r="BP108" s="116"/>
      <c r="BQ108" s="116"/>
      <c r="BR108" s="116"/>
      <c r="BS108" s="116"/>
      <c r="BT108" s="116"/>
      <c r="BU108" s="116"/>
      <c r="BV108" s="116"/>
      <c r="BW108" s="116"/>
      <c r="BX108" s="116"/>
      <c r="BY108" s="116"/>
      <c r="BZ108" s="116"/>
      <c r="CA108" s="116"/>
      <c r="CB108" s="116"/>
      <c r="CC108" s="116"/>
      <c r="CD108" s="116"/>
      <c r="CE108" s="116"/>
      <c r="CF108" s="116"/>
      <c r="CG108" s="116"/>
      <c r="CH108" s="117"/>
    </row>
    <row r="109" spans="1:86" s="46" customFormat="1" x14ac:dyDescent="0.2">
      <c r="A109" s="105"/>
      <c r="B109" s="105"/>
      <c r="C109" s="56"/>
      <c r="D109" s="57"/>
      <c r="E109" s="58"/>
      <c r="F109" s="58"/>
      <c r="G109" s="59"/>
      <c r="H109" s="106"/>
      <c r="I109" s="107"/>
      <c r="J109" s="133"/>
      <c r="K109" s="109"/>
      <c r="L109" s="110"/>
      <c r="M109" s="111"/>
      <c r="N109" s="115"/>
      <c r="O109" s="116"/>
      <c r="P109" s="116"/>
      <c r="Q109" s="116"/>
      <c r="R109" s="116"/>
      <c r="S109" s="116"/>
      <c r="T109" s="116"/>
      <c r="U109" s="116"/>
      <c r="V109" s="116"/>
      <c r="W109" s="116"/>
      <c r="X109" s="116"/>
      <c r="Y109" s="116"/>
      <c r="Z109" s="116"/>
      <c r="AA109" s="116"/>
      <c r="AB109" s="116"/>
      <c r="AC109" s="116"/>
      <c r="AD109" s="116"/>
      <c r="AE109" s="116"/>
      <c r="AF109" s="116"/>
      <c r="AG109" s="116"/>
      <c r="AH109" s="116"/>
      <c r="AI109" s="116"/>
      <c r="AJ109" s="116"/>
      <c r="AK109" s="116"/>
      <c r="AL109" s="116"/>
      <c r="AM109" s="116"/>
      <c r="AN109" s="116"/>
      <c r="AO109" s="116"/>
      <c r="AP109" s="116"/>
      <c r="AQ109" s="116"/>
      <c r="AR109" s="116"/>
      <c r="AS109" s="116"/>
      <c r="AT109" s="116"/>
      <c r="AU109" s="116"/>
      <c r="AV109" s="116"/>
      <c r="AW109" s="116"/>
      <c r="AX109" s="116"/>
      <c r="AY109" s="116"/>
      <c r="AZ109" s="116"/>
      <c r="BA109" s="116"/>
      <c r="BB109" s="116"/>
      <c r="BC109" s="116"/>
      <c r="BD109" s="116"/>
      <c r="BE109" s="116"/>
      <c r="BF109" s="116"/>
      <c r="BG109" s="116"/>
      <c r="BH109" s="116"/>
      <c r="BI109" s="116"/>
      <c r="BJ109" s="116"/>
      <c r="BK109" s="116"/>
      <c r="BL109" s="116"/>
      <c r="BM109" s="116"/>
      <c r="BN109" s="116"/>
      <c r="BO109" s="116"/>
      <c r="BP109" s="116"/>
      <c r="BQ109" s="116"/>
      <c r="BR109" s="116"/>
      <c r="BS109" s="116"/>
      <c r="BT109" s="116"/>
      <c r="BU109" s="116"/>
      <c r="BV109" s="116"/>
      <c r="BW109" s="116"/>
      <c r="BX109" s="116"/>
      <c r="BY109" s="116"/>
      <c r="BZ109" s="116"/>
      <c r="CA109" s="116"/>
      <c r="CB109" s="116"/>
      <c r="CC109" s="116"/>
      <c r="CD109" s="116"/>
      <c r="CE109" s="116"/>
      <c r="CF109" s="116"/>
      <c r="CG109" s="116"/>
      <c r="CH109" s="117"/>
    </row>
    <row r="110" spans="1:86" x14ac:dyDescent="0.2">
      <c r="A110" s="105"/>
      <c r="B110" s="105"/>
      <c r="C110" s="56"/>
      <c r="D110" s="57"/>
      <c r="E110" s="58"/>
      <c r="F110" s="58"/>
      <c r="G110" s="59"/>
      <c r="H110" s="106"/>
      <c r="I110" s="107"/>
      <c r="J110" s="108"/>
      <c r="K110" s="109"/>
      <c r="L110" s="129"/>
      <c r="M110" s="111"/>
      <c r="N110" s="115"/>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16"/>
      <c r="BC110" s="116"/>
      <c r="BD110" s="116"/>
      <c r="BE110" s="116"/>
      <c r="BF110" s="116"/>
      <c r="BG110" s="116"/>
      <c r="BH110" s="116"/>
      <c r="BI110" s="116"/>
      <c r="BJ110" s="116"/>
      <c r="BK110" s="116"/>
      <c r="BL110" s="116"/>
      <c r="BM110" s="116"/>
      <c r="BN110" s="116"/>
      <c r="BO110" s="116"/>
      <c r="BP110" s="116"/>
      <c r="BQ110" s="116"/>
      <c r="BR110" s="116"/>
      <c r="BS110" s="116"/>
      <c r="BT110" s="116"/>
      <c r="BU110" s="116"/>
      <c r="BV110" s="116"/>
      <c r="BW110" s="116"/>
      <c r="BX110" s="116"/>
      <c r="BY110" s="116"/>
      <c r="BZ110" s="116"/>
      <c r="CA110" s="116"/>
      <c r="CB110" s="116"/>
      <c r="CC110" s="116"/>
      <c r="CD110" s="116"/>
      <c r="CE110" s="116"/>
      <c r="CF110" s="116"/>
      <c r="CG110" s="116"/>
      <c r="CH110" s="117"/>
    </row>
    <row r="111" spans="1:86" x14ac:dyDescent="0.2">
      <c r="A111" s="105"/>
      <c r="B111" s="105"/>
      <c r="C111" s="56"/>
      <c r="D111" s="57"/>
      <c r="E111" s="58"/>
      <c r="F111" s="58"/>
      <c r="G111" s="59"/>
      <c r="H111" s="106"/>
      <c r="I111" s="107"/>
      <c r="J111" s="108"/>
      <c r="K111" s="109"/>
      <c r="L111" s="110"/>
      <c r="M111" s="111"/>
      <c r="N111" s="115"/>
      <c r="O111" s="116"/>
      <c r="P111" s="116"/>
      <c r="Q111" s="116"/>
      <c r="R111" s="116"/>
      <c r="S111" s="116"/>
      <c r="T111" s="116"/>
      <c r="U111" s="116"/>
      <c r="V111" s="116"/>
      <c r="W111" s="116"/>
      <c r="X111" s="116"/>
      <c r="Y111" s="116"/>
      <c r="Z111" s="116"/>
      <c r="AA111" s="116"/>
      <c r="AB111" s="116"/>
      <c r="AC111" s="116"/>
      <c r="AD111" s="116"/>
      <c r="AE111" s="116"/>
      <c r="AF111" s="116"/>
      <c r="AG111" s="116"/>
      <c r="AH111" s="116"/>
      <c r="AI111" s="116"/>
      <c r="AJ111" s="116"/>
      <c r="AK111" s="116"/>
      <c r="AL111" s="116"/>
      <c r="AM111" s="116"/>
      <c r="AN111" s="116"/>
      <c r="AO111" s="116"/>
      <c r="AP111" s="116"/>
      <c r="AQ111" s="116"/>
      <c r="AR111" s="116"/>
      <c r="AS111" s="116"/>
      <c r="AT111" s="116"/>
      <c r="AU111" s="116"/>
      <c r="AV111" s="116"/>
      <c r="AW111" s="116"/>
      <c r="AX111" s="116"/>
      <c r="AY111" s="116"/>
      <c r="AZ111" s="116"/>
      <c r="BA111" s="116"/>
      <c r="BB111" s="116"/>
      <c r="BC111" s="116"/>
      <c r="BD111" s="116"/>
      <c r="BE111" s="116"/>
      <c r="BF111" s="116"/>
      <c r="BG111" s="116"/>
      <c r="BH111" s="116"/>
      <c r="BI111" s="116"/>
      <c r="BJ111" s="116"/>
      <c r="BK111" s="116"/>
      <c r="BL111" s="116"/>
      <c r="BM111" s="116"/>
      <c r="BN111" s="116"/>
      <c r="BO111" s="116"/>
      <c r="BP111" s="116"/>
      <c r="BQ111" s="116"/>
      <c r="BR111" s="116"/>
      <c r="BS111" s="116"/>
      <c r="BT111" s="116"/>
      <c r="BU111" s="116"/>
      <c r="BV111" s="116"/>
      <c r="BW111" s="116"/>
      <c r="BX111" s="116"/>
      <c r="BY111" s="116"/>
      <c r="BZ111" s="116"/>
      <c r="CA111" s="116"/>
      <c r="CB111" s="116"/>
      <c r="CC111" s="116"/>
      <c r="CD111" s="116"/>
      <c r="CE111" s="116"/>
      <c r="CF111" s="116"/>
      <c r="CG111" s="116"/>
      <c r="CH111" s="117"/>
    </row>
    <row r="112" spans="1:86" x14ac:dyDescent="0.2">
      <c r="A112" s="105"/>
      <c r="B112" s="105"/>
      <c r="C112" s="56"/>
      <c r="D112" s="57"/>
      <c r="E112" s="58"/>
      <c r="F112" s="58"/>
      <c r="G112" s="59"/>
      <c r="H112" s="106"/>
      <c r="I112" s="107"/>
      <c r="J112" s="108"/>
      <c r="K112" s="109"/>
      <c r="L112" s="110"/>
      <c r="M112" s="111"/>
      <c r="N112" s="115"/>
      <c r="O112" s="116"/>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c r="AK112" s="116"/>
      <c r="AL112" s="116"/>
      <c r="AM112" s="116"/>
      <c r="AN112" s="116"/>
      <c r="AO112" s="116"/>
      <c r="AP112" s="116"/>
      <c r="AQ112" s="116"/>
      <c r="AR112" s="116"/>
      <c r="AS112" s="116"/>
      <c r="AT112" s="116"/>
      <c r="AU112" s="116"/>
      <c r="AV112" s="116"/>
      <c r="AW112" s="116"/>
      <c r="AX112" s="116"/>
      <c r="AY112" s="116"/>
      <c r="AZ112" s="116"/>
      <c r="BA112" s="116"/>
      <c r="BB112" s="116"/>
      <c r="BC112" s="116"/>
      <c r="BD112" s="116"/>
      <c r="BE112" s="116"/>
      <c r="BF112" s="116"/>
      <c r="BG112" s="116"/>
      <c r="BH112" s="116"/>
      <c r="BI112" s="116"/>
      <c r="BJ112" s="116"/>
      <c r="BK112" s="116"/>
      <c r="BL112" s="116"/>
      <c r="BM112" s="116"/>
      <c r="BN112" s="116"/>
      <c r="BO112" s="116"/>
      <c r="BP112" s="116"/>
      <c r="BQ112" s="116"/>
      <c r="BR112" s="116"/>
      <c r="BS112" s="116"/>
      <c r="BT112" s="116"/>
      <c r="BU112" s="116"/>
      <c r="BV112" s="116"/>
      <c r="BW112" s="116"/>
      <c r="BX112" s="116"/>
      <c r="BY112" s="116"/>
      <c r="BZ112" s="116"/>
      <c r="CA112" s="116"/>
      <c r="CB112" s="116"/>
      <c r="CC112" s="116"/>
      <c r="CD112" s="116"/>
      <c r="CE112" s="116"/>
      <c r="CF112" s="116"/>
      <c r="CG112" s="116"/>
      <c r="CH112" s="117"/>
    </row>
    <row r="113" spans="1:86" x14ac:dyDescent="0.2">
      <c r="A113" s="105"/>
      <c r="B113" s="105"/>
      <c r="C113" s="56"/>
      <c r="D113" s="57"/>
      <c r="E113" s="58"/>
      <c r="F113" s="58"/>
      <c r="G113" s="59"/>
      <c r="H113" s="106"/>
      <c r="I113" s="107"/>
      <c r="J113" s="108"/>
      <c r="K113" s="109"/>
      <c r="L113" s="110"/>
      <c r="M113" s="111"/>
      <c r="N113" s="115"/>
      <c r="O113" s="116"/>
      <c r="P113" s="116"/>
      <c r="Q113" s="116"/>
      <c r="R113" s="116"/>
      <c r="S113" s="116"/>
      <c r="T113" s="116"/>
      <c r="U113" s="116"/>
      <c r="V113" s="116"/>
      <c r="W113" s="116"/>
      <c r="X113" s="116"/>
      <c r="Y113" s="116"/>
      <c r="Z113" s="116"/>
      <c r="AA113" s="116"/>
      <c r="AB113" s="116"/>
      <c r="AC113" s="116"/>
      <c r="AD113" s="116"/>
      <c r="AE113" s="116"/>
      <c r="AF113" s="116"/>
      <c r="AG113" s="116"/>
      <c r="AH113" s="116"/>
      <c r="AI113" s="116"/>
      <c r="AJ113" s="116"/>
      <c r="AK113" s="116"/>
      <c r="AL113" s="116"/>
      <c r="AM113" s="116"/>
      <c r="AN113" s="116"/>
      <c r="AO113" s="116"/>
      <c r="AP113" s="116"/>
      <c r="AQ113" s="116"/>
      <c r="AR113" s="116"/>
      <c r="AS113" s="116"/>
      <c r="AT113" s="116"/>
      <c r="AU113" s="116"/>
      <c r="AV113" s="116"/>
      <c r="AW113" s="116"/>
      <c r="AX113" s="116"/>
      <c r="AY113" s="116"/>
      <c r="AZ113" s="116"/>
      <c r="BA113" s="116"/>
      <c r="BB113" s="116"/>
      <c r="BC113" s="116"/>
      <c r="BD113" s="116"/>
      <c r="BE113" s="116"/>
      <c r="BF113" s="116"/>
      <c r="BG113" s="116"/>
      <c r="BH113" s="116"/>
      <c r="BI113" s="116"/>
      <c r="BJ113" s="116"/>
      <c r="BK113" s="116"/>
      <c r="BL113" s="116"/>
      <c r="BM113" s="116"/>
      <c r="BN113" s="116"/>
      <c r="BO113" s="116"/>
      <c r="BP113" s="116"/>
      <c r="BQ113" s="116"/>
      <c r="BR113" s="116"/>
      <c r="BS113" s="116"/>
      <c r="BT113" s="116"/>
      <c r="BU113" s="116"/>
      <c r="BV113" s="116"/>
      <c r="BW113" s="116"/>
      <c r="BX113" s="116"/>
      <c r="BY113" s="116"/>
      <c r="BZ113" s="116"/>
      <c r="CA113" s="116"/>
      <c r="CB113" s="116"/>
      <c r="CC113" s="116"/>
      <c r="CD113" s="116"/>
      <c r="CE113" s="116"/>
      <c r="CF113" s="116"/>
      <c r="CG113" s="116"/>
      <c r="CH113" s="117"/>
    </row>
    <row r="114" spans="1:86" s="46" customFormat="1" x14ac:dyDescent="0.2">
      <c r="A114" s="105"/>
      <c r="B114" s="105"/>
      <c r="C114" s="56"/>
      <c r="D114" s="57"/>
      <c r="E114" s="58"/>
      <c r="F114" s="58"/>
      <c r="G114" s="59"/>
      <c r="H114" s="106"/>
      <c r="I114" s="107"/>
      <c r="J114" s="108"/>
      <c r="K114" s="109"/>
      <c r="L114" s="129"/>
      <c r="M114" s="111"/>
      <c r="N114" s="115"/>
      <c r="O114" s="116"/>
      <c r="P114" s="116"/>
      <c r="Q114" s="116"/>
      <c r="R114" s="116"/>
      <c r="S114" s="116"/>
      <c r="T114" s="116"/>
      <c r="U114" s="116"/>
      <c r="V114" s="116"/>
      <c r="W114" s="116"/>
      <c r="X114" s="116"/>
      <c r="Y114" s="116"/>
      <c r="Z114" s="116"/>
      <c r="AA114" s="116"/>
      <c r="AB114" s="116"/>
      <c r="AC114" s="116"/>
      <c r="AD114" s="116"/>
      <c r="AE114" s="116"/>
      <c r="AF114" s="116"/>
      <c r="AG114" s="116"/>
      <c r="AH114" s="116"/>
      <c r="AI114" s="116"/>
      <c r="AJ114" s="116"/>
      <c r="AK114" s="116"/>
      <c r="AL114" s="116"/>
      <c r="AM114" s="116"/>
      <c r="AN114" s="116"/>
      <c r="AO114" s="116"/>
      <c r="AP114" s="116"/>
      <c r="AQ114" s="116"/>
      <c r="AR114" s="116"/>
      <c r="AS114" s="116"/>
      <c r="AT114" s="116"/>
      <c r="AU114" s="116"/>
      <c r="AV114" s="116"/>
      <c r="AW114" s="116"/>
      <c r="AX114" s="116"/>
      <c r="AY114" s="116"/>
      <c r="AZ114" s="116"/>
      <c r="BA114" s="116"/>
      <c r="BB114" s="116"/>
      <c r="BC114" s="116"/>
      <c r="BD114" s="116"/>
      <c r="BE114" s="116"/>
      <c r="BF114" s="116"/>
      <c r="BG114" s="116"/>
      <c r="BH114" s="116"/>
      <c r="BI114" s="116"/>
      <c r="BJ114" s="116"/>
      <c r="BK114" s="116"/>
      <c r="BL114" s="116"/>
      <c r="BM114" s="116"/>
      <c r="BN114" s="116"/>
      <c r="BO114" s="116"/>
      <c r="BP114" s="116"/>
      <c r="BQ114" s="116"/>
      <c r="BR114" s="116"/>
      <c r="BS114" s="116"/>
      <c r="BT114" s="116"/>
      <c r="BU114" s="116"/>
      <c r="BV114" s="116"/>
      <c r="BW114" s="116"/>
      <c r="BX114" s="116"/>
      <c r="BY114" s="116"/>
      <c r="BZ114" s="116"/>
      <c r="CA114" s="116"/>
      <c r="CB114" s="116"/>
      <c r="CC114" s="116"/>
      <c r="CD114" s="116"/>
      <c r="CE114" s="116"/>
      <c r="CF114" s="116"/>
      <c r="CG114" s="116"/>
      <c r="CH114" s="117"/>
    </row>
    <row r="115" spans="1:86" s="46" customFormat="1" x14ac:dyDescent="0.2">
      <c r="A115" s="105"/>
      <c r="B115" s="105"/>
      <c r="C115" s="56"/>
      <c r="D115" s="57"/>
      <c r="E115" s="58"/>
      <c r="F115" s="58"/>
      <c r="G115" s="59"/>
      <c r="H115" s="106"/>
      <c r="I115" s="107"/>
      <c r="J115" s="108"/>
      <c r="K115" s="109"/>
      <c r="L115" s="129"/>
      <c r="M115" s="111"/>
      <c r="N115" s="115"/>
      <c r="O115" s="116"/>
      <c r="P115" s="116"/>
      <c r="Q115" s="116"/>
      <c r="R115" s="116"/>
      <c r="S115" s="116"/>
      <c r="T115" s="116"/>
      <c r="U115" s="116"/>
      <c r="V115" s="116"/>
      <c r="W115" s="116"/>
      <c r="X115" s="116"/>
      <c r="Y115" s="116"/>
      <c r="Z115" s="116"/>
      <c r="AA115" s="116"/>
      <c r="AB115" s="116"/>
      <c r="AC115" s="116"/>
      <c r="AD115" s="116"/>
      <c r="AE115" s="116"/>
      <c r="AF115" s="116"/>
      <c r="AG115" s="116"/>
      <c r="AH115" s="116"/>
      <c r="AI115" s="116"/>
      <c r="AJ115" s="116"/>
      <c r="AK115" s="116"/>
      <c r="AL115" s="116"/>
      <c r="AM115" s="116"/>
      <c r="AN115" s="116"/>
      <c r="AO115" s="116"/>
      <c r="AP115" s="116"/>
      <c r="AQ115" s="116"/>
      <c r="AR115" s="116"/>
      <c r="AS115" s="116"/>
      <c r="AT115" s="116"/>
      <c r="AU115" s="116"/>
      <c r="AV115" s="116"/>
      <c r="AW115" s="116"/>
      <c r="AX115" s="116"/>
      <c r="AY115" s="116"/>
      <c r="AZ115" s="116"/>
      <c r="BA115" s="116"/>
      <c r="BB115" s="116"/>
      <c r="BC115" s="116"/>
      <c r="BD115" s="116"/>
      <c r="BE115" s="116"/>
      <c r="BF115" s="116"/>
      <c r="BG115" s="116"/>
      <c r="BH115" s="116"/>
      <c r="BI115" s="116"/>
      <c r="BJ115" s="116"/>
      <c r="BK115" s="116"/>
      <c r="BL115" s="116"/>
      <c r="BM115" s="116"/>
      <c r="BN115" s="116"/>
      <c r="BO115" s="116"/>
      <c r="BP115" s="116"/>
      <c r="BQ115" s="116"/>
      <c r="BR115" s="116"/>
      <c r="BS115" s="116"/>
      <c r="BT115" s="116"/>
      <c r="BU115" s="116"/>
      <c r="BV115" s="116"/>
      <c r="BW115" s="116"/>
      <c r="BX115" s="116"/>
      <c r="BY115" s="116"/>
      <c r="BZ115" s="116"/>
      <c r="CA115" s="116"/>
      <c r="CB115" s="116"/>
      <c r="CC115" s="116"/>
      <c r="CD115" s="116"/>
      <c r="CE115" s="116"/>
      <c r="CF115" s="116"/>
      <c r="CG115" s="116"/>
      <c r="CH115" s="117"/>
    </row>
    <row r="116" spans="1:86" x14ac:dyDescent="0.2">
      <c r="A116" s="105"/>
      <c r="B116" s="105"/>
      <c r="C116" s="56"/>
      <c r="D116" s="57"/>
      <c r="E116" s="58"/>
      <c r="F116" s="58"/>
      <c r="G116" s="59"/>
      <c r="H116" s="106"/>
      <c r="I116" s="107"/>
      <c r="J116" s="108"/>
      <c r="K116" s="109"/>
      <c r="L116" s="129"/>
      <c r="M116" s="111"/>
      <c r="N116" s="115"/>
      <c r="O116" s="116"/>
      <c r="P116" s="116"/>
      <c r="Q116" s="116"/>
      <c r="R116" s="116"/>
      <c r="S116" s="116"/>
      <c r="T116" s="116"/>
      <c r="U116" s="116"/>
      <c r="V116" s="116"/>
      <c r="W116" s="116"/>
      <c r="X116" s="116"/>
      <c r="Y116" s="116"/>
      <c r="Z116" s="116"/>
      <c r="AA116" s="116"/>
      <c r="AB116" s="116"/>
      <c r="AC116" s="116"/>
      <c r="AD116" s="116"/>
      <c r="AE116" s="116"/>
      <c r="AF116" s="116"/>
      <c r="AG116" s="116"/>
      <c r="AH116" s="116"/>
      <c r="AI116" s="116"/>
      <c r="AJ116" s="116"/>
      <c r="AK116" s="116"/>
      <c r="AL116" s="116"/>
      <c r="AM116" s="116"/>
      <c r="AN116" s="116"/>
      <c r="AO116" s="116"/>
      <c r="AP116" s="116"/>
      <c r="AQ116" s="116"/>
      <c r="AR116" s="116"/>
      <c r="AS116" s="116"/>
      <c r="AT116" s="116"/>
      <c r="AU116" s="116"/>
      <c r="AV116" s="116"/>
      <c r="AW116" s="116"/>
      <c r="AX116" s="116"/>
      <c r="AY116" s="116"/>
      <c r="AZ116" s="116"/>
      <c r="BA116" s="116"/>
      <c r="BB116" s="116"/>
      <c r="BC116" s="116"/>
      <c r="BD116" s="116"/>
      <c r="BE116" s="116"/>
      <c r="BF116" s="116"/>
      <c r="BG116" s="116"/>
      <c r="BH116" s="116"/>
      <c r="BI116" s="116"/>
      <c r="BJ116" s="116"/>
      <c r="BK116" s="116"/>
      <c r="BL116" s="116"/>
      <c r="BM116" s="116"/>
      <c r="BN116" s="116"/>
      <c r="BO116" s="116"/>
      <c r="BP116" s="116"/>
      <c r="BQ116" s="116"/>
      <c r="BR116" s="116"/>
      <c r="BS116" s="116"/>
      <c r="BT116" s="116"/>
      <c r="BU116" s="116"/>
      <c r="BV116" s="116"/>
      <c r="BW116" s="116"/>
      <c r="BX116" s="116"/>
      <c r="BY116" s="116"/>
      <c r="BZ116" s="116"/>
      <c r="CA116" s="116"/>
      <c r="CB116" s="116"/>
      <c r="CC116" s="116"/>
      <c r="CD116" s="116"/>
      <c r="CE116" s="116"/>
      <c r="CF116" s="116"/>
      <c r="CG116" s="116"/>
      <c r="CH116" s="117"/>
    </row>
    <row r="117" spans="1:86" x14ac:dyDescent="0.2">
      <c r="A117" s="105"/>
      <c r="B117" s="105"/>
      <c r="C117" s="56"/>
      <c r="D117" s="57"/>
      <c r="E117" s="58"/>
      <c r="F117" s="58"/>
      <c r="G117" s="59"/>
      <c r="H117" s="106"/>
      <c r="I117" s="107"/>
      <c r="J117" s="108"/>
      <c r="K117" s="109"/>
      <c r="L117" s="129"/>
      <c r="M117" s="111"/>
      <c r="N117" s="115"/>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6"/>
      <c r="BC117" s="116"/>
      <c r="BD117" s="116"/>
      <c r="BE117" s="116"/>
      <c r="BF117" s="116"/>
      <c r="BG117" s="116"/>
      <c r="BH117" s="116"/>
      <c r="BI117" s="116"/>
      <c r="BJ117" s="116"/>
      <c r="BK117" s="116"/>
      <c r="BL117" s="116"/>
      <c r="BM117" s="116"/>
      <c r="BN117" s="116"/>
      <c r="BO117" s="116"/>
      <c r="BP117" s="116"/>
      <c r="BQ117" s="116"/>
      <c r="BR117" s="116"/>
      <c r="BS117" s="116"/>
      <c r="BT117" s="116"/>
      <c r="BU117" s="116"/>
      <c r="BV117" s="116"/>
      <c r="BW117" s="116"/>
      <c r="BX117" s="116"/>
      <c r="BY117" s="116"/>
      <c r="BZ117" s="116"/>
      <c r="CA117" s="116"/>
      <c r="CB117" s="116"/>
      <c r="CC117" s="116"/>
      <c r="CD117" s="116"/>
      <c r="CE117" s="116"/>
      <c r="CF117" s="116"/>
      <c r="CG117" s="116"/>
      <c r="CH117" s="117"/>
    </row>
    <row r="118" spans="1:86" x14ac:dyDescent="0.2">
      <c r="A118" s="105"/>
      <c r="B118" s="105"/>
      <c r="C118" s="56"/>
      <c r="D118" s="57"/>
      <c r="E118" s="58"/>
      <c r="F118" s="58"/>
      <c r="G118" s="59"/>
      <c r="H118" s="106"/>
      <c r="I118" s="107"/>
      <c r="J118" s="108"/>
      <c r="K118" s="109"/>
      <c r="L118" s="129"/>
      <c r="M118" s="111"/>
      <c r="N118" s="115"/>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c r="AK118" s="116"/>
      <c r="AL118" s="116"/>
      <c r="AM118" s="116"/>
      <c r="AN118" s="116"/>
      <c r="AO118" s="116"/>
      <c r="AP118" s="116"/>
      <c r="AQ118" s="116"/>
      <c r="AR118" s="116"/>
      <c r="AS118" s="116"/>
      <c r="AT118" s="116"/>
      <c r="AU118" s="116"/>
      <c r="AV118" s="116"/>
      <c r="AW118" s="116"/>
      <c r="AX118" s="116"/>
      <c r="AY118" s="116"/>
      <c r="AZ118" s="116"/>
      <c r="BA118" s="116"/>
      <c r="BB118" s="116"/>
      <c r="BC118" s="116"/>
      <c r="BD118" s="116"/>
      <c r="BE118" s="116"/>
      <c r="BF118" s="116"/>
      <c r="BG118" s="116"/>
      <c r="BH118" s="116"/>
      <c r="BI118" s="116"/>
      <c r="BJ118" s="116"/>
      <c r="BK118" s="116"/>
      <c r="BL118" s="116"/>
      <c r="BM118" s="116"/>
      <c r="BN118" s="116"/>
      <c r="BO118" s="116"/>
      <c r="BP118" s="116"/>
      <c r="BQ118" s="116"/>
      <c r="BR118" s="116"/>
      <c r="BS118" s="116"/>
      <c r="BT118" s="116"/>
      <c r="BU118" s="116"/>
      <c r="BV118" s="116"/>
      <c r="BW118" s="116"/>
      <c r="BX118" s="116"/>
      <c r="BY118" s="116"/>
      <c r="BZ118" s="116"/>
      <c r="CA118" s="116"/>
      <c r="CB118" s="116"/>
      <c r="CC118" s="116"/>
      <c r="CD118" s="116"/>
      <c r="CE118" s="116"/>
      <c r="CF118" s="116"/>
      <c r="CG118" s="116"/>
      <c r="CH118" s="117"/>
    </row>
    <row r="119" spans="1:86" x14ac:dyDescent="0.2">
      <c r="A119" s="105"/>
      <c r="B119" s="105"/>
      <c r="C119" s="56"/>
      <c r="D119" s="57"/>
      <c r="E119" s="58"/>
      <c r="F119" s="58"/>
      <c r="G119" s="59"/>
      <c r="H119" s="106"/>
      <c r="I119" s="107"/>
      <c r="J119" s="108"/>
      <c r="K119" s="109"/>
      <c r="L119" s="129"/>
      <c r="M119" s="111"/>
      <c r="N119" s="115"/>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c r="AK119" s="116"/>
      <c r="AL119" s="116"/>
      <c r="AM119" s="116"/>
      <c r="AN119" s="116"/>
      <c r="AO119" s="116"/>
      <c r="AP119" s="116"/>
      <c r="AQ119" s="116"/>
      <c r="AR119" s="116"/>
      <c r="AS119" s="116"/>
      <c r="AT119" s="116"/>
      <c r="AU119" s="116"/>
      <c r="AV119" s="116"/>
      <c r="AW119" s="116"/>
      <c r="AX119" s="116"/>
      <c r="AY119" s="116"/>
      <c r="AZ119" s="116"/>
      <c r="BA119" s="116"/>
      <c r="BB119" s="116"/>
      <c r="BC119" s="116"/>
      <c r="BD119" s="116"/>
      <c r="BE119" s="116"/>
      <c r="BF119" s="116"/>
      <c r="BG119" s="116"/>
      <c r="BH119" s="116"/>
      <c r="BI119" s="116"/>
      <c r="BJ119" s="116"/>
      <c r="BK119" s="116"/>
      <c r="BL119" s="116"/>
      <c r="BM119" s="116"/>
      <c r="BN119" s="116"/>
      <c r="BO119" s="116"/>
      <c r="BP119" s="116"/>
      <c r="BQ119" s="116"/>
      <c r="BR119" s="116"/>
      <c r="BS119" s="116"/>
      <c r="BT119" s="116"/>
      <c r="BU119" s="116"/>
      <c r="BV119" s="116"/>
      <c r="BW119" s="116"/>
      <c r="BX119" s="116"/>
      <c r="BY119" s="116"/>
      <c r="BZ119" s="116"/>
      <c r="CA119" s="116"/>
      <c r="CB119" s="116"/>
      <c r="CC119" s="116"/>
      <c r="CD119" s="116"/>
      <c r="CE119" s="116"/>
      <c r="CF119" s="116"/>
      <c r="CG119" s="116"/>
      <c r="CH119" s="117"/>
    </row>
    <row r="120" spans="1:86" x14ac:dyDescent="0.2">
      <c r="A120" s="105"/>
      <c r="B120" s="105"/>
      <c r="C120" s="56"/>
      <c r="D120" s="57"/>
      <c r="E120" s="58"/>
      <c r="F120" s="58"/>
      <c r="G120" s="59"/>
      <c r="H120" s="106"/>
      <c r="I120" s="107"/>
      <c r="J120" s="108"/>
      <c r="K120" s="109"/>
      <c r="L120" s="129"/>
      <c r="M120" s="111"/>
      <c r="N120" s="115"/>
      <c r="O120" s="116"/>
      <c r="P120" s="116"/>
      <c r="Q120" s="116"/>
      <c r="R120" s="116"/>
      <c r="S120" s="116"/>
      <c r="T120" s="116"/>
      <c r="U120" s="116"/>
      <c r="V120" s="116"/>
      <c r="W120" s="116"/>
      <c r="X120" s="116"/>
      <c r="Y120" s="116"/>
      <c r="Z120" s="116"/>
      <c r="AA120" s="116"/>
      <c r="AB120" s="116"/>
      <c r="AC120" s="116"/>
      <c r="AD120" s="116"/>
      <c r="AE120" s="116"/>
      <c r="AF120" s="116"/>
      <c r="AG120" s="116"/>
      <c r="AH120" s="116"/>
      <c r="AI120" s="116"/>
      <c r="AJ120" s="116"/>
      <c r="AK120" s="116"/>
      <c r="AL120" s="116"/>
      <c r="AM120" s="116"/>
      <c r="AN120" s="116"/>
      <c r="AO120" s="116"/>
      <c r="AP120" s="116"/>
      <c r="AQ120" s="116"/>
      <c r="AR120" s="116"/>
      <c r="AS120" s="116"/>
      <c r="AT120" s="116"/>
      <c r="AU120" s="116"/>
      <c r="AV120" s="116"/>
      <c r="AW120" s="116"/>
      <c r="AX120" s="116"/>
      <c r="AY120" s="116"/>
      <c r="AZ120" s="116"/>
      <c r="BA120" s="116"/>
      <c r="BB120" s="116"/>
      <c r="BC120" s="116"/>
      <c r="BD120" s="116"/>
      <c r="BE120" s="116"/>
      <c r="BF120" s="116"/>
      <c r="BG120" s="116"/>
      <c r="BH120" s="116"/>
      <c r="BI120" s="116"/>
      <c r="BJ120" s="116"/>
      <c r="BK120" s="116"/>
      <c r="BL120" s="116"/>
      <c r="BM120" s="116"/>
      <c r="BN120" s="116"/>
      <c r="BO120" s="116"/>
      <c r="BP120" s="116"/>
      <c r="BQ120" s="116"/>
      <c r="BR120" s="116"/>
      <c r="BS120" s="116"/>
      <c r="BT120" s="116"/>
      <c r="BU120" s="116"/>
      <c r="BV120" s="116"/>
      <c r="BW120" s="116"/>
      <c r="BX120" s="116"/>
      <c r="BY120" s="116"/>
      <c r="BZ120" s="116"/>
      <c r="CA120" s="116"/>
      <c r="CB120" s="116"/>
      <c r="CC120" s="116"/>
      <c r="CD120" s="116"/>
      <c r="CE120" s="116"/>
      <c r="CF120" s="116"/>
      <c r="CG120" s="116"/>
      <c r="CH120" s="117"/>
    </row>
    <row r="121" spans="1:86" x14ac:dyDescent="0.2">
      <c r="A121" s="105"/>
      <c r="B121" s="105"/>
      <c r="C121" s="56"/>
      <c r="D121" s="57"/>
      <c r="E121" s="58"/>
      <c r="F121" s="58"/>
      <c r="G121" s="59"/>
      <c r="H121" s="106"/>
      <c r="I121" s="107"/>
      <c r="J121" s="108"/>
      <c r="K121" s="109"/>
      <c r="L121" s="110"/>
      <c r="M121" s="111"/>
      <c r="N121" s="115"/>
      <c r="O121" s="116"/>
      <c r="P121" s="116"/>
      <c r="Q121" s="116"/>
      <c r="R121" s="116"/>
      <c r="S121" s="116"/>
      <c r="T121" s="116"/>
      <c r="U121" s="116"/>
      <c r="V121" s="116"/>
      <c r="W121" s="116"/>
      <c r="X121" s="116"/>
      <c r="Y121" s="116"/>
      <c r="Z121" s="116"/>
      <c r="AA121" s="116"/>
      <c r="AB121" s="116"/>
      <c r="AC121" s="116"/>
      <c r="AD121" s="116"/>
      <c r="AE121" s="116"/>
      <c r="AF121" s="116"/>
      <c r="AG121" s="116"/>
      <c r="AH121" s="116"/>
      <c r="AI121" s="116"/>
      <c r="AJ121" s="116"/>
      <c r="AK121" s="116"/>
      <c r="AL121" s="116"/>
      <c r="AM121" s="116"/>
      <c r="AN121" s="116"/>
      <c r="AO121" s="116"/>
      <c r="AP121" s="116"/>
      <c r="AQ121" s="116"/>
      <c r="AR121" s="116"/>
      <c r="AS121" s="116"/>
      <c r="AT121" s="116"/>
      <c r="AU121" s="116"/>
      <c r="AV121" s="116"/>
      <c r="AW121" s="116"/>
      <c r="AX121" s="116"/>
      <c r="AY121" s="116"/>
      <c r="AZ121" s="116"/>
      <c r="BA121" s="116"/>
      <c r="BB121" s="116"/>
      <c r="BC121" s="116"/>
      <c r="BD121" s="116"/>
      <c r="BE121" s="116"/>
      <c r="BF121" s="116"/>
      <c r="BG121" s="116"/>
      <c r="BH121" s="116"/>
      <c r="BI121" s="116"/>
      <c r="BJ121" s="116"/>
      <c r="BK121" s="116"/>
      <c r="BL121" s="116"/>
      <c r="BM121" s="116"/>
      <c r="BN121" s="116"/>
      <c r="BO121" s="116"/>
      <c r="BP121" s="116"/>
      <c r="BQ121" s="116"/>
      <c r="BR121" s="116"/>
      <c r="BS121" s="116"/>
      <c r="BT121" s="116"/>
      <c r="BU121" s="116"/>
      <c r="BV121" s="116"/>
      <c r="BW121" s="116"/>
      <c r="BX121" s="116"/>
      <c r="BY121" s="116"/>
      <c r="BZ121" s="116"/>
      <c r="CA121" s="116"/>
      <c r="CB121" s="116"/>
      <c r="CC121" s="116"/>
      <c r="CD121" s="116"/>
      <c r="CE121" s="116"/>
      <c r="CF121" s="116"/>
      <c r="CG121" s="116"/>
      <c r="CH121" s="117"/>
    </row>
    <row r="122" spans="1:86" x14ac:dyDescent="0.2">
      <c r="A122" s="105"/>
      <c r="B122" s="105"/>
      <c r="C122" s="56"/>
      <c r="D122" s="57"/>
      <c r="E122" s="58"/>
      <c r="F122" s="58"/>
      <c r="G122" s="59"/>
      <c r="H122" s="106"/>
      <c r="I122" s="107"/>
      <c r="J122" s="108"/>
      <c r="K122" s="109"/>
      <c r="L122" s="110"/>
      <c r="M122" s="111"/>
      <c r="N122" s="115"/>
      <c r="O122" s="116"/>
      <c r="P122" s="116"/>
      <c r="Q122" s="116"/>
      <c r="R122" s="116"/>
      <c r="S122" s="116"/>
      <c r="T122" s="116"/>
      <c r="U122" s="116"/>
      <c r="V122" s="116"/>
      <c r="W122" s="116"/>
      <c r="X122" s="116"/>
      <c r="Y122" s="116"/>
      <c r="Z122" s="116"/>
      <c r="AA122" s="116"/>
      <c r="AB122" s="116"/>
      <c r="AC122" s="116"/>
      <c r="AD122" s="116"/>
      <c r="AE122" s="116"/>
      <c r="AF122" s="116"/>
      <c r="AG122" s="116"/>
      <c r="AH122" s="116"/>
      <c r="AI122" s="116"/>
      <c r="AJ122" s="116"/>
      <c r="AK122" s="116"/>
      <c r="AL122" s="116"/>
      <c r="AM122" s="116"/>
      <c r="AN122" s="116"/>
      <c r="AO122" s="116"/>
      <c r="AP122" s="116"/>
      <c r="AQ122" s="116"/>
      <c r="AR122" s="116"/>
      <c r="AS122" s="116"/>
      <c r="AT122" s="116"/>
      <c r="AU122" s="116"/>
      <c r="AV122" s="116"/>
      <c r="AW122" s="116"/>
      <c r="AX122" s="116"/>
      <c r="AY122" s="116"/>
      <c r="AZ122" s="116"/>
      <c r="BA122" s="116"/>
      <c r="BB122" s="116"/>
      <c r="BC122" s="116"/>
      <c r="BD122" s="116"/>
      <c r="BE122" s="116"/>
      <c r="BF122" s="116"/>
      <c r="BG122" s="116"/>
      <c r="BH122" s="116"/>
      <c r="BI122" s="116"/>
      <c r="BJ122" s="116"/>
      <c r="BK122" s="116"/>
      <c r="BL122" s="116"/>
      <c r="BM122" s="116"/>
      <c r="BN122" s="116"/>
      <c r="BO122" s="116"/>
      <c r="BP122" s="116"/>
      <c r="BQ122" s="116"/>
      <c r="BR122" s="116"/>
      <c r="BS122" s="116"/>
      <c r="BT122" s="116"/>
      <c r="BU122" s="116"/>
      <c r="BV122" s="116"/>
      <c r="BW122" s="116"/>
      <c r="BX122" s="116"/>
      <c r="BY122" s="116"/>
      <c r="BZ122" s="116"/>
      <c r="CA122" s="116"/>
      <c r="CB122" s="116"/>
      <c r="CC122" s="116"/>
      <c r="CD122" s="116"/>
      <c r="CE122" s="116"/>
      <c r="CF122" s="116"/>
      <c r="CG122" s="116"/>
      <c r="CH122" s="117"/>
    </row>
    <row r="123" spans="1:86" x14ac:dyDescent="0.2">
      <c r="A123" s="105"/>
      <c r="B123" s="105"/>
      <c r="C123" s="56"/>
      <c r="D123" s="57"/>
      <c r="E123" s="58"/>
      <c r="F123" s="58"/>
      <c r="G123" s="59"/>
      <c r="H123" s="106"/>
      <c r="I123" s="107"/>
      <c r="J123" s="108"/>
      <c r="K123" s="109"/>
      <c r="L123" s="110"/>
      <c r="M123" s="111"/>
      <c r="N123" s="115"/>
      <c r="O123" s="116"/>
      <c r="P123" s="116"/>
      <c r="Q123" s="116"/>
      <c r="R123" s="116"/>
      <c r="S123" s="116"/>
      <c r="T123" s="116"/>
      <c r="U123" s="116"/>
      <c r="V123" s="116"/>
      <c r="W123" s="116"/>
      <c r="X123" s="116"/>
      <c r="Y123" s="116"/>
      <c r="Z123" s="116"/>
      <c r="AA123" s="116"/>
      <c r="AB123" s="116"/>
      <c r="AC123" s="116"/>
      <c r="AD123" s="116"/>
      <c r="AE123" s="116"/>
      <c r="AF123" s="116"/>
      <c r="AG123" s="116"/>
      <c r="AH123" s="116"/>
      <c r="AI123" s="116"/>
      <c r="AJ123" s="116"/>
      <c r="AK123" s="116"/>
      <c r="AL123" s="116"/>
      <c r="AM123" s="116"/>
      <c r="AN123" s="116"/>
      <c r="AO123" s="116"/>
      <c r="AP123" s="116"/>
      <c r="AQ123" s="116"/>
      <c r="AR123" s="116"/>
      <c r="AS123" s="116"/>
      <c r="AT123" s="116"/>
      <c r="AU123" s="116"/>
      <c r="AV123" s="116"/>
      <c r="AW123" s="116"/>
      <c r="AX123" s="116"/>
      <c r="AY123" s="116"/>
      <c r="AZ123" s="116"/>
      <c r="BA123" s="116"/>
      <c r="BB123" s="116"/>
      <c r="BC123" s="116"/>
      <c r="BD123" s="116"/>
      <c r="BE123" s="116"/>
      <c r="BF123" s="116"/>
      <c r="BG123" s="116"/>
      <c r="BH123" s="116"/>
      <c r="BI123" s="116"/>
      <c r="BJ123" s="116"/>
      <c r="BK123" s="116"/>
      <c r="BL123" s="116"/>
      <c r="BM123" s="116"/>
      <c r="BN123" s="116"/>
      <c r="BO123" s="116"/>
      <c r="BP123" s="116"/>
      <c r="BQ123" s="116"/>
      <c r="BR123" s="116"/>
      <c r="BS123" s="116"/>
      <c r="BT123" s="116"/>
      <c r="BU123" s="116"/>
      <c r="BV123" s="116"/>
      <c r="BW123" s="116"/>
      <c r="BX123" s="116"/>
      <c r="BY123" s="116"/>
      <c r="BZ123" s="116"/>
      <c r="CA123" s="116"/>
      <c r="CB123" s="116"/>
      <c r="CC123" s="116"/>
      <c r="CD123" s="116"/>
      <c r="CE123" s="116"/>
      <c r="CF123" s="116"/>
      <c r="CG123" s="116"/>
      <c r="CH123" s="117"/>
    </row>
    <row r="124" spans="1:86" x14ac:dyDescent="0.2">
      <c r="A124" s="105"/>
      <c r="B124" s="105"/>
      <c r="C124" s="56"/>
      <c r="D124" s="57"/>
      <c r="E124" s="58"/>
      <c r="F124" s="58"/>
      <c r="G124" s="59"/>
      <c r="H124" s="106"/>
      <c r="I124" s="107"/>
      <c r="J124" s="108"/>
      <c r="K124" s="109"/>
      <c r="L124" s="110"/>
      <c r="M124" s="111"/>
      <c r="N124" s="115"/>
      <c r="O124" s="116"/>
      <c r="P124" s="116"/>
      <c r="Q124" s="116"/>
      <c r="R124" s="116"/>
      <c r="S124" s="116"/>
      <c r="T124" s="116"/>
      <c r="U124" s="116"/>
      <c r="V124" s="116"/>
      <c r="W124" s="116"/>
      <c r="X124" s="116"/>
      <c r="Y124" s="116"/>
      <c r="Z124" s="116"/>
      <c r="AA124" s="116"/>
      <c r="AB124" s="116"/>
      <c r="AC124" s="116"/>
      <c r="AD124" s="116"/>
      <c r="AE124" s="116"/>
      <c r="AF124" s="116"/>
      <c r="AG124" s="116"/>
      <c r="AH124" s="116"/>
      <c r="AI124" s="116"/>
      <c r="AJ124" s="116"/>
      <c r="AK124" s="116"/>
      <c r="AL124" s="116"/>
      <c r="AM124" s="116"/>
      <c r="AN124" s="116"/>
      <c r="AO124" s="116"/>
      <c r="AP124" s="116"/>
      <c r="AQ124" s="116"/>
      <c r="AR124" s="116"/>
      <c r="AS124" s="116"/>
      <c r="AT124" s="116"/>
      <c r="AU124" s="116"/>
      <c r="AV124" s="116"/>
      <c r="AW124" s="116"/>
      <c r="AX124" s="116"/>
      <c r="AY124" s="116"/>
      <c r="AZ124" s="116"/>
      <c r="BA124" s="116"/>
      <c r="BB124" s="116"/>
      <c r="BC124" s="116"/>
      <c r="BD124" s="116"/>
      <c r="BE124" s="116"/>
      <c r="BF124" s="116"/>
      <c r="BG124" s="116"/>
      <c r="BH124" s="116"/>
      <c r="BI124" s="116"/>
      <c r="BJ124" s="116"/>
      <c r="BK124" s="116"/>
      <c r="BL124" s="116"/>
      <c r="BM124" s="116"/>
      <c r="BN124" s="116"/>
      <c r="BO124" s="116"/>
      <c r="BP124" s="116"/>
      <c r="BQ124" s="116"/>
      <c r="BR124" s="116"/>
      <c r="BS124" s="116"/>
      <c r="BT124" s="116"/>
      <c r="BU124" s="116"/>
      <c r="BV124" s="116"/>
      <c r="BW124" s="116"/>
      <c r="BX124" s="116"/>
      <c r="BY124" s="116"/>
      <c r="BZ124" s="116"/>
      <c r="CA124" s="116"/>
      <c r="CB124" s="116"/>
      <c r="CC124" s="116"/>
      <c r="CD124" s="116"/>
      <c r="CE124" s="116"/>
      <c r="CF124" s="116"/>
      <c r="CG124" s="116"/>
      <c r="CH124" s="117"/>
    </row>
    <row r="125" spans="1:86" x14ac:dyDescent="0.2">
      <c r="A125" s="105"/>
      <c r="B125" s="105"/>
      <c r="C125" s="56"/>
      <c r="D125" s="57"/>
      <c r="E125" s="58"/>
      <c r="F125" s="58"/>
      <c r="G125" s="59"/>
      <c r="H125" s="106"/>
      <c r="I125" s="107"/>
      <c r="J125" s="108"/>
      <c r="K125" s="109"/>
      <c r="L125" s="129"/>
      <c r="M125" s="111"/>
      <c r="N125" s="115"/>
      <c r="O125" s="116"/>
      <c r="P125" s="116"/>
      <c r="Q125" s="116"/>
      <c r="R125" s="116"/>
      <c r="S125" s="116"/>
      <c r="T125" s="116"/>
      <c r="U125" s="116"/>
      <c r="V125" s="116"/>
      <c r="W125" s="116"/>
      <c r="X125" s="116"/>
      <c r="Y125" s="116"/>
      <c r="Z125" s="116"/>
      <c r="AA125" s="116"/>
      <c r="AB125" s="116"/>
      <c r="AC125" s="116"/>
      <c r="AD125" s="116"/>
      <c r="AE125" s="116"/>
      <c r="AF125" s="116"/>
      <c r="AG125" s="116"/>
      <c r="AH125" s="116"/>
      <c r="AI125" s="116"/>
      <c r="AJ125" s="116"/>
      <c r="AK125" s="116"/>
      <c r="AL125" s="116"/>
      <c r="AM125" s="116"/>
      <c r="AN125" s="116"/>
      <c r="AO125" s="116"/>
      <c r="AP125" s="116"/>
      <c r="AQ125" s="116"/>
      <c r="AR125" s="116"/>
      <c r="AS125" s="116"/>
      <c r="AT125" s="116"/>
      <c r="AU125" s="116"/>
      <c r="AV125" s="116"/>
      <c r="AW125" s="116"/>
      <c r="AX125" s="116"/>
      <c r="AY125" s="116"/>
      <c r="AZ125" s="116"/>
      <c r="BA125" s="116"/>
      <c r="BB125" s="116"/>
      <c r="BC125" s="116"/>
      <c r="BD125" s="116"/>
      <c r="BE125" s="116"/>
      <c r="BF125" s="116"/>
      <c r="BG125" s="116"/>
      <c r="BH125" s="116"/>
      <c r="BI125" s="116"/>
      <c r="BJ125" s="116"/>
      <c r="BK125" s="116"/>
      <c r="BL125" s="116"/>
      <c r="BM125" s="116"/>
      <c r="BN125" s="116"/>
      <c r="BO125" s="116"/>
      <c r="BP125" s="116"/>
      <c r="BQ125" s="116"/>
      <c r="BR125" s="116"/>
      <c r="BS125" s="116"/>
      <c r="BT125" s="116"/>
      <c r="BU125" s="116"/>
      <c r="BV125" s="116"/>
      <c r="BW125" s="116"/>
      <c r="BX125" s="116"/>
      <c r="BY125" s="116"/>
      <c r="BZ125" s="116"/>
      <c r="CA125" s="116"/>
      <c r="CB125" s="116"/>
      <c r="CC125" s="116"/>
      <c r="CD125" s="116"/>
      <c r="CE125" s="116"/>
      <c r="CF125" s="116"/>
      <c r="CG125" s="116"/>
      <c r="CH125" s="117"/>
    </row>
    <row r="126" spans="1:86" x14ac:dyDescent="0.2">
      <c r="A126" s="105"/>
      <c r="B126" s="105"/>
      <c r="C126" s="56"/>
      <c r="D126" s="57"/>
      <c r="E126" s="58"/>
      <c r="F126" s="58"/>
      <c r="G126" s="59"/>
      <c r="H126" s="106"/>
      <c r="I126" s="107"/>
      <c r="J126" s="108"/>
      <c r="K126" s="109"/>
      <c r="L126" s="110"/>
      <c r="M126" s="111"/>
      <c r="N126" s="115"/>
      <c r="O126" s="116"/>
      <c r="P126" s="116"/>
      <c r="Q126" s="116"/>
      <c r="R126" s="116"/>
      <c r="S126" s="116"/>
      <c r="T126" s="116"/>
      <c r="U126" s="116"/>
      <c r="V126" s="116"/>
      <c r="W126" s="116"/>
      <c r="X126" s="116"/>
      <c r="Y126" s="116"/>
      <c r="Z126" s="116"/>
      <c r="AA126" s="116"/>
      <c r="AB126" s="116"/>
      <c r="AC126" s="116"/>
      <c r="AD126" s="116"/>
      <c r="AE126" s="116"/>
      <c r="AF126" s="116"/>
      <c r="AG126" s="116"/>
      <c r="AH126" s="116"/>
      <c r="AI126" s="116"/>
      <c r="AJ126" s="116"/>
      <c r="AK126" s="116"/>
      <c r="AL126" s="116"/>
      <c r="AM126" s="116"/>
      <c r="AN126" s="116"/>
      <c r="AO126" s="116"/>
      <c r="AP126" s="116"/>
      <c r="AQ126" s="116"/>
      <c r="AR126" s="116"/>
      <c r="AS126" s="116"/>
      <c r="AT126" s="116"/>
      <c r="AU126" s="116"/>
      <c r="AV126" s="116"/>
      <c r="AW126" s="116"/>
      <c r="AX126" s="116"/>
      <c r="AY126" s="116"/>
      <c r="AZ126" s="116"/>
      <c r="BA126" s="116"/>
      <c r="BB126" s="116"/>
      <c r="BC126" s="116"/>
      <c r="BD126" s="116"/>
      <c r="BE126" s="116"/>
      <c r="BF126" s="116"/>
      <c r="BG126" s="116"/>
      <c r="BH126" s="116"/>
      <c r="BI126" s="116"/>
      <c r="BJ126" s="116"/>
      <c r="BK126" s="116"/>
      <c r="BL126" s="116"/>
      <c r="BM126" s="116"/>
      <c r="BN126" s="116"/>
      <c r="BO126" s="116"/>
      <c r="BP126" s="116"/>
      <c r="BQ126" s="116"/>
      <c r="BR126" s="116"/>
      <c r="BS126" s="116"/>
      <c r="BT126" s="116"/>
      <c r="BU126" s="116"/>
      <c r="BV126" s="116"/>
      <c r="BW126" s="116"/>
      <c r="BX126" s="116"/>
      <c r="BY126" s="116"/>
      <c r="BZ126" s="116"/>
      <c r="CA126" s="116"/>
      <c r="CB126" s="116"/>
      <c r="CC126" s="116"/>
      <c r="CD126" s="116"/>
      <c r="CE126" s="116"/>
      <c r="CF126" s="116"/>
      <c r="CG126" s="116"/>
      <c r="CH126" s="117"/>
    </row>
    <row r="127" spans="1:86" x14ac:dyDescent="0.2">
      <c r="A127" s="105"/>
      <c r="B127" s="105"/>
      <c r="C127" s="56"/>
      <c r="D127" s="57"/>
      <c r="E127" s="58"/>
      <c r="F127" s="58"/>
      <c r="G127" s="59"/>
      <c r="H127" s="106"/>
      <c r="I127" s="107"/>
      <c r="J127" s="108"/>
      <c r="K127" s="109"/>
      <c r="L127" s="110"/>
      <c r="M127" s="111"/>
      <c r="N127" s="115"/>
      <c r="O127" s="116"/>
      <c r="P127" s="116"/>
      <c r="Q127" s="116"/>
      <c r="R127" s="116"/>
      <c r="S127" s="116"/>
      <c r="T127" s="116"/>
      <c r="U127" s="116"/>
      <c r="V127" s="116"/>
      <c r="W127" s="116"/>
      <c r="X127" s="116"/>
      <c r="Y127" s="116"/>
      <c r="Z127" s="116"/>
      <c r="AA127" s="116"/>
      <c r="AB127" s="116"/>
      <c r="AC127" s="116"/>
      <c r="AD127" s="116"/>
      <c r="AE127" s="116"/>
      <c r="AF127" s="116"/>
      <c r="AG127" s="116"/>
      <c r="AH127" s="116"/>
      <c r="AI127" s="116"/>
      <c r="AJ127" s="116"/>
      <c r="AK127" s="116"/>
      <c r="AL127" s="116"/>
      <c r="AM127" s="116"/>
      <c r="AN127" s="116"/>
      <c r="AO127" s="116"/>
      <c r="AP127" s="116"/>
      <c r="AQ127" s="116"/>
      <c r="AR127" s="116"/>
      <c r="AS127" s="116"/>
      <c r="AT127" s="116"/>
      <c r="AU127" s="116"/>
      <c r="AV127" s="116"/>
      <c r="AW127" s="116"/>
      <c r="AX127" s="116"/>
      <c r="AY127" s="116"/>
      <c r="AZ127" s="116"/>
      <c r="BA127" s="116"/>
      <c r="BB127" s="116"/>
      <c r="BC127" s="116"/>
      <c r="BD127" s="116"/>
      <c r="BE127" s="116"/>
      <c r="BF127" s="116"/>
      <c r="BG127" s="116"/>
      <c r="BH127" s="116"/>
      <c r="BI127" s="116"/>
      <c r="BJ127" s="116"/>
      <c r="BK127" s="116"/>
      <c r="BL127" s="116"/>
      <c r="BM127" s="116"/>
      <c r="BN127" s="116"/>
      <c r="BO127" s="116"/>
      <c r="BP127" s="116"/>
      <c r="BQ127" s="116"/>
      <c r="BR127" s="116"/>
      <c r="BS127" s="116"/>
      <c r="BT127" s="116"/>
      <c r="BU127" s="116"/>
      <c r="BV127" s="116"/>
      <c r="BW127" s="116"/>
      <c r="BX127" s="116"/>
      <c r="BY127" s="116"/>
      <c r="BZ127" s="116"/>
      <c r="CA127" s="116"/>
      <c r="CB127" s="116"/>
      <c r="CC127" s="116"/>
      <c r="CD127" s="116"/>
      <c r="CE127" s="116"/>
      <c r="CF127" s="116"/>
      <c r="CG127" s="116"/>
      <c r="CH127" s="117"/>
    </row>
    <row r="128" spans="1:86" x14ac:dyDescent="0.2">
      <c r="A128" s="105"/>
      <c r="B128" s="105"/>
      <c r="C128" s="56"/>
      <c r="D128" s="57"/>
      <c r="E128" s="58"/>
      <c r="F128" s="58"/>
      <c r="G128" s="59"/>
      <c r="H128" s="106"/>
      <c r="I128" s="107"/>
      <c r="J128" s="108"/>
      <c r="K128" s="109"/>
      <c r="L128" s="110"/>
      <c r="M128" s="111"/>
      <c r="N128" s="115"/>
      <c r="O128" s="116"/>
      <c r="P128" s="116"/>
      <c r="Q128" s="116"/>
      <c r="R128" s="116"/>
      <c r="S128" s="116"/>
      <c r="T128" s="116"/>
      <c r="U128" s="116"/>
      <c r="V128" s="116"/>
      <c r="W128" s="116"/>
      <c r="X128" s="116"/>
      <c r="Y128" s="116"/>
      <c r="Z128" s="116"/>
      <c r="AA128" s="116"/>
      <c r="AB128" s="116"/>
      <c r="AC128" s="116"/>
      <c r="AD128" s="116"/>
      <c r="AE128" s="116"/>
      <c r="AF128" s="116"/>
      <c r="AG128" s="116"/>
      <c r="AH128" s="116"/>
      <c r="AI128" s="116"/>
      <c r="AJ128" s="116"/>
      <c r="AK128" s="116"/>
      <c r="AL128" s="116"/>
      <c r="AM128" s="116"/>
      <c r="AN128" s="116"/>
      <c r="AO128" s="116"/>
      <c r="AP128" s="116"/>
      <c r="AQ128" s="116"/>
      <c r="AR128" s="116"/>
      <c r="AS128" s="116"/>
      <c r="AT128" s="116"/>
      <c r="AU128" s="116"/>
      <c r="AV128" s="116"/>
      <c r="AW128" s="116"/>
      <c r="AX128" s="116"/>
      <c r="AY128" s="116"/>
      <c r="AZ128" s="116"/>
      <c r="BA128" s="116"/>
      <c r="BB128" s="116"/>
      <c r="BC128" s="116"/>
      <c r="BD128" s="116"/>
      <c r="BE128" s="116"/>
      <c r="BF128" s="116"/>
      <c r="BG128" s="116"/>
      <c r="BH128" s="116"/>
      <c r="BI128" s="116"/>
      <c r="BJ128" s="116"/>
      <c r="BK128" s="116"/>
      <c r="BL128" s="116"/>
      <c r="BM128" s="116"/>
      <c r="BN128" s="116"/>
      <c r="BO128" s="116"/>
      <c r="BP128" s="116"/>
      <c r="BQ128" s="116"/>
      <c r="BR128" s="116"/>
      <c r="BS128" s="116"/>
      <c r="BT128" s="116"/>
      <c r="BU128" s="116"/>
      <c r="BV128" s="116"/>
      <c r="BW128" s="116"/>
      <c r="BX128" s="116"/>
      <c r="BY128" s="116"/>
      <c r="BZ128" s="116"/>
      <c r="CA128" s="116"/>
      <c r="CB128" s="116"/>
      <c r="CC128" s="116"/>
      <c r="CD128" s="116"/>
      <c r="CE128" s="116"/>
      <c r="CF128" s="116"/>
      <c r="CG128" s="116"/>
      <c r="CH128" s="117"/>
    </row>
    <row r="129" spans="1:86" x14ac:dyDescent="0.2">
      <c r="A129" s="105"/>
      <c r="B129" s="105"/>
      <c r="C129" s="56"/>
      <c r="D129" s="57"/>
      <c r="E129" s="58"/>
      <c r="F129" s="58"/>
      <c r="G129" s="59"/>
      <c r="H129" s="106"/>
      <c r="I129" s="107"/>
      <c r="J129" s="108"/>
      <c r="K129" s="109"/>
      <c r="L129" s="110"/>
      <c r="M129" s="188"/>
      <c r="N129" s="115"/>
      <c r="O129" s="116"/>
      <c r="P129" s="116"/>
      <c r="Q129" s="116"/>
      <c r="R129" s="116"/>
      <c r="S129" s="116"/>
      <c r="T129" s="116"/>
      <c r="U129" s="116"/>
      <c r="V129" s="116"/>
      <c r="W129" s="116"/>
      <c r="X129" s="116"/>
      <c r="Y129" s="116"/>
      <c r="Z129" s="116"/>
      <c r="AA129" s="116"/>
      <c r="AB129" s="116"/>
      <c r="AC129" s="116"/>
      <c r="AD129" s="116"/>
      <c r="AE129" s="116"/>
      <c r="AF129" s="116"/>
      <c r="AG129" s="116"/>
      <c r="AH129" s="116"/>
      <c r="AI129" s="116"/>
      <c r="AJ129" s="116"/>
      <c r="AK129" s="116"/>
      <c r="AL129" s="116"/>
      <c r="AM129" s="116"/>
      <c r="AN129" s="116"/>
      <c r="AO129" s="116"/>
      <c r="AP129" s="116"/>
      <c r="AQ129" s="116"/>
      <c r="AR129" s="116"/>
      <c r="AS129" s="116"/>
      <c r="AT129" s="116"/>
      <c r="AU129" s="116"/>
      <c r="AV129" s="116"/>
      <c r="AW129" s="116"/>
      <c r="AX129" s="116"/>
      <c r="AY129" s="116"/>
      <c r="AZ129" s="116"/>
      <c r="BA129" s="116"/>
      <c r="BB129" s="116"/>
      <c r="BC129" s="116"/>
      <c r="BD129" s="116"/>
      <c r="BE129" s="116"/>
      <c r="BF129" s="116"/>
      <c r="BG129" s="116"/>
      <c r="BH129" s="116"/>
      <c r="BI129" s="116"/>
      <c r="BJ129" s="116"/>
      <c r="BK129" s="116"/>
      <c r="BL129" s="116"/>
      <c r="BM129" s="116"/>
      <c r="BN129" s="116"/>
      <c r="BO129" s="116"/>
      <c r="BP129" s="116"/>
      <c r="BQ129" s="116"/>
      <c r="BR129" s="116"/>
      <c r="BS129" s="116"/>
      <c r="BT129" s="116"/>
      <c r="BU129" s="116"/>
      <c r="BV129" s="116"/>
      <c r="BW129" s="116"/>
      <c r="BX129" s="116"/>
      <c r="BY129" s="116"/>
      <c r="BZ129" s="116"/>
      <c r="CA129" s="116"/>
      <c r="CB129" s="116"/>
      <c r="CC129" s="116"/>
      <c r="CD129" s="116"/>
      <c r="CE129" s="116"/>
      <c r="CF129" s="116"/>
      <c r="CG129" s="116"/>
      <c r="CH129" s="117"/>
    </row>
    <row r="130" spans="1:86" x14ac:dyDescent="0.2">
      <c r="A130" s="105"/>
      <c r="B130" s="105"/>
      <c r="C130" s="56"/>
      <c r="D130" s="57"/>
      <c r="E130" s="58"/>
      <c r="F130" s="58"/>
      <c r="G130" s="59"/>
      <c r="H130" s="106"/>
      <c r="I130" s="134"/>
      <c r="J130" s="135"/>
      <c r="K130" s="109"/>
      <c r="L130" s="110"/>
      <c r="M130" s="111"/>
      <c r="N130" s="115"/>
      <c r="O130" s="116"/>
      <c r="P130" s="116"/>
      <c r="Q130" s="116"/>
      <c r="R130" s="116"/>
      <c r="S130" s="116"/>
      <c r="T130" s="116"/>
      <c r="U130" s="116"/>
      <c r="V130" s="116"/>
      <c r="W130" s="116"/>
      <c r="X130" s="116"/>
      <c r="Y130" s="116"/>
      <c r="Z130" s="116"/>
      <c r="AA130" s="116"/>
      <c r="AB130" s="116"/>
      <c r="AC130" s="116"/>
      <c r="AD130" s="116"/>
      <c r="AE130" s="116"/>
      <c r="AF130" s="116"/>
      <c r="AG130" s="116"/>
      <c r="AH130" s="116"/>
      <c r="AI130" s="116"/>
      <c r="AJ130" s="116"/>
      <c r="AK130" s="116"/>
      <c r="AL130" s="116"/>
      <c r="AM130" s="116"/>
      <c r="AN130" s="116"/>
      <c r="AO130" s="116"/>
      <c r="AP130" s="116"/>
      <c r="AQ130" s="116"/>
      <c r="AR130" s="116"/>
      <c r="AS130" s="116"/>
      <c r="AT130" s="116"/>
      <c r="AU130" s="116"/>
      <c r="AV130" s="116"/>
      <c r="AW130" s="116"/>
      <c r="AX130" s="116"/>
      <c r="AY130" s="116"/>
      <c r="AZ130" s="116"/>
      <c r="BA130" s="116"/>
      <c r="BB130" s="116"/>
      <c r="BC130" s="116"/>
      <c r="BD130" s="116"/>
      <c r="BE130" s="116"/>
      <c r="BF130" s="116"/>
      <c r="BG130" s="116"/>
      <c r="BH130" s="116"/>
      <c r="BI130" s="116"/>
      <c r="BJ130" s="116"/>
      <c r="BK130" s="116"/>
      <c r="BL130" s="116"/>
      <c r="BM130" s="116"/>
      <c r="BN130" s="116"/>
      <c r="BO130" s="116"/>
      <c r="BP130" s="116"/>
      <c r="BQ130" s="116"/>
      <c r="BR130" s="116"/>
      <c r="BS130" s="116"/>
      <c r="BT130" s="116"/>
      <c r="BU130" s="116"/>
      <c r="BV130" s="116"/>
      <c r="BW130" s="116"/>
      <c r="BX130" s="116"/>
      <c r="BY130" s="116"/>
      <c r="BZ130" s="116"/>
      <c r="CA130" s="116"/>
      <c r="CB130" s="116"/>
      <c r="CC130" s="116"/>
      <c r="CD130" s="116"/>
      <c r="CE130" s="116"/>
      <c r="CF130" s="116"/>
      <c r="CG130" s="116"/>
      <c r="CH130" s="117"/>
    </row>
    <row r="131" spans="1:86" x14ac:dyDescent="0.2">
      <c r="A131" s="105"/>
      <c r="B131" s="105"/>
      <c r="C131" s="56"/>
      <c r="D131" s="57"/>
      <c r="E131" s="58"/>
      <c r="F131" s="58"/>
      <c r="G131" s="59"/>
      <c r="H131" s="136"/>
      <c r="I131" s="137"/>
      <c r="J131" s="135"/>
      <c r="K131" s="109"/>
      <c r="L131" s="110"/>
      <c r="M131" s="111"/>
      <c r="N131" s="115"/>
      <c r="O131" s="116"/>
      <c r="P131" s="116"/>
      <c r="Q131" s="116"/>
      <c r="R131" s="116"/>
      <c r="S131" s="116"/>
      <c r="T131" s="116"/>
      <c r="U131" s="116"/>
      <c r="V131" s="116"/>
      <c r="W131" s="116"/>
      <c r="X131" s="116"/>
      <c r="Y131" s="116"/>
      <c r="Z131" s="116"/>
      <c r="AA131" s="116"/>
      <c r="AB131" s="116"/>
      <c r="AC131" s="116"/>
      <c r="AD131" s="116"/>
      <c r="AE131" s="116"/>
      <c r="AF131" s="116"/>
      <c r="AG131" s="116"/>
      <c r="AH131" s="116"/>
      <c r="AI131" s="116"/>
      <c r="AJ131" s="116"/>
      <c r="AK131" s="116"/>
      <c r="AL131" s="116"/>
      <c r="AM131" s="116"/>
      <c r="AN131" s="116"/>
      <c r="AO131" s="116"/>
      <c r="AP131" s="116"/>
      <c r="AQ131" s="116"/>
      <c r="AR131" s="116"/>
      <c r="AS131" s="116"/>
      <c r="AT131" s="116"/>
      <c r="AU131" s="116"/>
      <c r="AV131" s="116"/>
      <c r="AW131" s="116"/>
      <c r="AX131" s="116"/>
      <c r="AY131" s="116"/>
      <c r="AZ131" s="116"/>
      <c r="BA131" s="116"/>
      <c r="BB131" s="116"/>
      <c r="BC131" s="116"/>
      <c r="BD131" s="116"/>
      <c r="BE131" s="116"/>
      <c r="BF131" s="116"/>
      <c r="BG131" s="116"/>
      <c r="BH131" s="116"/>
      <c r="BI131" s="116"/>
      <c r="BJ131" s="116"/>
      <c r="BK131" s="116"/>
      <c r="BL131" s="116"/>
      <c r="BM131" s="116"/>
      <c r="BN131" s="116"/>
      <c r="BO131" s="116"/>
      <c r="BP131" s="116"/>
      <c r="BQ131" s="116"/>
      <c r="BR131" s="116"/>
      <c r="BS131" s="116"/>
      <c r="BT131" s="116"/>
      <c r="BU131" s="116"/>
      <c r="BV131" s="116"/>
      <c r="BW131" s="116"/>
      <c r="BX131" s="116"/>
      <c r="BY131" s="116"/>
      <c r="BZ131" s="116"/>
      <c r="CA131" s="116"/>
      <c r="CB131" s="116"/>
      <c r="CC131" s="116"/>
      <c r="CD131" s="116"/>
      <c r="CE131" s="116"/>
      <c r="CF131" s="116"/>
      <c r="CG131" s="116"/>
      <c r="CH131" s="117"/>
    </row>
    <row r="132" spans="1:86" x14ac:dyDescent="0.2">
      <c r="A132" s="105"/>
      <c r="B132" s="105"/>
      <c r="C132" s="56"/>
      <c r="D132" s="57"/>
      <c r="E132" s="58"/>
      <c r="F132" s="58"/>
      <c r="G132" s="59"/>
      <c r="H132" s="106"/>
      <c r="I132" s="107"/>
      <c r="J132" s="135"/>
      <c r="K132" s="109"/>
      <c r="L132" s="110"/>
      <c r="M132" s="111"/>
      <c r="N132" s="115"/>
      <c r="O132" s="116"/>
      <c r="P132" s="116"/>
      <c r="Q132" s="116"/>
      <c r="R132" s="116"/>
      <c r="S132" s="116"/>
      <c r="T132" s="116"/>
      <c r="U132" s="116"/>
      <c r="V132" s="116"/>
      <c r="W132" s="116"/>
      <c r="X132" s="116"/>
      <c r="Y132" s="116"/>
      <c r="Z132" s="116"/>
      <c r="AA132" s="116"/>
      <c r="AB132" s="116"/>
      <c r="AC132" s="116"/>
      <c r="AD132" s="116"/>
      <c r="AE132" s="116"/>
      <c r="AF132" s="116"/>
      <c r="AG132" s="116"/>
      <c r="AH132" s="116"/>
      <c r="AI132" s="116"/>
      <c r="AJ132" s="116"/>
      <c r="AK132" s="116"/>
      <c r="AL132" s="116"/>
      <c r="AM132" s="116"/>
      <c r="AN132" s="116"/>
      <c r="AO132" s="116"/>
      <c r="AP132" s="116"/>
      <c r="AQ132" s="116"/>
      <c r="AR132" s="116"/>
      <c r="AS132" s="116"/>
      <c r="AT132" s="116"/>
      <c r="AU132" s="116"/>
      <c r="AV132" s="116"/>
      <c r="AW132" s="116"/>
      <c r="AX132" s="116"/>
      <c r="AY132" s="116"/>
      <c r="AZ132" s="116"/>
      <c r="BA132" s="116"/>
      <c r="BB132" s="116"/>
      <c r="BC132" s="116"/>
      <c r="BD132" s="116"/>
      <c r="BE132" s="116"/>
      <c r="BF132" s="116"/>
      <c r="BG132" s="116"/>
      <c r="BH132" s="116"/>
      <c r="BI132" s="116"/>
      <c r="BJ132" s="116"/>
      <c r="BK132" s="116"/>
      <c r="BL132" s="116"/>
      <c r="BM132" s="116"/>
      <c r="BN132" s="116"/>
      <c r="BO132" s="116"/>
      <c r="BP132" s="116"/>
      <c r="BQ132" s="116"/>
      <c r="BR132" s="116"/>
      <c r="BS132" s="116"/>
      <c r="BT132" s="116"/>
      <c r="BU132" s="116"/>
      <c r="BV132" s="116"/>
      <c r="BW132" s="116"/>
      <c r="BX132" s="116"/>
      <c r="BY132" s="116"/>
      <c r="BZ132" s="116"/>
      <c r="CA132" s="116"/>
      <c r="CB132" s="116"/>
      <c r="CC132" s="116"/>
      <c r="CD132" s="116"/>
      <c r="CE132" s="116"/>
      <c r="CF132" s="116"/>
      <c r="CG132" s="116"/>
      <c r="CH132" s="117"/>
    </row>
    <row r="133" spans="1:86" x14ac:dyDescent="0.2">
      <c r="A133" s="105"/>
      <c r="B133" s="105"/>
      <c r="C133" s="56"/>
      <c r="D133" s="57"/>
      <c r="E133" s="58"/>
      <c r="F133" s="58"/>
      <c r="G133" s="59"/>
      <c r="H133" s="106"/>
      <c r="I133" s="107"/>
      <c r="J133" s="135"/>
      <c r="K133" s="109"/>
      <c r="L133" s="110"/>
      <c r="M133" s="111"/>
      <c r="N133" s="115"/>
      <c r="O133" s="116"/>
      <c r="P133" s="116"/>
      <c r="Q133" s="116"/>
      <c r="R133" s="116"/>
      <c r="S133" s="116"/>
      <c r="T133" s="116"/>
      <c r="U133" s="116"/>
      <c r="V133" s="116"/>
      <c r="W133" s="116"/>
      <c r="X133" s="116"/>
      <c r="Y133" s="116"/>
      <c r="Z133" s="116"/>
      <c r="AA133" s="116"/>
      <c r="AB133" s="116"/>
      <c r="AC133" s="116"/>
      <c r="AD133" s="116"/>
      <c r="AE133" s="116"/>
      <c r="AF133" s="116"/>
      <c r="AG133" s="116"/>
      <c r="AH133" s="116"/>
      <c r="AI133" s="116"/>
      <c r="AJ133" s="116"/>
      <c r="AK133" s="116"/>
      <c r="AL133" s="116"/>
      <c r="AM133" s="116"/>
      <c r="AN133" s="116"/>
      <c r="AO133" s="116"/>
      <c r="AP133" s="116"/>
      <c r="AQ133" s="116"/>
      <c r="AR133" s="116"/>
      <c r="AS133" s="116"/>
      <c r="AT133" s="116"/>
      <c r="AU133" s="116"/>
      <c r="AV133" s="116"/>
      <c r="AW133" s="116"/>
      <c r="AX133" s="116"/>
      <c r="AY133" s="116"/>
      <c r="AZ133" s="116"/>
      <c r="BA133" s="116"/>
      <c r="BB133" s="116"/>
      <c r="BC133" s="116"/>
      <c r="BD133" s="116"/>
      <c r="BE133" s="116"/>
      <c r="BF133" s="116"/>
      <c r="BG133" s="116"/>
      <c r="BH133" s="116"/>
      <c r="BI133" s="116"/>
      <c r="BJ133" s="116"/>
      <c r="BK133" s="116"/>
      <c r="BL133" s="116"/>
      <c r="BM133" s="116"/>
      <c r="BN133" s="116"/>
      <c r="BO133" s="116"/>
      <c r="BP133" s="116"/>
      <c r="BQ133" s="116"/>
      <c r="BR133" s="116"/>
      <c r="BS133" s="116"/>
      <c r="BT133" s="116"/>
      <c r="BU133" s="116"/>
      <c r="BV133" s="116"/>
      <c r="BW133" s="116"/>
      <c r="BX133" s="116"/>
      <c r="BY133" s="116"/>
      <c r="BZ133" s="116"/>
      <c r="CA133" s="116"/>
      <c r="CB133" s="116"/>
      <c r="CC133" s="116"/>
      <c r="CD133" s="116"/>
      <c r="CE133" s="116"/>
      <c r="CF133" s="116"/>
      <c r="CG133" s="116"/>
      <c r="CH133" s="117"/>
    </row>
    <row r="134" spans="1:86" x14ac:dyDescent="0.2">
      <c r="A134" s="105"/>
      <c r="B134" s="105"/>
      <c r="C134" s="56"/>
      <c r="D134" s="57"/>
      <c r="E134" s="58"/>
      <c r="F134" s="58"/>
      <c r="G134" s="59"/>
      <c r="H134" s="106"/>
      <c r="I134" s="107"/>
      <c r="J134" s="108"/>
      <c r="K134" s="109"/>
      <c r="L134" s="110"/>
      <c r="M134" s="111"/>
      <c r="N134" s="115"/>
      <c r="O134" s="116"/>
      <c r="P134" s="116"/>
      <c r="Q134" s="116"/>
      <c r="R134" s="116"/>
      <c r="S134" s="116"/>
      <c r="T134" s="116"/>
      <c r="U134" s="116"/>
      <c r="V134" s="116"/>
      <c r="W134" s="116"/>
      <c r="X134" s="116"/>
      <c r="Y134" s="116"/>
      <c r="Z134" s="116"/>
      <c r="AA134" s="116"/>
      <c r="AB134" s="116"/>
      <c r="AC134" s="116"/>
      <c r="AD134" s="116"/>
      <c r="AE134" s="116"/>
      <c r="AF134" s="116"/>
      <c r="AG134" s="116"/>
      <c r="AH134" s="116"/>
      <c r="AI134" s="116"/>
      <c r="AJ134" s="116"/>
      <c r="AK134" s="116"/>
      <c r="AL134" s="116"/>
      <c r="AM134" s="116"/>
      <c r="AN134" s="116"/>
      <c r="AO134" s="116"/>
      <c r="AP134" s="116"/>
      <c r="AQ134" s="116"/>
      <c r="AR134" s="116"/>
      <c r="AS134" s="116"/>
      <c r="AT134" s="116"/>
      <c r="AU134" s="116"/>
      <c r="AV134" s="116"/>
      <c r="AW134" s="116"/>
      <c r="AX134" s="116"/>
      <c r="AY134" s="116"/>
      <c r="AZ134" s="116"/>
      <c r="BA134" s="116"/>
      <c r="BB134" s="116"/>
      <c r="BC134" s="116"/>
      <c r="BD134" s="116"/>
      <c r="BE134" s="116"/>
      <c r="BF134" s="116"/>
      <c r="BG134" s="116"/>
      <c r="BH134" s="116"/>
      <c r="BI134" s="116"/>
      <c r="BJ134" s="116"/>
      <c r="BK134" s="116"/>
      <c r="BL134" s="116"/>
      <c r="BM134" s="116"/>
      <c r="BN134" s="116"/>
      <c r="BO134" s="116"/>
      <c r="BP134" s="116"/>
      <c r="BQ134" s="116"/>
      <c r="BR134" s="116"/>
      <c r="BS134" s="116"/>
      <c r="BT134" s="116"/>
      <c r="BU134" s="116"/>
      <c r="BV134" s="116"/>
      <c r="BW134" s="116"/>
      <c r="BX134" s="116"/>
      <c r="BY134" s="116"/>
      <c r="BZ134" s="116"/>
      <c r="CA134" s="116"/>
      <c r="CB134" s="116"/>
      <c r="CC134" s="116"/>
      <c r="CD134" s="116"/>
      <c r="CE134" s="116"/>
      <c r="CF134" s="116"/>
      <c r="CG134" s="116"/>
      <c r="CH134" s="117"/>
    </row>
    <row r="135" spans="1:86" x14ac:dyDescent="0.2">
      <c r="A135" s="105"/>
      <c r="B135" s="105"/>
      <c r="C135" s="56"/>
      <c r="D135" s="57"/>
      <c r="E135" s="58"/>
      <c r="F135" s="58"/>
      <c r="G135" s="59"/>
      <c r="H135" s="106"/>
      <c r="I135" s="107"/>
      <c r="J135" s="138"/>
      <c r="K135" s="109"/>
      <c r="L135" s="110"/>
      <c r="M135" s="111"/>
      <c r="N135" s="115"/>
      <c r="O135" s="116"/>
      <c r="P135" s="116"/>
      <c r="Q135" s="116"/>
      <c r="R135" s="116"/>
      <c r="S135" s="116"/>
      <c r="T135" s="116"/>
      <c r="U135" s="116"/>
      <c r="V135" s="116"/>
      <c r="W135" s="116"/>
      <c r="X135" s="116"/>
      <c r="Y135" s="116"/>
      <c r="Z135" s="116"/>
      <c r="AA135" s="116"/>
      <c r="AB135" s="116"/>
      <c r="AC135" s="116"/>
      <c r="AD135" s="116"/>
      <c r="AE135" s="116"/>
      <c r="AF135" s="116"/>
      <c r="AG135" s="116"/>
      <c r="AH135" s="116"/>
      <c r="AI135" s="116"/>
      <c r="AJ135" s="116"/>
      <c r="AK135" s="116"/>
      <c r="AL135" s="116"/>
      <c r="AM135" s="116"/>
      <c r="AN135" s="116"/>
      <c r="AO135" s="116"/>
      <c r="AP135" s="116"/>
      <c r="AQ135" s="116"/>
      <c r="AR135" s="116"/>
      <c r="AS135" s="116"/>
      <c r="AT135" s="116"/>
      <c r="AU135" s="116"/>
      <c r="AV135" s="116"/>
      <c r="AW135" s="116"/>
      <c r="AX135" s="116"/>
      <c r="AY135" s="116"/>
      <c r="AZ135" s="116"/>
      <c r="BA135" s="116"/>
      <c r="BB135" s="116"/>
      <c r="BC135" s="116"/>
      <c r="BD135" s="116"/>
      <c r="BE135" s="116"/>
      <c r="BF135" s="116"/>
      <c r="BG135" s="116"/>
      <c r="BH135" s="116"/>
      <c r="BI135" s="116"/>
      <c r="BJ135" s="116"/>
      <c r="BK135" s="116"/>
      <c r="BL135" s="116"/>
      <c r="BM135" s="116"/>
      <c r="BN135" s="116"/>
      <c r="BO135" s="116"/>
      <c r="BP135" s="116"/>
      <c r="BQ135" s="116"/>
      <c r="BR135" s="116"/>
      <c r="BS135" s="116"/>
      <c r="BT135" s="116"/>
      <c r="BU135" s="116"/>
      <c r="BV135" s="116"/>
      <c r="BW135" s="116"/>
      <c r="BX135" s="116"/>
      <c r="BY135" s="116"/>
      <c r="BZ135" s="116"/>
      <c r="CA135" s="116"/>
      <c r="CB135" s="116"/>
      <c r="CC135" s="116"/>
      <c r="CD135" s="116"/>
      <c r="CE135" s="116"/>
      <c r="CF135" s="116"/>
      <c r="CG135" s="116"/>
      <c r="CH135" s="117"/>
    </row>
    <row r="136" spans="1:86" x14ac:dyDescent="0.2">
      <c r="A136" s="105"/>
      <c r="B136" s="105"/>
      <c r="C136" s="56"/>
      <c r="D136" s="57"/>
      <c r="E136" s="58"/>
      <c r="F136" s="58"/>
      <c r="G136" s="59"/>
      <c r="H136" s="106"/>
      <c r="I136" s="107"/>
      <c r="J136" s="108"/>
      <c r="K136" s="109"/>
      <c r="L136" s="110"/>
      <c r="M136" s="111"/>
      <c r="N136" s="115"/>
      <c r="O136" s="116"/>
      <c r="P136" s="116"/>
      <c r="Q136" s="116"/>
      <c r="R136" s="116"/>
      <c r="S136" s="116"/>
      <c r="T136" s="116"/>
      <c r="U136" s="116"/>
      <c r="V136" s="116"/>
      <c r="W136" s="116"/>
      <c r="X136" s="116"/>
      <c r="Y136" s="116"/>
      <c r="Z136" s="116"/>
      <c r="AA136" s="116"/>
      <c r="AB136" s="116"/>
      <c r="AC136" s="116"/>
      <c r="AD136" s="116"/>
      <c r="AE136" s="116"/>
      <c r="AF136" s="116"/>
      <c r="AG136" s="116"/>
      <c r="AH136" s="116"/>
      <c r="AI136" s="116"/>
      <c r="AJ136" s="116"/>
      <c r="AK136" s="116"/>
      <c r="AL136" s="116"/>
      <c r="AM136" s="116"/>
      <c r="AN136" s="116"/>
      <c r="AO136" s="116"/>
      <c r="AP136" s="116"/>
      <c r="AQ136" s="116"/>
      <c r="AR136" s="116"/>
      <c r="AS136" s="116"/>
      <c r="AT136" s="116"/>
      <c r="AU136" s="116"/>
      <c r="AV136" s="116"/>
      <c r="AW136" s="116"/>
      <c r="AX136" s="116"/>
      <c r="AY136" s="116"/>
      <c r="AZ136" s="116"/>
      <c r="BA136" s="116"/>
      <c r="BB136" s="116"/>
      <c r="BC136" s="116"/>
      <c r="BD136" s="116"/>
      <c r="BE136" s="116"/>
      <c r="BF136" s="116"/>
      <c r="BG136" s="116"/>
      <c r="BH136" s="116"/>
      <c r="BI136" s="116"/>
      <c r="BJ136" s="116"/>
      <c r="BK136" s="116"/>
      <c r="BL136" s="116"/>
      <c r="BM136" s="116"/>
      <c r="BN136" s="116"/>
      <c r="BO136" s="116"/>
      <c r="BP136" s="116"/>
      <c r="BQ136" s="116"/>
      <c r="BR136" s="116"/>
      <c r="BS136" s="116"/>
      <c r="BT136" s="116"/>
      <c r="BU136" s="116"/>
      <c r="BV136" s="116"/>
      <c r="BW136" s="116"/>
      <c r="BX136" s="116"/>
      <c r="BY136" s="116"/>
      <c r="BZ136" s="116"/>
      <c r="CA136" s="116"/>
      <c r="CB136" s="116"/>
      <c r="CC136" s="116"/>
      <c r="CD136" s="116"/>
      <c r="CE136" s="116"/>
      <c r="CF136" s="116"/>
      <c r="CG136" s="116"/>
      <c r="CH136" s="117"/>
    </row>
    <row r="137" spans="1:86" x14ac:dyDescent="0.2">
      <c r="A137" s="105"/>
      <c r="B137" s="105"/>
      <c r="C137" s="56"/>
      <c r="D137" s="57"/>
      <c r="E137" s="58"/>
      <c r="F137" s="58"/>
      <c r="G137" s="59"/>
      <c r="H137" s="106"/>
      <c r="I137" s="107"/>
      <c r="J137" s="108"/>
      <c r="K137" s="109"/>
      <c r="L137" s="110"/>
      <c r="M137" s="111"/>
      <c r="N137" s="115"/>
      <c r="O137" s="116"/>
      <c r="P137" s="116"/>
      <c r="Q137" s="116"/>
      <c r="R137" s="116"/>
      <c r="S137" s="116"/>
      <c r="T137" s="116"/>
      <c r="U137" s="116"/>
      <c r="V137" s="116"/>
      <c r="W137" s="116"/>
      <c r="X137" s="116"/>
      <c r="Y137" s="116"/>
      <c r="Z137" s="116"/>
      <c r="AA137" s="116"/>
      <c r="AB137" s="116"/>
      <c r="AC137" s="116"/>
      <c r="AD137" s="116"/>
      <c r="AE137" s="116"/>
      <c r="AF137" s="116"/>
      <c r="AG137" s="116"/>
      <c r="AH137" s="116"/>
      <c r="AI137" s="116"/>
      <c r="AJ137" s="116"/>
      <c r="AK137" s="116"/>
      <c r="AL137" s="116"/>
      <c r="AM137" s="116"/>
      <c r="AN137" s="116"/>
      <c r="AO137" s="116"/>
      <c r="AP137" s="116"/>
      <c r="AQ137" s="116"/>
      <c r="AR137" s="116"/>
      <c r="AS137" s="116"/>
      <c r="AT137" s="116"/>
      <c r="AU137" s="116"/>
      <c r="AV137" s="116"/>
      <c r="AW137" s="116"/>
      <c r="AX137" s="116"/>
      <c r="AY137" s="116"/>
      <c r="AZ137" s="116"/>
      <c r="BA137" s="116"/>
      <c r="BB137" s="116"/>
      <c r="BC137" s="116"/>
      <c r="BD137" s="116"/>
      <c r="BE137" s="116"/>
      <c r="BF137" s="116"/>
      <c r="BG137" s="116"/>
      <c r="BH137" s="116"/>
      <c r="BI137" s="116"/>
      <c r="BJ137" s="116"/>
      <c r="BK137" s="116"/>
      <c r="BL137" s="116"/>
      <c r="BM137" s="116"/>
      <c r="BN137" s="116"/>
      <c r="BO137" s="116"/>
      <c r="BP137" s="116"/>
      <c r="BQ137" s="116"/>
      <c r="BR137" s="116"/>
      <c r="BS137" s="116"/>
      <c r="BT137" s="116"/>
      <c r="BU137" s="116"/>
      <c r="BV137" s="116"/>
      <c r="BW137" s="116"/>
      <c r="BX137" s="116"/>
      <c r="BY137" s="116"/>
      <c r="BZ137" s="116"/>
      <c r="CA137" s="116"/>
      <c r="CB137" s="116"/>
      <c r="CC137" s="116"/>
      <c r="CD137" s="116"/>
      <c r="CE137" s="116"/>
      <c r="CF137" s="116"/>
      <c r="CG137" s="116"/>
      <c r="CH137" s="117"/>
    </row>
    <row r="138" spans="1:86" x14ac:dyDescent="0.2">
      <c r="A138" s="105"/>
      <c r="B138" s="105"/>
      <c r="C138" s="56"/>
      <c r="D138" s="57"/>
      <c r="E138" s="58"/>
      <c r="F138" s="58"/>
      <c r="G138" s="59"/>
      <c r="H138" s="106"/>
      <c r="I138" s="107"/>
      <c r="J138" s="108"/>
      <c r="K138" s="109"/>
      <c r="L138" s="110"/>
      <c r="M138" s="111"/>
      <c r="N138" s="115"/>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c r="AK138" s="116"/>
      <c r="AL138" s="116"/>
      <c r="AM138" s="116"/>
      <c r="AN138" s="116"/>
      <c r="AO138" s="116"/>
      <c r="AP138" s="116"/>
      <c r="AQ138" s="116"/>
      <c r="AR138" s="116"/>
      <c r="AS138" s="116"/>
      <c r="AT138" s="116"/>
      <c r="AU138" s="116"/>
      <c r="AV138" s="116"/>
      <c r="AW138" s="116"/>
      <c r="AX138" s="116"/>
      <c r="AY138" s="116"/>
      <c r="AZ138" s="116"/>
      <c r="BA138" s="116"/>
      <c r="BB138" s="116"/>
      <c r="BC138" s="116"/>
      <c r="BD138" s="116"/>
      <c r="BE138" s="116"/>
      <c r="BF138" s="116"/>
      <c r="BG138" s="116"/>
      <c r="BH138" s="116"/>
      <c r="BI138" s="116"/>
      <c r="BJ138" s="116"/>
      <c r="BK138" s="116"/>
      <c r="BL138" s="116"/>
      <c r="BM138" s="116"/>
      <c r="BN138" s="116"/>
      <c r="BO138" s="116"/>
      <c r="BP138" s="116"/>
      <c r="BQ138" s="116"/>
      <c r="BR138" s="116"/>
      <c r="BS138" s="116"/>
      <c r="BT138" s="116"/>
      <c r="BU138" s="116"/>
      <c r="BV138" s="116"/>
      <c r="BW138" s="116"/>
      <c r="BX138" s="116"/>
      <c r="BY138" s="116"/>
      <c r="BZ138" s="116"/>
      <c r="CA138" s="116"/>
      <c r="CB138" s="116"/>
      <c r="CC138" s="116"/>
      <c r="CD138" s="116"/>
      <c r="CE138" s="116"/>
      <c r="CF138" s="116"/>
      <c r="CG138" s="116"/>
      <c r="CH138" s="117"/>
    </row>
    <row r="139" spans="1:86" x14ac:dyDescent="0.2">
      <c r="A139" s="105"/>
      <c r="B139" s="105"/>
      <c r="C139" s="56"/>
      <c r="D139" s="57"/>
      <c r="E139" s="58"/>
      <c r="F139" s="58"/>
      <c r="G139" s="59"/>
      <c r="H139" s="106"/>
      <c r="I139" s="107"/>
      <c r="J139" s="108"/>
      <c r="K139" s="109"/>
      <c r="L139" s="110"/>
      <c r="M139" s="111"/>
      <c r="N139" s="115"/>
      <c r="O139" s="116"/>
      <c r="P139" s="116"/>
      <c r="Q139" s="116"/>
      <c r="R139" s="116"/>
      <c r="S139" s="116"/>
      <c r="T139" s="116"/>
      <c r="U139" s="116"/>
      <c r="V139" s="116"/>
      <c r="W139" s="116"/>
      <c r="X139" s="116"/>
      <c r="Y139" s="116"/>
      <c r="Z139" s="116"/>
      <c r="AA139" s="116"/>
      <c r="AB139" s="116"/>
      <c r="AC139" s="116"/>
      <c r="AD139" s="116"/>
      <c r="AE139" s="116"/>
      <c r="AF139" s="116"/>
      <c r="AG139" s="116"/>
      <c r="AH139" s="116"/>
      <c r="AI139" s="116"/>
      <c r="AJ139" s="116"/>
      <c r="AK139" s="116"/>
      <c r="AL139" s="116"/>
      <c r="AM139" s="116"/>
      <c r="AN139" s="116"/>
      <c r="AO139" s="116"/>
      <c r="AP139" s="116"/>
      <c r="AQ139" s="116"/>
      <c r="AR139" s="116"/>
      <c r="AS139" s="116"/>
      <c r="AT139" s="116"/>
      <c r="AU139" s="116"/>
      <c r="AV139" s="116"/>
      <c r="AW139" s="116"/>
      <c r="AX139" s="116"/>
      <c r="AY139" s="116"/>
      <c r="AZ139" s="116"/>
      <c r="BA139" s="116"/>
      <c r="BB139" s="116"/>
      <c r="BC139" s="116"/>
      <c r="BD139" s="116"/>
      <c r="BE139" s="116"/>
      <c r="BF139" s="116"/>
      <c r="BG139" s="116"/>
      <c r="BH139" s="116"/>
      <c r="BI139" s="116"/>
      <c r="BJ139" s="116"/>
      <c r="BK139" s="116"/>
      <c r="BL139" s="116"/>
      <c r="BM139" s="116"/>
      <c r="BN139" s="116"/>
      <c r="BO139" s="116"/>
      <c r="BP139" s="116"/>
      <c r="BQ139" s="116"/>
      <c r="BR139" s="116"/>
      <c r="BS139" s="116"/>
      <c r="BT139" s="116"/>
      <c r="BU139" s="116"/>
      <c r="BV139" s="116"/>
      <c r="BW139" s="116"/>
      <c r="BX139" s="116"/>
      <c r="BY139" s="116"/>
      <c r="BZ139" s="116"/>
      <c r="CA139" s="116"/>
      <c r="CB139" s="116"/>
      <c r="CC139" s="116"/>
      <c r="CD139" s="116"/>
      <c r="CE139" s="116"/>
      <c r="CF139" s="116"/>
      <c r="CG139" s="116"/>
      <c r="CH139" s="117"/>
    </row>
    <row r="140" spans="1:86" x14ac:dyDescent="0.2">
      <c r="A140" s="105"/>
      <c r="B140" s="105"/>
      <c r="C140" s="56"/>
      <c r="D140" s="57"/>
      <c r="E140" s="58"/>
      <c r="F140" s="58"/>
      <c r="G140" s="59"/>
      <c r="H140" s="106"/>
      <c r="I140" s="107"/>
      <c r="J140" s="108"/>
      <c r="K140" s="109"/>
      <c r="L140" s="110"/>
      <c r="M140" s="111"/>
      <c r="N140" s="115"/>
      <c r="O140" s="116"/>
      <c r="P140" s="116"/>
      <c r="Q140" s="116"/>
      <c r="R140" s="116"/>
      <c r="S140" s="116"/>
      <c r="T140" s="116"/>
      <c r="U140" s="116"/>
      <c r="V140" s="116"/>
      <c r="W140" s="116"/>
      <c r="X140" s="116"/>
      <c r="Y140" s="116"/>
      <c r="Z140" s="116"/>
      <c r="AA140" s="116"/>
      <c r="AB140" s="116"/>
      <c r="AC140" s="116"/>
      <c r="AD140" s="116"/>
      <c r="AE140" s="116"/>
      <c r="AF140" s="116"/>
      <c r="AG140" s="116"/>
      <c r="AH140" s="116"/>
      <c r="AI140" s="116"/>
      <c r="AJ140" s="116"/>
      <c r="AK140" s="116"/>
      <c r="AL140" s="116"/>
      <c r="AM140" s="116"/>
      <c r="AN140" s="116"/>
      <c r="AO140" s="116"/>
      <c r="AP140" s="116"/>
      <c r="AQ140" s="116"/>
      <c r="AR140" s="116"/>
      <c r="AS140" s="116"/>
      <c r="AT140" s="116"/>
      <c r="AU140" s="116"/>
      <c r="AV140" s="116"/>
      <c r="AW140" s="116"/>
      <c r="AX140" s="116"/>
      <c r="AY140" s="116"/>
      <c r="AZ140" s="116"/>
      <c r="BA140" s="116"/>
      <c r="BB140" s="116"/>
      <c r="BC140" s="116"/>
      <c r="BD140" s="116"/>
      <c r="BE140" s="116"/>
      <c r="BF140" s="116"/>
      <c r="BG140" s="116"/>
      <c r="BH140" s="116"/>
      <c r="BI140" s="116"/>
      <c r="BJ140" s="116"/>
      <c r="BK140" s="116"/>
      <c r="BL140" s="116"/>
      <c r="BM140" s="116"/>
      <c r="BN140" s="116"/>
      <c r="BO140" s="116"/>
      <c r="BP140" s="116"/>
      <c r="BQ140" s="116"/>
      <c r="BR140" s="116"/>
      <c r="BS140" s="116"/>
      <c r="BT140" s="116"/>
      <c r="BU140" s="116"/>
      <c r="BV140" s="116"/>
      <c r="BW140" s="116"/>
      <c r="BX140" s="116"/>
      <c r="BY140" s="116"/>
      <c r="BZ140" s="116"/>
      <c r="CA140" s="116"/>
      <c r="CB140" s="116"/>
      <c r="CC140" s="116"/>
      <c r="CD140" s="116"/>
      <c r="CE140" s="116"/>
      <c r="CF140" s="116"/>
      <c r="CG140" s="116"/>
      <c r="CH140" s="117"/>
    </row>
    <row r="141" spans="1:86" x14ac:dyDescent="0.2">
      <c r="A141" s="105"/>
      <c r="B141" s="105"/>
      <c r="C141" s="56"/>
      <c r="D141" s="57"/>
      <c r="E141" s="58"/>
      <c r="F141" s="58"/>
      <c r="G141" s="59"/>
      <c r="H141" s="106"/>
      <c r="I141" s="107"/>
      <c r="J141" s="108"/>
      <c r="K141" s="109"/>
      <c r="L141" s="110"/>
      <c r="M141" s="111"/>
      <c r="N141" s="115"/>
      <c r="O141" s="116"/>
      <c r="P141" s="116"/>
      <c r="Q141" s="116"/>
      <c r="R141" s="116"/>
      <c r="S141" s="116"/>
      <c r="T141" s="116"/>
      <c r="U141" s="116"/>
      <c r="V141" s="116"/>
      <c r="W141" s="116"/>
      <c r="X141" s="116"/>
      <c r="Y141" s="116"/>
      <c r="Z141" s="116"/>
      <c r="AA141" s="116"/>
      <c r="AB141" s="116"/>
      <c r="AC141" s="116"/>
      <c r="AD141" s="116"/>
      <c r="AE141" s="116"/>
      <c r="AF141" s="116"/>
      <c r="AG141" s="116"/>
      <c r="AH141" s="116"/>
      <c r="AI141" s="116"/>
      <c r="AJ141" s="116"/>
      <c r="AK141" s="116"/>
      <c r="AL141" s="116"/>
      <c r="AM141" s="116"/>
      <c r="AN141" s="116"/>
      <c r="AO141" s="116"/>
      <c r="AP141" s="116"/>
      <c r="AQ141" s="116"/>
      <c r="AR141" s="116"/>
      <c r="AS141" s="116"/>
      <c r="AT141" s="116"/>
      <c r="AU141" s="116"/>
      <c r="AV141" s="116"/>
      <c r="AW141" s="116"/>
      <c r="AX141" s="116"/>
      <c r="AY141" s="116"/>
      <c r="AZ141" s="116"/>
      <c r="BA141" s="116"/>
      <c r="BB141" s="116"/>
      <c r="BC141" s="116"/>
      <c r="BD141" s="116"/>
      <c r="BE141" s="116"/>
      <c r="BF141" s="116"/>
      <c r="BG141" s="116"/>
      <c r="BH141" s="116"/>
      <c r="BI141" s="116"/>
      <c r="BJ141" s="116"/>
      <c r="BK141" s="116"/>
      <c r="BL141" s="116"/>
      <c r="BM141" s="116"/>
      <c r="BN141" s="116"/>
      <c r="BO141" s="116"/>
      <c r="BP141" s="116"/>
      <c r="BQ141" s="116"/>
      <c r="BR141" s="116"/>
      <c r="BS141" s="116"/>
      <c r="BT141" s="116"/>
      <c r="BU141" s="116"/>
      <c r="BV141" s="116"/>
      <c r="BW141" s="116"/>
      <c r="BX141" s="116"/>
      <c r="BY141" s="116"/>
      <c r="BZ141" s="116"/>
      <c r="CA141" s="116"/>
      <c r="CB141" s="116"/>
      <c r="CC141" s="116"/>
      <c r="CD141" s="116"/>
      <c r="CE141" s="116"/>
      <c r="CF141" s="116"/>
      <c r="CG141" s="116"/>
      <c r="CH141" s="117"/>
    </row>
    <row r="142" spans="1:86" x14ac:dyDescent="0.2">
      <c r="A142" s="105"/>
      <c r="B142" s="105"/>
      <c r="C142" s="56"/>
      <c r="D142" s="57"/>
      <c r="E142" s="58"/>
      <c r="F142" s="58"/>
      <c r="G142" s="59"/>
      <c r="H142" s="106"/>
      <c r="I142" s="107"/>
      <c r="J142" s="108"/>
      <c r="K142" s="109"/>
      <c r="L142" s="110"/>
      <c r="M142" s="111"/>
      <c r="N142" s="115"/>
      <c r="O142" s="116"/>
      <c r="P142" s="116"/>
      <c r="Q142" s="116"/>
      <c r="R142" s="116"/>
      <c r="S142" s="116"/>
      <c r="T142" s="116"/>
      <c r="U142" s="116"/>
      <c r="V142" s="116"/>
      <c r="W142" s="116"/>
      <c r="X142" s="116"/>
      <c r="Y142" s="116"/>
      <c r="Z142" s="116"/>
      <c r="AA142" s="116"/>
      <c r="AB142" s="116"/>
      <c r="AC142" s="116"/>
      <c r="AD142" s="116"/>
      <c r="AE142" s="116"/>
      <c r="AF142" s="116"/>
      <c r="AG142" s="116"/>
      <c r="AH142" s="116"/>
      <c r="AI142" s="116"/>
      <c r="AJ142" s="116"/>
      <c r="AK142" s="116"/>
      <c r="AL142" s="116"/>
      <c r="AM142" s="116"/>
      <c r="AN142" s="116"/>
      <c r="AO142" s="116"/>
      <c r="AP142" s="116"/>
      <c r="AQ142" s="116"/>
      <c r="AR142" s="116"/>
      <c r="AS142" s="116"/>
      <c r="AT142" s="116"/>
      <c r="AU142" s="116"/>
      <c r="AV142" s="116"/>
      <c r="AW142" s="116"/>
      <c r="AX142" s="116"/>
      <c r="AY142" s="116"/>
      <c r="AZ142" s="116"/>
      <c r="BA142" s="116"/>
      <c r="BB142" s="116"/>
      <c r="BC142" s="116"/>
      <c r="BD142" s="116"/>
      <c r="BE142" s="116"/>
      <c r="BF142" s="116"/>
      <c r="BG142" s="116"/>
      <c r="BH142" s="116"/>
      <c r="BI142" s="116"/>
      <c r="BJ142" s="116"/>
      <c r="BK142" s="116"/>
      <c r="BL142" s="116"/>
      <c r="BM142" s="116"/>
      <c r="BN142" s="116"/>
      <c r="BO142" s="116"/>
      <c r="BP142" s="116"/>
      <c r="BQ142" s="116"/>
      <c r="BR142" s="116"/>
      <c r="BS142" s="116"/>
      <c r="BT142" s="116"/>
      <c r="BU142" s="116"/>
      <c r="BV142" s="116"/>
      <c r="BW142" s="116"/>
      <c r="BX142" s="116"/>
      <c r="BY142" s="116"/>
      <c r="BZ142" s="116"/>
      <c r="CA142" s="116"/>
      <c r="CB142" s="116"/>
      <c r="CC142" s="116"/>
      <c r="CD142" s="116"/>
      <c r="CE142" s="116"/>
      <c r="CF142" s="116"/>
      <c r="CG142" s="116"/>
      <c r="CH142" s="117"/>
    </row>
    <row r="143" spans="1:86" x14ac:dyDescent="0.2">
      <c r="A143" s="105"/>
      <c r="B143" s="105"/>
      <c r="C143" s="56"/>
      <c r="D143" s="57"/>
      <c r="E143" s="58"/>
      <c r="F143" s="58"/>
      <c r="G143" s="59"/>
      <c r="H143" s="106"/>
      <c r="I143" s="107"/>
      <c r="J143" s="108"/>
      <c r="K143" s="139"/>
      <c r="L143" s="110"/>
      <c r="M143" s="111"/>
      <c r="N143" s="115"/>
      <c r="O143" s="116"/>
      <c r="P143" s="116"/>
      <c r="Q143" s="116"/>
      <c r="R143" s="116"/>
      <c r="S143" s="116"/>
      <c r="T143" s="116"/>
      <c r="U143" s="116"/>
      <c r="V143" s="116"/>
      <c r="W143" s="116"/>
      <c r="X143" s="116"/>
      <c r="Y143" s="116"/>
      <c r="Z143" s="116"/>
      <c r="AA143" s="116"/>
      <c r="AB143" s="116"/>
      <c r="AC143" s="116"/>
      <c r="AD143" s="116"/>
      <c r="AE143" s="116"/>
      <c r="AF143" s="116"/>
      <c r="AG143" s="116"/>
      <c r="AH143" s="116"/>
      <c r="AI143" s="116"/>
      <c r="AJ143" s="116"/>
      <c r="AK143" s="116"/>
      <c r="AL143" s="116"/>
      <c r="AM143" s="116"/>
      <c r="AN143" s="116"/>
      <c r="AO143" s="116"/>
      <c r="AP143" s="116"/>
      <c r="AQ143" s="116"/>
      <c r="AR143" s="116"/>
      <c r="AS143" s="116"/>
      <c r="AT143" s="116"/>
      <c r="AU143" s="116"/>
      <c r="AV143" s="116"/>
      <c r="AW143" s="116"/>
      <c r="AX143" s="116"/>
      <c r="AY143" s="116"/>
      <c r="AZ143" s="116"/>
      <c r="BA143" s="116"/>
      <c r="BB143" s="116"/>
      <c r="BC143" s="116"/>
      <c r="BD143" s="116"/>
      <c r="BE143" s="116"/>
      <c r="BF143" s="116"/>
      <c r="BG143" s="116"/>
      <c r="BH143" s="116"/>
      <c r="BI143" s="116"/>
      <c r="BJ143" s="116"/>
      <c r="BK143" s="116"/>
      <c r="BL143" s="116"/>
      <c r="BM143" s="116"/>
      <c r="BN143" s="116"/>
      <c r="BO143" s="116"/>
      <c r="BP143" s="116"/>
      <c r="BQ143" s="116"/>
      <c r="BR143" s="116"/>
      <c r="BS143" s="116"/>
      <c r="BT143" s="116"/>
      <c r="BU143" s="116"/>
      <c r="BV143" s="116"/>
      <c r="BW143" s="116"/>
      <c r="BX143" s="116"/>
      <c r="BY143" s="116"/>
      <c r="BZ143" s="116"/>
      <c r="CA143" s="116"/>
      <c r="CB143" s="116"/>
      <c r="CC143" s="116"/>
      <c r="CD143" s="116"/>
      <c r="CE143" s="116"/>
      <c r="CF143" s="116"/>
      <c r="CG143" s="116"/>
      <c r="CH143" s="117"/>
    </row>
    <row r="144" spans="1:86" x14ac:dyDescent="0.2">
      <c r="A144" s="105"/>
      <c r="B144" s="105"/>
      <c r="C144" s="56"/>
      <c r="D144" s="57"/>
      <c r="E144" s="58"/>
      <c r="F144" s="58"/>
      <c r="G144" s="59"/>
      <c r="H144" s="106"/>
      <c r="I144" s="107"/>
      <c r="J144" s="108"/>
      <c r="K144" s="109"/>
      <c r="L144" s="110"/>
      <c r="M144" s="111"/>
      <c r="N144" s="115"/>
      <c r="O144" s="116"/>
      <c r="P144" s="116"/>
      <c r="Q144" s="116"/>
      <c r="R144" s="116"/>
      <c r="S144" s="116"/>
      <c r="T144" s="116"/>
      <c r="U144" s="116"/>
      <c r="V144" s="116"/>
      <c r="W144" s="116"/>
      <c r="X144" s="116"/>
      <c r="Y144" s="116"/>
      <c r="Z144" s="116"/>
      <c r="AA144" s="116"/>
      <c r="AB144" s="116"/>
      <c r="AC144" s="116"/>
      <c r="AD144" s="116"/>
      <c r="AE144" s="116"/>
      <c r="AF144" s="116"/>
      <c r="AG144" s="116"/>
      <c r="AH144" s="116"/>
      <c r="AI144" s="116"/>
      <c r="AJ144" s="116"/>
      <c r="AK144" s="116"/>
      <c r="AL144" s="116"/>
      <c r="AM144" s="116"/>
      <c r="AN144" s="116"/>
      <c r="AO144" s="116"/>
      <c r="AP144" s="116"/>
      <c r="AQ144" s="116"/>
      <c r="AR144" s="116"/>
      <c r="AS144" s="116"/>
      <c r="AT144" s="116"/>
      <c r="AU144" s="116"/>
      <c r="AV144" s="116"/>
      <c r="AW144" s="116"/>
      <c r="AX144" s="116"/>
      <c r="AY144" s="116"/>
      <c r="AZ144" s="116"/>
      <c r="BA144" s="116"/>
      <c r="BB144" s="116"/>
      <c r="BC144" s="116"/>
      <c r="BD144" s="116"/>
      <c r="BE144" s="116"/>
      <c r="BF144" s="116"/>
      <c r="BG144" s="116"/>
      <c r="BH144" s="116"/>
      <c r="BI144" s="116"/>
      <c r="BJ144" s="116"/>
      <c r="BK144" s="116"/>
      <c r="BL144" s="116"/>
      <c r="BM144" s="116"/>
      <c r="BN144" s="116"/>
      <c r="BO144" s="116"/>
      <c r="BP144" s="116"/>
      <c r="BQ144" s="116"/>
      <c r="BR144" s="116"/>
      <c r="BS144" s="116"/>
      <c r="BT144" s="116"/>
      <c r="BU144" s="116"/>
      <c r="BV144" s="116"/>
      <c r="BW144" s="116"/>
      <c r="BX144" s="116"/>
      <c r="BY144" s="116"/>
      <c r="BZ144" s="116"/>
      <c r="CA144" s="116"/>
      <c r="CB144" s="116"/>
      <c r="CC144" s="116"/>
      <c r="CD144" s="116"/>
      <c r="CE144" s="116"/>
      <c r="CF144" s="116"/>
      <c r="CG144" s="116"/>
      <c r="CH144" s="117"/>
    </row>
    <row r="145" spans="1:86" x14ac:dyDescent="0.2">
      <c r="A145" s="105"/>
      <c r="B145" s="105"/>
      <c r="C145" s="56"/>
      <c r="D145" s="57"/>
      <c r="E145" s="58"/>
      <c r="F145" s="58"/>
      <c r="G145" s="59"/>
      <c r="H145" s="106"/>
      <c r="I145" s="107"/>
      <c r="J145" s="108"/>
      <c r="K145" s="109"/>
      <c r="L145" s="110"/>
      <c r="M145" s="111"/>
      <c r="N145" s="115"/>
      <c r="O145" s="116"/>
      <c r="P145" s="116"/>
      <c r="Q145" s="116"/>
      <c r="R145" s="116"/>
      <c r="S145" s="116"/>
      <c r="T145" s="116"/>
      <c r="U145" s="116"/>
      <c r="V145" s="116"/>
      <c r="W145" s="116"/>
      <c r="X145" s="116"/>
      <c r="Y145" s="116"/>
      <c r="Z145" s="116"/>
      <c r="AA145" s="116"/>
      <c r="AB145" s="116"/>
      <c r="AC145" s="116"/>
      <c r="AD145" s="116"/>
      <c r="AE145" s="116"/>
      <c r="AF145" s="116"/>
      <c r="AG145" s="116"/>
      <c r="AH145" s="116"/>
      <c r="AI145" s="116"/>
      <c r="AJ145" s="116"/>
      <c r="AK145" s="116"/>
      <c r="AL145" s="116"/>
      <c r="AM145" s="116"/>
      <c r="AN145" s="116"/>
      <c r="AO145" s="116"/>
      <c r="AP145" s="116"/>
      <c r="AQ145" s="116"/>
      <c r="AR145" s="116"/>
      <c r="AS145" s="116"/>
      <c r="AT145" s="116"/>
      <c r="AU145" s="116"/>
      <c r="AV145" s="116"/>
      <c r="AW145" s="116"/>
      <c r="AX145" s="116"/>
      <c r="AY145" s="116"/>
      <c r="AZ145" s="116"/>
      <c r="BA145" s="116"/>
      <c r="BB145" s="116"/>
      <c r="BC145" s="116"/>
      <c r="BD145" s="116"/>
      <c r="BE145" s="116"/>
      <c r="BF145" s="116"/>
      <c r="BG145" s="116"/>
      <c r="BH145" s="116"/>
      <c r="BI145" s="116"/>
      <c r="BJ145" s="116"/>
      <c r="BK145" s="116"/>
      <c r="BL145" s="116"/>
      <c r="BM145" s="116"/>
      <c r="BN145" s="116"/>
      <c r="BO145" s="116"/>
      <c r="BP145" s="116"/>
      <c r="BQ145" s="116"/>
      <c r="BR145" s="116"/>
      <c r="BS145" s="116"/>
      <c r="BT145" s="116"/>
      <c r="BU145" s="116"/>
      <c r="BV145" s="116"/>
      <c r="BW145" s="116"/>
      <c r="BX145" s="116"/>
      <c r="BY145" s="116"/>
      <c r="BZ145" s="116"/>
      <c r="CA145" s="116"/>
      <c r="CB145" s="116"/>
      <c r="CC145" s="116"/>
      <c r="CD145" s="116"/>
      <c r="CE145" s="116"/>
      <c r="CF145" s="116"/>
      <c r="CG145" s="116"/>
      <c r="CH145" s="117"/>
    </row>
    <row r="146" spans="1:86" x14ac:dyDescent="0.2">
      <c r="A146" s="105"/>
      <c r="B146" s="105"/>
      <c r="C146" s="56"/>
      <c r="D146" s="57"/>
      <c r="E146" s="58"/>
      <c r="F146" s="58"/>
      <c r="G146" s="59"/>
      <c r="H146" s="106"/>
      <c r="I146" s="107"/>
      <c r="J146" s="108"/>
      <c r="K146" s="109"/>
      <c r="L146" s="110"/>
      <c r="M146" s="110"/>
      <c r="N146" s="115"/>
      <c r="O146" s="116"/>
      <c r="P146" s="116"/>
      <c r="Q146" s="116"/>
      <c r="R146" s="116"/>
      <c r="S146" s="116"/>
      <c r="T146" s="116"/>
      <c r="U146" s="116"/>
      <c r="V146" s="116"/>
      <c r="W146" s="116"/>
      <c r="X146" s="116"/>
      <c r="Y146" s="116"/>
      <c r="Z146" s="116"/>
      <c r="AA146" s="116"/>
      <c r="AB146" s="116"/>
      <c r="AC146" s="116"/>
      <c r="AD146" s="116"/>
      <c r="AE146" s="116"/>
      <c r="AF146" s="116"/>
      <c r="AG146" s="116"/>
      <c r="AH146" s="116"/>
      <c r="AI146" s="116"/>
      <c r="AJ146" s="116"/>
      <c r="AK146" s="116"/>
      <c r="AL146" s="116"/>
      <c r="AM146" s="116"/>
      <c r="AN146" s="116"/>
      <c r="AO146" s="116"/>
      <c r="AP146" s="116"/>
      <c r="AQ146" s="116"/>
      <c r="AR146" s="116"/>
      <c r="AS146" s="116"/>
      <c r="AT146" s="116"/>
      <c r="AU146" s="116"/>
      <c r="AV146" s="116"/>
      <c r="AW146" s="116"/>
      <c r="AX146" s="116"/>
      <c r="AY146" s="116"/>
      <c r="AZ146" s="116"/>
      <c r="BA146" s="116"/>
      <c r="BB146" s="116"/>
      <c r="BC146" s="116"/>
      <c r="BD146" s="116"/>
      <c r="BE146" s="116"/>
      <c r="BF146" s="116"/>
      <c r="BG146" s="116"/>
      <c r="BH146" s="116"/>
      <c r="BI146" s="116"/>
      <c r="BJ146" s="116"/>
      <c r="BK146" s="116"/>
      <c r="BL146" s="116"/>
      <c r="BM146" s="116"/>
      <c r="BN146" s="116"/>
      <c r="BO146" s="116"/>
      <c r="BP146" s="116"/>
      <c r="BQ146" s="116"/>
      <c r="BR146" s="116"/>
      <c r="BS146" s="116"/>
      <c r="BT146" s="116"/>
      <c r="BU146" s="116"/>
      <c r="BV146" s="116"/>
      <c r="BW146" s="116"/>
      <c r="BX146" s="116"/>
      <c r="BY146" s="116"/>
      <c r="BZ146" s="116"/>
      <c r="CA146" s="116"/>
      <c r="CB146" s="116"/>
      <c r="CC146" s="116"/>
      <c r="CD146" s="116"/>
      <c r="CE146" s="116"/>
      <c r="CF146" s="116"/>
      <c r="CG146" s="116"/>
      <c r="CH146" s="117"/>
    </row>
    <row r="147" spans="1:86" x14ac:dyDescent="0.2">
      <c r="A147" s="105"/>
      <c r="B147" s="105"/>
      <c r="C147" s="56"/>
      <c r="D147" s="57"/>
      <c r="E147" s="58"/>
      <c r="F147" s="58"/>
      <c r="G147" s="59"/>
      <c r="H147" s="106"/>
      <c r="I147" s="107"/>
      <c r="J147" s="108"/>
      <c r="K147" s="109"/>
      <c r="L147" s="110"/>
      <c r="M147" s="110"/>
      <c r="N147" s="115"/>
      <c r="O147" s="116"/>
      <c r="P147" s="116"/>
      <c r="Q147" s="116"/>
      <c r="R147" s="116"/>
      <c r="S147" s="116"/>
      <c r="T147" s="116"/>
      <c r="U147" s="116"/>
      <c r="V147" s="116"/>
      <c r="W147" s="116"/>
      <c r="X147" s="116"/>
      <c r="Y147" s="116"/>
      <c r="Z147" s="116"/>
      <c r="AA147" s="116"/>
      <c r="AB147" s="116"/>
      <c r="AC147" s="116"/>
      <c r="AD147" s="116"/>
      <c r="AE147" s="116"/>
      <c r="AF147" s="116"/>
      <c r="AG147" s="116"/>
      <c r="AH147" s="116"/>
      <c r="AI147" s="116"/>
      <c r="AJ147" s="116"/>
      <c r="AK147" s="116"/>
      <c r="AL147" s="116"/>
      <c r="AM147" s="116"/>
      <c r="AN147" s="116"/>
      <c r="AO147" s="116"/>
      <c r="AP147" s="116"/>
      <c r="AQ147" s="116"/>
      <c r="AR147" s="116"/>
      <c r="AS147" s="116"/>
      <c r="AT147" s="116"/>
      <c r="AU147" s="116"/>
      <c r="AV147" s="116"/>
      <c r="AW147" s="116"/>
      <c r="AX147" s="116"/>
      <c r="AY147" s="116"/>
      <c r="AZ147" s="116"/>
      <c r="BA147" s="116"/>
      <c r="BB147" s="116"/>
      <c r="BC147" s="116"/>
      <c r="BD147" s="116"/>
      <c r="BE147" s="116"/>
      <c r="BF147" s="116"/>
      <c r="BG147" s="116"/>
      <c r="BH147" s="116"/>
      <c r="BI147" s="116"/>
      <c r="BJ147" s="116"/>
      <c r="BK147" s="116"/>
      <c r="BL147" s="116"/>
      <c r="BM147" s="116"/>
      <c r="BN147" s="116"/>
      <c r="BO147" s="116"/>
      <c r="BP147" s="116"/>
      <c r="BQ147" s="116"/>
      <c r="BR147" s="116"/>
      <c r="BS147" s="116"/>
      <c r="BT147" s="116"/>
      <c r="BU147" s="116"/>
      <c r="BV147" s="116"/>
      <c r="BW147" s="116"/>
      <c r="BX147" s="116"/>
      <c r="BY147" s="116"/>
      <c r="BZ147" s="116"/>
      <c r="CA147" s="116"/>
      <c r="CB147" s="116"/>
      <c r="CC147" s="116"/>
      <c r="CD147" s="116"/>
      <c r="CE147" s="116"/>
      <c r="CF147" s="116"/>
      <c r="CG147" s="116"/>
      <c r="CH147" s="117"/>
    </row>
    <row r="148" spans="1:86" x14ac:dyDescent="0.2">
      <c r="A148" s="105"/>
      <c r="B148" s="105"/>
      <c r="C148" s="56"/>
      <c r="D148" s="57"/>
      <c r="E148" s="58"/>
      <c r="F148" s="58"/>
      <c r="G148" s="59"/>
      <c r="H148" s="106"/>
      <c r="I148" s="107"/>
      <c r="J148" s="108"/>
      <c r="K148" s="109"/>
      <c r="L148" s="110"/>
      <c r="M148" s="111"/>
      <c r="N148" s="115"/>
      <c r="O148" s="116"/>
      <c r="P148" s="116"/>
      <c r="Q148" s="116"/>
      <c r="R148" s="116"/>
      <c r="S148" s="116"/>
      <c r="T148" s="116"/>
      <c r="U148" s="116"/>
      <c r="V148" s="116"/>
      <c r="W148" s="116"/>
      <c r="X148" s="116"/>
      <c r="Y148" s="116"/>
      <c r="Z148" s="116"/>
      <c r="AA148" s="116"/>
      <c r="AB148" s="116"/>
      <c r="AC148" s="116"/>
      <c r="AD148" s="116"/>
      <c r="AE148" s="116"/>
      <c r="AF148" s="116"/>
      <c r="AG148" s="116"/>
      <c r="AH148" s="116"/>
      <c r="AI148" s="116"/>
      <c r="AJ148" s="116"/>
      <c r="AK148" s="116"/>
      <c r="AL148" s="116"/>
      <c r="AM148" s="116"/>
      <c r="AN148" s="116"/>
      <c r="AO148" s="116"/>
      <c r="AP148" s="116"/>
      <c r="AQ148" s="116"/>
      <c r="AR148" s="116"/>
      <c r="AS148" s="116"/>
      <c r="AT148" s="116"/>
      <c r="AU148" s="116"/>
      <c r="AV148" s="116"/>
      <c r="AW148" s="116"/>
      <c r="AX148" s="116"/>
      <c r="AY148" s="116"/>
      <c r="AZ148" s="116"/>
      <c r="BA148" s="116"/>
      <c r="BB148" s="116"/>
      <c r="BC148" s="116"/>
      <c r="BD148" s="116"/>
      <c r="BE148" s="116"/>
      <c r="BF148" s="116"/>
      <c r="BG148" s="116"/>
      <c r="BH148" s="116"/>
      <c r="BI148" s="116"/>
      <c r="BJ148" s="116"/>
      <c r="BK148" s="116"/>
      <c r="BL148" s="116"/>
      <c r="BM148" s="116"/>
      <c r="BN148" s="116"/>
      <c r="BO148" s="116"/>
      <c r="BP148" s="116"/>
      <c r="BQ148" s="116"/>
      <c r="BR148" s="116"/>
      <c r="BS148" s="116"/>
      <c r="BT148" s="116"/>
      <c r="BU148" s="116"/>
      <c r="BV148" s="116"/>
      <c r="BW148" s="116"/>
      <c r="BX148" s="116"/>
      <c r="BY148" s="116"/>
      <c r="BZ148" s="116"/>
      <c r="CA148" s="116"/>
      <c r="CB148" s="116"/>
      <c r="CC148" s="116"/>
      <c r="CD148" s="116"/>
      <c r="CE148" s="116"/>
      <c r="CF148" s="116"/>
      <c r="CG148" s="116"/>
      <c r="CH148" s="117"/>
    </row>
    <row r="149" spans="1:86" x14ac:dyDescent="0.2">
      <c r="A149" s="105"/>
      <c r="B149" s="105"/>
      <c r="C149" s="56"/>
      <c r="D149" s="57"/>
      <c r="E149" s="58"/>
      <c r="F149" s="58"/>
      <c r="G149" s="59"/>
      <c r="H149" s="106"/>
      <c r="I149" s="107"/>
      <c r="J149" s="108"/>
      <c r="K149" s="109"/>
      <c r="L149" s="110"/>
      <c r="M149" s="111"/>
      <c r="N149" s="115"/>
      <c r="O149" s="116"/>
      <c r="P149" s="116"/>
      <c r="Q149" s="116"/>
      <c r="R149" s="116"/>
      <c r="S149" s="116"/>
      <c r="T149" s="116"/>
      <c r="U149" s="116"/>
      <c r="V149" s="116"/>
      <c r="W149" s="116"/>
      <c r="X149" s="116"/>
      <c r="Y149" s="116"/>
      <c r="Z149" s="116"/>
      <c r="AA149" s="116"/>
      <c r="AB149" s="116"/>
      <c r="AC149" s="116"/>
      <c r="AD149" s="116"/>
      <c r="AE149" s="116"/>
      <c r="AF149" s="116"/>
      <c r="AG149" s="116"/>
      <c r="AH149" s="116"/>
      <c r="AI149" s="116"/>
      <c r="AJ149" s="116"/>
      <c r="AK149" s="116"/>
      <c r="AL149" s="116"/>
      <c r="AM149" s="116"/>
      <c r="AN149" s="116"/>
      <c r="AO149" s="116"/>
      <c r="AP149" s="116"/>
      <c r="AQ149" s="116"/>
      <c r="AR149" s="116"/>
      <c r="AS149" s="116"/>
      <c r="AT149" s="116"/>
      <c r="AU149" s="116"/>
      <c r="AV149" s="116"/>
      <c r="AW149" s="116"/>
      <c r="AX149" s="116"/>
      <c r="AY149" s="116"/>
      <c r="AZ149" s="116"/>
      <c r="BA149" s="116"/>
      <c r="BB149" s="116"/>
      <c r="BC149" s="116"/>
      <c r="BD149" s="116"/>
      <c r="BE149" s="116"/>
      <c r="BF149" s="116"/>
      <c r="BG149" s="116"/>
      <c r="BH149" s="116"/>
      <c r="BI149" s="116"/>
      <c r="BJ149" s="116"/>
      <c r="BK149" s="116"/>
      <c r="BL149" s="116"/>
      <c r="BM149" s="116"/>
      <c r="BN149" s="116"/>
      <c r="BO149" s="116"/>
      <c r="BP149" s="116"/>
      <c r="BQ149" s="116"/>
      <c r="BR149" s="116"/>
      <c r="BS149" s="116"/>
      <c r="BT149" s="116"/>
      <c r="BU149" s="116"/>
      <c r="BV149" s="116"/>
      <c r="BW149" s="116"/>
      <c r="BX149" s="116"/>
      <c r="BY149" s="116"/>
      <c r="BZ149" s="116"/>
      <c r="CA149" s="116"/>
      <c r="CB149" s="116"/>
      <c r="CC149" s="116"/>
      <c r="CD149" s="116"/>
      <c r="CE149" s="116"/>
      <c r="CF149" s="116"/>
      <c r="CG149" s="116"/>
      <c r="CH149" s="117"/>
    </row>
    <row r="150" spans="1:86" x14ac:dyDescent="0.2">
      <c r="A150" s="105"/>
      <c r="B150" s="105"/>
      <c r="C150" s="56"/>
      <c r="D150" s="57"/>
      <c r="E150" s="58"/>
      <c r="F150" s="58"/>
      <c r="G150" s="59"/>
      <c r="H150" s="106"/>
      <c r="I150" s="107"/>
      <c r="J150" s="108"/>
      <c r="K150" s="109"/>
      <c r="L150" s="110"/>
      <c r="M150" s="110"/>
      <c r="N150" s="115"/>
      <c r="O150" s="116"/>
      <c r="P150" s="116"/>
      <c r="Q150" s="116"/>
      <c r="R150" s="116"/>
      <c r="S150" s="116"/>
      <c r="T150" s="116"/>
      <c r="U150" s="116"/>
      <c r="V150" s="116"/>
      <c r="W150" s="116"/>
      <c r="X150" s="116"/>
      <c r="Y150" s="116"/>
      <c r="Z150" s="116"/>
      <c r="AA150" s="116"/>
      <c r="AB150" s="116"/>
      <c r="AC150" s="116"/>
      <c r="AD150" s="116"/>
      <c r="AE150" s="116"/>
      <c r="AF150" s="116"/>
      <c r="AG150" s="116"/>
      <c r="AH150" s="116"/>
      <c r="AI150" s="116"/>
      <c r="AJ150" s="116"/>
      <c r="AK150" s="116"/>
      <c r="AL150" s="116"/>
      <c r="AM150" s="116"/>
      <c r="AN150" s="116"/>
      <c r="AO150" s="116"/>
      <c r="AP150" s="116"/>
      <c r="AQ150" s="116"/>
      <c r="AR150" s="116"/>
      <c r="AS150" s="116"/>
      <c r="AT150" s="116"/>
      <c r="AU150" s="116"/>
      <c r="AV150" s="116"/>
      <c r="AW150" s="116"/>
      <c r="AX150" s="116"/>
      <c r="AY150" s="116"/>
      <c r="AZ150" s="116"/>
      <c r="BA150" s="116"/>
      <c r="BB150" s="116"/>
      <c r="BC150" s="116"/>
      <c r="BD150" s="116"/>
      <c r="BE150" s="116"/>
      <c r="BF150" s="116"/>
      <c r="BG150" s="116"/>
      <c r="BH150" s="116"/>
      <c r="BI150" s="116"/>
      <c r="BJ150" s="116"/>
      <c r="BK150" s="116"/>
      <c r="BL150" s="116"/>
      <c r="BM150" s="116"/>
      <c r="BN150" s="116"/>
      <c r="BO150" s="116"/>
      <c r="BP150" s="116"/>
      <c r="BQ150" s="116"/>
      <c r="BR150" s="116"/>
      <c r="BS150" s="116"/>
      <c r="BT150" s="116"/>
      <c r="BU150" s="116"/>
      <c r="BV150" s="116"/>
      <c r="BW150" s="116"/>
      <c r="BX150" s="116"/>
      <c r="BY150" s="116"/>
      <c r="BZ150" s="116"/>
      <c r="CA150" s="116"/>
      <c r="CB150" s="116"/>
      <c r="CC150" s="116"/>
      <c r="CD150" s="116"/>
      <c r="CE150" s="116"/>
      <c r="CF150" s="116"/>
      <c r="CG150" s="116"/>
      <c r="CH150" s="117"/>
    </row>
    <row r="151" spans="1:86" x14ac:dyDescent="0.2">
      <c r="A151" s="105"/>
      <c r="B151" s="105"/>
      <c r="C151" s="56"/>
      <c r="D151" s="57"/>
      <c r="E151" s="58"/>
      <c r="F151" s="58"/>
      <c r="G151" s="59"/>
      <c r="H151" s="106"/>
      <c r="I151" s="107"/>
      <c r="J151" s="108"/>
      <c r="K151" s="130"/>
      <c r="L151" s="110"/>
      <c r="M151" s="110"/>
      <c r="N151" s="115"/>
      <c r="O151" s="116"/>
      <c r="P151" s="116"/>
      <c r="Q151" s="116"/>
      <c r="R151" s="116"/>
      <c r="S151" s="116"/>
      <c r="T151" s="116"/>
      <c r="U151" s="116"/>
      <c r="V151" s="116"/>
      <c r="W151" s="116"/>
      <c r="X151" s="116"/>
      <c r="Y151" s="116"/>
      <c r="Z151" s="116"/>
      <c r="AA151" s="116"/>
      <c r="AB151" s="116"/>
      <c r="AC151" s="116"/>
      <c r="AD151" s="116"/>
      <c r="AE151" s="116"/>
      <c r="AF151" s="116"/>
      <c r="AG151" s="116"/>
      <c r="AH151" s="116"/>
      <c r="AI151" s="116"/>
      <c r="AJ151" s="116"/>
      <c r="AK151" s="116"/>
      <c r="AL151" s="116"/>
      <c r="AM151" s="116"/>
      <c r="AN151" s="116"/>
      <c r="AO151" s="116"/>
      <c r="AP151" s="116"/>
      <c r="AQ151" s="116"/>
      <c r="AR151" s="116"/>
      <c r="AS151" s="116"/>
      <c r="AT151" s="116"/>
      <c r="AU151" s="116"/>
      <c r="AV151" s="116"/>
      <c r="AW151" s="116"/>
      <c r="AX151" s="116"/>
      <c r="AY151" s="116"/>
      <c r="AZ151" s="116"/>
      <c r="BA151" s="116"/>
      <c r="BB151" s="116"/>
      <c r="BC151" s="116"/>
      <c r="BD151" s="116"/>
      <c r="BE151" s="116"/>
      <c r="BF151" s="116"/>
      <c r="BG151" s="116"/>
      <c r="BH151" s="116"/>
      <c r="BI151" s="116"/>
      <c r="BJ151" s="116"/>
      <c r="BK151" s="116"/>
      <c r="BL151" s="116"/>
      <c r="BM151" s="116"/>
      <c r="BN151" s="116"/>
      <c r="BO151" s="116"/>
      <c r="BP151" s="116"/>
      <c r="BQ151" s="116"/>
      <c r="BR151" s="116"/>
      <c r="BS151" s="116"/>
      <c r="BT151" s="116"/>
      <c r="BU151" s="116"/>
      <c r="BV151" s="116"/>
      <c r="BW151" s="116"/>
      <c r="BX151" s="116"/>
      <c r="BY151" s="116"/>
      <c r="BZ151" s="116"/>
      <c r="CA151" s="116"/>
      <c r="CB151" s="116"/>
      <c r="CC151" s="116"/>
      <c r="CD151" s="116"/>
      <c r="CE151" s="116"/>
      <c r="CF151" s="116"/>
      <c r="CG151" s="116"/>
      <c r="CH151" s="117"/>
    </row>
    <row r="152" spans="1:86" x14ac:dyDescent="0.2">
      <c r="A152" s="105"/>
      <c r="B152" s="105"/>
      <c r="C152" s="56"/>
      <c r="D152" s="57"/>
      <c r="E152" s="58"/>
      <c r="F152" s="58"/>
      <c r="G152" s="59"/>
      <c r="H152" s="106"/>
      <c r="I152" s="107"/>
      <c r="J152" s="108"/>
      <c r="K152" s="109"/>
      <c r="L152" s="110"/>
      <c r="M152" s="111"/>
      <c r="N152" s="115"/>
      <c r="O152" s="116"/>
      <c r="P152" s="116"/>
      <c r="Q152" s="116"/>
      <c r="R152" s="116"/>
      <c r="S152" s="116"/>
      <c r="T152" s="116"/>
      <c r="U152" s="116"/>
      <c r="V152" s="116"/>
      <c r="W152" s="116"/>
      <c r="X152" s="116"/>
      <c r="Y152" s="116"/>
      <c r="Z152" s="116"/>
      <c r="AA152" s="116"/>
      <c r="AB152" s="116"/>
      <c r="AC152" s="116"/>
      <c r="AD152" s="116"/>
      <c r="AE152" s="116"/>
      <c r="AF152" s="116"/>
      <c r="AG152" s="116"/>
      <c r="AH152" s="116"/>
      <c r="AI152" s="116"/>
      <c r="AJ152" s="116"/>
      <c r="AK152" s="116"/>
      <c r="AL152" s="116"/>
      <c r="AM152" s="116"/>
      <c r="AN152" s="116"/>
      <c r="AO152" s="116"/>
      <c r="AP152" s="116"/>
      <c r="AQ152" s="116"/>
      <c r="AR152" s="116"/>
      <c r="AS152" s="116"/>
      <c r="AT152" s="116"/>
      <c r="AU152" s="116"/>
      <c r="AV152" s="116"/>
      <c r="AW152" s="116"/>
      <c r="AX152" s="116"/>
      <c r="AY152" s="116"/>
      <c r="AZ152" s="116"/>
      <c r="BA152" s="116"/>
      <c r="BB152" s="116"/>
      <c r="BC152" s="116"/>
      <c r="BD152" s="116"/>
      <c r="BE152" s="116"/>
      <c r="BF152" s="116"/>
      <c r="BG152" s="116"/>
      <c r="BH152" s="116"/>
      <c r="BI152" s="116"/>
      <c r="BJ152" s="116"/>
      <c r="BK152" s="116"/>
      <c r="BL152" s="116"/>
      <c r="BM152" s="116"/>
      <c r="BN152" s="116"/>
      <c r="BO152" s="116"/>
      <c r="BP152" s="116"/>
      <c r="BQ152" s="116"/>
      <c r="BR152" s="116"/>
      <c r="BS152" s="116"/>
      <c r="BT152" s="116"/>
      <c r="BU152" s="116"/>
      <c r="BV152" s="116"/>
      <c r="BW152" s="116"/>
      <c r="BX152" s="116"/>
      <c r="BY152" s="116"/>
      <c r="BZ152" s="116"/>
      <c r="CA152" s="116"/>
      <c r="CB152" s="116"/>
      <c r="CC152" s="116"/>
      <c r="CD152" s="116"/>
      <c r="CE152" s="116"/>
      <c r="CF152" s="116"/>
      <c r="CG152" s="116"/>
      <c r="CH152" s="117"/>
    </row>
    <row r="153" spans="1:86" x14ac:dyDescent="0.2">
      <c r="A153" s="105"/>
      <c r="B153" s="105"/>
      <c r="C153" s="56"/>
      <c r="D153" s="57"/>
      <c r="E153" s="58"/>
      <c r="F153" s="58"/>
      <c r="G153" s="59"/>
      <c r="H153" s="106"/>
      <c r="I153" s="107"/>
      <c r="J153" s="108"/>
      <c r="K153" s="109"/>
      <c r="L153" s="110"/>
      <c r="M153" s="111"/>
      <c r="N153" s="115"/>
      <c r="O153" s="116"/>
      <c r="P153" s="116"/>
      <c r="Q153" s="116"/>
      <c r="R153" s="116"/>
      <c r="S153" s="116"/>
      <c r="T153" s="116"/>
      <c r="U153" s="116"/>
      <c r="V153" s="116"/>
      <c r="W153" s="116"/>
      <c r="X153" s="116"/>
      <c r="Y153" s="116"/>
      <c r="Z153" s="116"/>
      <c r="AA153" s="116"/>
      <c r="AB153" s="116"/>
      <c r="AC153" s="116"/>
      <c r="AD153" s="116"/>
      <c r="AE153" s="116"/>
      <c r="AF153" s="116"/>
      <c r="AG153" s="116"/>
      <c r="AH153" s="116"/>
      <c r="AI153" s="116"/>
      <c r="AJ153" s="116"/>
      <c r="AK153" s="116"/>
      <c r="AL153" s="116"/>
      <c r="AM153" s="116"/>
      <c r="AN153" s="116"/>
      <c r="AO153" s="116"/>
      <c r="AP153" s="116"/>
      <c r="AQ153" s="116"/>
      <c r="AR153" s="116"/>
      <c r="AS153" s="116"/>
      <c r="AT153" s="116"/>
      <c r="AU153" s="116"/>
      <c r="AV153" s="116"/>
      <c r="AW153" s="116"/>
      <c r="AX153" s="116"/>
      <c r="AY153" s="116"/>
      <c r="AZ153" s="116"/>
      <c r="BA153" s="116"/>
      <c r="BB153" s="116"/>
      <c r="BC153" s="116"/>
      <c r="BD153" s="116"/>
      <c r="BE153" s="116"/>
      <c r="BF153" s="116"/>
      <c r="BG153" s="116"/>
      <c r="BH153" s="116"/>
      <c r="BI153" s="116"/>
      <c r="BJ153" s="116"/>
      <c r="BK153" s="116"/>
      <c r="BL153" s="116"/>
      <c r="BM153" s="116"/>
      <c r="BN153" s="116"/>
      <c r="BO153" s="116"/>
      <c r="BP153" s="116"/>
      <c r="BQ153" s="116"/>
      <c r="BR153" s="116"/>
      <c r="BS153" s="116"/>
      <c r="BT153" s="116"/>
      <c r="BU153" s="116"/>
      <c r="BV153" s="116"/>
      <c r="BW153" s="116"/>
      <c r="BX153" s="116"/>
      <c r="BY153" s="116"/>
      <c r="BZ153" s="116"/>
      <c r="CA153" s="116"/>
      <c r="CB153" s="116"/>
      <c r="CC153" s="116"/>
      <c r="CD153" s="116"/>
      <c r="CE153" s="116"/>
      <c r="CF153" s="116"/>
      <c r="CG153" s="116"/>
      <c r="CH153" s="117"/>
    </row>
    <row r="154" spans="1:86" x14ac:dyDescent="0.2">
      <c r="A154" s="105"/>
      <c r="B154" s="105"/>
      <c r="C154" s="56"/>
      <c r="D154" s="57"/>
      <c r="E154" s="58"/>
      <c r="F154" s="58"/>
      <c r="G154" s="59"/>
      <c r="H154" s="106"/>
      <c r="I154" s="107"/>
      <c r="J154" s="108"/>
      <c r="K154" s="109"/>
      <c r="L154" s="110"/>
      <c r="M154" s="111"/>
      <c r="N154" s="115"/>
      <c r="O154" s="116"/>
      <c r="P154" s="116"/>
      <c r="Q154" s="116"/>
      <c r="R154" s="116"/>
      <c r="S154" s="116"/>
      <c r="T154" s="116"/>
      <c r="U154" s="116"/>
      <c r="V154" s="116"/>
      <c r="W154" s="116"/>
      <c r="X154" s="116"/>
      <c r="Y154" s="116"/>
      <c r="Z154" s="116"/>
      <c r="AA154" s="116"/>
      <c r="AB154" s="116"/>
      <c r="AC154" s="116"/>
      <c r="AD154" s="116"/>
      <c r="AE154" s="116"/>
      <c r="AF154" s="116"/>
      <c r="AG154" s="116"/>
      <c r="AH154" s="116"/>
      <c r="AI154" s="116"/>
      <c r="AJ154" s="116"/>
      <c r="AK154" s="116"/>
      <c r="AL154" s="116"/>
      <c r="AM154" s="116"/>
      <c r="AN154" s="116"/>
      <c r="AO154" s="116"/>
      <c r="AP154" s="116"/>
      <c r="AQ154" s="116"/>
      <c r="AR154" s="116"/>
      <c r="AS154" s="116"/>
      <c r="AT154" s="116"/>
      <c r="AU154" s="116"/>
      <c r="AV154" s="116"/>
      <c r="AW154" s="116"/>
      <c r="AX154" s="116"/>
      <c r="AY154" s="116"/>
      <c r="AZ154" s="116"/>
      <c r="BA154" s="116"/>
      <c r="BB154" s="116"/>
      <c r="BC154" s="116"/>
      <c r="BD154" s="116"/>
      <c r="BE154" s="116"/>
      <c r="BF154" s="116"/>
      <c r="BG154" s="116"/>
      <c r="BH154" s="116"/>
      <c r="BI154" s="116"/>
      <c r="BJ154" s="116"/>
      <c r="BK154" s="116"/>
      <c r="BL154" s="116"/>
      <c r="BM154" s="116"/>
      <c r="BN154" s="116"/>
      <c r="BO154" s="116"/>
      <c r="BP154" s="116"/>
      <c r="BQ154" s="116"/>
      <c r="BR154" s="116"/>
      <c r="BS154" s="116"/>
      <c r="BT154" s="116"/>
      <c r="BU154" s="116"/>
      <c r="BV154" s="116"/>
      <c r="BW154" s="116"/>
      <c r="BX154" s="116"/>
      <c r="BY154" s="116"/>
      <c r="BZ154" s="116"/>
      <c r="CA154" s="116"/>
      <c r="CB154" s="116"/>
      <c r="CC154" s="116"/>
      <c r="CD154" s="116"/>
      <c r="CE154" s="116"/>
      <c r="CF154" s="116"/>
      <c r="CG154" s="116"/>
      <c r="CH154" s="117"/>
    </row>
    <row r="155" spans="1:86" x14ac:dyDescent="0.2">
      <c r="A155" s="105"/>
      <c r="B155" s="105"/>
      <c r="C155" s="56"/>
      <c r="D155" s="57"/>
      <c r="E155" s="58"/>
      <c r="F155" s="58"/>
      <c r="G155" s="59"/>
      <c r="H155" s="106"/>
      <c r="I155" s="107"/>
      <c r="J155" s="108"/>
      <c r="K155" s="109"/>
      <c r="L155" s="110"/>
      <c r="M155" s="111"/>
      <c r="N155" s="115"/>
      <c r="O155" s="116"/>
      <c r="P155" s="116"/>
      <c r="Q155" s="116"/>
      <c r="R155" s="116"/>
      <c r="S155" s="116"/>
      <c r="T155" s="116"/>
      <c r="U155" s="116"/>
      <c r="V155" s="116"/>
      <c r="W155" s="116"/>
      <c r="X155" s="116"/>
      <c r="Y155" s="116"/>
      <c r="Z155" s="116"/>
      <c r="AA155" s="116"/>
      <c r="AB155" s="116"/>
      <c r="AC155" s="116"/>
      <c r="AD155" s="116"/>
      <c r="AE155" s="116"/>
      <c r="AF155" s="116"/>
      <c r="AG155" s="116"/>
      <c r="AH155" s="116"/>
      <c r="AI155" s="116"/>
      <c r="AJ155" s="116"/>
      <c r="AK155" s="116"/>
      <c r="AL155" s="116"/>
      <c r="AM155" s="116"/>
      <c r="AN155" s="116"/>
      <c r="AO155" s="116"/>
      <c r="AP155" s="116"/>
      <c r="AQ155" s="116"/>
      <c r="AR155" s="116"/>
      <c r="AS155" s="116"/>
      <c r="AT155" s="116"/>
      <c r="AU155" s="116"/>
      <c r="AV155" s="116"/>
      <c r="AW155" s="116"/>
      <c r="AX155" s="116"/>
      <c r="AY155" s="116"/>
      <c r="AZ155" s="116"/>
      <c r="BA155" s="116"/>
      <c r="BB155" s="116"/>
      <c r="BC155" s="116"/>
      <c r="BD155" s="116"/>
      <c r="BE155" s="116"/>
      <c r="BF155" s="116"/>
      <c r="BG155" s="116"/>
      <c r="BH155" s="116"/>
      <c r="BI155" s="116"/>
      <c r="BJ155" s="116"/>
      <c r="BK155" s="116"/>
      <c r="BL155" s="116"/>
      <c r="BM155" s="116"/>
      <c r="BN155" s="116"/>
      <c r="BO155" s="116"/>
      <c r="BP155" s="116"/>
      <c r="BQ155" s="116"/>
      <c r="BR155" s="116"/>
      <c r="BS155" s="116"/>
      <c r="BT155" s="116"/>
      <c r="BU155" s="116"/>
      <c r="BV155" s="116"/>
      <c r="BW155" s="116"/>
      <c r="BX155" s="116"/>
      <c r="BY155" s="116"/>
      <c r="BZ155" s="116"/>
      <c r="CA155" s="116"/>
      <c r="CB155" s="116"/>
      <c r="CC155" s="116"/>
      <c r="CD155" s="116"/>
      <c r="CE155" s="116"/>
      <c r="CF155" s="116"/>
      <c r="CG155" s="116"/>
      <c r="CH155" s="117"/>
    </row>
    <row r="156" spans="1:86" x14ac:dyDescent="0.2">
      <c r="A156" s="105"/>
      <c r="B156" s="105"/>
      <c r="C156" s="56"/>
      <c r="D156" s="57"/>
      <c r="E156" s="58"/>
      <c r="F156" s="58"/>
      <c r="G156" s="59"/>
      <c r="H156" s="106"/>
      <c r="I156" s="107"/>
      <c r="J156" s="108"/>
      <c r="K156" s="109"/>
      <c r="L156" s="110"/>
      <c r="M156" s="111"/>
      <c r="N156" s="115"/>
      <c r="O156" s="116"/>
      <c r="P156" s="116"/>
      <c r="Q156" s="116"/>
      <c r="R156" s="116"/>
      <c r="S156" s="116"/>
      <c r="T156" s="116"/>
      <c r="U156" s="116"/>
      <c r="V156" s="116"/>
      <c r="W156" s="116"/>
      <c r="X156" s="116"/>
      <c r="Y156" s="116"/>
      <c r="Z156" s="116"/>
      <c r="AA156" s="116"/>
      <c r="AB156" s="116"/>
      <c r="AC156" s="116"/>
      <c r="AD156" s="116"/>
      <c r="AE156" s="116"/>
      <c r="AF156" s="116"/>
      <c r="AG156" s="116"/>
      <c r="AH156" s="116"/>
      <c r="AI156" s="116"/>
      <c r="AJ156" s="116"/>
      <c r="AK156" s="116"/>
      <c r="AL156" s="116"/>
      <c r="AM156" s="116"/>
      <c r="AN156" s="116"/>
      <c r="AO156" s="116"/>
      <c r="AP156" s="116"/>
      <c r="AQ156" s="116"/>
      <c r="AR156" s="116"/>
      <c r="AS156" s="116"/>
      <c r="AT156" s="116"/>
      <c r="AU156" s="116"/>
      <c r="AV156" s="116"/>
      <c r="AW156" s="116"/>
      <c r="AX156" s="116"/>
      <c r="AY156" s="116"/>
      <c r="AZ156" s="116"/>
      <c r="BA156" s="116"/>
      <c r="BB156" s="116"/>
      <c r="BC156" s="116"/>
      <c r="BD156" s="116"/>
      <c r="BE156" s="116"/>
      <c r="BF156" s="116"/>
      <c r="BG156" s="116"/>
      <c r="BH156" s="116"/>
      <c r="BI156" s="116"/>
      <c r="BJ156" s="116"/>
      <c r="BK156" s="116"/>
      <c r="BL156" s="116"/>
      <c r="BM156" s="116"/>
      <c r="BN156" s="116"/>
      <c r="BO156" s="116"/>
      <c r="BP156" s="116"/>
      <c r="BQ156" s="116"/>
      <c r="BR156" s="116"/>
      <c r="BS156" s="116"/>
      <c r="BT156" s="116"/>
      <c r="BU156" s="116"/>
      <c r="BV156" s="116"/>
      <c r="BW156" s="116"/>
      <c r="BX156" s="116"/>
      <c r="BY156" s="116"/>
      <c r="BZ156" s="116"/>
      <c r="CA156" s="116"/>
      <c r="CB156" s="116"/>
      <c r="CC156" s="116"/>
      <c r="CD156" s="116"/>
      <c r="CE156" s="116"/>
      <c r="CF156" s="116"/>
      <c r="CG156" s="116"/>
      <c r="CH156" s="117"/>
    </row>
    <row r="157" spans="1:86" x14ac:dyDescent="0.2">
      <c r="A157" s="105"/>
      <c r="B157" s="105"/>
      <c r="C157" s="56"/>
      <c r="D157" s="57"/>
      <c r="E157" s="58"/>
      <c r="F157" s="58"/>
      <c r="G157" s="59"/>
      <c r="H157" s="106"/>
      <c r="I157" s="107"/>
      <c r="J157" s="108"/>
      <c r="K157" s="109"/>
      <c r="L157" s="110"/>
      <c r="M157" s="111"/>
      <c r="N157" s="115"/>
      <c r="O157" s="116"/>
      <c r="P157" s="116"/>
      <c r="Q157" s="116"/>
      <c r="R157" s="116"/>
      <c r="S157" s="116"/>
      <c r="T157" s="116"/>
      <c r="U157" s="116"/>
      <c r="V157" s="116"/>
      <c r="W157" s="116"/>
      <c r="X157" s="116"/>
      <c r="Y157" s="116"/>
      <c r="Z157" s="116"/>
      <c r="AA157" s="116"/>
      <c r="AB157" s="116"/>
      <c r="AC157" s="116"/>
      <c r="AD157" s="116"/>
      <c r="AE157" s="116"/>
      <c r="AF157" s="116"/>
      <c r="AG157" s="116"/>
      <c r="AH157" s="116"/>
      <c r="AI157" s="116"/>
      <c r="AJ157" s="116"/>
      <c r="AK157" s="116"/>
      <c r="AL157" s="116"/>
      <c r="AM157" s="116"/>
      <c r="AN157" s="116"/>
      <c r="AO157" s="116"/>
      <c r="AP157" s="116"/>
      <c r="AQ157" s="116"/>
      <c r="AR157" s="116"/>
      <c r="AS157" s="116"/>
      <c r="AT157" s="116"/>
      <c r="AU157" s="116"/>
      <c r="AV157" s="116"/>
      <c r="AW157" s="116"/>
      <c r="AX157" s="116"/>
      <c r="AY157" s="116"/>
      <c r="AZ157" s="116"/>
      <c r="BA157" s="116"/>
      <c r="BB157" s="116"/>
      <c r="BC157" s="116"/>
      <c r="BD157" s="116"/>
      <c r="BE157" s="116"/>
      <c r="BF157" s="116"/>
      <c r="BG157" s="116"/>
      <c r="BH157" s="116"/>
      <c r="BI157" s="116"/>
      <c r="BJ157" s="116"/>
      <c r="BK157" s="116"/>
      <c r="BL157" s="116"/>
      <c r="BM157" s="116"/>
      <c r="BN157" s="116"/>
      <c r="BO157" s="116"/>
      <c r="BP157" s="116"/>
      <c r="BQ157" s="116"/>
      <c r="BR157" s="116"/>
      <c r="BS157" s="116"/>
      <c r="BT157" s="116"/>
      <c r="BU157" s="116"/>
      <c r="BV157" s="116"/>
      <c r="BW157" s="116"/>
      <c r="BX157" s="116"/>
      <c r="BY157" s="116"/>
      <c r="BZ157" s="116"/>
      <c r="CA157" s="116"/>
      <c r="CB157" s="116"/>
      <c r="CC157" s="116"/>
      <c r="CD157" s="116"/>
      <c r="CE157" s="116"/>
      <c r="CF157" s="116"/>
      <c r="CG157" s="116"/>
      <c r="CH157" s="117"/>
    </row>
    <row r="158" spans="1:86" x14ac:dyDescent="0.2">
      <c r="A158" s="105"/>
      <c r="B158" s="105"/>
      <c r="C158" s="56"/>
      <c r="D158" s="57"/>
      <c r="E158" s="58"/>
      <c r="F158" s="58"/>
      <c r="G158" s="59"/>
      <c r="H158" s="106"/>
      <c r="I158" s="107"/>
      <c r="J158" s="108"/>
      <c r="K158" s="109"/>
      <c r="L158" s="110"/>
      <c r="M158" s="111"/>
      <c r="N158" s="115"/>
      <c r="O158" s="116"/>
      <c r="P158" s="116"/>
      <c r="Q158" s="116"/>
      <c r="R158" s="116"/>
      <c r="S158" s="116"/>
      <c r="T158" s="116"/>
      <c r="U158" s="116"/>
      <c r="V158" s="116"/>
      <c r="W158" s="116"/>
      <c r="X158" s="116"/>
      <c r="Y158" s="116"/>
      <c r="Z158" s="116"/>
      <c r="AA158" s="116"/>
      <c r="AB158" s="116"/>
      <c r="AC158" s="116"/>
      <c r="AD158" s="116"/>
      <c r="AE158" s="116"/>
      <c r="AF158" s="116"/>
      <c r="AG158" s="116"/>
      <c r="AH158" s="116"/>
      <c r="AI158" s="116"/>
      <c r="AJ158" s="116"/>
      <c r="AK158" s="116"/>
      <c r="AL158" s="116"/>
      <c r="AM158" s="116"/>
      <c r="AN158" s="116"/>
      <c r="AO158" s="116"/>
      <c r="AP158" s="116"/>
      <c r="AQ158" s="116"/>
      <c r="AR158" s="116"/>
      <c r="AS158" s="116"/>
      <c r="AT158" s="116"/>
      <c r="AU158" s="116"/>
      <c r="AV158" s="116"/>
      <c r="AW158" s="116"/>
      <c r="AX158" s="116"/>
      <c r="AY158" s="116"/>
      <c r="AZ158" s="116"/>
      <c r="BA158" s="116"/>
      <c r="BB158" s="116"/>
      <c r="BC158" s="116"/>
      <c r="BD158" s="116"/>
      <c r="BE158" s="116"/>
      <c r="BF158" s="116"/>
      <c r="BG158" s="116"/>
      <c r="BH158" s="116"/>
      <c r="BI158" s="116"/>
      <c r="BJ158" s="116"/>
      <c r="BK158" s="116"/>
      <c r="BL158" s="116"/>
      <c r="BM158" s="116"/>
      <c r="BN158" s="116"/>
      <c r="BO158" s="116"/>
      <c r="BP158" s="116"/>
      <c r="BQ158" s="116"/>
      <c r="BR158" s="116"/>
      <c r="BS158" s="116"/>
      <c r="BT158" s="116"/>
      <c r="BU158" s="116"/>
      <c r="BV158" s="116"/>
      <c r="BW158" s="116"/>
      <c r="BX158" s="116"/>
      <c r="BY158" s="116"/>
      <c r="BZ158" s="116"/>
      <c r="CA158" s="116"/>
      <c r="CB158" s="116"/>
      <c r="CC158" s="116"/>
      <c r="CD158" s="116"/>
      <c r="CE158" s="116"/>
      <c r="CF158" s="116"/>
      <c r="CG158" s="116"/>
      <c r="CH158" s="117"/>
    </row>
    <row r="159" spans="1:86" x14ac:dyDescent="0.2">
      <c r="A159" s="105"/>
      <c r="B159" s="105"/>
      <c r="C159" s="56"/>
      <c r="D159" s="57"/>
      <c r="E159" s="58"/>
      <c r="F159" s="58"/>
      <c r="G159" s="59"/>
      <c r="H159" s="106"/>
      <c r="I159" s="107"/>
      <c r="J159" s="108"/>
      <c r="K159" s="109"/>
      <c r="L159" s="110"/>
      <c r="M159" s="111"/>
      <c r="N159" s="115"/>
      <c r="O159" s="116"/>
      <c r="P159" s="116"/>
      <c r="Q159" s="116"/>
      <c r="R159" s="116"/>
      <c r="S159" s="116"/>
      <c r="T159" s="116"/>
      <c r="U159" s="116"/>
      <c r="V159" s="116"/>
      <c r="W159" s="116"/>
      <c r="X159" s="116"/>
      <c r="Y159" s="116"/>
      <c r="Z159" s="116"/>
      <c r="AA159" s="116"/>
      <c r="AB159" s="116"/>
      <c r="AC159" s="116"/>
      <c r="AD159" s="116"/>
      <c r="AE159" s="116"/>
      <c r="AF159" s="116"/>
      <c r="AG159" s="116"/>
      <c r="AH159" s="116"/>
      <c r="AI159" s="116"/>
      <c r="AJ159" s="116"/>
      <c r="AK159" s="116"/>
      <c r="AL159" s="116"/>
      <c r="AM159" s="116"/>
      <c r="AN159" s="116"/>
      <c r="AO159" s="116"/>
      <c r="AP159" s="116"/>
      <c r="AQ159" s="116"/>
      <c r="AR159" s="116"/>
      <c r="AS159" s="116"/>
      <c r="AT159" s="116"/>
      <c r="AU159" s="116"/>
      <c r="AV159" s="116"/>
      <c r="AW159" s="116"/>
      <c r="AX159" s="116"/>
      <c r="AY159" s="116"/>
      <c r="AZ159" s="116"/>
      <c r="BA159" s="116"/>
      <c r="BB159" s="116"/>
      <c r="BC159" s="116"/>
      <c r="BD159" s="116"/>
      <c r="BE159" s="116"/>
      <c r="BF159" s="116"/>
      <c r="BG159" s="116"/>
      <c r="BH159" s="116"/>
      <c r="BI159" s="116"/>
      <c r="BJ159" s="116"/>
      <c r="BK159" s="116"/>
      <c r="BL159" s="116"/>
      <c r="BM159" s="116"/>
      <c r="BN159" s="116"/>
      <c r="BO159" s="116"/>
      <c r="BP159" s="116"/>
      <c r="BQ159" s="116"/>
      <c r="BR159" s="116"/>
      <c r="BS159" s="116"/>
      <c r="BT159" s="116"/>
      <c r="BU159" s="116"/>
      <c r="BV159" s="116"/>
      <c r="BW159" s="116"/>
      <c r="BX159" s="116"/>
      <c r="BY159" s="116"/>
      <c r="BZ159" s="116"/>
      <c r="CA159" s="116"/>
      <c r="CB159" s="116"/>
      <c r="CC159" s="116"/>
      <c r="CD159" s="116"/>
      <c r="CE159" s="116"/>
      <c r="CF159" s="116"/>
      <c r="CG159" s="116"/>
      <c r="CH159" s="117"/>
    </row>
    <row r="160" spans="1:86" x14ac:dyDescent="0.2">
      <c r="A160" s="105"/>
      <c r="B160" s="105"/>
      <c r="C160" s="56"/>
      <c r="D160" s="57"/>
      <c r="E160" s="58"/>
      <c r="F160" s="58"/>
      <c r="G160" s="59"/>
      <c r="H160" s="106"/>
      <c r="I160" s="107"/>
      <c r="J160" s="108"/>
      <c r="K160" s="109"/>
      <c r="L160" s="110"/>
      <c r="M160" s="111"/>
      <c r="N160" s="115"/>
      <c r="O160" s="116"/>
      <c r="P160" s="116"/>
      <c r="Q160" s="116"/>
      <c r="R160" s="116"/>
      <c r="S160" s="116"/>
      <c r="T160" s="116"/>
      <c r="U160" s="116"/>
      <c r="V160" s="116"/>
      <c r="W160" s="116"/>
      <c r="X160" s="116"/>
      <c r="Y160" s="116"/>
      <c r="Z160" s="116"/>
      <c r="AA160" s="116"/>
      <c r="AB160" s="116"/>
      <c r="AC160" s="116"/>
      <c r="AD160" s="116"/>
      <c r="AE160" s="116"/>
      <c r="AF160" s="116"/>
      <c r="AG160" s="116"/>
      <c r="AH160" s="116"/>
      <c r="AI160" s="116"/>
      <c r="AJ160" s="116"/>
      <c r="AK160" s="116"/>
      <c r="AL160" s="116"/>
      <c r="AM160" s="116"/>
      <c r="AN160" s="116"/>
      <c r="AO160" s="116"/>
      <c r="AP160" s="116"/>
      <c r="AQ160" s="116"/>
      <c r="AR160" s="116"/>
      <c r="AS160" s="116"/>
      <c r="AT160" s="116"/>
      <c r="AU160" s="116"/>
      <c r="AV160" s="116"/>
      <c r="AW160" s="116"/>
      <c r="AX160" s="116"/>
      <c r="AY160" s="116"/>
      <c r="AZ160" s="116"/>
      <c r="BA160" s="116"/>
      <c r="BB160" s="116"/>
      <c r="BC160" s="116"/>
      <c r="BD160" s="116"/>
      <c r="BE160" s="116"/>
      <c r="BF160" s="116"/>
      <c r="BG160" s="116"/>
      <c r="BH160" s="116"/>
      <c r="BI160" s="116"/>
      <c r="BJ160" s="116"/>
      <c r="BK160" s="116"/>
      <c r="BL160" s="116"/>
      <c r="BM160" s="116"/>
      <c r="BN160" s="116"/>
      <c r="BO160" s="116"/>
      <c r="BP160" s="116"/>
      <c r="BQ160" s="116"/>
      <c r="BR160" s="116"/>
      <c r="BS160" s="116"/>
      <c r="BT160" s="116"/>
      <c r="BU160" s="116"/>
      <c r="BV160" s="116"/>
      <c r="BW160" s="116"/>
      <c r="BX160" s="116"/>
      <c r="BY160" s="116"/>
      <c r="BZ160" s="116"/>
      <c r="CA160" s="116"/>
      <c r="CB160" s="116"/>
      <c r="CC160" s="116"/>
      <c r="CD160" s="116"/>
      <c r="CE160" s="116"/>
      <c r="CF160" s="116"/>
      <c r="CG160" s="116"/>
      <c r="CH160" s="117"/>
    </row>
    <row r="161" spans="1:86" x14ac:dyDescent="0.2">
      <c r="A161" s="105"/>
      <c r="B161" s="105"/>
      <c r="C161" s="56"/>
      <c r="D161" s="57"/>
      <c r="E161" s="58"/>
      <c r="F161" s="58"/>
      <c r="G161" s="59"/>
      <c r="H161" s="106"/>
      <c r="I161" s="107"/>
      <c r="J161" s="108"/>
      <c r="K161" s="109"/>
      <c r="L161" s="110"/>
      <c r="M161" s="111"/>
      <c r="N161" s="115"/>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c r="BK161" s="116"/>
      <c r="BL161" s="116"/>
      <c r="BM161" s="116"/>
      <c r="BN161" s="116"/>
      <c r="BO161" s="116"/>
      <c r="BP161" s="116"/>
      <c r="BQ161" s="116"/>
      <c r="BR161" s="116"/>
      <c r="BS161" s="116"/>
      <c r="BT161" s="116"/>
      <c r="BU161" s="116"/>
      <c r="BV161" s="116"/>
      <c r="BW161" s="116"/>
      <c r="BX161" s="116"/>
      <c r="BY161" s="116"/>
      <c r="BZ161" s="116"/>
      <c r="CA161" s="116"/>
      <c r="CB161" s="116"/>
      <c r="CC161" s="116"/>
      <c r="CD161" s="116"/>
      <c r="CE161" s="116"/>
      <c r="CF161" s="116"/>
      <c r="CG161" s="116"/>
      <c r="CH161" s="117"/>
    </row>
    <row r="162" spans="1:86" x14ac:dyDescent="0.2">
      <c r="A162" s="105"/>
      <c r="B162" s="105"/>
      <c r="C162" s="56"/>
      <c r="D162" s="57"/>
      <c r="E162" s="58"/>
      <c r="F162" s="58"/>
      <c r="G162" s="59"/>
      <c r="H162" s="106"/>
      <c r="I162" s="107"/>
      <c r="J162" s="108"/>
      <c r="K162" s="109"/>
      <c r="L162" s="110"/>
      <c r="M162" s="111"/>
      <c r="N162" s="115"/>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c r="BK162" s="116"/>
      <c r="BL162" s="116"/>
      <c r="BM162" s="116"/>
      <c r="BN162" s="116"/>
      <c r="BO162" s="116"/>
      <c r="BP162" s="116"/>
      <c r="BQ162" s="116"/>
      <c r="BR162" s="116"/>
      <c r="BS162" s="116"/>
      <c r="BT162" s="116"/>
      <c r="BU162" s="116"/>
      <c r="BV162" s="116"/>
      <c r="BW162" s="116"/>
      <c r="BX162" s="116"/>
      <c r="BY162" s="116"/>
      <c r="BZ162" s="116"/>
      <c r="CA162" s="116"/>
      <c r="CB162" s="116"/>
      <c r="CC162" s="116"/>
      <c r="CD162" s="116"/>
      <c r="CE162" s="116"/>
      <c r="CF162" s="116"/>
      <c r="CG162" s="116"/>
      <c r="CH162" s="117"/>
    </row>
    <row r="163" spans="1:86" x14ac:dyDescent="0.2">
      <c r="A163" s="105"/>
      <c r="B163" s="105"/>
      <c r="C163" s="56"/>
      <c r="D163" s="57"/>
      <c r="E163" s="58"/>
      <c r="F163" s="58"/>
      <c r="G163" s="59"/>
      <c r="H163" s="106"/>
      <c r="I163" s="107"/>
      <c r="J163" s="108"/>
      <c r="K163" s="109"/>
      <c r="L163" s="110"/>
      <c r="M163" s="111"/>
      <c r="N163" s="115"/>
      <c r="O163" s="116"/>
      <c r="P163" s="116"/>
      <c r="Q163" s="116"/>
      <c r="R163" s="116"/>
      <c r="S163" s="116"/>
      <c r="T163" s="116"/>
      <c r="U163" s="116"/>
      <c r="V163" s="116"/>
      <c r="W163" s="116"/>
      <c r="X163" s="116"/>
      <c r="Y163" s="116"/>
      <c r="Z163" s="116"/>
      <c r="AA163" s="116"/>
      <c r="AB163" s="116"/>
      <c r="AC163" s="116"/>
      <c r="AD163" s="116"/>
      <c r="AE163" s="116"/>
      <c r="AF163" s="116"/>
      <c r="AG163" s="116"/>
      <c r="AH163" s="116"/>
      <c r="AI163" s="116"/>
      <c r="AJ163" s="116"/>
      <c r="AK163" s="116"/>
      <c r="AL163" s="116"/>
      <c r="AM163" s="116"/>
      <c r="AN163" s="116"/>
      <c r="AO163" s="116"/>
      <c r="AP163" s="116"/>
      <c r="AQ163" s="116"/>
      <c r="AR163" s="116"/>
      <c r="AS163" s="116"/>
      <c r="AT163" s="116"/>
      <c r="AU163" s="116"/>
      <c r="AV163" s="116"/>
      <c r="AW163" s="116"/>
      <c r="AX163" s="116"/>
      <c r="AY163" s="116"/>
      <c r="AZ163" s="116"/>
      <c r="BA163" s="116"/>
      <c r="BB163" s="116"/>
      <c r="BC163" s="116"/>
      <c r="BD163" s="116"/>
      <c r="BE163" s="116"/>
      <c r="BF163" s="116"/>
      <c r="BG163" s="116"/>
      <c r="BH163" s="116"/>
      <c r="BI163" s="116"/>
      <c r="BJ163" s="116"/>
      <c r="BK163" s="116"/>
      <c r="BL163" s="116"/>
      <c r="BM163" s="116"/>
      <c r="BN163" s="116"/>
      <c r="BO163" s="116"/>
      <c r="BP163" s="116"/>
      <c r="BQ163" s="116"/>
      <c r="BR163" s="116"/>
      <c r="BS163" s="116"/>
      <c r="BT163" s="116"/>
      <c r="BU163" s="116"/>
      <c r="BV163" s="116"/>
      <c r="BW163" s="116"/>
      <c r="BX163" s="116"/>
      <c r="BY163" s="116"/>
      <c r="BZ163" s="116"/>
      <c r="CA163" s="116"/>
      <c r="CB163" s="116"/>
      <c r="CC163" s="116"/>
      <c r="CD163" s="116"/>
      <c r="CE163" s="116"/>
      <c r="CF163" s="116"/>
      <c r="CG163" s="116"/>
      <c r="CH163" s="117"/>
    </row>
    <row r="164" spans="1:86" x14ac:dyDescent="0.2">
      <c r="A164" s="105"/>
      <c r="B164" s="105"/>
      <c r="C164" s="56"/>
      <c r="D164" s="57"/>
      <c r="E164" s="58"/>
      <c r="F164" s="58"/>
      <c r="G164" s="59"/>
      <c r="H164" s="106"/>
      <c r="I164" s="107"/>
      <c r="J164" s="108"/>
      <c r="K164" s="109"/>
      <c r="L164" s="110"/>
      <c r="M164" s="111"/>
      <c r="N164" s="115"/>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c r="BK164" s="116"/>
      <c r="BL164" s="116"/>
      <c r="BM164" s="116"/>
      <c r="BN164" s="116"/>
      <c r="BO164" s="116"/>
      <c r="BP164" s="116"/>
      <c r="BQ164" s="116"/>
      <c r="BR164" s="116"/>
      <c r="BS164" s="116"/>
      <c r="BT164" s="116"/>
      <c r="BU164" s="116"/>
      <c r="BV164" s="116"/>
      <c r="BW164" s="116"/>
      <c r="BX164" s="116"/>
      <c r="BY164" s="116"/>
      <c r="BZ164" s="116"/>
      <c r="CA164" s="116"/>
      <c r="CB164" s="116"/>
      <c r="CC164" s="116"/>
      <c r="CD164" s="116"/>
      <c r="CE164" s="116"/>
      <c r="CF164" s="116"/>
      <c r="CG164" s="116"/>
      <c r="CH164" s="117"/>
    </row>
    <row r="165" spans="1:86" s="79" customFormat="1" x14ac:dyDescent="0.2">
      <c r="A165" s="105"/>
      <c r="B165" s="105"/>
      <c r="C165" s="68"/>
      <c r="D165" s="69"/>
      <c r="E165" s="70"/>
      <c r="F165" s="70"/>
      <c r="G165" s="71"/>
      <c r="H165" s="123"/>
      <c r="I165" s="124"/>
      <c r="J165" s="125"/>
      <c r="K165" s="126"/>
      <c r="L165" s="127"/>
      <c r="M165" s="127"/>
      <c r="N165" s="115"/>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c r="BK165" s="116"/>
      <c r="BL165" s="116"/>
      <c r="BM165" s="116"/>
      <c r="BN165" s="116"/>
      <c r="BO165" s="116"/>
      <c r="BP165" s="116"/>
      <c r="BQ165" s="116"/>
      <c r="BR165" s="116"/>
      <c r="BS165" s="116"/>
      <c r="BT165" s="116"/>
      <c r="BU165" s="116"/>
      <c r="BV165" s="116"/>
      <c r="BW165" s="116"/>
      <c r="BX165" s="116"/>
      <c r="BY165" s="116"/>
      <c r="BZ165" s="116"/>
      <c r="CA165" s="116"/>
      <c r="CB165" s="116"/>
      <c r="CC165" s="116"/>
      <c r="CD165" s="116"/>
      <c r="CE165" s="116"/>
      <c r="CF165" s="116"/>
      <c r="CG165" s="116"/>
      <c r="CH165" s="117"/>
    </row>
    <row r="166" spans="1:86" x14ac:dyDescent="0.2">
      <c r="A166" s="105"/>
      <c r="B166" s="105"/>
      <c r="C166" s="56"/>
      <c r="D166" s="57"/>
      <c r="E166" s="58"/>
      <c r="F166" s="58"/>
      <c r="G166" s="59"/>
      <c r="H166" s="106"/>
      <c r="I166" s="107"/>
      <c r="J166" s="108"/>
      <c r="K166" s="109"/>
      <c r="L166" s="110"/>
      <c r="M166" s="111"/>
      <c r="N166" s="140"/>
      <c r="O166" s="141"/>
      <c r="P166" s="141"/>
      <c r="Q166" s="141"/>
      <c r="R166" s="141"/>
      <c r="S166" s="141"/>
      <c r="T166" s="141"/>
      <c r="U166" s="141"/>
      <c r="V166" s="141"/>
      <c r="W166" s="141"/>
      <c r="X166" s="141"/>
      <c r="Y166" s="141"/>
      <c r="Z166" s="141"/>
      <c r="AA166" s="141"/>
      <c r="AB166" s="141"/>
      <c r="AC166" s="141"/>
      <c r="AD166" s="141"/>
      <c r="AE166" s="141"/>
      <c r="AF166" s="141"/>
      <c r="AG166" s="141"/>
      <c r="AH166" s="141"/>
      <c r="AI166" s="141"/>
      <c r="AJ166" s="141"/>
      <c r="AK166" s="141"/>
      <c r="AL166" s="141"/>
      <c r="AM166" s="141"/>
      <c r="AN166" s="141"/>
      <c r="AO166" s="141"/>
      <c r="AP166" s="141"/>
      <c r="AQ166" s="141"/>
      <c r="AR166" s="141"/>
      <c r="AS166" s="141"/>
      <c r="AT166" s="141"/>
      <c r="AU166" s="141"/>
      <c r="AV166" s="141"/>
      <c r="AW166" s="141"/>
      <c r="AX166" s="141"/>
      <c r="AY166" s="141"/>
      <c r="AZ166" s="141"/>
      <c r="BA166" s="141"/>
      <c r="BB166" s="141"/>
      <c r="BC166" s="141"/>
      <c r="BD166" s="141"/>
      <c r="BE166" s="141"/>
      <c r="BF166" s="141"/>
      <c r="BG166" s="141"/>
      <c r="BH166" s="141"/>
      <c r="BI166" s="141"/>
      <c r="BJ166" s="141"/>
      <c r="BK166" s="141"/>
      <c r="BL166" s="141"/>
      <c r="BM166" s="141"/>
      <c r="BN166" s="141"/>
      <c r="BO166" s="141"/>
      <c r="BP166" s="141"/>
      <c r="BQ166" s="141"/>
      <c r="BR166" s="141"/>
      <c r="BS166" s="141"/>
      <c r="BT166" s="141"/>
      <c r="BU166" s="141"/>
      <c r="BV166" s="141"/>
      <c r="BW166" s="141"/>
      <c r="BX166" s="141"/>
      <c r="BY166" s="141"/>
      <c r="BZ166" s="141"/>
      <c r="CA166" s="141"/>
      <c r="CB166" s="141"/>
      <c r="CC166" s="141"/>
      <c r="CD166" s="141"/>
      <c r="CE166" s="141"/>
      <c r="CF166" s="141"/>
      <c r="CG166" s="141"/>
      <c r="CH166" s="142"/>
    </row>
    <row r="167" spans="1:86" x14ac:dyDescent="0.2">
      <c r="A167" s="105"/>
      <c r="B167" s="105"/>
      <c r="C167" s="56"/>
      <c r="D167" s="57"/>
      <c r="E167" s="58"/>
      <c r="F167" s="58"/>
      <c r="G167" s="59"/>
      <c r="H167" s="106"/>
      <c r="I167" s="107"/>
      <c r="J167" s="108"/>
      <c r="K167" s="109"/>
      <c r="L167" s="110"/>
      <c r="M167" s="111"/>
      <c r="N167" s="140"/>
      <c r="O167" s="141"/>
      <c r="P167" s="141"/>
      <c r="Q167" s="141"/>
      <c r="R167" s="141"/>
      <c r="S167" s="141"/>
      <c r="T167" s="141"/>
      <c r="U167" s="141"/>
      <c r="V167" s="141"/>
      <c r="W167" s="141"/>
      <c r="X167" s="141"/>
      <c r="Y167" s="141"/>
      <c r="Z167" s="141"/>
      <c r="AA167" s="141"/>
      <c r="AB167" s="141"/>
      <c r="AC167" s="141"/>
      <c r="AD167" s="141"/>
      <c r="AE167" s="141"/>
      <c r="AF167" s="141"/>
      <c r="AG167" s="141"/>
      <c r="AH167" s="141"/>
      <c r="AI167" s="141"/>
      <c r="AJ167" s="141"/>
      <c r="AK167" s="141"/>
      <c r="AL167" s="141"/>
      <c r="AM167" s="141"/>
      <c r="AN167" s="141"/>
      <c r="AO167" s="141"/>
      <c r="AP167" s="141"/>
      <c r="AQ167" s="141"/>
      <c r="AR167" s="141"/>
      <c r="AS167" s="141"/>
      <c r="AT167" s="141"/>
      <c r="AU167" s="141"/>
      <c r="AV167" s="141"/>
      <c r="AW167" s="141"/>
      <c r="AX167" s="141"/>
      <c r="AY167" s="141"/>
      <c r="AZ167" s="141"/>
      <c r="BA167" s="141"/>
      <c r="BB167" s="141"/>
      <c r="BC167" s="141"/>
      <c r="BD167" s="141"/>
      <c r="BE167" s="141"/>
      <c r="BF167" s="141"/>
      <c r="BG167" s="141"/>
      <c r="BH167" s="141"/>
      <c r="BI167" s="141"/>
      <c r="BJ167" s="141"/>
      <c r="BK167" s="141"/>
      <c r="BL167" s="141"/>
      <c r="BM167" s="141"/>
      <c r="BN167" s="141"/>
      <c r="BO167" s="141"/>
      <c r="BP167" s="141"/>
      <c r="BQ167" s="141"/>
      <c r="BR167" s="141"/>
      <c r="BS167" s="141"/>
      <c r="BT167" s="141"/>
      <c r="BU167" s="141"/>
      <c r="BV167" s="141"/>
      <c r="BW167" s="141"/>
      <c r="BX167" s="141"/>
      <c r="BY167" s="141"/>
      <c r="BZ167" s="141"/>
      <c r="CA167" s="141"/>
      <c r="CB167" s="141"/>
      <c r="CC167" s="141"/>
      <c r="CD167" s="141"/>
      <c r="CE167" s="141"/>
      <c r="CF167" s="141"/>
      <c r="CG167" s="141"/>
      <c r="CH167" s="142"/>
    </row>
    <row r="168" spans="1:86" x14ac:dyDescent="0.2">
      <c r="A168" s="105"/>
      <c r="B168" s="105"/>
      <c r="C168" s="56"/>
      <c r="D168" s="57"/>
      <c r="E168" s="58"/>
      <c r="F168" s="58"/>
      <c r="G168" s="59"/>
      <c r="H168" s="106"/>
      <c r="I168" s="107"/>
      <c r="J168" s="108"/>
      <c r="K168" s="109"/>
      <c r="L168" s="110"/>
      <c r="M168" s="111"/>
      <c r="N168" s="140"/>
      <c r="O168" s="141"/>
      <c r="P168" s="141"/>
      <c r="Q168" s="141"/>
      <c r="R168" s="141"/>
      <c r="S168" s="141"/>
      <c r="T168" s="141"/>
      <c r="U168" s="141"/>
      <c r="V168" s="141"/>
      <c r="W168" s="141"/>
      <c r="X168" s="141"/>
      <c r="Y168" s="141"/>
      <c r="Z168" s="141"/>
      <c r="AA168" s="141"/>
      <c r="AB168" s="141"/>
      <c r="AC168" s="141"/>
      <c r="AD168" s="141"/>
      <c r="AE168" s="141"/>
      <c r="AF168" s="141"/>
      <c r="AG168" s="141"/>
      <c r="AH168" s="141"/>
      <c r="AI168" s="141"/>
      <c r="AJ168" s="141"/>
      <c r="AK168" s="141"/>
      <c r="AL168" s="141"/>
      <c r="AM168" s="141"/>
      <c r="AN168" s="141"/>
      <c r="AO168" s="141"/>
      <c r="AP168" s="141"/>
      <c r="AQ168" s="141"/>
      <c r="AR168" s="141"/>
      <c r="AS168" s="141"/>
      <c r="AT168" s="141"/>
      <c r="AU168" s="141"/>
      <c r="AV168" s="141"/>
      <c r="AW168" s="141"/>
      <c r="AX168" s="141"/>
      <c r="AY168" s="141"/>
      <c r="AZ168" s="141"/>
      <c r="BA168" s="141"/>
      <c r="BB168" s="141"/>
      <c r="BC168" s="141"/>
      <c r="BD168" s="141"/>
      <c r="BE168" s="141"/>
      <c r="BF168" s="141"/>
      <c r="BG168" s="141"/>
      <c r="BH168" s="141"/>
      <c r="BI168" s="141"/>
      <c r="BJ168" s="141"/>
      <c r="BK168" s="141"/>
      <c r="BL168" s="141"/>
      <c r="BM168" s="141"/>
      <c r="BN168" s="141"/>
      <c r="BO168" s="141"/>
      <c r="BP168" s="141"/>
      <c r="BQ168" s="141"/>
      <c r="BR168" s="141"/>
      <c r="BS168" s="141"/>
      <c r="BT168" s="141"/>
      <c r="BU168" s="141"/>
      <c r="BV168" s="141"/>
      <c r="BW168" s="141"/>
      <c r="BX168" s="141"/>
      <c r="BY168" s="141"/>
      <c r="BZ168" s="141"/>
      <c r="CA168" s="141"/>
      <c r="CB168" s="141"/>
      <c r="CC168" s="141"/>
      <c r="CD168" s="141"/>
      <c r="CE168" s="141"/>
      <c r="CF168" s="141"/>
      <c r="CG168" s="141"/>
      <c r="CH168" s="142"/>
    </row>
    <row r="169" spans="1:86" x14ac:dyDescent="0.2">
      <c r="A169" s="105"/>
      <c r="B169" s="105"/>
      <c r="C169" s="56"/>
      <c r="D169" s="57"/>
      <c r="E169" s="58"/>
      <c r="F169" s="58"/>
      <c r="G169" s="59"/>
      <c r="H169" s="106"/>
      <c r="I169" s="107"/>
      <c r="J169" s="108"/>
      <c r="K169" s="109"/>
      <c r="L169" s="110"/>
      <c r="M169" s="111"/>
      <c r="N169" s="140"/>
      <c r="O169" s="141"/>
      <c r="P169" s="141"/>
      <c r="Q169" s="141"/>
      <c r="R169" s="141"/>
      <c r="S169" s="141"/>
      <c r="T169" s="141"/>
      <c r="U169" s="141"/>
      <c r="V169" s="141"/>
      <c r="W169" s="141"/>
      <c r="X169" s="141"/>
      <c r="Y169" s="141"/>
      <c r="Z169" s="141"/>
      <c r="AA169" s="141"/>
      <c r="AB169" s="141"/>
      <c r="AC169" s="141"/>
      <c r="AD169" s="141"/>
      <c r="AE169" s="141"/>
      <c r="AF169" s="141"/>
      <c r="AG169" s="141"/>
      <c r="AH169" s="141"/>
      <c r="AI169" s="141"/>
      <c r="AJ169" s="141"/>
      <c r="AK169" s="141"/>
      <c r="AL169" s="141"/>
      <c r="AM169" s="141"/>
      <c r="AN169" s="141"/>
      <c r="AO169" s="141"/>
      <c r="AP169" s="141"/>
      <c r="AQ169" s="141"/>
      <c r="AR169" s="141"/>
      <c r="AS169" s="141"/>
      <c r="AT169" s="141"/>
      <c r="AU169" s="141"/>
      <c r="AV169" s="141"/>
      <c r="AW169" s="141"/>
      <c r="AX169" s="141"/>
      <c r="AY169" s="141"/>
      <c r="AZ169" s="141"/>
      <c r="BA169" s="141"/>
      <c r="BB169" s="141"/>
      <c r="BC169" s="141"/>
      <c r="BD169" s="141"/>
      <c r="BE169" s="141"/>
      <c r="BF169" s="141"/>
      <c r="BG169" s="141"/>
      <c r="BH169" s="141"/>
      <c r="BI169" s="141"/>
      <c r="BJ169" s="141"/>
      <c r="BK169" s="141"/>
      <c r="BL169" s="141"/>
      <c r="BM169" s="141"/>
      <c r="BN169" s="141"/>
      <c r="BO169" s="141"/>
      <c r="BP169" s="141"/>
      <c r="BQ169" s="141"/>
      <c r="BR169" s="141"/>
      <c r="BS169" s="141"/>
      <c r="BT169" s="141"/>
      <c r="BU169" s="141"/>
      <c r="BV169" s="141"/>
      <c r="BW169" s="141"/>
      <c r="BX169" s="141"/>
      <c r="BY169" s="141"/>
      <c r="BZ169" s="141"/>
      <c r="CA169" s="141"/>
      <c r="CB169" s="141"/>
      <c r="CC169" s="141"/>
      <c r="CD169" s="141"/>
      <c r="CE169" s="141"/>
      <c r="CF169" s="141"/>
      <c r="CG169" s="141"/>
      <c r="CH169" s="142"/>
    </row>
    <row r="170" spans="1:86" x14ac:dyDescent="0.2">
      <c r="A170" s="105"/>
      <c r="B170" s="105"/>
      <c r="C170" s="56"/>
      <c r="D170" s="57"/>
      <c r="E170" s="58"/>
      <c r="F170" s="58"/>
      <c r="G170" s="59"/>
      <c r="H170" s="106"/>
      <c r="I170" s="107"/>
      <c r="J170" s="108"/>
      <c r="K170" s="109"/>
      <c r="L170" s="110"/>
      <c r="M170" s="111"/>
      <c r="N170" s="140"/>
      <c r="O170" s="141"/>
      <c r="P170" s="141"/>
      <c r="Q170" s="141"/>
      <c r="R170" s="141"/>
      <c r="S170" s="141"/>
      <c r="T170" s="141"/>
      <c r="U170" s="141"/>
      <c r="V170" s="141"/>
      <c r="W170" s="141"/>
      <c r="X170" s="141"/>
      <c r="Y170" s="141"/>
      <c r="Z170" s="141"/>
      <c r="AA170" s="141"/>
      <c r="AB170" s="141"/>
      <c r="AC170" s="141"/>
      <c r="AD170" s="141"/>
      <c r="AE170" s="141"/>
      <c r="AF170" s="141"/>
      <c r="AG170" s="141"/>
      <c r="AH170" s="141"/>
      <c r="AI170" s="141"/>
      <c r="AJ170" s="141"/>
      <c r="AK170" s="141"/>
      <c r="AL170" s="141"/>
      <c r="AM170" s="141"/>
      <c r="AN170" s="141"/>
      <c r="AO170" s="141"/>
      <c r="AP170" s="141"/>
      <c r="AQ170" s="141"/>
      <c r="AR170" s="141"/>
      <c r="AS170" s="141"/>
      <c r="AT170" s="141"/>
      <c r="AU170" s="141"/>
      <c r="AV170" s="141"/>
      <c r="AW170" s="141"/>
      <c r="AX170" s="141"/>
      <c r="AY170" s="141"/>
      <c r="AZ170" s="141"/>
      <c r="BA170" s="141"/>
      <c r="BB170" s="141"/>
      <c r="BC170" s="141"/>
      <c r="BD170" s="141"/>
      <c r="BE170" s="141"/>
      <c r="BF170" s="141"/>
      <c r="BG170" s="141"/>
      <c r="BH170" s="141"/>
      <c r="BI170" s="141"/>
      <c r="BJ170" s="141"/>
      <c r="BK170" s="141"/>
      <c r="BL170" s="141"/>
      <c r="BM170" s="141"/>
      <c r="BN170" s="141"/>
      <c r="BO170" s="141"/>
      <c r="BP170" s="141"/>
      <c r="BQ170" s="141"/>
      <c r="BR170" s="141"/>
      <c r="BS170" s="141"/>
      <c r="BT170" s="141"/>
      <c r="BU170" s="141"/>
      <c r="BV170" s="141"/>
      <c r="BW170" s="141"/>
      <c r="BX170" s="141"/>
      <c r="BY170" s="141"/>
      <c r="BZ170" s="141"/>
      <c r="CA170" s="141"/>
      <c r="CB170" s="141"/>
      <c r="CC170" s="141"/>
      <c r="CD170" s="141"/>
      <c r="CE170" s="141"/>
      <c r="CF170" s="141"/>
      <c r="CG170" s="141"/>
      <c r="CH170" s="142"/>
    </row>
    <row r="171" spans="1:86" x14ac:dyDescent="0.2">
      <c r="A171" s="105"/>
      <c r="B171" s="105"/>
      <c r="C171" s="56"/>
      <c r="D171" s="57"/>
      <c r="E171" s="58"/>
      <c r="F171" s="58"/>
      <c r="G171" s="59"/>
      <c r="H171" s="106"/>
      <c r="I171" s="107"/>
      <c r="J171" s="108"/>
      <c r="K171" s="109"/>
      <c r="L171" s="110"/>
      <c r="M171" s="111"/>
      <c r="N171" s="140"/>
      <c r="O171" s="141"/>
      <c r="P171" s="141"/>
      <c r="Q171" s="141"/>
      <c r="R171" s="141"/>
      <c r="S171" s="141"/>
      <c r="T171" s="141"/>
      <c r="U171" s="141"/>
      <c r="V171" s="141"/>
      <c r="W171" s="141"/>
      <c r="X171" s="141"/>
      <c r="Y171" s="141"/>
      <c r="Z171" s="141"/>
      <c r="AA171" s="141"/>
      <c r="AB171" s="141"/>
      <c r="AC171" s="141"/>
      <c r="AD171" s="141"/>
      <c r="AE171" s="141"/>
      <c r="AF171" s="141"/>
      <c r="AG171" s="141"/>
      <c r="AH171" s="141"/>
      <c r="AI171" s="141"/>
      <c r="AJ171" s="141"/>
      <c r="AK171" s="141"/>
      <c r="AL171" s="141"/>
      <c r="AM171" s="141"/>
      <c r="AN171" s="141"/>
      <c r="AO171" s="141"/>
      <c r="AP171" s="141"/>
      <c r="AQ171" s="141"/>
      <c r="AR171" s="141"/>
      <c r="AS171" s="141"/>
      <c r="AT171" s="141"/>
      <c r="AU171" s="141"/>
      <c r="AV171" s="141"/>
      <c r="AW171" s="141"/>
      <c r="AX171" s="141"/>
      <c r="AY171" s="141"/>
      <c r="AZ171" s="141"/>
      <c r="BA171" s="141"/>
      <c r="BB171" s="141"/>
      <c r="BC171" s="141"/>
      <c r="BD171" s="141"/>
      <c r="BE171" s="141"/>
      <c r="BF171" s="141"/>
      <c r="BG171" s="141"/>
      <c r="BH171" s="141"/>
      <c r="BI171" s="141"/>
      <c r="BJ171" s="141"/>
      <c r="BK171" s="141"/>
      <c r="BL171" s="141"/>
      <c r="BM171" s="141"/>
      <c r="BN171" s="141"/>
      <c r="BO171" s="141"/>
      <c r="BP171" s="141"/>
      <c r="BQ171" s="141"/>
      <c r="BR171" s="141"/>
      <c r="BS171" s="141"/>
      <c r="BT171" s="141"/>
      <c r="BU171" s="141"/>
      <c r="BV171" s="141"/>
      <c r="BW171" s="141"/>
      <c r="BX171" s="141"/>
      <c r="BY171" s="141"/>
      <c r="BZ171" s="141"/>
      <c r="CA171" s="141"/>
      <c r="CB171" s="141"/>
      <c r="CC171" s="141"/>
      <c r="CD171" s="141"/>
      <c r="CE171" s="141"/>
      <c r="CF171" s="141"/>
      <c r="CG171" s="141"/>
      <c r="CH171" s="142"/>
    </row>
    <row r="172" spans="1:86" x14ac:dyDescent="0.2">
      <c r="A172" s="105"/>
      <c r="B172" s="105"/>
      <c r="C172" s="56"/>
      <c r="D172" s="57"/>
      <c r="E172" s="58"/>
      <c r="F172" s="58"/>
      <c r="G172" s="59"/>
      <c r="H172" s="106"/>
      <c r="I172" s="107"/>
      <c r="J172" s="108"/>
      <c r="K172" s="109"/>
      <c r="L172" s="110"/>
      <c r="M172" s="111"/>
      <c r="N172" s="140"/>
      <c r="O172" s="141"/>
      <c r="P172" s="141"/>
      <c r="Q172" s="141"/>
      <c r="R172" s="141"/>
      <c r="S172" s="141"/>
      <c r="T172" s="141"/>
      <c r="U172" s="141"/>
      <c r="V172" s="141"/>
      <c r="W172" s="141"/>
      <c r="X172" s="141"/>
      <c r="Y172" s="141"/>
      <c r="Z172" s="141"/>
      <c r="AA172" s="141"/>
      <c r="AB172" s="141"/>
      <c r="AC172" s="141"/>
      <c r="AD172" s="141"/>
      <c r="AE172" s="141"/>
      <c r="AF172" s="141"/>
      <c r="AG172" s="141"/>
      <c r="AH172" s="141"/>
      <c r="AI172" s="141"/>
      <c r="AJ172" s="141"/>
      <c r="AK172" s="141"/>
      <c r="AL172" s="141"/>
      <c r="AM172" s="141"/>
      <c r="AN172" s="141"/>
      <c r="AO172" s="141"/>
      <c r="AP172" s="141"/>
      <c r="AQ172" s="141"/>
      <c r="AR172" s="141"/>
      <c r="AS172" s="141"/>
      <c r="AT172" s="141"/>
      <c r="AU172" s="141"/>
      <c r="AV172" s="141"/>
      <c r="AW172" s="141"/>
      <c r="AX172" s="141"/>
      <c r="AY172" s="141"/>
      <c r="AZ172" s="141"/>
      <c r="BA172" s="141"/>
      <c r="BB172" s="141"/>
      <c r="BC172" s="141"/>
      <c r="BD172" s="141"/>
      <c r="BE172" s="141"/>
      <c r="BF172" s="141"/>
      <c r="BG172" s="141"/>
      <c r="BH172" s="141"/>
      <c r="BI172" s="141"/>
      <c r="BJ172" s="141"/>
      <c r="BK172" s="141"/>
      <c r="BL172" s="141"/>
      <c r="BM172" s="141"/>
      <c r="BN172" s="141"/>
      <c r="BO172" s="141"/>
      <c r="BP172" s="141"/>
      <c r="BQ172" s="141"/>
      <c r="BR172" s="141"/>
      <c r="BS172" s="141"/>
      <c r="BT172" s="141"/>
      <c r="BU172" s="141"/>
      <c r="BV172" s="141"/>
      <c r="BW172" s="141"/>
      <c r="BX172" s="141"/>
      <c r="BY172" s="141"/>
      <c r="BZ172" s="141"/>
      <c r="CA172" s="141"/>
      <c r="CB172" s="141"/>
      <c r="CC172" s="141"/>
      <c r="CD172" s="141"/>
      <c r="CE172" s="141"/>
      <c r="CF172" s="141"/>
      <c r="CG172" s="141"/>
      <c r="CH172" s="142"/>
    </row>
    <row r="173" spans="1:86" x14ac:dyDescent="0.2">
      <c r="A173" s="105"/>
      <c r="B173" s="105"/>
      <c r="C173" s="56"/>
      <c r="D173" s="57"/>
      <c r="E173" s="58"/>
      <c r="F173" s="58"/>
      <c r="G173" s="59"/>
      <c r="H173" s="106"/>
      <c r="I173" s="107"/>
      <c r="J173" s="108"/>
      <c r="K173" s="109"/>
      <c r="L173" s="110"/>
      <c r="M173" s="111"/>
      <c r="N173" s="140"/>
      <c r="O173" s="141"/>
      <c r="P173" s="141"/>
      <c r="Q173" s="141"/>
      <c r="R173" s="141"/>
      <c r="S173" s="141"/>
      <c r="T173" s="141"/>
      <c r="U173" s="141"/>
      <c r="V173" s="141"/>
      <c r="W173" s="141"/>
      <c r="X173" s="141"/>
      <c r="Y173" s="141"/>
      <c r="Z173" s="141"/>
      <c r="AA173" s="141"/>
      <c r="AB173" s="141"/>
      <c r="AC173" s="141"/>
      <c r="AD173" s="141"/>
      <c r="AE173" s="141"/>
      <c r="AF173" s="141"/>
      <c r="AG173" s="141"/>
      <c r="AH173" s="141"/>
      <c r="AI173" s="141"/>
      <c r="AJ173" s="141"/>
      <c r="AK173" s="141"/>
      <c r="AL173" s="141"/>
      <c r="AM173" s="141"/>
      <c r="AN173" s="141"/>
      <c r="AO173" s="141"/>
      <c r="AP173" s="141"/>
      <c r="AQ173" s="141"/>
      <c r="AR173" s="141"/>
      <c r="AS173" s="141"/>
      <c r="AT173" s="141"/>
      <c r="AU173" s="141"/>
      <c r="AV173" s="141"/>
      <c r="AW173" s="141"/>
      <c r="AX173" s="141"/>
      <c r="AY173" s="141"/>
      <c r="AZ173" s="141"/>
      <c r="BA173" s="141"/>
      <c r="BB173" s="141"/>
      <c r="BC173" s="141"/>
      <c r="BD173" s="141"/>
      <c r="BE173" s="141"/>
      <c r="BF173" s="141"/>
      <c r="BG173" s="141"/>
      <c r="BH173" s="141"/>
      <c r="BI173" s="141"/>
      <c r="BJ173" s="141"/>
      <c r="BK173" s="141"/>
      <c r="BL173" s="141"/>
      <c r="BM173" s="141"/>
      <c r="BN173" s="141"/>
      <c r="BO173" s="141"/>
      <c r="BP173" s="141"/>
      <c r="BQ173" s="141"/>
      <c r="BR173" s="141"/>
      <c r="BS173" s="141"/>
      <c r="BT173" s="141"/>
      <c r="BU173" s="141"/>
      <c r="BV173" s="141"/>
      <c r="BW173" s="141"/>
      <c r="BX173" s="141"/>
      <c r="BY173" s="141"/>
      <c r="BZ173" s="141"/>
      <c r="CA173" s="141"/>
      <c r="CB173" s="141"/>
      <c r="CC173" s="141"/>
      <c r="CD173" s="141"/>
      <c r="CE173" s="141"/>
      <c r="CF173" s="141"/>
      <c r="CG173" s="141"/>
      <c r="CH173" s="142"/>
    </row>
    <row r="174" spans="1:86" x14ac:dyDescent="0.2">
      <c r="A174" s="105"/>
      <c r="B174" s="105"/>
      <c r="C174" s="56"/>
      <c r="D174" s="57"/>
      <c r="E174" s="58"/>
      <c r="F174" s="58"/>
      <c r="G174" s="59"/>
      <c r="H174" s="106"/>
      <c r="I174" s="107"/>
      <c r="J174" s="108"/>
      <c r="K174" s="109"/>
      <c r="L174" s="110"/>
      <c r="M174" s="111"/>
      <c r="N174" s="140"/>
      <c r="O174" s="141"/>
      <c r="P174" s="141"/>
      <c r="Q174" s="141"/>
      <c r="R174" s="141"/>
      <c r="S174" s="141"/>
      <c r="T174" s="141"/>
      <c r="U174" s="141"/>
      <c r="V174" s="141"/>
      <c r="W174" s="141"/>
      <c r="X174" s="141"/>
      <c r="Y174" s="141"/>
      <c r="Z174" s="141"/>
      <c r="AA174" s="141"/>
      <c r="AB174" s="141"/>
      <c r="AC174" s="141"/>
      <c r="AD174" s="141"/>
      <c r="AE174" s="141"/>
      <c r="AF174" s="141"/>
      <c r="AG174" s="141"/>
      <c r="AH174" s="141"/>
      <c r="AI174" s="141"/>
      <c r="AJ174" s="141"/>
      <c r="AK174" s="141"/>
      <c r="AL174" s="141"/>
      <c r="AM174" s="141"/>
      <c r="AN174" s="141"/>
      <c r="AO174" s="141"/>
      <c r="AP174" s="141"/>
      <c r="AQ174" s="141"/>
      <c r="AR174" s="141"/>
      <c r="AS174" s="141"/>
      <c r="AT174" s="141"/>
      <c r="AU174" s="141"/>
      <c r="AV174" s="141"/>
      <c r="AW174" s="141"/>
      <c r="AX174" s="141"/>
      <c r="AY174" s="141"/>
      <c r="AZ174" s="141"/>
      <c r="BA174" s="141"/>
      <c r="BB174" s="141"/>
      <c r="BC174" s="141"/>
      <c r="BD174" s="141"/>
      <c r="BE174" s="141"/>
      <c r="BF174" s="141"/>
      <c r="BG174" s="141"/>
      <c r="BH174" s="141"/>
      <c r="BI174" s="141"/>
      <c r="BJ174" s="141"/>
      <c r="BK174" s="141"/>
      <c r="BL174" s="141"/>
      <c r="BM174" s="141"/>
      <c r="BN174" s="141"/>
      <c r="BO174" s="141"/>
      <c r="BP174" s="141"/>
      <c r="BQ174" s="141"/>
      <c r="BR174" s="141"/>
      <c r="BS174" s="141"/>
      <c r="BT174" s="141"/>
      <c r="BU174" s="141"/>
      <c r="BV174" s="141"/>
      <c r="BW174" s="141"/>
      <c r="BX174" s="141"/>
      <c r="BY174" s="141"/>
      <c r="BZ174" s="141"/>
      <c r="CA174" s="141"/>
      <c r="CB174" s="141"/>
      <c r="CC174" s="141"/>
      <c r="CD174" s="141"/>
      <c r="CE174" s="141"/>
      <c r="CF174" s="141"/>
      <c r="CG174" s="141"/>
      <c r="CH174" s="142"/>
    </row>
    <row r="175" spans="1:86" x14ac:dyDescent="0.2">
      <c r="A175" s="105"/>
      <c r="B175" s="105"/>
      <c r="C175" s="56"/>
      <c r="D175" s="57"/>
      <c r="E175" s="58"/>
      <c r="F175" s="58"/>
      <c r="G175" s="59"/>
      <c r="H175" s="106"/>
      <c r="I175" s="107"/>
      <c r="J175" s="108"/>
      <c r="K175" s="109"/>
      <c r="L175" s="110"/>
      <c r="M175" s="111"/>
      <c r="N175" s="140"/>
      <c r="O175" s="141"/>
      <c r="P175" s="141"/>
      <c r="Q175" s="141"/>
      <c r="R175" s="141"/>
      <c r="S175" s="141"/>
      <c r="T175" s="141"/>
      <c r="U175" s="141"/>
      <c r="V175" s="141"/>
      <c r="W175" s="141"/>
      <c r="X175" s="141"/>
      <c r="Y175" s="141"/>
      <c r="Z175" s="141"/>
      <c r="AA175" s="141"/>
      <c r="AB175" s="141"/>
      <c r="AC175" s="141"/>
      <c r="AD175" s="141"/>
      <c r="AE175" s="141"/>
      <c r="AF175" s="141"/>
      <c r="AG175" s="141"/>
      <c r="AH175" s="141"/>
      <c r="AI175" s="141"/>
      <c r="AJ175" s="141"/>
      <c r="AK175" s="141"/>
      <c r="AL175" s="141"/>
      <c r="AM175" s="141"/>
      <c r="AN175" s="141"/>
      <c r="AO175" s="141"/>
      <c r="AP175" s="141"/>
      <c r="AQ175" s="141"/>
      <c r="AR175" s="141"/>
      <c r="AS175" s="141"/>
      <c r="AT175" s="141"/>
      <c r="AU175" s="141"/>
      <c r="AV175" s="141"/>
      <c r="AW175" s="141"/>
      <c r="AX175" s="141"/>
      <c r="AY175" s="141"/>
      <c r="AZ175" s="141"/>
      <c r="BA175" s="141"/>
      <c r="BB175" s="141"/>
      <c r="BC175" s="141"/>
      <c r="BD175" s="141"/>
      <c r="BE175" s="141"/>
      <c r="BF175" s="141"/>
      <c r="BG175" s="141"/>
      <c r="BH175" s="141"/>
      <c r="BI175" s="141"/>
      <c r="BJ175" s="141"/>
      <c r="BK175" s="141"/>
      <c r="BL175" s="141"/>
      <c r="BM175" s="141"/>
      <c r="BN175" s="141"/>
      <c r="BO175" s="141"/>
      <c r="BP175" s="141"/>
      <c r="BQ175" s="141"/>
      <c r="BR175" s="141"/>
      <c r="BS175" s="141"/>
      <c r="BT175" s="141"/>
      <c r="BU175" s="141"/>
      <c r="BV175" s="141"/>
      <c r="BW175" s="141"/>
      <c r="BX175" s="141"/>
      <c r="BY175" s="141"/>
      <c r="BZ175" s="141"/>
      <c r="CA175" s="141"/>
      <c r="CB175" s="141"/>
      <c r="CC175" s="141"/>
      <c r="CD175" s="141"/>
      <c r="CE175" s="141"/>
      <c r="CF175" s="141"/>
      <c r="CG175" s="141"/>
      <c r="CH175" s="142"/>
    </row>
    <row r="176" spans="1:86" x14ac:dyDescent="0.2">
      <c r="A176" s="105"/>
      <c r="B176" s="105"/>
      <c r="C176" s="56"/>
      <c r="D176" s="57"/>
      <c r="E176" s="58"/>
      <c r="F176" s="58"/>
      <c r="G176" s="59"/>
      <c r="H176" s="106"/>
      <c r="I176" s="107"/>
      <c r="J176" s="108"/>
      <c r="K176" s="109"/>
      <c r="L176" s="110"/>
      <c r="M176" s="111"/>
      <c r="N176" s="140"/>
      <c r="O176" s="141"/>
      <c r="P176" s="141"/>
      <c r="Q176" s="141"/>
      <c r="R176" s="141"/>
      <c r="S176" s="141"/>
      <c r="T176" s="141"/>
      <c r="U176" s="141"/>
      <c r="V176" s="141"/>
      <c r="W176" s="141"/>
      <c r="X176" s="141"/>
      <c r="Y176" s="141"/>
      <c r="Z176" s="141"/>
      <c r="AA176" s="141"/>
      <c r="AB176" s="141"/>
      <c r="AC176" s="141"/>
      <c r="AD176" s="141"/>
      <c r="AE176" s="141"/>
      <c r="AF176" s="141"/>
      <c r="AG176" s="141"/>
      <c r="AH176" s="141"/>
      <c r="AI176" s="141"/>
      <c r="AJ176" s="141"/>
      <c r="AK176" s="141"/>
      <c r="AL176" s="141"/>
      <c r="AM176" s="141"/>
      <c r="AN176" s="141"/>
      <c r="AO176" s="141"/>
      <c r="AP176" s="141"/>
      <c r="AQ176" s="141"/>
      <c r="AR176" s="141"/>
      <c r="AS176" s="141"/>
      <c r="AT176" s="141"/>
      <c r="AU176" s="141"/>
      <c r="AV176" s="141"/>
      <c r="AW176" s="141"/>
      <c r="AX176" s="141"/>
      <c r="AY176" s="141"/>
      <c r="AZ176" s="141"/>
      <c r="BA176" s="141"/>
      <c r="BB176" s="141"/>
      <c r="BC176" s="141"/>
      <c r="BD176" s="141"/>
      <c r="BE176" s="141"/>
      <c r="BF176" s="141"/>
      <c r="BG176" s="141"/>
      <c r="BH176" s="141"/>
      <c r="BI176" s="141"/>
      <c r="BJ176" s="141"/>
      <c r="BK176" s="141"/>
      <c r="BL176" s="141"/>
      <c r="BM176" s="141"/>
      <c r="BN176" s="141"/>
      <c r="BO176" s="141"/>
      <c r="BP176" s="141"/>
      <c r="BQ176" s="141"/>
      <c r="BR176" s="141"/>
      <c r="BS176" s="141"/>
      <c r="BT176" s="141"/>
      <c r="BU176" s="141"/>
      <c r="BV176" s="141"/>
      <c r="BW176" s="141"/>
      <c r="BX176" s="141"/>
      <c r="BY176" s="141"/>
      <c r="BZ176" s="141"/>
      <c r="CA176" s="141"/>
      <c r="CB176" s="141"/>
      <c r="CC176" s="141"/>
      <c r="CD176" s="141"/>
      <c r="CE176" s="141"/>
      <c r="CF176" s="141"/>
      <c r="CG176" s="141"/>
      <c r="CH176" s="142"/>
    </row>
    <row r="177" spans="1:86" x14ac:dyDescent="0.2">
      <c r="A177" s="105"/>
      <c r="B177" s="105"/>
      <c r="C177" s="56"/>
      <c r="D177" s="57"/>
      <c r="E177" s="58"/>
      <c r="F177" s="58"/>
      <c r="G177" s="59"/>
      <c r="H177" s="106"/>
      <c r="I177" s="107"/>
      <c r="J177" s="108"/>
      <c r="K177" s="109"/>
      <c r="L177" s="110"/>
      <c r="M177" s="111"/>
      <c r="N177" s="140"/>
      <c r="O177" s="141"/>
      <c r="P177" s="141"/>
      <c r="Q177" s="141"/>
      <c r="R177" s="141"/>
      <c r="S177" s="141"/>
      <c r="T177" s="141"/>
      <c r="U177" s="141"/>
      <c r="V177" s="141"/>
      <c r="W177" s="141"/>
      <c r="X177" s="141"/>
      <c r="Y177" s="141"/>
      <c r="Z177" s="141"/>
      <c r="AA177" s="141"/>
      <c r="AB177" s="141"/>
      <c r="AC177" s="141"/>
      <c r="AD177" s="141"/>
      <c r="AE177" s="141"/>
      <c r="AF177" s="141"/>
      <c r="AG177" s="141"/>
      <c r="AH177" s="141"/>
      <c r="AI177" s="141"/>
      <c r="AJ177" s="141"/>
      <c r="AK177" s="141"/>
      <c r="AL177" s="141"/>
      <c r="AM177" s="141"/>
      <c r="AN177" s="141"/>
      <c r="AO177" s="141"/>
      <c r="AP177" s="141"/>
      <c r="AQ177" s="141"/>
      <c r="AR177" s="141"/>
      <c r="AS177" s="141"/>
      <c r="AT177" s="141"/>
      <c r="AU177" s="141"/>
      <c r="AV177" s="141"/>
      <c r="AW177" s="141"/>
      <c r="AX177" s="141"/>
      <c r="AY177" s="141"/>
      <c r="AZ177" s="141"/>
      <c r="BA177" s="141"/>
      <c r="BB177" s="141"/>
      <c r="BC177" s="141"/>
      <c r="BD177" s="141"/>
      <c r="BE177" s="141"/>
      <c r="BF177" s="141"/>
      <c r="BG177" s="141"/>
      <c r="BH177" s="141"/>
      <c r="BI177" s="141"/>
      <c r="BJ177" s="141"/>
      <c r="BK177" s="141"/>
      <c r="BL177" s="141"/>
      <c r="BM177" s="141"/>
      <c r="BN177" s="141"/>
      <c r="BO177" s="141"/>
      <c r="BP177" s="141"/>
      <c r="BQ177" s="141"/>
      <c r="BR177" s="141"/>
      <c r="BS177" s="141"/>
      <c r="BT177" s="141"/>
      <c r="BU177" s="141"/>
      <c r="BV177" s="141"/>
      <c r="BW177" s="141"/>
      <c r="BX177" s="141"/>
      <c r="BY177" s="141"/>
      <c r="BZ177" s="141"/>
      <c r="CA177" s="141"/>
      <c r="CB177" s="141"/>
      <c r="CC177" s="141"/>
      <c r="CD177" s="141"/>
      <c r="CE177" s="141"/>
      <c r="CF177" s="141"/>
      <c r="CG177" s="141"/>
      <c r="CH177" s="142"/>
    </row>
    <row r="178" spans="1:86" x14ac:dyDescent="0.2">
      <c r="A178" s="105"/>
      <c r="B178" s="105"/>
      <c r="C178" s="56"/>
      <c r="D178" s="57"/>
      <c r="E178" s="58"/>
      <c r="F178" s="58"/>
      <c r="G178" s="59"/>
      <c r="H178" s="106"/>
      <c r="I178" s="107"/>
      <c r="J178" s="108"/>
      <c r="K178" s="109"/>
      <c r="L178" s="110"/>
      <c r="M178" s="111"/>
      <c r="N178" s="140"/>
      <c r="O178" s="141"/>
      <c r="P178" s="141"/>
      <c r="Q178" s="141"/>
      <c r="R178" s="141"/>
      <c r="S178" s="141"/>
      <c r="T178" s="141"/>
      <c r="U178" s="141"/>
      <c r="V178" s="141"/>
      <c r="W178" s="141"/>
      <c r="X178" s="141"/>
      <c r="Y178" s="141"/>
      <c r="Z178" s="141"/>
      <c r="AA178" s="141"/>
      <c r="AB178" s="141"/>
      <c r="AC178" s="141"/>
      <c r="AD178" s="141"/>
      <c r="AE178" s="141"/>
      <c r="AF178" s="141"/>
      <c r="AG178" s="141"/>
      <c r="AH178" s="141"/>
      <c r="AI178" s="141"/>
      <c r="AJ178" s="141"/>
      <c r="AK178" s="141"/>
      <c r="AL178" s="141"/>
      <c r="AM178" s="141"/>
      <c r="AN178" s="141"/>
      <c r="AO178" s="141"/>
      <c r="AP178" s="141"/>
      <c r="AQ178" s="141"/>
      <c r="AR178" s="141"/>
      <c r="AS178" s="141"/>
      <c r="AT178" s="141"/>
      <c r="AU178" s="141"/>
      <c r="AV178" s="141"/>
      <c r="AW178" s="141"/>
      <c r="AX178" s="141"/>
      <c r="AY178" s="141"/>
      <c r="AZ178" s="141"/>
      <c r="BA178" s="141"/>
      <c r="BB178" s="141"/>
      <c r="BC178" s="141"/>
      <c r="BD178" s="141"/>
      <c r="BE178" s="141"/>
      <c r="BF178" s="141"/>
      <c r="BG178" s="141"/>
      <c r="BH178" s="141"/>
      <c r="BI178" s="141"/>
      <c r="BJ178" s="141"/>
      <c r="BK178" s="141"/>
      <c r="BL178" s="141"/>
      <c r="BM178" s="141"/>
      <c r="BN178" s="141"/>
      <c r="BO178" s="141"/>
      <c r="BP178" s="141"/>
      <c r="BQ178" s="141"/>
      <c r="BR178" s="141"/>
      <c r="BS178" s="141"/>
      <c r="BT178" s="141"/>
      <c r="BU178" s="141"/>
      <c r="BV178" s="141"/>
      <c r="BW178" s="141"/>
      <c r="BX178" s="141"/>
      <c r="BY178" s="141"/>
      <c r="BZ178" s="141"/>
      <c r="CA178" s="141"/>
      <c r="CB178" s="141"/>
      <c r="CC178" s="141"/>
      <c r="CD178" s="141"/>
      <c r="CE178" s="141"/>
      <c r="CF178" s="141"/>
      <c r="CG178" s="141"/>
      <c r="CH178" s="142"/>
    </row>
    <row r="179" spans="1:86" x14ac:dyDescent="0.2">
      <c r="A179" s="105"/>
      <c r="B179" s="105"/>
      <c r="C179" s="56"/>
      <c r="D179" s="57"/>
      <c r="E179" s="58"/>
      <c r="F179" s="58"/>
      <c r="G179" s="59"/>
      <c r="H179" s="106"/>
      <c r="I179" s="107"/>
      <c r="J179" s="108"/>
      <c r="K179" s="109"/>
      <c r="L179" s="110"/>
      <c r="M179" s="111"/>
      <c r="N179" s="140"/>
      <c r="O179" s="141"/>
      <c r="P179" s="141"/>
      <c r="Q179" s="141"/>
      <c r="R179" s="141"/>
      <c r="S179" s="141"/>
      <c r="T179" s="141"/>
      <c r="U179" s="141"/>
      <c r="V179" s="141"/>
      <c r="W179" s="141"/>
      <c r="X179" s="141"/>
      <c r="Y179" s="141"/>
      <c r="Z179" s="141"/>
      <c r="AA179" s="141"/>
      <c r="AB179" s="141"/>
      <c r="AC179" s="141"/>
      <c r="AD179" s="141"/>
      <c r="AE179" s="141"/>
      <c r="AF179" s="141"/>
      <c r="AG179" s="141"/>
      <c r="AH179" s="141"/>
      <c r="AI179" s="141"/>
      <c r="AJ179" s="141"/>
      <c r="AK179" s="141"/>
      <c r="AL179" s="141"/>
      <c r="AM179" s="141"/>
      <c r="AN179" s="141"/>
      <c r="AO179" s="141"/>
      <c r="AP179" s="141"/>
      <c r="AQ179" s="141"/>
      <c r="AR179" s="141"/>
      <c r="AS179" s="141"/>
      <c r="AT179" s="141"/>
      <c r="AU179" s="141"/>
      <c r="AV179" s="141"/>
      <c r="AW179" s="141"/>
      <c r="AX179" s="141"/>
      <c r="AY179" s="141"/>
      <c r="AZ179" s="141"/>
      <c r="BA179" s="141"/>
      <c r="BB179" s="141"/>
      <c r="BC179" s="141"/>
      <c r="BD179" s="141"/>
      <c r="BE179" s="141"/>
      <c r="BF179" s="141"/>
      <c r="BG179" s="141"/>
      <c r="BH179" s="141"/>
      <c r="BI179" s="141"/>
      <c r="BJ179" s="141"/>
      <c r="BK179" s="141"/>
      <c r="BL179" s="141"/>
      <c r="BM179" s="141"/>
      <c r="BN179" s="141"/>
      <c r="BO179" s="141"/>
      <c r="BP179" s="141"/>
      <c r="BQ179" s="141"/>
      <c r="BR179" s="141"/>
      <c r="BS179" s="141"/>
      <c r="BT179" s="141"/>
      <c r="BU179" s="141"/>
      <c r="BV179" s="141"/>
      <c r="BW179" s="141"/>
      <c r="BX179" s="141"/>
      <c r="BY179" s="141"/>
      <c r="BZ179" s="141"/>
      <c r="CA179" s="141"/>
      <c r="CB179" s="141"/>
      <c r="CC179" s="141"/>
      <c r="CD179" s="141"/>
      <c r="CE179" s="141"/>
      <c r="CF179" s="141"/>
      <c r="CG179" s="141"/>
      <c r="CH179" s="142"/>
    </row>
    <row r="180" spans="1:86" x14ac:dyDescent="0.2">
      <c r="A180" s="105"/>
      <c r="B180" s="105"/>
      <c r="C180" s="56"/>
      <c r="D180" s="57"/>
      <c r="E180" s="58"/>
      <c r="F180" s="58"/>
      <c r="G180" s="59"/>
      <c r="H180" s="106"/>
      <c r="I180" s="107"/>
      <c r="J180" s="108"/>
      <c r="K180" s="109"/>
      <c r="L180" s="110"/>
      <c r="M180" s="111"/>
      <c r="N180" s="140"/>
      <c r="O180" s="141"/>
      <c r="P180" s="141"/>
      <c r="Q180" s="141"/>
      <c r="R180" s="141"/>
      <c r="S180" s="141"/>
      <c r="T180" s="141"/>
      <c r="U180" s="141"/>
      <c r="V180" s="141"/>
      <c r="W180" s="141"/>
      <c r="X180" s="141"/>
      <c r="Y180" s="141"/>
      <c r="Z180" s="141"/>
      <c r="AA180" s="141"/>
      <c r="AB180" s="141"/>
      <c r="AC180" s="141"/>
      <c r="AD180" s="141"/>
      <c r="AE180" s="141"/>
      <c r="AF180" s="141"/>
      <c r="AG180" s="141"/>
      <c r="AH180" s="141"/>
      <c r="AI180" s="141"/>
      <c r="AJ180" s="141"/>
      <c r="AK180" s="141"/>
      <c r="AL180" s="141"/>
      <c r="AM180" s="141"/>
      <c r="AN180" s="141"/>
      <c r="AO180" s="141"/>
      <c r="AP180" s="141"/>
      <c r="AQ180" s="141"/>
      <c r="AR180" s="141"/>
      <c r="AS180" s="141"/>
      <c r="AT180" s="141"/>
      <c r="AU180" s="141"/>
      <c r="AV180" s="141"/>
      <c r="AW180" s="141"/>
      <c r="AX180" s="141"/>
      <c r="AY180" s="141"/>
      <c r="AZ180" s="141"/>
      <c r="BA180" s="141"/>
      <c r="BB180" s="141"/>
      <c r="BC180" s="141"/>
      <c r="BD180" s="141"/>
      <c r="BE180" s="141"/>
      <c r="BF180" s="141"/>
      <c r="BG180" s="141"/>
      <c r="BH180" s="141"/>
      <c r="BI180" s="141"/>
      <c r="BJ180" s="141"/>
      <c r="BK180" s="141"/>
      <c r="BL180" s="141"/>
      <c r="BM180" s="141"/>
      <c r="BN180" s="141"/>
      <c r="BO180" s="141"/>
      <c r="BP180" s="141"/>
      <c r="BQ180" s="141"/>
      <c r="BR180" s="141"/>
      <c r="BS180" s="141"/>
      <c r="BT180" s="141"/>
      <c r="BU180" s="141"/>
      <c r="BV180" s="141"/>
      <c r="BW180" s="141"/>
      <c r="BX180" s="141"/>
      <c r="BY180" s="141"/>
      <c r="BZ180" s="141"/>
      <c r="CA180" s="141"/>
      <c r="CB180" s="141"/>
      <c r="CC180" s="141"/>
      <c r="CD180" s="141"/>
      <c r="CE180" s="141"/>
      <c r="CF180" s="141"/>
      <c r="CG180" s="141"/>
      <c r="CH180" s="142"/>
    </row>
    <row r="181" spans="1:86" x14ac:dyDescent="0.2">
      <c r="A181" s="105"/>
      <c r="B181" s="105"/>
      <c r="C181" s="56"/>
      <c r="D181" s="57"/>
      <c r="E181" s="58"/>
      <c r="F181" s="58"/>
      <c r="G181" s="59"/>
      <c r="H181" s="106"/>
      <c r="I181" s="107"/>
      <c r="J181" s="108"/>
      <c r="K181" s="109"/>
      <c r="L181" s="110"/>
      <c r="M181" s="111"/>
      <c r="N181" s="140"/>
      <c r="O181" s="141"/>
      <c r="P181" s="141"/>
      <c r="Q181" s="141"/>
      <c r="R181" s="141"/>
      <c r="S181" s="141"/>
      <c r="T181" s="141"/>
      <c r="U181" s="141"/>
      <c r="V181" s="141"/>
      <c r="W181" s="141"/>
      <c r="X181" s="141"/>
      <c r="Y181" s="141"/>
      <c r="Z181" s="141"/>
      <c r="AA181" s="141"/>
      <c r="AB181" s="141"/>
      <c r="AC181" s="141"/>
      <c r="AD181" s="141"/>
      <c r="AE181" s="141"/>
      <c r="AF181" s="141"/>
      <c r="AG181" s="141"/>
      <c r="AH181" s="141"/>
      <c r="AI181" s="141"/>
      <c r="AJ181" s="141"/>
      <c r="AK181" s="141"/>
      <c r="AL181" s="141"/>
      <c r="AM181" s="141"/>
      <c r="AN181" s="141"/>
      <c r="AO181" s="141"/>
      <c r="AP181" s="141"/>
      <c r="AQ181" s="141"/>
      <c r="AR181" s="141"/>
      <c r="AS181" s="141"/>
      <c r="AT181" s="141"/>
      <c r="AU181" s="141"/>
      <c r="AV181" s="141"/>
      <c r="AW181" s="141"/>
      <c r="AX181" s="141"/>
      <c r="AY181" s="141"/>
      <c r="AZ181" s="141"/>
      <c r="BA181" s="141"/>
      <c r="BB181" s="141"/>
      <c r="BC181" s="141"/>
      <c r="BD181" s="141"/>
      <c r="BE181" s="141"/>
      <c r="BF181" s="141"/>
      <c r="BG181" s="141"/>
      <c r="BH181" s="141"/>
      <c r="BI181" s="141"/>
      <c r="BJ181" s="141"/>
      <c r="BK181" s="141"/>
      <c r="BL181" s="141"/>
      <c r="BM181" s="141"/>
      <c r="BN181" s="141"/>
      <c r="BO181" s="141"/>
      <c r="BP181" s="141"/>
      <c r="BQ181" s="141"/>
      <c r="BR181" s="141"/>
      <c r="BS181" s="141"/>
      <c r="BT181" s="141"/>
      <c r="BU181" s="141"/>
      <c r="BV181" s="141"/>
      <c r="BW181" s="141"/>
      <c r="BX181" s="141"/>
      <c r="BY181" s="141"/>
      <c r="BZ181" s="141"/>
      <c r="CA181" s="141"/>
      <c r="CB181" s="141"/>
      <c r="CC181" s="141"/>
      <c r="CD181" s="141"/>
      <c r="CE181" s="141"/>
      <c r="CF181" s="141"/>
      <c r="CG181" s="141"/>
      <c r="CH181" s="142"/>
    </row>
    <row r="182" spans="1:86" x14ac:dyDescent="0.2">
      <c r="A182" s="105"/>
      <c r="B182" s="105"/>
      <c r="C182" s="56"/>
      <c r="D182" s="57"/>
      <c r="E182" s="58"/>
      <c r="F182" s="58"/>
      <c r="G182" s="59"/>
      <c r="H182" s="106"/>
      <c r="I182" s="107"/>
      <c r="J182" s="108"/>
      <c r="K182" s="109"/>
      <c r="L182" s="110"/>
      <c r="M182" s="111"/>
      <c r="N182" s="140"/>
      <c r="O182" s="141"/>
      <c r="P182" s="141"/>
      <c r="Q182" s="141"/>
      <c r="R182" s="141"/>
      <c r="S182" s="141"/>
      <c r="T182" s="141"/>
      <c r="U182" s="141"/>
      <c r="V182" s="141"/>
      <c r="W182" s="141"/>
      <c r="X182" s="141"/>
      <c r="Y182" s="141"/>
      <c r="Z182" s="141"/>
      <c r="AA182" s="141"/>
      <c r="AB182" s="141"/>
      <c r="AC182" s="141"/>
      <c r="AD182" s="141"/>
      <c r="AE182" s="141"/>
      <c r="AF182" s="141"/>
      <c r="AG182" s="141"/>
      <c r="AH182" s="141"/>
      <c r="AI182" s="141"/>
      <c r="AJ182" s="141"/>
      <c r="AK182" s="141"/>
      <c r="AL182" s="141"/>
      <c r="AM182" s="141"/>
      <c r="AN182" s="141"/>
      <c r="AO182" s="141"/>
      <c r="AP182" s="141"/>
      <c r="AQ182" s="141"/>
      <c r="AR182" s="141"/>
      <c r="AS182" s="141"/>
      <c r="AT182" s="141"/>
      <c r="AU182" s="141"/>
      <c r="AV182" s="141"/>
      <c r="AW182" s="141"/>
      <c r="AX182" s="141"/>
      <c r="AY182" s="141"/>
      <c r="AZ182" s="141"/>
      <c r="BA182" s="141"/>
      <c r="BB182" s="141"/>
      <c r="BC182" s="141"/>
      <c r="BD182" s="141"/>
      <c r="BE182" s="141"/>
      <c r="BF182" s="141"/>
      <c r="BG182" s="141"/>
      <c r="BH182" s="141"/>
      <c r="BI182" s="141"/>
      <c r="BJ182" s="141"/>
      <c r="BK182" s="141"/>
      <c r="BL182" s="141"/>
      <c r="BM182" s="141"/>
      <c r="BN182" s="141"/>
      <c r="BO182" s="141"/>
      <c r="BP182" s="141"/>
      <c r="BQ182" s="141"/>
      <c r="BR182" s="141"/>
      <c r="BS182" s="141"/>
      <c r="BT182" s="141"/>
      <c r="BU182" s="141"/>
      <c r="BV182" s="141"/>
      <c r="BW182" s="141"/>
      <c r="BX182" s="141"/>
      <c r="BY182" s="141"/>
      <c r="BZ182" s="141"/>
      <c r="CA182" s="141"/>
      <c r="CB182" s="141"/>
      <c r="CC182" s="141"/>
      <c r="CD182" s="141"/>
      <c r="CE182" s="141"/>
      <c r="CF182" s="141"/>
      <c r="CG182" s="141"/>
      <c r="CH182" s="142"/>
    </row>
    <row r="183" spans="1:86" x14ac:dyDescent="0.2">
      <c r="A183" s="105"/>
      <c r="B183" s="105"/>
      <c r="C183" s="56"/>
      <c r="D183" s="57"/>
      <c r="E183" s="58"/>
      <c r="F183" s="58"/>
      <c r="G183" s="59"/>
      <c r="H183" s="106"/>
      <c r="I183" s="107"/>
      <c r="J183" s="108"/>
      <c r="K183" s="109"/>
      <c r="L183" s="110"/>
      <c r="M183" s="111"/>
      <c r="N183" s="140"/>
      <c r="O183" s="141"/>
      <c r="P183" s="141"/>
      <c r="Q183" s="141"/>
      <c r="R183" s="141"/>
      <c r="S183" s="141"/>
      <c r="T183" s="141"/>
      <c r="U183" s="141"/>
      <c r="V183" s="141"/>
      <c r="W183" s="141"/>
      <c r="X183" s="141"/>
      <c r="Y183" s="141"/>
      <c r="Z183" s="141"/>
      <c r="AA183" s="141"/>
      <c r="AB183" s="141"/>
      <c r="AC183" s="141"/>
      <c r="AD183" s="141"/>
      <c r="AE183" s="141"/>
      <c r="AF183" s="141"/>
      <c r="AG183" s="141"/>
      <c r="AH183" s="141"/>
      <c r="AI183" s="141"/>
      <c r="AJ183" s="141"/>
      <c r="AK183" s="141"/>
      <c r="AL183" s="141"/>
      <c r="AM183" s="141"/>
      <c r="AN183" s="141"/>
      <c r="AO183" s="141"/>
      <c r="AP183" s="141"/>
      <c r="AQ183" s="141"/>
      <c r="AR183" s="141"/>
      <c r="AS183" s="141"/>
      <c r="AT183" s="141"/>
      <c r="AU183" s="141"/>
      <c r="AV183" s="141"/>
      <c r="AW183" s="141"/>
      <c r="AX183" s="141"/>
      <c r="AY183" s="141"/>
      <c r="AZ183" s="141"/>
      <c r="BA183" s="141"/>
      <c r="BB183" s="141"/>
      <c r="BC183" s="141"/>
      <c r="BD183" s="141"/>
      <c r="BE183" s="141"/>
      <c r="BF183" s="141"/>
      <c r="BG183" s="141"/>
      <c r="BH183" s="141"/>
      <c r="BI183" s="141"/>
      <c r="BJ183" s="141"/>
      <c r="BK183" s="141"/>
      <c r="BL183" s="141"/>
      <c r="BM183" s="141"/>
      <c r="BN183" s="141"/>
      <c r="BO183" s="141"/>
      <c r="BP183" s="141"/>
      <c r="BQ183" s="141"/>
      <c r="BR183" s="141"/>
      <c r="BS183" s="141"/>
      <c r="BT183" s="141"/>
      <c r="BU183" s="141"/>
      <c r="BV183" s="141"/>
      <c r="BW183" s="141"/>
      <c r="BX183" s="141"/>
      <c r="BY183" s="141"/>
      <c r="BZ183" s="141"/>
      <c r="CA183" s="141"/>
      <c r="CB183" s="141"/>
      <c r="CC183" s="141"/>
      <c r="CD183" s="141"/>
      <c r="CE183" s="141"/>
      <c r="CF183" s="141"/>
      <c r="CG183" s="141"/>
      <c r="CH183" s="142"/>
    </row>
    <row r="184" spans="1:86" x14ac:dyDescent="0.2">
      <c r="A184" s="105"/>
      <c r="B184" s="105"/>
      <c r="C184" s="56"/>
      <c r="D184" s="57"/>
      <c r="E184" s="58"/>
      <c r="F184" s="58"/>
      <c r="G184" s="59"/>
      <c r="H184" s="106"/>
      <c r="I184" s="107"/>
      <c r="J184" s="108"/>
      <c r="K184" s="109"/>
      <c r="L184" s="110"/>
      <c r="M184" s="111"/>
      <c r="N184" s="140"/>
      <c r="O184" s="141"/>
      <c r="P184" s="141"/>
      <c r="Q184" s="141"/>
      <c r="R184" s="141"/>
      <c r="S184" s="141"/>
      <c r="T184" s="141"/>
      <c r="U184" s="141"/>
      <c r="V184" s="141"/>
      <c r="W184" s="141"/>
      <c r="X184" s="141"/>
      <c r="Y184" s="141"/>
      <c r="Z184" s="141"/>
      <c r="AA184" s="141"/>
      <c r="AB184" s="141"/>
      <c r="AC184" s="141"/>
      <c r="AD184" s="141"/>
      <c r="AE184" s="141"/>
      <c r="AF184" s="141"/>
      <c r="AG184" s="141"/>
      <c r="AH184" s="141"/>
      <c r="AI184" s="141"/>
      <c r="AJ184" s="141"/>
      <c r="AK184" s="141"/>
      <c r="AL184" s="141"/>
      <c r="AM184" s="141"/>
      <c r="AN184" s="141"/>
      <c r="AO184" s="141"/>
      <c r="AP184" s="141"/>
      <c r="AQ184" s="141"/>
      <c r="AR184" s="141"/>
      <c r="AS184" s="141"/>
      <c r="AT184" s="141"/>
      <c r="AU184" s="141"/>
      <c r="AV184" s="141"/>
      <c r="AW184" s="141"/>
      <c r="AX184" s="141"/>
      <c r="AY184" s="141"/>
      <c r="AZ184" s="141"/>
      <c r="BA184" s="141"/>
      <c r="BB184" s="141"/>
      <c r="BC184" s="141"/>
      <c r="BD184" s="141"/>
      <c r="BE184" s="141"/>
      <c r="BF184" s="141"/>
      <c r="BG184" s="141"/>
      <c r="BH184" s="141"/>
      <c r="BI184" s="141"/>
      <c r="BJ184" s="141"/>
      <c r="BK184" s="141"/>
      <c r="BL184" s="141"/>
      <c r="BM184" s="141"/>
      <c r="BN184" s="141"/>
      <c r="BO184" s="141"/>
      <c r="BP184" s="141"/>
      <c r="BQ184" s="141"/>
      <c r="BR184" s="141"/>
      <c r="BS184" s="141"/>
      <c r="BT184" s="141"/>
      <c r="BU184" s="141"/>
      <c r="BV184" s="141"/>
      <c r="BW184" s="141"/>
      <c r="BX184" s="141"/>
      <c r="BY184" s="141"/>
      <c r="BZ184" s="141"/>
      <c r="CA184" s="141"/>
      <c r="CB184" s="141"/>
      <c r="CC184" s="141"/>
      <c r="CD184" s="141"/>
      <c r="CE184" s="141"/>
      <c r="CF184" s="141"/>
      <c r="CG184" s="141"/>
      <c r="CH184" s="142"/>
    </row>
    <row r="185" spans="1:86" x14ac:dyDescent="0.2">
      <c r="A185" s="105"/>
      <c r="B185" s="105"/>
      <c r="C185" s="56"/>
      <c r="D185" s="57"/>
      <c r="E185" s="58"/>
      <c r="F185" s="58"/>
      <c r="G185" s="59"/>
      <c r="H185" s="106"/>
      <c r="I185" s="107"/>
      <c r="J185" s="108"/>
      <c r="K185" s="109"/>
      <c r="L185" s="110"/>
      <c r="M185" s="111"/>
      <c r="N185" s="140"/>
      <c r="O185" s="141"/>
      <c r="P185" s="141"/>
      <c r="Q185" s="141"/>
      <c r="R185" s="141"/>
      <c r="S185" s="141"/>
      <c r="T185" s="141"/>
      <c r="U185" s="141"/>
      <c r="V185" s="141"/>
      <c r="W185" s="141"/>
      <c r="X185" s="141"/>
      <c r="Y185" s="141"/>
      <c r="Z185" s="141"/>
      <c r="AA185" s="141"/>
      <c r="AB185" s="141"/>
      <c r="AC185" s="141"/>
      <c r="AD185" s="141"/>
      <c r="AE185" s="141"/>
      <c r="AF185" s="141"/>
      <c r="AG185" s="141"/>
      <c r="AH185" s="141"/>
      <c r="AI185" s="141"/>
      <c r="AJ185" s="141"/>
      <c r="AK185" s="141"/>
      <c r="AL185" s="141"/>
      <c r="AM185" s="141"/>
      <c r="AN185" s="141"/>
      <c r="AO185" s="141"/>
      <c r="AP185" s="141"/>
      <c r="AQ185" s="141"/>
      <c r="AR185" s="141"/>
      <c r="AS185" s="141"/>
      <c r="AT185" s="141"/>
      <c r="AU185" s="141"/>
      <c r="AV185" s="141"/>
      <c r="AW185" s="141"/>
      <c r="AX185" s="141"/>
      <c r="AY185" s="141"/>
      <c r="AZ185" s="141"/>
      <c r="BA185" s="141"/>
      <c r="BB185" s="141"/>
      <c r="BC185" s="141"/>
      <c r="BD185" s="141"/>
      <c r="BE185" s="141"/>
      <c r="BF185" s="141"/>
      <c r="BG185" s="141"/>
      <c r="BH185" s="141"/>
      <c r="BI185" s="141"/>
      <c r="BJ185" s="141"/>
      <c r="BK185" s="141"/>
      <c r="BL185" s="141"/>
      <c r="BM185" s="141"/>
      <c r="BN185" s="141"/>
      <c r="BO185" s="141"/>
      <c r="BP185" s="141"/>
      <c r="BQ185" s="141"/>
      <c r="BR185" s="141"/>
      <c r="BS185" s="141"/>
      <c r="BT185" s="141"/>
      <c r="BU185" s="141"/>
      <c r="BV185" s="141"/>
      <c r="BW185" s="141"/>
      <c r="BX185" s="141"/>
      <c r="BY185" s="141"/>
      <c r="BZ185" s="141"/>
      <c r="CA185" s="141"/>
      <c r="CB185" s="141"/>
      <c r="CC185" s="141"/>
      <c r="CD185" s="141"/>
      <c r="CE185" s="141"/>
      <c r="CF185" s="141"/>
      <c r="CG185" s="141"/>
      <c r="CH185" s="142"/>
    </row>
    <row r="186" spans="1:86" x14ac:dyDescent="0.2">
      <c r="A186" s="105"/>
      <c r="B186" s="105"/>
      <c r="C186" s="56"/>
      <c r="D186" s="57"/>
      <c r="E186" s="58"/>
      <c r="F186" s="58"/>
      <c r="G186" s="59"/>
      <c r="H186" s="106"/>
      <c r="I186" s="107"/>
      <c r="J186" s="108"/>
      <c r="K186" s="109"/>
      <c r="L186" s="110"/>
      <c r="M186" s="111"/>
      <c r="N186" s="140"/>
      <c r="O186" s="141"/>
      <c r="P186" s="141"/>
      <c r="Q186" s="141"/>
      <c r="R186" s="141"/>
      <c r="S186" s="141"/>
      <c r="T186" s="141"/>
      <c r="U186" s="141"/>
      <c r="V186" s="141"/>
      <c r="W186" s="141"/>
      <c r="X186" s="141"/>
      <c r="Y186" s="141"/>
      <c r="Z186" s="141"/>
      <c r="AA186" s="141"/>
      <c r="AB186" s="141"/>
      <c r="AC186" s="141"/>
      <c r="AD186" s="141"/>
      <c r="AE186" s="141"/>
      <c r="AF186" s="141"/>
      <c r="AG186" s="141"/>
      <c r="AH186" s="141"/>
      <c r="AI186" s="141"/>
      <c r="AJ186" s="141"/>
      <c r="AK186" s="141"/>
      <c r="AL186" s="141"/>
      <c r="AM186" s="141"/>
      <c r="AN186" s="141"/>
      <c r="AO186" s="141"/>
      <c r="AP186" s="141"/>
      <c r="AQ186" s="141"/>
      <c r="AR186" s="141"/>
      <c r="AS186" s="141"/>
      <c r="AT186" s="141"/>
      <c r="AU186" s="141"/>
      <c r="AV186" s="141"/>
      <c r="AW186" s="141"/>
      <c r="AX186" s="141"/>
      <c r="AY186" s="141"/>
      <c r="AZ186" s="141"/>
      <c r="BA186" s="141"/>
      <c r="BB186" s="141"/>
      <c r="BC186" s="141"/>
      <c r="BD186" s="141"/>
      <c r="BE186" s="141"/>
      <c r="BF186" s="141"/>
      <c r="BG186" s="141"/>
      <c r="BH186" s="141"/>
      <c r="BI186" s="141"/>
      <c r="BJ186" s="141"/>
      <c r="BK186" s="141"/>
      <c r="BL186" s="141"/>
      <c r="BM186" s="141"/>
      <c r="BN186" s="141"/>
      <c r="BO186" s="141"/>
      <c r="BP186" s="141"/>
      <c r="BQ186" s="141"/>
      <c r="BR186" s="141"/>
      <c r="BS186" s="141"/>
      <c r="BT186" s="141"/>
      <c r="BU186" s="141"/>
      <c r="BV186" s="141"/>
      <c r="BW186" s="141"/>
      <c r="BX186" s="141"/>
      <c r="BY186" s="141"/>
      <c r="BZ186" s="141"/>
      <c r="CA186" s="141"/>
      <c r="CB186" s="141"/>
      <c r="CC186" s="141"/>
      <c r="CD186" s="141"/>
      <c r="CE186" s="141"/>
      <c r="CF186" s="141"/>
      <c r="CG186" s="141"/>
      <c r="CH186" s="142"/>
    </row>
    <row r="187" spans="1:86" x14ac:dyDescent="0.2">
      <c r="A187" s="105"/>
      <c r="B187" s="105"/>
      <c r="C187" s="56"/>
      <c r="D187" s="57"/>
      <c r="E187" s="58"/>
      <c r="F187" s="58"/>
      <c r="G187" s="59"/>
      <c r="H187" s="106"/>
      <c r="I187" s="107"/>
      <c r="J187" s="108"/>
      <c r="K187" s="109"/>
      <c r="L187" s="110"/>
      <c r="M187" s="111"/>
      <c r="N187" s="140"/>
      <c r="O187" s="141"/>
      <c r="P187" s="141"/>
      <c r="Q187" s="141"/>
      <c r="R187" s="141"/>
      <c r="S187" s="141"/>
      <c r="T187" s="141"/>
      <c r="U187" s="141"/>
      <c r="V187" s="141"/>
      <c r="W187" s="141"/>
      <c r="X187" s="141"/>
      <c r="Y187" s="141"/>
      <c r="Z187" s="141"/>
      <c r="AA187" s="141"/>
      <c r="AB187" s="141"/>
      <c r="AC187" s="141"/>
      <c r="AD187" s="141"/>
      <c r="AE187" s="141"/>
      <c r="AF187" s="141"/>
      <c r="AG187" s="141"/>
      <c r="AH187" s="141"/>
      <c r="AI187" s="141"/>
      <c r="AJ187" s="141"/>
      <c r="AK187" s="141"/>
      <c r="AL187" s="141"/>
      <c r="AM187" s="141"/>
      <c r="AN187" s="141"/>
      <c r="AO187" s="141"/>
      <c r="AP187" s="141"/>
      <c r="AQ187" s="141"/>
      <c r="AR187" s="141"/>
      <c r="AS187" s="141"/>
      <c r="AT187" s="141"/>
      <c r="AU187" s="141"/>
      <c r="AV187" s="141"/>
      <c r="AW187" s="141"/>
      <c r="AX187" s="141"/>
      <c r="AY187" s="141"/>
      <c r="AZ187" s="141"/>
      <c r="BA187" s="141"/>
      <c r="BB187" s="141"/>
      <c r="BC187" s="141"/>
      <c r="BD187" s="141"/>
      <c r="BE187" s="141"/>
      <c r="BF187" s="141"/>
      <c r="BG187" s="141"/>
      <c r="BH187" s="141"/>
      <c r="BI187" s="141"/>
      <c r="BJ187" s="141"/>
      <c r="BK187" s="141"/>
      <c r="BL187" s="141"/>
      <c r="BM187" s="141"/>
      <c r="BN187" s="141"/>
      <c r="BO187" s="141"/>
      <c r="BP187" s="141"/>
      <c r="BQ187" s="141"/>
      <c r="BR187" s="141"/>
      <c r="BS187" s="141"/>
      <c r="BT187" s="141"/>
      <c r="BU187" s="141"/>
      <c r="BV187" s="141"/>
      <c r="BW187" s="141"/>
      <c r="BX187" s="141"/>
      <c r="BY187" s="141"/>
      <c r="BZ187" s="141"/>
      <c r="CA187" s="141"/>
      <c r="CB187" s="141"/>
      <c r="CC187" s="141"/>
      <c r="CD187" s="141"/>
      <c r="CE187" s="141"/>
      <c r="CF187" s="141"/>
      <c r="CG187" s="141"/>
      <c r="CH187" s="142"/>
    </row>
    <row r="188" spans="1:86" x14ac:dyDescent="0.2">
      <c r="A188" s="105"/>
      <c r="B188" s="105"/>
      <c r="C188" s="56"/>
      <c r="D188" s="57"/>
      <c r="E188" s="58"/>
      <c r="F188" s="58"/>
      <c r="G188" s="59"/>
      <c r="H188" s="106"/>
      <c r="I188" s="107"/>
      <c r="J188" s="108"/>
      <c r="K188" s="109"/>
      <c r="L188" s="110"/>
      <c r="M188" s="111"/>
      <c r="N188" s="140"/>
      <c r="O188" s="141"/>
      <c r="P188" s="141"/>
      <c r="Q188" s="141"/>
      <c r="R188" s="141"/>
      <c r="S188" s="141"/>
      <c r="T188" s="141"/>
      <c r="U188" s="141"/>
      <c r="V188" s="141"/>
      <c r="W188" s="141"/>
      <c r="X188" s="141"/>
      <c r="Y188" s="141"/>
      <c r="Z188" s="141"/>
      <c r="AA188" s="141"/>
      <c r="AB188" s="141"/>
      <c r="AC188" s="141"/>
      <c r="AD188" s="141"/>
      <c r="AE188" s="141"/>
      <c r="AF188" s="141"/>
      <c r="AG188" s="141"/>
      <c r="AH188" s="141"/>
      <c r="AI188" s="141"/>
      <c r="AJ188" s="141"/>
      <c r="AK188" s="141"/>
      <c r="AL188" s="141"/>
      <c r="AM188" s="141"/>
      <c r="AN188" s="141"/>
      <c r="AO188" s="141"/>
      <c r="AP188" s="141"/>
      <c r="AQ188" s="141"/>
      <c r="AR188" s="141"/>
      <c r="AS188" s="141"/>
      <c r="AT188" s="141"/>
      <c r="AU188" s="141"/>
      <c r="AV188" s="141"/>
      <c r="AW188" s="141"/>
      <c r="AX188" s="141"/>
      <c r="AY188" s="141"/>
      <c r="AZ188" s="141"/>
      <c r="BA188" s="141"/>
      <c r="BB188" s="141"/>
      <c r="BC188" s="141"/>
      <c r="BD188" s="141"/>
      <c r="BE188" s="141"/>
      <c r="BF188" s="141"/>
      <c r="BG188" s="141"/>
      <c r="BH188" s="141"/>
      <c r="BI188" s="141"/>
      <c r="BJ188" s="141"/>
      <c r="BK188" s="141"/>
      <c r="BL188" s="141"/>
      <c r="BM188" s="141"/>
      <c r="BN188" s="141"/>
      <c r="BO188" s="141"/>
      <c r="BP188" s="141"/>
      <c r="BQ188" s="141"/>
      <c r="BR188" s="141"/>
      <c r="BS188" s="141"/>
      <c r="BT188" s="141"/>
      <c r="BU188" s="141"/>
      <c r="BV188" s="141"/>
      <c r="BW188" s="141"/>
      <c r="BX188" s="141"/>
      <c r="BY188" s="141"/>
      <c r="BZ188" s="141"/>
      <c r="CA188" s="141"/>
      <c r="CB188" s="141"/>
      <c r="CC188" s="141"/>
      <c r="CD188" s="141"/>
      <c r="CE188" s="141"/>
      <c r="CF188" s="141"/>
      <c r="CG188" s="141"/>
      <c r="CH188" s="142"/>
    </row>
    <row r="189" spans="1:86" x14ac:dyDescent="0.2">
      <c r="A189" s="105"/>
      <c r="B189" s="105"/>
      <c r="C189" s="56"/>
      <c r="D189" s="57"/>
      <c r="E189" s="58"/>
      <c r="F189" s="58"/>
      <c r="G189" s="59"/>
      <c r="H189" s="106"/>
      <c r="I189" s="107"/>
      <c r="J189" s="108"/>
      <c r="K189" s="109"/>
      <c r="L189" s="110"/>
      <c r="M189" s="111"/>
      <c r="N189" s="140"/>
      <c r="O189" s="141"/>
      <c r="P189" s="141"/>
      <c r="Q189" s="141"/>
      <c r="R189" s="141"/>
      <c r="S189" s="141"/>
      <c r="T189" s="141"/>
      <c r="U189" s="141"/>
      <c r="V189" s="141"/>
      <c r="W189" s="141"/>
      <c r="X189" s="141"/>
      <c r="Y189" s="141"/>
      <c r="Z189" s="141"/>
      <c r="AA189" s="141"/>
      <c r="AB189" s="141"/>
      <c r="AC189" s="141"/>
      <c r="AD189" s="141"/>
      <c r="AE189" s="141"/>
      <c r="AF189" s="141"/>
      <c r="AG189" s="141"/>
      <c r="AH189" s="141"/>
      <c r="AI189" s="141"/>
      <c r="AJ189" s="141"/>
      <c r="AK189" s="141"/>
      <c r="AL189" s="141"/>
      <c r="AM189" s="141"/>
      <c r="AN189" s="141"/>
      <c r="AO189" s="141"/>
      <c r="AP189" s="141"/>
      <c r="AQ189" s="141"/>
      <c r="AR189" s="141"/>
      <c r="AS189" s="141"/>
      <c r="AT189" s="141"/>
      <c r="AU189" s="141"/>
      <c r="AV189" s="141"/>
      <c r="AW189" s="141"/>
      <c r="AX189" s="141"/>
      <c r="AY189" s="141"/>
      <c r="AZ189" s="141"/>
      <c r="BA189" s="141"/>
      <c r="BB189" s="141"/>
      <c r="BC189" s="141"/>
      <c r="BD189" s="141"/>
      <c r="BE189" s="141"/>
      <c r="BF189" s="141"/>
      <c r="BG189" s="141"/>
      <c r="BH189" s="141"/>
      <c r="BI189" s="141"/>
      <c r="BJ189" s="141"/>
      <c r="BK189" s="141"/>
      <c r="BL189" s="141"/>
      <c r="BM189" s="141"/>
      <c r="BN189" s="141"/>
      <c r="BO189" s="141"/>
      <c r="BP189" s="141"/>
      <c r="BQ189" s="141"/>
      <c r="BR189" s="141"/>
      <c r="BS189" s="141"/>
      <c r="BT189" s="141"/>
      <c r="BU189" s="141"/>
      <c r="BV189" s="141"/>
      <c r="BW189" s="141"/>
      <c r="BX189" s="141"/>
      <c r="BY189" s="141"/>
      <c r="BZ189" s="141"/>
      <c r="CA189" s="141"/>
      <c r="CB189" s="141"/>
      <c r="CC189" s="141"/>
      <c r="CD189" s="141"/>
      <c r="CE189" s="141"/>
      <c r="CF189" s="141"/>
      <c r="CG189" s="141"/>
      <c r="CH189" s="142"/>
    </row>
    <row r="190" spans="1:86" x14ac:dyDescent="0.2">
      <c r="A190" s="105"/>
      <c r="B190" s="105"/>
      <c r="C190" s="56"/>
      <c r="D190" s="57"/>
      <c r="E190" s="58"/>
      <c r="F190" s="58"/>
      <c r="G190" s="59"/>
      <c r="H190" s="106"/>
      <c r="I190" s="107"/>
      <c r="J190" s="108"/>
      <c r="K190" s="109"/>
      <c r="L190" s="110"/>
      <c r="M190" s="111"/>
      <c r="N190" s="140"/>
      <c r="O190" s="141"/>
      <c r="P190" s="141"/>
      <c r="Q190" s="141"/>
      <c r="R190" s="141"/>
      <c r="S190" s="141"/>
      <c r="T190" s="141"/>
      <c r="U190" s="141"/>
      <c r="V190" s="141"/>
      <c r="W190" s="141"/>
      <c r="X190" s="141"/>
      <c r="Y190" s="141"/>
      <c r="Z190" s="141"/>
      <c r="AA190" s="141"/>
      <c r="AB190" s="141"/>
      <c r="AC190" s="141"/>
      <c r="AD190" s="141"/>
      <c r="AE190" s="141"/>
      <c r="AF190" s="141"/>
      <c r="AG190" s="141"/>
      <c r="AH190" s="141"/>
      <c r="AI190" s="141"/>
      <c r="AJ190" s="141"/>
      <c r="AK190" s="141"/>
      <c r="AL190" s="141"/>
      <c r="AM190" s="141"/>
      <c r="AN190" s="141"/>
      <c r="AO190" s="141"/>
      <c r="AP190" s="141"/>
      <c r="AQ190" s="141"/>
      <c r="AR190" s="141"/>
      <c r="AS190" s="141"/>
      <c r="AT190" s="141"/>
      <c r="AU190" s="141"/>
      <c r="AV190" s="141"/>
      <c r="AW190" s="141"/>
      <c r="AX190" s="141"/>
      <c r="AY190" s="141"/>
      <c r="AZ190" s="141"/>
      <c r="BA190" s="141"/>
      <c r="BB190" s="141"/>
      <c r="BC190" s="141"/>
      <c r="BD190" s="141"/>
      <c r="BE190" s="141"/>
      <c r="BF190" s="141"/>
      <c r="BG190" s="141"/>
      <c r="BH190" s="141"/>
      <c r="BI190" s="141"/>
      <c r="BJ190" s="141"/>
      <c r="BK190" s="141"/>
      <c r="BL190" s="141"/>
      <c r="BM190" s="141"/>
      <c r="BN190" s="141"/>
      <c r="BO190" s="141"/>
      <c r="BP190" s="141"/>
      <c r="BQ190" s="141"/>
      <c r="BR190" s="141"/>
      <c r="BS190" s="141"/>
      <c r="BT190" s="141"/>
      <c r="BU190" s="141"/>
      <c r="BV190" s="141"/>
      <c r="BW190" s="141"/>
      <c r="BX190" s="141"/>
      <c r="BY190" s="141"/>
      <c r="BZ190" s="141"/>
      <c r="CA190" s="141"/>
      <c r="CB190" s="141"/>
      <c r="CC190" s="141"/>
      <c r="CD190" s="141"/>
      <c r="CE190" s="141"/>
      <c r="CF190" s="141"/>
      <c r="CG190" s="141"/>
      <c r="CH190" s="142"/>
    </row>
    <row r="191" spans="1:86" x14ac:dyDescent="0.2">
      <c r="A191" s="105"/>
      <c r="B191" s="105"/>
      <c r="C191" s="56"/>
      <c r="D191" s="57"/>
      <c r="E191" s="58"/>
      <c r="F191" s="58"/>
      <c r="G191" s="59"/>
      <c r="H191" s="106"/>
      <c r="I191" s="107"/>
      <c r="J191" s="108"/>
      <c r="K191" s="109"/>
      <c r="L191" s="110"/>
      <c r="M191" s="111"/>
      <c r="N191" s="140"/>
      <c r="O191" s="141"/>
      <c r="P191" s="141"/>
      <c r="Q191" s="141"/>
      <c r="R191" s="141"/>
      <c r="S191" s="141"/>
      <c r="T191" s="141"/>
      <c r="U191" s="141"/>
      <c r="V191" s="141"/>
      <c r="W191" s="141"/>
      <c r="X191" s="141"/>
      <c r="Y191" s="141"/>
      <c r="Z191" s="141"/>
      <c r="AA191" s="141"/>
      <c r="AB191" s="141"/>
      <c r="AC191" s="141"/>
      <c r="AD191" s="141"/>
      <c r="AE191" s="141"/>
      <c r="AF191" s="141"/>
      <c r="AG191" s="141"/>
      <c r="AH191" s="141"/>
      <c r="AI191" s="141"/>
      <c r="AJ191" s="141"/>
      <c r="AK191" s="141"/>
      <c r="AL191" s="141"/>
      <c r="AM191" s="141"/>
      <c r="AN191" s="141"/>
      <c r="AO191" s="141"/>
      <c r="AP191" s="141"/>
      <c r="AQ191" s="141"/>
      <c r="AR191" s="141"/>
      <c r="AS191" s="141"/>
      <c r="AT191" s="141"/>
      <c r="AU191" s="141"/>
      <c r="AV191" s="141"/>
      <c r="AW191" s="141"/>
      <c r="AX191" s="141"/>
      <c r="AY191" s="141"/>
      <c r="AZ191" s="141"/>
      <c r="BA191" s="141"/>
      <c r="BB191" s="141"/>
      <c r="BC191" s="141"/>
      <c r="BD191" s="141"/>
      <c r="BE191" s="141"/>
      <c r="BF191" s="141"/>
      <c r="BG191" s="141"/>
      <c r="BH191" s="141"/>
      <c r="BI191" s="141"/>
      <c r="BJ191" s="141"/>
      <c r="BK191" s="141"/>
      <c r="BL191" s="141"/>
      <c r="BM191" s="141"/>
      <c r="BN191" s="141"/>
      <c r="BO191" s="141"/>
      <c r="BP191" s="141"/>
      <c r="BQ191" s="141"/>
      <c r="BR191" s="141"/>
      <c r="BS191" s="141"/>
      <c r="BT191" s="141"/>
      <c r="BU191" s="141"/>
      <c r="BV191" s="141"/>
      <c r="BW191" s="141"/>
      <c r="BX191" s="141"/>
      <c r="BY191" s="141"/>
      <c r="BZ191" s="141"/>
      <c r="CA191" s="141"/>
      <c r="CB191" s="141"/>
      <c r="CC191" s="141"/>
      <c r="CD191" s="141"/>
      <c r="CE191" s="141"/>
      <c r="CF191" s="141"/>
      <c r="CG191" s="141"/>
      <c r="CH191" s="142"/>
    </row>
    <row r="192" spans="1:86" x14ac:dyDescent="0.2">
      <c r="A192" s="105"/>
      <c r="B192" s="105"/>
      <c r="C192" s="56"/>
      <c r="D192" s="57"/>
      <c r="E192" s="58"/>
      <c r="F192" s="58"/>
      <c r="G192" s="59"/>
      <c r="H192" s="106"/>
      <c r="I192" s="107"/>
      <c r="J192" s="108"/>
      <c r="K192" s="109"/>
      <c r="L192" s="110"/>
      <c r="M192" s="111"/>
      <c r="N192" s="140"/>
      <c r="O192" s="141"/>
      <c r="P192" s="141"/>
      <c r="Q192" s="141"/>
      <c r="R192" s="141"/>
      <c r="S192" s="141"/>
      <c r="T192" s="141"/>
      <c r="U192" s="141"/>
      <c r="V192" s="141"/>
      <c r="W192" s="141"/>
      <c r="X192" s="141"/>
      <c r="Y192" s="141"/>
      <c r="Z192" s="141"/>
      <c r="AA192" s="141"/>
      <c r="AB192" s="141"/>
      <c r="AC192" s="141"/>
      <c r="AD192" s="141"/>
      <c r="AE192" s="141"/>
      <c r="AF192" s="141"/>
      <c r="AG192" s="141"/>
      <c r="AH192" s="141"/>
      <c r="AI192" s="141"/>
      <c r="AJ192" s="141"/>
      <c r="AK192" s="141"/>
      <c r="AL192" s="141"/>
      <c r="AM192" s="141"/>
      <c r="AN192" s="141"/>
      <c r="AO192" s="141"/>
      <c r="AP192" s="141"/>
      <c r="AQ192" s="141"/>
      <c r="AR192" s="141"/>
      <c r="AS192" s="141"/>
      <c r="AT192" s="141"/>
      <c r="AU192" s="141"/>
      <c r="AV192" s="141"/>
      <c r="AW192" s="141"/>
      <c r="AX192" s="141"/>
      <c r="AY192" s="141"/>
      <c r="AZ192" s="141"/>
      <c r="BA192" s="141"/>
      <c r="BB192" s="141"/>
      <c r="BC192" s="141"/>
      <c r="BD192" s="141"/>
      <c r="BE192" s="141"/>
      <c r="BF192" s="141"/>
      <c r="BG192" s="141"/>
      <c r="BH192" s="141"/>
      <c r="BI192" s="141"/>
      <c r="BJ192" s="141"/>
      <c r="BK192" s="141"/>
      <c r="BL192" s="141"/>
      <c r="BM192" s="141"/>
      <c r="BN192" s="141"/>
      <c r="BO192" s="141"/>
      <c r="BP192" s="141"/>
      <c r="BQ192" s="141"/>
      <c r="BR192" s="141"/>
      <c r="BS192" s="141"/>
      <c r="BT192" s="141"/>
      <c r="BU192" s="141"/>
      <c r="BV192" s="141"/>
      <c r="BW192" s="141"/>
      <c r="BX192" s="141"/>
      <c r="BY192" s="141"/>
      <c r="BZ192" s="141"/>
      <c r="CA192" s="141"/>
      <c r="CB192" s="141"/>
      <c r="CC192" s="141"/>
      <c r="CD192" s="141"/>
      <c r="CE192" s="141"/>
      <c r="CF192" s="141"/>
      <c r="CG192" s="141"/>
      <c r="CH192" s="142"/>
    </row>
    <row r="193" spans="1:86" x14ac:dyDescent="0.2">
      <c r="A193" s="105"/>
      <c r="B193" s="105"/>
      <c r="C193" s="56"/>
      <c r="D193" s="57"/>
      <c r="E193" s="58"/>
      <c r="F193" s="58"/>
      <c r="G193" s="59"/>
      <c r="H193" s="106"/>
      <c r="I193" s="107"/>
      <c r="J193" s="108"/>
      <c r="K193" s="109"/>
      <c r="L193" s="110"/>
      <c r="M193" s="111"/>
      <c r="N193" s="140"/>
      <c r="O193" s="141"/>
      <c r="P193" s="141"/>
      <c r="Q193" s="141"/>
      <c r="R193" s="141"/>
      <c r="S193" s="141"/>
      <c r="T193" s="141"/>
      <c r="U193" s="141"/>
      <c r="V193" s="141"/>
      <c r="W193" s="141"/>
      <c r="X193" s="141"/>
      <c r="Y193" s="141"/>
      <c r="Z193" s="141"/>
      <c r="AA193" s="141"/>
      <c r="AB193" s="141"/>
      <c r="AC193" s="141"/>
      <c r="AD193" s="141"/>
      <c r="AE193" s="141"/>
      <c r="AF193" s="141"/>
      <c r="AG193" s="141"/>
      <c r="AH193" s="141"/>
      <c r="AI193" s="141"/>
      <c r="AJ193" s="141"/>
      <c r="AK193" s="141"/>
      <c r="AL193" s="141"/>
      <c r="AM193" s="141"/>
      <c r="AN193" s="141"/>
      <c r="AO193" s="141"/>
      <c r="AP193" s="141"/>
      <c r="AQ193" s="141"/>
      <c r="AR193" s="141"/>
      <c r="AS193" s="141"/>
      <c r="AT193" s="141"/>
      <c r="AU193" s="141"/>
      <c r="AV193" s="141"/>
      <c r="AW193" s="141"/>
      <c r="AX193" s="141"/>
      <c r="AY193" s="141"/>
      <c r="AZ193" s="141"/>
      <c r="BA193" s="141"/>
      <c r="BB193" s="141"/>
      <c r="BC193" s="141"/>
      <c r="BD193" s="141"/>
      <c r="BE193" s="141"/>
      <c r="BF193" s="141"/>
      <c r="BG193" s="141"/>
      <c r="BH193" s="141"/>
      <c r="BI193" s="141"/>
      <c r="BJ193" s="141"/>
      <c r="BK193" s="141"/>
      <c r="BL193" s="141"/>
      <c r="BM193" s="141"/>
      <c r="BN193" s="141"/>
      <c r="BO193" s="141"/>
      <c r="BP193" s="141"/>
      <c r="BQ193" s="141"/>
      <c r="BR193" s="141"/>
      <c r="BS193" s="141"/>
      <c r="BT193" s="141"/>
      <c r="BU193" s="141"/>
      <c r="BV193" s="141"/>
      <c r="BW193" s="141"/>
      <c r="BX193" s="141"/>
      <c r="BY193" s="141"/>
      <c r="BZ193" s="141"/>
      <c r="CA193" s="141"/>
      <c r="CB193" s="141"/>
      <c r="CC193" s="141"/>
      <c r="CD193" s="141"/>
      <c r="CE193" s="141"/>
      <c r="CF193" s="141"/>
      <c r="CG193" s="141"/>
      <c r="CH193" s="142"/>
    </row>
    <row r="194" spans="1:86" x14ac:dyDescent="0.2">
      <c r="A194" s="105"/>
      <c r="B194" s="105"/>
      <c r="C194" s="56"/>
      <c r="D194" s="57"/>
      <c r="E194" s="58"/>
      <c r="F194" s="58"/>
      <c r="G194" s="59"/>
      <c r="H194" s="106"/>
      <c r="I194" s="107"/>
      <c r="J194" s="108"/>
      <c r="K194" s="109"/>
      <c r="L194" s="110"/>
      <c r="M194" s="111"/>
      <c r="N194" s="140"/>
      <c r="O194" s="141"/>
      <c r="P194" s="141"/>
      <c r="Q194" s="141"/>
      <c r="R194" s="141"/>
      <c r="S194" s="141"/>
      <c r="T194" s="141"/>
      <c r="U194" s="141"/>
      <c r="V194" s="141"/>
      <c r="W194" s="141"/>
      <c r="X194" s="141"/>
      <c r="Y194" s="141"/>
      <c r="Z194" s="141"/>
      <c r="AA194" s="141"/>
      <c r="AB194" s="141"/>
      <c r="AC194" s="141"/>
      <c r="AD194" s="141"/>
      <c r="AE194" s="141"/>
      <c r="AF194" s="141"/>
      <c r="AG194" s="141"/>
      <c r="AH194" s="141"/>
      <c r="AI194" s="141"/>
      <c r="AJ194" s="141"/>
      <c r="AK194" s="141"/>
      <c r="AL194" s="141"/>
      <c r="AM194" s="141"/>
      <c r="AN194" s="141"/>
      <c r="AO194" s="141"/>
      <c r="AP194" s="141"/>
      <c r="AQ194" s="141"/>
      <c r="AR194" s="141"/>
      <c r="AS194" s="141"/>
      <c r="AT194" s="141"/>
      <c r="AU194" s="141"/>
      <c r="AV194" s="141"/>
      <c r="AW194" s="141"/>
      <c r="AX194" s="141"/>
      <c r="AY194" s="141"/>
      <c r="AZ194" s="141"/>
      <c r="BA194" s="141"/>
      <c r="BB194" s="141"/>
      <c r="BC194" s="141"/>
      <c r="BD194" s="141"/>
      <c r="BE194" s="141"/>
      <c r="BF194" s="141"/>
      <c r="BG194" s="141"/>
      <c r="BH194" s="141"/>
      <c r="BI194" s="141"/>
      <c r="BJ194" s="141"/>
      <c r="BK194" s="141"/>
      <c r="BL194" s="141"/>
      <c r="BM194" s="141"/>
      <c r="BN194" s="141"/>
      <c r="BO194" s="141"/>
      <c r="BP194" s="141"/>
      <c r="BQ194" s="141"/>
      <c r="BR194" s="141"/>
      <c r="BS194" s="141"/>
      <c r="BT194" s="141"/>
      <c r="BU194" s="141"/>
      <c r="BV194" s="141"/>
      <c r="BW194" s="141"/>
      <c r="BX194" s="141"/>
      <c r="BY194" s="141"/>
      <c r="BZ194" s="141"/>
      <c r="CA194" s="141"/>
      <c r="CB194" s="141"/>
      <c r="CC194" s="141"/>
      <c r="CD194" s="141"/>
      <c r="CE194" s="141"/>
      <c r="CF194" s="141"/>
      <c r="CG194" s="141"/>
      <c r="CH194" s="142"/>
    </row>
    <row r="195" spans="1:86" x14ac:dyDescent="0.2">
      <c r="A195" s="105"/>
      <c r="B195" s="105"/>
      <c r="C195" s="56"/>
      <c r="D195" s="57"/>
      <c r="E195" s="58"/>
      <c r="F195" s="58"/>
      <c r="G195" s="59"/>
      <c r="H195" s="106"/>
      <c r="I195" s="107"/>
      <c r="J195" s="108"/>
      <c r="K195" s="109"/>
      <c r="L195" s="110"/>
      <c r="M195" s="111"/>
      <c r="N195" s="140"/>
      <c r="O195" s="141"/>
      <c r="P195" s="141"/>
      <c r="Q195" s="141"/>
      <c r="R195" s="141"/>
      <c r="S195" s="141"/>
      <c r="T195" s="141"/>
      <c r="U195" s="141"/>
      <c r="V195" s="141"/>
      <c r="W195" s="141"/>
      <c r="X195" s="141"/>
      <c r="Y195" s="141"/>
      <c r="Z195" s="141"/>
      <c r="AA195" s="141"/>
      <c r="AB195" s="141"/>
      <c r="AC195" s="141"/>
      <c r="AD195" s="141"/>
      <c r="AE195" s="141"/>
      <c r="AF195" s="141"/>
      <c r="AG195" s="141"/>
      <c r="AH195" s="141"/>
      <c r="AI195" s="141"/>
      <c r="AJ195" s="141"/>
      <c r="AK195" s="141"/>
      <c r="AL195" s="141"/>
      <c r="AM195" s="141"/>
      <c r="AN195" s="141"/>
      <c r="AO195" s="141"/>
      <c r="AP195" s="141"/>
      <c r="AQ195" s="141"/>
      <c r="AR195" s="141"/>
      <c r="AS195" s="141"/>
      <c r="AT195" s="141"/>
      <c r="AU195" s="141"/>
      <c r="AV195" s="141"/>
      <c r="AW195" s="141"/>
      <c r="AX195" s="141"/>
      <c r="AY195" s="141"/>
      <c r="AZ195" s="141"/>
      <c r="BA195" s="141"/>
      <c r="BB195" s="141"/>
      <c r="BC195" s="141"/>
      <c r="BD195" s="141"/>
      <c r="BE195" s="141"/>
      <c r="BF195" s="141"/>
      <c r="BG195" s="141"/>
      <c r="BH195" s="141"/>
      <c r="BI195" s="141"/>
      <c r="BJ195" s="141"/>
      <c r="BK195" s="141"/>
      <c r="BL195" s="141"/>
      <c r="BM195" s="141"/>
      <c r="BN195" s="141"/>
      <c r="BO195" s="141"/>
      <c r="BP195" s="141"/>
      <c r="BQ195" s="141"/>
      <c r="BR195" s="141"/>
      <c r="BS195" s="141"/>
      <c r="BT195" s="141"/>
      <c r="BU195" s="141"/>
      <c r="BV195" s="141"/>
      <c r="BW195" s="141"/>
      <c r="BX195" s="141"/>
      <c r="BY195" s="141"/>
      <c r="BZ195" s="141"/>
      <c r="CA195" s="141"/>
      <c r="CB195" s="141"/>
      <c r="CC195" s="141"/>
      <c r="CD195" s="141"/>
      <c r="CE195" s="141"/>
      <c r="CF195" s="141"/>
      <c r="CG195" s="141"/>
      <c r="CH195" s="142"/>
    </row>
    <row r="196" spans="1:86" x14ac:dyDescent="0.2">
      <c r="A196" s="105"/>
      <c r="B196" s="105"/>
      <c r="C196" s="56"/>
      <c r="D196" s="57"/>
      <c r="E196" s="58"/>
      <c r="F196" s="58"/>
      <c r="G196" s="59"/>
      <c r="H196" s="106"/>
      <c r="I196" s="107"/>
      <c r="J196" s="108"/>
      <c r="K196" s="109"/>
      <c r="L196" s="110"/>
      <c r="M196" s="111"/>
      <c r="N196" s="140"/>
      <c r="O196" s="141"/>
      <c r="P196" s="141"/>
      <c r="Q196" s="141"/>
      <c r="R196" s="141"/>
      <c r="S196" s="141"/>
      <c r="T196" s="141"/>
      <c r="U196" s="141"/>
      <c r="V196" s="141"/>
      <c r="W196" s="141"/>
      <c r="X196" s="141"/>
      <c r="Y196" s="141"/>
      <c r="Z196" s="141"/>
      <c r="AA196" s="141"/>
      <c r="AB196" s="141"/>
      <c r="AC196" s="141"/>
      <c r="AD196" s="141"/>
      <c r="AE196" s="141"/>
      <c r="AF196" s="141"/>
      <c r="AG196" s="141"/>
      <c r="AH196" s="141"/>
      <c r="AI196" s="141"/>
      <c r="AJ196" s="141"/>
      <c r="AK196" s="141"/>
      <c r="AL196" s="141"/>
      <c r="AM196" s="141"/>
      <c r="AN196" s="141"/>
      <c r="AO196" s="141"/>
      <c r="AP196" s="141"/>
      <c r="AQ196" s="141"/>
      <c r="AR196" s="141"/>
      <c r="AS196" s="141"/>
      <c r="AT196" s="141"/>
      <c r="AU196" s="141"/>
      <c r="AV196" s="141"/>
      <c r="AW196" s="141"/>
      <c r="AX196" s="141"/>
      <c r="AY196" s="141"/>
      <c r="AZ196" s="141"/>
      <c r="BA196" s="141"/>
      <c r="BB196" s="141"/>
      <c r="BC196" s="141"/>
      <c r="BD196" s="141"/>
      <c r="BE196" s="141"/>
      <c r="BF196" s="141"/>
      <c r="BG196" s="141"/>
      <c r="BH196" s="141"/>
      <c r="BI196" s="141"/>
      <c r="BJ196" s="141"/>
      <c r="BK196" s="141"/>
      <c r="BL196" s="141"/>
      <c r="BM196" s="141"/>
      <c r="BN196" s="141"/>
      <c r="BO196" s="141"/>
      <c r="BP196" s="141"/>
      <c r="BQ196" s="141"/>
      <c r="BR196" s="141"/>
      <c r="BS196" s="141"/>
      <c r="BT196" s="141"/>
      <c r="BU196" s="141"/>
      <c r="BV196" s="141"/>
      <c r="BW196" s="141"/>
      <c r="BX196" s="141"/>
      <c r="BY196" s="141"/>
      <c r="BZ196" s="141"/>
      <c r="CA196" s="141"/>
      <c r="CB196" s="141"/>
      <c r="CC196" s="141"/>
      <c r="CD196" s="141"/>
      <c r="CE196" s="141"/>
      <c r="CF196" s="141"/>
      <c r="CG196" s="141"/>
      <c r="CH196" s="142"/>
    </row>
    <row r="197" spans="1:86" x14ac:dyDescent="0.2">
      <c r="A197" s="105"/>
      <c r="B197" s="105"/>
      <c r="C197" s="56"/>
      <c r="D197" s="57"/>
      <c r="E197" s="58"/>
      <c r="F197" s="58"/>
      <c r="G197" s="59"/>
      <c r="H197" s="106"/>
      <c r="I197" s="107"/>
      <c r="J197" s="108"/>
      <c r="K197" s="109"/>
      <c r="L197" s="110"/>
      <c r="M197" s="111"/>
      <c r="N197" s="140"/>
      <c r="O197" s="141"/>
      <c r="P197" s="141"/>
      <c r="Q197" s="141"/>
      <c r="R197" s="141"/>
      <c r="S197" s="141"/>
      <c r="T197" s="141"/>
      <c r="U197" s="141"/>
      <c r="V197" s="141"/>
      <c r="W197" s="141"/>
      <c r="X197" s="141"/>
      <c r="Y197" s="141"/>
      <c r="Z197" s="141"/>
      <c r="AA197" s="141"/>
      <c r="AB197" s="141"/>
      <c r="AC197" s="141"/>
      <c r="AD197" s="141"/>
      <c r="AE197" s="141"/>
      <c r="AF197" s="141"/>
      <c r="AG197" s="141"/>
      <c r="AH197" s="141"/>
      <c r="AI197" s="141"/>
      <c r="AJ197" s="141"/>
      <c r="AK197" s="141"/>
      <c r="AL197" s="141"/>
      <c r="AM197" s="141"/>
      <c r="AN197" s="141"/>
      <c r="AO197" s="141"/>
      <c r="AP197" s="141"/>
      <c r="AQ197" s="141"/>
      <c r="AR197" s="141"/>
      <c r="AS197" s="141"/>
      <c r="AT197" s="141"/>
      <c r="AU197" s="141"/>
      <c r="AV197" s="141"/>
      <c r="AW197" s="141"/>
      <c r="AX197" s="141"/>
      <c r="AY197" s="141"/>
      <c r="AZ197" s="141"/>
      <c r="BA197" s="141"/>
      <c r="BB197" s="141"/>
      <c r="BC197" s="141"/>
      <c r="BD197" s="141"/>
      <c r="BE197" s="141"/>
      <c r="BF197" s="141"/>
      <c r="BG197" s="141"/>
      <c r="BH197" s="141"/>
      <c r="BI197" s="141"/>
      <c r="BJ197" s="141"/>
      <c r="BK197" s="141"/>
      <c r="BL197" s="141"/>
      <c r="BM197" s="141"/>
      <c r="BN197" s="141"/>
      <c r="BO197" s="141"/>
      <c r="BP197" s="141"/>
      <c r="BQ197" s="141"/>
      <c r="BR197" s="141"/>
      <c r="BS197" s="141"/>
      <c r="BT197" s="141"/>
      <c r="BU197" s="141"/>
      <c r="BV197" s="141"/>
      <c r="BW197" s="141"/>
      <c r="BX197" s="141"/>
      <c r="BY197" s="141"/>
      <c r="BZ197" s="141"/>
      <c r="CA197" s="141"/>
      <c r="CB197" s="141"/>
      <c r="CC197" s="141"/>
      <c r="CD197" s="141"/>
      <c r="CE197" s="141"/>
      <c r="CF197" s="141"/>
      <c r="CG197" s="141"/>
      <c r="CH197" s="142"/>
    </row>
    <row r="198" spans="1:86" x14ac:dyDescent="0.2">
      <c r="A198" s="105"/>
      <c r="B198" s="105"/>
      <c r="C198" s="56"/>
      <c r="D198" s="57"/>
      <c r="E198" s="58"/>
      <c r="F198" s="58"/>
      <c r="G198" s="59"/>
      <c r="H198" s="106"/>
      <c r="I198" s="107"/>
      <c r="J198" s="108"/>
      <c r="K198" s="109"/>
      <c r="L198" s="110"/>
      <c r="M198" s="111"/>
      <c r="N198" s="140"/>
      <c r="O198" s="141"/>
      <c r="P198" s="141"/>
      <c r="Q198" s="141"/>
      <c r="R198" s="141"/>
      <c r="S198" s="141"/>
      <c r="T198" s="141"/>
      <c r="U198" s="141"/>
      <c r="V198" s="141"/>
      <c r="W198" s="141"/>
      <c r="X198" s="141"/>
      <c r="Y198" s="141"/>
      <c r="Z198" s="141"/>
      <c r="AA198" s="141"/>
      <c r="AB198" s="141"/>
      <c r="AC198" s="141"/>
      <c r="AD198" s="141"/>
      <c r="AE198" s="141"/>
      <c r="AF198" s="141"/>
      <c r="AG198" s="141"/>
      <c r="AH198" s="141"/>
      <c r="AI198" s="141"/>
      <c r="AJ198" s="141"/>
      <c r="AK198" s="141"/>
      <c r="AL198" s="141"/>
      <c r="AM198" s="141"/>
      <c r="AN198" s="141"/>
      <c r="AO198" s="141"/>
      <c r="AP198" s="141"/>
      <c r="AQ198" s="141"/>
      <c r="AR198" s="141"/>
      <c r="AS198" s="141"/>
      <c r="AT198" s="141"/>
      <c r="AU198" s="141"/>
      <c r="AV198" s="141"/>
      <c r="AW198" s="141"/>
      <c r="AX198" s="141"/>
      <c r="AY198" s="141"/>
      <c r="AZ198" s="141"/>
      <c r="BA198" s="141"/>
      <c r="BB198" s="141"/>
      <c r="BC198" s="141"/>
      <c r="BD198" s="141"/>
      <c r="BE198" s="141"/>
      <c r="BF198" s="141"/>
      <c r="BG198" s="141"/>
      <c r="BH198" s="141"/>
      <c r="BI198" s="141"/>
      <c r="BJ198" s="141"/>
      <c r="BK198" s="141"/>
      <c r="BL198" s="141"/>
      <c r="BM198" s="141"/>
      <c r="BN198" s="141"/>
      <c r="BO198" s="141"/>
      <c r="BP198" s="141"/>
      <c r="BQ198" s="141"/>
      <c r="BR198" s="141"/>
      <c r="BS198" s="141"/>
      <c r="BT198" s="141"/>
      <c r="BU198" s="141"/>
      <c r="BV198" s="141"/>
      <c r="BW198" s="141"/>
      <c r="BX198" s="141"/>
      <c r="BY198" s="141"/>
      <c r="BZ198" s="141"/>
      <c r="CA198" s="141"/>
      <c r="CB198" s="141"/>
      <c r="CC198" s="141"/>
      <c r="CD198" s="141"/>
      <c r="CE198" s="141"/>
      <c r="CF198" s="141"/>
      <c r="CG198" s="141"/>
      <c r="CH198" s="142"/>
    </row>
    <row r="199" spans="1:86" x14ac:dyDescent="0.2">
      <c r="A199" s="105"/>
      <c r="B199" s="105"/>
      <c r="C199" s="56"/>
      <c r="D199" s="57"/>
      <c r="E199" s="58"/>
      <c r="F199" s="58"/>
      <c r="G199" s="59"/>
      <c r="H199" s="106"/>
      <c r="I199" s="107"/>
      <c r="J199" s="108"/>
      <c r="K199" s="109"/>
      <c r="L199" s="110"/>
      <c r="M199" s="111"/>
      <c r="N199" s="140"/>
      <c r="O199" s="141"/>
      <c r="P199" s="141"/>
      <c r="Q199" s="141"/>
      <c r="R199" s="141"/>
      <c r="S199" s="141"/>
      <c r="T199" s="141"/>
      <c r="U199" s="141"/>
      <c r="V199" s="141"/>
      <c r="W199" s="141"/>
      <c r="X199" s="141"/>
      <c r="Y199" s="141"/>
      <c r="Z199" s="141"/>
      <c r="AA199" s="141"/>
      <c r="AB199" s="141"/>
      <c r="AC199" s="141"/>
      <c r="AD199" s="141"/>
      <c r="AE199" s="141"/>
      <c r="AF199" s="141"/>
      <c r="AG199" s="141"/>
      <c r="AH199" s="141"/>
      <c r="AI199" s="141"/>
      <c r="AJ199" s="141"/>
      <c r="AK199" s="141"/>
      <c r="AL199" s="141"/>
      <c r="AM199" s="141"/>
      <c r="AN199" s="141"/>
      <c r="AO199" s="141"/>
      <c r="AP199" s="141"/>
      <c r="AQ199" s="141"/>
      <c r="AR199" s="141"/>
      <c r="AS199" s="141"/>
      <c r="AT199" s="141"/>
      <c r="AU199" s="141"/>
      <c r="AV199" s="141"/>
      <c r="AW199" s="141"/>
      <c r="AX199" s="141"/>
      <c r="AY199" s="141"/>
      <c r="AZ199" s="141"/>
      <c r="BA199" s="141"/>
      <c r="BB199" s="141"/>
      <c r="BC199" s="141"/>
      <c r="BD199" s="141"/>
      <c r="BE199" s="141"/>
      <c r="BF199" s="141"/>
      <c r="BG199" s="141"/>
      <c r="BH199" s="141"/>
      <c r="BI199" s="141"/>
      <c r="BJ199" s="141"/>
      <c r="BK199" s="141"/>
      <c r="BL199" s="141"/>
      <c r="BM199" s="141"/>
      <c r="BN199" s="141"/>
      <c r="BO199" s="141"/>
      <c r="BP199" s="141"/>
      <c r="BQ199" s="141"/>
      <c r="BR199" s="141"/>
      <c r="BS199" s="141"/>
      <c r="BT199" s="141"/>
      <c r="BU199" s="141"/>
      <c r="BV199" s="141"/>
      <c r="BW199" s="141"/>
      <c r="BX199" s="141"/>
      <c r="BY199" s="141"/>
      <c r="BZ199" s="141"/>
      <c r="CA199" s="141"/>
      <c r="CB199" s="141"/>
      <c r="CC199" s="141"/>
      <c r="CD199" s="141"/>
      <c r="CE199" s="141"/>
      <c r="CF199" s="141"/>
      <c r="CG199" s="141"/>
      <c r="CH199" s="142"/>
    </row>
    <row r="200" spans="1:86" x14ac:dyDescent="0.2">
      <c r="A200" s="105"/>
      <c r="B200" s="105"/>
      <c r="C200" s="56"/>
      <c r="D200" s="57"/>
      <c r="E200" s="58"/>
      <c r="F200" s="58"/>
      <c r="G200" s="59"/>
      <c r="H200" s="106"/>
      <c r="I200" s="107"/>
      <c r="J200" s="108"/>
      <c r="K200" s="109"/>
      <c r="L200" s="110"/>
      <c r="M200" s="111"/>
      <c r="N200" s="140"/>
      <c r="O200" s="141"/>
      <c r="P200" s="141"/>
      <c r="Q200" s="141"/>
      <c r="R200" s="141"/>
      <c r="S200" s="141"/>
      <c r="T200" s="141"/>
      <c r="U200" s="141"/>
      <c r="V200" s="141"/>
      <c r="W200" s="141"/>
      <c r="X200" s="141"/>
      <c r="Y200" s="141"/>
      <c r="Z200" s="141"/>
      <c r="AA200" s="141"/>
      <c r="AB200" s="141"/>
      <c r="AC200" s="141"/>
      <c r="AD200" s="141"/>
      <c r="AE200" s="141"/>
      <c r="AF200" s="141"/>
      <c r="AG200" s="141"/>
      <c r="AH200" s="141"/>
      <c r="AI200" s="141"/>
      <c r="AJ200" s="141"/>
      <c r="AK200" s="141"/>
      <c r="AL200" s="141"/>
      <c r="AM200" s="141"/>
      <c r="AN200" s="141"/>
      <c r="AO200" s="141"/>
      <c r="AP200" s="141"/>
      <c r="AQ200" s="141"/>
      <c r="AR200" s="141"/>
      <c r="AS200" s="141"/>
      <c r="AT200" s="141"/>
      <c r="AU200" s="141"/>
      <c r="AV200" s="141"/>
      <c r="AW200" s="141"/>
      <c r="AX200" s="141"/>
      <c r="AY200" s="141"/>
      <c r="AZ200" s="141"/>
      <c r="BA200" s="141"/>
      <c r="BB200" s="141"/>
      <c r="BC200" s="141"/>
      <c r="BD200" s="141"/>
      <c r="BE200" s="141"/>
      <c r="BF200" s="141"/>
      <c r="BG200" s="141"/>
      <c r="BH200" s="141"/>
      <c r="BI200" s="141"/>
      <c r="BJ200" s="141"/>
      <c r="BK200" s="141"/>
      <c r="BL200" s="141"/>
      <c r="BM200" s="141"/>
      <c r="BN200" s="141"/>
      <c r="BO200" s="141"/>
      <c r="BP200" s="141"/>
      <c r="BQ200" s="141"/>
      <c r="BR200" s="141"/>
      <c r="BS200" s="141"/>
      <c r="BT200" s="141"/>
      <c r="BU200" s="141"/>
      <c r="BV200" s="141"/>
      <c r="BW200" s="141"/>
      <c r="BX200" s="141"/>
      <c r="BY200" s="141"/>
      <c r="BZ200" s="141"/>
      <c r="CA200" s="141"/>
      <c r="CB200" s="141"/>
      <c r="CC200" s="141"/>
      <c r="CD200" s="141"/>
      <c r="CE200" s="141"/>
      <c r="CF200" s="141"/>
      <c r="CG200" s="141"/>
      <c r="CH200" s="142"/>
    </row>
    <row r="201" spans="1:86" x14ac:dyDescent="0.2">
      <c r="A201" s="105"/>
      <c r="B201" s="105"/>
      <c r="C201" s="56"/>
      <c r="D201" s="57"/>
      <c r="E201" s="58"/>
      <c r="F201" s="58"/>
      <c r="G201" s="59"/>
      <c r="H201" s="106"/>
      <c r="I201" s="107"/>
      <c r="J201" s="108"/>
      <c r="K201" s="109"/>
      <c r="L201" s="110"/>
      <c r="M201" s="111"/>
      <c r="N201" s="140"/>
      <c r="O201" s="141"/>
      <c r="P201" s="141"/>
      <c r="Q201" s="141"/>
      <c r="R201" s="141"/>
      <c r="S201" s="141"/>
      <c r="T201" s="141"/>
      <c r="U201" s="141"/>
      <c r="V201" s="141"/>
      <c r="W201" s="141"/>
      <c r="X201" s="141"/>
      <c r="Y201" s="141"/>
      <c r="Z201" s="141"/>
      <c r="AA201" s="141"/>
      <c r="AB201" s="141"/>
      <c r="AC201" s="141"/>
      <c r="AD201" s="141"/>
      <c r="AE201" s="141"/>
      <c r="AF201" s="141"/>
      <c r="AG201" s="141"/>
      <c r="AH201" s="141"/>
      <c r="AI201" s="141"/>
      <c r="AJ201" s="141"/>
      <c r="AK201" s="141"/>
      <c r="AL201" s="141"/>
      <c r="AM201" s="141"/>
      <c r="AN201" s="141"/>
      <c r="AO201" s="141"/>
      <c r="AP201" s="141"/>
      <c r="AQ201" s="141"/>
      <c r="AR201" s="141"/>
      <c r="AS201" s="141"/>
      <c r="AT201" s="141"/>
      <c r="AU201" s="141"/>
      <c r="AV201" s="141"/>
      <c r="AW201" s="141"/>
      <c r="AX201" s="141"/>
      <c r="AY201" s="141"/>
      <c r="AZ201" s="141"/>
      <c r="BA201" s="141"/>
      <c r="BB201" s="141"/>
      <c r="BC201" s="141"/>
      <c r="BD201" s="141"/>
      <c r="BE201" s="141"/>
      <c r="BF201" s="141"/>
      <c r="BG201" s="141"/>
      <c r="BH201" s="141"/>
      <c r="BI201" s="141"/>
      <c r="BJ201" s="141"/>
      <c r="BK201" s="141"/>
      <c r="BL201" s="141"/>
      <c r="BM201" s="141"/>
      <c r="BN201" s="141"/>
      <c r="BO201" s="141"/>
      <c r="BP201" s="141"/>
      <c r="BQ201" s="141"/>
      <c r="BR201" s="141"/>
      <c r="BS201" s="141"/>
      <c r="BT201" s="141"/>
      <c r="BU201" s="141"/>
      <c r="BV201" s="141"/>
      <c r="BW201" s="141"/>
      <c r="BX201" s="141"/>
      <c r="BY201" s="141"/>
      <c r="BZ201" s="141"/>
      <c r="CA201" s="141"/>
      <c r="CB201" s="141"/>
      <c r="CC201" s="141"/>
      <c r="CD201" s="141"/>
      <c r="CE201" s="141"/>
      <c r="CF201" s="141"/>
      <c r="CG201" s="141"/>
      <c r="CH201" s="142"/>
    </row>
    <row r="202" spans="1:86" x14ac:dyDescent="0.2">
      <c r="A202" s="105"/>
      <c r="B202" s="105"/>
      <c r="C202" s="56"/>
      <c r="D202" s="57"/>
      <c r="E202" s="58"/>
      <c r="F202" s="58"/>
      <c r="G202" s="59"/>
      <c r="H202" s="106"/>
      <c r="I202" s="107"/>
      <c r="J202" s="108"/>
      <c r="K202" s="109"/>
      <c r="L202" s="110"/>
      <c r="M202" s="111"/>
      <c r="N202" s="140"/>
      <c r="O202" s="141"/>
      <c r="P202" s="141"/>
      <c r="Q202" s="141"/>
      <c r="R202" s="141"/>
      <c r="S202" s="141"/>
      <c r="T202" s="141"/>
      <c r="U202" s="141"/>
      <c r="V202" s="141"/>
      <c r="W202" s="141"/>
      <c r="X202" s="141"/>
      <c r="Y202" s="141"/>
      <c r="Z202" s="141"/>
      <c r="AA202" s="141"/>
      <c r="AB202" s="141"/>
      <c r="AC202" s="141"/>
      <c r="AD202" s="141"/>
      <c r="AE202" s="141"/>
      <c r="AF202" s="141"/>
      <c r="AG202" s="141"/>
      <c r="AH202" s="141"/>
      <c r="AI202" s="141"/>
      <c r="AJ202" s="141"/>
      <c r="AK202" s="141"/>
      <c r="AL202" s="141"/>
      <c r="AM202" s="141"/>
      <c r="AN202" s="141"/>
      <c r="AO202" s="141"/>
      <c r="AP202" s="141"/>
      <c r="AQ202" s="141"/>
      <c r="AR202" s="141"/>
      <c r="AS202" s="141"/>
      <c r="AT202" s="141"/>
      <c r="AU202" s="141"/>
      <c r="AV202" s="141"/>
      <c r="AW202" s="141"/>
      <c r="AX202" s="141"/>
      <c r="AY202" s="141"/>
      <c r="AZ202" s="141"/>
      <c r="BA202" s="141"/>
      <c r="BB202" s="141"/>
      <c r="BC202" s="141"/>
      <c r="BD202" s="141"/>
      <c r="BE202" s="141"/>
      <c r="BF202" s="141"/>
      <c r="BG202" s="141"/>
      <c r="BH202" s="141"/>
      <c r="BI202" s="141"/>
      <c r="BJ202" s="141"/>
      <c r="BK202" s="141"/>
      <c r="BL202" s="141"/>
      <c r="BM202" s="141"/>
      <c r="BN202" s="141"/>
      <c r="BO202" s="141"/>
      <c r="BP202" s="141"/>
      <c r="BQ202" s="141"/>
      <c r="BR202" s="141"/>
      <c r="BS202" s="141"/>
      <c r="BT202" s="141"/>
      <c r="BU202" s="141"/>
      <c r="BV202" s="141"/>
      <c r="BW202" s="141"/>
      <c r="BX202" s="141"/>
      <c r="BY202" s="141"/>
      <c r="BZ202" s="141"/>
      <c r="CA202" s="141"/>
      <c r="CB202" s="141"/>
      <c r="CC202" s="141"/>
      <c r="CD202" s="141"/>
      <c r="CE202" s="141"/>
      <c r="CF202" s="141"/>
      <c r="CG202" s="141"/>
      <c r="CH202" s="142"/>
    </row>
    <row r="203" spans="1:86" x14ac:dyDescent="0.2">
      <c r="A203" s="105"/>
      <c r="B203" s="105"/>
      <c r="C203" s="56"/>
      <c r="D203" s="57"/>
      <c r="E203" s="58"/>
      <c r="F203" s="58"/>
      <c r="G203" s="59"/>
      <c r="H203" s="106"/>
      <c r="I203" s="107"/>
      <c r="J203" s="108"/>
      <c r="K203" s="109"/>
      <c r="L203" s="110"/>
      <c r="M203" s="111"/>
      <c r="N203" s="140"/>
      <c r="O203" s="141"/>
      <c r="P203" s="141"/>
      <c r="Q203" s="141"/>
      <c r="R203" s="141"/>
      <c r="S203" s="141"/>
      <c r="T203" s="141"/>
      <c r="U203" s="141"/>
      <c r="V203" s="141"/>
      <c r="W203" s="141"/>
      <c r="X203" s="141"/>
      <c r="Y203" s="141"/>
      <c r="Z203" s="141"/>
      <c r="AA203" s="141"/>
      <c r="AB203" s="141"/>
      <c r="AC203" s="141"/>
      <c r="AD203" s="141"/>
      <c r="AE203" s="141"/>
      <c r="AF203" s="141"/>
      <c r="AG203" s="141"/>
      <c r="AH203" s="141"/>
      <c r="AI203" s="141"/>
      <c r="AJ203" s="141"/>
      <c r="AK203" s="141"/>
      <c r="AL203" s="141"/>
      <c r="AM203" s="141"/>
      <c r="AN203" s="141"/>
      <c r="AO203" s="141"/>
      <c r="AP203" s="141"/>
      <c r="AQ203" s="141"/>
      <c r="AR203" s="141"/>
      <c r="AS203" s="141"/>
      <c r="AT203" s="141"/>
      <c r="AU203" s="141"/>
      <c r="AV203" s="141"/>
      <c r="AW203" s="141"/>
      <c r="AX203" s="141"/>
      <c r="AY203" s="141"/>
      <c r="AZ203" s="141"/>
      <c r="BA203" s="141"/>
      <c r="BB203" s="141"/>
      <c r="BC203" s="141"/>
      <c r="BD203" s="141"/>
      <c r="BE203" s="141"/>
      <c r="BF203" s="141"/>
      <c r="BG203" s="141"/>
      <c r="BH203" s="141"/>
      <c r="BI203" s="141"/>
      <c r="BJ203" s="141"/>
      <c r="BK203" s="141"/>
      <c r="BL203" s="141"/>
      <c r="BM203" s="141"/>
      <c r="BN203" s="141"/>
      <c r="BO203" s="141"/>
      <c r="BP203" s="141"/>
      <c r="BQ203" s="141"/>
      <c r="BR203" s="141"/>
      <c r="BS203" s="141"/>
      <c r="BT203" s="141"/>
      <c r="BU203" s="141"/>
      <c r="BV203" s="141"/>
      <c r="BW203" s="141"/>
      <c r="BX203" s="141"/>
      <c r="BY203" s="141"/>
      <c r="BZ203" s="141"/>
      <c r="CA203" s="141"/>
      <c r="CB203" s="141"/>
      <c r="CC203" s="141"/>
      <c r="CD203" s="141"/>
      <c r="CE203" s="141"/>
      <c r="CF203" s="141"/>
      <c r="CG203" s="141"/>
      <c r="CH203" s="142"/>
    </row>
    <row r="204" spans="1:86" x14ac:dyDescent="0.2">
      <c r="A204" s="105"/>
      <c r="B204" s="105"/>
      <c r="C204" s="56"/>
      <c r="D204" s="57"/>
      <c r="E204" s="58"/>
      <c r="F204" s="58"/>
      <c r="G204" s="59"/>
      <c r="H204" s="106"/>
      <c r="I204" s="107"/>
      <c r="J204" s="108"/>
      <c r="K204" s="109"/>
      <c r="L204" s="110"/>
      <c r="M204" s="111"/>
      <c r="N204" s="140"/>
      <c r="O204" s="141"/>
      <c r="P204" s="141"/>
      <c r="Q204" s="141"/>
      <c r="R204" s="141"/>
      <c r="S204" s="141"/>
      <c r="T204" s="141"/>
      <c r="U204" s="141"/>
      <c r="V204" s="141"/>
      <c r="W204" s="141"/>
      <c r="X204" s="141"/>
      <c r="Y204" s="141"/>
      <c r="Z204" s="141"/>
      <c r="AA204" s="141"/>
      <c r="AB204" s="141"/>
      <c r="AC204" s="141"/>
      <c r="AD204" s="141"/>
      <c r="AE204" s="141"/>
      <c r="AF204" s="141"/>
      <c r="AG204" s="141"/>
      <c r="AH204" s="141"/>
      <c r="AI204" s="141"/>
      <c r="AJ204" s="141"/>
      <c r="AK204" s="141"/>
      <c r="AL204" s="141"/>
      <c r="AM204" s="141"/>
      <c r="AN204" s="141"/>
      <c r="AO204" s="141"/>
      <c r="AP204" s="141"/>
      <c r="AQ204" s="141"/>
      <c r="AR204" s="141"/>
      <c r="AS204" s="141"/>
      <c r="AT204" s="141"/>
      <c r="AU204" s="141"/>
      <c r="AV204" s="141"/>
      <c r="AW204" s="141"/>
      <c r="AX204" s="141"/>
      <c r="AY204" s="141"/>
      <c r="AZ204" s="141"/>
      <c r="BA204" s="141"/>
      <c r="BB204" s="141"/>
      <c r="BC204" s="141"/>
      <c r="BD204" s="141"/>
      <c r="BE204" s="141"/>
      <c r="BF204" s="141"/>
      <c r="BG204" s="141"/>
      <c r="BH204" s="141"/>
      <c r="BI204" s="141"/>
      <c r="BJ204" s="141"/>
      <c r="BK204" s="141"/>
      <c r="BL204" s="141"/>
      <c r="BM204" s="141"/>
      <c r="BN204" s="141"/>
      <c r="BO204" s="141"/>
      <c r="BP204" s="141"/>
      <c r="BQ204" s="141"/>
      <c r="BR204" s="141"/>
      <c r="BS204" s="141"/>
      <c r="BT204" s="141"/>
      <c r="BU204" s="141"/>
      <c r="BV204" s="141"/>
      <c r="BW204" s="141"/>
      <c r="BX204" s="141"/>
      <c r="BY204" s="141"/>
      <c r="BZ204" s="141"/>
      <c r="CA204" s="141"/>
      <c r="CB204" s="141"/>
      <c r="CC204" s="141"/>
      <c r="CD204" s="141"/>
      <c r="CE204" s="141"/>
      <c r="CF204" s="141"/>
      <c r="CG204" s="141"/>
      <c r="CH204" s="142"/>
    </row>
    <row r="205" spans="1:86" x14ac:dyDescent="0.2">
      <c r="A205" s="105"/>
      <c r="B205" s="105"/>
      <c r="C205" s="56"/>
      <c r="D205" s="57"/>
      <c r="E205" s="58"/>
      <c r="F205" s="58"/>
      <c r="G205" s="59"/>
      <c r="H205" s="106"/>
      <c r="I205" s="107"/>
      <c r="J205" s="108"/>
      <c r="K205" s="109"/>
      <c r="L205" s="110"/>
      <c r="M205" s="111"/>
      <c r="N205" s="140"/>
      <c r="O205" s="141"/>
      <c r="P205" s="141"/>
      <c r="Q205" s="141"/>
      <c r="R205" s="141"/>
      <c r="S205" s="141"/>
      <c r="T205" s="141"/>
      <c r="U205" s="141"/>
      <c r="V205" s="141"/>
      <c r="W205" s="141"/>
      <c r="X205" s="141"/>
      <c r="Y205" s="141"/>
      <c r="Z205" s="141"/>
      <c r="AA205" s="141"/>
      <c r="AB205" s="141"/>
      <c r="AC205" s="141"/>
      <c r="AD205" s="141"/>
      <c r="AE205" s="141"/>
      <c r="AF205" s="141"/>
      <c r="AG205" s="141"/>
      <c r="AH205" s="141"/>
      <c r="AI205" s="141"/>
      <c r="AJ205" s="141"/>
      <c r="AK205" s="141"/>
      <c r="AL205" s="141"/>
      <c r="AM205" s="141"/>
      <c r="AN205" s="141"/>
      <c r="AO205" s="141"/>
      <c r="AP205" s="141"/>
      <c r="AQ205" s="141"/>
      <c r="AR205" s="141"/>
      <c r="AS205" s="141"/>
      <c r="AT205" s="141"/>
      <c r="AU205" s="141"/>
      <c r="AV205" s="141"/>
      <c r="AW205" s="141"/>
      <c r="AX205" s="141"/>
      <c r="AY205" s="141"/>
      <c r="AZ205" s="141"/>
      <c r="BA205" s="141"/>
      <c r="BB205" s="141"/>
      <c r="BC205" s="141"/>
      <c r="BD205" s="141"/>
      <c r="BE205" s="141"/>
      <c r="BF205" s="141"/>
      <c r="BG205" s="141"/>
      <c r="BH205" s="141"/>
      <c r="BI205" s="141"/>
      <c r="BJ205" s="141"/>
      <c r="BK205" s="141"/>
      <c r="BL205" s="141"/>
      <c r="BM205" s="141"/>
      <c r="BN205" s="141"/>
      <c r="BO205" s="141"/>
      <c r="BP205" s="141"/>
      <c r="BQ205" s="141"/>
      <c r="BR205" s="141"/>
      <c r="BS205" s="141"/>
      <c r="BT205" s="141"/>
      <c r="BU205" s="141"/>
      <c r="BV205" s="141"/>
      <c r="BW205" s="141"/>
      <c r="BX205" s="141"/>
      <c r="BY205" s="141"/>
      <c r="BZ205" s="141"/>
      <c r="CA205" s="141"/>
      <c r="CB205" s="141"/>
      <c r="CC205" s="141"/>
      <c r="CD205" s="141"/>
      <c r="CE205" s="141"/>
      <c r="CF205" s="141"/>
      <c r="CG205" s="141"/>
      <c r="CH205" s="142"/>
    </row>
    <row r="206" spans="1:86" x14ac:dyDescent="0.2">
      <c r="A206" s="105"/>
      <c r="B206" s="105"/>
      <c r="C206" s="56"/>
      <c r="D206" s="57"/>
      <c r="E206" s="58"/>
      <c r="F206" s="58"/>
      <c r="G206" s="59"/>
      <c r="H206" s="106"/>
      <c r="I206" s="107"/>
      <c r="J206" s="108"/>
      <c r="K206" s="109"/>
      <c r="L206" s="110"/>
      <c r="M206" s="111"/>
      <c r="N206" s="140"/>
      <c r="O206" s="141"/>
      <c r="P206" s="141"/>
      <c r="Q206" s="141"/>
      <c r="R206" s="141"/>
      <c r="S206" s="141"/>
      <c r="T206" s="141"/>
      <c r="U206" s="141"/>
      <c r="V206" s="141"/>
      <c r="W206" s="141"/>
      <c r="X206" s="141"/>
      <c r="Y206" s="141"/>
      <c r="Z206" s="141"/>
      <c r="AA206" s="141"/>
      <c r="AB206" s="141"/>
      <c r="AC206" s="141"/>
      <c r="AD206" s="141"/>
      <c r="AE206" s="141"/>
      <c r="AF206" s="141"/>
      <c r="AG206" s="141"/>
      <c r="AH206" s="141"/>
      <c r="AI206" s="141"/>
      <c r="AJ206" s="141"/>
      <c r="AK206" s="141"/>
      <c r="AL206" s="141"/>
      <c r="AM206" s="141"/>
      <c r="AN206" s="141"/>
      <c r="AO206" s="141"/>
      <c r="AP206" s="141"/>
      <c r="AQ206" s="141"/>
      <c r="AR206" s="141"/>
      <c r="AS206" s="141"/>
      <c r="AT206" s="141"/>
      <c r="AU206" s="141"/>
      <c r="AV206" s="141"/>
      <c r="AW206" s="141"/>
      <c r="AX206" s="141"/>
      <c r="AY206" s="141"/>
      <c r="AZ206" s="141"/>
      <c r="BA206" s="141"/>
      <c r="BB206" s="141"/>
      <c r="BC206" s="141"/>
      <c r="BD206" s="141"/>
      <c r="BE206" s="141"/>
      <c r="BF206" s="141"/>
      <c r="BG206" s="141"/>
      <c r="BH206" s="141"/>
      <c r="BI206" s="141"/>
      <c r="BJ206" s="141"/>
      <c r="BK206" s="141"/>
      <c r="BL206" s="141"/>
      <c r="BM206" s="141"/>
      <c r="BN206" s="141"/>
      <c r="BO206" s="141"/>
      <c r="BP206" s="141"/>
      <c r="BQ206" s="141"/>
      <c r="BR206" s="141"/>
      <c r="BS206" s="141"/>
      <c r="BT206" s="141"/>
      <c r="BU206" s="141"/>
      <c r="BV206" s="141"/>
      <c r="BW206" s="141"/>
      <c r="BX206" s="141"/>
      <c r="BY206" s="141"/>
      <c r="BZ206" s="141"/>
      <c r="CA206" s="141"/>
      <c r="CB206" s="141"/>
      <c r="CC206" s="141"/>
      <c r="CD206" s="141"/>
      <c r="CE206" s="141"/>
      <c r="CF206" s="141"/>
      <c r="CG206" s="141"/>
      <c r="CH206" s="142"/>
    </row>
    <row r="207" spans="1:86" x14ac:dyDescent="0.2">
      <c r="A207" s="105"/>
      <c r="B207" s="105"/>
      <c r="C207" s="56"/>
      <c r="D207" s="57"/>
      <c r="E207" s="58"/>
      <c r="F207" s="58"/>
      <c r="G207" s="59"/>
      <c r="H207" s="106"/>
      <c r="I207" s="107"/>
      <c r="J207" s="108"/>
      <c r="K207" s="109"/>
      <c r="L207" s="110"/>
      <c r="M207" s="111"/>
      <c r="N207" s="140"/>
      <c r="O207" s="141"/>
      <c r="P207" s="141"/>
      <c r="Q207" s="141"/>
      <c r="R207" s="141"/>
      <c r="S207" s="141"/>
      <c r="T207" s="141"/>
      <c r="U207" s="141"/>
      <c r="V207" s="141"/>
      <c r="W207" s="141"/>
      <c r="X207" s="141"/>
      <c r="Y207" s="141"/>
      <c r="Z207" s="141"/>
      <c r="AA207" s="141"/>
      <c r="AB207" s="141"/>
      <c r="AC207" s="141"/>
      <c r="AD207" s="141"/>
      <c r="AE207" s="141"/>
      <c r="AF207" s="141"/>
      <c r="AG207" s="141"/>
      <c r="AH207" s="141"/>
      <c r="AI207" s="141"/>
      <c r="AJ207" s="141"/>
      <c r="AK207" s="141"/>
      <c r="AL207" s="141"/>
      <c r="AM207" s="141"/>
      <c r="AN207" s="141"/>
      <c r="AO207" s="141"/>
      <c r="AP207" s="141"/>
      <c r="AQ207" s="141"/>
      <c r="AR207" s="141"/>
      <c r="AS207" s="141"/>
      <c r="AT207" s="141"/>
      <c r="AU207" s="141"/>
      <c r="AV207" s="141"/>
      <c r="AW207" s="141"/>
      <c r="AX207" s="141"/>
      <c r="AY207" s="141"/>
      <c r="AZ207" s="141"/>
      <c r="BA207" s="141"/>
      <c r="BB207" s="141"/>
      <c r="BC207" s="141"/>
      <c r="BD207" s="141"/>
      <c r="BE207" s="141"/>
      <c r="BF207" s="141"/>
      <c r="BG207" s="141"/>
      <c r="BH207" s="141"/>
      <c r="BI207" s="141"/>
      <c r="BJ207" s="141"/>
      <c r="BK207" s="141"/>
      <c r="BL207" s="141"/>
      <c r="BM207" s="141"/>
      <c r="BN207" s="141"/>
      <c r="BO207" s="141"/>
      <c r="BP207" s="141"/>
      <c r="BQ207" s="141"/>
      <c r="BR207" s="141"/>
      <c r="BS207" s="141"/>
      <c r="BT207" s="141"/>
      <c r="BU207" s="141"/>
      <c r="BV207" s="141"/>
      <c r="BW207" s="141"/>
      <c r="BX207" s="141"/>
      <c r="BY207" s="141"/>
      <c r="BZ207" s="141"/>
      <c r="CA207" s="141"/>
      <c r="CB207" s="141"/>
      <c r="CC207" s="141"/>
      <c r="CD207" s="141"/>
      <c r="CE207" s="141"/>
      <c r="CF207" s="141"/>
      <c r="CG207" s="141"/>
      <c r="CH207" s="142"/>
    </row>
    <row r="208" spans="1:86" x14ac:dyDescent="0.2">
      <c r="A208" s="105"/>
      <c r="B208" s="105"/>
      <c r="C208" s="56"/>
      <c r="D208" s="57"/>
      <c r="E208" s="58"/>
      <c r="F208" s="58"/>
      <c r="G208" s="59"/>
      <c r="H208" s="106"/>
      <c r="I208" s="107"/>
      <c r="J208" s="108"/>
      <c r="K208" s="109"/>
      <c r="L208" s="110"/>
      <c r="M208" s="111"/>
      <c r="N208" s="140"/>
      <c r="O208" s="141"/>
      <c r="P208" s="141"/>
      <c r="Q208" s="141"/>
      <c r="R208" s="141"/>
      <c r="S208" s="141"/>
      <c r="T208" s="141"/>
      <c r="U208" s="141"/>
      <c r="V208" s="141"/>
      <c r="W208" s="141"/>
      <c r="X208" s="141"/>
      <c r="Y208" s="141"/>
      <c r="Z208" s="141"/>
      <c r="AA208" s="141"/>
      <c r="AB208" s="141"/>
      <c r="AC208" s="141"/>
      <c r="AD208" s="141"/>
      <c r="AE208" s="141"/>
      <c r="AF208" s="141"/>
      <c r="AG208" s="141"/>
      <c r="AH208" s="141"/>
      <c r="AI208" s="141"/>
      <c r="AJ208" s="141"/>
      <c r="AK208" s="141"/>
      <c r="AL208" s="141"/>
      <c r="AM208" s="141"/>
      <c r="AN208" s="141"/>
      <c r="AO208" s="141"/>
      <c r="AP208" s="141"/>
      <c r="AQ208" s="141"/>
      <c r="AR208" s="141"/>
      <c r="AS208" s="141"/>
      <c r="AT208" s="141"/>
      <c r="AU208" s="141"/>
      <c r="AV208" s="141"/>
      <c r="AW208" s="141"/>
      <c r="AX208" s="141"/>
      <c r="AY208" s="141"/>
      <c r="AZ208" s="141"/>
      <c r="BA208" s="141"/>
      <c r="BB208" s="141"/>
      <c r="BC208" s="141"/>
      <c r="BD208" s="141"/>
      <c r="BE208" s="141"/>
      <c r="BF208" s="141"/>
      <c r="BG208" s="141"/>
      <c r="BH208" s="141"/>
      <c r="BI208" s="141"/>
      <c r="BJ208" s="141"/>
      <c r="BK208" s="141"/>
      <c r="BL208" s="141"/>
      <c r="BM208" s="141"/>
      <c r="BN208" s="141"/>
      <c r="BO208" s="141"/>
      <c r="BP208" s="141"/>
      <c r="BQ208" s="141"/>
      <c r="BR208" s="141"/>
      <c r="BS208" s="141"/>
      <c r="BT208" s="141"/>
      <c r="BU208" s="141"/>
      <c r="BV208" s="141"/>
      <c r="BW208" s="141"/>
      <c r="BX208" s="141"/>
      <c r="BY208" s="141"/>
      <c r="BZ208" s="141"/>
      <c r="CA208" s="141"/>
      <c r="CB208" s="141"/>
      <c r="CC208" s="141"/>
      <c r="CD208" s="141"/>
      <c r="CE208" s="141"/>
      <c r="CF208" s="141"/>
      <c r="CG208" s="141"/>
      <c r="CH208" s="142"/>
    </row>
    <row r="209" spans="1:86" x14ac:dyDescent="0.2">
      <c r="A209" s="105"/>
      <c r="B209" s="105"/>
      <c r="C209" s="56"/>
      <c r="D209" s="57"/>
      <c r="E209" s="58"/>
      <c r="F209" s="58"/>
      <c r="G209" s="59"/>
      <c r="H209" s="106"/>
      <c r="I209" s="107"/>
      <c r="J209" s="108"/>
      <c r="K209" s="109"/>
      <c r="L209" s="110"/>
      <c r="M209" s="111"/>
      <c r="N209" s="140"/>
      <c r="O209" s="141"/>
      <c r="P209" s="141"/>
      <c r="Q209" s="141"/>
      <c r="R209" s="141"/>
      <c r="S209" s="141"/>
      <c r="T209" s="141"/>
      <c r="U209" s="141"/>
      <c r="V209" s="141"/>
      <c r="W209" s="141"/>
      <c r="X209" s="141"/>
      <c r="Y209" s="141"/>
      <c r="Z209" s="141"/>
      <c r="AA209" s="141"/>
      <c r="AB209" s="141"/>
      <c r="AC209" s="141"/>
      <c r="AD209" s="141"/>
      <c r="AE209" s="141"/>
      <c r="AF209" s="141"/>
      <c r="AG209" s="141"/>
      <c r="AH209" s="141"/>
      <c r="AI209" s="141"/>
      <c r="AJ209" s="141"/>
      <c r="AK209" s="141"/>
      <c r="AL209" s="141"/>
      <c r="AM209" s="141"/>
      <c r="AN209" s="141"/>
      <c r="AO209" s="141"/>
      <c r="AP209" s="141"/>
      <c r="AQ209" s="141"/>
      <c r="AR209" s="141"/>
      <c r="AS209" s="141"/>
      <c r="AT209" s="141"/>
      <c r="AU209" s="141"/>
      <c r="AV209" s="141"/>
      <c r="AW209" s="141"/>
      <c r="AX209" s="141"/>
      <c r="AY209" s="141"/>
      <c r="AZ209" s="141"/>
      <c r="BA209" s="141"/>
      <c r="BB209" s="141"/>
      <c r="BC209" s="141"/>
      <c r="BD209" s="141"/>
      <c r="BE209" s="141"/>
      <c r="BF209" s="141"/>
      <c r="BG209" s="141"/>
      <c r="BH209" s="141"/>
      <c r="BI209" s="141"/>
      <c r="BJ209" s="141"/>
      <c r="BK209" s="141"/>
      <c r="BL209" s="141"/>
      <c r="BM209" s="141"/>
      <c r="BN209" s="141"/>
      <c r="BO209" s="141"/>
      <c r="BP209" s="141"/>
      <c r="BQ209" s="141"/>
      <c r="BR209" s="141"/>
      <c r="BS209" s="141"/>
      <c r="BT209" s="141"/>
      <c r="BU209" s="141"/>
      <c r="BV209" s="141"/>
      <c r="BW209" s="141"/>
      <c r="BX209" s="141"/>
      <c r="BY209" s="141"/>
      <c r="BZ209" s="141"/>
      <c r="CA209" s="141"/>
      <c r="CB209" s="141"/>
      <c r="CC209" s="141"/>
      <c r="CD209" s="141"/>
      <c r="CE209" s="141"/>
      <c r="CF209" s="141"/>
      <c r="CG209" s="141"/>
      <c r="CH209" s="142"/>
    </row>
    <row r="210" spans="1:86" x14ac:dyDescent="0.2">
      <c r="A210" s="105"/>
      <c r="B210" s="105"/>
      <c r="C210" s="56"/>
      <c r="D210" s="57"/>
      <c r="E210" s="58"/>
      <c r="F210" s="58"/>
      <c r="G210" s="59"/>
      <c r="H210" s="106"/>
      <c r="I210" s="107"/>
      <c r="J210" s="108"/>
      <c r="K210" s="109"/>
      <c r="L210" s="110"/>
      <c r="M210" s="111"/>
      <c r="N210" s="140"/>
      <c r="O210" s="141"/>
      <c r="P210" s="141"/>
      <c r="Q210" s="141"/>
      <c r="R210" s="141"/>
      <c r="S210" s="141"/>
      <c r="T210" s="141"/>
      <c r="U210" s="141"/>
      <c r="V210" s="141"/>
      <c r="W210" s="141"/>
      <c r="X210" s="141"/>
      <c r="Y210" s="141"/>
      <c r="Z210" s="141"/>
      <c r="AA210" s="141"/>
      <c r="AB210" s="141"/>
      <c r="AC210" s="141"/>
      <c r="AD210" s="141"/>
      <c r="AE210" s="141"/>
      <c r="AF210" s="141"/>
      <c r="AG210" s="141"/>
      <c r="AH210" s="141"/>
      <c r="AI210" s="141"/>
      <c r="AJ210" s="141"/>
      <c r="AK210" s="141"/>
      <c r="AL210" s="141"/>
      <c r="AM210" s="141"/>
      <c r="AN210" s="141"/>
      <c r="AO210" s="141"/>
      <c r="AP210" s="141"/>
      <c r="AQ210" s="141"/>
      <c r="AR210" s="141"/>
      <c r="AS210" s="141"/>
      <c r="AT210" s="141"/>
      <c r="AU210" s="141"/>
      <c r="AV210" s="141"/>
      <c r="AW210" s="141"/>
      <c r="AX210" s="141"/>
      <c r="AY210" s="141"/>
      <c r="AZ210" s="141"/>
      <c r="BA210" s="141"/>
      <c r="BB210" s="141"/>
      <c r="BC210" s="141"/>
      <c r="BD210" s="141"/>
      <c r="BE210" s="141"/>
      <c r="BF210" s="141"/>
      <c r="BG210" s="141"/>
      <c r="BH210" s="141"/>
      <c r="BI210" s="141"/>
      <c r="BJ210" s="141"/>
      <c r="BK210" s="141"/>
      <c r="BL210" s="141"/>
      <c r="BM210" s="141"/>
      <c r="BN210" s="141"/>
      <c r="BO210" s="141"/>
      <c r="BP210" s="141"/>
      <c r="BQ210" s="141"/>
      <c r="BR210" s="141"/>
      <c r="BS210" s="141"/>
      <c r="BT210" s="141"/>
      <c r="BU210" s="141"/>
      <c r="BV210" s="141"/>
      <c r="BW210" s="141"/>
      <c r="BX210" s="141"/>
      <c r="BY210" s="141"/>
      <c r="BZ210" s="141"/>
      <c r="CA210" s="141"/>
      <c r="CB210" s="141"/>
      <c r="CC210" s="141"/>
      <c r="CD210" s="141"/>
      <c r="CE210" s="141"/>
      <c r="CF210" s="141"/>
      <c r="CG210" s="141"/>
      <c r="CH210" s="142"/>
    </row>
    <row r="211" spans="1:86" x14ac:dyDescent="0.2">
      <c r="A211" s="105"/>
      <c r="B211" s="105"/>
      <c r="C211" s="56"/>
      <c r="D211" s="57"/>
      <c r="E211" s="58"/>
      <c r="F211" s="58"/>
      <c r="G211" s="59"/>
      <c r="H211" s="106"/>
      <c r="I211" s="107"/>
      <c r="J211" s="108"/>
      <c r="K211" s="109"/>
      <c r="L211" s="110"/>
      <c r="M211" s="111"/>
      <c r="N211" s="140"/>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41"/>
      <c r="AJ211" s="141"/>
      <c r="AK211" s="141"/>
      <c r="AL211" s="141"/>
      <c r="AM211" s="141"/>
      <c r="AN211" s="141"/>
      <c r="AO211" s="141"/>
      <c r="AP211" s="141"/>
      <c r="AQ211" s="141"/>
      <c r="AR211" s="141"/>
      <c r="AS211" s="141"/>
      <c r="AT211" s="141"/>
      <c r="AU211" s="141"/>
      <c r="AV211" s="141"/>
      <c r="AW211" s="141"/>
      <c r="AX211" s="141"/>
      <c r="AY211" s="141"/>
      <c r="AZ211" s="141"/>
      <c r="BA211" s="141"/>
      <c r="BB211" s="141"/>
      <c r="BC211" s="141"/>
      <c r="BD211" s="141"/>
      <c r="BE211" s="141"/>
      <c r="BF211" s="141"/>
      <c r="BG211" s="141"/>
      <c r="BH211" s="141"/>
      <c r="BI211" s="141"/>
      <c r="BJ211" s="141"/>
      <c r="BK211" s="141"/>
      <c r="BL211" s="141"/>
      <c r="BM211" s="141"/>
      <c r="BN211" s="141"/>
      <c r="BO211" s="141"/>
      <c r="BP211" s="141"/>
      <c r="BQ211" s="141"/>
      <c r="BR211" s="141"/>
      <c r="BS211" s="141"/>
      <c r="BT211" s="141"/>
      <c r="BU211" s="141"/>
      <c r="BV211" s="141"/>
      <c r="BW211" s="141"/>
      <c r="BX211" s="141"/>
      <c r="BY211" s="141"/>
      <c r="BZ211" s="141"/>
      <c r="CA211" s="141"/>
      <c r="CB211" s="141"/>
      <c r="CC211" s="141"/>
      <c r="CD211" s="141"/>
      <c r="CE211" s="141"/>
      <c r="CF211" s="141"/>
      <c r="CG211" s="141"/>
      <c r="CH211" s="142"/>
    </row>
    <row r="212" spans="1:86" x14ac:dyDescent="0.2">
      <c r="A212" s="105"/>
      <c r="B212" s="105"/>
      <c r="C212" s="56"/>
      <c r="D212" s="57"/>
      <c r="E212" s="58"/>
      <c r="F212" s="58"/>
      <c r="G212" s="59"/>
      <c r="H212" s="106"/>
      <c r="I212" s="107"/>
      <c r="J212" s="108"/>
      <c r="K212" s="109"/>
      <c r="L212" s="110"/>
      <c r="M212" s="111"/>
      <c r="N212" s="140"/>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41"/>
      <c r="AJ212" s="141"/>
      <c r="AK212" s="141"/>
      <c r="AL212" s="141"/>
      <c r="AM212" s="141"/>
      <c r="AN212" s="141"/>
      <c r="AO212" s="141"/>
      <c r="AP212" s="141"/>
      <c r="AQ212" s="141"/>
      <c r="AR212" s="141"/>
      <c r="AS212" s="141"/>
      <c r="AT212" s="141"/>
      <c r="AU212" s="141"/>
      <c r="AV212" s="141"/>
      <c r="AW212" s="141"/>
      <c r="AX212" s="141"/>
      <c r="AY212" s="141"/>
      <c r="AZ212" s="141"/>
      <c r="BA212" s="141"/>
      <c r="BB212" s="141"/>
      <c r="BC212" s="141"/>
      <c r="BD212" s="141"/>
      <c r="BE212" s="141"/>
      <c r="BF212" s="141"/>
      <c r="BG212" s="141"/>
      <c r="BH212" s="141"/>
      <c r="BI212" s="141"/>
      <c r="BJ212" s="141"/>
      <c r="BK212" s="141"/>
      <c r="BL212" s="141"/>
      <c r="BM212" s="141"/>
      <c r="BN212" s="141"/>
      <c r="BO212" s="141"/>
      <c r="BP212" s="141"/>
      <c r="BQ212" s="141"/>
      <c r="BR212" s="141"/>
      <c r="BS212" s="141"/>
      <c r="BT212" s="141"/>
      <c r="BU212" s="141"/>
      <c r="BV212" s="141"/>
      <c r="BW212" s="141"/>
      <c r="BX212" s="141"/>
      <c r="BY212" s="141"/>
      <c r="BZ212" s="141"/>
      <c r="CA212" s="141"/>
      <c r="CB212" s="141"/>
      <c r="CC212" s="141"/>
      <c r="CD212" s="141"/>
      <c r="CE212" s="141"/>
      <c r="CF212" s="141"/>
      <c r="CG212" s="141"/>
      <c r="CH212" s="142"/>
    </row>
    <row r="213" spans="1:86" x14ac:dyDescent="0.2">
      <c r="A213" s="105"/>
      <c r="B213" s="105"/>
      <c r="C213" s="56"/>
      <c r="D213" s="57"/>
      <c r="E213" s="58"/>
      <c r="F213" s="58"/>
      <c r="G213" s="59"/>
      <c r="H213" s="106"/>
      <c r="I213" s="107"/>
      <c r="J213" s="108"/>
      <c r="K213" s="109"/>
      <c r="L213" s="110"/>
      <c r="M213" s="111"/>
      <c r="N213" s="140"/>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141"/>
      <c r="AK213" s="141"/>
      <c r="AL213" s="141"/>
      <c r="AM213" s="141"/>
      <c r="AN213" s="141"/>
      <c r="AO213" s="141"/>
      <c r="AP213" s="141"/>
      <c r="AQ213" s="141"/>
      <c r="AR213" s="141"/>
      <c r="AS213" s="141"/>
      <c r="AT213" s="141"/>
      <c r="AU213" s="141"/>
      <c r="AV213" s="141"/>
      <c r="AW213" s="141"/>
      <c r="AX213" s="141"/>
      <c r="AY213" s="141"/>
      <c r="AZ213" s="141"/>
      <c r="BA213" s="141"/>
      <c r="BB213" s="141"/>
      <c r="BC213" s="141"/>
      <c r="BD213" s="141"/>
      <c r="BE213" s="141"/>
      <c r="BF213" s="141"/>
      <c r="BG213" s="141"/>
      <c r="BH213" s="141"/>
      <c r="BI213" s="141"/>
      <c r="BJ213" s="141"/>
      <c r="BK213" s="141"/>
      <c r="BL213" s="141"/>
      <c r="BM213" s="141"/>
      <c r="BN213" s="141"/>
      <c r="BO213" s="141"/>
      <c r="BP213" s="141"/>
      <c r="BQ213" s="141"/>
      <c r="BR213" s="141"/>
      <c r="BS213" s="141"/>
      <c r="BT213" s="141"/>
      <c r="BU213" s="141"/>
      <c r="BV213" s="141"/>
      <c r="BW213" s="141"/>
      <c r="BX213" s="141"/>
      <c r="BY213" s="141"/>
      <c r="BZ213" s="141"/>
      <c r="CA213" s="141"/>
      <c r="CB213" s="141"/>
      <c r="CC213" s="141"/>
      <c r="CD213" s="141"/>
      <c r="CE213" s="141"/>
      <c r="CF213" s="141"/>
      <c r="CG213" s="141"/>
      <c r="CH213" s="142"/>
    </row>
    <row r="214" spans="1:86" x14ac:dyDescent="0.2">
      <c r="A214" s="105"/>
      <c r="B214" s="105"/>
      <c r="C214" s="56"/>
      <c r="D214" s="57"/>
      <c r="E214" s="58"/>
      <c r="F214" s="58"/>
      <c r="G214" s="59"/>
      <c r="H214" s="106"/>
      <c r="I214" s="107"/>
      <c r="J214" s="108"/>
      <c r="K214" s="109"/>
      <c r="L214" s="110"/>
      <c r="M214" s="111"/>
      <c r="N214" s="140"/>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41"/>
      <c r="AM214" s="141"/>
      <c r="AN214" s="141"/>
      <c r="AO214" s="141"/>
      <c r="AP214" s="141"/>
      <c r="AQ214" s="141"/>
      <c r="AR214" s="141"/>
      <c r="AS214" s="141"/>
      <c r="AT214" s="141"/>
      <c r="AU214" s="141"/>
      <c r="AV214" s="141"/>
      <c r="AW214" s="141"/>
      <c r="AX214" s="141"/>
      <c r="AY214" s="141"/>
      <c r="AZ214" s="141"/>
      <c r="BA214" s="141"/>
      <c r="BB214" s="141"/>
      <c r="BC214" s="141"/>
      <c r="BD214" s="141"/>
      <c r="BE214" s="141"/>
      <c r="BF214" s="141"/>
      <c r="BG214" s="141"/>
      <c r="BH214" s="141"/>
      <c r="BI214" s="141"/>
      <c r="BJ214" s="141"/>
      <c r="BK214" s="141"/>
      <c r="BL214" s="141"/>
      <c r="BM214" s="141"/>
      <c r="BN214" s="141"/>
      <c r="BO214" s="141"/>
      <c r="BP214" s="141"/>
      <c r="BQ214" s="141"/>
      <c r="BR214" s="141"/>
      <c r="BS214" s="141"/>
      <c r="BT214" s="141"/>
      <c r="BU214" s="141"/>
      <c r="BV214" s="141"/>
      <c r="BW214" s="141"/>
      <c r="BX214" s="141"/>
      <c r="BY214" s="141"/>
      <c r="BZ214" s="141"/>
      <c r="CA214" s="141"/>
      <c r="CB214" s="141"/>
      <c r="CC214" s="141"/>
      <c r="CD214" s="141"/>
      <c r="CE214" s="141"/>
      <c r="CF214" s="141"/>
      <c r="CG214" s="141"/>
      <c r="CH214" s="142"/>
    </row>
    <row r="215" spans="1:86" x14ac:dyDescent="0.2">
      <c r="A215" s="105"/>
      <c r="B215" s="105"/>
      <c r="C215" s="56"/>
      <c r="D215" s="57"/>
      <c r="E215" s="58"/>
      <c r="F215" s="58"/>
      <c r="G215" s="59"/>
      <c r="H215" s="106"/>
      <c r="I215" s="107"/>
      <c r="J215" s="108"/>
      <c r="K215" s="109"/>
      <c r="L215" s="110"/>
      <c r="M215" s="111"/>
      <c r="N215" s="140"/>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41"/>
      <c r="AJ215" s="141"/>
      <c r="AK215" s="141"/>
      <c r="AL215" s="141"/>
      <c r="AM215" s="141"/>
      <c r="AN215" s="141"/>
      <c r="AO215" s="141"/>
      <c r="AP215" s="141"/>
      <c r="AQ215" s="141"/>
      <c r="AR215" s="141"/>
      <c r="AS215" s="141"/>
      <c r="AT215" s="141"/>
      <c r="AU215" s="141"/>
      <c r="AV215" s="141"/>
      <c r="AW215" s="141"/>
      <c r="AX215" s="141"/>
      <c r="AY215" s="141"/>
      <c r="AZ215" s="141"/>
      <c r="BA215" s="141"/>
      <c r="BB215" s="141"/>
      <c r="BC215" s="141"/>
      <c r="BD215" s="141"/>
      <c r="BE215" s="141"/>
      <c r="BF215" s="141"/>
      <c r="BG215" s="141"/>
      <c r="BH215" s="141"/>
      <c r="BI215" s="141"/>
      <c r="BJ215" s="141"/>
      <c r="BK215" s="141"/>
      <c r="BL215" s="141"/>
      <c r="BM215" s="141"/>
      <c r="BN215" s="141"/>
      <c r="BO215" s="141"/>
      <c r="BP215" s="141"/>
      <c r="BQ215" s="141"/>
      <c r="BR215" s="141"/>
      <c r="BS215" s="141"/>
      <c r="BT215" s="141"/>
      <c r="BU215" s="141"/>
      <c r="BV215" s="141"/>
      <c r="BW215" s="141"/>
      <c r="BX215" s="141"/>
      <c r="BY215" s="141"/>
      <c r="BZ215" s="141"/>
      <c r="CA215" s="141"/>
      <c r="CB215" s="141"/>
      <c r="CC215" s="141"/>
      <c r="CD215" s="141"/>
      <c r="CE215" s="141"/>
      <c r="CF215" s="141"/>
      <c r="CG215" s="141"/>
      <c r="CH215" s="142"/>
    </row>
    <row r="216" spans="1:86" x14ac:dyDescent="0.2">
      <c r="A216" s="105"/>
      <c r="B216" s="105"/>
      <c r="C216" s="56"/>
      <c r="D216" s="57"/>
      <c r="E216" s="58"/>
      <c r="F216" s="58"/>
      <c r="G216" s="59"/>
      <c r="H216" s="106"/>
      <c r="I216" s="107"/>
      <c r="J216" s="108"/>
      <c r="K216" s="109"/>
      <c r="L216" s="110"/>
      <c r="M216" s="111"/>
      <c r="N216" s="140"/>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41"/>
      <c r="AJ216" s="141"/>
      <c r="AK216" s="141"/>
      <c r="AL216" s="141"/>
      <c r="AM216" s="141"/>
      <c r="AN216" s="141"/>
      <c r="AO216" s="141"/>
      <c r="AP216" s="141"/>
      <c r="AQ216" s="141"/>
      <c r="AR216" s="141"/>
      <c r="AS216" s="141"/>
      <c r="AT216" s="141"/>
      <c r="AU216" s="141"/>
      <c r="AV216" s="141"/>
      <c r="AW216" s="141"/>
      <c r="AX216" s="141"/>
      <c r="AY216" s="141"/>
      <c r="AZ216" s="141"/>
      <c r="BA216" s="141"/>
      <c r="BB216" s="141"/>
      <c r="BC216" s="141"/>
      <c r="BD216" s="141"/>
      <c r="BE216" s="141"/>
      <c r="BF216" s="141"/>
      <c r="BG216" s="141"/>
      <c r="BH216" s="141"/>
      <c r="BI216" s="141"/>
      <c r="BJ216" s="141"/>
      <c r="BK216" s="141"/>
      <c r="BL216" s="141"/>
      <c r="BM216" s="141"/>
      <c r="BN216" s="141"/>
      <c r="BO216" s="141"/>
      <c r="BP216" s="141"/>
      <c r="BQ216" s="141"/>
      <c r="BR216" s="141"/>
      <c r="BS216" s="141"/>
      <c r="BT216" s="141"/>
      <c r="BU216" s="141"/>
      <c r="BV216" s="141"/>
      <c r="BW216" s="141"/>
      <c r="BX216" s="141"/>
      <c r="BY216" s="141"/>
      <c r="BZ216" s="141"/>
      <c r="CA216" s="141"/>
      <c r="CB216" s="141"/>
      <c r="CC216" s="141"/>
      <c r="CD216" s="141"/>
      <c r="CE216" s="141"/>
      <c r="CF216" s="141"/>
      <c r="CG216" s="141"/>
      <c r="CH216" s="142"/>
    </row>
    <row r="217" spans="1:86" x14ac:dyDescent="0.2">
      <c r="A217" s="105"/>
      <c r="B217" s="105"/>
      <c r="C217" s="56"/>
      <c r="D217" s="57"/>
      <c r="E217" s="58"/>
      <c r="F217" s="58"/>
      <c r="G217" s="59"/>
      <c r="H217" s="106"/>
      <c r="I217" s="107"/>
      <c r="J217" s="108"/>
      <c r="K217" s="109"/>
      <c r="L217" s="110"/>
      <c r="M217" s="111"/>
      <c r="N217" s="140"/>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41"/>
      <c r="AJ217" s="141"/>
      <c r="AK217" s="141"/>
      <c r="AL217" s="141"/>
      <c r="AM217" s="141"/>
      <c r="AN217" s="141"/>
      <c r="AO217" s="141"/>
      <c r="AP217" s="141"/>
      <c r="AQ217" s="141"/>
      <c r="AR217" s="141"/>
      <c r="AS217" s="141"/>
      <c r="AT217" s="141"/>
      <c r="AU217" s="141"/>
      <c r="AV217" s="141"/>
      <c r="AW217" s="141"/>
      <c r="AX217" s="141"/>
      <c r="AY217" s="141"/>
      <c r="AZ217" s="141"/>
      <c r="BA217" s="141"/>
      <c r="BB217" s="141"/>
      <c r="BC217" s="141"/>
      <c r="BD217" s="141"/>
      <c r="BE217" s="141"/>
      <c r="BF217" s="141"/>
      <c r="BG217" s="141"/>
      <c r="BH217" s="141"/>
      <c r="BI217" s="141"/>
      <c r="BJ217" s="141"/>
      <c r="BK217" s="141"/>
      <c r="BL217" s="141"/>
      <c r="BM217" s="141"/>
      <c r="BN217" s="141"/>
      <c r="BO217" s="141"/>
      <c r="BP217" s="141"/>
      <c r="BQ217" s="141"/>
      <c r="BR217" s="141"/>
      <c r="BS217" s="141"/>
      <c r="BT217" s="141"/>
      <c r="BU217" s="141"/>
      <c r="BV217" s="141"/>
      <c r="BW217" s="141"/>
      <c r="BX217" s="141"/>
      <c r="BY217" s="141"/>
      <c r="BZ217" s="141"/>
      <c r="CA217" s="141"/>
      <c r="CB217" s="141"/>
      <c r="CC217" s="141"/>
      <c r="CD217" s="141"/>
      <c r="CE217" s="141"/>
      <c r="CF217" s="141"/>
      <c r="CG217" s="141"/>
      <c r="CH217" s="142"/>
    </row>
    <row r="218" spans="1:86" x14ac:dyDescent="0.2">
      <c r="A218" s="105"/>
      <c r="B218" s="105"/>
      <c r="C218" s="56"/>
      <c r="D218" s="57"/>
      <c r="E218" s="58"/>
      <c r="F218" s="58"/>
      <c r="G218" s="59"/>
      <c r="H218" s="106"/>
      <c r="I218" s="107"/>
      <c r="J218" s="108"/>
      <c r="K218" s="109"/>
      <c r="L218" s="110"/>
      <c r="M218" s="111"/>
      <c r="N218" s="140"/>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41"/>
      <c r="AJ218" s="141"/>
      <c r="AK218" s="141"/>
      <c r="AL218" s="141"/>
      <c r="AM218" s="141"/>
      <c r="AN218" s="141"/>
      <c r="AO218" s="141"/>
      <c r="AP218" s="141"/>
      <c r="AQ218" s="141"/>
      <c r="AR218" s="141"/>
      <c r="AS218" s="141"/>
      <c r="AT218" s="141"/>
      <c r="AU218" s="141"/>
      <c r="AV218" s="141"/>
      <c r="AW218" s="141"/>
      <c r="AX218" s="141"/>
      <c r="AY218" s="141"/>
      <c r="AZ218" s="141"/>
      <c r="BA218" s="141"/>
      <c r="BB218" s="141"/>
      <c r="BC218" s="141"/>
      <c r="BD218" s="141"/>
      <c r="BE218" s="141"/>
      <c r="BF218" s="141"/>
      <c r="BG218" s="141"/>
      <c r="BH218" s="141"/>
      <c r="BI218" s="141"/>
      <c r="BJ218" s="141"/>
      <c r="BK218" s="141"/>
      <c r="BL218" s="141"/>
      <c r="BM218" s="141"/>
      <c r="BN218" s="141"/>
      <c r="BO218" s="141"/>
      <c r="BP218" s="141"/>
      <c r="BQ218" s="141"/>
      <c r="BR218" s="141"/>
      <c r="BS218" s="141"/>
      <c r="BT218" s="141"/>
      <c r="BU218" s="141"/>
      <c r="BV218" s="141"/>
      <c r="BW218" s="141"/>
      <c r="BX218" s="141"/>
      <c r="BY218" s="141"/>
      <c r="BZ218" s="141"/>
      <c r="CA218" s="141"/>
      <c r="CB218" s="141"/>
      <c r="CC218" s="141"/>
      <c r="CD218" s="141"/>
      <c r="CE218" s="141"/>
      <c r="CF218" s="141"/>
      <c r="CG218" s="141"/>
      <c r="CH218" s="142"/>
    </row>
    <row r="219" spans="1:86" x14ac:dyDescent="0.2">
      <c r="A219" s="105"/>
      <c r="B219" s="105"/>
      <c r="C219" s="56"/>
      <c r="D219" s="57"/>
      <c r="E219" s="58"/>
      <c r="F219" s="58"/>
      <c r="G219" s="59"/>
      <c r="H219" s="106"/>
      <c r="I219" s="107"/>
      <c r="J219" s="108"/>
      <c r="K219" s="109"/>
      <c r="L219" s="110"/>
      <c r="M219" s="111"/>
      <c r="N219" s="140"/>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41"/>
      <c r="AJ219" s="141"/>
      <c r="AK219" s="141"/>
      <c r="AL219" s="141"/>
      <c r="AM219" s="141"/>
      <c r="AN219" s="141"/>
      <c r="AO219" s="141"/>
      <c r="AP219" s="141"/>
      <c r="AQ219" s="141"/>
      <c r="AR219" s="141"/>
      <c r="AS219" s="141"/>
      <c r="AT219" s="141"/>
      <c r="AU219" s="141"/>
      <c r="AV219" s="141"/>
      <c r="AW219" s="141"/>
      <c r="AX219" s="141"/>
      <c r="AY219" s="141"/>
      <c r="AZ219" s="141"/>
      <c r="BA219" s="141"/>
      <c r="BB219" s="141"/>
      <c r="BC219" s="141"/>
      <c r="BD219" s="141"/>
      <c r="BE219" s="141"/>
      <c r="BF219" s="141"/>
      <c r="BG219" s="141"/>
      <c r="BH219" s="141"/>
      <c r="BI219" s="141"/>
      <c r="BJ219" s="141"/>
      <c r="BK219" s="141"/>
      <c r="BL219" s="141"/>
      <c r="BM219" s="141"/>
      <c r="BN219" s="141"/>
      <c r="BO219" s="141"/>
      <c r="BP219" s="141"/>
      <c r="BQ219" s="141"/>
      <c r="BR219" s="141"/>
      <c r="BS219" s="141"/>
      <c r="BT219" s="141"/>
      <c r="BU219" s="141"/>
      <c r="BV219" s="141"/>
      <c r="BW219" s="141"/>
      <c r="BX219" s="141"/>
      <c r="BY219" s="141"/>
      <c r="BZ219" s="141"/>
      <c r="CA219" s="141"/>
      <c r="CB219" s="141"/>
      <c r="CC219" s="141"/>
      <c r="CD219" s="141"/>
      <c r="CE219" s="141"/>
      <c r="CF219" s="141"/>
      <c r="CG219" s="141"/>
      <c r="CH219" s="142"/>
    </row>
    <row r="220" spans="1:86" x14ac:dyDescent="0.2">
      <c r="A220" s="105"/>
      <c r="B220" s="105"/>
      <c r="C220" s="56"/>
      <c r="D220" s="57"/>
      <c r="E220" s="58"/>
      <c r="F220" s="58"/>
      <c r="G220" s="59"/>
      <c r="H220" s="106"/>
      <c r="I220" s="107"/>
      <c r="J220" s="108"/>
      <c r="K220" s="109"/>
      <c r="L220" s="110"/>
      <c r="M220" s="111"/>
      <c r="N220" s="140"/>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141"/>
      <c r="AK220" s="141"/>
      <c r="AL220" s="141"/>
      <c r="AM220" s="141"/>
      <c r="AN220" s="141"/>
      <c r="AO220" s="141"/>
      <c r="AP220" s="141"/>
      <c r="AQ220" s="141"/>
      <c r="AR220" s="141"/>
      <c r="AS220" s="141"/>
      <c r="AT220" s="141"/>
      <c r="AU220" s="141"/>
      <c r="AV220" s="141"/>
      <c r="AW220" s="141"/>
      <c r="AX220" s="141"/>
      <c r="AY220" s="141"/>
      <c r="AZ220" s="141"/>
      <c r="BA220" s="141"/>
      <c r="BB220" s="141"/>
      <c r="BC220" s="141"/>
      <c r="BD220" s="141"/>
      <c r="BE220" s="141"/>
      <c r="BF220" s="141"/>
      <c r="BG220" s="141"/>
      <c r="BH220" s="141"/>
      <c r="BI220" s="141"/>
      <c r="BJ220" s="141"/>
      <c r="BK220" s="141"/>
      <c r="BL220" s="141"/>
      <c r="BM220" s="141"/>
      <c r="BN220" s="141"/>
      <c r="BO220" s="141"/>
      <c r="BP220" s="141"/>
      <c r="BQ220" s="141"/>
      <c r="BR220" s="141"/>
      <c r="BS220" s="141"/>
      <c r="BT220" s="141"/>
      <c r="BU220" s="141"/>
      <c r="BV220" s="141"/>
      <c r="BW220" s="141"/>
      <c r="BX220" s="141"/>
      <c r="BY220" s="141"/>
      <c r="BZ220" s="141"/>
      <c r="CA220" s="141"/>
      <c r="CB220" s="141"/>
      <c r="CC220" s="141"/>
      <c r="CD220" s="141"/>
      <c r="CE220" s="141"/>
      <c r="CF220" s="141"/>
      <c r="CG220" s="141"/>
      <c r="CH220" s="142"/>
    </row>
    <row r="221" spans="1:86" x14ac:dyDescent="0.2">
      <c r="A221" s="105"/>
      <c r="B221" s="105"/>
      <c r="C221" s="56"/>
      <c r="D221" s="57"/>
      <c r="E221" s="58"/>
      <c r="F221" s="58"/>
      <c r="G221" s="59"/>
      <c r="H221" s="106"/>
      <c r="I221" s="107"/>
      <c r="J221" s="108"/>
      <c r="K221" s="109"/>
      <c r="L221" s="110"/>
      <c r="M221" s="111"/>
      <c r="N221" s="140"/>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41"/>
      <c r="AJ221" s="141"/>
      <c r="AK221" s="141"/>
      <c r="AL221" s="141"/>
      <c r="AM221" s="141"/>
      <c r="AN221" s="141"/>
      <c r="AO221" s="141"/>
      <c r="AP221" s="141"/>
      <c r="AQ221" s="141"/>
      <c r="AR221" s="141"/>
      <c r="AS221" s="141"/>
      <c r="AT221" s="141"/>
      <c r="AU221" s="141"/>
      <c r="AV221" s="141"/>
      <c r="AW221" s="141"/>
      <c r="AX221" s="141"/>
      <c r="AY221" s="141"/>
      <c r="AZ221" s="141"/>
      <c r="BA221" s="141"/>
      <c r="BB221" s="141"/>
      <c r="BC221" s="141"/>
      <c r="BD221" s="141"/>
      <c r="BE221" s="141"/>
      <c r="BF221" s="141"/>
      <c r="BG221" s="141"/>
      <c r="BH221" s="141"/>
      <c r="BI221" s="141"/>
      <c r="BJ221" s="141"/>
      <c r="BK221" s="141"/>
      <c r="BL221" s="141"/>
      <c r="BM221" s="141"/>
      <c r="BN221" s="141"/>
      <c r="BO221" s="141"/>
      <c r="BP221" s="141"/>
      <c r="BQ221" s="141"/>
      <c r="BR221" s="141"/>
      <c r="BS221" s="141"/>
      <c r="BT221" s="141"/>
      <c r="BU221" s="141"/>
      <c r="BV221" s="141"/>
      <c r="BW221" s="141"/>
      <c r="BX221" s="141"/>
      <c r="BY221" s="141"/>
      <c r="BZ221" s="141"/>
      <c r="CA221" s="141"/>
      <c r="CB221" s="141"/>
      <c r="CC221" s="141"/>
      <c r="CD221" s="141"/>
      <c r="CE221" s="141"/>
      <c r="CF221" s="141"/>
      <c r="CG221" s="141"/>
      <c r="CH221" s="142"/>
    </row>
    <row r="222" spans="1:86" x14ac:dyDescent="0.2">
      <c r="A222" s="105"/>
      <c r="B222" s="105"/>
      <c r="C222" s="56"/>
      <c r="D222" s="57"/>
      <c r="E222" s="58"/>
      <c r="F222" s="58"/>
      <c r="G222" s="59"/>
      <c r="H222" s="106"/>
      <c r="I222" s="107"/>
      <c r="J222" s="108"/>
      <c r="K222" s="109"/>
      <c r="L222" s="110"/>
      <c r="M222" s="111"/>
      <c r="N222" s="140"/>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41"/>
      <c r="AJ222" s="141"/>
      <c r="AK222" s="141"/>
      <c r="AL222" s="141"/>
      <c r="AM222" s="141"/>
      <c r="AN222" s="141"/>
      <c r="AO222" s="141"/>
      <c r="AP222" s="141"/>
      <c r="AQ222" s="141"/>
      <c r="AR222" s="141"/>
      <c r="AS222" s="141"/>
      <c r="AT222" s="141"/>
      <c r="AU222" s="141"/>
      <c r="AV222" s="141"/>
      <c r="AW222" s="141"/>
      <c r="AX222" s="141"/>
      <c r="AY222" s="141"/>
      <c r="AZ222" s="141"/>
      <c r="BA222" s="141"/>
      <c r="BB222" s="141"/>
      <c r="BC222" s="141"/>
      <c r="BD222" s="141"/>
      <c r="BE222" s="141"/>
      <c r="BF222" s="141"/>
      <c r="BG222" s="141"/>
      <c r="BH222" s="141"/>
      <c r="BI222" s="141"/>
      <c r="BJ222" s="141"/>
      <c r="BK222" s="141"/>
      <c r="BL222" s="141"/>
      <c r="BM222" s="141"/>
      <c r="BN222" s="141"/>
      <c r="BO222" s="141"/>
      <c r="BP222" s="141"/>
      <c r="BQ222" s="141"/>
      <c r="BR222" s="141"/>
      <c r="BS222" s="141"/>
      <c r="BT222" s="141"/>
      <c r="BU222" s="141"/>
      <c r="BV222" s="141"/>
      <c r="BW222" s="141"/>
      <c r="BX222" s="141"/>
      <c r="BY222" s="141"/>
      <c r="BZ222" s="141"/>
      <c r="CA222" s="141"/>
      <c r="CB222" s="141"/>
      <c r="CC222" s="141"/>
      <c r="CD222" s="141"/>
      <c r="CE222" s="141"/>
      <c r="CF222" s="141"/>
      <c r="CG222" s="141"/>
      <c r="CH222" s="142"/>
    </row>
    <row r="223" spans="1:86" x14ac:dyDescent="0.2">
      <c r="A223" s="105"/>
      <c r="B223" s="105"/>
      <c r="C223" s="56"/>
      <c r="D223" s="57"/>
      <c r="E223" s="58"/>
      <c r="F223" s="58"/>
      <c r="G223" s="59"/>
      <c r="H223" s="106"/>
      <c r="I223" s="107"/>
      <c r="J223" s="108"/>
      <c r="K223" s="109"/>
      <c r="L223" s="110"/>
      <c r="M223" s="111"/>
      <c r="N223" s="140"/>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41"/>
      <c r="AJ223" s="141"/>
      <c r="AK223" s="141"/>
      <c r="AL223" s="141"/>
      <c r="AM223" s="141"/>
      <c r="AN223" s="141"/>
      <c r="AO223" s="141"/>
      <c r="AP223" s="141"/>
      <c r="AQ223" s="141"/>
      <c r="AR223" s="141"/>
      <c r="AS223" s="141"/>
      <c r="AT223" s="141"/>
      <c r="AU223" s="141"/>
      <c r="AV223" s="141"/>
      <c r="AW223" s="141"/>
      <c r="AX223" s="141"/>
      <c r="AY223" s="141"/>
      <c r="AZ223" s="141"/>
      <c r="BA223" s="141"/>
      <c r="BB223" s="141"/>
      <c r="BC223" s="141"/>
      <c r="BD223" s="141"/>
      <c r="BE223" s="141"/>
      <c r="BF223" s="141"/>
      <c r="BG223" s="141"/>
      <c r="BH223" s="141"/>
      <c r="BI223" s="141"/>
      <c r="BJ223" s="141"/>
      <c r="BK223" s="141"/>
      <c r="BL223" s="141"/>
      <c r="BM223" s="141"/>
      <c r="BN223" s="141"/>
      <c r="BO223" s="141"/>
      <c r="BP223" s="141"/>
      <c r="BQ223" s="141"/>
      <c r="BR223" s="141"/>
      <c r="BS223" s="141"/>
      <c r="BT223" s="141"/>
      <c r="BU223" s="141"/>
      <c r="BV223" s="141"/>
      <c r="BW223" s="141"/>
      <c r="BX223" s="141"/>
      <c r="BY223" s="141"/>
      <c r="BZ223" s="141"/>
      <c r="CA223" s="141"/>
      <c r="CB223" s="141"/>
      <c r="CC223" s="141"/>
      <c r="CD223" s="141"/>
      <c r="CE223" s="141"/>
      <c r="CF223" s="141"/>
      <c r="CG223" s="141"/>
      <c r="CH223" s="142"/>
    </row>
    <row r="224" spans="1:86" x14ac:dyDescent="0.2">
      <c r="A224" s="148"/>
      <c r="B224" s="105"/>
      <c r="C224" s="56"/>
      <c r="D224" s="57"/>
      <c r="E224" s="58"/>
      <c r="F224" s="58"/>
      <c r="G224" s="59"/>
      <c r="H224" s="106"/>
      <c r="I224" s="107"/>
      <c r="J224" s="108"/>
      <c r="K224" s="109"/>
      <c r="L224" s="110"/>
      <c r="M224" s="111"/>
      <c r="N224" s="140"/>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141"/>
      <c r="AK224" s="141"/>
      <c r="AL224" s="141"/>
      <c r="AM224" s="141"/>
      <c r="AN224" s="141"/>
      <c r="AO224" s="141"/>
      <c r="AP224" s="141"/>
      <c r="AQ224" s="141"/>
      <c r="AR224" s="141"/>
      <c r="AS224" s="141"/>
      <c r="AT224" s="141"/>
      <c r="AU224" s="141"/>
      <c r="AV224" s="141"/>
      <c r="AW224" s="141"/>
      <c r="AX224" s="141"/>
      <c r="AY224" s="141"/>
      <c r="AZ224" s="141"/>
      <c r="BA224" s="141"/>
      <c r="BB224" s="141"/>
      <c r="BC224" s="141"/>
      <c r="BD224" s="141"/>
      <c r="BE224" s="141"/>
      <c r="BF224" s="141"/>
      <c r="BG224" s="141"/>
      <c r="BH224" s="141"/>
      <c r="BI224" s="141"/>
      <c r="BJ224" s="141"/>
      <c r="BK224" s="141"/>
      <c r="BL224" s="141"/>
      <c r="BM224" s="141"/>
      <c r="BN224" s="141"/>
      <c r="BO224" s="141"/>
      <c r="BP224" s="141"/>
      <c r="BQ224" s="141"/>
      <c r="BR224" s="141"/>
      <c r="BS224" s="141"/>
      <c r="BT224" s="141"/>
      <c r="BU224" s="141"/>
      <c r="BV224" s="141"/>
      <c r="BW224" s="141"/>
      <c r="BX224" s="141"/>
      <c r="BY224" s="141"/>
      <c r="BZ224" s="141"/>
      <c r="CA224" s="141"/>
      <c r="CB224" s="141"/>
      <c r="CC224" s="141"/>
      <c r="CD224" s="141"/>
      <c r="CE224" s="141"/>
      <c r="CF224" s="141"/>
      <c r="CG224" s="141"/>
      <c r="CH224" s="142"/>
    </row>
    <row r="225" spans="1:86" x14ac:dyDescent="0.2">
      <c r="A225" s="105"/>
      <c r="B225" s="105"/>
      <c r="C225" s="56"/>
      <c r="D225" s="57"/>
      <c r="E225" s="58"/>
      <c r="F225" s="58"/>
      <c r="G225" s="59"/>
      <c r="H225" s="106"/>
      <c r="I225" s="107"/>
      <c r="J225" s="108"/>
      <c r="K225" s="109"/>
      <c r="L225" s="110"/>
      <c r="M225" s="111"/>
      <c r="N225" s="140"/>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141"/>
      <c r="AK225" s="141"/>
      <c r="AL225" s="141"/>
      <c r="AM225" s="141"/>
      <c r="AN225" s="141"/>
      <c r="AO225" s="141"/>
      <c r="AP225" s="141"/>
      <c r="AQ225" s="141"/>
      <c r="AR225" s="141"/>
      <c r="AS225" s="141"/>
      <c r="AT225" s="141"/>
      <c r="AU225" s="141"/>
      <c r="AV225" s="141"/>
      <c r="AW225" s="141"/>
      <c r="AX225" s="141"/>
      <c r="AY225" s="141"/>
      <c r="AZ225" s="141"/>
      <c r="BA225" s="141"/>
      <c r="BB225" s="141"/>
      <c r="BC225" s="141"/>
      <c r="BD225" s="141"/>
      <c r="BE225" s="141"/>
      <c r="BF225" s="141"/>
      <c r="BG225" s="141"/>
      <c r="BH225" s="141"/>
      <c r="BI225" s="141"/>
      <c r="BJ225" s="141"/>
      <c r="BK225" s="141"/>
      <c r="BL225" s="141"/>
      <c r="BM225" s="141"/>
      <c r="BN225" s="141"/>
      <c r="BO225" s="141"/>
      <c r="BP225" s="141"/>
      <c r="BQ225" s="141"/>
      <c r="BR225" s="141"/>
      <c r="BS225" s="141"/>
      <c r="BT225" s="141"/>
      <c r="BU225" s="141"/>
      <c r="BV225" s="141"/>
      <c r="BW225" s="141"/>
      <c r="BX225" s="141"/>
      <c r="BY225" s="141"/>
      <c r="BZ225" s="141"/>
      <c r="CA225" s="141"/>
      <c r="CB225" s="141"/>
      <c r="CC225" s="141"/>
      <c r="CD225" s="141"/>
      <c r="CE225" s="141"/>
      <c r="CF225" s="141"/>
      <c r="CG225" s="141"/>
      <c r="CH225" s="142"/>
    </row>
    <row r="226" spans="1:86" x14ac:dyDescent="0.2">
      <c r="A226" s="105"/>
      <c r="B226" s="105"/>
      <c r="C226" s="56"/>
      <c r="D226" s="57"/>
      <c r="E226" s="58"/>
      <c r="F226" s="58"/>
      <c r="G226" s="59"/>
      <c r="H226" s="106"/>
      <c r="I226" s="107"/>
      <c r="J226" s="108"/>
      <c r="K226" s="109"/>
      <c r="L226" s="110"/>
      <c r="M226" s="111"/>
      <c r="N226" s="140"/>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141"/>
      <c r="AK226" s="141"/>
      <c r="AL226" s="141"/>
      <c r="AM226" s="141"/>
      <c r="AN226" s="141"/>
      <c r="AO226" s="141"/>
      <c r="AP226" s="141"/>
      <c r="AQ226" s="141"/>
      <c r="AR226" s="141"/>
      <c r="AS226" s="141"/>
      <c r="AT226" s="141"/>
      <c r="AU226" s="141"/>
      <c r="AV226" s="141"/>
      <c r="AW226" s="141"/>
      <c r="AX226" s="141"/>
      <c r="AY226" s="141"/>
      <c r="AZ226" s="141"/>
      <c r="BA226" s="141"/>
      <c r="BB226" s="141"/>
      <c r="BC226" s="141"/>
      <c r="BD226" s="141"/>
      <c r="BE226" s="141"/>
      <c r="BF226" s="141"/>
      <c r="BG226" s="141"/>
      <c r="BH226" s="141"/>
      <c r="BI226" s="141"/>
      <c r="BJ226" s="141"/>
      <c r="BK226" s="141"/>
      <c r="BL226" s="141"/>
      <c r="BM226" s="141"/>
      <c r="BN226" s="141"/>
      <c r="BO226" s="141"/>
      <c r="BP226" s="141"/>
      <c r="BQ226" s="141"/>
      <c r="BR226" s="141"/>
      <c r="BS226" s="141"/>
      <c r="BT226" s="141"/>
      <c r="BU226" s="141"/>
      <c r="BV226" s="141"/>
      <c r="BW226" s="141"/>
      <c r="BX226" s="141"/>
      <c r="BY226" s="141"/>
      <c r="BZ226" s="141"/>
      <c r="CA226" s="141"/>
      <c r="CB226" s="141"/>
      <c r="CC226" s="141"/>
      <c r="CD226" s="141"/>
      <c r="CE226" s="141"/>
      <c r="CF226" s="141"/>
      <c r="CG226" s="141"/>
      <c r="CH226" s="142"/>
    </row>
    <row r="227" spans="1:86" x14ac:dyDescent="0.2">
      <c r="A227" s="105"/>
      <c r="B227" s="105"/>
      <c r="C227" s="56"/>
      <c r="D227" s="57"/>
      <c r="E227" s="58"/>
      <c r="F227" s="58"/>
      <c r="G227" s="59"/>
      <c r="H227" s="106"/>
      <c r="I227" s="107"/>
      <c r="J227" s="108"/>
      <c r="K227" s="109"/>
      <c r="L227" s="110"/>
      <c r="M227" s="111"/>
      <c r="N227" s="140"/>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41"/>
      <c r="AJ227" s="141"/>
      <c r="AK227" s="141"/>
      <c r="AL227" s="141"/>
      <c r="AM227" s="141"/>
      <c r="AN227" s="141"/>
      <c r="AO227" s="141"/>
      <c r="AP227" s="141"/>
      <c r="AQ227" s="141"/>
      <c r="AR227" s="141"/>
      <c r="AS227" s="141"/>
      <c r="AT227" s="141"/>
      <c r="AU227" s="141"/>
      <c r="AV227" s="141"/>
      <c r="AW227" s="141"/>
      <c r="AX227" s="141"/>
      <c r="AY227" s="141"/>
      <c r="AZ227" s="141"/>
      <c r="BA227" s="141"/>
      <c r="BB227" s="141"/>
      <c r="BC227" s="141"/>
      <c r="BD227" s="141"/>
      <c r="BE227" s="141"/>
      <c r="BF227" s="141"/>
      <c r="BG227" s="141"/>
      <c r="BH227" s="141"/>
      <c r="BI227" s="141"/>
      <c r="BJ227" s="141"/>
      <c r="BK227" s="141"/>
      <c r="BL227" s="141"/>
      <c r="BM227" s="141"/>
      <c r="BN227" s="141"/>
      <c r="BO227" s="141"/>
      <c r="BP227" s="141"/>
      <c r="BQ227" s="141"/>
      <c r="BR227" s="141"/>
      <c r="BS227" s="141"/>
      <c r="BT227" s="141"/>
      <c r="BU227" s="141"/>
      <c r="BV227" s="141"/>
      <c r="BW227" s="141"/>
      <c r="BX227" s="141"/>
      <c r="BY227" s="141"/>
      <c r="BZ227" s="141"/>
      <c r="CA227" s="141"/>
      <c r="CB227" s="141"/>
      <c r="CC227" s="141"/>
      <c r="CD227" s="141"/>
      <c r="CE227" s="141"/>
      <c r="CF227" s="141"/>
      <c r="CG227" s="141"/>
      <c r="CH227" s="142"/>
    </row>
    <row r="228" spans="1:86" x14ac:dyDescent="0.2">
      <c r="A228" s="105"/>
      <c r="B228" s="105"/>
      <c r="C228" s="56"/>
      <c r="D228" s="57"/>
      <c r="E228" s="58"/>
      <c r="F228" s="58"/>
      <c r="G228" s="59"/>
      <c r="H228" s="106"/>
      <c r="I228" s="107"/>
      <c r="J228" s="108"/>
      <c r="K228" s="109"/>
      <c r="L228" s="110"/>
      <c r="M228" s="111"/>
      <c r="N228" s="140"/>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41"/>
      <c r="AJ228" s="141"/>
      <c r="AK228" s="141"/>
      <c r="AL228" s="141"/>
      <c r="AM228" s="141"/>
      <c r="AN228" s="141"/>
      <c r="AO228" s="141"/>
      <c r="AP228" s="141"/>
      <c r="AQ228" s="141"/>
      <c r="AR228" s="141"/>
      <c r="AS228" s="141"/>
      <c r="AT228" s="141"/>
      <c r="AU228" s="141"/>
      <c r="AV228" s="141"/>
      <c r="AW228" s="141"/>
      <c r="AX228" s="141"/>
      <c r="AY228" s="141"/>
      <c r="AZ228" s="141"/>
      <c r="BA228" s="141"/>
      <c r="BB228" s="141"/>
      <c r="BC228" s="141"/>
      <c r="BD228" s="141"/>
      <c r="BE228" s="141"/>
      <c r="BF228" s="141"/>
      <c r="BG228" s="141"/>
      <c r="BH228" s="141"/>
      <c r="BI228" s="141"/>
      <c r="BJ228" s="141"/>
      <c r="BK228" s="141"/>
      <c r="BL228" s="141"/>
      <c r="BM228" s="141"/>
      <c r="BN228" s="141"/>
      <c r="BO228" s="141"/>
      <c r="BP228" s="141"/>
      <c r="BQ228" s="141"/>
      <c r="BR228" s="141"/>
      <c r="BS228" s="141"/>
      <c r="BT228" s="141"/>
      <c r="BU228" s="141"/>
      <c r="BV228" s="141"/>
      <c r="BW228" s="141"/>
      <c r="BX228" s="141"/>
      <c r="BY228" s="141"/>
      <c r="BZ228" s="141"/>
      <c r="CA228" s="141"/>
      <c r="CB228" s="141"/>
      <c r="CC228" s="141"/>
      <c r="CD228" s="141"/>
      <c r="CE228" s="141"/>
      <c r="CF228" s="141"/>
      <c r="CG228" s="141"/>
      <c r="CH228" s="142"/>
    </row>
    <row r="229" spans="1:86" ht="13.5" thickBot="1" x14ac:dyDescent="0.25">
      <c r="A229" s="105"/>
      <c r="B229" s="105"/>
      <c r="C229" s="56"/>
      <c r="D229" s="57"/>
      <c r="E229" s="58"/>
      <c r="F229" s="58"/>
      <c r="G229" s="59"/>
      <c r="H229" s="106"/>
      <c r="I229" s="107"/>
      <c r="J229" s="108"/>
      <c r="K229" s="109"/>
      <c r="L229" s="110"/>
      <c r="M229" s="111"/>
      <c r="N229" s="143"/>
      <c r="O229" s="144"/>
      <c r="P229" s="144"/>
      <c r="Q229" s="144"/>
      <c r="R229" s="144"/>
      <c r="S229" s="144"/>
      <c r="T229" s="144"/>
      <c r="U229" s="144"/>
      <c r="V229" s="144"/>
      <c r="W229" s="144"/>
      <c r="X229" s="144"/>
      <c r="Y229" s="144"/>
      <c r="Z229" s="144"/>
      <c r="AA229" s="144"/>
      <c r="AB229" s="144"/>
      <c r="AC229" s="144"/>
      <c r="AD229" s="144"/>
      <c r="AE229" s="144"/>
      <c r="AF229" s="144"/>
      <c r="AG229" s="144"/>
      <c r="AH229" s="144"/>
      <c r="AI229" s="144"/>
      <c r="AJ229" s="144"/>
      <c r="AK229" s="144"/>
      <c r="AL229" s="144"/>
      <c r="AM229" s="144"/>
      <c r="AN229" s="144"/>
      <c r="AO229" s="144"/>
      <c r="AP229" s="144"/>
      <c r="AQ229" s="144"/>
      <c r="AR229" s="144"/>
      <c r="AS229" s="144"/>
      <c r="AT229" s="144"/>
      <c r="AU229" s="144"/>
      <c r="AV229" s="144"/>
      <c r="AW229" s="144"/>
      <c r="AX229" s="144"/>
      <c r="AY229" s="144"/>
      <c r="AZ229" s="144"/>
      <c r="BA229" s="144"/>
      <c r="BB229" s="144"/>
      <c r="BC229" s="144"/>
      <c r="BD229" s="144"/>
      <c r="BE229" s="144"/>
      <c r="BF229" s="144"/>
      <c r="BG229" s="144"/>
      <c r="BH229" s="144"/>
      <c r="BI229" s="144"/>
      <c r="BJ229" s="144"/>
      <c r="BK229" s="144"/>
      <c r="BL229" s="144"/>
      <c r="BM229" s="144"/>
      <c r="BN229" s="144"/>
      <c r="BO229" s="144"/>
      <c r="BP229" s="144"/>
      <c r="BQ229" s="144"/>
      <c r="BR229" s="144"/>
      <c r="BS229" s="144"/>
      <c r="BT229" s="144"/>
      <c r="BU229" s="144"/>
      <c r="BV229" s="144"/>
      <c r="BW229" s="144"/>
      <c r="BX229" s="144"/>
      <c r="BY229" s="144"/>
      <c r="BZ229" s="144"/>
      <c r="CA229" s="144"/>
      <c r="CB229" s="144"/>
      <c r="CC229" s="144"/>
      <c r="CD229" s="144"/>
      <c r="CE229" s="144"/>
      <c r="CF229" s="144"/>
      <c r="CG229" s="144"/>
      <c r="CH229" s="145"/>
    </row>
    <row r="230" spans="1:86" x14ac:dyDescent="0.2">
      <c r="D230" s="49" t="s">
        <v>84</v>
      </c>
      <c r="E230" s="49" t="s">
        <v>84</v>
      </c>
      <c r="F230" s="49" t="s">
        <v>84</v>
      </c>
      <c r="G230" s="49" t="s">
        <v>84</v>
      </c>
      <c r="N230" s="112"/>
      <c r="O230" s="113"/>
      <c r="P230" s="113"/>
      <c r="Q230" s="113"/>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c r="BR230" s="113"/>
      <c r="BS230" s="113"/>
      <c r="BT230" s="113"/>
      <c r="BU230" s="113"/>
      <c r="BV230" s="113"/>
      <c r="BW230" s="113"/>
      <c r="BX230" s="113"/>
      <c r="BY230" s="113"/>
      <c r="BZ230" s="113"/>
      <c r="CA230" s="113"/>
      <c r="CB230" s="113"/>
      <c r="CC230" s="113"/>
      <c r="CD230" s="113"/>
      <c r="CE230" s="113"/>
      <c r="CF230" s="113"/>
      <c r="CG230" s="113"/>
      <c r="CH230" s="114"/>
    </row>
    <row r="231" spans="1:86" x14ac:dyDescent="0.2">
      <c r="N231" s="115"/>
      <c r="O231" s="116"/>
      <c r="P231" s="116"/>
      <c r="Q231" s="116"/>
      <c r="R231" s="116"/>
      <c r="S231" s="116"/>
      <c r="T231" s="116"/>
      <c r="U231" s="116"/>
      <c r="V231" s="116"/>
      <c r="W231" s="116"/>
      <c r="X231" s="116"/>
      <c r="Y231" s="116"/>
      <c r="Z231" s="116"/>
      <c r="AA231" s="116"/>
      <c r="AB231" s="116"/>
      <c r="AC231" s="116"/>
      <c r="AD231" s="116"/>
      <c r="AE231" s="116"/>
      <c r="AF231" s="116"/>
      <c r="AG231" s="116"/>
      <c r="AH231" s="116"/>
      <c r="AI231" s="116"/>
      <c r="AJ231" s="116"/>
      <c r="AK231" s="116"/>
      <c r="AL231" s="116"/>
      <c r="AM231" s="116"/>
      <c r="AN231" s="116"/>
      <c r="AO231" s="116"/>
      <c r="AP231" s="116"/>
      <c r="AQ231" s="116"/>
      <c r="AR231" s="116"/>
      <c r="AS231" s="116"/>
      <c r="AT231" s="116"/>
      <c r="AU231" s="116"/>
      <c r="AV231" s="116"/>
      <c r="AW231" s="116"/>
      <c r="AX231" s="116"/>
      <c r="AY231" s="116"/>
      <c r="AZ231" s="116"/>
      <c r="BA231" s="116"/>
      <c r="BB231" s="116"/>
      <c r="BC231" s="116"/>
      <c r="BD231" s="116"/>
      <c r="BE231" s="116"/>
      <c r="BF231" s="116"/>
      <c r="BG231" s="116"/>
      <c r="BH231" s="116"/>
      <c r="BI231" s="116"/>
      <c r="BJ231" s="116"/>
      <c r="BK231" s="116"/>
      <c r="BL231" s="116"/>
      <c r="BM231" s="116"/>
      <c r="BN231" s="116"/>
      <c r="BO231" s="116"/>
      <c r="BP231" s="116"/>
      <c r="BQ231" s="116"/>
      <c r="BR231" s="116"/>
      <c r="BS231" s="116"/>
      <c r="BT231" s="116"/>
      <c r="BU231" s="116"/>
      <c r="BV231" s="116"/>
      <c r="BW231" s="116"/>
      <c r="BX231" s="116"/>
      <c r="BY231" s="116"/>
      <c r="BZ231" s="116"/>
      <c r="CA231" s="116"/>
      <c r="CB231" s="116"/>
      <c r="CC231" s="116"/>
      <c r="CD231" s="116"/>
      <c r="CE231" s="116"/>
      <c r="CF231" s="116"/>
      <c r="CG231" s="116"/>
      <c r="CH231" s="117"/>
    </row>
    <row r="232" spans="1:86" x14ac:dyDescent="0.2">
      <c r="N232" s="115"/>
      <c r="O232" s="116"/>
      <c r="P232" s="116"/>
      <c r="Q232" s="116"/>
      <c r="R232" s="116"/>
      <c r="S232" s="116"/>
      <c r="T232" s="116"/>
      <c r="U232" s="116"/>
      <c r="V232" s="116"/>
      <c r="W232" s="116"/>
      <c r="X232" s="116"/>
      <c r="Y232" s="116"/>
      <c r="Z232" s="116"/>
      <c r="AA232" s="116"/>
      <c r="AB232" s="116"/>
      <c r="AC232" s="116"/>
      <c r="AD232" s="116"/>
      <c r="AE232" s="116"/>
      <c r="AF232" s="116"/>
      <c r="AG232" s="116"/>
      <c r="AH232" s="116"/>
      <c r="AI232" s="116"/>
      <c r="AJ232" s="116"/>
      <c r="AK232" s="116"/>
      <c r="AL232" s="116"/>
      <c r="AM232" s="116"/>
      <c r="AN232" s="116"/>
      <c r="AO232" s="116"/>
      <c r="AP232" s="116"/>
      <c r="AQ232" s="116"/>
      <c r="AR232" s="116"/>
      <c r="AS232" s="116"/>
      <c r="AT232" s="116"/>
      <c r="AU232" s="116"/>
      <c r="AV232" s="116"/>
      <c r="AW232" s="116"/>
      <c r="AX232" s="116"/>
      <c r="AY232" s="116"/>
      <c r="AZ232" s="116"/>
      <c r="BA232" s="116"/>
      <c r="BB232" s="116"/>
      <c r="BC232" s="116"/>
      <c r="BD232" s="116"/>
      <c r="BE232" s="116"/>
      <c r="BF232" s="116"/>
      <c r="BG232" s="116"/>
      <c r="BH232" s="116"/>
      <c r="BI232" s="116"/>
      <c r="BJ232" s="116"/>
      <c r="BK232" s="116"/>
      <c r="BL232" s="116"/>
      <c r="BM232" s="116"/>
      <c r="BN232" s="116"/>
      <c r="BO232" s="116"/>
      <c r="BP232" s="116"/>
      <c r="BQ232" s="116"/>
      <c r="BR232" s="116"/>
      <c r="BS232" s="116"/>
      <c r="BT232" s="116"/>
      <c r="BU232" s="116"/>
      <c r="BV232" s="116"/>
      <c r="BW232" s="116"/>
      <c r="BX232" s="116"/>
      <c r="BY232" s="116"/>
      <c r="BZ232" s="116"/>
      <c r="CA232" s="116"/>
      <c r="CB232" s="116"/>
      <c r="CC232" s="116"/>
      <c r="CD232" s="116"/>
      <c r="CE232" s="116"/>
      <c r="CF232" s="116"/>
      <c r="CG232" s="116"/>
      <c r="CH232" s="117"/>
    </row>
    <row r="233" spans="1:86" x14ac:dyDescent="0.2">
      <c r="N233" s="115"/>
      <c r="O233" s="116"/>
      <c r="P233" s="116"/>
      <c r="Q233" s="116"/>
      <c r="R233" s="116"/>
      <c r="S233" s="116"/>
      <c r="T233" s="116"/>
      <c r="U233" s="116"/>
      <c r="V233" s="116"/>
      <c r="W233" s="116"/>
      <c r="X233" s="116"/>
      <c r="Y233" s="116"/>
      <c r="Z233" s="116"/>
      <c r="AA233" s="116"/>
      <c r="AB233" s="116"/>
      <c r="AC233" s="116"/>
      <c r="AD233" s="116"/>
      <c r="AE233" s="116"/>
      <c r="AF233" s="116"/>
      <c r="AG233" s="116"/>
      <c r="AH233" s="116"/>
      <c r="AI233" s="116"/>
      <c r="AJ233" s="116"/>
      <c r="AK233" s="116"/>
      <c r="AL233" s="116"/>
      <c r="AM233" s="116"/>
      <c r="AN233" s="116"/>
      <c r="AO233" s="116"/>
      <c r="AP233" s="116"/>
      <c r="AQ233" s="116"/>
      <c r="AR233" s="116"/>
      <c r="AS233" s="116"/>
      <c r="AT233" s="116"/>
      <c r="AU233" s="116"/>
      <c r="AV233" s="116"/>
      <c r="AW233" s="116"/>
      <c r="AX233" s="116"/>
      <c r="AY233" s="116"/>
      <c r="AZ233" s="116"/>
      <c r="BA233" s="116"/>
      <c r="BB233" s="116"/>
      <c r="BC233" s="116"/>
      <c r="BD233" s="116"/>
      <c r="BE233" s="116"/>
      <c r="BF233" s="116"/>
      <c r="BG233" s="116"/>
      <c r="BH233" s="116"/>
      <c r="BI233" s="116"/>
      <c r="BJ233" s="116"/>
      <c r="BK233" s="116"/>
      <c r="BL233" s="116"/>
      <c r="BM233" s="116"/>
      <c r="BN233" s="116"/>
      <c r="BO233" s="116"/>
      <c r="BP233" s="116"/>
      <c r="BQ233" s="116"/>
      <c r="BR233" s="116"/>
      <c r="BS233" s="116"/>
      <c r="BT233" s="116"/>
      <c r="BU233" s="116"/>
      <c r="BV233" s="116"/>
      <c r="BW233" s="116"/>
      <c r="BX233" s="116"/>
      <c r="BY233" s="116"/>
      <c r="BZ233" s="116"/>
      <c r="CA233" s="116"/>
      <c r="CB233" s="116"/>
      <c r="CC233" s="116"/>
      <c r="CD233" s="116"/>
      <c r="CE233" s="116"/>
      <c r="CF233" s="116"/>
      <c r="CG233" s="116"/>
      <c r="CH233" s="117"/>
    </row>
    <row r="234" spans="1:86" x14ac:dyDescent="0.2">
      <c r="N234" s="115"/>
      <c r="O234" s="116"/>
      <c r="P234" s="116"/>
      <c r="Q234" s="116"/>
      <c r="R234" s="116"/>
      <c r="S234" s="116"/>
      <c r="T234" s="116"/>
      <c r="U234" s="116"/>
      <c r="V234" s="116"/>
      <c r="W234" s="116"/>
      <c r="X234" s="116"/>
      <c r="Y234" s="116"/>
      <c r="Z234" s="116"/>
      <c r="AA234" s="116"/>
      <c r="AB234" s="116"/>
      <c r="AC234" s="116"/>
      <c r="AD234" s="116"/>
      <c r="AE234" s="116"/>
      <c r="AF234" s="116"/>
      <c r="AG234" s="116"/>
      <c r="AH234" s="116"/>
      <c r="AI234" s="116"/>
      <c r="AJ234" s="116"/>
      <c r="AK234" s="116"/>
      <c r="AL234" s="116"/>
      <c r="AM234" s="116"/>
      <c r="AN234" s="116"/>
      <c r="AO234" s="116"/>
      <c r="AP234" s="116"/>
      <c r="AQ234" s="116"/>
      <c r="AR234" s="116"/>
      <c r="AS234" s="116"/>
      <c r="AT234" s="116"/>
      <c r="AU234" s="116"/>
      <c r="AV234" s="116"/>
      <c r="AW234" s="116"/>
      <c r="AX234" s="116"/>
      <c r="AY234" s="116"/>
      <c r="AZ234" s="116"/>
      <c r="BA234" s="116"/>
      <c r="BB234" s="116"/>
      <c r="BC234" s="116"/>
      <c r="BD234" s="116"/>
      <c r="BE234" s="116"/>
      <c r="BF234" s="116"/>
      <c r="BG234" s="116"/>
      <c r="BH234" s="116"/>
      <c r="BI234" s="116"/>
      <c r="BJ234" s="116"/>
      <c r="BK234" s="116"/>
      <c r="BL234" s="116"/>
      <c r="BM234" s="116"/>
      <c r="BN234" s="116"/>
      <c r="BO234" s="116"/>
      <c r="BP234" s="116"/>
      <c r="BQ234" s="116"/>
      <c r="BR234" s="116"/>
      <c r="BS234" s="116"/>
      <c r="BT234" s="116"/>
      <c r="BU234" s="116"/>
      <c r="BV234" s="116"/>
      <c r="BW234" s="116"/>
      <c r="BX234" s="116"/>
      <c r="BY234" s="116"/>
      <c r="BZ234" s="116"/>
      <c r="CA234" s="116"/>
      <c r="CB234" s="116"/>
      <c r="CC234" s="116"/>
      <c r="CD234" s="116"/>
      <c r="CE234" s="116"/>
      <c r="CF234" s="116"/>
      <c r="CG234" s="116"/>
      <c r="CH234" s="117"/>
    </row>
    <row r="235" spans="1:86" x14ac:dyDescent="0.2">
      <c r="A235" s="151"/>
      <c r="N235" s="115"/>
      <c r="O235" s="116"/>
      <c r="P235" s="116"/>
      <c r="Q235" s="116"/>
      <c r="R235" s="116"/>
      <c r="S235" s="116"/>
      <c r="T235" s="116"/>
      <c r="U235" s="116"/>
      <c r="V235" s="116"/>
      <c r="W235" s="116"/>
      <c r="X235" s="116"/>
      <c r="Y235" s="116"/>
      <c r="Z235" s="116"/>
      <c r="AA235" s="116"/>
      <c r="AB235" s="116"/>
      <c r="AC235" s="116"/>
      <c r="AD235" s="116"/>
      <c r="AE235" s="116"/>
      <c r="AF235" s="116"/>
      <c r="AG235" s="116"/>
      <c r="AH235" s="116"/>
      <c r="AI235" s="116"/>
      <c r="AJ235" s="116"/>
      <c r="AK235" s="116"/>
      <c r="AL235" s="116"/>
      <c r="AM235" s="116"/>
      <c r="AN235" s="116"/>
      <c r="AO235" s="116"/>
      <c r="AP235" s="116"/>
      <c r="AQ235" s="116"/>
      <c r="AR235" s="116"/>
      <c r="AS235" s="116"/>
      <c r="AT235" s="116"/>
      <c r="AU235" s="116"/>
      <c r="AV235" s="116"/>
      <c r="AW235" s="116"/>
      <c r="AX235" s="116"/>
      <c r="AY235" s="116"/>
      <c r="AZ235" s="116"/>
      <c r="BA235" s="116"/>
      <c r="BB235" s="116"/>
      <c r="BC235" s="116"/>
      <c r="BD235" s="116"/>
      <c r="BE235" s="116"/>
      <c r="BF235" s="116"/>
      <c r="BG235" s="116"/>
      <c r="BH235" s="116"/>
      <c r="BI235" s="116"/>
      <c r="BJ235" s="116"/>
      <c r="BK235" s="116"/>
      <c r="BL235" s="116"/>
      <c r="BM235" s="116"/>
      <c r="BN235" s="116"/>
      <c r="BO235" s="116"/>
      <c r="BP235" s="116"/>
      <c r="BQ235" s="116"/>
      <c r="BR235" s="116"/>
      <c r="BS235" s="116"/>
      <c r="BT235" s="116"/>
      <c r="BU235" s="116"/>
      <c r="BV235" s="116"/>
      <c r="BW235" s="116"/>
      <c r="BX235" s="116"/>
      <c r="BY235" s="116"/>
      <c r="BZ235" s="116"/>
      <c r="CA235" s="116"/>
      <c r="CB235" s="116"/>
      <c r="CC235" s="116"/>
      <c r="CD235" s="116"/>
      <c r="CE235" s="116"/>
      <c r="CF235" s="116"/>
      <c r="CG235" s="116"/>
      <c r="CH235" s="117"/>
    </row>
    <row r="236" spans="1:86" x14ac:dyDescent="0.2">
      <c r="N236" s="115"/>
      <c r="O236" s="116"/>
      <c r="P236" s="116"/>
      <c r="Q236" s="116"/>
      <c r="R236" s="116"/>
      <c r="S236" s="116"/>
      <c r="T236" s="116"/>
      <c r="U236" s="116"/>
      <c r="V236" s="116"/>
      <c r="W236" s="116"/>
      <c r="X236" s="116"/>
      <c r="Y236" s="116"/>
      <c r="Z236" s="116"/>
      <c r="AA236" s="116"/>
      <c r="AB236" s="116"/>
      <c r="AC236" s="116"/>
      <c r="AD236" s="116"/>
      <c r="AE236" s="116"/>
      <c r="AF236" s="116"/>
      <c r="AG236" s="116"/>
      <c r="AH236" s="116"/>
      <c r="AI236" s="116"/>
      <c r="AJ236" s="116"/>
      <c r="AK236" s="116"/>
      <c r="AL236" s="116"/>
      <c r="AM236" s="116"/>
      <c r="AN236" s="116"/>
      <c r="AO236" s="116"/>
      <c r="AP236" s="116"/>
      <c r="AQ236" s="116"/>
      <c r="AR236" s="116"/>
      <c r="AS236" s="116"/>
      <c r="AT236" s="116"/>
      <c r="AU236" s="116"/>
      <c r="AV236" s="116"/>
      <c r="AW236" s="116"/>
      <c r="AX236" s="116"/>
      <c r="AY236" s="116"/>
      <c r="AZ236" s="116"/>
      <c r="BA236" s="116"/>
      <c r="BB236" s="116"/>
      <c r="BC236" s="116"/>
      <c r="BD236" s="116"/>
      <c r="BE236" s="116"/>
      <c r="BF236" s="116"/>
      <c r="BG236" s="116"/>
      <c r="BH236" s="116"/>
      <c r="BI236" s="116"/>
      <c r="BJ236" s="116"/>
      <c r="BK236" s="116"/>
      <c r="BL236" s="116"/>
      <c r="BM236" s="116"/>
      <c r="BN236" s="116"/>
      <c r="BO236" s="116"/>
      <c r="BP236" s="116"/>
      <c r="BQ236" s="116"/>
      <c r="BR236" s="116"/>
      <c r="BS236" s="116"/>
      <c r="BT236" s="116"/>
      <c r="BU236" s="116"/>
      <c r="BV236" s="116"/>
      <c r="BW236" s="116"/>
      <c r="BX236" s="116"/>
      <c r="BY236" s="116"/>
      <c r="BZ236" s="116"/>
      <c r="CA236" s="116"/>
      <c r="CB236" s="116"/>
      <c r="CC236" s="116"/>
      <c r="CD236" s="116"/>
      <c r="CE236" s="116"/>
      <c r="CF236" s="116"/>
      <c r="CG236" s="116"/>
      <c r="CH236" s="117"/>
    </row>
    <row r="237" spans="1:86" x14ac:dyDescent="0.2">
      <c r="N237" s="115"/>
      <c r="O237" s="116"/>
      <c r="P237" s="116"/>
      <c r="Q237" s="116"/>
      <c r="R237" s="116"/>
      <c r="S237" s="116"/>
      <c r="T237" s="116"/>
      <c r="U237" s="116"/>
      <c r="V237" s="116"/>
      <c r="W237" s="116"/>
      <c r="X237" s="116"/>
      <c r="Y237" s="116"/>
      <c r="Z237" s="116"/>
      <c r="AA237" s="116"/>
      <c r="AB237" s="116"/>
      <c r="AC237" s="116"/>
      <c r="AD237" s="116"/>
      <c r="AE237" s="116"/>
      <c r="AF237" s="116"/>
      <c r="AG237" s="116"/>
      <c r="AH237" s="116"/>
      <c r="AI237" s="116"/>
      <c r="AJ237" s="116"/>
      <c r="AK237" s="116"/>
      <c r="AL237" s="116"/>
      <c r="AM237" s="116"/>
      <c r="AN237" s="116"/>
      <c r="AO237" s="116"/>
      <c r="AP237" s="116"/>
      <c r="AQ237" s="116"/>
      <c r="AR237" s="116"/>
      <c r="AS237" s="116"/>
      <c r="AT237" s="116"/>
      <c r="AU237" s="116"/>
      <c r="AV237" s="116"/>
      <c r="AW237" s="116"/>
      <c r="AX237" s="116"/>
      <c r="AY237" s="116"/>
      <c r="AZ237" s="116"/>
      <c r="BA237" s="116"/>
      <c r="BB237" s="116"/>
      <c r="BC237" s="116"/>
      <c r="BD237" s="116"/>
      <c r="BE237" s="116"/>
      <c r="BF237" s="116"/>
      <c r="BG237" s="116"/>
      <c r="BH237" s="116"/>
      <c r="BI237" s="116"/>
      <c r="BJ237" s="116"/>
      <c r="BK237" s="116"/>
      <c r="BL237" s="116"/>
      <c r="BM237" s="116"/>
      <c r="BN237" s="116"/>
      <c r="BO237" s="116"/>
      <c r="BP237" s="116"/>
      <c r="BQ237" s="116"/>
      <c r="BR237" s="116"/>
      <c r="BS237" s="116"/>
      <c r="BT237" s="116"/>
      <c r="BU237" s="116"/>
      <c r="BV237" s="116"/>
      <c r="BW237" s="116"/>
      <c r="BX237" s="116"/>
      <c r="BY237" s="116"/>
      <c r="BZ237" s="116"/>
      <c r="CA237" s="116"/>
      <c r="CB237" s="116"/>
      <c r="CC237" s="116"/>
      <c r="CD237" s="116"/>
      <c r="CE237" s="116"/>
      <c r="CF237" s="116"/>
      <c r="CG237" s="116"/>
      <c r="CH237" s="117"/>
    </row>
    <row r="238" spans="1:86" x14ac:dyDescent="0.2">
      <c r="N238" s="115"/>
      <c r="O238" s="116"/>
      <c r="P238" s="116"/>
      <c r="Q238" s="116"/>
      <c r="R238" s="116"/>
      <c r="S238" s="116"/>
      <c r="T238" s="116"/>
      <c r="U238" s="116"/>
      <c r="V238" s="116"/>
      <c r="W238" s="116"/>
      <c r="X238" s="116"/>
      <c r="Y238" s="116"/>
      <c r="Z238" s="116"/>
      <c r="AA238" s="116"/>
      <c r="AB238" s="116"/>
      <c r="AC238" s="116"/>
      <c r="AD238" s="116"/>
      <c r="AE238" s="116"/>
      <c r="AF238" s="116"/>
      <c r="AG238" s="116"/>
      <c r="AH238" s="116"/>
      <c r="AI238" s="116"/>
      <c r="AJ238" s="116"/>
      <c r="AK238" s="116"/>
      <c r="AL238" s="116"/>
      <c r="AM238" s="116"/>
      <c r="AN238" s="116"/>
      <c r="AO238" s="116"/>
      <c r="AP238" s="116"/>
      <c r="AQ238" s="116"/>
      <c r="AR238" s="116"/>
      <c r="AS238" s="116"/>
      <c r="AT238" s="116"/>
      <c r="AU238" s="116"/>
      <c r="AV238" s="116"/>
      <c r="AW238" s="116"/>
      <c r="AX238" s="116"/>
      <c r="AY238" s="116"/>
      <c r="AZ238" s="116"/>
      <c r="BA238" s="116"/>
      <c r="BB238" s="116"/>
      <c r="BC238" s="116"/>
      <c r="BD238" s="116"/>
      <c r="BE238" s="116"/>
      <c r="BF238" s="116"/>
      <c r="BG238" s="116"/>
      <c r="BH238" s="116"/>
      <c r="BI238" s="116"/>
      <c r="BJ238" s="116"/>
      <c r="BK238" s="116"/>
      <c r="BL238" s="116"/>
      <c r="BM238" s="116"/>
      <c r="BN238" s="116"/>
      <c r="BO238" s="116"/>
      <c r="BP238" s="116"/>
      <c r="BQ238" s="116"/>
      <c r="BR238" s="116"/>
      <c r="BS238" s="116"/>
      <c r="BT238" s="116"/>
      <c r="BU238" s="116"/>
      <c r="BV238" s="116"/>
      <c r="BW238" s="116"/>
      <c r="BX238" s="116"/>
      <c r="BY238" s="116"/>
      <c r="BZ238" s="116"/>
      <c r="CA238" s="116"/>
      <c r="CB238" s="116"/>
      <c r="CC238" s="116"/>
      <c r="CD238" s="116"/>
      <c r="CE238" s="116"/>
      <c r="CF238" s="116"/>
      <c r="CG238" s="116"/>
      <c r="CH238" s="117"/>
    </row>
    <row r="239" spans="1:86" x14ac:dyDescent="0.2">
      <c r="N239" s="115"/>
      <c r="O239" s="116"/>
      <c r="P239" s="116"/>
      <c r="Q239" s="116"/>
      <c r="R239" s="116"/>
      <c r="S239" s="116"/>
      <c r="T239" s="116"/>
      <c r="U239" s="116"/>
      <c r="V239" s="116"/>
      <c r="W239" s="116"/>
      <c r="X239" s="116"/>
      <c r="Y239" s="116"/>
      <c r="Z239" s="116"/>
      <c r="AA239" s="116"/>
      <c r="AB239" s="116"/>
      <c r="AC239" s="116"/>
      <c r="AD239" s="116"/>
      <c r="AE239" s="116"/>
      <c r="AF239" s="116"/>
      <c r="AG239" s="116"/>
      <c r="AH239" s="116"/>
      <c r="AI239" s="116"/>
      <c r="AJ239" s="116"/>
      <c r="AK239" s="116"/>
      <c r="AL239" s="116"/>
      <c r="AM239" s="116"/>
      <c r="AN239" s="116"/>
      <c r="AO239" s="116"/>
      <c r="AP239" s="116"/>
      <c r="AQ239" s="116"/>
      <c r="AR239" s="116"/>
      <c r="AS239" s="116"/>
      <c r="AT239" s="116"/>
      <c r="AU239" s="116"/>
      <c r="AV239" s="116"/>
      <c r="AW239" s="116"/>
      <c r="AX239" s="116"/>
      <c r="AY239" s="116"/>
      <c r="AZ239" s="116"/>
      <c r="BA239" s="116"/>
      <c r="BB239" s="116"/>
      <c r="BC239" s="116"/>
      <c r="BD239" s="116"/>
      <c r="BE239" s="116"/>
      <c r="BF239" s="116"/>
      <c r="BG239" s="116"/>
      <c r="BH239" s="116"/>
      <c r="BI239" s="116"/>
      <c r="BJ239" s="116"/>
      <c r="BK239" s="116"/>
      <c r="BL239" s="116"/>
      <c r="BM239" s="116"/>
      <c r="BN239" s="116"/>
      <c r="BO239" s="116"/>
      <c r="BP239" s="116"/>
      <c r="BQ239" s="116"/>
      <c r="BR239" s="116"/>
      <c r="BS239" s="116"/>
      <c r="BT239" s="116"/>
      <c r="BU239" s="116"/>
      <c r="BV239" s="116"/>
      <c r="BW239" s="116"/>
      <c r="BX239" s="116"/>
      <c r="BY239" s="116"/>
      <c r="BZ239" s="116"/>
      <c r="CA239" s="116"/>
      <c r="CB239" s="116"/>
      <c r="CC239" s="116"/>
      <c r="CD239" s="116"/>
      <c r="CE239" s="116"/>
      <c r="CF239" s="116"/>
      <c r="CG239" s="116"/>
      <c r="CH239" s="117"/>
    </row>
    <row r="240" spans="1:86" x14ac:dyDescent="0.2">
      <c r="N240" s="115"/>
      <c r="O240" s="116"/>
      <c r="P240" s="116"/>
      <c r="Q240" s="116"/>
      <c r="R240" s="116"/>
      <c r="S240" s="116"/>
      <c r="T240" s="116"/>
      <c r="U240" s="116"/>
      <c r="V240" s="116"/>
      <c r="W240" s="116"/>
      <c r="X240" s="116"/>
      <c r="Y240" s="116"/>
      <c r="Z240" s="116"/>
      <c r="AA240" s="116"/>
      <c r="AB240" s="116"/>
      <c r="AC240" s="116"/>
      <c r="AD240" s="116"/>
      <c r="AE240" s="116"/>
      <c r="AF240" s="116"/>
      <c r="AG240" s="116"/>
      <c r="AH240" s="116"/>
      <c r="AI240" s="116"/>
      <c r="AJ240" s="116"/>
      <c r="AK240" s="116"/>
      <c r="AL240" s="116"/>
      <c r="AM240" s="116"/>
      <c r="AN240" s="116"/>
      <c r="AO240" s="116"/>
      <c r="AP240" s="116"/>
      <c r="AQ240" s="116"/>
      <c r="AR240" s="116"/>
      <c r="AS240" s="116"/>
      <c r="AT240" s="116"/>
      <c r="AU240" s="116"/>
      <c r="AV240" s="116"/>
      <c r="AW240" s="116"/>
      <c r="AX240" s="116"/>
      <c r="AY240" s="116"/>
      <c r="AZ240" s="116"/>
      <c r="BA240" s="116"/>
      <c r="BB240" s="116"/>
      <c r="BC240" s="116"/>
      <c r="BD240" s="116"/>
      <c r="BE240" s="116"/>
      <c r="BF240" s="116"/>
      <c r="BG240" s="116"/>
      <c r="BH240" s="116"/>
      <c r="BI240" s="116"/>
      <c r="BJ240" s="116"/>
      <c r="BK240" s="116"/>
      <c r="BL240" s="116"/>
      <c r="BM240" s="116"/>
      <c r="BN240" s="116"/>
      <c r="BO240" s="116"/>
      <c r="BP240" s="116"/>
      <c r="BQ240" s="116"/>
      <c r="BR240" s="116"/>
      <c r="BS240" s="116"/>
      <c r="BT240" s="116"/>
      <c r="BU240" s="116"/>
      <c r="BV240" s="116"/>
      <c r="BW240" s="116"/>
      <c r="BX240" s="116"/>
      <c r="BY240" s="116"/>
      <c r="BZ240" s="116"/>
      <c r="CA240" s="116"/>
      <c r="CB240" s="116"/>
      <c r="CC240" s="116"/>
      <c r="CD240" s="116"/>
      <c r="CE240" s="116"/>
      <c r="CF240" s="116"/>
      <c r="CG240" s="116"/>
      <c r="CH240" s="117"/>
    </row>
    <row r="241" spans="14:86" x14ac:dyDescent="0.2">
      <c r="N241" s="115"/>
      <c r="O241" s="116"/>
      <c r="P241" s="116"/>
      <c r="Q241" s="116"/>
      <c r="R241" s="116"/>
      <c r="S241" s="116"/>
      <c r="T241" s="116"/>
      <c r="U241" s="116"/>
      <c r="V241" s="116"/>
      <c r="W241" s="116"/>
      <c r="X241" s="116"/>
      <c r="Y241" s="116"/>
      <c r="Z241" s="116"/>
      <c r="AA241" s="116"/>
      <c r="AB241" s="116"/>
      <c r="AC241" s="116"/>
      <c r="AD241" s="116"/>
      <c r="AE241" s="116"/>
      <c r="AF241" s="116"/>
      <c r="AG241" s="116"/>
      <c r="AH241" s="116"/>
      <c r="AI241" s="116"/>
      <c r="AJ241" s="116"/>
      <c r="AK241" s="116"/>
      <c r="AL241" s="116"/>
      <c r="AM241" s="116"/>
      <c r="AN241" s="116"/>
      <c r="AO241" s="116"/>
      <c r="AP241" s="116"/>
      <c r="AQ241" s="116"/>
      <c r="AR241" s="116"/>
      <c r="AS241" s="116"/>
      <c r="AT241" s="116"/>
      <c r="AU241" s="116"/>
      <c r="AV241" s="116"/>
      <c r="AW241" s="116"/>
      <c r="AX241" s="116"/>
      <c r="AY241" s="116"/>
      <c r="AZ241" s="116"/>
      <c r="BA241" s="116"/>
      <c r="BB241" s="116"/>
      <c r="BC241" s="116"/>
      <c r="BD241" s="116"/>
      <c r="BE241" s="116"/>
      <c r="BF241" s="116"/>
      <c r="BG241" s="116"/>
      <c r="BH241" s="116"/>
      <c r="BI241" s="116"/>
      <c r="BJ241" s="116"/>
      <c r="BK241" s="116"/>
      <c r="BL241" s="116"/>
      <c r="BM241" s="116"/>
      <c r="BN241" s="116"/>
      <c r="BO241" s="116"/>
      <c r="BP241" s="116"/>
      <c r="BQ241" s="116"/>
      <c r="BR241" s="116"/>
      <c r="BS241" s="116"/>
      <c r="BT241" s="116"/>
      <c r="BU241" s="116"/>
      <c r="BV241" s="116"/>
      <c r="BW241" s="116"/>
      <c r="BX241" s="116"/>
      <c r="BY241" s="116"/>
      <c r="BZ241" s="116"/>
      <c r="CA241" s="116"/>
      <c r="CB241" s="116"/>
      <c r="CC241" s="116"/>
      <c r="CD241" s="116"/>
      <c r="CE241" s="116"/>
      <c r="CF241" s="116"/>
      <c r="CG241" s="116"/>
      <c r="CH241" s="117"/>
    </row>
    <row r="242" spans="14:86" x14ac:dyDescent="0.2">
      <c r="N242" s="115"/>
      <c r="O242" s="116"/>
      <c r="P242" s="116"/>
      <c r="Q242" s="116"/>
      <c r="R242" s="116"/>
      <c r="S242" s="116"/>
      <c r="T242" s="116"/>
      <c r="U242" s="116"/>
      <c r="V242" s="116"/>
      <c r="W242" s="116"/>
      <c r="X242" s="116"/>
      <c r="Y242" s="116"/>
      <c r="Z242" s="116"/>
      <c r="AA242" s="116"/>
      <c r="AB242" s="116"/>
      <c r="AC242" s="116"/>
      <c r="AD242" s="116"/>
      <c r="AE242" s="116"/>
      <c r="AF242" s="116"/>
      <c r="AG242" s="116"/>
      <c r="AH242" s="116"/>
      <c r="AI242" s="116"/>
      <c r="AJ242" s="116"/>
      <c r="AK242" s="116"/>
      <c r="AL242" s="116"/>
      <c r="AM242" s="116"/>
      <c r="AN242" s="116"/>
      <c r="AO242" s="116"/>
      <c r="AP242" s="116"/>
      <c r="AQ242" s="116"/>
      <c r="AR242" s="116"/>
      <c r="AS242" s="116"/>
      <c r="AT242" s="116"/>
      <c r="AU242" s="116"/>
      <c r="AV242" s="116"/>
      <c r="AW242" s="116"/>
      <c r="AX242" s="116"/>
      <c r="AY242" s="116"/>
      <c r="AZ242" s="116"/>
      <c r="BA242" s="116"/>
      <c r="BB242" s="116"/>
      <c r="BC242" s="116"/>
      <c r="BD242" s="116"/>
      <c r="BE242" s="116"/>
      <c r="BF242" s="116"/>
      <c r="BG242" s="116"/>
      <c r="BH242" s="116"/>
      <c r="BI242" s="116"/>
      <c r="BJ242" s="116"/>
      <c r="BK242" s="116"/>
      <c r="BL242" s="116"/>
      <c r="BM242" s="116"/>
      <c r="BN242" s="116"/>
      <c r="BO242" s="116"/>
      <c r="BP242" s="116"/>
      <c r="BQ242" s="116"/>
      <c r="BR242" s="116"/>
      <c r="BS242" s="116"/>
      <c r="BT242" s="116"/>
      <c r="BU242" s="116"/>
      <c r="BV242" s="116"/>
      <c r="BW242" s="116"/>
      <c r="BX242" s="116"/>
      <c r="BY242" s="116"/>
      <c r="BZ242" s="116"/>
      <c r="CA242" s="116"/>
      <c r="CB242" s="116"/>
      <c r="CC242" s="116"/>
      <c r="CD242" s="116"/>
      <c r="CE242" s="116"/>
      <c r="CF242" s="116"/>
      <c r="CG242" s="116"/>
      <c r="CH242" s="117"/>
    </row>
    <row r="243" spans="14:86" x14ac:dyDescent="0.2">
      <c r="N243" s="115"/>
      <c r="O243" s="116"/>
      <c r="P243" s="116"/>
      <c r="Q243" s="116"/>
      <c r="R243" s="116"/>
      <c r="S243" s="116"/>
      <c r="T243" s="116"/>
      <c r="U243" s="116"/>
      <c r="V243" s="116"/>
      <c r="W243" s="116"/>
      <c r="X243" s="116"/>
      <c r="Y243" s="116"/>
      <c r="Z243" s="116"/>
      <c r="AA243" s="116"/>
      <c r="AB243" s="116"/>
      <c r="AC243" s="116"/>
      <c r="AD243" s="116"/>
      <c r="AE243" s="116"/>
      <c r="AF243" s="116"/>
      <c r="AG243" s="116"/>
      <c r="AH243" s="116"/>
      <c r="AI243" s="116"/>
      <c r="AJ243" s="116"/>
      <c r="AK243" s="116"/>
      <c r="AL243" s="116"/>
      <c r="AM243" s="116"/>
      <c r="AN243" s="116"/>
      <c r="AO243" s="116"/>
      <c r="AP243" s="116"/>
      <c r="AQ243" s="116"/>
      <c r="AR243" s="116"/>
      <c r="AS243" s="116"/>
      <c r="AT243" s="116"/>
      <c r="AU243" s="116"/>
      <c r="AV243" s="116"/>
      <c r="AW243" s="116"/>
      <c r="AX243" s="116"/>
      <c r="AY243" s="116"/>
      <c r="AZ243" s="116"/>
      <c r="BA243" s="116"/>
      <c r="BB243" s="116"/>
      <c r="BC243" s="116"/>
      <c r="BD243" s="116"/>
      <c r="BE243" s="116"/>
      <c r="BF243" s="116"/>
      <c r="BG243" s="116"/>
      <c r="BH243" s="116"/>
      <c r="BI243" s="116"/>
      <c r="BJ243" s="116"/>
      <c r="BK243" s="116"/>
      <c r="BL243" s="116"/>
      <c r="BM243" s="116"/>
      <c r="BN243" s="116"/>
      <c r="BO243" s="116"/>
      <c r="BP243" s="116"/>
      <c r="BQ243" s="116"/>
      <c r="BR243" s="116"/>
      <c r="BS243" s="116"/>
      <c r="BT243" s="116"/>
      <c r="BU243" s="116"/>
      <c r="BV243" s="116"/>
      <c r="BW243" s="116"/>
      <c r="BX243" s="116"/>
      <c r="BY243" s="116"/>
      <c r="BZ243" s="116"/>
      <c r="CA243" s="116"/>
      <c r="CB243" s="116"/>
      <c r="CC243" s="116"/>
      <c r="CD243" s="116"/>
      <c r="CE243" s="116"/>
      <c r="CF243" s="116"/>
      <c r="CG243" s="116"/>
      <c r="CH243" s="117"/>
    </row>
    <row r="244" spans="14:86" x14ac:dyDescent="0.2">
      <c r="N244" s="115"/>
      <c r="O244" s="116"/>
      <c r="P244" s="116"/>
      <c r="Q244" s="116"/>
      <c r="R244" s="116"/>
      <c r="S244" s="116"/>
      <c r="T244" s="116"/>
      <c r="U244" s="116"/>
      <c r="V244" s="116"/>
      <c r="W244" s="116"/>
      <c r="X244" s="116"/>
      <c r="Y244" s="116"/>
      <c r="Z244" s="116"/>
      <c r="AA244" s="116"/>
      <c r="AB244" s="116"/>
      <c r="AC244" s="116"/>
      <c r="AD244" s="116"/>
      <c r="AE244" s="116"/>
      <c r="AF244" s="116"/>
      <c r="AG244" s="116"/>
      <c r="AH244" s="116"/>
      <c r="AI244" s="116"/>
      <c r="AJ244" s="116"/>
      <c r="AK244" s="116"/>
      <c r="AL244" s="116"/>
      <c r="AM244" s="116"/>
      <c r="AN244" s="116"/>
      <c r="AO244" s="116"/>
      <c r="AP244" s="116"/>
      <c r="AQ244" s="116"/>
      <c r="AR244" s="116"/>
      <c r="AS244" s="116"/>
      <c r="AT244" s="116"/>
      <c r="AU244" s="116"/>
      <c r="AV244" s="116"/>
      <c r="AW244" s="116"/>
      <c r="AX244" s="116"/>
      <c r="AY244" s="116"/>
      <c r="AZ244" s="116"/>
      <c r="BA244" s="116"/>
      <c r="BB244" s="116"/>
      <c r="BC244" s="116"/>
      <c r="BD244" s="116"/>
      <c r="BE244" s="116"/>
      <c r="BF244" s="116"/>
      <c r="BG244" s="116"/>
      <c r="BH244" s="116"/>
      <c r="BI244" s="116"/>
      <c r="BJ244" s="116"/>
      <c r="BK244" s="116"/>
      <c r="BL244" s="116"/>
      <c r="BM244" s="116"/>
      <c r="BN244" s="116"/>
      <c r="BO244" s="116"/>
      <c r="BP244" s="116"/>
      <c r="BQ244" s="116"/>
      <c r="BR244" s="116"/>
      <c r="BS244" s="116"/>
      <c r="BT244" s="116"/>
      <c r="BU244" s="116"/>
      <c r="BV244" s="116"/>
      <c r="BW244" s="116"/>
      <c r="BX244" s="116"/>
      <c r="BY244" s="116"/>
      <c r="BZ244" s="116"/>
      <c r="CA244" s="116"/>
      <c r="CB244" s="116"/>
      <c r="CC244" s="116"/>
      <c r="CD244" s="116"/>
      <c r="CE244" s="116"/>
      <c r="CF244" s="116"/>
      <c r="CG244" s="116"/>
      <c r="CH244" s="117"/>
    </row>
    <row r="245" spans="14:86" x14ac:dyDescent="0.2">
      <c r="N245" s="115"/>
      <c r="O245" s="116"/>
      <c r="P245" s="116"/>
      <c r="Q245" s="116"/>
      <c r="R245" s="116"/>
      <c r="S245" s="116"/>
      <c r="T245" s="116"/>
      <c r="U245" s="116"/>
      <c r="V245" s="116"/>
      <c r="W245" s="116"/>
      <c r="X245" s="116"/>
      <c r="Y245" s="116"/>
      <c r="Z245" s="116"/>
      <c r="AA245" s="116"/>
      <c r="AB245" s="116"/>
      <c r="AC245" s="116"/>
      <c r="AD245" s="116"/>
      <c r="AE245" s="116"/>
      <c r="AF245" s="116"/>
      <c r="AG245" s="116"/>
      <c r="AH245" s="116"/>
      <c r="AI245" s="116"/>
      <c r="AJ245" s="116"/>
      <c r="AK245" s="116"/>
      <c r="AL245" s="116"/>
      <c r="AM245" s="116"/>
      <c r="AN245" s="116"/>
      <c r="AO245" s="116"/>
      <c r="AP245" s="116"/>
      <c r="AQ245" s="116"/>
      <c r="AR245" s="116"/>
      <c r="AS245" s="116"/>
      <c r="AT245" s="116"/>
      <c r="AU245" s="116"/>
      <c r="AV245" s="116"/>
      <c r="AW245" s="116"/>
      <c r="AX245" s="116"/>
      <c r="AY245" s="116"/>
      <c r="AZ245" s="116"/>
      <c r="BA245" s="116"/>
      <c r="BB245" s="116"/>
      <c r="BC245" s="116"/>
      <c r="BD245" s="116"/>
      <c r="BE245" s="116"/>
      <c r="BF245" s="116"/>
      <c r="BG245" s="116"/>
      <c r="BH245" s="116"/>
      <c r="BI245" s="116"/>
      <c r="BJ245" s="116"/>
      <c r="BK245" s="116"/>
      <c r="BL245" s="116"/>
      <c r="BM245" s="116"/>
      <c r="BN245" s="116"/>
      <c r="BO245" s="116"/>
      <c r="BP245" s="116"/>
      <c r="BQ245" s="116"/>
      <c r="BR245" s="116"/>
      <c r="BS245" s="116"/>
      <c r="BT245" s="116"/>
      <c r="BU245" s="116"/>
      <c r="BV245" s="116"/>
      <c r="BW245" s="116"/>
      <c r="BX245" s="116"/>
      <c r="BY245" s="116"/>
      <c r="BZ245" s="116"/>
      <c r="CA245" s="116"/>
      <c r="CB245" s="116"/>
      <c r="CC245" s="116"/>
      <c r="CD245" s="116"/>
      <c r="CE245" s="116"/>
      <c r="CF245" s="116"/>
      <c r="CG245" s="116"/>
      <c r="CH245" s="117"/>
    </row>
    <row r="246" spans="14:86" x14ac:dyDescent="0.2">
      <c r="N246" s="115"/>
      <c r="O246" s="116"/>
      <c r="P246" s="116"/>
      <c r="Q246" s="116"/>
      <c r="R246" s="116"/>
      <c r="S246" s="116"/>
      <c r="T246" s="116"/>
      <c r="U246" s="116"/>
      <c r="V246" s="116"/>
      <c r="W246" s="116"/>
      <c r="X246" s="116"/>
      <c r="Y246" s="116"/>
      <c r="Z246" s="116"/>
      <c r="AA246" s="116"/>
      <c r="AB246" s="116"/>
      <c r="AC246" s="116"/>
      <c r="AD246" s="116"/>
      <c r="AE246" s="116"/>
      <c r="AF246" s="116"/>
      <c r="AG246" s="116"/>
      <c r="AH246" s="116"/>
      <c r="AI246" s="116"/>
      <c r="AJ246" s="116"/>
      <c r="AK246" s="116"/>
      <c r="AL246" s="116"/>
      <c r="AM246" s="116"/>
      <c r="AN246" s="116"/>
      <c r="AO246" s="116"/>
      <c r="AP246" s="116"/>
      <c r="AQ246" s="116"/>
      <c r="AR246" s="116"/>
      <c r="AS246" s="116"/>
      <c r="AT246" s="116"/>
      <c r="AU246" s="116"/>
      <c r="AV246" s="116"/>
      <c r="AW246" s="116"/>
      <c r="AX246" s="116"/>
      <c r="AY246" s="116"/>
      <c r="AZ246" s="116"/>
      <c r="BA246" s="116"/>
      <c r="BB246" s="116"/>
      <c r="BC246" s="116"/>
      <c r="BD246" s="116"/>
      <c r="BE246" s="116"/>
      <c r="BF246" s="116"/>
      <c r="BG246" s="116"/>
      <c r="BH246" s="116"/>
      <c r="BI246" s="116"/>
      <c r="BJ246" s="116"/>
      <c r="BK246" s="116"/>
      <c r="BL246" s="116"/>
      <c r="BM246" s="116"/>
      <c r="BN246" s="116"/>
      <c r="BO246" s="116"/>
      <c r="BP246" s="116"/>
      <c r="BQ246" s="116"/>
      <c r="BR246" s="116"/>
      <c r="BS246" s="116"/>
      <c r="BT246" s="116"/>
      <c r="BU246" s="116"/>
      <c r="BV246" s="116"/>
      <c r="BW246" s="116"/>
      <c r="BX246" s="116"/>
      <c r="BY246" s="116"/>
      <c r="BZ246" s="116"/>
      <c r="CA246" s="116"/>
      <c r="CB246" s="116"/>
      <c r="CC246" s="116"/>
      <c r="CD246" s="116"/>
      <c r="CE246" s="116"/>
      <c r="CF246" s="116"/>
      <c r="CG246" s="116"/>
      <c r="CH246" s="117"/>
    </row>
    <row r="247" spans="14:86" x14ac:dyDescent="0.2">
      <c r="N247" s="115"/>
      <c r="O247" s="116"/>
      <c r="P247" s="116"/>
      <c r="Q247" s="116"/>
      <c r="R247" s="116"/>
      <c r="S247" s="116"/>
      <c r="T247" s="116"/>
      <c r="U247" s="116"/>
      <c r="V247" s="116"/>
      <c r="W247" s="116"/>
      <c r="X247" s="116"/>
      <c r="Y247" s="116"/>
      <c r="Z247" s="116"/>
      <c r="AA247" s="116"/>
      <c r="AB247" s="116"/>
      <c r="AC247" s="116"/>
      <c r="AD247" s="116"/>
      <c r="AE247" s="116"/>
      <c r="AF247" s="116"/>
      <c r="AG247" s="116"/>
      <c r="AH247" s="116"/>
      <c r="AI247" s="116"/>
      <c r="AJ247" s="116"/>
      <c r="AK247" s="116"/>
      <c r="AL247" s="116"/>
      <c r="AM247" s="116"/>
      <c r="AN247" s="116"/>
      <c r="AO247" s="116"/>
      <c r="AP247" s="116"/>
      <c r="AQ247" s="116"/>
      <c r="AR247" s="116"/>
      <c r="AS247" s="116"/>
      <c r="AT247" s="116"/>
      <c r="AU247" s="116"/>
      <c r="AV247" s="116"/>
      <c r="AW247" s="116"/>
      <c r="AX247" s="116"/>
      <c r="AY247" s="116"/>
      <c r="AZ247" s="116"/>
      <c r="BA247" s="116"/>
      <c r="BB247" s="116"/>
      <c r="BC247" s="116"/>
      <c r="BD247" s="116"/>
      <c r="BE247" s="116"/>
      <c r="BF247" s="116"/>
      <c r="BG247" s="116"/>
      <c r="BH247" s="116"/>
      <c r="BI247" s="116"/>
      <c r="BJ247" s="116"/>
      <c r="BK247" s="116"/>
      <c r="BL247" s="116"/>
      <c r="BM247" s="116"/>
      <c r="BN247" s="116"/>
      <c r="BO247" s="116"/>
      <c r="BP247" s="116"/>
      <c r="BQ247" s="116"/>
      <c r="BR247" s="116"/>
      <c r="BS247" s="116"/>
      <c r="BT247" s="116"/>
      <c r="BU247" s="116"/>
      <c r="BV247" s="116"/>
      <c r="BW247" s="116"/>
      <c r="BX247" s="116"/>
      <c r="BY247" s="116"/>
      <c r="BZ247" s="116"/>
      <c r="CA247" s="116"/>
      <c r="CB247" s="116"/>
      <c r="CC247" s="116"/>
      <c r="CD247" s="116"/>
      <c r="CE247" s="116"/>
      <c r="CF247" s="116"/>
      <c r="CG247" s="116"/>
      <c r="CH247" s="117"/>
    </row>
    <row r="248" spans="14:86" x14ac:dyDescent="0.2">
      <c r="N248" s="115"/>
      <c r="O248" s="116"/>
      <c r="P248" s="116"/>
      <c r="Q248" s="116"/>
      <c r="R248" s="116"/>
      <c r="S248" s="116"/>
      <c r="T248" s="116"/>
      <c r="U248" s="116"/>
      <c r="V248" s="116"/>
      <c r="W248" s="116"/>
      <c r="X248" s="116"/>
      <c r="Y248" s="116"/>
      <c r="Z248" s="116"/>
      <c r="AA248" s="116"/>
      <c r="AB248" s="116"/>
      <c r="AC248" s="116"/>
      <c r="AD248" s="116"/>
      <c r="AE248" s="116"/>
      <c r="AF248" s="116"/>
      <c r="AG248" s="116"/>
      <c r="AH248" s="116"/>
      <c r="AI248" s="116"/>
      <c r="AJ248" s="116"/>
      <c r="AK248" s="116"/>
      <c r="AL248" s="116"/>
      <c r="AM248" s="116"/>
      <c r="AN248" s="116"/>
      <c r="AO248" s="116"/>
      <c r="AP248" s="116"/>
      <c r="AQ248" s="116"/>
      <c r="AR248" s="116"/>
      <c r="AS248" s="116"/>
      <c r="AT248" s="116"/>
      <c r="AU248" s="116"/>
      <c r="AV248" s="116"/>
      <c r="AW248" s="116"/>
      <c r="AX248" s="116"/>
      <c r="AY248" s="116"/>
      <c r="AZ248" s="116"/>
      <c r="BA248" s="116"/>
      <c r="BB248" s="116"/>
      <c r="BC248" s="116"/>
      <c r="BD248" s="116"/>
      <c r="BE248" s="116"/>
      <c r="BF248" s="116"/>
      <c r="BG248" s="116"/>
      <c r="BH248" s="116"/>
      <c r="BI248" s="116"/>
      <c r="BJ248" s="116"/>
      <c r="BK248" s="116"/>
      <c r="BL248" s="116"/>
      <c r="BM248" s="116"/>
      <c r="BN248" s="116"/>
      <c r="BO248" s="116"/>
      <c r="BP248" s="116"/>
      <c r="BQ248" s="116"/>
      <c r="BR248" s="116"/>
      <c r="BS248" s="116"/>
      <c r="BT248" s="116"/>
      <c r="BU248" s="116"/>
      <c r="BV248" s="116"/>
      <c r="BW248" s="116"/>
      <c r="BX248" s="116"/>
      <c r="BY248" s="116"/>
      <c r="BZ248" s="116"/>
      <c r="CA248" s="116"/>
      <c r="CB248" s="116"/>
      <c r="CC248" s="116"/>
      <c r="CD248" s="116"/>
      <c r="CE248" s="116"/>
      <c r="CF248" s="116"/>
      <c r="CG248" s="116"/>
      <c r="CH248" s="117"/>
    </row>
    <row r="249" spans="14:86" x14ac:dyDescent="0.2">
      <c r="N249" s="115"/>
      <c r="O249" s="116"/>
      <c r="P249" s="116"/>
      <c r="Q249" s="116"/>
      <c r="R249" s="116"/>
      <c r="S249" s="116"/>
      <c r="T249" s="116"/>
      <c r="U249" s="116"/>
      <c r="V249" s="116"/>
      <c r="W249" s="116"/>
      <c r="X249" s="116"/>
      <c r="Y249" s="116"/>
      <c r="Z249" s="116"/>
      <c r="AA249" s="116"/>
      <c r="AB249" s="116"/>
      <c r="AC249" s="116"/>
      <c r="AD249" s="116"/>
      <c r="AE249" s="116"/>
      <c r="AF249" s="116"/>
      <c r="AG249" s="116"/>
      <c r="AH249" s="116"/>
      <c r="AI249" s="116"/>
      <c r="AJ249" s="116"/>
      <c r="AK249" s="116"/>
      <c r="AL249" s="116"/>
      <c r="AM249" s="116"/>
      <c r="AN249" s="116"/>
      <c r="AO249" s="116"/>
      <c r="AP249" s="116"/>
      <c r="AQ249" s="116"/>
      <c r="AR249" s="116"/>
      <c r="AS249" s="116"/>
      <c r="AT249" s="116"/>
      <c r="AU249" s="116"/>
      <c r="AV249" s="116"/>
      <c r="AW249" s="116"/>
      <c r="AX249" s="116"/>
      <c r="AY249" s="116"/>
      <c r="AZ249" s="116"/>
      <c r="BA249" s="116"/>
      <c r="BB249" s="116"/>
      <c r="BC249" s="116"/>
      <c r="BD249" s="116"/>
      <c r="BE249" s="116"/>
      <c r="BF249" s="116"/>
      <c r="BG249" s="116"/>
      <c r="BH249" s="116"/>
      <c r="BI249" s="116"/>
      <c r="BJ249" s="116"/>
      <c r="BK249" s="116"/>
      <c r="BL249" s="116"/>
      <c r="BM249" s="116"/>
      <c r="BN249" s="116"/>
      <c r="BO249" s="116"/>
      <c r="BP249" s="116"/>
      <c r="BQ249" s="116"/>
      <c r="BR249" s="116"/>
      <c r="BS249" s="116"/>
      <c r="BT249" s="116"/>
      <c r="BU249" s="116"/>
      <c r="BV249" s="116"/>
      <c r="BW249" s="116"/>
      <c r="BX249" s="116"/>
      <c r="BY249" s="116"/>
      <c r="BZ249" s="116"/>
      <c r="CA249" s="116"/>
      <c r="CB249" s="116"/>
      <c r="CC249" s="116"/>
      <c r="CD249" s="116"/>
      <c r="CE249" s="116"/>
      <c r="CF249" s="116"/>
      <c r="CG249" s="116"/>
      <c r="CH249" s="117"/>
    </row>
    <row r="250" spans="14:86" x14ac:dyDescent="0.2">
      <c r="N250" s="115"/>
      <c r="O250" s="116"/>
      <c r="P250" s="116"/>
      <c r="Q250" s="116"/>
      <c r="R250" s="116"/>
      <c r="S250" s="116"/>
      <c r="T250" s="116"/>
      <c r="U250" s="116"/>
      <c r="V250" s="116"/>
      <c r="W250" s="116"/>
      <c r="X250" s="116"/>
      <c r="Y250" s="116"/>
      <c r="Z250" s="116"/>
      <c r="AA250" s="116"/>
      <c r="AB250" s="116"/>
      <c r="AC250" s="116"/>
      <c r="AD250" s="116"/>
      <c r="AE250" s="116"/>
      <c r="AF250" s="116"/>
      <c r="AG250" s="116"/>
      <c r="AH250" s="116"/>
      <c r="AI250" s="116"/>
      <c r="AJ250" s="116"/>
      <c r="AK250" s="116"/>
      <c r="AL250" s="116"/>
      <c r="AM250" s="116"/>
      <c r="AN250" s="116"/>
      <c r="AO250" s="116"/>
      <c r="AP250" s="116"/>
      <c r="AQ250" s="116"/>
      <c r="AR250" s="116"/>
      <c r="AS250" s="116"/>
      <c r="AT250" s="116"/>
      <c r="AU250" s="116"/>
      <c r="AV250" s="116"/>
      <c r="AW250" s="116"/>
      <c r="AX250" s="116"/>
      <c r="AY250" s="116"/>
      <c r="AZ250" s="116"/>
      <c r="BA250" s="116"/>
      <c r="BB250" s="116"/>
      <c r="BC250" s="116"/>
      <c r="BD250" s="116"/>
      <c r="BE250" s="116"/>
      <c r="BF250" s="116"/>
      <c r="BG250" s="116"/>
      <c r="BH250" s="116"/>
      <c r="BI250" s="116"/>
      <c r="BJ250" s="116"/>
      <c r="BK250" s="116"/>
      <c r="BL250" s="116"/>
      <c r="BM250" s="116"/>
      <c r="BN250" s="116"/>
      <c r="BO250" s="116"/>
      <c r="BP250" s="116"/>
      <c r="BQ250" s="116"/>
      <c r="BR250" s="116"/>
      <c r="BS250" s="116"/>
      <c r="BT250" s="116"/>
      <c r="BU250" s="116"/>
      <c r="BV250" s="116"/>
      <c r="BW250" s="116"/>
      <c r="BX250" s="116"/>
      <c r="BY250" s="116"/>
      <c r="BZ250" s="116"/>
      <c r="CA250" s="116"/>
      <c r="CB250" s="116"/>
      <c r="CC250" s="116"/>
      <c r="CD250" s="116"/>
      <c r="CE250" s="116"/>
      <c r="CF250" s="116"/>
      <c r="CG250" s="116"/>
      <c r="CH250" s="117"/>
    </row>
    <row r="251" spans="14:86" x14ac:dyDescent="0.2">
      <c r="N251" s="115"/>
      <c r="O251" s="116"/>
      <c r="P251" s="116"/>
      <c r="Q251" s="116"/>
      <c r="R251" s="116"/>
      <c r="S251" s="116"/>
      <c r="T251" s="116"/>
      <c r="U251" s="116"/>
      <c r="V251" s="116"/>
      <c r="W251" s="116"/>
      <c r="X251" s="116"/>
      <c r="Y251" s="116"/>
      <c r="Z251" s="116"/>
      <c r="AA251" s="116"/>
      <c r="AB251" s="116"/>
      <c r="AC251" s="116"/>
      <c r="AD251" s="116"/>
      <c r="AE251" s="116"/>
      <c r="AF251" s="116"/>
      <c r="AG251" s="116"/>
      <c r="AH251" s="116"/>
      <c r="AI251" s="116"/>
      <c r="AJ251" s="116"/>
      <c r="AK251" s="116"/>
      <c r="AL251" s="116"/>
      <c r="AM251" s="116"/>
      <c r="AN251" s="116"/>
      <c r="AO251" s="116"/>
      <c r="AP251" s="116"/>
      <c r="AQ251" s="116"/>
      <c r="AR251" s="116"/>
      <c r="AS251" s="116"/>
      <c r="AT251" s="116"/>
      <c r="AU251" s="116"/>
      <c r="AV251" s="116"/>
      <c r="AW251" s="116"/>
      <c r="AX251" s="116"/>
      <c r="AY251" s="116"/>
      <c r="AZ251" s="116"/>
      <c r="BA251" s="116"/>
      <c r="BB251" s="116"/>
      <c r="BC251" s="116"/>
      <c r="BD251" s="116"/>
      <c r="BE251" s="116"/>
      <c r="BF251" s="116"/>
      <c r="BG251" s="116"/>
      <c r="BH251" s="116"/>
      <c r="BI251" s="116"/>
      <c r="BJ251" s="116"/>
      <c r="BK251" s="116"/>
      <c r="BL251" s="116"/>
      <c r="BM251" s="116"/>
      <c r="BN251" s="116"/>
      <c r="BO251" s="116"/>
      <c r="BP251" s="116"/>
      <c r="BQ251" s="116"/>
      <c r="BR251" s="116"/>
      <c r="BS251" s="116"/>
      <c r="BT251" s="116"/>
      <c r="BU251" s="116"/>
      <c r="BV251" s="116"/>
      <c r="BW251" s="116"/>
      <c r="BX251" s="116"/>
      <c r="BY251" s="116"/>
      <c r="BZ251" s="116"/>
      <c r="CA251" s="116"/>
      <c r="CB251" s="116"/>
      <c r="CC251" s="116"/>
      <c r="CD251" s="116"/>
      <c r="CE251" s="116"/>
      <c r="CF251" s="116"/>
      <c r="CG251" s="116"/>
      <c r="CH251" s="117"/>
    </row>
    <row r="252" spans="14:86" x14ac:dyDescent="0.2">
      <c r="N252" s="115"/>
      <c r="O252" s="116"/>
      <c r="P252" s="116"/>
      <c r="Q252" s="116"/>
      <c r="R252" s="116"/>
      <c r="S252" s="116"/>
      <c r="T252" s="116"/>
      <c r="U252" s="116"/>
      <c r="V252" s="116"/>
      <c r="W252" s="116"/>
      <c r="X252" s="116"/>
      <c r="Y252" s="116"/>
      <c r="Z252" s="116"/>
      <c r="AA252" s="116"/>
      <c r="AB252" s="116"/>
      <c r="AC252" s="116"/>
      <c r="AD252" s="116"/>
      <c r="AE252" s="116"/>
      <c r="AF252" s="116"/>
      <c r="AG252" s="116"/>
      <c r="AH252" s="116"/>
      <c r="AI252" s="116"/>
      <c r="AJ252" s="116"/>
      <c r="AK252" s="116"/>
      <c r="AL252" s="116"/>
      <c r="AM252" s="116"/>
      <c r="AN252" s="116"/>
      <c r="AO252" s="116"/>
      <c r="AP252" s="116"/>
      <c r="AQ252" s="116"/>
      <c r="AR252" s="116"/>
      <c r="AS252" s="116"/>
      <c r="AT252" s="116"/>
      <c r="AU252" s="116"/>
      <c r="AV252" s="116"/>
      <c r="AW252" s="116"/>
      <c r="AX252" s="116"/>
      <c r="AY252" s="116"/>
      <c r="AZ252" s="116"/>
      <c r="BA252" s="116"/>
      <c r="BB252" s="116"/>
      <c r="BC252" s="116"/>
      <c r="BD252" s="116"/>
      <c r="BE252" s="116"/>
      <c r="BF252" s="116"/>
      <c r="BG252" s="116"/>
      <c r="BH252" s="116"/>
      <c r="BI252" s="116"/>
      <c r="BJ252" s="116"/>
      <c r="BK252" s="116"/>
      <c r="BL252" s="116"/>
      <c r="BM252" s="116"/>
      <c r="BN252" s="116"/>
      <c r="BO252" s="116"/>
      <c r="BP252" s="116"/>
      <c r="BQ252" s="116"/>
      <c r="BR252" s="116"/>
      <c r="BS252" s="116"/>
      <c r="BT252" s="116"/>
      <c r="BU252" s="116"/>
      <c r="BV252" s="116"/>
      <c r="BW252" s="116"/>
      <c r="BX252" s="116"/>
      <c r="BY252" s="116"/>
      <c r="BZ252" s="116"/>
      <c r="CA252" s="116"/>
      <c r="CB252" s="116"/>
      <c r="CC252" s="116"/>
      <c r="CD252" s="116"/>
      <c r="CE252" s="116"/>
      <c r="CF252" s="116"/>
      <c r="CG252" s="116"/>
      <c r="CH252" s="117"/>
    </row>
  </sheetData>
  <autoFilter ref="N4:CH229"/>
  <mergeCells count="10">
    <mergeCell ref="A1:M1"/>
    <mergeCell ref="BY3:CH3"/>
    <mergeCell ref="N2:CH2"/>
    <mergeCell ref="N3:AT3"/>
    <mergeCell ref="AU3:BO3"/>
    <mergeCell ref="BP3:BX3"/>
    <mergeCell ref="A2:G2"/>
    <mergeCell ref="H2:L2"/>
    <mergeCell ref="I3:J3"/>
    <mergeCell ref="D3:G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D88"/>
  <sheetViews>
    <sheetView topLeftCell="A52" zoomScale="115" zoomScaleNormal="115" workbookViewId="0">
      <selection activeCell="H56" sqref="H56"/>
    </sheetView>
  </sheetViews>
  <sheetFormatPr defaultRowHeight="12.75" x14ac:dyDescent="0.2"/>
  <cols>
    <col min="1" max="1" width="38.7109375" style="267" customWidth="1"/>
    <col min="2" max="2" width="34.42578125" style="267" customWidth="1"/>
    <col min="3" max="3" width="9.7109375" style="268" customWidth="1"/>
    <col min="4" max="4" width="11.7109375" style="269" customWidth="1"/>
    <col min="5" max="5" width="5.7109375" style="269" customWidth="1"/>
    <col min="6" max="6" width="19.42578125" style="270" customWidth="1"/>
    <col min="7" max="7" width="24.85546875" style="270" bestFit="1" customWidth="1"/>
    <col min="8" max="8" width="24.28515625" style="271" bestFit="1" customWidth="1"/>
    <col min="9" max="9" width="21.7109375" style="270" bestFit="1" customWidth="1"/>
    <col min="10" max="10" width="14" style="270" customWidth="1"/>
    <col min="11" max="11" width="14.85546875" style="270" bestFit="1" customWidth="1"/>
    <col min="12" max="12" width="15.7109375" style="270" bestFit="1" customWidth="1"/>
    <col min="13" max="13" width="22.28515625" style="270" customWidth="1"/>
    <col min="14" max="16384" width="9.140625" style="237"/>
  </cols>
  <sheetData>
    <row r="1" spans="1:13" s="192" customFormat="1" ht="29.25" customHeight="1" thickBot="1" x14ac:dyDescent="0.25">
      <c r="A1" s="342" t="str">
        <f>'Change Log'!A1:D1</f>
        <v>MtrCurr - Rev9</v>
      </c>
      <c r="B1" s="343"/>
      <c r="C1" s="343"/>
      <c r="D1" s="343"/>
      <c r="E1" s="343"/>
      <c r="F1" s="343"/>
      <c r="G1" s="343"/>
      <c r="H1" s="343"/>
      <c r="I1" s="343"/>
      <c r="J1" s="343"/>
      <c r="K1" s="343"/>
      <c r="L1" s="343"/>
      <c r="M1" s="343"/>
    </row>
    <row r="2" spans="1:13" s="272" customFormat="1" ht="13.5" thickBot="1" x14ac:dyDescent="0.25">
      <c r="A2" s="344" t="s">
        <v>152</v>
      </c>
      <c r="B2" s="345"/>
      <c r="C2" s="346"/>
      <c r="D2" s="346"/>
      <c r="E2" s="193"/>
      <c r="F2" s="193"/>
      <c r="G2" s="346"/>
      <c r="H2" s="346"/>
      <c r="I2" s="346"/>
      <c r="J2" s="346"/>
      <c r="K2" s="346"/>
      <c r="L2" s="347"/>
      <c r="M2" s="194"/>
    </row>
    <row r="3" spans="1:13" s="272" customFormat="1" ht="22.5" customHeight="1" x14ac:dyDescent="0.2">
      <c r="A3" s="222"/>
      <c r="B3" s="223"/>
      <c r="C3" s="224"/>
      <c r="D3" s="225"/>
      <c r="E3" s="226"/>
      <c r="F3" s="227"/>
      <c r="G3" s="348" t="s">
        <v>85</v>
      </c>
      <c r="H3" s="349"/>
      <c r="I3" s="225"/>
      <c r="J3" s="225"/>
      <c r="K3" s="225"/>
      <c r="L3" s="228"/>
      <c r="M3" s="228"/>
    </row>
    <row r="4" spans="1:13" s="272" customFormat="1" ht="75" customHeight="1" thickBot="1" x14ac:dyDescent="0.25">
      <c r="A4" s="229" t="s">
        <v>155</v>
      </c>
      <c r="B4" s="230" t="s">
        <v>147</v>
      </c>
      <c r="C4" s="231" t="s">
        <v>58</v>
      </c>
      <c r="D4" s="231" t="s">
        <v>162</v>
      </c>
      <c r="E4" s="232" t="s">
        <v>148</v>
      </c>
      <c r="F4" s="233" t="s">
        <v>163</v>
      </c>
      <c r="G4" s="233" t="s">
        <v>149</v>
      </c>
      <c r="H4" s="234" t="s">
        <v>150</v>
      </c>
      <c r="I4" s="231" t="s">
        <v>52</v>
      </c>
      <c r="J4" s="231" t="s">
        <v>164</v>
      </c>
      <c r="K4" s="231" t="s">
        <v>53</v>
      </c>
      <c r="L4" s="235" t="s">
        <v>92</v>
      </c>
      <c r="M4" s="228" t="s">
        <v>87</v>
      </c>
    </row>
    <row r="5" spans="1:13" s="192" customFormat="1" ht="15" customHeight="1" x14ac:dyDescent="0.2">
      <c r="A5" s="253" t="s">
        <v>157</v>
      </c>
      <c r="B5" s="254"/>
      <c r="C5" s="255"/>
      <c r="D5" s="256"/>
      <c r="E5" s="256"/>
      <c r="F5" s="257"/>
      <c r="G5" s="257"/>
      <c r="H5" s="258"/>
      <c r="I5" s="257"/>
      <c r="J5" s="257"/>
      <c r="K5" s="257"/>
      <c r="L5" s="257"/>
      <c r="M5" s="257"/>
    </row>
    <row r="6" spans="1:13" x14ac:dyDescent="0.2">
      <c r="A6" s="303" t="s">
        <v>189</v>
      </c>
      <c r="B6" s="304" t="s">
        <v>190</v>
      </c>
      <c r="C6" s="305"/>
      <c r="D6" s="306" t="s">
        <v>151</v>
      </c>
      <c r="E6" s="307" t="s">
        <v>84</v>
      </c>
      <c r="F6" s="308">
        <v>0</v>
      </c>
      <c r="G6" s="309">
        <v>0</v>
      </c>
      <c r="H6" s="309">
        <v>3</v>
      </c>
      <c r="I6" s="309" t="s">
        <v>176</v>
      </c>
      <c r="J6" s="310"/>
      <c r="K6" s="309" t="s">
        <v>178</v>
      </c>
      <c r="L6" s="311" t="s">
        <v>177</v>
      </c>
      <c r="M6" s="266"/>
    </row>
    <row r="7" spans="1:13" x14ac:dyDescent="0.2">
      <c r="A7" s="303" t="s">
        <v>191</v>
      </c>
      <c r="B7" s="304" t="s">
        <v>192</v>
      </c>
      <c r="C7" s="305"/>
      <c r="D7" s="306" t="s">
        <v>151</v>
      </c>
      <c r="E7" s="307" t="s">
        <v>84</v>
      </c>
      <c r="F7" s="308">
        <v>0</v>
      </c>
      <c r="G7" s="309">
        <v>0</v>
      </c>
      <c r="H7" s="309">
        <v>3</v>
      </c>
      <c r="I7" s="309" t="s">
        <v>176</v>
      </c>
      <c r="J7" s="310"/>
      <c r="K7" s="309" t="s">
        <v>178</v>
      </c>
      <c r="L7" s="311" t="s">
        <v>177</v>
      </c>
      <c r="M7" s="266"/>
    </row>
    <row r="8" spans="1:13" x14ac:dyDescent="0.2">
      <c r="A8" s="303" t="s">
        <v>193</v>
      </c>
      <c r="B8" s="304" t="s">
        <v>301</v>
      </c>
      <c r="C8" s="305"/>
      <c r="D8" s="306" t="s">
        <v>151</v>
      </c>
      <c r="E8" s="307" t="s">
        <v>84</v>
      </c>
      <c r="F8" s="308">
        <v>0</v>
      </c>
      <c r="G8" s="309">
        <v>-1118</v>
      </c>
      <c r="H8" s="309">
        <v>1118</v>
      </c>
      <c r="I8" s="309" t="s">
        <v>176</v>
      </c>
      <c r="J8" s="310"/>
      <c r="K8" s="309" t="s">
        <v>194</v>
      </c>
      <c r="L8" s="311" t="s">
        <v>177</v>
      </c>
      <c r="M8" s="266"/>
    </row>
    <row r="9" spans="1:13" x14ac:dyDescent="0.2">
      <c r="A9" s="303" t="s">
        <v>196</v>
      </c>
      <c r="B9" s="304" t="s">
        <v>246</v>
      </c>
      <c r="C9" s="305"/>
      <c r="D9" s="306" t="s">
        <v>151</v>
      </c>
      <c r="E9" s="307" t="s">
        <v>84</v>
      </c>
      <c r="F9" s="308">
        <v>0</v>
      </c>
      <c r="G9" s="309">
        <v>-50</v>
      </c>
      <c r="H9" s="309">
        <v>150</v>
      </c>
      <c r="I9" s="309" t="s">
        <v>176</v>
      </c>
      <c r="J9" s="310"/>
      <c r="K9" s="309" t="s">
        <v>197</v>
      </c>
      <c r="L9" s="311" t="s">
        <v>177</v>
      </c>
      <c r="M9" s="266"/>
    </row>
    <row r="10" spans="1:13" x14ac:dyDescent="0.2">
      <c r="A10" s="303" t="s">
        <v>198</v>
      </c>
      <c r="B10" s="304" t="s">
        <v>302</v>
      </c>
      <c r="C10" s="305"/>
      <c r="D10" s="306" t="s">
        <v>151</v>
      </c>
      <c r="E10" s="307" t="s">
        <v>84</v>
      </c>
      <c r="F10" s="308">
        <v>0</v>
      </c>
      <c r="G10" s="309">
        <v>0</v>
      </c>
      <c r="H10" s="309">
        <v>1</v>
      </c>
      <c r="I10" s="309" t="s">
        <v>176</v>
      </c>
      <c r="J10" s="310"/>
      <c r="K10" s="309" t="s">
        <v>187</v>
      </c>
      <c r="L10" s="311" t="s">
        <v>177</v>
      </c>
      <c r="M10" s="266"/>
    </row>
    <row r="11" spans="1:13" x14ac:dyDescent="0.2">
      <c r="A11" s="303" t="s">
        <v>199</v>
      </c>
      <c r="B11" s="304" t="s">
        <v>303</v>
      </c>
      <c r="C11" s="305"/>
      <c r="D11" s="306" t="s">
        <v>151</v>
      </c>
      <c r="E11" s="307" t="s">
        <v>84</v>
      </c>
      <c r="F11" s="308">
        <v>0</v>
      </c>
      <c r="G11" s="309">
        <v>0</v>
      </c>
      <c r="H11" s="309">
        <v>255</v>
      </c>
      <c r="I11" s="309" t="s">
        <v>176</v>
      </c>
      <c r="J11" s="310"/>
      <c r="K11" s="309" t="s">
        <v>200</v>
      </c>
      <c r="L11" s="311" t="s">
        <v>177</v>
      </c>
      <c r="M11" s="266"/>
    </row>
    <row r="12" spans="1:13" x14ac:dyDescent="0.2">
      <c r="A12" s="303" t="s">
        <v>182</v>
      </c>
      <c r="B12" s="304" t="s">
        <v>183</v>
      </c>
      <c r="C12" s="305"/>
      <c r="D12" s="306" t="s">
        <v>153</v>
      </c>
      <c r="E12" s="307" t="s">
        <v>84</v>
      </c>
      <c r="F12" s="308">
        <v>0</v>
      </c>
      <c r="G12" s="289">
        <v>-220</v>
      </c>
      <c r="H12" s="289">
        <v>220</v>
      </c>
      <c r="I12" s="309" t="s">
        <v>176</v>
      </c>
      <c r="J12" s="310">
        <v>0.03</v>
      </c>
      <c r="K12" s="309" t="s">
        <v>179</v>
      </c>
      <c r="L12" s="311" t="s">
        <v>177</v>
      </c>
      <c r="M12" s="266"/>
    </row>
    <row r="13" spans="1:13" x14ac:dyDescent="0.2">
      <c r="A13" s="303" t="s">
        <v>185</v>
      </c>
      <c r="B13" s="304" t="s">
        <v>184</v>
      </c>
      <c r="C13" s="305"/>
      <c r="D13" s="306" t="s">
        <v>153</v>
      </c>
      <c r="E13" s="307" t="s">
        <v>84</v>
      </c>
      <c r="F13" s="308">
        <v>0</v>
      </c>
      <c r="G13" s="289">
        <v>-220</v>
      </c>
      <c r="H13" s="289">
        <v>220</v>
      </c>
      <c r="I13" s="309" t="s">
        <v>176</v>
      </c>
      <c r="J13" s="310">
        <v>0.03</v>
      </c>
      <c r="K13" s="309" t="s">
        <v>179</v>
      </c>
      <c r="L13" s="311" t="s">
        <v>177</v>
      </c>
      <c r="M13" s="266"/>
    </row>
    <row r="14" spans="1:13" x14ac:dyDescent="0.2">
      <c r="A14" s="303" t="s">
        <v>290</v>
      </c>
      <c r="B14" s="304" t="s">
        <v>201</v>
      </c>
      <c r="C14" s="305"/>
      <c r="D14" s="306" t="s">
        <v>156</v>
      </c>
      <c r="E14" s="307" t="s">
        <v>84</v>
      </c>
      <c r="F14" s="308">
        <v>0</v>
      </c>
      <c r="G14" s="289">
        <v>-220</v>
      </c>
      <c r="H14" s="289">
        <v>220</v>
      </c>
      <c r="I14" s="309" t="s">
        <v>176</v>
      </c>
      <c r="J14" s="310" t="s">
        <v>300</v>
      </c>
      <c r="K14" s="309" t="s">
        <v>179</v>
      </c>
      <c r="L14" s="311" t="s">
        <v>177</v>
      </c>
      <c r="M14" s="266"/>
    </row>
    <row r="15" spans="1:13" x14ac:dyDescent="0.2">
      <c r="A15" s="303" t="s">
        <v>289</v>
      </c>
      <c r="B15" s="304" t="s">
        <v>202</v>
      </c>
      <c r="C15" s="305"/>
      <c r="D15" s="306" t="s">
        <v>156</v>
      </c>
      <c r="E15" s="307" t="s">
        <v>84</v>
      </c>
      <c r="F15" s="308">
        <v>0</v>
      </c>
      <c r="G15" s="289">
        <v>-220</v>
      </c>
      <c r="H15" s="289">
        <v>220</v>
      </c>
      <c r="I15" s="309" t="s">
        <v>176</v>
      </c>
      <c r="J15" s="310" t="s">
        <v>300</v>
      </c>
      <c r="K15" s="309" t="s">
        <v>179</v>
      </c>
      <c r="L15" s="311" t="s">
        <v>177</v>
      </c>
      <c r="M15" s="266"/>
    </row>
    <row r="16" spans="1:13" x14ac:dyDescent="0.2">
      <c r="A16" s="303" t="s">
        <v>288</v>
      </c>
      <c r="B16" s="304" t="s">
        <v>297</v>
      </c>
      <c r="C16" s="305"/>
      <c r="D16" s="306" t="s">
        <v>156</v>
      </c>
      <c r="E16" s="307" t="s">
        <v>84</v>
      </c>
      <c r="F16" s="308">
        <v>0</v>
      </c>
      <c r="G16" s="309">
        <v>0</v>
      </c>
      <c r="H16" s="309">
        <v>1</v>
      </c>
      <c r="I16" s="309" t="s">
        <v>176</v>
      </c>
      <c r="J16" s="310" t="s">
        <v>300</v>
      </c>
      <c r="K16" s="309" t="s">
        <v>187</v>
      </c>
      <c r="L16" s="311" t="s">
        <v>177</v>
      </c>
      <c r="M16" s="266"/>
    </row>
    <row r="17" spans="1:13" x14ac:dyDescent="0.2">
      <c r="A17" s="303" t="s">
        <v>287</v>
      </c>
      <c r="B17" s="304" t="s">
        <v>296</v>
      </c>
      <c r="C17" s="305"/>
      <c r="D17" s="306" t="s">
        <v>156</v>
      </c>
      <c r="E17" s="307" t="s">
        <v>84</v>
      </c>
      <c r="F17" s="308">
        <v>0</v>
      </c>
      <c r="G17" s="309">
        <v>-1</v>
      </c>
      <c r="H17" s="309">
        <v>1</v>
      </c>
      <c r="I17" s="309" t="s">
        <v>176</v>
      </c>
      <c r="J17" s="310" t="s">
        <v>300</v>
      </c>
      <c r="K17" s="309" t="s">
        <v>180</v>
      </c>
      <c r="L17" s="311" t="s">
        <v>177</v>
      </c>
      <c r="M17" s="266"/>
    </row>
    <row r="18" spans="1:13" x14ac:dyDescent="0.2">
      <c r="A18" s="303" t="s">
        <v>286</v>
      </c>
      <c r="B18" s="304" t="s">
        <v>295</v>
      </c>
      <c r="C18" s="305"/>
      <c r="D18" s="306" t="s">
        <v>156</v>
      </c>
      <c r="E18" s="307" t="s">
        <v>84</v>
      </c>
      <c r="F18" s="308">
        <v>0</v>
      </c>
      <c r="G18" s="309">
        <v>-1</v>
      </c>
      <c r="H18" s="309">
        <v>1</v>
      </c>
      <c r="I18" s="309" t="s">
        <v>176</v>
      </c>
      <c r="J18" s="310" t="s">
        <v>300</v>
      </c>
      <c r="K18" s="309" t="s">
        <v>180</v>
      </c>
      <c r="L18" s="311" t="s">
        <v>177</v>
      </c>
      <c r="M18" s="266"/>
    </row>
    <row r="19" spans="1:13" x14ac:dyDescent="0.2">
      <c r="A19" s="303" t="s">
        <v>293</v>
      </c>
      <c r="B19" s="304" t="s">
        <v>294</v>
      </c>
      <c r="C19" s="305"/>
      <c r="D19" s="306" t="s">
        <v>156</v>
      </c>
      <c r="E19" s="307" t="s">
        <v>84</v>
      </c>
      <c r="F19" s="308">
        <v>0</v>
      </c>
      <c r="G19" s="289">
        <v>-220</v>
      </c>
      <c r="H19" s="289">
        <v>220</v>
      </c>
      <c r="I19" s="309" t="s">
        <v>176</v>
      </c>
      <c r="J19" s="310" t="s">
        <v>300</v>
      </c>
      <c r="K19" s="309" t="s">
        <v>179</v>
      </c>
      <c r="L19" s="311" t="s">
        <v>177</v>
      </c>
      <c r="M19" s="266"/>
    </row>
    <row r="20" spans="1:13" x14ac:dyDescent="0.2">
      <c r="A20" s="303" t="s">
        <v>285</v>
      </c>
      <c r="B20" s="304" t="s">
        <v>292</v>
      </c>
      <c r="C20" s="305"/>
      <c r="D20" s="306" t="s">
        <v>156</v>
      </c>
      <c r="E20" s="307" t="s">
        <v>84</v>
      </c>
      <c r="F20" s="308">
        <v>0</v>
      </c>
      <c r="G20" s="289">
        <v>-220</v>
      </c>
      <c r="H20" s="289">
        <v>220</v>
      </c>
      <c r="I20" s="309" t="s">
        <v>176</v>
      </c>
      <c r="J20" s="310" t="s">
        <v>300</v>
      </c>
      <c r="K20" s="309" t="s">
        <v>179</v>
      </c>
      <c r="L20" s="311" t="s">
        <v>177</v>
      </c>
      <c r="M20" s="266"/>
    </row>
    <row r="21" spans="1:13" x14ac:dyDescent="0.2">
      <c r="A21" s="303" t="s">
        <v>230</v>
      </c>
      <c r="B21" s="304" t="s">
        <v>231</v>
      </c>
      <c r="C21" s="305"/>
      <c r="D21" s="306" t="s">
        <v>153</v>
      </c>
      <c r="E21" s="307" t="s">
        <v>84</v>
      </c>
      <c r="F21" s="308">
        <v>0</v>
      </c>
      <c r="G21" s="309">
        <v>0</v>
      </c>
      <c r="H21" s="309">
        <v>1</v>
      </c>
      <c r="I21" s="309">
        <v>1</v>
      </c>
      <c r="J21" s="310" t="s">
        <v>300</v>
      </c>
      <c r="K21" s="309" t="s">
        <v>233</v>
      </c>
      <c r="L21" s="311" t="s">
        <v>232</v>
      </c>
      <c r="M21" s="266"/>
    </row>
    <row r="22" spans="1:13" x14ac:dyDescent="0.2">
      <c r="A22" s="303" t="s">
        <v>253</v>
      </c>
      <c r="B22" s="304" t="s">
        <v>254</v>
      </c>
      <c r="C22" s="305"/>
      <c r="D22" s="306" t="s">
        <v>153</v>
      </c>
      <c r="E22" s="307" t="s">
        <v>84</v>
      </c>
      <c r="F22" s="308">
        <v>0</v>
      </c>
      <c r="G22" s="309">
        <v>0</v>
      </c>
      <c r="H22" s="309">
        <v>8000</v>
      </c>
      <c r="I22" s="309">
        <v>1</v>
      </c>
      <c r="J22" s="310">
        <v>1</v>
      </c>
      <c r="K22" s="309" t="s">
        <v>233</v>
      </c>
      <c r="L22" s="311" t="s">
        <v>188</v>
      </c>
      <c r="M22" s="266"/>
    </row>
    <row r="23" spans="1:13" x14ac:dyDescent="0.2">
      <c r="A23" s="303" t="s">
        <v>357</v>
      </c>
      <c r="B23" s="304" t="s">
        <v>231</v>
      </c>
      <c r="C23" s="305"/>
      <c r="D23" s="306" t="s">
        <v>154</v>
      </c>
      <c r="E23" s="307" t="s">
        <v>84</v>
      </c>
      <c r="F23" s="308">
        <v>0</v>
      </c>
      <c r="G23" s="309">
        <v>0</v>
      </c>
      <c r="H23" s="309">
        <v>1</v>
      </c>
      <c r="I23" s="309">
        <v>1</v>
      </c>
      <c r="J23" s="310" t="s">
        <v>300</v>
      </c>
      <c r="K23" s="309" t="s">
        <v>233</v>
      </c>
      <c r="L23" s="311" t="s">
        <v>232</v>
      </c>
      <c r="M23" s="266"/>
    </row>
    <row r="24" spans="1:13" x14ac:dyDescent="0.2">
      <c r="A24" s="303" t="s">
        <v>306</v>
      </c>
      <c r="B24" s="304" t="s">
        <v>300</v>
      </c>
      <c r="C24" s="305"/>
      <c r="D24" s="306" t="s">
        <v>154</v>
      </c>
      <c r="E24" s="307" t="s">
        <v>84</v>
      </c>
      <c r="F24" s="308" t="s">
        <v>300</v>
      </c>
      <c r="G24" s="309" t="s">
        <v>300</v>
      </c>
      <c r="H24" s="309" t="s">
        <v>300</v>
      </c>
      <c r="I24" s="309" t="s">
        <v>300</v>
      </c>
      <c r="J24" s="310" t="s">
        <v>300</v>
      </c>
      <c r="K24" s="309" t="s">
        <v>300</v>
      </c>
      <c r="L24" s="311" t="s">
        <v>239</v>
      </c>
      <c r="M24" s="266"/>
    </row>
    <row r="25" spans="1:13" x14ac:dyDescent="0.2">
      <c r="A25" s="303" t="s">
        <v>240</v>
      </c>
      <c r="B25" s="304" t="s">
        <v>292</v>
      </c>
      <c r="C25" s="305"/>
      <c r="D25" s="306" t="s">
        <v>154</v>
      </c>
      <c r="E25" s="307" t="s">
        <v>84</v>
      </c>
      <c r="F25" s="308">
        <v>0</v>
      </c>
      <c r="G25" s="289">
        <v>-220</v>
      </c>
      <c r="H25" s="289">
        <v>220</v>
      </c>
      <c r="I25" s="309" t="s">
        <v>176</v>
      </c>
      <c r="J25" s="310">
        <v>1E-3</v>
      </c>
      <c r="K25" s="309" t="s">
        <v>179</v>
      </c>
      <c r="L25" s="311" t="s">
        <v>177</v>
      </c>
      <c r="M25" s="266"/>
    </row>
    <row r="26" spans="1:13" x14ac:dyDescent="0.2">
      <c r="A26" s="303" t="s">
        <v>241</v>
      </c>
      <c r="B26" s="304" t="s">
        <v>300</v>
      </c>
      <c r="C26" s="305"/>
      <c r="D26" s="306" t="s">
        <v>154</v>
      </c>
      <c r="E26" s="307" t="s">
        <v>84</v>
      </c>
      <c r="F26" s="308">
        <v>0</v>
      </c>
      <c r="G26" s="309">
        <v>0</v>
      </c>
      <c r="H26" s="309">
        <v>0.99998474000000004</v>
      </c>
      <c r="I26" s="309" t="s">
        <v>176</v>
      </c>
      <c r="J26" s="310" t="s">
        <v>243</v>
      </c>
      <c r="K26" s="309" t="s">
        <v>180</v>
      </c>
      <c r="L26" s="311" t="s">
        <v>177</v>
      </c>
      <c r="M26" s="266"/>
    </row>
    <row r="27" spans="1:13" x14ac:dyDescent="0.2">
      <c r="A27" s="303" t="s">
        <v>245</v>
      </c>
      <c r="B27" s="304" t="s">
        <v>244</v>
      </c>
      <c r="C27" s="305"/>
      <c r="D27" s="306" t="s">
        <v>151</v>
      </c>
      <c r="E27" s="307" t="s">
        <v>84</v>
      </c>
      <c r="F27" s="308">
        <v>0</v>
      </c>
      <c r="G27" s="309">
        <v>0</v>
      </c>
      <c r="H27" s="309">
        <v>1</v>
      </c>
      <c r="I27" s="309">
        <v>1</v>
      </c>
      <c r="J27" s="310"/>
      <c r="K27" s="309" t="s">
        <v>233</v>
      </c>
      <c r="L27" s="311" t="s">
        <v>232</v>
      </c>
      <c r="M27" s="266"/>
    </row>
    <row r="28" spans="1:13" x14ac:dyDescent="0.2">
      <c r="A28" s="303" t="s">
        <v>247</v>
      </c>
      <c r="B28" s="304" t="s">
        <v>248</v>
      </c>
      <c r="C28" s="305"/>
      <c r="D28" s="306" t="s">
        <v>151</v>
      </c>
      <c r="E28" s="307" t="s">
        <v>84</v>
      </c>
      <c r="F28" s="308">
        <v>0</v>
      </c>
      <c r="G28" s="309">
        <v>5</v>
      </c>
      <c r="H28" s="309">
        <v>31</v>
      </c>
      <c r="I28" s="309">
        <v>4.0000000000000001E-3</v>
      </c>
      <c r="J28" s="310"/>
      <c r="K28" s="309" t="s">
        <v>178</v>
      </c>
      <c r="L28" s="311" t="s">
        <v>177</v>
      </c>
      <c r="M28" s="266"/>
    </row>
    <row r="29" spans="1:13" x14ac:dyDescent="0.2">
      <c r="A29" s="303" t="s">
        <v>255</v>
      </c>
      <c r="B29" s="312" t="s">
        <v>279</v>
      </c>
      <c r="C29" s="305"/>
      <c r="D29" s="309" t="s">
        <v>151</v>
      </c>
      <c r="E29" s="309" t="s">
        <v>84</v>
      </c>
      <c r="F29" s="309">
        <v>0</v>
      </c>
      <c r="G29" s="309">
        <v>-2.5999999999999999E-2</v>
      </c>
      <c r="H29" s="309">
        <v>2.5999999999999999E-2</v>
      </c>
      <c r="I29" s="309">
        <v>4.8828125E-4</v>
      </c>
      <c r="J29" s="310"/>
      <c r="K29" s="309" t="s">
        <v>178</v>
      </c>
      <c r="L29" s="309" t="s">
        <v>177</v>
      </c>
      <c r="M29" s="266"/>
    </row>
    <row r="30" spans="1:13" x14ac:dyDescent="0.2">
      <c r="A30" s="303" t="s">
        <v>256</v>
      </c>
      <c r="B30" s="312" t="s">
        <v>279</v>
      </c>
      <c r="C30" s="305"/>
      <c r="D30" s="309" t="s">
        <v>151</v>
      </c>
      <c r="E30" s="309" t="s">
        <v>84</v>
      </c>
      <c r="F30" s="309">
        <v>0</v>
      </c>
      <c r="G30" s="309">
        <v>-2.5999999999999999E-2</v>
      </c>
      <c r="H30" s="309">
        <v>2.5999999999999999E-2</v>
      </c>
      <c r="I30" s="309">
        <v>4.8828125E-4</v>
      </c>
      <c r="J30" s="310"/>
      <c r="K30" s="309" t="s">
        <v>178</v>
      </c>
      <c r="L30" s="309" t="s">
        <v>177</v>
      </c>
      <c r="M30" s="266"/>
    </row>
    <row r="31" spans="1:13" x14ac:dyDescent="0.2">
      <c r="A31" s="313" t="s">
        <v>249</v>
      </c>
      <c r="B31" s="312" t="s">
        <v>300</v>
      </c>
      <c r="C31" s="314"/>
      <c r="D31" s="306" t="s">
        <v>151</v>
      </c>
      <c r="E31" s="307" t="s">
        <v>84</v>
      </c>
      <c r="F31" s="308">
        <v>0</v>
      </c>
      <c r="G31" s="309">
        <v>0</v>
      </c>
      <c r="H31" s="309">
        <v>4095</v>
      </c>
      <c r="I31" s="309">
        <v>1</v>
      </c>
      <c r="J31" s="310"/>
      <c r="K31" s="309" t="s">
        <v>233</v>
      </c>
      <c r="L31" s="311" t="s">
        <v>278</v>
      </c>
      <c r="M31" s="266"/>
    </row>
    <row r="32" spans="1:13" x14ac:dyDescent="0.2">
      <c r="A32" s="313" t="s">
        <v>250</v>
      </c>
      <c r="B32" s="312" t="s">
        <v>300</v>
      </c>
      <c r="C32" s="314"/>
      <c r="D32" s="306" t="s">
        <v>151</v>
      </c>
      <c r="E32" s="307" t="s">
        <v>84</v>
      </c>
      <c r="F32" s="308">
        <v>0</v>
      </c>
      <c r="G32" s="309">
        <v>0</v>
      </c>
      <c r="H32" s="309">
        <v>4095</v>
      </c>
      <c r="I32" s="309">
        <v>1</v>
      </c>
      <c r="J32" s="310"/>
      <c r="K32" s="309" t="s">
        <v>233</v>
      </c>
      <c r="L32" s="311" t="s">
        <v>278</v>
      </c>
      <c r="M32" s="266"/>
    </row>
    <row r="33" spans="1:13" x14ac:dyDescent="0.2">
      <c r="A33" s="313" t="s">
        <v>257</v>
      </c>
      <c r="B33" s="312" t="s">
        <v>280</v>
      </c>
      <c r="C33" s="314"/>
      <c r="D33" s="306" t="s">
        <v>151</v>
      </c>
      <c r="E33" s="307" t="s">
        <v>84</v>
      </c>
      <c r="F33" s="308">
        <v>0</v>
      </c>
      <c r="G33" s="309">
        <v>-1</v>
      </c>
      <c r="H33" s="309">
        <v>1</v>
      </c>
      <c r="I33" s="309">
        <v>1</v>
      </c>
      <c r="J33" s="310"/>
      <c r="K33" s="309" t="s">
        <v>233</v>
      </c>
      <c r="L33" s="311" t="s">
        <v>281</v>
      </c>
      <c r="M33" s="299"/>
    </row>
    <row r="34" spans="1:13" x14ac:dyDescent="0.2">
      <c r="A34" s="303" t="s">
        <v>258</v>
      </c>
      <c r="B34" s="304" t="s">
        <v>251</v>
      </c>
      <c r="C34" s="305"/>
      <c r="D34" s="306" t="s">
        <v>151</v>
      </c>
      <c r="E34" s="307" t="s">
        <v>84</v>
      </c>
      <c r="F34" s="308">
        <v>0</v>
      </c>
      <c r="G34" s="309">
        <v>0</v>
      </c>
      <c r="H34" s="309">
        <v>7150</v>
      </c>
      <c r="I34" s="309">
        <v>1</v>
      </c>
      <c r="J34" s="310"/>
      <c r="K34" s="309" t="s">
        <v>233</v>
      </c>
      <c r="L34" s="311" t="s">
        <v>278</v>
      </c>
      <c r="M34" s="266"/>
    </row>
    <row r="35" spans="1:13" x14ac:dyDescent="0.2">
      <c r="A35" s="303" t="s">
        <v>259</v>
      </c>
      <c r="B35" s="304" t="s">
        <v>252</v>
      </c>
      <c r="C35" s="305"/>
      <c r="D35" s="306" t="s">
        <v>151</v>
      </c>
      <c r="E35" s="307" t="s">
        <v>84</v>
      </c>
      <c r="F35" s="308">
        <v>0</v>
      </c>
      <c r="G35" s="309">
        <v>0</v>
      </c>
      <c r="H35" s="309">
        <v>7150</v>
      </c>
      <c r="I35" s="309">
        <v>1</v>
      </c>
      <c r="J35" s="310"/>
      <c r="K35" s="309" t="s">
        <v>233</v>
      </c>
      <c r="L35" s="311" t="s">
        <v>278</v>
      </c>
      <c r="M35" s="266"/>
    </row>
    <row r="36" spans="1:13" x14ac:dyDescent="0.2">
      <c r="A36" s="303" t="s">
        <v>259</v>
      </c>
      <c r="B36" s="304" t="s">
        <v>251</v>
      </c>
      <c r="C36" s="305"/>
      <c r="D36" s="306" t="s">
        <v>151</v>
      </c>
      <c r="E36" s="307" t="s">
        <v>84</v>
      </c>
      <c r="F36" s="308">
        <v>0</v>
      </c>
      <c r="G36" s="309">
        <v>0</v>
      </c>
      <c r="H36" s="309">
        <v>7150</v>
      </c>
      <c r="I36" s="309">
        <v>1</v>
      </c>
      <c r="J36" s="310"/>
      <c r="K36" s="309" t="s">
        <v>233</v>
      </c>
      <c r="L36" s="311" t="s">
        <v>278</v>
      </c>
      <c r="M36" s="266"/>
    </row>
    <row r="37" spans="1:13" x14ac:dyDescent="0.2">
      <c r="A37" s="303" t="s">
        <v>258</v>
      </c>
      <c r="B37" s="304" t="s">
        <v>252</v>
      </c>
      <c r="C37" s="305"/>
      <c r="D37" s="306" t="s">
        <v>151</v>
      </c>
      <c r="E37" s="307" t="s">
        <v>84</v>
      </c>
      <c r="F37" s="308">
        <v>0</v>
      </c>
      <c r="G37" s="309">
        <v>0</v>
      </c>
      <c r="H37" s="309">
        <v>7150</v>
      </c>
      <c r="I37" s="309">
        <v>1</v>
      </c>
      <c r="J37" s="310"/>
      <c r="K37" s="309" t="s">
        <v>233</v>
      </c>
      <c r="L37" s="311" t="s">
        <v>278</v>
      </c>
      <c r="M37" s="266"/>
    </row>
    <row r="38" spans="1:13" x14ac:dyDescent="0.2">
      <c r="A38" s="303" t="s">
        <v>260</v>
      </c>
      <c r="B38" s="304" t="s">
        <v>251</v>
      </c>
      <c r="C38" s="305"/>
      <c r="D38" s="306" t="s">
        <v>151</v>
      </c>
      <c r="E38" s="307" t="s">
        <v>84</v>
      </c>
      <c r="F38" s="308">
        <v>0</v>
      </c>
      <c r="G38" s="309">
        <v>0</v>
      </c>
      <c r="H38" s="309">
        <v>7150</v>
      </c>
      <c r="I38" s="309">
        <v>1</v>
      </c>
      <c r="J38" s="310"/>
      <c r="K38" s="309" t="s">
        <v>233</v>
      </c>
      <c r="L38" s="311" t="s">
        <v>278</v>
      </c>
      <c r="M38" s="266"/>
    </row>
    <row r="39" spans="1:13" x14ac:dyDescent="0.2">
      <c r="A39" s="303" t="s">
        <v>258</v>
      </c>
      <c r="B39" s="304" t="s">
        <v>252</v>
      </c>
      <c r="C39" s="305"/>
      <c r="D39" s="306" t="s">
        <v>151</v>
      </c>
      <c r="E39" s="307" t="s">
        <v>84</v>
      </c>
      <c r="F39" s="308">
        <v>0</v>
      </c>
      <c r="G39" s="309">
        <v>0</v>
      </c>
      <c r="H39" s="309">
        <v>7150</v>
      </c>
      <c r="I39" s="309">
        <v>1</v>
      </c>
      <c r="J39" s="310"/>
      <c r="K39" s="309" t="s">
        <v>233</v>
      </c>
      <c r="L39" s="311" t="s">
        <v>278</v>
      </c>
      <c r="M39" s="266"/>
    </row>
    <row r="40" spans="1:13" x14ac:dyDescent="0.2">
      <c r="A40" s="303" t="s">
        <v>258</v>
      </c>
      <c r="B40" s="304" t="s">
        <v>251</v>
      </c>
      <c r="C40" s="305"/>
      <c r="D40" s="306" t="s">
        <v>151</v>
      </c>
      <c r="E40" s="307" t="s">
        <v>84</v>
      </c>
      <c r="F40" s="308">
        <v>0</v>
      </c>
      <c r="G40" s="309">
        <v>0</v>
      </c>
      <c r="H40" s="309">
        <v>7150</v>
      </c>
      <c r="I40" s="309">
        <v>1</v>
      </c>
      <c r="J40" s="310"/>
      <c r="K40" s="309" t="s">
        <v>233</v>
      </c>
      <c r="L40" s="311" t="s">
        <v>278</v>
      </c>
      <c r="M40" s="266"/>
    </row>
    <row r="41" spans="1:13" x14ac:dyDescent="0.2">
      <c r="A41" s="303" t="s">
        <v>260</v>
      </c>
      <c r="B41" s="304" t="s">
        <v>252</v>
      </c>
      <c r="C41" s="305"/>
      <c r="D41" s="306" t="s">
        <v>151</v>
      </c>
      <c r="E41" s="307" t="s">
        <v>84</v>
      </c>
      <c r="F41" s="308">
        <v>0</v>
      </c>
      <c r="G41" s="309">
        <v>0</v>
      </c>
      <c r="H41" s="309">
        <v>7150</v>
      </c>
      <c r="I41" s="309">
        <v>1</v>
      </c>
      <c r="J41" s="310"/>
      <c r="K41" s="309" t="s">
        <v>233</v>
      </c>
      <c r="L41" s="311" t="s">
        <v>278</v>
      </c>
      <c r="M41" s="266"/>
    </row>
    <row r="42" spans="1:13" x14ac:dyDescent="0.2">
      <c r="A42" s="303" t="s">
        <v>260</v>
      </c>
      <c r="B42" s="304" t="s">
        <v>251</v>
      </c>
      <c r="C42" s="305"/>
      <c r="D42" s="306" t="s">
        <v>151</v>
      </c>
      <c r="E42" s="307" t="s">
        <v>84</v>
      </c>
      <c r="F42" s="308">
        <v>0</v>
      </c>
      <c r="G42" s="309">
        <v>0</v>
      </c>
      <c r="H42" s="309">
        <v>7150</v>
      </c>
      <c r="I42" s="309">
        <v>1</v>
      </c>
      <c r="J42" s="310"/>
      <c r="K42" s="309" t="s">
        <v>233</v>
      </c>
      <c r="L42" s="311" t="s">
        <v>278</v>
      </c>
      <c r="M42" s="266"/>
    </row>
    <row r="43" spans="1:13" x14ac:dyDescent="0.2">
      <c r="A43" s="303" t="s">
        <v>259</v>
      </c>
      <c r="B43" s="304" t="s">
        <v>252</v>
      </c>
      <c r="C43" s="305"/>
      <c r="D43" s="306" t="s">
        <v>151</v>
      </c>
      <c r="E43" s="307" t="s">
        <v>84</v>
      </c>
      <c r="F43" s="308">
        <v>0</v>
      </c>
      <c r="G43" s="309">
        <v>0</v>
      </c>
      <c r="H43" s="309">
        <v>7150</v>
      </c>
      <c r="I43" s="309">
        <v>1</v>
      </c>
      <c r="J43" s="310"/>
      <c r="K43" s="309" t="s">
        <v>233</v>
      </c>
      <c r="L43" s="311" t="s">
        <v>278</v>
      </c>
      <c r="M43" s="266"/>
    </row>
    <row r="44" spans="1:13" x14ac:dyDescent="0.2">
      <c r="A44" s="303" t="s">
        <v>259</v>
      </c>
      <c r="B44" s="304" t="s">
        <v>251</v>
      </c>
      <c r="C44" s="305"/>
      <c r="D44" s="306" t="s">
        <v>151</v>
      </c>
      <c r="E44" s="307" t="s">
        <v>84</v>
      </c>
      <c r="F44" s="308">
        <v>0</v>
      </c>
      <c r="G44" s="309">
        <v>0</v>
      </c>
      <c r="H44" s="309">
        <v>7150</v>
      </c>
      <c r="I44" s="309">
        <v>1</v>
      </c>
      <c r="J44" s="310"/>
      <c r="K44" s="309" t="s">
        <v>233</v>
      </c>
      <c r="L44" s="311" t="s">
        <v>278</v>
      </c>
      <c r="M44" s="266"/>
    </row>
    <row r="45" spans="1:13" x14ac:dyDescent="0.2">
      <c r="A45" s="303" t="s">
        <v>260</v>
      </c>
      <c r="B45" s="304" t="s">
        <v>252</v>
      </c>
      <c r="C45" s="305"/>
      <c r="D45" s="306" t="s">
        <v>151</v>
      </c>
      <c r="E45" s="307" t="s">
        <v>84</v>
      </c>
      <c r="F45" s="308">
        <v>0</v>
      </c>
      <c r="G45" s="309">
        <v>0</v>
      </c>
      <c r="H45" s="309">
        <v>7150</v>
      </c>
      <c r="I45" s="309">
        <v>1</v>
      </c>
      <c r="J45" s="310"/>
      <c r="K45" s="309" t="s">
        <v>233</v>
      </c>
      <c r="L45" s="311" t="s">
        <v>278</v>
      </c>
      <c r="M45" s="266"/>
    </row>
    <row r="46" spans="1:13" x14ac:dyDescent="0.2">
      <c r="A46" s="290" t="s">
        <v>261</v>
      </c>
      <c r="B46" s="304" t="s">
        <v>282</v>
      </c>
      <c r="C46" s="260"/>
      <c r="D46" s="261" t="s">
        <v>153</v>
      </c>
      <c r="E46" s="262" t="s">
        <v>84</v>
      </c>
      <c r="F46" s="263">
        <v>0</v>
      </c>
      <c r="G46" s="289">
        <v>-0.67079999999999995</v>
      </c>
      <c r="H46" s="289">
        <v>0.67079999999999995</v>
      </c>
      <c r="I46" s="309" t="s">
        <v>176</v>
      </c>
      <c r="J46" s="292">
        <f>2^-16</f>
        <v>1.52587890625E-5</v>
      </c>
      <c r="K46" s="289" t="s">
        <v>186</v>
      </c>
      <c r="L46" s="293" t="s">
        <v>177</v>
      </c>
      <c r="M46" s="266"/>
    </row>
    <row r="47" spans="1:13" x14ac:dyDescent="0.2">
      <c r="A47" s="290" t="s">
        <v>262</v>
      </c>
      <c r="B47" s="259" t="s">
        <v>304</v>
      </c>
      <c r="C47" s="260"/>
      <c r="D47" s="261" t="s">
        <v>153</v>
      </c>
      <c r="E47" s="262" t="s">
        <v>84</v>
      </c>
      <c r="F47" s="263">
        <v>0</v>
      </c>
      <c r="G47" s="289">
        <v>0</v>
      </c>
      <c r="H47" s="289">
        <f>1-(2^-16)</f>
        <v>0.9999847412109375</v>
      </c>
      <c r="I47" s="309" t="s">
        <v>176</v>
      </c>
      <c r="J47" s="292">
        <f>2^-16</f>
        <v>1.52587890625E-5</v>
      </c>
      <c r="K47" s="289" t="s">
        <v>187</v>
      </c>
      <c r="L47" s="293" t="s">
        <v>177</v>
      </c>
      <c r="M47" s="266"/>
    </row>
    <row r="48" spans="1:13" x14ac:dyDescent="0.2">
      <c r="A48" s="290" t="s">
        <v>263</v>
      </c>
      <c r="B48" s="259" t="s">
        <v>304</v>
      </c>
      <c r="C48" s="260"/>
      <c r="D48" s="261" t="s">
        <v>153</v>
      </c>
      <c r="E48" s="262" t="s">
        <v>84</v>
      </c>
      <c r="F48" s="263">
        <v>0</v>
      </c>
      <c r="G48" s="289">
        <v>-220</v>
      </c>
      <c r="H48" s="289">
        <v>220</v>
      </c>
      <c r="I48" s="309" t="s">
        <v>176</v>
      </c>
      <c r="J48" s="292">
        <f>2^5</f>
        <v>32</v>
      </c>
      <c r="K48" s="289" t="s">
        <v>334</v>
      </c>
      <c r="L48" s="293" t="s">
        <v>177</v>
      </c>
      <c r="M48" s="266"/>
    </row>
    <row r="49" spans="1:13" x14ac:dyDescent="0.2">
      <c r="A49" s="290" t="s">
        <v>264</v>
      </c>
      <c r="B49" s="259" t="s">
        <v>304</v>
      </c>
      <c r="C49" s="260"/>
      <c r="D49" s="261" t="s">
        <v>153</v>
      </c>
      <c r="E49" s="262" t="s">
        <v>84</v>
      </c>
      <c r="F49" s="263">
        <v>0</v>
      </c>
      <c r="G49" s="289">
        <v>-220</v>
      </c>
      <c r="H49" s="289">
        <v>220</v>
      </c>
      <c r="I49" s="309" t="s">
        <v>176</v>
      </c>
      <c r="J49" s="292">
        <f>2^5</f>
        <v>32</v>
      </c>
      <c r="K49" s="289" t="s">
        <v>334</v>
      </c>
      <c r="L49" s="293" t="s">
        <v>177</v>
      </c>
      <c r="M49" s="266"/>
    </row>
    <row r="50" spans="1:13" x14ac:dyDescent="0.2">
      <c r="A50" s="290" t="s">
        <v>265</v>
      </c>
      <c r="B50" s="297" t="s">
        <v>332</v>
      </c>
      <c r="C50" s="260"/>
      <c r="D50" s="261" t="s">
        <v>153</v>
      </c>
      <c r="E50" s="262" t="s">
        <v>84</v>
      </c>
      <c r="F50" s="263">
        <v>0</v>
      </c>
      <c r="G50" s="289">
        <v>0</v>
      </c>
      <c r="H50" s="289">
        <v>5</v>
      </c>
      <c r="I50" s="309" t="s">
        <v>176</v>
      </c>
      <c r="J50" s="292">
        <f>2^5</f>
        <v>32</v>
      </c>
      <c r="K50" s="289" t="s">
        <v>178</v>
      </c>
      <c r="L50" s="293" t="s">
        <v>177</v>
      </c>
      <c r="M50" s="266"/>
    </row>
    <row r="51" spans="1:13" x14ac:dyDescent="0.2">
      <c r="A51" s="290" t="s">
        <v>266</v>
      </c>
      <c r="B51" s="297" t="s">
        <v>333</v>
      </c>
      <c r="C51" s="260"/>
      <c r="D51" s="261" t="s">
        <v>153</v>
      </c>
      <c r="E51" s="262" t="s">
        <v>84</v>
      </c>
      <c r="F51" s="263">
        <v>0</v>
      </c>
      <c r="G51" s="289">
        <v>0</v>
      </c>
      <c r="H51" s="289">
        <v>5</v>
      </c>
      <c r="I51" s="309" t="s">
        <v>176</v>
      </c>
      <c r="J51" s="292">
        <f>2^5</f>
        <v>32</v>
      </c>
      <c r="K51" s="289" t="s">
        <v>178</v>
      </c>
      <c r="L51" s="293" t="s">
        <v>177</v>
      </c>
      <c r="M51" s="266"/>
    </row>
    <row r="52" spans="1:13" x14ac:dyDescent="0.2">
      <c r="A52" s="290" t="s">
        <v>327</v>
      </c>
      <c r="B52" s="291" t="s">
        <v>300</v>
      </c>
      <c r="C52" s="294"/>
      <c r="D52" s="295" t="s">
        <v>154</v>
      </c>
      <c r="E52" s="296" t="s">
        <v>84</v>
      </c>
      <c r="F52" s="263">
        <v>0</v>
      </c>
      <c r="G52" s="289">
        <v>0</v>
      </c>
      <c r="H52" s="289">
        <v>5</v>
      </c>
      <c r="I52" s="289">
        <v>1</v>
      </c>
      <c r="J52" s="292">
        <f>2^-29</f>
        <v>1.862645149230957E-9</v>
      </c>
      <c r="K52" s="289" t="s">
        <v>178</v>
      </c>
      <c r="L52" s="293" t="s">
        <v>335</v>
      </c>
      <c r="M52" s="266"/>
    </row>
    <row r="53" spans="1:13" x14ac:dyDescent="0.2">
      <c r="A53" s="290" t="s">
        <v>328</v>
      </c>
      <c r="B53" s="291" t="s">
        <v>300</v>
      </c>
      <c r="C53" s="294"/>
      <c r="D53" s="295" t="s">
        <v>154</v>
      </c>
      <c r="E53" s="296" t="s">
        <v>84</v>
      </c>
      <c r="F53" s="263">
        <v>0</v>
      </c>
      <c r="G53" s="289">
        <v>0</v>
      </c>
      <c r="H53" s="289">
        <v>5</v>
      </c>
      <c r="I53" s="289">
        <v>1</v>
      </c>
      <c r="J53" s="292">
        <f>2^-29</f>
        <v>1.862645149230957E-9</v>
      </c>
      <c r="K53" s="289" t="s">
        <v>178</v>
      </c>
      <c r="L53" s="293" t="s">
        <v>335</v>
      </c>
      <c r="M53" s="266"/>
    </row>
    <row r="54" spans="1:13" x14ac:dyDescent="0.2">
      <c r="A54" s="290" t="s">
        <v>329</v>
      </c>
      <c r="B54" s="291" t="s">
        <v>355</v>
      </c>
      <c r="C54" s="294"/>
      <c r="D54" s="295" t="s">
        <v>154</v>
      </c>
      <c r="E54" s="296" t="s">
        <v>84</v>
      </c>
      <c r="F54" s="263">
        <v>0</v>
      </c>
      <c r="G54" s="289">
        <v>0</v>
      </c>
      <c r="H54" s="289">
        <v>5</v>
      </c>
      <c r="I54" s="309" t="s">
        <v>176</v>
      </c>
      <c r="J54" s="292">
        <f>2^5</f>
        <v>32</v>
      </c>
      <c r="K54" s="289" t="s">
        <v>178</v>
      </c>
      <c r="L54" s="293" t="s">
        <v>177</v>
      </c>
      <c r="M54" s="266"/>
    </row>
    <row r="55" spans="1:13" x14ac:dyDescent="0.2">
      <c r="A55" s="290" t="s">
        <v>330</v>
      </c>
      <c r="B55" s="291" t="s">
        <v>356</v>
      </c>
      <c r="C55" s="294"/>
      <c r="D55" s="295" t="s">
        <v>154</v>
      </c>
      <c r="E55" s="296" t="s">
        <v>84</v>
      </c>
      <c r="F55" s="263">
        <v>0</v>
      </c>
      <c r="G55" s="289">
        <v>0</v>
      </c>
      <c r="H55" s="289">
        <v>5</v>
      </c>
      <c r="I55" s="309" t="s">
        <v>176</v>
      </c>
      <c r="J55" s="292">
        <f>2^5</f>
        <v>32</v>
      </c>
      <c r="K55" s="289" t="s">
        <v>178</v>
      </c>
      <c r="L55" s="293" t="s">
        <v>177</v>
      </c>
      <c r="M55" s="266"/>
    </row>
    <row r="56" spans="1:13" x14ac:dyDescent="0.2">
      <c r="A56" s="290" t="s">
        <v>307</v>
      </c>
      <c r="B56" s="291" t="s">
        <v>300</v>
      </c>
      <c r="C56" s="294"/>
      <c r="D56" s="295" t="s">
        <v>154</v>
      </c>
      <c r="E56" s="296" t="s">
        <v>84</v>
      </c>
      <c r="F56" s="263">
        <v>0</v>
      </c>
      <c r="G56" s="289">
        <v>0</v>
      </c>
      <c r="H56" s="289">
        <v>50000</v>
      </c>
      <c r="I56" s="289" t="s">
        <v>176</v>
      </c>
      <c r="J56" s="292">
        <v>2.9999999999999997E-4</v>
      </c>
      <c r="K56" s="289" t="s">
        <v>178</v>
      </c>
      <c r="L56" s="293" t="s">
        <v>177</v>
      </c>
      <c r="M56" s="266"/>
    </row>
    <row r="57" spans="1:13" x14ac:dyDescent="0.2">
      <c r="A57" s="290" t="s">
        <v>308</v>
      </c>
      <c r="B57" s="291" t="s">
        <v>300</v>
      </c>
      <c r="C57" s="294"/>
      <c r="D57" s="295" t="s">
        <v>154</v>
      </c>
      <c r="E57" s="296" t="s">
        <v>84</v>
      </c>
      <c r="F57" s="263">
        <v>0</v>
      </c>
      <c r="G57" s="289">
        <v>0</v>
      </c>
      <c r="H57" s="289">
        <v>50000</v>
      </c>
      <c r="I57" s="289" t="s">
        <v>176</v>
      </c>
      <c r="J57" s="292">
        <v>2.9999999999999997E-4</v>
      </c>
      <c r="K57" s="289" t="s">
        <v>178</v>
      </c>
      <c r="L57" s="293" t="s">
        <v>177</v>
      </c>
      <c r="M57" s="266"/>
    </row>
    <row r="58" spans="1:13" x14ac:dyDescent="0.2">
      <c r="A58" s="290" t="s">
        <v>309</v>
      </c>
      <c r="B58" s="291" t="s">
        <v>300</v>
      </c>
      <c r="C58" s="294"/>
      <c r="D58" s="295" t="s">
        <v>154</v>
      </c>
      <c r="E58" s="296" t="s">
        <v>84</v>
      </c>
      <c r="F58" s="263">
        <v>0</v>
      </c>
      <c r="G58" s="289">
        <v>0</v>
      </c>
      <c r="H58" s="289">
        <v>50000</v>
      </c>
      <c r="I58" s="289" t="s">
        <v>176</v>
      </c>
      <c r="J58" s="292">
        <v>2.9999999999999997E-4</v>
      </c>
      <c r="K58" s="289" t="s">
        <v>178</v>
      </c>
      <c r="L58" s="293" t="s">
        <v>177</v>
      </c>
      <c r="M58" s="266"/>
    </row>
    <row r="59" spans="1:13" x14ac:dyDescent="0.2">
      <c r="A59" s="290" t="s">
        <v>310</v>
      </c>
      <c r="B59" s="291" t="s">
        <v>300</v>
      </c>
      <c r="C59" s="294"/>
      <c r="D59" s="295" t="s">
        <v>154</v>
      </c>
      <c r="E59" s="296" t="s">
        <v>84</v>
      </c>
      <c r="F59" s="263">
        <v>0</v>
      </c>
      <c r="G59" s="289">
        <v>0</v>
      </c>
      <c r="H59" s="289">
        <v>50000</v>
      </c>
      <c r="I59" s="289" t="s">
        <v>176</v>
      </c>
      <c r="J59" s="292">
        <v>2.9999999999999997E-4</v>
      </c>
      <c r="K59" s="289" t="s">
        <v>178</v>
      </c>
      <c r="L59" s="293" t="s">
        <v>177</v>
      </c>
      <c r="M59" s="266"/>
    </row>
    <row r="60" spans="1:13" x14ac:dyDescent="0.2">
      <c r="A60" s="290" t="s">
        <v>311</v>
      </c>
      <c r="B60" s="291" t="s">
        <v>300</v>
      </c>
      <c r="C60" s="294"/>
      <c r="D60" s="295" t="s">
        <v>154</v>
      </c>
      <c r="E60" s="296" t="s">
        <v>84</v>
      </c>
      <c r="F60" s="263">
        <v>0</v>
      </c>
      <c r="G60" s="289">
        <v>0</v>
      </c>
      <c r="H60" s="289">
        <v>50000</v>
      </c>
      <c r="I60" s="289" t="s">
        <v>176</v>
      </c>
      <c r="J60" s="292">
        <v>2.9999999999999997E-4</v>
      </c>
      <c r="K60" s="289" t="s">
        <v>178</v>
      </c>
      <c r="L60" s="293" t="s">
        <v>177</v>
      </c>
      <c r="M60" s="266"/>
    </row>
    <row r="61" spans="1:13" x14ac:dyDescent="0.2">
      <c r="A61" s="290" t="s">
        <v>312</v>
      </c>
      <c r="B61" s="291" t="s">
        <v>300</v>
      </c>
      <c r="C61" s="294"/>
      <c r="D61" s="295" t="s">
        <v>154</v>
      </c>
      <c r="E61" s="296" t="s">
        <v>84</v>
      </c>
      <c r="F61" s="263">
        <v>0</v>
      </c>
      <c r="G61" s="289">
        <v>0</v>
      </c>
      <c r="H61" s="289">
        <v>50000</v>
      </c>
      <c r="I61" s="289" t="s">
        <v>176</v>
      </c>
      <c r="J61" s="292">
        <v>2.9999999999999997E-4</v>
      </c>
      <c r="K61" s="289" t="s">
        <v>178</v>
      </c>
      <c r="L61" s="293" t="s">
        <v>177</v>
      </c>
      <c r="M61" s="266"/>
    </row>
    <row r="62" spans="1:13" x14ac:dyDescent="0.2">
      <c r="A62" s="290" t="s">
        <v>313</v>
      </c>
      <c r="B62" s="291" t="s">
        <v>300</v>
      </c>
      <c r="C62" s="294"/>
      <c r="D62" s="295" t="s">
        <v>154</v>
      </c>
      <c r="E62" s="296" t="s">
        <v>84</v>
      </c>
      <c r="F62" s="263">
        <v>0</v>
      </c>
      <c r="G62" s="289">
        <v>0</v>
      </c>
      <c r="H62" s="289">
        <f>31*64</f>
        <v>1984</v>
      </c>
      <c r="I62" s="289" t="s">
        <v>176</v>
      </c>
      <c r="J62" s="292">
        <f>2^-10</f>
        <v>9.765625E-4</v>
      </c>
      <c r="K62" s="289" t="s">
        <v>178</v>
      </c>
      <c r="L62" s="293" t="s">
        <v>177</v>
      </c>
      <c r="M62" s="266"/>
    </row>
    <row r="63" spans="1:13" x14ac:dyDescent="0.2">
      <c r="A63" s="290" t="s">
        <v>314</v>
      </c>
      <c r="B63" s="291" t="s">
        <v>358</v>
      </c>
      <c r="C63" s="294"/>
      <c r="D63" s="295" t="s">
        <v>154</v>
      </c>
      <c r="E63" s="296" t="s">
        <v>84</v>
      </c>
      <c r="F63" s="263">
        <v>0</v>
      </c>
      <c r="G63" s="289">
        <v>0</v>
      </c>
      <c r="H63" s="289">
        <v>5</v>
      </c>
      <c r="I63" s="289" t="s">
        <v>176</v>
      </c>
      <c r="J63" s="292">
        <v>2.9999999999999997E-4</v>
      </c>
      <c r="K63" s="289" t="s">
        <v>178</v>
      </c>
      <c r="L63" s="293" t="s">
        <v>177</v>
      </c>
      <c r="M63" s="266"/>
    </row>
    <row r="64" spans="1:13" x14ac:dyDescent="0.2">
      <c r="A64" s="290" t="s">
        <v>315</v>
      </c>
      <c r="B64" s="291" t="s">
        <v>359</v>
      </c>
      <c r="C64" s="294"/>
      <c r="D64" s="295" t="s">
        <v>154</v>
      </c>
      <c r="E64" s="296" t="s">
        <v>84</v>
      </c>
      <c r="F64" s="263">
        <v>0</v>
      </c>
      <c r="G64" s="289">
        <v>0</v>
      </c>
      <c r="H64" s="289">
        <v>5</v>
      </c>
      <c r="I64" s="289" t="s">
        <v>176</v>
      </c>
      <c r="J64" s="292">
        <v>2.9999999999999997E-4</v>
      </c>
      <c r="K64" s="289" t="s">
        <v>178</v>
      </c>
      <c r="L64" s="293" t="s">
        <v>177</v>
      </c>
      <c r="M64" s="266"/>
    </row>
    <row r="65" spans="1:13" x14ac:dyDescent="0.2">
      <c r="A65" s="290" t="s">
        <v>317</v>
      </c>
      <c r="B65" s="291" t="s">
        <v>300</v>
      </c>
      <c r="C65" s="294"/>
      <c r="D65" s="295" t="s">
        <v>154</v>
      </c>
      <c r="E65" s="296" t="s">
        <v>84</v>
      </c>
      <c r="F65" s="263">
        <v>0</v>
      </c>
      <c r="G65" s="289">
        <v>0</v>
      </c>
      <c r="H65" s="289">
        <v>5</v>
      </c>
      <c r="I65" s="289" t="s">
        <v>176</v>
      </c>
      <c r="J65" s="292">
        <v>2.9999999999999997E-4</v>
      </c>
      <c r="K65" s="289" t="s">
        <v>178</v>
      </c>
      <c r="L65" s="293" t="s">
        <v>177</v>
      </c>
      <c r="M65" s="266"/>
    </row>
    <row r="66" spans="1:13" x14ac:dyDescent="0.2">
      <c r="A66" s="290" t="s">
        <v>316</v>
      </c>
      <c r="B66" s="291" t="s">
        <v>300</v>
      </c>
      <c r="C66" s="294"/>
      <c r="D66" s="295" t="s">
        <v>154</v>
      </c>
      <c r="E66" s="296" t="s">
        <v>84</v>
      </c>
      <c r="F66" s="263">
        <v>0</v>
      </c>
      <c r="G66" s="289">
        <v>0</v>
      </c>
      <c r="H66" s="289">
        <v>5</v>
      </c>
      <c r="I66" s="289" t="s">
        <v>176</v>
      </c>
      <c r="J66" s="292">
        <v>2.9999999999999997E-4</v>
      </c>
      <c r="K66" s="289" t="s">
        <v>178</v>
      </c>
      <c r="L66" s="293" t="s">
        <v>177</v>
      </c>
      <c r="M66" s="266"/>
    </row>
    <row r="67" spans="1:13" x14ac:dyDescent="0.2">
      <c r="A67" s="290" t="s">
        <v>318</v>
      </c>
      <c r="B67" s="291" t="s">
        <v>360</v>
      </c>
      <c r="C67" s="294"/>
      <c r="D67" s="295" t="s">
        <v>154</v>
      </c>
      <c r="E67" s="296" t="s">
        <v>84</v>
      </c>
      <c r="F67" s="263">
        <v>0</v>
      </c>
      <c r="G67" s="289">
        <v>0</v>
      </c>
      <c r="H67" s="289">
        <v>5</v>
      </c>
      <c r="I67" s="289" t="s">
        <v>176</v>
      </c>
      <c r="J67" s="292">
        <v>2.9999999999999997E-4</v>
      </c>
      <c r="K67" s="289" t="s">
        <v>178</v>
      </c>
      <c r="L67" s="293" t="s">
        <v>177</v>
      </c>
      <c r="M67" s="266"/>
    </row>
    <row r="68" spans="1:13" x14ac:dyDescent="0.2">
      <c r="A68" s="290" t="s">
        <v>319</v>
      </c>
      <c r="B68" s="291" t="s">
        <v>360</v>
      </c>
      <c r="C68" s="294"/>
      <c r="D68" s="295" t="s">
        <v>154</v>
      </c>
      <c r="E68" s="296" t="s">
        <v>84</v>
      </c>
      <c r="F68" s="263">
        <v>0</v>
      </c>
      <c r="G68" s="289">
        <v>0</v>
      </c>
      <c r="H68" s="289">
        <v>5</v>
      </c>
      <c r="I68" s="289" t="s">
        <v>176</v>
      </c>
      <c r="J68" s="292">
        <v>2.9999999999999997E-4</v>
      </c>
      <c r="K68" s="289" t="s">
        <v>178</v>
      </c>
      <c r="L68" s="293" t="s">
        <v>177</v>
      </c>
      <c r="M68" s="266"/>
    </row>
    <row r="69" spans="1:13" x14ac:dyDescent="0.2">
      <c r="A69" s="290" t="s">
        <v>320</v>
      </c>
      <c r="B69" s="291" t="s">
        <v>300</v>
      </c>
      <c r="C69" s="294"/>
      <c r="D69" s="295" t="s">
        <v>154</v>
      </c>
      <c r="E69" s="296" t="s">
        <v>84</v>
      </c>
      <c r="F69" s="263">
        <v>0</v>
      </c>
      <c r="G69" s="289">
        <v>0</v>
      </c>
      <c r="H69" s="289">
        <v>80000</v>
      </c>
      <c r="I69" s="289" t="s">
        <v>176</v>
      </c>
      <c r="J69" s="292">
        <v>1E-3</v>
      </c>
      <c r="K69" s="289" t="s">
        <v>337</v>
      </c>
      <c r="L69" s="293" t="s">
        <v>177</v>
      </c>
      <c r="M69" s="266"/>
    </row>
    <row r="70" spans="1:13" x14ac:dyDescent="0.2">
      <c r="A70" s="290" t="s">
        <v>321</v>
      </c>
      <c r="B70" s="291" t="s">
        <v>300</v>
      </c>
      <c r="C70" s="294"/>
      <c r="D70" s="295" t="s">
        <v>154</v>
      </c>
      <c r="E70" s="296" t="s">
        <v>84</v>
      </c>
      <c r="F70" s="263">
        <v>0</v>
      </c>
      <c r="G70" s="289">
        <v>0</v>
      </c>
      <c r="H70" s="289">
        <f>3/17500</f>
        <v>1.7142857142857143E-4</v>
      </c>
      <c r="I70" s="289" t="s">
        <v>176</v>
      </c>
      <c r="J70" s="292">
        <v>1.0000000000000001E-5</v>
      </c>
      <c r="K70" s="289" t="s">
        <v>338</v>
      </c>
      <c r="L70" s="293" t="s">
        <v>177</v>
      </c>
      <c r="M70" s="266"/>
    </row>
    <row r="71" spans="1:13" x14ac:dyDescent="0.2">
      <c r="A71" s="290" t="s">
        <v>322</v>
      </c>
      <c r="B71" s="291" t="s">
        <v>300</v>
      </c>
      <c r="C71" s="294"/>
      <c r="D71" s="295" t="s">
        <v>154</v>
      </c>
      <c r="E71" s="296" t="s">
        <v>84</v>
      </c>
      <c r="F71" s="263">
        <v>0</v>
      </c>
      <c r="G71" s="289">
        <v>0</v>
      </c>
      <c r="H71" s="289">
        <f>3/17500</f>
        <v>1.7142857142857143E-4</v>
      </c>
      <c r="I71" s="289" t="s">
        <v>176</v>
      </c>
      <c r="J71" s="292">
        <v>1.0000000000000001E-5</v>
      </c>
      <c r="K71" s="289" t="s">
        <v>338</v>
      </c>
      <c r="L71" s="293" t="s">
        <v>177</v>
      </c>
      <c r="M71" s="266"/>
    </row>
    <row r="72" spans="1:13" x14ac:dyDescent="0.2">
      <c r="A72" s="290" t="s">
        <v>323</v>
      </c>
      <c r="B72" s="291" t="s">
        <v>300</v>
      </c>
      <c r="C72" s="294"/>
      <c r="D72" s="295" t="s">
        <v>154</v>
      </c>
      <c r="E72" s="296" t="s">
        <v>84</v>
      </c>
      <c r="F72" s="263">
        <v>0</v>
      </c>
      <c r="G72" s="289">
        <v>0</v>
      </c>
      <c r="H72" s="289">
        <v>10000</v>
      </c>
      <c r="I72" s="289">
        <v>1</v>
      </c>
      <c r="J72" s="292">
        <v>1</v>
      </c>
      <c r="K72" s="289" t="s">
        <v>195</v>
      </c>
      <c r="L72" s="293" t="s">
        <v>188</v>
      </c>
      <c r="M72" s="266"/>
    </row>
    <row r="73" spans="1:13" x14ac:dyDescent="0.2">
      <c r="A73" s="290" t="s">
        <v>324</v>
      </c>
      <c r="B73" s="291" t="s">
        <v>300</v>
      </c>
      <c r="C73" s="294"/>
      <c r="D73" s="295" t="s">
        <v>154</v>
      </c>
      <c r="E73" s="296" t="s">
        <v>84</v>
      </c>
      <c r="F73" s="263">
        <v>0</v>
      </c>
      <c r="G73" s="289">
        <v>0</v>
      </c>
      <c r="H73" s="289" t="s">
        <v>300</v>
      </c>
      <c r="I73" s="289" t="s">
        <v>300</v>
      </c>
      <c r="J73" s="292" t="s">
        <v>300</v>
      </c>
      <c r="K73" s="289" t="s">
        <v>180</v>
      </c>
      <c r="L73" s="293" t="s">
        <v>339</v>
      </c>
      <c r="M73" s="266"/>
    </row>
    <row r="74" spans="1:13" x14ac:dyDescent="0.2">
      <c r="A74" s="290" t="s">
        <v>325</v>
      </c>
      <c r="B74" s="291" t="s">
        <v>300</v>
      </c>
      <c r="C74" s="294"/>
      <c r="D74" s="295" t="s">
        <v>154</v>
      </c>
      <c r="E74" s="296" t="s">
        <v>84</v>
      </c>
      <c r="F74" s="263">
        <v>0</v>
      </c>
      <c r="G74" s="289">
        <v>0</v>
      </c>
      <c r="H74" s="289" t="s">
        <v>300</v>
      </c>
      <c r="I74" s="289">
        <v>1</v>
      </c>
      <c r="J74" s="292" t="s">
        <v>300</v>
      </c>
      <c r="K74" s="289" t="s">
        <v>195</v>
      </c>
      <c r="L74" s="293" t="s">
        <v>336</v>
      </c>
      <c r="M74" s="266"/>
    </row>
    <row r="75" spans="1:13" x14ac:dyDescent="0.2">
      <c r="A75" s="290" t="s">
        <v>326</v>
      </c>
      <c r="B75" s="291" t="s">
        <v>300</v>
      </c>
      <c r="C75" s="294"/>
      <c r="D75" s="295" t="s">
        <v>154</v>
      </c>
      <c r="E75" s="296" t="s">
        <v>84</v>
      </c>
      <c r="F75" s="263" t="b">
        <v>0</v>
      </c>
      <c r="G75" s="289" t="b">
        <v>0</v>
      </c>
      <c r="H75" s="289" t="b">
        <v>1</v>
      </c>
      <c r="I75" s="289" t="s">
        <v>300</v>
      </c>
      <c r="J75" s="292" t="s">
        <v>300</v>
      </c>
      <c r="K75" s="289" t="s">
        <v>195</v>
      </c>
      <c r="L75" s="293" t="s">
        <v>232</v>
      </c>
      <c r="M75" s="266"/>
    </row>
    <row r="76" spans="1:13" x14ac:dyDescent="0.2">
      <c r="A76" s="290" t="s">
        <v>283</v>
      </c>
      <c r="B76" s="297" t="s">
        <v>299</v>
      </c>
      <c r="C76" s="260"/>
      <c r="D76" s="261" t="s">
        <v>156</v>
      </c>
      <c r="E76" s="262" t="s">
        <v>84</v>
      </c>
      <c r="F76" s="263">
        <v>0</v>
      </c>
      <c r="G76" s="264" t="s">
        <v>291</v>
      </c>
      <c r="H76" s="264" t="s">
        <v>291</v>
      </c>
      <c r="I76" s="264" t="s">
        <v>176</v>
      </c>
      <c r="J76" s="292" t="s">
        <v>300</v>
      </c>
      <c r="K76" s="264" t="s">
        <v>178</v>
      </c>
      <c r="L76" s="265" t="s">
        <v>177</v>
      </c>
      <c r="M76" s="266"/>
    </row>
    <row r="77" spans="1:13" x14ac:dyDescent="0.2">
      <c r="A77" s="290" t="s">
        <v>284</v>
      </c>
      <c r="B77" s="297" t="s">
        <v>298</v>
      </c>
      <c r="C77" s="260"/>
      <c r="D77" s="261" t="s">
        <v>156</v>
      </c>
      <c r="E77" s="262" t="s">
        <v>84</v>
      </c>
      <c r="F77" s="263">
        <v>0</v>
      </c>
      <c r="G77" s="264" t="s">
        <v>291</v>
      </c>
      <c r="H77" s="264" t="s">
        <v>291</v>
      </c>
      <c r="I77" s="264" t="s">
        <v>176</v>
      </c>
      <c r="J77" s="292" t="s">
        <v>300</v>
      </c>
      <c r="K77" s="264" t="s">
        <v>178</v>
      </c>
      <c r="L77" s="265" t="s">
        <v>177</v>
      </c>
      <c r="M77" s="266"/>
    </row>
    <row r="78" spans="1:13" x14ac:dyDescent="0.2">
      <c r="A78" s="290" t="s">
        <v>267</v>
      </c>
      <c r="B78" s="297" t="s">
        <v>340</v>
      </c>
      <c r="C78" s="260"/>
      <c r="D78" s="261" t="s">
        <v>84</v>
      </c>
      <c r="E78" s="262" t="s">
        <v>84</v>
      </c>
      <c r="F78" s="263">
        <v>0</v>
      </c>
      <c r="G78" s="289">
        <v>0</v>
      </c>
      <c r="H78" s="289">
        <v>0</v>
      </c>
      <c r="I78" s="289">
        <v>80000</v>
      </c>
      <c r="J78" s="292">
        <v>4.0000000000000001E-3</v>
      </c>
      <c r="K78" s="289" t="s">
        <v>354</v>
      </c>
      <c r="L78" s="293" t="s">
        <v>177</v>
      </c>
      <c r="M78" s="266"/>
    </row>
    <row r="79" spans="1:13" x14ac:dyDescent="0.2">
      <c r="A79" s="290" t="s">
        <v>277</v>
      </c>
      <c r="B79" s="297" t="s">
        <v>341</v>
      </c>
      <c r="C79" s="260"/>
      <c r="D79" s="261" t="s">
        <v>84</v>
      </c>
      <c r="E79" s="262" t="s">
        <v>84</v>
      </c>
      <c r="F79" s="263">
        <v>0</v>
      </c>
      <c r="G79" s="289">
        <v>0</v>
      </c>
      <c r="H79" s="289">
        <v>1</v>
      </c>
      <c r="I79" s="289">
        <v>3</v>
      </c>
      <c r="J79" s="292">
        <v>2.9999999999999997E-4</v>
      </c>
      <c r="K79" s="289" t="s">
        <v>351</v>
      </c>
      <c r="L79" s="293" t="s">
        <v>177</v>
      </c>
      <c r="M79" s="266"/>
    </row>
    <row r="80" spans="1:13" x14ac:dyDescent="0.2">
      <c r="A80" s="290" t="s">
        <v>268</v>
      </c>
      <c r="B80" s="297" t="s">
        <v>342</v>
      </c>
      <c r="C80" s="260"/>
      <c r="D80" s="261" t="s">
        <v>84</v>
      </c>
      <c r="E80" s="262" t="s">
        <v>84</v>
      </c>
      <c r="F80" s="263">
        <v>0</v>
      </c>
      <c r="G80" s="289">
        <v>0</v>
      </c>
      <c r="H80" s="289">
        <v>1</v>
      </c>
      <c r="I80" s="289">
        <v>3</v>
      </c>
      <c r="J80" s="292">
        <v>2.9999999999999997E-4</v>
      </c>
      <c r="K80" s="289" t="s">
        <v>351</v>
      </c>
      <c r="L80" s="293" t="s">
        <v>177</v>
      </c>
      <c r="M80" s="266"/>
    </row>
    <row r="81" spans="1:16384" x14ac:dyDescent="0.2">
      <c r="A81" s="290" t="s">
        <v>269</v>
      </c>
      <c r="B81" s="297" t="s">
        <v>343</v>
      </c>
      <c r="C81" s="260"/>
      <c r="D81" s="261" t="s">
        <v>84</v>
      </c>
      <c r="E81" s="262" t="s">
        <v>84</v>
      </c>
      <c r="F81" s="263">
        <v>0</v>
      </c>
      <c r="G81" s="289">
        <v>0</v>
      </c>
      <c r="H81" s="289">
        <v>1</v>
      </c>
      <c r="I81" s="289">
        <v>3</v>
      </c>
      <c r="J81" s="292">
        <v>2.9999999999999997E-4</v>
      </c>
      <c r="K81" s="289" t="s">
        <v>351</v>
      </c>
      <c r="L81" s="293" t="s">
        <v>177</v>
      </c>
      <c r="M81" s="266"/>
    </row>
    <row r="82" spans="1:16384" x14ac:dyDescent="0.2">
      <c r="A82" s="290" t="s">
        <v>270</v>
      </c>
      <c r="B82" s="297" t="s">
        <v>344</v>
      </c>
      <c r="C82" s="260"/>
      <c r="D82" s="261" t="s">
        <v>84</v>
      </c>
      <c r="E82" s="262" t="s">
        <v>84</v>
      </c>
      <c r="F82" s="263">
        <v>0</v>
      </c>
      <c r="G82" s="289">
        <v>0</v>
      </c>
      <c r="H82" s="289">
        <v>1</v>
      </c>
      <c r="I82" s="289">
        <v>3</v>
      </c>
      <c r="J82" s="292">
        <v>2.9999999999999997E-4</v>
      </c>
      <c r="K82" s="289" t="s">
        <v>351</v>
      </c>
      <c r="L82" s="293" t="s">
        <v>177</v>
      </c>
      <c r="M82" s="266"/>
    </row>
    <row r="83" spans="1:16384" x14ac:dyDescent="0.2">
      <c r="A83" s="290" t="s">
        <v>271</v>
      </c>
      <c r="B83" s="297" t="s">
        <v>345</v>
      </c>
      <c r="C83" s="260"/>
      <c r="D83" s="261" t="s">
        <v>84</v>
      </c>
      <c r="E83" s="262" t="s">
        <v>84</v>
      </c>
      <c r="F83" s="263">
        <v>0</v>
      </c>
      <c r="G83" s="289">
        <v>0</v>
      </c>
      <c r="H83" s="289">
        <v>20</v>
      </c>
      <c r="I83" s="289">
        <v>125</v>
      </c>
      <c r="J83" s="292">
        <v>2E-3</v>
      </c>
      <c r="K83" s="289" t="s">
        <v>217</v>
      </c>
      <c r="L83" s="293" t="s">
        <v>177</v>
      </c>
      <c r="M83" s="266"/>
    </row>
    <row r="84" spans="1:16384" x14ac:dyDescent="0.2">
      <c r="A84" s="290" t="s">
        <v>272</v>
      </c>
      <c r="B84" s="297" t="s">
        <v>346</v>
      </c>
      <c r="C84" s="260"/>
      <c r="D84" s="261" t="s">
        <v>84</v>
      </c>
      <c r="E84" s="262" t="s">
        <v>84</v>
      </c>
      <c r="F84" s="263">
        <v>0</v>
      </c>
      <c r="G84" s="289">
        <v>0</v>
      </c>
      <c r="H84" s="289">
        <v>20</v>
      </c>
      <c r="I84" s="289">
        <v>125</v>
      </c>
      <c r="J84" s="292">
        <v>2E-3</v>
      </c>
      <c r="K84" s="289" t="s">
        <v>217</v>
      </c>
      <c r="L84" s="293" t="s">
        <v>177</v>
      </c>
      <c r="M84" s="266"/>
    </row>
    <row r="85" spans="1:16384" ht="22.5" x14ac:dyDescent="0.2">
      <c r="A85" s="290" t="s">
        <v>273</v>
      </c>
      <c r="B85" s="297" t="s">
        <v>347</v>
      </c>
      <c r="C85" s="260"/>
      <c r="D85" s="261" t="s">
        <v>84</v>
      </c>
      <c r="E85" s="262" t="s">
        <v>84</v>
      </c>
      <c r="F85" s="263">
        <v>0</v>
      </c>
      <c r="G85" s="289">
        <v>0</v>
      </c>
      <c r="H85" s="289">
        <v>-50</v>
      </c>
      <c r="I85" s="289">
        <v>150</v>
      </c>
      <c r="J85" s="292" t="s">
        <v>300</v>
      </c>
      <c r="K85" s="289" t="s">
        <v>350</v>
      </c>
      <c r="L85" s="293" t="s">
        <v>353</v>
      </c>
      <c r="M85" s="266"/>
    </row>
    <row r="86" spans="1:16384" x14ac:dyDescent="0.2">
      <c r="A86" s="290" t="s">
        <v>274</v>
      </c>
      <c r="B86" s="297" t="s">
        <v>348</v>
      </c>
      <c r="C86" s="260"/>
      <c r="D86" s="261" t="s">
        <v>84</v>
      </c>
      <c r="E86" s="262" t="s">
        <v>84</v>
      </c>
      <c r="F86" s="263">
        <v>0</v>
      </c>
      <c r="G86" s="289">
        <v>0</v>
      </c>
      <c r="H86" s="289">
        <v>-0.26</v>
      </c>
      <c r="I86" s="289">
        <v>0.26</v>
      </c>
      <c r="J86" s="292" t="s">
        <v>300</v>
      </c>
      <c r="K86" s="289" t="s">
        <v>351</v>
      </c>
      <c r="L86" s="293" t="s">
        <v>352</v>
      </c>
      <c r="M86" s="266"/>
    </row>
    <row r="87" spans="1:16384" x14ac:dyDescent="0.2">
      <c r="A87" s="290" t="s">
        <v>275</v>
      </c>
      <c r="B87" s="297" t="s">
        <v>349</v>
      </c>
      <c r="C87" s="260"/>
      <c r="D87" s="261" t="s">
        <v>84</v>
      </c>
      <c r="E87" s="262" t="s">
        <v>84</v>
      </c>
      <c r="F87" s="263">
        <v>0</v>
      </c>
      <c r="G87" s="289">
        <v>0</v>
      </c>
      <c r="H87" s="289">
        <v>-0.26</v>
      </c>
      <c r="I87" s="289">
        <v>0.26</v>
      </c>
      <c r="J87" s="292" t="s">
        <v>300</v>
      </c>
      <c r="K87" s="289" t="s">
        <v>351</v>
      </c>
      <c r="L87" s="293" t="s">
        <v>352</v>
      </c>
      <c r="M87" s="266"/>
    </row>
    <row r="88" spans="1:16384" x14ac:dyDescent="0.2">
      <c r="A88" s="291" t="s">
        <v>365</v>
      </c>
      <c r="B88" s="297" t="s">
        <v>300</v>
      </c>
      <c r="C88" s="260"/>
      <c r="D88" s="261" t="s">
        <v>84</v>
      </c>
      <c r="E88" s="262" t="s">
        <v>84</v>
      </c>
      <c r="F88" s="263">
        <v>0</v>
      </c>
      <c r="G88" s="289">
        <v>0</v>
      </c>
      <c r="H88" s="289">
        <v>255</v>
      </c>
      <c r="I88" s="289">
        <v>1</v>
      </c>
      <c r="J88" s="292">
        <v>1</v>
      </c>
      <c r="K88" s="289" t="s">
        <v>366</v>
      </c>
      <c r="L88" s="293" t="s">
        <v>367</v>
      </c>
      <c r="M88" s="266"/>
      <c r="N88" s="290"/>
      <c r="AD88" s="261"/>
      <c r="AE88" s="262"/>
      <c r="AF88" s="263"/>
      <c r="AG88" s="289"/>
      <c r="AH88" s="289"/>
      <c r="AI88" s="289"/>
      <c r="AJ88" s="292"/>
      <c r="AK88" s="289"/>
      <c r="AL88" s="293"/>
      <c r="AM88" s="266"/>
      <c r="AN88" s="290"/>
      <c r="AO88" s="297"/>
      <c r="AP88" s="260"/>
      <c r="AQ88" s="261"/>
      <c r="AR88" s="262"/>
      <c r="AS88" s="263"/>
      <c r="AT88" s="289"/>
      <c r="AU88" s="289"/>
      <c r="AV88" s="289"/>
      <c r="AW88" s="292"/>
      <c r="AX88" s="289"/>
      <c r="AY88" s="293"/>
      <c r="AZ88" s="266"/>
      <c r="BA88" s="290"/>
      <c r="BB88" s="297"/>
      <c r="BC88" s="260"/>
      <c r="BD88" s="261"/>
      <c r="BE88" s="262"/>
      <c r="BF88" s="263"/>
      <c r="BG88" s="289"/>
      <c r="BH88" s="289"/>
      <c r="BI88" s="289"/>
      <c r="BJ88" s="292"/>
      <c r="BK88" s="289"/>
      <c r="BL88" s="293"/>
      <c r="BM88" s="266"/>
      <c r="BN88" s="290"/>
      <c r="BO88" s="297"/>
      <c r="BP88" s="260"/>
      <c r="BQ88" s="261"/>
      <c r="BR88" s="262"/>
      <c r="BS88" s="263"/>
      <c r="BT88" s="289"/>
      <c r="BU88" s="289"/>
      <c r="BV88" s="289"/>
      <c r="BW88" s="292"/>
      <c r="BX88" s="289"/>
      <c r="BY88" s="293"/>
      <c r="BZ88" s="266"/>
      <c r="CA88" s="290"/>
      <c r="CB88" s="297"/>
      <c r="CC88" s="260"/>
      <c r="CD88" s="261"/>
      <c r="CE88" s="262"/>
      <c r="CF88" s="263"/>
      <c r="CG88" s="289"/>
      <c r="CH88" s="289"/>
      <c r="CI88" s="289"/>
      <c r="CJ88" s="292"/>
      <c r="CK88" s="289"/>
      <c r="CL88" s="293"/>
      <c r="CM88" s="266"/>
      <c r="CN88" s="290"/>
      <c r="CO88" s="297"/>
      <c r="CP88" s="260"/>
      <c r="CQ88" s="261"/>
      <c r="CR88" s="262"/>
      <c r="CS88" s="263"/>
      <c r="CT88" s="289"/>
      <c r="CU88" s="289"/>
      <c r="CV88" s="289"/>
      <c r="CW88" s="292"/>
      <c r="CX88" s="289"/>
      <c r="CY88" s="293"/>
      <c r="CZ88" s="266"/>
      <c r="DA88" s="290"/>
      <c r="DB88" s="297"/>
      <c r="DC88" s="260"/>
      <c r="DD88" s="261"/>
      <c r="DE88" s="262"/>
      <c r="DF88" s="263"/>
      <c r="DG88" s="289"/>
      <c r="DH88" s="289"/>
      <c r="DI88" s="289"/>
      <c r="DJ88" s="292"/>
      <c r="DK88" s="289"/>
      <c r="DL88" s="293"/>
      <c r="DM88" s="266"/>
      <c r="DN88" s="290"/>
      <c r="DO88" s="297"/>
      <c r="DP88" s="260"/>
      <c r="DQ88" s="261"/>
      <c r="DR88" s="262"/>
      <c r="DS88" s="263"/>
      <c r="DT88" s="289"/>
      <c r="DU88" s="289"/>
      <c r="DV88" s="289"/>
      <c r="DW88" s="292"/>
      <c r="DX88" s="289"/>
      <c r="DY88" s="293"/>
      <c r="DZ88" s="266"/>
      <c r="EA88" s="290"/>
      <c r="EB88" s="297"/>
      <c r="EC88" s="260"/>
      <c r="ED88" s="261"/>
      <c r="EE88" s="262"/>
      <c r="EF88" s="263"/>
      <c r="EG88" s="289"/>
      <c r="EH88" s="289"/>
      <c r="EI88" s="289"/>
      <c r="EJ88" s="292"/>
      <c r="EK88" s="289"/>
      <c r="EL88" s="293"/>
      <c r="EM88" s="266"/>
      <c r="EN88" s="290"/>
      <c r="EO88" s="297"/>
      <c r="EP88" s="260"/>
      <c r="EQ88" s="261"/>
      <c r="ER88" s="262"/>
      <c r="ES88" s="263"/>
      <c r="ET88" s="289"/>
      <c r="EU88" s="289"/>
      <c r="EV88" s="289"/>
      <c r="EW88" s="292"/>
      <c r="EX88" s="289"/>
      <c r="EY88" s="293"/>
      <c r="EZ88" s="266"/>
      <c r="FA88" s="290"/>
      <c r="FB88" s="297"/>
      <c r="FC88" s="260"/>
      <c r="FD88" s="261"/>
      <c r="FE88" s="262"/>
      <c r="FF88" s="263"/>
      <c r="FG88" s="289"/>
      <c r="FH88" s="289"/>
      <c r="FI88" s="289"/>
      <c r="FJ88" s="292"/>
      <c r="FK88" s="289"/>
      <c r="FL88" s="293"/>
      <c r="FM88" s="266"/>
      <c r="FN88" s="290"/>
      <c r="FO88" s="297"/>
      <c r="FP88" s="260"/>
      <c r="FQ88" s="261"/>
      <c r="FR88" s="262"/>
      <c r="FS88" s="263"/>
      <c r="FT88" s="289"/>
      <c r="FU88" s="289"/>
      <c r="FV88" s="289"/>
      <c r="FW88" s="292"/>
      <c r="FX88" s="289"/>
      <c r="FY88" s="293"/>
      <c r="FZ88" s="266"/>
      <c r="GA88" s="290"/>
      <c r="GB88" s="297"/>
      <c r="GC88" s="260"/>
      <c r="GD88" s="261"/>
      <c r="GE88" s="262"/>
      <c r="GF88" s="263"/>
      <c r="GG88" s="289"/>
      <c r="GH88" s="289"/>
      <c r="GI88" s="289"/>
      <c r="GJ88" s="292"/>
      <c r="GK88" s="289"/>
      <c r="GL88" s="293"/>
      <c r="GM88" s="266"/>
      <c r="GN88" s="290"/>
      <c r="GO88" s="297"/>
      <c r="GP88" s="260"/>
      <c r="GQ88" s="261"/>
      <c r="GR88" s="262"/>
      <c r="GS88" s="263"/>
      <c r="GT88" s="289"/>
      <c r="GU88" s="289"/>
      <c r="GV88" s="289"/>
      <c r="GW88" s="292"/>
      <c r="GX88" s="289"/>
      <c r="GY88" s="293"/>
      <c r="GZ88" s="266"/>
      <c r="HA88" s="290"/>
      <c r="HB88" s="297"/>
      <c r="HC88" s="260"/>
      <c r="HD88" s="261"/>
      <c r="HE88" s="262"/>
      <c r="HF88" s="263"/>
      <c r="HG88" s="289"/>
      <c r="HH88" s="289"/>
      <c r="HI88" s="289"/>
      <c r="HJ88" s="292"/>
      <c r="HK88" s="289"/>
      <c r="HL88" s="293"/>
      <c r="HM88" s="266"/>
      <c r="HN88" s="290"/>
      <c r="HO88" s="297"/>
      <c r="HP88" s="260"/>
      <c r="HQ88" s="261"/>
      <c r="HR88" s="262"/>
      <c r="HS88" s="263"/>
      <c r="HT88" s="289"/>
      <c r="HU88" s="289"/>
      <c r="HV88" s="289"/>
      <c r="HW88" s="292"/>
      <c r="HX88" s="289"/>
      <c r="HY88" s="293"/>
      <c r="HZ88" s="266"/>
      <c r="IA88" s="290"/>
      <c r="IB88" s="297"/>
      <c r="IC88" s="260"/>
      <c r="ID88" s="261"/>
      <c r="IE88" s="262"/>
      <c r="IF88" s="263"/>
      <c r="IG88" s="289"/>
      <c r="IH88" s="289"/>
      <c r="II88" s="289"/>
      <c r="IJ88" s="292"/>
      <c r="IK88" s="289"/>
      <c r="IL88" s="293"/>
      <c r="IM88" s="266"/>
      <c r="IN88" s="290"/>
      <c r="IO88" s="297"/>
      <c r="IP88" s="260"/>
      <c r="IQ88" s="261"/>
      <c r="IR88" s="262"/>
      <c r="IS88" s="263"/>
      <c r="IT88" s="289"/>
      <c r="IU88" s="289"/>
      <c r="IV88" s="289"/>
      <c r="IW88" s="292"/>
      <c r="IX88" s="289"/>
      <c r="IY88" s="293"/>
      <c r="IZ88" s="266"/>
      <c r="JA88" s="290"/>
      <c r="JB88" s="297"/>
      <c r="JC88" s="260"/>
      <c r="JD88" s="261"/>
      <c r="JE88" s="262"/>
      <c r="JF88" s="263"/>
      <c r="JG88" s="289"/>
      <c r="JH88" s="289"/>
      <c r="JI88" s="289"/>
      <c r="JJ88" s="292"/>
      <c r="JK88" s="289"/>
      <c r="JL88" s="293"/>
      <c r="JM88" s="266"/>
      <c r="JN88" s="290"/>
      <c r="JO88" s="297"/>
      <c r="JP88" s="260"/>
      <c r="JQ88" s="261"/>
      <c r="JR88" s="262"/>
      <c r="JS88" s="263"/>
      <c r="JT88" s="289"/>
      <c r="JU88" s="289"/>
      <c r="JV88" s="289"/>
      <c r="JW88" s="292"/>
      <c r="JX88" s="289"/>
      <c r="JY88" s="293"/>
      <c r="JZ88" s="266"/>
      <c r="KA88" s="290"/>
      <c r="KB88" s="297"/>
      <c r="KC88" s="260"/>
      <c r="KD88" s="261"/>
      <c r="KE88" s="262"/>
      <c r="KF88" s="263"/>
      <c r="KG88" s="289"/>
      <c r="KH88" s="289"/>
      <c r="KI88" s="289"/>
      <c r="KJ88" s="292"/>
      <c r="KK88" s="289"/>
      <c r="KL88" s="293"/>
      <c r="KM88" s="266"/>
      <c r="KN88" s="290"/>
      <c r="KO88" s="297"/>
      <c r="KP88" s="260"/>
      <c r="KQ88" s="261"/>
      <c r="KR88" s="262"/>
      <c r="KS88" s="263"/>
      <c r="KT88" s="289"/>
      <c r="KU88" s="289"/>
      <c r="KV88" s="289"/>
      <c r="KW88" s="292"/>
      <c r="KX88" s="289"/>
      <c r="KY88" s="293"/>
      <c r="KZ88" s="266"/>
      <c r="LA88" s="290"/>
      <c r="LB88" s="297"/>
      <c r="LC88" s="260"/>
      <c r="LD88" s="261"/>
      <c r="LE88" s="262"/>
      <c r="LF88" s="263"/>
      <c r="LG88" s="289"/>
      <c r="LH88" s="289"/>
      <c r="LI88" s="289"/>
      <c r="LJ88" s="292"/>
      <c r="LK88" s="289"/>
      <c r="LL88" s="293"/>
      <c r="LM88" s="266"/>
      <c r="LN88" s="290"/>
      <c r="LO88" s="297"/>
      <c r="LP88" s="260"/>
      <c r="LQ88" s="261"/>
      <c r="LR88" s="262"/>
      <c r="LS88" s="263"/>
      <c r="LT88" s="289"/>
      <c r="LU88" s="289"/>
      <c r="LV88" s="289"/>
      <c r="LW88" s="292"/>
      <c r="LX88" s="289"/>
      <c r="LY88" s="293"/>
      <c r="LZ88" s="266"/>
      <c r="MA88" s="290"/>
      <c r="MB88" s="297"/>
      <c r="MC88" s="260"/>
      <c r="MD88" s="261"/>
      <c r="ME88" s="262"/>
      <c r="MF88" s="263"/>
      <c r="MG88" s="289"/>
      <c r="MH88" s="289"/>
      <c r="MI88" s="289"/>
      <c r="MJ88" s="292"/>
      <c r="MK88" s="289"/>
      <c r="ML88" s="293"/>
      <c r="MM88" s="266"/>
      <c r="MN88" s="290"/>
      <c r="MO88" s="297"/>
      <c r="MP88" s="260"/>
      <c r="MQ88" s="261"/>
      <c r="MR88" s="262"/>
      <c r="MS88" s="263"/>
      <c r="MT88" s="289"/>
      <c r="MU88" s="289"/>
      <c r="MV88" s="289"/>
      <c r="MW88" s="292"/>
      <c r="MX88" s="289"/>
      <c r="MY88" s="293"/>
      <c r="MZ88" s="266"/>
      <c r="NA88" s="290"/>
      <c r="NB88" s="297"/>
      <c r="NC88" s="260"/>
      <c r="ND88" s="261"/>
      <c r="NE88" s="262"/>
      <c r="NF88" s="263"/>
      <c r="NG88" s="289"/>
      <c r="NH88" s="289"/>
      <c r="NI88" s="289"/>
      <c r="NJ88" s="292"/>
      <c r="NK88" s="289"/>
      <c r="NL88" s="293"/>
      <c r="NM88" s="266"/>
      <c r="NN88" s="290"/>
      <c r="NO88" s="297"/>
      <c r="NP88" s="260"/>
      <c r="NQ88" s="261"/>
      <c r="NR88" s="262"/>
      <c r="NS88" s="263"/>
      <c r="NT88" s="289"/>
      <c r="NU88" s="289"/>
      <c r="NV88" s="289"/>
      <c r="NW88" s="292"/>
      <c r="NX88" s="289"/>
      <c r="NY88" s="293"/>
      <c r="NZ88" s="266"/>
      <c r="OA88" s="290"/>
      <c r="OB88" s="297"/>
      <c r="OC88" s="260"/>
      <c r="OD88" s="261"/>
      <c r="OE88" s="262"/>
      <c r="OF88" s="263"/>
      <c r="OG88" s="289"/>
      <c r="OH88" s="289"/>
      <c r="OI88" s="289"/>
      <c r="OJ88" s="292"/>
      <c r="OK88" s="289"/>
      <c r="OL88" s="293"/>
      <c r="OM88" s="266"/>
      <c r="ON88" s="290"/>
      <c r="OO88" s="297"/>
      <c r="OP88" s="260"/>
      <c r="OQ88" s="261"/>
      <c r="OR88" s="262"/>
      <c r="OS88" s="263"/>
      <c r="OT88" s="289"/>
      <c r="OU88" s="289"/>
      <c r="OV88" s="289"/>
      <c r="OW88" s="292"/>
      <c r="OX88" s="289"/>
      <c r="OY88" s="293"/>
      <c r="OZ88" s="266"/>
      <c r="PA88" s="290"/>
      <c r="PB88" s="297"/>
      <c r="PC88" s="260"/>
      <c r="PD88" s="261"/>
      <c r="PE88" s="262"/>
      <c r="PF88" s="263"/>
      <c r="PG88" s="289"/>
      <c r="PH88" s="289"/>
      <c r="PI88" s="289"/>
      <c r="PJ88" s="292"/>
      <c r="PK88" s="289"/>
      <c r="PL88" s="293"/>
      <c r="PM88" s="266"/>
      <c r="PN88" s="290"/>
      <c r="PO88" s="297"/>
      <c r="PP88" s="260"/>
      <c r="PQ88" s="261"/>
      <c r="PR88" s="262"/>
      <c r="PS88" s="263"/>
      <c r="PT88" s="289"/>
      <c r="PU88" s="289"/>
      <c r="PV88" s="289"/>
      <c r="PW88" s="292"/>
      <c r="PX88" s="289"/>
      <c r="PY88" s="293"/>
      <c r="PZ88" s="266"/>
      <c r="QA88" s="290"/>
      <c r="QB88" s="297"/>
      <c r="QC88" s="260"/>
      <c r="QD88" s="261"/>
      <c r="QE88" s="262"/>
      <c r="QF88" s="263"/>
      <c r="QG88" s="289"/>
      <c r="QH88" s="289"/>
      <c r="QI88" s="289"/>
      <c r="QJ88" s="292"/>
      <c r="QK88" s="289"/>
      <c r="QL88" s="293"/>
      <c r="QM88" s="266"/>
      <c r="QN88" s="290"/>
      <c r="QO88" s="297"/>
      <c r="QP88" s="260"/>
      <c r="QQ88" s="261"/>
      <c r="QR88" s="262"/>
      <c r="QS88" s="263"/>
      <c r="QT88" s="289"/>
      <c r="QU88" s="289"/>
      <c r="QV88" s="289"/>
      <c r="QW88" s="292"/>
      <c r="QX88" s="289"/>
      <c r="QY88" s="293"/>
      <c r="QZ88" s="266"/>
      <c r="RA88" s="290"/>
      <c r="RB88" s="297"/>
      <c r="RC88" s="260"/>
      <c r="RD88" s="261"/>
      <c r="RE88" s="262"/>
      <c r="RF88" s="263"/>
      <c r="RG88" s="289"/>
      <c r="RH88" s="289"/>
      <c r="RI88" s="289"/>
      <c r="RJ88" s="292"/>
      <c r="RK88" s="289"/>
      <c r="RL88" s="293"/>
      <c r="RM88" s="266"/>
      <c r="RN88" s="290"/>
      <c r="RO88" s="297"/>
      <c r="RP88" s="260"/>
      <c r="RQ88" s="261"/>
      <c r="RR88" s="262"/>
      <c r="RS88" s="263"/>
      <c r="RT88" s="289"/>
      <c r="RU88" s="289"/>
      <c r="RV88" s="289"/>
      <c r="RW88" s="292"/>
      <c r="RX88" s="289"/>
      <c r="RY88" s="293"/>
      <c r="RZ88" s="266"/>
      <c r="SA88" s="290"/>
      <c r="SB88" s="297"/>
      <c r="SC88" s="260"/>
      <c r="SD88" s="261"/>
      <c r="SE88" s="262"/>
      <c r="SF88" s="263"/>
      <c r="SG88" s="289"/>
      <c r="SH88" s="289"/>
      <c r="SI88" s="289"/>
      <c r="SJ88" s="292"/>
      <c r="SK88" s="289"/>
      <c r="SL88" s="293"/>
      <c r="SM88" s="266"/>
      <c r="SN88" s="290"/>
      <c r="SO88" s="297"/>
      <c r="SP88" s="260"/>
      <c r="SQ88" s="261"/>
      <c r="SR88" s="262"/>
      <c r="SS88" s="263"/>
      <c r="ST88" s="289"/>
      <c r="SU88" s="289"/>
      <c r="SV88" s="289"/>
      <c r="SW88" s="292"/>
      <c r="SX88" s="289"/>
      <c r="SY88" s="293"/>
      <c r="SZ88" s="266"/>
      <c r="TA88" s="290"/>
      <c r="TB88" s="297"/>
      <c r="TC88" s="260"/>
      <c r="TD88" s="261"/>
      <c r="TE88" s="262"/>
      <c r="TF88" s="263"/>
      <c r="TG88" s="289"/>
      <c r="TH88" s="289"/>
      <c r="TI88" s="289"/>
      <c r="TJ88" s="292"/>
      <c r="TK88" s="289"/>
      <c r="TL88" s="293"/>
      <c r="TM88" s="266"/>
      <c r="TN88" s="290"/>
      <c r="TO88" s="297"/>
      <c r="TP88" s="260"/>
      <c r="TQ88" s="261"/>
      <c r="TR88" s="262"/>
      <c r="TS88" s="263"/>
      <c r="TT88" s="289"/>
      <c r="TU88" s="289"/>
      <c r="TV88" s="289"/>
      <c r="TW88" s="292"/>
      <c r="TX88" s="289"/>
      <c r="TY88" s="293"/>
      <c r="TZ88" s="266"/>
      <c r="UA88" s="290"/>
      <c r="UB88" s="297"/>
      <c r="UC88" s="260"/>
      <c r="UD88" s="261"/>
      <c r="UE88" s="262"/>
      <c r="UF88" s="263"/>
      <c r="UG88" s="289"/>
      <c r="UH88" s="289"/>
      <c r="UI88" s="289"/>
      <c r="UJ88" s="292"/>
      <c r="UK88" s="289"/>
      <c r="UL88" s="293"/>
      <c r="UM88" s="266"/>
      <c r="UN88" s="290"/>
      <c r="UO88" s="297"/>
      <c r="UP88" s="260"/>
      <c r="UQ88" s="261"/>
      <c r="UR88" s="262"/>
      <c r="US88" s="263"/>
      <c r="UT88" s="289"/>
      <c r="UU88" s="289"/>
      <c r="UV88" s="289"/>
      <c r="UW88" s="292"/>
      <c r="UX88" s="289"/>
      <c r="UY88" s="293"/>
      <c r="UZ88" s="266"/>
      <c r="VA88" s="290"/>
      <c r="VB88" s="297"/>
      <c r="VC88" s="260"/>
      <c r="VD88" s="261"/>
      <c r="VE88" s="262"/>
      <c r="VF88" s="263"/>
      <c r="VG88" s="289"/>
      <c r="VH88" s="289"/>
      <c r="VI88" s="289"/>
      <c r="VJ88" s="292"/>
      <c r="VK88" s="289"/>
      <c r="VL88" s="293"/>
      <c r="VM88" s="266"/>
      <c r="VN88" s="290"/>
      <c r="VO88" s="297"/>
      <c r="VP88" s="260"/>
      <c r="VQ88" s="261"/>
      <c r="VR88" s="262"/>
      <c r="VS88" s="263"/>
      <c r="VT88" s="289"/>
      <c r="VU88" s="289"/>
      <c r="VV88" s="289"/>
      <c r="VW88" s="292"/>
      <c r="VX88" s="289"/>
      <c r="VY88" s="293"/>
      <c r="VZ88" s="266"/>
      <c r="WA88" s="290"/>
      <c r="WB88" s="297"/>
      <c r="WC88" s="260"/>
      <c r="WD88" s="261"/>
      <c r="WE88" s="262"/>
      <c r="WF88" s="263"/>
      <c r="WG88" s="289"/>
      <c r="WH88" s="289"/>
      <c r="WI88" s="289"/>
      <c r="WJ88" s="292"/>
      <c r="WK88" s="289"/>
      <c r="WL88" s="293"/>
      <c r="WM88" s="266"/>
      <c r="WN88" s="290"/>
      <c r="WO88" s="297"/>
      <c r="WP88" s="260"/>
      <c r="WQ88" s="261"/>
      <c r="WR88" s="262"/>
      <c r="WS88" s="263"/>
      <c r="WT88" s="289"/>
      <c r="WU88" s="289"/>
      <c r="WV88" s="289"/>
      <c r="WW88" s="292"/>
      <c r="WX88" s="289"/>
      <c r="WY88" s="293"/>
      <c r="WZ88" s="266"/>
      <c r="XA88" s="290"/>
      <c r="XB88" s="297"/>
      <c r="XC88" s="260"/>
      <c r="XD88" s="261"/>
      <c r="XE88" s="262"/>
      <c r="XF88" s="263"/>
      <c r="XG88" s="289"/>
      <c r="XH88" s="289"/>
      <c r="XI88" s="289"/>
      <c r="XJ88" s="292"/>
      <c r="XK88" s="289"/>
      <c r="XL88" s="293"/>
      <c r="XM88" s="266"/>
      <c r="XN88" s="290"/>
      <c r="XO88" s="297"/>
      <c r="XP88" s="260"/>
      <c r="XQ88" s="261"/>
      <c r="XR88" s="262"/>
      <c r="XS88" s="263"/>
      <c r="XT88" s="289"/>
      <c r="XU88" s="289"/>
      <c r="XV88" s="289"/>
      <c r="XW88" s="292"/>
      <c r="XX88" s="289"/>
      <c r="XY88" s="293"/>
      <c r="XZ88" s="266"/>
      <c r="YA88" s="290"/>
      <c r="YB88" s="297"/>
      <c r="YC88" s="260"/>
      <c r="YD88" s="261"/>
      <c r="YE88" s="262"/>
      <c r="YF88" s="263"/>
      <c r="YG88" s="289"/>
      <c r="YH88" s="289"/>
      <c r="YI88" s="289"/>
      <c r="YJ88" s="292"/>
      <c r="YK88" s="289"/>
      <c r="YL88" s="293"/>
      <c r="YM88" s="266"/>
      <c r="YN88" s="290"/>
      <c r="YO88" s="297"/>
      <c r="YP88" s="260"/>
      <c r="YQ88" s="261"/>
      <c r="YR88" s="262"/>
      <c r="YS88" s="263"/>
      <c r="YT88" s="289"/>
      <c r="YU88" s="289"/>
      <c r="YV88" s="289"/>
      <c r="YW88" s="292"/>
      <c r="YX88" s="289"/>
      <c r="YY88" s="293"/>
      <c r="YZ88" s="266"/>
      <c r="ZA88" s="290"/>
      <c r="ZB88" s="297"/>
      <c r="ZC88" s="260"/>
      <c r="ZD88" s="261"/>
      <c r="ZE88" s="262"/>
      <c r="ZF88" s="263"/>
      <c r="ZG88" s="289"/>
      <c r="ZH88" s="289"/>
      <c r="ZI88" s="289"/>
      <c r="ZJ88" s="292"/>
      <c r="ZK88" s="289"/>
      <c r="ZL88" s="293"/>
      <c r="ZM88" s="266"/>
      <c r="ZN88" s="290"/>
      <c r="ZO88" s="297"/>
      <c r="ZP88" s="260"/>
      <c r="ZQ88" s="261"/>
      <c r="ZR88" s="262"/>
      <c r="ZS88" s="263"/>
      <c r="ZT88" s="289"/>
      <c r="ZU88" s="289"/>
      <c r="ZV88" s="289"/>
      <c r="ZW88" s="292"/>
      <c r="ZX88" s="289"/>
      <c r="ZY88" s="293"/>
      <c r="ZZ88" s="266"/>
      <c r="AAA88" s="290"/>
      <c r="AAB88" s="297"/>
      <c r="AAC88" s="260"/>
      <c r="AAD88" s="261"/>
      <c r="AAE88" s="262"/>
      <c r="AAF88" s="263"/>
      <c r="AAG88" s="289"/>
      <c r="AAH88" s="289"/>
      <c r="AAI88" s="289"/>
      <c r="AAJ88" s="292"/>
      <c r="AAK88" s="289"/>
      <c r="AAL88" s="293"/>
      <c r="AAM88" s="266"/>
      <c r="AAN88" s="290"/>
      <c r="AAO88" s="297"/>
      <c r="AAP88" s="260"/>
      <c r="AAQ88" s="261"/>
      <c r="AAR88" s="262"/>
      <c r="AAS88" s="263"/>
      <c r="AAT88" s="289"/>
      <c r="AAU88" s="289"/>
      <c r="AAV88" s="289"/>
      <c r="AAW88" s="292"/>
      <c r="AAX88" s="289"/>
      <c r="AAY88" s="293"/>
      <c r="AAZ88" s="266"/>
      <c r="ABA88" s="290"/>
      <c r="ABB88" s="297"/>
      <c r="ABC88" s="260"/>
      <c r="ABD88" s="261"/>
      <c r="ABE88" s="262"/>
      <c r="ABF88" s="263"/>
      <c r="ABG88" s="289"/>
      <c r="ABH88" s="289"/>
      <c r="ABI88" s="289"/>
      <c r="ABJ88" s="292"/>
      <c r="ABK88" s="289"/>
      <c r="ABL88" s="293"/>
      <c r="ABM88" s="266"/>
      <c r="ABN88" s="290"/>
      <c r="ABO88" s="297"/>
      <c r="ABP88" s="260"/>
      <c r="ABQ88" s="261"/>
      <c r="ABR88" s="262"/>
      <c r="ABS88" s="263"/>
      <c r="ABT88" s="289"/>
      <c r="ABU88" s="289"/>
      <c r="ABV88" s="289"/>
      <c r="ABW88" s="292"/>
      <c r="ABX88" s="289"/>
      <c r="ABY88" s="293"/>
      <c r="ABZ88" s="266"/>
      <c r="ACA88" s="290"/>
      <c r="ACB88" s="297"/>
      <c r="ACC88" s="260"/>
      <c r="ACD88" s="261"/>
      <c r="ACE88" s="262"/>
      <c r="ACF88" s="263"/>
      <c r="ACG88" s="289"/>
      <c r="ACH88" s="289"/>
      <c r="ACI88" s="289"/>
      <c r="ACJ88" s="292"/>
      <c r="ACK88" s="289"/>
      <c r="ACL88" s="293"/>
      <c r="ACM88" s="266"/>
      <c r="ACN88" s="290"/>
      <c r="ACO88" s="297"/>
      <c r="ACP88" s="260"/>
      <c r="ACQ88" s="261"/>
      <c r="ACR88" s="262"/>
      <c r="ACS88" s="263"/>
      <c r="ACT88" s="289"/>
      <c r="ACU88" s="289"/>
      <c r="ACV88" s="289"/>
      <c r="ACW88" s="292"/>
      <c r="ACX88" s="289"/>
      <c r="ACY88" s="293"/>
      <c r="ACZ88" s="266"/>
      <c r="ADA88" s="290"/>
      <c r="ADB88" s="297"/>
      <c r="ADC88" s="260"/>
      <c r="ADD88" s="261"/>
      <c r="ADE88" s="262"/>
      <c r="ADF88" s="263"/>
      <c r="ADG88" s="289"/>
      <c r="ADH88" s="289"/>
      <c r="ADI88" s="289"/>
      <c r="ADJ88" s="292"/>
      <c r="ADK88" s="289"/>
      <c r="ADL88" s="293"/>
      <c r="ADM88" s="266"/>
      <c r="ADN88" s="290"/>
      <c r="ADO88" s="297"/>
      <c r="ADP88" s="260"/>
      <c r="ADQ88" s="261"/>
      <c r="ADR88" s="262"/>
      <c r="ADS88" s="263"/>
      <c r="ADT88" s="289"/>
      <c r="ADU88" s="289"/>
      <c r="ADV88" s="289"/>
      <c r="ADW88" s="292"/>
      <c r="ADX88" s="289"/>
      <c r="ADY88" s="293"/>
      <c r="ADZ88" s="266"/>
      <c r="AEA88" s="290"/>
      <c r="AEB88" s="297"/>
      <c r="AEC88" s="260"/>
      <c r="AED88" s="261"/>
      <c r="AEE88" s="262"/>
      <c r="AEF88" s="263"/>
      <c r="AEG88" s="289"/>
      <c r="AEH88" s="289"/>
      <c r="AEI88" s="289"/>
      <c r="AEJ88" s="292"/>
      <c r="AEK88" s="289"/>
      <c r="AEL88" s="293"/>
      <c r="AEM88" s="266"/>
      <c r="AEN88" s="290"/>
      <c r="AEO88" s="297"/>
      <c r="AEP88" s="260"/>
      <c r="AEQ88" s="261"/>
      <c r="AER88" s="262"/>
      <c r="AES88" s="263"/>
      <c r="AET88" s="289"/>
      <c r="AEU88" s="289"/>
      <c r="AEV88" s="289"/>
      <c r="AEW88" s="292"/>
      <c r="AEX88" s="289"/>
      <c r="AEY88" s="293"/>
      <c r="AEZ88" s="266"/>
      <c r="AFA88" s="290"/>
      <c r="AFB88" s="297"/>
      <c r="AFC88" s="260"/>
      <c r="AFD88" s="261"/>
      <c r="AFE88" s="262"/>
      <c r="AFF88" s="263"/>
      <c r="AFG88" s="289"/>
      <c r="AFH88" s="289"/>
      <c r="AFI88" s="289"/>
      <c r="AFJ88" s="292"/>
      <c r="AFK88" s="289"/>
      <c r="AFL88" s="293"/>
      <c r="AFM88" s="266"/>
      <c r="AFN88" s="290"/>
      <c r="AFO88" s="297"/>
      <c r="AFP88" s="260"/>
      <c r="AFQ88" s="261"/>
      <c r="AFR88" s="262"/>
      <c r="AFS88" s="263"/>
      <c r="AFT88" s="289"/>
      <c r="AFU88" s="289"/>
      <c r="AFV88" s="289"/>
      <c r="AFW88" s="292"/>
      <c r="AFX88" s="289"/>
      <c r="AFY88" s="293"/>
      <c r="AFZ88" s="266"/>
      <c r="AGA88" s="290"/>
      <c r="AGB88" s="297"/>
      <c r="AGC88" s="260"/>
      <c r="AGD88" s="261"/>
      <c r="AGE88" s="262"/>
      <c r="AGF88" s="263"/>
      <c r="AGG88" s="289"/>
      <c r="AGH88" s="289"/>
      <c r="AGI88" s="289"/>
      <c r="AGJ88" s="292"/>
      <c r="AGK88" s="289"/>
      <c r="AGL88" s="293"/>
      <c r="AGM88" s="266"/>
      <c r="AGN88" s="290"/>
      <c r="AGO88" s="297"/>
      <c r="AGP88" s="260"/>
      <c r="AGQ88" s="261"/>
      <c r="AGR88" s="262"/>
      <c r="AGS88" s="263"/>
      <c r="AGT88" s="289"/>
      <c r="AGU88" s="289"/>
      <c r="AGV88" s="289"/>
      <c r="AGW88" s="292"/>
      <c r="AGX88" s="289"/>
      <c r="AGY88" s="293"/>
      <c r="AGZ88" s="266"/>
      <c r="AHA88" s="290"/>
      <c r="AHB88" s="297"/>
      <c r="AHC88" s="260"/>
      <c r="AHD88" s="261"/>
      <c r="AHE88" s="262"/>
      <c r="AHF88" s="263"/>
      <c r="AHG88" s="289"/>
      <c r="AHH88" s="289"/>
      <c r="AHI88" s="289"/>
      <c r="AHJ88" s="292"/>
      <c r="AHK88" s="289"/>
      <c r="AHL88" s="293"/>
      <c r="AHM88" s="266"/>
      <c r="AHN88" s="290"/>
      <c r="AHO88" s="297"/>
      <c r="AHP88" s="260"/>
      <c r="AHQ88" s="261"/>
      <c r="AHR88" s="262"/>
      <c r="AHS88" s="263"/>
      <c r="AHT88" s="289"/>
      <c r="AHU88" s="289"/>
      <c r="AHV88" s="289"/>
      <c r="AHW88" s="292"/>
      <c r="AHX88" s="289"/>
      <c r="AHY88" s="293"/>
      <c r="AHZ88" s="266"/>
      <c r="AIA88" s="290"/>
      <c r="AIB88" s="297"/>
      <c r="AIC88" s="260"/>
      <c r="AID88" s="261"/>
      <c r="AIE88" s="262"/>
      <c r="AIF88" s="263"/>
      <c r="AIG88" s="289"/>
      <c r="AIH88" s="289"/>
      <c r="AII88" s="289"/>
      <c r="AIJ88" s="292"/>
      <c r="AIK88" s="289"/>
      <c r="AIL88" s="293"/>
      <c r="AIM88" s="266"/>
      <c r="AIN88" s="290"/>
      <c r="AIO88" s="297"/>
      <c r="AIP88" s="260"/>
      <c r="AIQ88" s="261"/>
      <c r="AIR88" s="262"/>
      <c r="AIS88" s="263"/>
      <c r="AIT88" s="289"/>
      <c r="AIU88" s="289"/>
      <c r="AIV88" s="289"/>
      <c r="AIW88" s="292"/>
      <c r="AIX88" s="289"/>
      <c r="AIY88" s="293"/>
      <c r="AIZ88" s="266"/>
      <c r="AJA88" s="290"/>
      <c r="AJB88" s="297"/>
      <c r="AJC88" s="260"/>
      <c r="AJD88" s="261"/>
      <c r="AJE88" s="262"/>
      <c r="AJF88" s="263"/>
      <c r="AJG88" s="289"/>
      <c r="AJH88" s="289"/>
      <c r="AJI88" s="289"/>
      <c r="AJJ88" s="292"/>
      <c r="AJK88" s="289"/>
      <c r="AJL88" s="293"/>
      <c r="AJM88" s="266"/>
      <c r="AJN88" s="290"/>
      <c r="AJO88" s="297"/>
      <c r="AJP88" s="260"/>
      <c r="AJQ88" s="261"/>
      <c r="AJR88" s="262"/>
      <c r="AJS88" s="263"/>
      <c r="AJT88" s="289"/>
      <c r="AJU88" s="289"/>
      <c r="AJV88" s="289"/>
      <c r="AJW88" s="292"/>
      <c r="AJX88" s="289"/>
      <c r="AJY88" s="293"/>
      <c r="AJZ88" s="266"/>
      <c r="AKA88" s="290"/>
      <c r="AKB88" s="297"/>
      <c r="AKC88" s="260"/>
      <c r="AKD88" s="261"/>
      <c r="AKE88" s="262"/>
      <c r="AKF88" s="263"/>
      <c r="AKG88" s="289"/>
      <c r="AKH88" s="289"/>
      <c r="AKI88" s="289"/>
      <c r="AKJ88" s="292"/>
      <c r="AKK88" s="289"/>
      <c r="AKL88" s="293"/>
      <c r="AKM88" s="266"/>
      <c r="AKN88" s="290"/>
      <c r="AKO88" s="297"/>
      <c r="AKP88" s="260"/>
      <c r="AKQ88" s="261"/>
      <c r="AKR88" s="262"/>
      <c r="AKS88" s="263"/>
      <c r="AKT88" s="289"/>
      <c r="AKU88" s="289"/>
      <c r="AKV88" s="289"/>
      <c r="AKW88" s="292"/>
      <c r="AKX88" s="289"/>
      <c r="AKY88" s="293"/>
      <c r="AKZ88" s="266"/>
      <c r="ALA88" s="290"/>
      <c r="ALB88" s="297"/>
      <c r="ALC88" s="260"/>
      <c r="ALD88" s="261"/>
      <c r="ALE88" s="262"/>
      <c r="ALF88" s="263"/>
      <c r="ALG88" s="289"/>
      <c r="ALH88" s="289"/>
      <c r="ALI88" s="289"/>
      <c r="ALJ88" s="292"/>
      <c r="ALK88" s="289"/>
      <c r="ALL88" s="293"/>
      <c r="ALM88" s="266"/>
      <c r="ALN88" s="290"/>
      <c r="ALO88" s="297"/>
      <c r="ALP88" s="260"/>
      <c r="ALQ88" s="261"/>
      <c r="ALR88" s="262"/>
      <c r="ALS88" s="263"/>
      <c r="ALT88" s="289"/>
      <c r="ALU88" s="289"/>
      <c r="ALV88" s="289"/>
      <c r="ALW88" s="292"/>
      <c r="ALX88" s="289"/>
      <c r="ALY88" s="293"/>
      <c r="ALZ88" s="266"/>
      <c r="AMA88" s="290"/>
      <c r="AMB88" s="297"/>
      <c r="AMC88" s="260"/>
      <c r="AMD88" s="261"/>
      <c r="AME88" s="262"/>
      <c r="AMF88" s="263"/>
      <c r="AMG88" s="289"/>
      <c r="AMH88" s="289"/>
      <c r="AMI88" s="289"/>
      <c r="AMJ88" s="292"/>
      <c r="AMK88" s="289"/>
      <c r="AML88" s="293"/>
      <c r="AMM88" s="266"/>
      <c r="AMN88" s="290"/>
      <c r="AMO88" s="297"/>
      <c r="AMP88" s="260"/>
      <c r="AMQ88" s="261"/>
      <c r="AMR88" s="262"/>
      <c r="AMS88" s="263"/>
      <c r="AMT88" s="289"/>
      <c r="AMU88" s="289"/>
      <c r="AMV88" s="289"/>
      <c r="AMW88" s="292"/>
      <c r="AMX88" s="289"/>
      <c r="AMY88" s="293"/>
      <c r="AMZ88" s="266"/>
      <c r="ANA88" s="290"/>
      <c r="ANB88" s="297"/>
      <c r="ANC88" s="260"/>
      <c r="AND88" s="261"/>
      <c r="ANE88" s="262"/>
      <c r="ANF88" s="263"/>
      <c r="ANG88" s="289"/>
      <c r="ANH88" s="289"/>
      <c r="ANI88" s="289"/>
      <c r="ANJ88" s="292"/>
      <c r="ANK88" s="289"/>
      <c r="ANL88" s="293"/>
      <c r="ANM88" s="266"/>
      <c r="ANN88" s="290"/>
      <c r="ANO88" s="297"/>
      <c r="ANP88" s="260"/>
      <c r="ANQ88" s="261"/>
      <c r="ANR88" s="262"/>
      <c r="ANS88" s="263"/>
      <c r="ANT88" s="289"/>
      <c r="ANU88" s="289"/>
      <c r="ANV88" s="289"/>
      <c r="ANW88" s="292"/>
      <c r="ANX88" s="289"/>
      <c r="ANY88" s="293"/>
      <c r="ANZ88" s="266"/>
      <c r="AOA88" s="290"/>
      <c r="AOB88" s="297"/>
      <c r="AOC88" s="260"/>
      <c r="AOD88" s="261"/>
      <c r="AOE88" s="262"/>
      <c r="AOF88" s="263"/>
      <c r="AOG88" s="289"/>
      <c r="AOH88" s="289"/>
      <c r="AOI88" s="289"/>
      <c r="AOJ88" s="292"/>
      <c r="AOK88" s="289"/>
      <c r="AOL88" s="293"/>
      <c r="AOM88" s="266"/>
      <c r="AON88" s="290"/>
      <c r="AOO88" s="297"/>
      <c r="AOP88" s="260"/>
      <c r="AOQ88" s="261"/>
      <c r="AOR88" s="262"/>
      <c r="AOS88" s="263"/>
      <c r="AOT88" s="289"/>
      <c r="AOU88" s="289"/>
      <c r="AOV88" s="289"/>
      <c r="AOW88" s="292"/>
      <c r="AOX88" s="289"/>
      <c r="AOY88" s="293"/>
      <c r="AOZ88" s="266"/>
      <c r="APA88" s="290"/>
      <c r="APB88" s="297"/>
      <c r="APC88" s="260"/>
      <c r="APD88" s="261"/>
      <c r="APE88" s="262"/>
      <c r="APF88" s="263"/>
      <c r="APG88" s="289"/>
      <c r="APH88" s="289"/>
      <c r="API88" s="289"/>
      <c r="APJ88" s="292"/>
      <c r="APK88" s="289"/>
      <c r="APL88" s="293"/>
      <c r="APM88" s="266"/>
      <c r="APN88" s="290"/>
      <c r="APO88" s="297"/>
      <c r="APP88" s="260"/>
      <c r="APQ88" s="261"/>
      <c r="APR88" s="262"/>
      <c r="APS88" s="263"/>
      <c r="APT88" s="289"/>
      <c r="APU88" s="289"/>
      <c r="APV88" s="289"/>
      <c r="APW88" s="292"/>
      <c r="APX88" s="289"/>
      <c r="APY88" s="293"/>
      <c r="APZ88" s="266"/>
      <c r="AQA88" s="290"/>
      <c r="AQB88" s="297"/>
      <c r="AQC88" s="260"/>
      <c r="AQD88" s="261"/>
      <c r="AQE88" s="262"/>
      <c r="AQF88" s="263"/>
      <c r="AQG88" s="289"/>
      <c r="AQH88" s="289"/>
      <c r="AQI88" s="289"/>
      <c r="AQJ88" s="292"/>
      <c r="AQK88" s="289"/>
      <c r="AQL88" s="293"/>
      <c r="AQM88" s="266"/>
      <c r="AQN88" s="290"/>
      <c r="AQO88" s="297"/>
      <c r="AQP88" s="260"/>
      <c r="AQQ88" s="261"/>
      <c r="AQR88" s="262"/>
      <c r="AQS88" s="263"/>
      <c r="AQT88" s="289"/>
      <c r="AQU88" s="289"/>
      <c r="AQV88" s="289"/>
      <c r="AQW88" s="292"/>
      <c r="AQX88" s="289"/>
      <c r="AQY88" s="293"/>
      <c r="AQZ88" s="266"/>
      <c r="ARA88" s="290"/>
      <c r="ARB88" s="297"/>
      <c r="ARC88" s="260"/>
      <c r="ARD88" s="261"/>
      <c r="ARE88" s="262"/>
      <c r="ARF88" s="263"/>
      <c r="ARG88" s="289"/>
      <c r="ARH88" s="289"/>
      <c r="ARI88" s="289"/>
      <c r="ARJ88" s="292"/>
      <c r="ARK88" s="289"/>
      <c r="ARL88" s="293"/>
      <c r="ARM88" s="266"/>
      <c r="ARN88" s="290"/>
      <c r="ARO88" s="297"/>
      <c r="ARP88" s="260"/>
      <c r="ARQ88" s="261"/>
      <c r="ARR88" s="262"/>
      <c r="ARS88" s="263"/>
      <c r="ART88" s="289"/>
      <c r="ARU88" s="289"/>
      <c r="ARV88" s="289"/>
      <c r="ARW88" s="292"/>
      <c r="ARX88" s="289"/>
      <c r="ARY88" s="293"/>
      <c r="ARZ88" s="266"/>
      <c r="ASA88" s="290"/>
      <c r="ASB88" s="297"/>
      <c r="ASC88" s="260"/>
      <c r="ASD88" s="261"/>
      <c r="ASE88" s="262"/>
      <c r="ASF88" s="263"/>
      <c r="ASG88" s="289"/>
      <c r="ASH88" s="289"/>
      <c r="ASI88" s="289"/>
      <c r="ASJ88" s="292"/>
      <c r="ASK88" s="289"/>
      <c r="ASL88" s="293"/>
      <c r="ASM88" s="266"/>
      <c r="ASN88" s="290"/>
      <c r="ASO88" s="297"/>
      <c r="ASP88" s="260"/>
      <c r="ASQ88" s="261"/>
      <c r="ASR88" s="262"/>
      <c r="ASS88" s="263"/>
      <c r="AST88" s="289"/>
      <c r="ASU88" s="289"/>
      <c r="ASV88" s="289"/>
      <c r="ASW88" s="292"/>
      <c r="ASX88" s="289"/>
      <c r="ASY88" s="293"/>
      <c r="ASZ88" s="266"/>
      <c r="ATA88" s="290"/>
      <c r="ATB88" s="297"/>
      <c r="ATC88" s="260"/>
      <c r="ATD88" s="261"/>
      <c r="ATE88" s="262"/>
      <c r="ATF88" s="263"/>
      <c r="ATG88" s="289"/>
      <c r="ATH88" s="289"/>
      <c r="ATI88" s="289"/>
      <c r="ATJ88" s="292"/>
      <c r="ATK88" s="289"/>
      <c r="ATL88" s="293"/>
      <c r="ATM88" s="266"/>
      <c r="ATN88" s="290"/>
      <c r="ATO88" s="297"/>
      <c r="ATP88" s="260"/>
      <c r="ATQ88" s="261"/>
      <c r="ATR88" s="262"/>
      <c r="ATS88" s="263"/>
      <c r="ATT88" s="289"/>
      <c r="ATU88" s="289"/>
      <c r="ATV88" s="289"/>
      <c r="ATW88" s="292"/>
      <c r="ATX88" s="289"/>
      <c r="ATY88" s="293"/>
      <c r="ATZ88" s="266"/>
      <c r="AUA88" s="290"/>
      <c r="AUB88" s="297"/>
      <c r="AUC88" s="260"/>
      <c r="AUD88" s="261"/>
      <c r="AUE88" s="262"/>
      <c r="AUF88" s="263"/>
      <c r="AUG88" s="289"/>
      <c r="AUH88" s="289"/>
      <c r="AUI88" s="289"/>
      <c r="AUJ88" s="292"/>
      <c r="AUK88" s="289"/>
      <c r="AUL88" s="293"/>
      <c r="AUM88" s="266"/>
      <c r="AUN88" s="290"/>
      <c r="AUO88" s="297"/>
      <c r="AUP88" s="260"/>
      <c r="AUQ88" s="261"/>
      <c r="AUR88" s="262"/>
      <c r="AUS88" s="263"/>
      <c r="AUT88" s="289"/>
      <c r="AUU88" s="289"/>
      <c r="AUV88" s="289"/>
      <c r="AUW88" s="292"/>
      <c r="AUX88" s="289"/>
      <c r="AUY88" s="293"/>
      <c r="AUZ88" s="266"/>
      <c r="AVA88" s="290"/>
      <c r="AVB88" s="297"/>
      <c r="AVC88" s="260"/>
      <c r="AVD88" s="261"/>
      <c r="AVE88" s="262"/>
      <c r="AVF88" s="263"/>
      <c r="AVG88" s="289"/>
      <c r="AVH88" s="289"/>
      <c r="AVI88" s="289"/>
      <c r="AVJ88" s="292"/>
      <c r="AVK88" s="289"/>
      <c r="AVL88" s="293"/>
      <c r="AVM88" s="266"/>
      <c r="AVN88" s="290"/>
      <c r="AVO88" s="297"/>
      <c r="AVP88" s="260"/>
      <c r="AVQ88" s="261"/>
      <c r="AVR88" s="262"/>
      <c r="AVS88" s="263"/>
      <c r="AVT88" s="289"/>
      <c r="AVU88" s="289"/>
      <c r="AVV88" s="289"/>
      <c r="AVW88" s="292"/>
      <c r="AVX88" s="289"/>
      <c r="AVY88" s="293"/>
      <c r="AVZ88" s="266"/>
      <c r="AWA88" s="290"/>
      <c r="AWB88" s="297"/>
      <c r="AWC88" s="260"/>
      <c r="AWD88" s="261"/>
      <c r="AWE88" s="262"/>
      <c r="AWF88" s="263"/>
      <c r="AWG88" s="289"/>
      <c r="AWH88" s="289"/>
      <c r="AWI88" s="289"/>
      <c r="AWJ88" s="292"/>
      <c r="AWK88" s="289"/>
      <c r="AWL88" s="293"/>
      <c r="AWM88" s="266"/>
      <c r="AWN88" s="290"/>
      <c r="AWO88" s="297"/>
      <c r="AWP88" s="260"/>
      <c r="AWQ88" s="261"/>
      <c r="AWR88" s="262"/>
      <c r="AWS88" s="263"/>
      <c r="AWT88" s="289"/>
      <c r="AWU88" s="289"/>
      <c r="AWV88" s="289"/>
      <c r="AWW88" s="292"/>
      <c r="AWX88" s="289"/>
      <c r="AWY88" s="293"/>
      <c r="AWZ88" s="266"/>
      <c r="AXA88" s="290"/>
      <c r="AXB88" s="297"/>
      <c r="AXC88" s="260"/>
      <c r="AXD88" s="261"/>
      <c r="AXE88" s="262"/>
      <c r="AXF88" s="263"/>
      <c r="AXG88" s="289"/>
      <c r="AXH88" s="289"/>
      <c r="AXI88" s="289"/>
      <c r="AXJ88" s="292"/>
      <c r="AXK88" s="289"/>
      <c r="AXL88" s="293"/>
      <c r="AXM88" s="266"/>
      <c r="AXN88" s="290"/>
      <c r="AXO88" s="297"/>
      <c r="AXP88" s="260"/>
      <c r="AXQ88" s="261"/>
      <c r="AXR88" s="262"/>
      <c r="AXS88" s="263"/>
      <c r="AXT88" s="289"/>
      <c r="AXU88" s="289"/>
      <c r="AXV88" s="289"/>
      <c r="AXW88" s="292"/>
      <c r="AXX88" s="289"/>
      <c r="AXY88" s="293"/>
      <c r="AXZ88" s="266"/>
      <c r="AYA88" s="290"/>
      <c r="AYB88" s="297"/>
      <c r="AYC88" s="260"/>
      <c r="AYD88" s="261"/>
      <c r="AYE88" s="262"/>
      <c r="AYF88" s="263"/>
      <c r="AYG88" s="289"/>
      <c r="AYH88" s="289"/>
      <c r="AYI88" s="289"/>
      <c r="AYJ88" s="292"/>
      <c r="AYK88" s="289"/>
      <c r="AYL88" s="293"/>
      <c r="AYM88" s="266"/>
      <c r="AYN88" s="290"/>
      <c r="AYO88" s="297"/>
      <c r="AYP88" s="260"/>
      <c r="AYQ88" s="261"/>
      <c r="AYR88" s="262"/>
      <c r="AYS88" s="263"/>
      <c r="AYT88" s="289"/>
      <c r="AYU88" s="289"/>
      <c r="AYV88" s="289"/>
      <c r="AYW88" s="292"/>
      <c r="AYX88" s="289"/>
      <c r="AYY88" s="293"/>
      <c r="AYZ88" s="266"/>
      <c r="AZA88" s="290"/>
      <c r="AZB88" s="297"/>
      <c r="AZC88" s="260"/>
      <c r="AZD88" s="261"/>
      <c r="AZE88" s="262"/>
      <c r="AZF88" s="263"/>
      <c r="AZG88" s="289"/>
      <c r="AZH88" s="289"/>
      <c r="AZI88" s="289"/>
      <c r="AZJ88" s="292"/>
      <c r="AZK88" s="289"/>
      <c r="AZL88" s="293"/>
      <c r="AZM88" s="266"/>
      <c r="AZN88" s="290"/>
      <c r="AZO88" s="297"/>
      <c r="AZP88" s="260"/>
      <c r="AZQ88" s="261"/>
      <c r="AZR88" s="262"/>
      <c r="AZS88" s="263"/>
      <c r="AZT88" s="289"/>
      <c r="AZU88" s="289"/>
      <c r="AZV88" s="289"/>
      <c r="AZW88" s="292"/>
      <c r="AZX88" s="289"/>
      <c r="AZY88" s="293"/>
      <c r="AZZ88" s="266"/>
      <c r="BAA88" s="290"/>
      <c r="BAB88" s="297"/>
      <c r="BAC88" s="260"/>
      <c r="BAD88" s="261"/>
      <c r="BAE88" s="262"/>
      <c r="BAF88" s="263"/>
      <c r="BAG88" s="289"/>
      <c r="BAH88" s="289"/>
      <c r="BAI88" s="289"/>
      <c r="BAJ88" s="292"/>
      <c r="BAK88" s="289"/>
      <c r="BAL88" s="293"/>
      <c r="BAM88" s="266"/>
      <c r="BAN88" s="290"/>
      <c r="BAO88" s="297"/>
      <c r="BAP88" s="260"/>
      <c r="BAQ88" s="261"/>
      <c r="BAR88" s="262"/>
      <c r="BAS88" s="263"/>
      <c r="BAT88" s="289"/>
      <c r="BAU88" s="289"/>
      <c r="BAV88" s="289"/>
      <c r="BAW88" s="292"/>
      <c r="BAX88" s="289"/>
      <c r="BAY88" s="293"/>
      <c r="BAZ88" s="266"/>
      <c r="BBA88" s="290"/>
      <c r="BBB88" s="297"/>
      <c r="BBC88" s="260"/>
      <c r="BBD88" s="261"/>
      <c r="BBE88" s="262"/>
      <c r="BBF88" s="263"/>
      <c r="BBG88" s="289"/>
      <c r="BBH88" s="289"/>
      <c r="BBI88" s="289"/>
      <c r="BBJ88" s="292"/>
      <c r="BBK88" s="289"/>
      <c r="BBL88" s="293"/>
      <c r="BBM88" s="266"/>
      <c r="BBN88" s="290"/>
      <c r="BBO88" s="297"/>
      <c r="BBP88" s="260"/>
      <c r="BBQ88" s="261"/>
      <c r="BBR88" s="262"/>
      <c r="BBS88" s="263"/>
      <c r="BBT88" s="289"/>
      <c r="BBU88" s="289"/>
      <c r="BBV88" s="289"/>
      <c r="BBW88" s="292"/>
      <c r="BBX88" s="289"/>
      <c r="BBY88" s="293"/>
      <c r="BBZ88" s="266"/>
      <c r="BCA88" s="290"/>
      <c r="BCB88" s="297"/>
      <c r="BCC88" s="260"/>
      <c r="BCD88" s="261"/>
      <c r="BCE88" s="262"/>
      <c r="BCF88" s="263"/>
      <c r="BCG88" s="289"/>
      <c r="BCH88" s="289"/>
      <c r="BCI88" s="289"/>
      <c r="BCJ88" s="292"/>
      <c r="BCK88" s="289"/>
      <c r="BCL88" s="293"/>
      <c r="BCM88" s="266"/>
      <c r="BCN88" s="290"/>
      <c r="BCO88" s="297"/>
      <c r="BCP88" s="260"/>
      <c r="BCQ88" s="261"/>
      <c r="BCR88" s="262"/>
      <c r="BCS88" s="263"/>
      <c r="BCT88" s="289"/>
      <c r="BCU88" s="289"/>
      <c r="BCV88" s="289"/>
      <c r="BCW88" s="292"/>
      <c r="BCX88" s="289"/>
      <c r="BCY88" s="293"/>
      <c r="BCZ88" s="266"/>
      <c r="BDA88" s="290"/>
      <c r="BDB88" s="297"/>
      <c r="BDC88" s="260"/>
      <c r="BDD88" s="261"/>
      <c r="BDE88" s="262"/>
      <c r="BDF88" s="263"/>
      <c r="BDG88" s="289"/>
      <c r="BDH88" s="289"/>
      <c r="BDI88" s="289"/>
      <c r="BDJ88" s="292"/>
      <c r="BDK88" s="289"/>
      <c r="BDL88" s="293"/>
      <c r="BDM88" s="266"/>
      <c r="BDN88" s="290"/>
      <c r="BDO88" s="297"/>
      <c r="BDP88" s="260"/>
      <c r="BDQ88" s="261"/>
      <c r="BDR88" s="262"/>
      <c r="BDS88" s="263"/>
      <c r="BDT88" s="289"/>
      <c r="BDU88" s="289"/>
      <c r="BDV88" s="289"/>
      <c r="BDW88" s="292"/>
      <c r="BDX88" s="289"/>
      <c r="BDY88" s="293"/>
      <c r="BDZ88" s="266"/>
      <c r="BEA88" s="290"/>
      <c r="BEB88" s="297"/>
      <c r="BEC88" s="260"/>
      <c r="BED88" s="261"/>
      <c r="BEE88" s="262"/>
      <c r="BEF88" s="263"/>
      <c r="BEG88" s="289"/>
      <c r="BEH88" s="289"/>
      <c r="BEI88" s="289"/>
      <c r="BEJ88" s="292"/>
      <c r="BEK88" s="289"/>
      <c r="BEL88" s="293"/>
      <c r="BEM88" s="266"/>
      <c r="BEN88" s="290"/>
      <c r="BEO88" s="297"/>
      <c r="BEP88" s="260"/>
      <c r="BEQ88" s="261"/>
      <c r="BER88" s="262"/>
      <c r="BES88" s="263"/>
      <c r="BET88" s="289"/>
      <c r="BEU88" s="289"/>
      <c r="BEV88" s="289"/>
      <c r="BEW88" s="292"/>
      <c r="BEX88" s="289"/>
      <c r="BEY88" s="293"/>
      <c r="BEZ88" s="266"/>
      <c r="BFA88" s="290"/>
      <c r="BFB88" s="297"/>
      <c r="BFC88" s="260"/>
      <c r="BFD88" s="261"/>
      <c r="BFE88" s="262"/>
      <c r="BFF88" s="263"/>
      <c r="BFG88" s="289"/>
      <c r="BFH88" s="289"/>
      <c r="BFI88" s="289"/>
      <c r="BFJ88" s="292"/>
      <c r="BFK88" s="289"/>
      <c r="BFL88" s="293"/>
      <c r="BFM88" s="266"/>
      <c r="BFN88" s="290"/>
      <c r="BFO88" s="297"/>
      <c r="BFP88" s="260"/>
      <c r="BFQ88" s="261"/>
      <c r="BFR88" s="262"/>
      <c r="BFS88" s="263"/>
      <c r="BFT88" s="289"/>
      <c r="BFU88" s="289"/>
      <c r="BFV88" s="289"/>
      <c r="BFW88" s="292"/>
      <c r="BFX88" s="289"/>
      <c r="BFY88" s="293"/>
      <c r="BFZ88" s="266"/>
      <c r="BGA88" s="290"/>
      <c r="BGB88" s="297"/>
      <c r="BGC88" s="260"/>
      <c r="BGD88" s="261"/>
      <c r="BGE88" s="262"/>
      <c r="BGF88" s="263"/>
      <c r="BGG88" s="289"/>
      <c r="BGH88" s="289"/>
      <c r="BGI88" s="289"/>
      <c r="BGJ88" s="292"/>
      <c r="BGK88" s="289"/>
      <c r="BGL88" s="293"/>
      <c r="BGM88" s="266"/>
      <c r="BGN88" s="290"/>
      <c r="BGO88" s="297"/>
      <c r="BGP88" s="260"/>
      <c r="BGQ88" s="261"/>
      <c r="BGR88" s="262"/>
      <c r="BGS88" s="263"/>
      <c r="BGT88" s="289"/>
      <c r="BGU88" s="289"/>
      <c r="BGV88" s="289"/>
      <c r="BGW88" s="292"/>
      <c r="BGX88" s="289"/>
      <c r="BGY88" s="293"/>
      <c r="BGZ88" s="266"/>
      <c r="BHA88" s="290"/>
      <c r="BHB88" s="297"/>
      <c r="BHC88" s="260"/>
      <c r="BHD88" s="261"/>
      <c r="BHE88" s="262"/>
      <c r="BHF88" s="263"/>
      <c r="BHG88" s="289"/>
      <c r="BHH88" s="289"/>
      <c r="BHI88" s="289"/>
      <c r="BHJ88" s="292"/>
      <c r="BHK88" s="289"/>
      <c r="BHL88" s="293"/>
      <c r="BHM88" s="266"/>
      <c r="BHN88" s="290"/>
      <c r="BHO88" s="297"/>
      <c r="BHP88" s="260"/>
      <c r="BHQ88" s="261"/>
      <c r="BHR88" s="262"/>
      <c r="BHS88" s="263"/>
      <c r="BHT88" s="289"/>
      <c r="BHU88" s="289"/>
      <c r="BHV88" s="289"/>
      <c r="BHW88" s="292"/>
      <c r="BHX88" s="289"/>
      <c r="BHY88" s="293"/>
      <c r="BHZ88" s="266"/>
      <c r="BIA88" s="290"/>
      <c r="BIB88" s="297"/>
      <c r="BIC88" s="260"/>
      <c r="BID88" s="261"/>
      <c r="BIE88" s="262"/>
      <c r="BIF88" s="263"/>
      <c r="BIG88" s="289"/>
      <c r="BIH88" s="289"/>
      <c r="BII88" s="289"/>
      <c r="BIJ88" s="292"/>
      <c r="BIK88" s="289"/>
      <c r="BIL88" s="293"/>
      <c r="BIM88" s="266"/>
      <c r="BIN88" s="290"/>
      <c r="BIO88" s="297"/>
      <c r="BIP88" s="260"/>
      <c r="BIQ88" s="261"/>
      <c r="BIR88" s="262"/>
      <c r="BIS88" s="263"/>
      <c r="BIT88" s="289"/>
      <c r="BIU88" s="289"/>
      <c r="BIV88" s="289"/>
      <c r="BIW88" s="292"/>
      <c r="BIX88" s="289"/>
      <c r="BIY88" s="293"/>
      <c r="BIZ88" s="266"/>
      <c r="BJA88" s="290"/>
      <c r="BJB88" s="297"/>
      <c r="BJC88" s="260"/>
      <c r="BJD88" s="261"/>
      <c r="BJE88" s="262"/>
      <c r="BJF88" s="263"/>
      <c r="BJG88" s="289"/>
      <c r="BJH88" s="289"/>
      <c r="BJI88" s="289"/>
      <c r="BJJ88" s="292"/>
      <c r="BJK88" s="289"/>
      <c r="BJL88" s="293"/>
      <c r="BJM88" s="266"/>
      <c r="BJN88" s="290"/>
      <c r="BJO88" s="297"/>
      <c r="BJP88" s="260"/>
      <c r="BJQ88" s="261"/>
      <c r="BJR88" s="262"/>
      <c r="BJS88" s="263"/>
      <c r="BJT88" s="289"/>
      <c r="BJU88" s="289"/>
      <c r="BJV88" s="289"/>
      <c r="BJW88" s="292"/>
      <c r="BJX88" s="289"/>
      <c r="BJY88" s="293"/>
      <c r="BJZ88" s="266"/>
      <c r="BKA88" s="290"/>
      <c r="BKB88" s="297"/>
      <c r="BKC88" s="260"/>
      <c r="BKD88" s="261"/>
      <c r="BKE88" s="262"/>
      <c r="BKF88" s="263"/>
      <c r="BKG88" s="289"/>
      <c r="BKH88" s="289"/>
      <c r="BKI88" s="289"/>
      <c r="BKJ88" s="292"/>
      <c r="BKK88" s="289"/>
      <c r="BKL88" s="293"/>
      <c r="BKM88" s="266"/>
      <c r="BKN88" s="290"/>
      <c r="BKO88" s="297"/>
      <c r="BKP88" s="260"/>
      <c r="BKQ88" s="261"/>
      <c r="BKR88" s="262"/>
      <c r="BKS88" s="263"/>
      <c r="BKT88" s="289"/>
      <c r="BKU88" s="289"/>
      <c r="BKV88" s="289"/>
      <c r="BKW88" s="292"/>
      <c r="BKX88" s="289"/>
      <c r="BKY88" s="293"/>
      <c r="BKZ88" s="266"/>
      <c r="BLA88" s="290"/>
      <c r="BLB88" s="297"/>
      <c r="BLC88" s="260"/>
      <c r="BLD88" s="261"/>
      <c r="BLE88" s="262"/>
      <c r="BLF88" s="263"/>
      <c r="BLG88" s="289"/>
      <c r="BLH88" s="289"/>
      <c r="BLI88" s="289"/>
      <c r="BLJ88" s="292"/>
      <c r="BLK88" s="289"/>
      <c r="BLL88" s="293"/>
      <c r="BLM88" s="266"/>
      <c r="BLN88" s="290"/>
      <c r="BLO88" s="297"/>
      <c r="BLP88" s="260"/>
      <c r="BLQ88" s="261"/>
      <c r="BLR88" s="262"/>
      <c r="BLS88" s="263"/>
      <c r="BLT88" s="289"/>
      <c r="BLU88" s="289"/>
      <c r="BLV88" s="289"/>
      <c r="BLW88" s="292"/>
      <c r="BLX88" s="289"/>
      <c r="BLY88" s="293"/>
      <c r="BLZ88" s="266"/>
      <c r="BMA88" s="290"/>
      <c r="BMB88" s="297"/>
      <c r="BMC88" s="260"/>
      <c r="BMD88" s="261"/>
      <c r="BME88" s="262"/>
      <c r="BMF88" s="263"/>
      <c r="BMG88" s="289"/>
      <c r="BMH88" s="289"/>
      <c r="BMI88" s="289"/>
      <c r="BMJ88" s="292"/>
      <c r="BMK88" s="289"/>
      <c r="BML88" s="293"/>
      <c r="BMM88" s="266"/>
      <c r="BMN88" s="290"/>
      <c r="BMO88" s="297"/>
      <c r="BMP88" s="260"/>
      <c r="BMQ88" s="261"/>
      <c r="BMR88" s="262"/>
      <c r="BMS88" s="263"/>
      <c r="BMT88" s="289"/>
      <c r="BMU88" s="289"/>
      <c r="BMV88" s="289"/>
      <c r="BMW88" s="292"/>
      <c r="BMX88" s="289"/>
      <c r="BMY88" s="293"/>
      <c r="BMZ88" s="266"/>
      <c r="BNA88" s="290"/>
      <c r="BNB88" s="297"/>
      <c r="BNC88" s="260"/>
      <c r="BND88" s="261"/>
      <c r="BNE88" s="262"/>
      <c r="BNF88" s="263"/>
      <c r="BNG88" s="289"/>
      <c r="BNH88" s="289"/>
      <c r="BNI88" s="289"/>
      <c r="BNJ88" s="292"/>
      <c r="BNK88" s="289"/>
      <c r="BNL88" s="293"/>
      <c r="BNM88" s="266"/>
      <c r="BNN88" s="290"/>
      <c r="BNO88" s="297"/>
      <c r="BNP88" s="260"/>
      <c r="BNQ88" s="261"/>
      <c r="BNR88" s="262"/>
      <c r="BNS88" s="263"/>
      <c r="BNT88" s="289"/>
      <c r="BNU88" s="289"/>
      <c r="BNV88" s="289"/>
      <c r="BNW88" s="292"/>
      <c r="BNX88" s="289"/>
      <c r="BNY88" s="293"/>
      <c r="BNZ88" s="266"/>
      <c r="BOA88" s="290"/>
      <c r="BOB88" s="297"/>
      <c r="BOC88" s="260"/>
      <c r="BOD88" s="261"/>
      <c r="BOE88" s="262"/>
      <c r="BOF88" s="263"/>
      <c r="BOG88" s="289"/>
      <c r="BOH88" s="289"/>
      <c r="BOI88" s="289"/>
      <c r="BOJ88" s="292"/>
      <c r="BOK88" s="289"/>
      <c r="BOL88" s="293"/>
      <c r="BOM88" s="266"/>
      <c r="BON88" s="290"/>
      <c r="BOO88" s="297"/>
      <c r="BOP88" s="260"/>
      <c r="BOQ88" s="261"/>
      <c r="BOR88" s="262"/>
      <c r="BOS88" s="263"/>
      <c r="BOT88" s="289"/>
      <c r="BOU88" s="289"/>
      <c r="BOV88" s="289"/>
      <c r="BOW88" s="292"/>
      <c r="BOX88" s="289"/>
      <c r="BOY88" s="293"/>
      <c r="BOZ88" s="266"/>
      <c r="BPA88" s="290"/>
      <c r="BPB88" s="297"/>
      <c r="BPC88" s="260"/>
      <c r="BPD88" s="261"/>
      <c r="BPE88" s="262"/>
      <c r="BPF88" s="263"/>
      <c r="BPG88" s="289"/>
      <c r="BPH88" s="289"/>
      <c r="BPI88" s="289"/>
      <c r="BPJ88" s="292"/>
      <c r="BPK88" s="289"/>
      <c r="BPL88" s="293"/>
      <c r="BPM88" s="266"/>
      <c r="BPN88" s="290"/>
      <c r="BPO88" s="297"/>
      <c r="BPP88" s="260"/>
      <c r="BPQ88" s="261"/>
      <c r="BPR88" s="262"/>
      <c r="BPS88" s="263"/>
      <c r="BPT88" s="289"/>
      <c r="BPU88" s="289"/>
      <c r="BPV88" s="289"/>
      <c r="BPW88" s="292"/>
      <c r="BPX88" s="289"/>
      <c r="BPY88" s="293"/>
      <c r="BPZ88" s="266"/>
      <c r="BQA88" s="290"/>
      <c r="BQB88" s="297"/>
      <c r="BQC88" s="260"/>
      <c r="BQD88" s="261"/>
      <c r="BQE88" s="262"/>
      <c r="BQF88" s="263"/>
      <c r="BQG88" s="289"/>
      <c r="BQH88" s="289"/>
      <c r="BQI88" s="289"/>
      <c r="BQJ88" s="292"/>
      <c r="BQK88" s="289"/>
      <c r="BQL88" s="293"/>
      <c r="BQM88" s="266"/>
      <c r="BQN88" s="290"/>
      <c r="BQO88" s="297"/>
      <c r="BQP88" s="260"/>
      <c r="BQQ88" s="261"/>
      <c r="BQR88" s="262"/>
      <c r="BQS88" s="263"/>
      <c r="BQT88" s="289"/>
      <c r="BQU88" s="289"/>
      <c r="BQV88" s="289"/>
      <c r="BQW88" s="292"/>
      <c r="BQX88" s="289"/>
      <c r="BQY88" s="293"/>
      <c r="BQZ88" s="266"/>
      <c r="BRA88" s="290"/>
      <c r="BRB88" s="297"/>
      <c r="BRC88" s="260"/>
      <c r="BRD88" s="261"/>
      <c r="BRE88" s="262"/>
      <c r="BRF88" s="263"/>
      <c r="BRG88" s="289"/>
      <c r="BRH88" s="289"/>
      <c r="BRI88" s="289"/>
      <c r="BRJ88" s="292"/>
      <c r="BRK88" s="289"/>
      <c r="BRL88" s="293"/>
      <c r="BRM88" s="266"/>
      <c r="BRN88" s="290"/>
      <c r="BRO88" s="297"/>
      <c r="BRP88" s="260"/>
      <c r="BRQ88" s="261"/>
      <c r="BRR88" s="262"/>
      <c r="BRS88" s="263"/>
      <c r="BRT88" s="289"/>
      <c r="BRU88" s="289"/>
      <c r="BRV88" s="289"/>
      <c r="BRW88" s="292"/>
      <c r="BRX88" s="289"/>
      <c r="BRY88" s="293"/>
      <c r="BRZ88" s="266"/>
      <c r="BSA88" s="290"/>
      <c r="BSB88" s="297"/>
      <c r="BSC88" s="260"/>
      <c r="BSD88" s="261"/>
      <c r="BSE88" s="262"/>
      <c r="BSF88" s="263"/>
      <c r="BSG88" s="289"/>
      <c r="BSH88" s="289"/>
      <c r="BSI88" s="289"/>
      <c r="BSJ88" s="292"/>
      <c r="BSK88" s="289"/>
      <c r="BSL88" s="293"/>
      <c r="BSM88" s="266"/>
      <c r="BSN88" s="290"/>
      <c r="BSO88" s="297"/>
      <c r="BSP88" s="260"/>
      <c r="BSQ88" s="261"/>
      <c r="BSR88" s="262"/>
      <c r="BSS88" s="263"/>
      <c r="BST88" s="289"/>
      <c r="BSU88" s="289"/>
      <c r="BSV88" s="289"/>
      <c r="BSW88" s="292"/>
      <c r="BSX88" s="289"/>
      <c r="BSY88" s="293"/>
      <c r="BSZ88" s="266"/>
      <c r="BTA88" s="290"/>
      <c r="BTB88" s="297"/>
      <c r="BTC88" s="260"/>
      <c r="BTD88" s="261"/>
      <c r="BTE88" s="262"/>
      <c r="BTF88" s="263"/>
      <c r="BTG88" s="289"/>
      <c r="BTH88" s="289"/>
      <c r="BTI88" s="289"/>
      <c r="BTJ88" s="292"/>
      <c r="BTK88" s="289"/>
      <c r="BTL88" s="293"/>
      <c r="BTM88" s="266"/>
      <c r="BTN88" s="290"/>
      <c r="BTO88" s="297"/>
      <c r="BTP88" s="260"/>
      <c r="BTQ88" s="261"/>
      <c r="BTR88" s="262"/>
      <c r="BTS88" s="263"/>
      <c r="BTT88" s="289"/>
      <c r="BTU88" s="289"/>
      <c r="BTV88" s="289"/>
      <c r="BTW88" s="292"/>
      <c r="BTX88" s="289"/>
      <c r="BTY88" s="293"/>
      <c r="BTZ88" s="266"/>
      <c r="BUA88" s="290"/>
      <c r="BUB88" s="297"/>
      <c r="BUC88" s="260"/>
      <c r="BUD88" s="261"/>
      <c r="BUE88" s="262"/>
      <c r="BUF88" s="263"/>
      <c r="BUG88" s="289"/>
      <c r="BUH88" s="289"/>
      <c r="BUI88" s="289"/>
      <c r="BUJ88" s="292"/>
      <c r="BUK88" s="289"/>
      <c r="BUL88" s="293"/>
      <c r="BUM88" s="266"/>
      <c r="BUN88" s="290"/>
      <c r="BUO88" s="297"/>
      <c r="BUP88" s="260"/>
      <c r="BUQ88" s="261"/>
      <c r="BUR88" s="262"/>
      <c r="BUS88" s="263"/>
      <c r="BUT88" s="289"/>
      <c r="BUU88" s="289"/>
      <c r="BUV88" s="289"/>
      <c r="BUW88" s="292"/>
      <c r="BUX88" s="289"/>
      <c r="BUY88" s="293"/>
      <c r="BUZ88" s="266"/>
      <c r="BVA88" s="290"/>
      <c r="BVB88" s="297"/>
      <c r="BVC88" s="260"/>
      <c r="BVD88" s="261"/>
      <c r="BVE88" s="262"/>
      <c r="BVF88" s="263"/>
      <c r="BVG88" s="289"/>
      <c r="BVH88" s="289"/>
      <c r="BVI88" s="289"/>
      <c r="BVJ88" s="292"/>
      <c r="BVK88" s="289"/>
      <c r="BVL88" s="293"/>
      <c r="BVM88" s="266"/>
      <c r="BVN88" s="290"/>
      <c r="BVO88" s="297"/>
      <c r="BVP88" s="260"/>
      <c r="BVQ88" s="261"/>
      <c r="BVR88" s="262"/>
      <c r="BVS88" s="263"/>
      <c r="BVT88" s="289"/>
      <c r="BVU88" s="289"/>
      <c r="BVV88" s="289"/>
      <c r="BVW88" s="292"/>
      <c r="BVX88" s="289"/>
      <c r="BVY88" s="293"/>
      <c r="BVZ88" s="266"/>
      <c r="BWA88" s="290"/>
      <c r="BWB88" s="297"/>
      <c r="BWC88" s="260"/>
      <c r="BWD88" s="261"/>
      <c r="BWE88" s="262"/>
      <c r="BWF88" s="263"/>
      <c r="BWG88" s="289"/>
      <c r="BWH88" s="289"/>
      <c r="BWI88" s="289"/>
      <c r="BWJ88" s="292"/>
      <c r="BWK88" s="289"/>
      <c r="BWL88" s="293"/>
      <c r="BWM88" s="266"/>
      <c r="BWN88" s="290"/>
      <c r="BWO88" s="297"/>
      <c r="BWP88" s="260"/>
      <c r="BWQ88" s="261"/>
      <c r="BWR88" s="262"/>
      <c r="BWS88" s="263"/>
      <c r="BWT88" s="289"/>
      <c r="BWU88" s="289"/>
      <c r="BWV88" s="289"/>
      <c r="BWW88" s="292"/>
      <c r="BWX88" s="289"/>
      <c r="BWY88" s="293"/>
      <c r="BWZ88" s="266"/>
      <c r="BXA88" s="290"/>
      <c r="BXB88" s="297"/>
      <c r="BXC88" s="260"/>
      <c r="BXD88" s="261"/>
      <c r="BXE88" s="262"/>
      <c r="BXF88" s="263"/>
      <c r="BXG88" s="289"/>
      <c r="BXH88" s="289"/>
      <c r="BXI88" s="289"/>
      <c r="BXJ88" s="292"/>
      <c r="BXK88" s="289"/>
      <c r="BXL88" s="293"/>
      <c r="BXM88" s="266"/>
      <c r="BXN88" s="290"/>
      <c r="BXO88" s="297"/>
      <c r="BXP88" s="260"/>
      <c r="BXQ88" s="261"/>
      <c r="BXR88" s="262"/>
      <c r="BXS88" s="263"/>
      <c r="BXT88" s="289"/>
      <c r="BXU88" s="289"/>
      <c r="BXV88" s="289"/>
      <c r="BXW88" s="292"/>
      <c r="BXX88" s="289"/>
      <c r="BXY88" s="293"/>
      <c r="BXZ88" s="266"/>
      <c r="BYA88" s="290"/>
      <c r="BYB88" s="297"/>
      <c r="BYC88" s="260"/>
      <c r="BYD88" s="261"/>
      <c r="BYE88" s="262"/>
      <c r="BYF88" s="263"/>
      <c r="BYG88" s="289"/>
      <c r="BYH88" s="289"/>
      <c r="BYI88" s="289"/>
      <c r="BYJ88" s="292"/>
      <c r="BYK88" s="289"/>
      <c r="BYL88" s="293"/>
      <c r="BYM88" s="266"/>
      <c r="BYN88" s="290"/>
      <c r="BYO88" s="297"/>
      <c r="BYP88" s="260"/>
      <c r="BYQ88" s="261"/>
      <c r="BYR88" s="262"/>
      <c r="BYS88" s="263"/>
      <c r="BYT88" s="289"/>
      <c r="BYU88" s="289"/>
      <c r="BYV88" s="289"/>
      <c r="BYW88" s="292"/>
      <c r="BYX88" s="289"/>
      <c r="BYY88" s="293"/>
      <c r="BYZ88" s="266"/>
      <c r="BZA88" s="290"/>
      <c r="BZB88" s="297"/>
      <c r="BZC88" s="260"/>
      <c r="BZD88" s="261"/>
      <c r="BZE88" s="262"/>
      <c r="BZF88" s="263"/>
      <c r="BZG88" s="289"/>
      <c r="BZH88" s="289"/>
      <c r="BZI88" s="289"/>
      <c r="BZJ88" s="292"/>
      <c r="BZK88" s="289"/>
      <c r="BZL88" s="293"/>
      <c r="BZM88" s="266"/>
      <c r="BZN88" s="290"/>
      <c r="BZO88" s="297"/>
      <c r="BZP88" s="260"/>
      <c r="BZQ88" s="261"/>
      <c r="BZR88" s="262"/>
      <c r="BZS88" s="263"/>
      <c r="BZT88" s="289"/>
      <c r="BZU88" s="289"/>
      <c r="BZV88" s="289"/>
      <c r="BZW88" s="292"/>
      <c r="BZX88" s="289"/>
      <c r="BZY88" s="293"/>
      <c r="BZZ88" s="266"/>
      <c r="CAA88" s="290"/>
      <c r="CAB88" s="297"/>
      <c r="CAC88" s="260"/>
      <c r="CAD88" s="261"/>
      <c r="CAE88" s="262"/>
      <c r="CAF88" s="263"/>
      <c r="CAG88" s="289"/>
      <c r="CAH88" s="289"/>
      <c r="CAI88" s="289"/>
      <c r="CAJ88" s="292"/>
      <c r="CAK88" s="289"/>
      <c r="CAL88" s="293"/>
      <c r="CAM88" s="266"/>
      <c r="CAN88" s="290"/>
      <c r="CAO88" s="297"/>
      <c r="CAP88" s="260"/>
      <c r="CAQ88" s="261"/>
      <c r="CAR88" s="262"/>
      <c r="CAS88" s="263"/>
      <c r="CAT88" s="289"/>
      <c r="CAU88" s="289"/>
      <c r="CAV88" s="289"/>
      <c r="CAW88" s="292"/>
      <c r="CAX88" s="289"/>
      <c r="CAY88" s="293"/>
      <c r="CAZ88" s="266"/>
      <c r="CBA88" s="290"/>
      <c r="CBB88" s="297"/>
      <c r="CBC88" s="260"/>
      <c r="CBD88" s="261"/>
      <c r="CBE88" s="262"/>
      <c r="CBF88" s="263"/>
      <c r="CBG88" s="289"/>
      <c r="CBH88" s="289"/>
      <c r="CBI88" s="289"/>
      <c r="CBJ88" s="292"/>
      <c r="CBK88" s="289"/>
      <c r="CBL88" s="293"/>
      <c r="CBM88" s="266"/>
      <c r="CBN88" s="290"/>
      <c r="CBO88" s="297"/>
      <c r="CBP88" s="260"/>
      <c r="CBQ88" s="261"/>
      <c r="CBR88" s="262"/>
      <c r="CBS88" s="263"/>
      <c r="CBT88" s="289"/>
      <c r="CBU88" s="289"/>
      <c r="CBV88" s="289"/>
      <c r="CBW88" s="292"/>
      <c r="CBX88" s="289"/>
      <c r="CBY88" s="293"/>
      <c r="CBZ88" s="266"/>
      <c r="CCA88" s="290"/>
      <c r="CCB88" s="297"/>
      <c r="CCC88" s="260"/>
      <c r="CCD88" s="261"/>
      <c r="CCE88" s="262"/>
      <c r="CCF88" s="263"/>
      <c r="CCG88" s="289"/>
      <c r="CCH88" s="289"/>
      <c r="CCI88" s="289"/>
      <c r="CCJ88" s="292"/>
      <c r="CCK88" s="289"/>
      <c r="CCL88" s="293"/>
      <c r="CCM88" s="266"/>
      <c r="CCN88" s="290"/>
      <c r="CCO88" s="297"/>
      <c r="CCP88" s="260"/>
      <c r="CCQ88" s="261"/>
      <c r="CCR88" s="262"/>
      <c r="CCS88" s="263"/>
      <c r="CCT88" s="289"/>
      <c r="CCU88" s="289"/>
      <c r="CCV88" s="289"/>
      <c r="CCW88" s="292"/>
      <c r="CCX88" s="289"/>
      <c r="CCY88" s="293"/>
      <c r="CCZ88" s="266"/>
      <c r="CDA88" s="290"/>
      <c r="CDB88" s="297"/>
      <c r="CDC88" s="260"/>
      <c r="CDD88" s="261"/>
      <c r="CDE88" s="262"/>
      <c r="CDF88" s="263"/>
      <c r="CDG88" s="289"/>
      <c r="CDH88" s="289"/>
      <c r="CDI88" s="289"/>
      <c r="CDJ88" s="292"/>
      <c r="CDK88" s="289"/>
      <c r="CDL88" s="293"/>
      <c r="CDM88" s="266"/>
      <c r="CDN88" s="290"/>
      <c r="CDO88" s="297"/>
      <c r="CDP88" s="260"/>
      <c r="CDQ88" s="261"/>
      <c r="CDR88" s="262"/>
      <c r="CDS88" s="263"/>
      <c r="CDT88" s="289"/>
      <c r="CDU88" s="289"/>
      <c r="CDV88" s="289"/>
      <c r="CDW88" s="292"/>
      <c r="CDX88" s="289"/>
      <c r="CDY88" s="293"/>
      <c r="CDZ88" s="266"/>
      <c r="CEA88" s="290"/>
      <c r="CEB88" s="297"/>
      <c r="CEC88" s="260"/>
      <c r="CED88" s="261"/>
      <c r="CEE88" s="262"/>
      <c r="CEF88" s="263"/>
      <c r="CEG88" s="289"/>
      <c r="CEH88" s="289"/>
      <c r="CEI88" s="289"/>
      <c r="CEJ88" s="292"/>
      <c r="CEK88" s="289"/>
      <c r="CEL88" s="293"/>
      <c r="CEM88" s="266"/>
      <c r="CEN88" s="290"/>
      <c r="CEO88" s="297"/>
      <c r="CEP88" s="260"/>
      <c r="CEQ88" s="261"/>
      <c r="CER88" s="262"/>
      <c r="CES88" s="263"/>
      <c r="CET88" s="289"/>
      <c r="CEU88" s="289"/>
      <c r="CEV88" s="289"/>
      <c r="CEW88" s="292"/>
      <c r="CEX88" s="289"/>
      <c r="CEY88" s="293"/>
      <c r="CEZ88" s="266"/>
      <c r="CFA88" s="290"/>
      <c r="CFB88" s="297"/>
      <c r="CFC88" s="260"/>
      <c r="CFD88" s="261"/>
      <c r="CFE88" s="262"/>
      <c r="CFF88" s="263"/>
      <c r="CFG88" s="289"/>
      <c r="CFH88" s="289"/>
      <c r="CFI88" s="289"/>
      <c r="CFJ88" s="292"/>
      <c r="CFK88" s="289"/>
      <c r="CFL88" s="293"/>
      <c r="CFM88" s="266"/>
      <c r="CFN88" s="290"/>
      <c r="CFO88" s="297"/>
      <c r="CFP88" s="260"/>
      <c r="CFQ88" s="261"/>
      <c r="CFR88" s="262"/>
      <c r="CFS88" s="263"/>
      <c r="CFT88" s="289"/>
      <c r="CFU88" s="289"/>
      <c r="CFV88" s="289"/>
      <c r="CFW88" s="292"/>
      <c r="CFX88" s="289"/>
      <c r="CFY88" s="293"/>
      <c r="CFZ88" s="266"/>
      <c r="CGA88" s="290"/>
      <c r="CGB88" s="297"/>
      <c r="CGC88" s="260"/>
      <c r="CGD88" s="261"/>
      <c r="CGE88" s="262"/>
      <c r="CGF88" s="263"/>
      <c r="CGG88" s="289"/>
      <c r="CGH88" s="289"/>
      <c r="CGI88" s="289"/>
      <c r="CGJ88" s="292"/>
      <c r="CGK88" s="289"/>
      <c r="CGL88" s="293"/>
      <c r="CGM88" s="266"/>
      <c r="CGN88" s="290"/>
      <c r="CGO88" s="297"/>
      <c r="CGP88" s="260"/>
      <c r="CGQ88" s="261"/>
      <c r="CGR88" s="262"/>
      <c r="CGS88" s="263"/>
      <c r="CGT88" s="289"/>
      <c r="CGU88" s="289"/>
      <c r="CGV88" s="289"/>
      <c r="CGW88" s="292"/>
      <c r="CGX88" s="289"/>
      <c r="CGY88" s="293"/>
      <c r="CGZ88" s="266"/>
      <c r="CHA88" s="290"/>
      <c r="CHB88" s="297"/>
      <c r="CHC88" s="260"/>
      <c r="CHD88" s="261"/>
      <c r="CHE88" s="262"/>
      <c r="CHF88" s="263"/>
      <c r="CHG88" s="289"/>
      <c r="CHH88" s="289"/>
      <c r="CHI88" s="289"/>
      <c r="CHJ88" s="292"/>
      <c r="CHK88" s="289"/>
      <c r="CHL88" s="293"/>
      <c r="CHM88" s="266"/>
      <c r="CHN88" s="290"/>
      <c r="CHO88" s="297"/>
      <c r="CHP88" s="260"/>
      <c r="CHQ88" s="261"/>
      <c r="CHR88" s="262"/>
      <c r="CHS88" s="263"/>
      <c r="CHT88" s="289"/>
      <c r="CHU88" s="289"/>
      <c r="CHV88" s="289"/>
      <c r="CHW88" s="292"/>
      <c r="CHX88" s="289"/>
      <c r="CHY88" s="293"/>
      <c r="CHZ88" s="266"/>
      <c r="CIA88" s="290"/>
      <c r="CIB88" s="297"/>
      <c r="CIC88" s="260"/>
      <c r="CID88" s="261"/>
      <c r="CIE88" s="262"/>
      <c r="CIF88" s="263"/>
      <c r="CIG88" s="289"/>
      <c r="CIH88" s="289"/>
      <c r="CII88" s="289"/>
      <c r="CIJ88" s="292"/>
      <c r="CIK88" s="289"/>
      <c r="CIL88" s="293"/>
      <c r="CIM88" s="266"/>
      <c r="CIN88" s="290"/>
      <c r="CIO88" s="297"/>
      <c r="CIP88" s="260"/>
      <c r="CIQ88" s="261"/>
      <c r="CIR88" s="262"/>
      <c r="CIS88" s="263"/>
      <c r="CIT88" s="289"/>
      <c r="CIU88" s="289"/>
      <c r="CIV88" s="289"/>
      <c r="CIW88" s="292"/>
      <c r="CIX88" s="289"/>
      <c r="CIY88" s="293"/>
      <c r="CIZ88" s="266"/>
      <c r="CJA88" s="290"/>
      <c r="CJB88" s="297"/>
      <c r="CJC88" s="260"/>
      <c r="CJD88" s="261"/>
      <c r="CJE88" s="262"/>
      <c r="CJF88" s="263"/>
      <c r="CJG88" s="289"/>
      <c r="CJH88" s="289"/>
      <c r="CJI88" s="289"/>
      <c r="CJJ88" s="292"/>
      <c r="CJK88" s="289"/>
      <c r="CJL88" s="293"/>
      <c r="CJM88" s="266"/>
      <c r="CJN88" s="290"/>
      <c r="CJO88" s="297"/>
      <c r="CJP88" s="260"/>
      <c r="CJQ88" s="261"/>
      <c r="CJR88" s="262"/>
      <c r="CJS88" s="263"/>
      <c r="CJT88" s="289"/>
      <c r="CJU88" s="289"/>
      <c r="CJV88" s="289"/>
      <c r="CJW88" s="292"/>
      <c r="CJX88" s="289"/>
      <c r="CJY88" s="293"/>
      <c r="CJZ88" s="266"/>
      <c r="CKA88" s="290"/>
      <c r="CKB88" s="297"/>
      <c r="CKC88" s="260"/>
      <c r="CKD88" s="261"/>
      <c r="CKE88" s="262"/>
      <c r="CKF88" s="263"/>
      <c r="CKG88" s="289"/>
      <c r="CKH88" s="289"/>
      <c r="CKI88" s="289"/>
      <c r="CKJ88" s="292"/>
      <c r="CKK88" s="289"/>
      <c r="CKL88" s="293"/>
      <c r="CKM88" s="266"/>
      <c r="CKN88" s="290"/>
      <c r="CKO88" s="297"/>
      <c r="CKP88" s="260"/>
      <c r="CKQ88" s="261"/>
      <c r="CKR88" s="262"/>
      <c r="CKS88" s="263"/>
      <c r="CKT88" s="289"/>
      <c r="CKU88" s="289"/>
      <c r="CKV88" s="289"/>
      <c r="CKW88" s="292"/>
      <c r="CKX88" s="289"/>
      <c r="CKY88" s="293"/>
      <c r="CKZ88" s="266"/>
      <c r="CLA88" s="290"/>
      <c r="CLB88" s="297"/>
      <c r="CLC88" s="260"/>
      <c r="CLD88" s="261"/>
      <c r="CLE88" s="262"/>
      <c r="CLF88" s="263"/>
      <c r="CLG88" s="289"/>
      <c r="CLH88" s="289"/>
      <c r="CLI88" s="289"/>
      <c r="CLJ88" s="292"/>
      <c r="CLK88" s="289"/>
      <c r="CLL88" s="293"/>
      <c r="CLM88" s="266"/>
      <c r="CLN88" s="290"/>
      <c r="CLO88" s="297"/>
      <c r="CLP88" s="260"/>
      <c r="CLQ88" s="261"/>
      <c r="CLR88" s="262"/>
      <c r="CLS88" s="263"/>
      <c r="CLT88" s="289"/>
      <c r="CLU88" s="289"/>
      <c r="CLV88" s="289"/>
      <c r="CLW88" s="292"/>
      <c r="CLX88" s="289"/>
      <c r="CLY88" s="293"/>
      <c r="CLZ88" s="266"/>
      <c r="CMA88" s="290"/>
      <c r="CMB88" s="297"/>
      <c r="CMC88" s="260"/>
      <c r="CMD88" s="261"/>
      <c r="CME88" s="262"/>
      <c r="CMF88" s="263"/>
      <c r="CMG88" s="289"/>
      <c r="CMH88" s="289"/>
      <c r="CMI88" s="289"/>
      <c r="CMJ88" s="292"/>
      <c r="CMK88" s="289"/>
      <c r="CML88" s="293"/>
      <c r="CMM88" s="266"/>
      <c r="CMN88" s="290"/>
      <c r="CMO88" s="297"/>
      <c r="CMP88" s="260"/>
      <c r="CMQ88" s="261"/>
      <c r="CMR88" s="262"/>
      <c r="CMS88" s="263"/>
      <c r="CMT88" s="289"/>
      <c r="CMU88" s="289"/>
      <c r="CMV88" s="289"/>
      <c r="CMW88" s="292"/>
      <c r="CMX88" s="289"/>
      <c r="CMY88" s="293"/>
      <c r="CMZ88" s="266"/>
      <c r="CNA88" s="290"/>
      <c r="CNB88" s="297"/>
      <c r="CNC88" s="260"/>
      <c r="CND88" s="261"/>
      <c r="CNE88" s="262"/>
      <c r="CNF88" s="263"/>
      <c r="CNG88" s="289"/>
      <c r="CNH88" s="289"/>
      <c r="CNI88" s="289"/>
      <c r="CNJ88" s="292"/>
      <c r="CNK88" s="289"/>
      <c r="CNL88" s="293"/>
      <c r="CNM88" s="266"/>
      <c r="CNN88" s="290"/>
      <c r="CNO88" s="297"/>
      <c r="CNP88" s="260"/>
      <c r="CNQ88" s="261"/>
      <c r="CNR88" s="262"/>
      <c r="CNS88" s="263"/>
      <c r="CNT88" s="289"/>
      <c r="CNU88" s="289"/>
      <c r="CNV88" s="289"/>
      <c r="CNW88" s="292"/>
      <c r="CNX88" s="289"/>
      <c r="CNY88" s="293"/>
      <c r="CNZ88" s="266"/>
      <c r="COA88" s="290"/>
      <c r="COB88" s="297"/>
      <c r="COC88" s="260"/>
      <c r="COD88" s="261"/>
      <c r="COE88" s="262"/>
      <c r="COF88" s="263"/>
      <c r="COG88" s="289"/>
      <c r="COH88" s="289"/>
      <c r="COI88" s="289"/>
      <c r="COJ88" s="292"/>
      <c r="COK88" s="289"/>
      <c r="COL88" s="293"/>
      <c r="COM88" s="266"/>
      <c r="CON88" s="290"/>
      <c r="COO88" s="297"/>
      <c r="COP88" s="260"/>
      <c r="COQ88" s="261"/>
      <c r="COR88" s="262"/>
      <c r="COS88" s="263"/>
      <c r="COT88" s="289"/>
      <c r="COU88" s="289"/>
      <c r="COV88" s="289"/>
      <c r="COW88" s="292"/>
      <c r="COX88" s="289"/>
      <c r="COY88" s="293"/>
      <c r="COZ88" s="266"/>
      <c r="CPA88" s="290"/>
      <c r="CPB88" s="297"/>
      <c r="CPC88" s="260"/>
      <c r="CPD88" s="261"/>
      <c r="CPE88" s="262"/>
      <c r="CPF88" s="263"/>
      <c r="CPG88" s="289"/>
      <c r="CPH88" s="289"/>
      <c r="CPI88" s="289"/>
      <c r="CPJ88" s="292"/>
      <c r="CPK88" s="289"/>
      <c r="CPL88" s="293"/>
      <c r="CPM88" s="266"/>
      <c r="CPN88" s="290"/>
      <c r="CPO88" s="297"/>
      <c r="CPP88" s="260"/>
      <c r="CPQ88" s="261"/>
      <c r="CPR88" s="262"/>
      <c r="CPS88" s="263"/>
      <c r="CPT88" s="289"/>
      <c r="CPU88" s="289"/>
      <c r="CPV88" s="289"/>
      <c r="CPW88" s="292"/>
      <c r="CPX88" s="289"/>
      <c r="CPY88" s="293"/>
      <c r="CPZ88" s="266"/>
      <c r="CQA88" s="290"/>
      <c r="CQB88" s="297"/>
      <c r="CQC88" s="260"/>
      <c r="CQD88" s="261"/>
      <c r="CQE88" s="262"/>
      <c r="CQF88" s="263"/>
      <c r="CQG88" s="289"/>
      <c r="CQH88" s="289"/>
      <c r="CQI88" s="289"/>
      <c r="CQJ88" s="292"/>
      <c r="CQK88" s="289"/>
      <c r="CQL88" s="293"/>
      <c r="CQM88" s="266"/>
      <c r="CQN88" s="290"/>
      <c r="CQO88" s="297"/>
      <c r="CQP88" s="260"/>
      <c r="CQQ88" s="261"/>
      <c r="CQR88" s="262"/>
      <c r="CQS88" s="263"/>
      <c r="CQT88" s="289"/>
      <c r="CQU88" s="289"/>
      <c r="CQV88" s="289"/>
      <c r="CQW88" s="292"/>
      <c r="CQX88" s="289"/>
      <c r="CQY88" s="293"/>
      <c r="CQZ88" s="266"/>
      <c r="CRA88" s="290"/>
      <c r="CRB88" s="297"/>
      <c r="CRC88" s="260"/>
      <c r="CRD88" s="261"/>
      <c r="CRE88" s="262"/>
      <c r="CRF88" s="263"/>
      <c r="CRG88" s="289"/>
      <c r="CRH88" s="289"/>
      <c r="CRI88" s="289"/>
      <c r="CRJ88" s="292"/>
      <c r="CRK88" s="289"/>
      <c r="CRL88" s="293"/>
      <c r="CRM88" s="266"/>
      <c r="CRN88" s="290"/>
      <c r="CRO88" s="297"/>
      <c r="CRP88" s="260"/>
      <c r="CRQ88" s="261"/>
      <c r="CRR88" s="262"/>
      <c r="CRS88" s="263"/>
      <c r="CRT88" s="289"/>
      <c r="CRU88" s="289"/>
      <c r="CRV88" s="289"/>
      <c r="CRW88" s="292"/>
      <c r="CRX88" s="289"/>
      <c r="CRY88" s="293"/>
      <c r="CRZ88" s="266"/>
      <c r="CSA88" s="290"/>
      <c r="CSB88" s="297"/>
      <c r="CSC88" s="260"/>
      <c r="CSD88" s="261"/>
      <c r="CSE88" s="262"/>
      <c r="CSF88" s="263"/>
      <c r="CSG88" s="289"/>
      <c r="CSH88" s="289"/>
      <c r="CSI88" s="289"/>
      <c r="CSJ88" s="292"/>
      <c r="CSK88" s="289"/>
      <c r="CSL88" s="293"/>
      <c r="CSM88" s="266"/>
      <c r="CSN88" s="290"/>
      <c r="CSO88" s="297"/>
      <c r="CSP88" s="260"/>
      <c r="CSQ88" s="261"/>
      <c r="CSR88" s="262"/>
      <c r="CSS88" s="263"/>
      <c r="CST88" s="289"/>
      <c r="CSU88" s="289"/>
      <c r="CSV88" s="289"/>
      <c r="CSW88" s="292"/>
      <c r="CSX88" s="289"/>
      <c r="CSY88" s="293"/>
      <c r="CSZ88" s="266"/>
      <c r="CTA88" s="290"/>
      <c r="CTB88" s="297"/>
      <c r="CTC88" s="260"/>
      <c r="CTD88" s="261"/>
      <c r="CTE88" s="262"/>
      <c r="CTF88" s="263"/>
      <c r="CTG88" s="289"/>
      <c r="CTH88" s="289"/>
      <c r="CTI88" s="289"/>
      <c r="CTJ88" s="292"/>
      <c r="CTK88" s="289"/>
      <c r="CTL88" s="293"/>
      <c r="CTM88" s="266"/>
      <c r="CTN88" s="290"/>
      <c r="CTO88" s="297"/>
      <c r="CTP88" s="260"/>
      <c r="CTQ88" s="261"/>
      <c r="CTR88" s="262"/>
      <c r="CTS88" s="263"/>
      <c r="CTT88" s="289"/>
      <c r="CTU88" s="289"/>
      <c r="CTV88" s="289"/>
      <c r="CTW88" s="292"/>
      <c r="CTX88" s="289"/>
      <c r="CTY88" s="293"/>
      <c r="CTZ88" s="266"/>
      <c r="CUA88" s="290"/>
      <c r="CUB88" s="297"/>
      <c r="CUC88" s="260"/>
      <c r="CUD88" s="261"/>
      <c r="CUE88" s="262"/>
      <c r="CUF88" s="263"/>
      <c r="CUG88" s="289"/>
      <c r="CUH88" s="289"/>
      <c r="CUI88" s="289"/>
      <c r="CUJ88" s="292"/>
      <c r="CUK88" s="289"/>
      <c r="CUL88" s="293"/>
      <c r="CUM88" s="266"/>
      <c r="CUN88" s="290"/>
      <c r="CUO88" s="297"/>
      <c r="CUP88" s="260"/>
      <c r="CUQ88" s="261"/>
      <c r="CUR88" s="262"/>
      <c r="CUS88" s="263"/>
      <c r="CUT88" s="289"/>
      <c r="CUU88" s="289"/>
      <c r="CUV88" s="289"/>
      <c r="CUW88" s="292"/>
      <c r="CUX88" s="289"/>
      <c r="CUY88" s="293"/>
      <c r="CUZ88" s="266"/>
      <c r="CVA88" s="290"/>
      <c r="CVB88" s="297"/>
      <c r="CVC88" s="260"/>
      <c r="CVD88" s="261"/>
      <c r="CVE88" s="262"/>
      <c r="CVF88" s="263"/>
      <c r="CVG88" s="289"/>
      <c r="CVH88" s="289"/>
      <c r="CVI88" s="289"/>
      <c r="CVJ88" s="292"/>
      <c r="CVK88" s="289"/>
      <c r="CVL88" s="293"/>
      <c r="CVM88" s="266"/>
      <c r="CVN88" s="290"/>
      <c r="CVO88" s="297"/>
      <c r="CVP88" s="260"/>
      <c r="CVQ88" s="261"/>
      <c r="CVR88" s="262"/>
      <c r="CVS88" s="263"/>
      <c r="CVT88" s="289"/>
      <c r="CVU88" s="289"/>
      <c r="CVV88" s="289"/>
      <c r="CVW88" s="292"/>
      <c r="CVX88" s="289"/>
      <c r="CVY88" s="293"/>
      <c r="CVZ88" s="266"/>
      <c r="CWA88" s="290"/>
      <c r="CWB88" s="297"/>
      <c r="CWC88" s="260"/>
      <c r="CWD88" s="261"/>
      <c r="CWE88" s="262"/>
      <c r="CWF88" s="263"/>
      <c r="CWG88" s="289"/>
      <c r="CWH88" s="289"/>
      <c r="CWI88" s="289"/>
      <c r="CWJ88" s="292"/>
      <c r="CWK88" s="289"/>
      <c r="CWL88" s="293"/>
      <c r="CWM88" s="266"/>
      <c r="CWN88" s="290"/>
      <c r="CWO88" s="297"/>
      <c r="CWP88" s="260"/>
      <c r="CWQ88" s="261"/>
      <c r="CWR88" s="262"/>
      <c r="CWS88" s="263"/>
      <c r="CWT88" s="289"/>
      <c r="CWU88" s="289"/>
      <c r="CWV88" s="289"/>
      <c r="CWW88" s="292"/>
      <c r="CWX88" s="289"/>
      <c r="CWY88" s="293"/>
      <c r="CWZ88" s="266"/>
      <c r="CXA88" s="290"/>
      <c r="CXB88" s="297"/>
      <c r="CXC88" s="260"/>
      <c r="CXD88" s="261"/>
      <c r="CXE88" s="262"/>
      <c r="CXF88" s="263"/>
      <c r="CXG88" s="289"/>
      <c r="CXH88" s="289"/>
      <c r="CXI88" s="289"/>
      <c r="CXJ88" s="292"/>
      <c r="CXK88" s="289"/>
      <c r="CXL88" s="293"/>
      <c r="CXM88" s="266"/>
      <c r="CXN88" s="290"/>
      <c r="CXO88" s="297"/>
      <c r="CXP88" s="260"/>
      <c r="CXQ88" s="261"/>
      <c r="CXR88" s="262"/>
      <c r="CXS88" s="263"/>
      <c r="CXT88" s="289"/>
      <c r="CXU88" s="289"/>
      <c r="CXV88" s="289"/>
      <c r="CXW88" s="292"/>
      <c r="CXX88" s="289"/>
      <c r="CXY88" s="293"/>
      <c r="CXZ88" s="266"/>
      <c r="CYA88" s="290"/>
      <c r="CYB88" s="297"/>
      <c r="CYC88" s="260"/>
      <c r="CYD88" s="261"/>
      <c r="CYE88" s="262"/>
      <c r="CYF88" s="263"/>
      <c r="CYG88" s="289"/>
      <c r="CYH88" s="289"/>
      <c r="CYI88" s="289"/>
      <c r="CYJ88" s="292"/>
      <c r="CYK88" s="289"/>
      <c r="CYL88" s="293"/>
      <c r="CYM88" s="266"/>
      <c r="CYN88" s="290"/>
      <c r="CYO88" s="297"/>
      <c r="CYP88" s="260"/>
      <c r="CYQ88" s="261"/>
      <c r="CYR88" s="262"/>
      <c r="CYS88" s="263"/>
      <c r="CYT88" s="289"/>
      <c r="CYU88" s="289"/>
      <c r="CYV88" s="289"/>
      <c r="CYW88" s="292"/>
      <c r="CYX88" s="289"/>
      <c r="CYY88" s="293"/>
      <c r="CYZ88" s="266"/>
      <c r="CZA88" s="290"/>
      <c r="CZB88" s="297"/>
      <c r="CZC88" s="260"/>
      <c r="CZD88" s="261"/>
      <c r="CZE88" s="262"/>
      <c r="CZF88" s="263"/>
      <c r="CZG88" s="289"/>
      <c r="CZH88" s="289"/>
      <c r="CZI88" s="289"/>
      <c r="CZJ88" s="292"/>
      <c r="CZK88" s="289"/>
      <c r="CZL88" s="293"/>
      <c r="CZM88" s="266"/>
      <c r="CZN88" s="290"/>
      <c r="CZO88" s="297"/>
      <c r="CZP88" s="260"/>
      <c r="CZQ88" s="261"/>
      <c r="CZR88" s="262"/>
      <c r="CZS88" s="263"/>
      <c r="CZT88" s="289"/>
      <c r="CZU88" s="289"/>
      <c r="CZV88" s="289"/>
      <c r="CZW88" s="292"/>
      <c r="CZX88" s="289"/>
      <c r="CZY88" s="293"/>
      <c r="CZZ88" s="266"/>
      <c r="DAA88" s="290"/>
      <c r="DAB88" s="297"/>
      <c r="DAC88" s="260"/>
      <c r="DAD88" s="261"/>
      <c r="DAE88" s="262"/>
      <c r="DAF88" s="263"/>
      <c r="DAG88" s="289"/>
      <c r="DAH88" s="289"/>
      <c r="DAI88" s="289"/>
      <c r="DAJ88" s="292"/>
      <c r="DAK88" s="289"/>
      <c r="DAL88" s="293"/>
      <c r="DAM88" s="266"/>
      <c r="DAN88" s="290"/>
      <c r="DAO88" s="297"/>
      <c r="DAP88" s="260"/>
      <c r="DAQ88" s="261"/>
      <c r="DAR88" s="262"/>
      <c r="DAS88" s="263"/>
      <c r="DAT88" s="289"/>
      <c r="DAU88" s="289"/>
      <c r="DAV88" s="289"/>
      <c r="DAW88" s="292"/>
      <c r="DAX88" s="289"/>
      <c r="DAY88" s="293"/>
      <c r="DAZ88" s="266"/>
      <c r="DBA88" s="290"/>
      <c r="DBB88" s="297"/>
      <c r="DBC88" s="260"/>
      <c r="DBD88" s="261"/>
      <c r="DBE88" s="262"/>
      <c r="DBF88" s="263"/>
      <c r="DBG88" s="289"/>
      <c r="DBH88" s="289"/>
      <c r="DBI88" s="289"/>
      <c r="DBJ88" s="292"/>
      <c r="DBK88" s="289"/>
      <c r="DBL88" s="293"/>
      <c r="DBM88" s="266"/>
      <c r="DBN88" s="290"/>
      <c r="DBO88" s="297"/>
      <c r="DBP88" s="260"/>
      <c r="DBQ88" s="261"/>
      <c r="DBR88" s="262"/>
      <c r="DBS88" s="263"/>
      <c r="DBT88" s="289"/>
      <c r="DBU88" s="289"/>
      <c r="DBV88" s="289"/>
      <c r="DBW88" s="292"/>
      <c r="DBX88" s="289"/>
      <c r="DBY88" s="293"/>
      <c r="DBZ88" s="266"/>
      <c r="DCA88" s="290"/>
      <c r="DCB88" s="297"/>
      <c r="DCC88" s="260"/>
      <c r="DCD88" s="261"/>
      <c r="DCE88" s="262"/>
      <c r="DCF88" s="263"/>
      <c r="DCG88" s="289"/>
      <c r="DCH88" s="289"/>
      <c r="DCI88" s="289"/>
      <c r="DCJ88" s="292"/>
      <c r="DCK88" s="289"/>
      <c r="DCL88" s="293"/>
      <c r="DCM88" s="266"/>
      <c r="DCN88" s="290"/>
      <c r="DCO88" s="297"/>
      <c r="DCP88" s="260"/>
      <c r="DCQ88" s="261"/>
      <c r="DCR88" s="262"/>
      <c r="DCS88" s="263"/>
      <c r="DCT88" s="289"/>
      <c r="DCU88" s="289"/>
      <c r="DCV88" s="289"/>
      <c r="DCW88" s="292"/>
      <c r="DCX88" s="289"/>
      <c r="DCY88" s="293"/>
      <c r="DCZ88" s="266"/>
      <c r="DDA88" s="290"/>
      <c r="DDB88" s="297"/>
      <c r="DDC88" s="260"/>
      <c r="DDD88" s="261"/>
      <c r="DDE88" s="262"/>
      <c r="DDF88" s="263"/>
      <c r="DDG88" s="289"/>
      <c r="DDH88" s="289"/>
      <c r="DDI88" s="289"/>
      <c r="DDJ88" s="292"/>
      <c r="DDK88" s="289"/>
      <c r="DDL88" s="293"/>
      <c r="DDM88" s="266"/>
      <c r="DDN88" s="290"/>
      <c r="DDO88" s="297"/>
      <c r="DDP88" s="260"/>
      <c r="DDQ88" s="261"/>
      <c r="DDR88" s="262"/>
      <c r="DDS88" s="263"/>
      <c r="DDT88" s="289"/>
      <c r="DDU88" s="289"/>
      <c r="DDV88" s="289"/>
      <c r="DDW88" s="292"/>
      <c r="DDX88" s="289"/>
      <c r="DDY88" s="293"/>
      <c r="DDZ88" s="266"/>
      <c r="DEA88" s="290"/>
      <c r="DEB88" s="297"/>
      <c r="DEC88" s="260"/>
      <c r="DED88" s="261"/>
      <c r="DEE88" s="262"/>
      <c r="DEF88" s="263"/>
      <c r="DEG88" s="289"/>
      <c r="DEH88" s="289"/>
      <c r="DEI88" s="289"/>
      <c r="DEJ88" s="292"/>
      <c r="DEK88" s="289"/>
      <c r="DEL88" s="293"/>
      <c r="DEM88" s="266"/>
      <c r="DEN88" s="290"/>
      <c r="DEO88" s="297"/>
      <c r="DEP88" s="260"/>
      <c r="DEQ88" s="261"/>
      <c r="DER88" s="262"/>
      <c r="DES88" s="263"/>
      <c r="DET88" s="289"/>
      <c r="DEU88" s="289"/>
      <c r="DEV88" s="289"/>
      <c r="DEW88" s="292"/>
      <c r="DEX88" s="289"/>
      <c r="DEY88" s="293"/>
      <c r="DEZ88" s="266"/>
      <c r="DFA88" s="290"/>
      <c r="DFB88" s="297"/>
      <c r="DFC88" s="260"/>
      <c r="DFD88" s="261"/>
      <c r="DFE88" s="262"/>
      <c r="DFF88" s="263"/>
      <c r="DFG88" s="289"/>
      <c r="DFH88" s="289"/>
      <c r="DFI88" s="289"/>
      <c r="DFJ88" s="292"/>
      <c r="DFK88" s="289"/>
      <c r="DFL88" s="293"/>
      <c r="DFM88" s="266"/>
      <c r="DFN88" s="290"/>
      <c r="DFO88" s="297"/>
      <c r="DFP88" s="260"/>
      <c r="DFQ88" s="261"/>
      <c r="DFR88" s="262"/>
      <c r="DFS88" s="263"/>
      <c r="DFT88" s="289"/>
      <c r="DFU88" s="289"/>
      <c r="DFV88" s="289"/>
      <c r="DFW88" s="292"/>
      <c r="DFX88" s="289"/>
      <c r="DFY88" s="293"/>
      <c r="DFZ88" s="266"/>
      <c r="DGA88" s="290"/>
      <c r="DGB88" s="297"/>
      <c r="DGC88" s="260"/>
      <c r="DGD88" s="261"/>
      <c r="DGE88" s="262"/>
      <c r="DGF88" s="263"/>
      <c r="DGG88" s="289"/>
      <c r="DGH88" s="289"/>
      <c r="DGI88" s="289"/>
      <c r="DGJ88" s="292"/>
      <c r="DGK88" s="289"/>
      <c r="DGL88" s="293"/>
      <c r="DGM88" s="266"/>
      <c r="DGN88" s="290"/>
      <c r="DGO88" s="297"/>
      <c r="DGP88" s="260"/>
      <c r="DGQ88" s="261"/>
      <c r="DGR88" s="262"/>
      <c r="DGS88" s="263"/>
      <c r="DGT88" s="289"/>
      <c r="DGU88" s="289"/>
      <c r="DGV88" s="289"/>
      <c r="DGW88" s="292"/>
      <c r="DGX88" s="289"/>
      <c r="DGY88" s="293"/>
      <c r="DGZ88" s="266"/>
      <c r="DHA88" s="290"/>
      <c r="DHB88" s="297"/>
      <c r="DHC88" s="260"/>
      <c r="DHD88" s="261"/>
      <c r="DHE88" s="262"/>
      <c r="DHF88" s="263"/>
      <c r="DHG88" s="289"/>
      <c r="DHH88" s="289"/>
      <c r="DHI88" s="289"/>
      <c r="DHJ88" s="292"/>
      <c r="DHK88" s="289"/>
      <c r="DHL88" s="293"/>
      <c r="DHM88" s="266"/>
      <c r="DHN88" s="290"/>
      <c r="DHO88" s="297"/>
      <c r="DHP88" s="260"/>
      <c r="DHQ88" s="261"/>
      <c r="DHR88" s="262"/>
      <c r="DHS88" s="263"/>
      <c r="DHT88" s="289"/>
      <c r="DHU88" s="289"/>
      <c r="DHV88" s="289"/>
      <c r="DHW88" s="292"/>
      <c r="DHX88" s="289"/>
      <c r="DHY88" s="293"/>
      <c r="DHZ88" s="266"/>
      <c r="DIA88" s="290"/>
      <c r="DIB88" s="297"/>
      <c r="DIC88" s="260"/>
      <c r="DID88" s="261"/>
      <c r="DIE88" s="262"/>
      <c r="DIF88" s="263"/>
      <c r="DIG88" s="289"/>
      <c r="DIH88" s="289"/>
      <c r="DII88" s="289"/>
      <c r="DIJ88" s="292"/>
      <c r="DIK88" s="289"/>
      <c r="DIL88" s="293"/>
      <c r="DIM88" s="266"/>
      <c r="DIN88" s="290"/>
      <c r="DIO88" s="297"/>
      <c r="DIP88" s="260"/>
      <c r="DIQ88" s="261"/>
      <c r="DIR88" s="262"/>
      <c r="DIS88" s="263"/>
      <c r="DIT88" s="289"/>
      <c r="DIU88" s="289"/>
      <c r="DIV88" s="289"/>
      <c r="DIW88" s="292"/>
      <c r="DIX88" s="289"/>
      <c r="DIY88" s="293"/>
      <c r="DIZ88" s="266"/>
      <c r="DJA88" s="290"/>
      <c r="DJB88" s="297"/>
      <c r="DJC88" s="260"/>
      <c r="DJD88" s="261"/>
      <c r="DJE88" s="262"/>
      <c r="DJF88" s="263"/>
      <c r="DJG88" s="289"/>
      <c r="DJH88" s="289"/>
      <c r="DJI88" s="289"/>
      <c r="DJJ88" s="292"/>
      <c r="DJK88" s="289"/>
      <c r="DJL88" s="293"/>
      <c r="DJM88" s="266"/>
      <c r="DJN88" s="290"/>
      <c r="DJO88" s="297"/>
      <c r="DJP88" s="260"/>
      <c r="DJQ88" s="261"/>
      <c r="DJR88" s="262"/>
      <c r="DJS88" s="263"/>
      <c r="DJT88" s="289"/>
      <c r="DJU88" s="289"/>
      <c r="DJV88" s="289"/>
      <c r="DJW88" s="292"/>
      <c r="DJX88" s="289"/>
      <c r="DJY88" s="293"/>
      <c r="DJZ88" s="266"/>
      <c r="DKA88" s="290"/>
      <c r="DKB88" s="297"/>
      <c r="DKC88" s="260"/>
      <c r="DKD88" s="261"/>
      <c r="DKE88" s="262"/>
      <c r="DKF88" s="263"/>
      <c r="DKG88" s="289"/>
      <c r="DKH88" s="289"/>
      <c r="DKI88" s="289"/>
      <c r="DKJ88" s="292"/>
      <c r="DKK88" s="289"/>
      <c r="DKL88" s="293"/>
      <c r="DKM88" s="266"/>
      <c r="DKN88" s="290"/>
      <c r="DKO88" s="297"/>
      <c r="DKP88" s="260"/>
      <c r="DKQ88" s="261"/>
      <c r="DKR88" s="262"/>
      <c r="DKS88" s="263"/>
      <c r="DKT88" s="289"/>
      <c r="DKU88" s="289"/>
      <c r="DKV88" s="289"/>
      <c r="DKW88" s="292"/>
      <c r="DKX88" s="289"/>
      <c r="DKY88" s="293"/>
      <c r="DKZ88" s="266"/>
      <c r="DLA88" s="290"/>
      <c r="DLB88" s="297"/>
      <c r="DLC88" s="260"/>
      <c r="DLD88" s="261"/>
      <c r="DLE88" s="262"/>
      <c r="DLF88" s="263"/>
      <c r="DLG88" s="289"/>
      <c r="DLH88" s="289"/>
      <c r="DLI88" s="289"/>
      <c r="DLJ88" s="292"/>
      <c r="DLK88" s="289"/>
      <c r="DLL88" s="293"/>
      <c r="DLM88" s="266"/>
      <c r="DLN88" s="290"/>
      <c r="DLO88" s="297"/>
      <c r="DLP88" s="260"/>
      <c r="DLQ88" s="261"/>
      <c r="DLR88" s="262"/>
      <c r="DLS88" s="263"/>
      <c r="DLT88" s="289"/>
      <c r="DLU88" s="289"/>
      <c r="DLV88" s="289"/>
      <c r="DLW88" s="292"/>
      <c r="DLX88" s="289"/>
      <c r="DLY88" s="293"/>
      <c r="DLZ88" s="266"/>
      <c r="DMA88" s="290"/>
      <c r="DMB88" s="297"/>
      <c r="DMC88" s="260"/>
      <c r="DMD88" s="261"/>
      <c r="DME88" s="262"/>
      <c r="DMF88" s="263"/>
      <c r="DMG88" s="289"/>
      <c r="DMH88" s="289"/>
      <c r="DMI88" s="289"/>
      <c r="DMJ88" s="292"/>
      <c r="DMK88" s="289"/>
      <c r="DML88" s="293"/>
      <c r="DMM88" s="266"/>
      <c r="DMN88" s="290"/>
      <c r="DMO88" s="297"/>
      <c r="DMP88" s="260"/>
      <c r="DMQ88" s="261"/>
      <c r="DMR88" s="262"/>
      <c r="DMS88" s="263"/>
      <c r="DMT88" s="289"/>
      <c r="DMU88" s="289"/>
      <c r="DMV88" s="289"/>
      <c r="DMW88" s="292"/>
      <c r="DMX88" s="289"/>
      <c r="DMY88" s="293"/>
      <c r="DMZ88" s="266"/>
      <c r="DNA88" s="290"/>
      <c r="DNB88" s="297"/>
      <c r="DNC88" s="260"/>
      <c r="DND88" s="261"/>
      <c r="DNE88" s="262"/>
      <c r="DNF88" s="263"/>
      <c r="DNG88" s="289"/>
      <c r="DNH88" s="289"/>
      <c r="DNI88" s="289"/>
      <c r="DNJ88" s="292"/>
      <c r="DNK88" s="289"/>
      <c r="DNL88" s="293"/>
      <c r="DNM88" s="266"/>
      <c r="DNN88" s="290"/>
      <c r="DNO88" s="297"/>
      <c r="DNP88" s="260"/>
      <c r="DNQ88" s="261"/>
      <c r="DNR88" s="262"/>
      <c r="DNS88" s="263"/>
      <c r="DNT88" s="289"/>
      <c r="DNU88" s="289"/>
      <c r="DNV88" s="289"/>
      <c r="DNW88" s="292"/>
      <c r="DNX88" s="289"/>
      <c r="DNY88" s="293"/>
      <c r="DNZ88" s="266"/>
      <c r="DOA88" s="290"/>
      <c r="DOB88" s="297"/>
      <c r="DOC88" s="260"/>
      <c r="DOD88" s="261"/>
      <c r="DOE88" s="262"/>
      <c r="DOF88" s="263"/>
      <c r="DOG88" s="289"/>
      <c r="DOH88" s="289"/>
      <c r="DOI88" s="289"/>
      <c r="DOJ88" s="292"/>
      <c r="DOK88" s="289"/>
      <c r="DOL88" s="293"/>
      <c r="DOM88" s="266"/>
      <c r="DON88" s="290"/>
      <c r="DOO88" s="297"/>
      <c r="DOP88" s="260"/>
      <c r="DOQ88" s="261"/>
      <c r="DOR88" s="262"/>
      <c r="DOS88" s="263"/>
      <c r="DOT88" s="289"/>
      <c r="DOU88" s="289"/>
      <c r="DOV88" s="289"/>
      <c r="DOW88" s="292"/>
      <c r="DOX88" s="289"/>
      <c r="DOY88" s="293"/>
      <c r="DOZ88" s="266"/>
      <c r="DPA88" s="290"/>
      <c r="DPB88" s="297"/>
      <c r="DPC88" s="260"/>
      <c r="DPD88" s="261"/>
      <c r="DPE88" s="262"/>
      <c r="DPF88" s="263"/>
      <c r="DPG88" s="289"/>
      <c r="DPH88" s="289"/>
      <c r="DPI88" s="289"/>
      <c r="DPJ88" s="292"/>
      <c r="DPK88" s="289"/>
      <c r="DPL88" s="293"/>
      <c r="DPM88" s="266"/>
      <c r="DPN88" s="290"/>
      <c r="DPO88" s="297"/>
      <c r="DPP88" s="260"/>
      <c r="DPQ88" s="261"/>
      <c r="DPR88" s="262"/>
      <c r="DPS88" s="263"/>
      <c r="DPT88" s="289"/>
      <c r="DPU88" s="289"/>
      <c r="DPV88" s="289"/>
      <c r="DPW88" s="292"/>
      <c r="DPX88" s="289"/>
      <c r="DPY88" s="293"/>
      <c r="DPZ88" s="266"/>
      <c r="DQA88" s="290"/>
      <c r="DQB88" s="297"/>
      <c r="DQC88" s="260"/>
      <c r="DQD88" s="261"/>
      <c r="DQE88" s="262"/>
      <c r="DQF88" s="263"/>
      <c r="DQG88" s="289"/>
      <c r="DQH88" s="289"/>
      <c r="DQI88" s="289"/>
      <c r="DQJ88" s="292"/>
      <c r="DQK88" s="289"/>
      <c r="DQL88" s="293"/>
      <c r="DQM88" s="266"/>
      <c r="DQN88" s="290"/>
      <c r="DQO88" s="297"/>
      <c r="DQP88" s="260"/>
      <c r="DQQ88" s="261"/>
      <c r="DQR88" s="262"/>
      <c r="DQS88" s="263"/>
      <c r="DQT88" s="289"/>
      <c r="DQU88" s="289"/>
      <c r="DQV88" s="289"/>
      <c r="DQW88" s="292"/>
      <c r="DQX88" s="289"/>
      <c r="DQY88" s="293"/>
      <c r="DQZ88" s="266"/>
      <c r="DRA88" s="290"/>
      <c r="DRB88" s="297"/>
      <c r="DRC88" s="260"/>
      <c r="DRD88" s="261"/>
      <c r="DRE88" s="262"/>
      <c r="DRF88" s="263"/>
      <c r="DRG88" s="289"/>
      <c r="DRH88" s="289"/>
      <c r="DRI88" s="289"/>
      <c r="DRJ88" s="292"/>
      <c r="DRK88" s="289"/>
      <c r="DRL88" s="293"/>
      <c r="DRM88" s="266"/>
      <c r="DRN88" s="290"/>
      <c r="DRO88" s="297"/>
      <c r="DRP88" s="260"/>
      <c r="DRQ88" s="261"/>
      <c r="DRR88" s="262"/>
      <c r="DRS88" s="263"/>
      <c r="DRT88" s="289"/>
      <c r="DRU88" s="289"/>
      <c r="DRV88" s="289"/>
      <c r="DRW88" s="292"/>
      <c r="DRX88" s="289"/>
      <c r="DRY88" s="293"/>
      <c r="DRZ88" s="266"/>
      <c r="DSA88" s="290"/>
      <c r="DSB88" s="297"/>
      <c r="DSC88" s="260"/>
      <c r="DSD88" s="261"/>
      <c r="DSE88" s="262"/>
      <c r="DSF88" s="263"/>
      <c r="DSG88" s="289"/>
      <c r="DSH88" s="289"/>
      <c r="DSI88" s="289"/>
      <c r="DSJ88" s="292"/>
      <c r="DSK88" s="289"/>
      <c r="DSL88" s="293"/>
      <c r="DSM88" s="266"/>
      <c r="DSN88" s="290"/>
      <c r="DSO88" s="297"/>
      <c r="DSP88" s="260"/>
      <c r="DSQ88" s="261"/>
      <c r="DSR88" s="262"/>
      <c r="DSS88" s="263"/>
      <c r="DST88" s="289"/>
      <c r="DSU88" s="289"/>
      <c r="DSV88" s="289"/>
      <c r="DSW88" s="292"/>
      <c r="DSX88" s="289"/>
      <c r="DSY88" s="293"/>
      <c r="DSZ88" s="266"/>
      <c r="DTA88" s="290"/>
      <c r="DTB88" s="297"/>
      <c r="DTC88" s="260"/>
      <c r="DTD88" s="261"/>
      <c r="DTE88" s="262"/>
      <c r="DTF88" s="263"/>
      <c r="DTG88" s="289"/>
      <c r="DTH88" s="289"/>
      <c r="DTI88" s="289"/>
      <c r="DTJ88" s="292"/>
      <c r="DTK88" s="289"/>
      <c r="DTL88" s="293"/>
      <c r="DTM88" s="266"/>
      <c r="DTN88" s="290"/>
      <c r="DTO88" s="297"/>
      <c r="DTP88" s="260"/>
      <c r="DTQ88" s="261"/>
      <c r="DTR88" s="262"/>
      <c r="DTS88" s="263"/>
      <c r="DTT88" s="289"/>
      <c r="DTU88" s="289"/>
      <c r="DTV88" s="289"/>
      <c r="DTW88" s="292"/>
      <c r="DTX88" s="289"/>
      <c r="DTY88" s="293"/>
      <c r="DTZ88" s="266"/>
      <c r="DUA88" s="290"/>
      <c r="DUB88" s="297"/>
      <c r="DUC88" s="260"/>
      <c r="DUD88" s="261"/>
      <c r="DUE88" s="262"/>
      <c r="DUF88" s="263"/>
      <c r="DUG88" s="289"/>
      <c r="DUH88" s="289"/>
      <c r="DUI88" s="289"/>
      <c r="DUJ88" s="292"/>
      <c r="DUK88" s="289"/>
      <c r="DUL88" s="293"/>
      <c r="DUM88" s="266"/>
      <c r="DUN88" s="290"/>
      <c r="DUO88" s="297"/>
      <c r="DUP88" s="260"/>
      <c r="DUQ88" s="261"/>
      <c r="DUR88" s="262"/>
      <c r="DUS88" s="263"/>
      <c r="DUT88" s="289"/>
      <c r="DUU88" s="289"/>
      <c r="DUV88" s="289"/>
      <c r="DUW88" s="292"/>
      <c r="DUX88" s="289"/>
      <c r="DUY88" s="293"/>
      <c r="DUZ88" s="266"/>
      <c r="DVA88" s="290"/>
      <c r="DVB88" s="297"/>
      <c r="DVC88" s="260"/>
      <c r="DVD88" s="261"/>
      <c r="DVE88" s="262"/>
      <c r="DVF88" s="263"/>
      <c r="DVG88" s="289"/>
      <c r="DVH88" s="289"/>
      <c r="DVI88" s="289"/>
      <c r="DVJ88" s="292"/>
      <c r="DVK88" s="289"/>
      <c r="DVL88" s="293"/>
      <c r="DVM88" s="266"/>
      <c r="DVN88" s="290"/>
      <c r="DVO88" s="297"/>
      <c r="DVP88" s="260"/>
      <c r="DVQ88" s="261"/>
      <c r="DVR88" s="262"/>
      <c r="DVS88" s="263"/>
      <c r="DVT88" s="289"/>
      <c r="DVU88" s="289"/>
      <c r="DVV88" s="289"/>
      <c r="DVW88" s="292"/>
      <c r="DVX88" s="289"/>
      <c r="DVY88" s="293"/>
      <c r="DVZ88" s="266"/>
      <c r="DWA88" s="290"/>
      <c r="DWB88" s="297"/>
      <c r="DWC88" s="260"/>
      <c r="DWD88" s="261"/>
      <c r="DWE88" s="262"/>
      <c r="DWF88" s="263"/>
      <c r="DWG88" s="289"/>
      <c r="DWH88" s="289"/>
      <c r="DWI88" s="289"/>
      <c r="DWJ88" s="292"/>
      <c r="DWK88" s="289"/>
      <c r="DWL88" s="293"/>
      <c r="DWM88" s="266"/>
      <c r="DWN88" s="290"/>
      <c r="DWO88" s="297"/>
      <c r="DWP88" s="260"/>
      <c r="DWQ88" s="261"/>
      <c r="DWR88" s="262"/>
      <c r="DWS88" s="263"/>
      <c r="DWT88" s="289"/>
      <c r="DWU88" s="289"/>
      <c r="DWV88" s="289"/>
      <c r="DWW88" s="292"/>
      <c r="DWX88" s="289"/>
      <c r="DWY88" s="293"/>
      <c r="DWZ88" s="266"/>
      <c r="DXA88" s="290"/>
      <c r="DXB88" s="297"/>
      <c r="DXC88" s="260"/>
      <c r="DXD88" s="261"/>
      <c r="DXE88" s="262"/>
      <c r="DXF88" s="263"/>
      <c r="DXG88" s="289"/>
      <c r="DXH88" s="289"/>
      <c r="DXI88" s="289"/>
      <c r="DXJ88" s="292"/>
      <c r="DXK88" s="289"/>
      <c r="DXL88" s="293"/>
      <c r="DXM88" s="266"/>
      <c r="DXN88" s="290"/>
      <c r="DXO88" s="297"/>
      <c r="DXP88" s="260"/>
      <c r="DXQ88" s="261"/>
      <c r="DXR88" s="262"/>
      <c r="DXS88" s="263"/>
      <c r="DXT88" s="289"/>
      <c r="DXU88" s="289"/>
      <c r="DXV88" s="289"/>
      <c r="DXW88" s="292"/>
      <c r="DXX88" s="289"/>
      <c r="DXY88" s="293"/>
      <c r="DXZ88" s="266"/>
      <c r="DYA88" s="290"/>
      <c r="DYB88" s="297"/>
      <c r="DYC88" s="260"/>
      <c r="DYD88" s="261"/>
      <c r="DYE88" s="262"/>
      <c r="DYF88" s="263"/>
      <c r="DYG88" s="289"/>
      <c r="DYH88" s="289"/>
      <c r="DYI88" s="289"/>
      <c r="DYJ88" s="292"/>
      <c r="DYK88" s="289"/>
      <c r="DYL88" s="293"/>
      <c r="DYM88" s="266"/>
      <c r="DYN88" s="290"/>
      <c r="DYO88" s="297"/>
      <c r="DYP88" s="260"/>
      <c r="DYQ88" s="261"/>
      <c r="DYR88" s="262"/>
      <c r="DYS88" s="263"/>
      <c r="DYT88" s="289"/>
      <c r="DYU88" s="289"/>
      <c r="DYV88" s="289"/>
      <c r="DYW88" s="292"/>
      <c r="DYX88" s="289"/>
      <c r="DYY88" s="293"/>
      <c r="DYZ88" s="266"/>
      <c r="DZA88" s="290"/>
      <c r="DZB88" s="297"/>
      <c r="DZC88" s="260"/>
      <c r="DZD88" s="261"/>
      <c r="DZE88" s="262"/>
      <c r="DZF88" s="263"/>
      <c r="DZG88" s="289"/>
      <c r="DZH88" s="289"/>
      <c r="DZI88" s="289"/>
      <c r="DZJ88" s="292"/>
      <c r="DZK88" s="289"/>
      <c r="DZL88" s="293"/>
      <c r="DZM88" s="266"/>
      <c r="DZN88" s="290"/>
      <c r="DZO88" s="297"/>
      <c r="DZP88" s="260"/>
      <c r="DZQ88" s="261"/>
      <c r="DZR88" s="262"/>
      <c r="DZS88" s="263"/>
      <c r="DZT88" s="289"/>
      <c r="DZU88" s="289"/>
      <c r="DZV88" s="289"/>
      <c r="DZW88" s="292"/>
      <c r="DZX88" s="289"/>
      <c r="DZY88" s="293"/>
      <c r="DZZ88" s="266"/>
      <c r="EAA88" s="290"/>
      <c r="EAB88" s="297"/>
      <c r="EAC88" s="260"/>
      <c r="EAD88" s="261"/>
      <c r="EAE88" s="262"/>
      <c r="EAF88" s="263"/>
      <c r="EAG88" s="289"/>
      <c r="EAH88" s="289"/>
      <c r="EAI88" s="289"/>
      <c r="EAJ88" s="292"/>
      <c r="EAK88" s="289"/>
      <c r="EAL88" s="293"/>
      <c r="EAM88" s="266"/>
      <c r="EAN88" s="290"/>
      <c r="EAO88" s="297"/>
      <c r="EAP88" s="260"/>
      <c r="EAQ88" s="261"/>
      <c r="EAR88" s="262"/>
      <c r="EAS88" s="263"/>
      <c r="EAT88" s="289"/>
      <c r="EAU88" s="289"/>
      <c r="EAV88" s="289"/>
      <c r="EAW88" s="292"/>
      <c r="EAX88" s="289"/>
      <c r="EAY88" s="293"/>
      <c r="EAZ88" s="266"/>
      <c r="EBA88" s="290"/>
      <c r="EBB88" s="297"/>
      <c r="EBC88" s="260"/>
      <c r="EBD88" s="261"/>
      <c r="EBE88" s="262"/>
      <c r="EBF88" s="263"/>
      <c r="EBG88" s="289"/>
      <c r="EBH88" s="289"/>
      <c r="EBI88" s="289"/>
      <c r="EBJ88" s="292"/>
      <c r="EBK88" s="289"/>
      <c r="EBL88" s="293"/>
      <c r="EBM88" s="266"/>
      <c r="EBN88" s="290"/>
      <c r="EBO88" s="297"/>
      <c r="EBP88" s="260"/>
      <c r="EBQ88" s="261"/>
      <c r="EBR88" s="262"/>
      <c r="EBS88" s="263"/>
      <c r="EBT88" s="289"/>
      <c r="EBU88" s="289"/>
      <c r="EBV88" s="289"/>
      <c r="EBW88" s="292"/>
      <c r="EBX88" s="289"/>
      <c r="EBY88" s="293"/>
      <c r="EBZ88" s="266"/>
      <c r="ECA88" s="290"/>
      <c r="ECB88" s="297"/>
      <c r="ECC88" s="260"/>
      <c r="ECD88" s="261"/>
      <c r="ECE88" s="262"/>
      <c r="ECF88" s="263"/>
      <c r="ECG88" s="289"/>
      <c r="ECH88" s="289"/>
      <c r="ECI88" s="289"/>
      <c r="ECJ88" s="292"/>
      <c r="ECK88" s="289"/>
      <c r="ECL88" s="293"/>
      <c r="ECM88" s="266"/>
      <c r="ECN88" s="290"/>
      <c r="ECO88" s="297"/>
      <c r="ECP88" s="260"/>
      <c r="ECQ88" s="261"/>
      <c r="ECR88" s="262"/>
      <c r="ECS88" s="263"/>
      <c r="ECT88" s="289"/>
      <c r="ECU88" s="289"/>
      <c r="ECV88" s="289"/>
      <c r="ECW88" s="292"/>
      <c r="ECX88" s="289"/>
      <c r="ECY88" s="293"/>
      <c r="ECZ88" s="266"/>
      <c r="EDA88" s="290"/>
      <c r="EDB88" s="297"/>
      <c r="EDC88" s="260"/>
      <c r="EDD88" s="261"/>
      <c r="EDE88" s="262"/>
      <c r="EDF88" s="263"/>
      <c r="EDG88" s="289"/>
      <c r="EDH88" s="289"/>
      <c r="EDI88" s="289"/>
      <c r="EDJ88" s="292"/>
      <c r="EDK88" s="289"/>
      <c r="EDL88" s="293"/>
      <c r="EDM88" s="266"/>
      <c r="EDN88" s="290"/>
      <c r="EDO88" s="297"/>
      <c r="EDP88" s="260"/>
      <c r="EDQ88" s="261"/>
      <c r="EDR88" s="262"/>
      <c r="EDS88" s="263"/>
      <c r="EDT88" s="289"/>
      <c r="EDU88" s="289"/>
      <c r="EDV88" s="289"/>
      <c r="EDW88" s="292"/>
      <c r="EDX88" s="289"/>
      <c r="EDY88" s="293"/>
      <c r="EDZ88" s="266"/>
      <c r="EEA88" s="290"/>
      <c r="EEB88" s="297"/>
      <c r="EEC88" s="260"/>
      <c r="EED88" s="261"/>
      <c r="EEE88" s="262"/>
      <c r="EEF88" s="263"/>
      <c r="EEG88" s="289"/>
      <c r="EEH88" s="289"/>
      <c r="EEI88" s="289"/>
      <c r="EEJ88" s="292"/>
      <c r="EEK88" s="289"/>
      <c r="EEL88" s="293"/>
      <c r="EEM88" s="266"/>
      <c r="EEN88" s="290"/>
      <c r="EEO88" s="297"/>
      <c r="EEP88" s="260"/>
      <c r="EEQ88" s="261"/>
      <c r="EER88" s="262"/>
      <c r="EES88" s="263"/>
      <c r="EET88" s="289"/>
      <c r="EEU88" s="289"/>
      <c r="EEV88" s="289"/>
      <c r="EEW88" s="292"/>
      <c r="EEX88" s="289"/>
      <c r="EEY88" s="293"/>
      <c r="EEZ88" s="266"/>
      <c r="EFA88" s="290"/>
      <c r="EFB88" s="297"/>
      <c r="EFC88" s="260"/>
      <c r="EFD88" s="261"/>
      <c r="EFE88" s="262"/>
      <c r="EFF88" s="263"/>
      <c r="EFG88" s="289"/>
      <c r="EFH88" s="289"/>
      <c r="EFI88" s="289"/>
      <c r="EFJ88" s="292"/>
      <c r="EFK88" s="289"/>
      <c r="EFL88" s="293"/>
      <c r="EFM88" s="266"/>
      <c r="EFN88" s="290"/>
      <c r="EFO88" s="297"/>
      <c r="EFP88" s="260"/>
      <c r="EFQ88" s="261"/>
      <c r="EFR88" s="262"/>
      <c r="EFS88" s="263"/>
      <c r="EFT88" s="289"/>
      <c r="EFU88" s="289"/>
      <c r="EFV88" s="289"/>
      <c r="EFW88" s="292"/>
      <c r="EFX88" s="289"/>
      <c r="EFY88" s="293"/>
      <c r="EFZ88" s="266"/>
      <c r="EGA88" s="290"/>
      <c r="EGB88" s="297"/>
      <c r="EGC88" s="260"/>
      <c r="EGD88" s="261"/>
      <c r="EGE88" s="262"/>
      <c r="EGF88" s="263"/>
      <c r="EGG88" s="289"/>
      <c r="EGH88" s="289"/>
      <c r="EGI88" s="289"/>
      <c r="EGJ88" s="292"/>
      <c r="EGK88" s="289"/>
      <c r="EGL88" s="293"/>
      <c r="EGM88" s="266"/>
      <c r="EGN88" s="290"/>
      <c r="EGO88" s="297"/>
      <c r="EGP88" s="260"/>
      <c r="EGQ88" s="261"/>
      <c r="EGR88" s="262"/>
      <c r="EGS88" s="263"/>
      <c r="EGT88" s="289"/>
      <c r="EGU88" s="289"/>
      <c r="EGV88" s="289"/>
      <c r="EGW88" s="292"/>
      <c r="EGX88" s="289"/>
      <c r="EGY88" s="293"/>
      <c r="EGZ88" s="266"/>
      <c r="EHA88" s="290"/>
      <c r="EHB88" s="297"/>
      <c r="EHC88" s="260"/>
      <c r="EHD88" s="261"/>
      <c r="EHE88" s="262"/>
      <c r="EHF88" s="263"/>
      <c r="EHG88" s="289"/>
      <c r="EHH88" s="289"/>
      <c r="EHI88" s="289"/>
      <c r="EHJ88" s="292"/>
      <c r="EHK88" s="289"/>
      <c r="EHL88" s="293"/>
      <c r="EHM88" s="266"/>
      <c r="EHN88" s="290"/>
      <c r="EHO88" s="297"/>
      <c r="EHP88" s="260"/>
      <c r="EHQ88" s="261"/>
      <c r="EHR88" s="262"/>
      <c r="EHS88" s="263"/>
      <c r="EHT88" s="289"/>
      <c r="EHU88" s="289"/>
      <c r="EHV88" s="289"/>
      <c r="EHW88" s="292"/>
      <c r="EHX88" s="289"/>
      <c r="EHY88" s="293"/>
      <c r="EHZ88" s="266"/>
      <c r="EIA88" s="290"/>
      <c r="EIB88" s="297"/>
      <c r="EIC88" s="260"/>
      <c r="EID88" s="261"/>
      <c r="EIE88" s="262"/>
      <c r="EIF88" s="263"/>
      <c r="EIG88" s="289"/>
      <c r="EIH88" s="289"/>
      <c r="EII88" s="289"/>
      <c r="EIJ88" s="292"/>
      <c r="EIK88" s="289"/>
      <c r="EIL88" s="293"/>
      <c r="EIM88" s="266"/>
      <c r="EIN88" s="290"/>
      <c r="EIO88" s="297"/>
      <c r="EIP88" s="260"/>
      <c r="EIQ88" s="261"/>
      <c r="EIR88" s="262"/>
      <c r="EIS88" s="263"/>
      <c r="EIT88" s="289"/>
      <c r="EIU88" s="289"/>
      <c r="EIV88" s="289"/>
      <c r="EIW88" s="292"/>
      <c r="EIX88" s="289"/>
      <c r="EIY88" s="293"/>
      <c r="EIZ88" s="266"/>
      <c r="EJA88" s="290"/>
      <c r="EJB88" s="297"/>
      <c r="EJC88" s="260"/>
      <c r="EJD88" s="261"/>
      <c r="EJE88" s="262"/>
      <c r="EJF88" s="263"/>
      <c r="EJG88" s="289"/>
      <c r="EJH88" s="289"/>
      <c r="EJI88" s="289"/>
      <c r="EJJ88" s="292"/>
      <c r="EJK88" s="289"/>
      <c r="EJL88" s="293"/>
      <c r="EJM88" s="266"/>
      <c r="EJN88" s="290"/>
      <c r="EJO88" s="297"/>
      <c r="EJP88" s="260"/>
      <c r="EJQ88" s="261"/>
      <c r="EJR88" s="262"/>
      <c r="EJS88" s="263"/>
      <c r="EJT88" s="289"/>
      <c r="EJU88" s="289"/>
      <c r="EJV88" s="289"/>
      <c r="EJW88" s="292"/>
      <c r="EJX88" s="289"/>
      <c r="EJY88" s="293"/>
      <c r="EJZ88" s="266"/>
      <c r="EKA88" s="290"/>
      <c r="EKB88" s="297"/>
      <c r="EKC88" s="260"/>
      <c r="EKD88" s="261"/>
      <c r="EKE88" s="262"/>
      <c r="EKF88" s="263"/>
      <c r="EKG88" s="289"/>
      <c r="EKH88" s="289"/>
      <c r="EKI88" s="289"/>
      <c r="EKJ88" s="292"/>
      <c r="EKK88" s="289"/>
      <c r="EKL88" s="293"/>
      <c r="EKM88" s="266"/>
      <c r="EKN88" s="290"/>
      <c r="EKO88" s="297"/>
      <c r="EKP88" s="260"/>
      <c r="EKQ88" s="261"/>
      <c r="EKR88" s="262"/>
      <c r="EKS88" s="263"/>
      <c r="EKT88" s="289"/>
      <c r="EKU88" s="289"/>
      <c r="EKV88" s="289"/>
      <c r="EKW88" s="292"/>
      <c r="EKX88" s="289"/>
      <c r="EKY88" s="293"/>
      <c r="EKZ88" s="266"/>
      <c r="ELA88" s="290"/>
      <c r="ELB88" s="297"/>
      <c r="ELC88" s="260"/>
      <c r="ELD88" s="261"/>
      <c r="ELE88" s="262"/>
      <c r="ELF88" s="263"/>
      <c r="ELG88" s="289"/>
      <c r="ELH88" s="289"/>
      <c r="ELI88" s="289"/>
      <c r="ELJ88" s="292"/>
      <c r="ELK88" s="289"/>
      <c r="ELL88" s="293"/>
      <c r="ELM88" s="266"/>
      <c r="ELN88" s="290"/>
      <c r="ELO88" s="297"/>
      <c r="ELP88" s="260"/>
      <c r="ELQ88" s="261"/>
      <c r="ELR88" s="262"/>
      <c r="ELS88" s="263"/>
      <c r="ELT88" s="289"/>
      <c r="ELU88" s="289"/>
      <c r="ELV88" s="289"/>
      <c r="ELW88" s="292"/>
      <c r="ELX88" s="289"/>
      <c r="ELY88" s="293"/>
      <c r="ELZ88" s="266"/>
      <c r="EMA88" s="290"/>
      <c r="EMB88" s="297"/>
      <c r="EMC88" s="260"/>
      <c r="EMD88" s="261"/>
      <c r="EME88" s="262"/>
      <c r="EMF88" s="263"/>
      <c r="EMG88" s="289"/>
      <c r="EMH88" s="289"/>
      <c r="EMI88" s="289"/>
      <c r="EMJ88" s="292"/>
      <c r="EMK88" s="289"/>
      <c r="EML88" s="293"/>
      <c r="EMM88" s="266"/>
      <c r="EMN88" s="290"/>
      <c r="EMO88" s="297"/>
      <c r="EMP88" s="260"/>
      <c r="EMQ88" s="261"/>
      <c r="EMR88" s="262"/>
      <c r="EMS88" s="263"/>
      <c r="EMT88" s="289"/>
      <c r="EMU88" s="289"/>
      <c r="EMV88" s="289"/>
      <c r="EMW88" s="292"/>
      <c r="EMX88" s="289"/>
      <c r="EMY88" s="293"/>
      <c r="EMZ88" s="266"/>
      <c r="ENA88" s="290"/>
      <c r="ENB88" s="297"/>
      <c r="ENC88" s="260"/>
      <c r="END88" s="261"/>
      <c r="ENE88" s="262"/>
      <c r="ENF88" s="263"/>
      <c r="ENG88" s="289"/>
      <c r="ENH88" s="289"/>
      <c r="ENI88" s="289"/>
      <c r="ENJ88" s="292"/>
      <c r="ENK88" s="289"/>
      <c r="ENL88" s="293"/>
      <c r="ENM88" s="266"/>
      <c r="ENN88" s="290"/>
      <c r="ENO88" s="297"/>
      <c r="ENP88" s="260"/>
      <c r="ENQ88" s="261"/>
      <c r="ENR88" s="262"/>
      <c r="ENS88" s="263"/>
      <c r="ENT88" s="289"/>
      <c r="ENU88" s="289"/>
      <c r="ENV88" s="289"/>
      <c r="ENW88" s="292"/>
      <c r="ENX88" s="289"/>
      <c r="ENY88" s="293"/>
      <c r="ENZ88" s="266"/>
      <c r="EOA88" s="290"/>
      <c r="EOB88" s="297"/>
      <c r="EOC88" s="260"/>
      <c r="EOD88" s="261"/>
      <c r="EOE88" s="262"/>
      <c r="EOF88" s="263"/>
      <c r="EOG88" s="289"/>
      <c r="EOH88" s="289"/>
      <c r="EOI88" s="289"/>
      <c r="EOJ88" s="292"/>
      <c r="EOK88" s="289"/>
      <c r="EOL88" s="293"/>
      <c r="EOM88" s="266"/>
      <c r="EON88" s="290"/>
      <c r="EOO88" s="297"/>
      <c r="EOP88" s="260"/>
      <c r="EOQ88" s="261"/>
      <c r="EOR88" s="262"/>
      <c r="EOS88" s="263"/>
      <c r="EOT88" s="289"/>
      <c r="EOU88" s="289"/>
      <c r="EOV88" s="289"/>
      <c r="EOW88" s="292"/>
      <c r="EOX88" s="289"/>
      <c r="EOY88" s="293"/>
      <c r="EOZ88" s="266"/>
      <c r="EPA88" s="290"/>
      <c r="EPB88" s="297"/>
      <c r="EPC88" s="260"/>
      <c r="EPD88" s="261"/>
      <c r="EPE88" s="262"/>
      <c r="EPF88" s="263"/>
      <c r="EPG88" s="289"/>
      <c r="EPH88" s="289"/>
      <c r="EPI88" s="289"/>
      <c r="EPJ88" s="292"/>
      <c r="EPK88" s="289"/>
      <c r="EPL88" s="293"/>
      <c r="EPM88" s="266"/>
      <c r="EPN88" s="290"/>
      <c r="EPO88" s="297"/>
      <c r="EPP88" s="260"/>
      <c r="EPQ88" s="261"/>
      <c r="EPR88" s="262"/>
      <c r="EPS88" s="263"/>
      <c r="EPT88" s="289"/>
      <c r="EPU88" s="289"/>
      <c r="EPV88" s="289"/>
      <c r="EPW88" s="292"/>
      <c r="EPX88" s="289"/>
      <c r="EPY88" s="293"/>
      <c r="EPZ88" s="266"/>
      <c r="EQA88" s="290"/>
      <c r="EQB88" s="297"/>
      <c r="EQC88" s="260"/>
      <c r="EQD88" s="261"/>
      <c r="EQE88" s="262"/>
      <c r="EQF88" s="263"/>
      <c r="EQG88" s="289"/>
      <c r="EQH88" s="289"/>
      <c r="EQI88" s="289"/>
      <c r="EQJ88" s="292"/>
      <c r="EQK88" s="289"/>
      <c r="EQL88" s="293"/>
      <c r="EQM88" s="266"/>
      <c r="EQN88" s="290"/>
      <c r="EQO88" s="297"/>
      <c r="EQP88" s="260"/>
      <c r="EQQ88" s="261"/>
      <c r="EQR88" s="262"/>
      <c r="EQS88" s="263"/>
      <c r="EQT88" s="289"/>
      <c r="EQU88" s="289"/>
      <c r="EQV88" s="289"/>
      <c r="EQW88" s="292"/>
      <c r="EQX88" s="289"/>
      <c r="EQY88" s="293"/>
      <c r="EQZ88" s="266"/>
      <c r="ERA88" s="290"/>
      <c r="ERB88" s="297"/>
      <c r="ERC88" s="260"/>
      <c r="ERD88" s="261"/>
      <c r="ERE88" s="262"/>
      <c r="ERF88" s="263"/>
      <c r="ERG88" s="289"/>
      <c r="ERH88" s="289"/>
      <c r="ERI88" s="289"/>
      <c r="ERJ88" s="292"/>
      <c r="ERK88" s="289"/>
      <c r="ERL88" s="293"/>
      <c r="ERM88" s="266"/>
      <c r="ERN88" s="290"/>
      <c r="ERO88" s="297"/>
      <c r="ERP88" s="260"/>
      <c r="ERQ88" s="261"/>
      <c r="ERR88" s="262"/>
      <c r="ERS88" s="263"/>
      <c r="ERT88" s="289"/>
      <c r="ERU88" s="289"/>
      <c r="ERV88" s="289"/>
      <c r="ERW88" s="292"/>
      <c r="ERX88" s="289"/>
      <c r="ERY88" s="293"/>
      <c r="ERZ88" s="266"/>
      <c r="ESA88" s="290"/>
      <c r="ESB88" s="297"/>
      <c r="ESC88" s="260"/>
      <c r="ESD88" s="261"/>
      <c r="ESE88" s="262"/>
      <c r="ESF88" s="263"/>
      <c r="ESG88" s="289"/>
      <c r="ESH88" s="289"/>
      <c r="ESI88" s="289"/>
      <c r="ESJ88" s="292"/>
      <c r="ESK88" s="289"/>
      <c r="ESL88" s="293"/>
      <c r="ESM88" s="266"/>
      <c r="ESN88" s="290"/>
      <c r="ESO88" s="297"/>
      <c r="ESP88" s="260"/>
      <c r="ESQ88" s="261"/>
      <c r="ESR88" s="262"/>
      <c r="ESS88" s="263"/>
      <c r="EST88" s="289"/>
      <c r="ESU88" s="289"/>
      <c r="ESV88" s="289"/>
      <c r="ESW88" s="292"/>
      <c r="ESX88" s="289"/>
      <c r="ESY88" s="293"/>
      <c r="ESZ88" s="266"/>
      <c r="ETA88" s="290"/>
      <c r="ETB88" s="297"/>
      <c r="ETC88" s="260"/>
      <c r="ETD88" s="261"/>
      <c r="ETE88" s="262"/>
      <c r="ETF88" s="263"/>
      <c r="ETG88" s="289"/>
      <c r="ETH88" s="289"/>
      <c r="ETI88" s="289"/>
      <c r="ETJ88" s="292"/>
      <c r="ETK88" s="289"/>
      <c r="ETL88" s="293"/>
      <c r="ETM88" s="266"/>
      <c r="ETN88" s="290"/>
      <c r="ETO88" s="297"/>
      <c r="ETP88" s="260"/>
      <c r="ETQ88" s="261"/>
      <c r="ETR88" s="262"/>
      <c r="ETS88" s="263"/>
      <c r="ETT88" s="289"/>
      <c r="ETU88" s="289"/>
      <c r="ETV88" s="289"/>
      <c r="ETW88" s="292"/>
      <c r="ETX88" s="289"/>
      <c r="ETY88" s="293"/>
      <c r="ETZ88" s="266"/>
      <c r="EUA88" s="290"/>
      <c r="EUB88" s="297"/>
      <c r="EUC88" s="260"/>
      <c r="EUD88" s="261"/>
      <c r="EUE88" s="262"/>
      <c r="EUF88" s="263"/>
      <c r="EUG88" s="289"/>
      <c r="EUH88" s="289"/>
      <c r="EUI88" s="289"/>
      <c r="EUJ88" s="292"/>
      <c r="EUK88" s="289"/>
      <c r="EUL88" s="293"/>
      <c r="EUM88" s="266"/>
      <c r="EUN88" s="290"/>
      <c r="EUO88" s="297"/>
      <c r="EUP88" s="260"/>
      <c r="EUQ88" s="261"/>
      <c r="EUR88" s="262"/>
      <c r="EUS88" s="263"/>
      <c r="EUT88" s="289"/>
      <c r="EUU88" s="289"/>
      <c r="EUV88" s="289"/>
      <c r="EUW88" s="292"/>
      <c r="EUX88" s="289"/>
      <c r="EUY88" s="293"/>
      <c r="EUZ88" s="266"/>
      <c r="EVA88" s="290"/>
      <c r="EVB88" s="297"/>
      <c r="EVC88" s="260"/>
      <c r="EVD88" s="261"/>
      <c r="EVE88" s="262"/>
      <c r="EVF88" s="263"/>
      <c r="EVG88" s="289"/>
      <c r="EVH88" s="289"/>
      <c r="EVI88" s="289"/>
      <c r="EVJ88" s="292"/>
      <c r="EVK88" s="289"/>
      <c r="EVL88" s="293"/>
      <c r="EVM88" s="266"/>
      <c r="EVN88" s="290"/>
      <c r="EVO88" s="297"/>
      <c r="EVP88" s="260"/>
      <c r="EVQ88" s="261"/>
      <c r="EVR88" s="262"/>
      <c r="EVS88" s="263"/>
      <c r="EVT88" s="289"/>
      <c r="EVU88" s="289"/>
      <c r="EVV88" s="289"/>
      <c r="EVW88" s="292"/>
      <c r="EVX88" s="289"/>
      <c r="EVY88" s="293"/>
      <c r="EVZ88" s="266"/>
      <c r="EWA88" s="290"/>
      <c r="EWB88" s="297"/>
      <c r="EWC88" s="260"/>
      <c r="EWD88" s="261"/>
      <c r="EWE88" s="262"/>
      <c r="EWF88" s="263"/>
      <c r="EWG88" s="289"/>
      <c r="EWH88" s="289"/>
      <c r="EWI88" s="289"/>
      <c r="EWJ88" s="292"/>
      <c r="EWK88" s="289"/>
      <c r="EWL88" s="293"/>
      <c r="EWM88" s="266"/>
      <c r="EWN88" s="290"/>
      <c r="EWO88" s="297"/>
      <c r="EWP88" s="260"/>
      <c r="EWQ88" s="261"/>
      <c r="EWR88" s="262"/>
      <c r="EWS88" s="263"/>
      <c r="EWT88" s="289"/>
      <c r="EWU88" s="289"/>
      <c r="EWV88" s="289"/>
      <c r="EWW88" s="292"/>
      <c r="EWX88" s="289"/>
      <c r="EWY88" s="293"/>
      <c r="EWZ88" s="266"/>
      <c r="EXA88" s="290"/>
      <c r="EXB88" s="297"/>
      <c r="EXC88" s="260"/>
      <c r="EXD88" s="261"/>
      <c r="EXE88" s="262"/>
      <c r="EXF88" s="263"/>
      <c r="EXG88" s="289"/>
      <c r="EXH88" s="289"/>
      <c r="EXI88" s="289"/>
      <c r="EXJ88" s="292"/>
      <c r="EXK88" s="289"/>
      <c r="EXL88" s="293"/>
      <c r="EXM88" s="266"/>
      <c r="EXN88" s="290"/>
      <c r="EXO88" s="297"/>
      <c r="EXP88" s="260"/>
      <c r="EXQ88" s="261"/>
      <c r="EXR88" s="262"/>
      <c r="EXS88" s="263"/>
      <c r="EXT88" s="289"/>
      <c r="EXU88" s="289"/>
      <c r="EXV88" s="289"/>
      <c r="EXW88" s="292"/>
      <c r="EXX88" s="289"/>
      <c r="EXY88" s="293"/>
      <c r="EXZ88" s="266"/>
      <c r="EYA88" s="290"/>
      <c r="EYB88" s="297"/>
      <c r="EYC88" s="260"/>
      <c r="EYD88" s="261"/>
      <c r="EYE88" s="262"/>
      <c r="EYF88" s="263"/>
      <c r="EYG88" s="289"/>
      <c r="EYH88" s="289"/>
      <c r="EYI88" s="289"/>
      <c r="EYJ88" s="292"/>
      <c r="EYK88" s="289"/>
      <c r="EYL88" s="293"/>
      <c r="EYM88" s="266"/>
      <c r="EYN88" s="290"/>
      <c r="EYO88" s="297"/>
      <c r="EYP88" s="260"/>
      <c r="EYQ88" s="261"/>
      <c r="EYR88" s="262"/>
      <c r="EYS88" s="263"/>
      <c r="EYT88" s="289"/>
      <c r="EYU88" s="289"/>
      <c r="EYV88" s="289"/>
      <c r="EYW88" s="292"/>
      <c r="EYX88" s="289"/>
      <c r="EYY88" s="293"/>
      <c r="EYZ88" s="266"/>
      <c r="EZA88" s="290"/>
      <c r="EZB88" s="297"/>
      <c r="EZC88" s="260"/>
      <c r="EZD88" s="261"/>
      <c r="EZE88" s="262"/>
      <c r="EZF88" s="263"/>
      <c r="EZG88" s="289"/>
      <c r="EZH88" s="289"/>
      <c r="EZI88" s="289"/>
      <c r="EZJ88" s="292"/>
      <c r="EZK88" s="289"/>
      <c r="EZL88" s="293"/>
      <c r="EZM88" s="266"/>
      <c r="EZN88" s="290"/>
      <c r="EZO88" s="297"/>
      <c r="EZP88" s="260"/>
      <c r="EZQ88" s="261"/>
      <c r="EZR88" s="262"/>
      <c r="EZS88" s="263"/>
      <c r="EZT88" s="289"/>
      <c r="EZU88" s="289"/>
      <c r="EZV88" s="289"/>
      <c r="EZW88" s="292"/>
      <c r="EZX88" s="289"/>
      <c r="EZY88" s="293"/>
      <c r="EZZ88" s="266"/>
      <c r="FAA88" s="290"/>
      <c r="FAB88" s="297"/>
      <c r="FAC88" s="260"/>
      <c r="FAD88" s="261"/>
      <c r="FAE88" s="262"/>
      <c r="FAF88" s="263"/>
      <c r="FAG88" s="289"/>
      <c r="FAH88" s="289"/>
      <c r="FAI88" s="289"/>
      <c r="FAJ88" s="292"/>
      <c r="FAK88" s="289"/>
      <c r="FAL88" s="293"/>
      <c r="FAM88" s="266"/>
      <c r="FAN88" s="290"/>
      <c r="FAO88" s="297"/>
      <c r="FAP88" s="260"/>
      <c r="FAQ88" s="261"/>
      <c r="FAR88" s="262"/>
      <c r="FAS88" s="263"/>
      <c r="FAT88" s="289"/>
      <c r="FAU88" s="289"/>
      <c r="FAV88" s="289"/>
      <c r="FAW88" s="292"/>
      <c r="FAX88" s="289"/>
      <c r="FAY88" s="293"/>
      <c r="FAZ88" s="266"/>
      <c r="FBA88" s="290"/>
      <c r="FBB88" s="297"/>
      <c r="FBC88" s="260"/>
      <c r="FBD88" s="261"/>
      <c r="FBE88" s="262"/>
      <c r="FBF88" s="263"/>
      <c r="FBG88" s="289"/>
      <c r="FBH88" s="289"/>
      <c r="FBI88" s="289"/>
      <c r="FBJ88" s="292"/>
      <c r="FBK88" s="289"/>
      <c r="FBL88" s="293"/>
      <c r="FBM88" s="266"/>
      <c r="FBN88" s="290"/>
      <c r="FBO88" s="297"/>
      <c r="FBP88" s="260"/>
      <c r="FBQ88" s="261"/>
      <c r="FBR88" s="262"/>
      <c r="FBS88" s="263"/>
      <c r="FBT88" s="289"/>
      <c r="FBU88" s="289"/>
      <c r="FBV88" s="289"/>
      <c r="FBW88" s="292"/>
      <c r="FBX88" s="289"/>
      <c r="FBY88" s="293"/>
      <c r="FBZ88" s="266"/>
      <c r="FCA88" s="290"/>
      <c r="FCB88" s="297"/>
      <c r="FCC88" s="260"/>
      <c r="FCD88" s="261"/>
      <c r="FCE88" s="262"/>
      <c r="FCF88" s="263"/>
      <c r="FCG88" s="289"/>
      <c r="FCH88" s="289"/>
      <c r="FCI88" s="289"/>
      <c r="FCJ88" s="292"/>
      <c r="FCK88" s="289"/>
      <c r="FCL88" s="293"/>
      <c r="FCM88" s="266"/>
      <c r="FCN88" s="290"/>
      <c r="FCO88" s="297"/>
      <c r="FCP88" s="260"/>
      <c r="FCQ88" s="261"/>
      <c r="FCR88" s="262"/>
      <c r="FCS88" s="263"/>
      <c r="FCT88" s="289"/>
      <c r="FCU88" s="289"/>
      <c r="FCV88" s="289"/>
      <c r="FCW88" s="292"/>
      <c r="FCX88" s="289"/>
      <c r="FCY88" s="293"/>
      <c r="FCZ88" s="266"/>
      <c r="FDA88" s="290"/>
      <c r="FDB88" s="297"/>
      <c r="FDC88" s="260"/>
      <c r="FDD88" s="261"/>
      <c r="FDE88" s="262"/>
      <c r="FDF88" s="263"/>
      <c r="FDG88" s="289"/>
      <c r="FDH88" s="289"/>
      <c r="FDI88" s="289"/>
      <c r="FDJ88" s="292"/>
      <c r="FDK88" s="289"/>
      <c r="FDL88" s="293"/>
      <c r="FDM88" s="266"/>
      <c r="FDN88" s="290"/>
      <c r="FDO88" s="297"/>
      <c r="FDP88" s="260"/>
      <c r="FDQ88" s="261"/>
      <c r="FDR88" s="262"/>
      <c r="FDS88" s="263"/>
      <c r="FDT88" s="289"/>
      <c r="FDU88" s="289"/>
      <c r="FDV88" s="289"/>
      <c r="FDW88" s="292"/>
      <c r="FDX88" s="289"/>
      <c r="FDY88" s="293"/>
      <c r="FDZ88" s="266"/>
      <c r="FEA88" s="290"/>
      <c r="FEB88" s="297"/>
      <c r="FEC88" s="260"/>
      <c r="FED88" s="261"/>
      <c r="FEE88" s="262"/>
      <c r="FEF88" s="263"/>
      <c r="FEG88" s="289"/>
      <c r="FEH88" s="289"/>
      <c r="FEI88" s="289"/>
      <c r="FEJ88" s="292"/>
      <c r="FEK88" s="289"/>
      <c r="FEL88" s="293"/>
      <c r="FEM88" s="266"/>
      <c r="FEN88" s="290"/>
      <c r="FEO88" s="297"/>
      <c r="FEP88" s="260"/>
      <c r="FEQ88" s="261"/>
      <c r="FER88" s="262"/>
      <c r="FES88" s="263"/>
      <c r="FET88" s="289"/>
      <c r="FEU88" s="289"/>
      <c r="FEV88" s="289"/>
      <c r="FEW88" s="292"/>
      <c r="FEX88" s="289"/>
      <c r="FEY88" s="293"/>
      <c r="FEZ88" s="266"/>
      <c r="FFA88" s="290"/>
      <c r="FFB88" s="297"/>
      <c r="FFC88" s="260"/>
      <c r="FFD88" s="261"/>
      <c r="FFE88" s="262"/>
      <c r="FFF88" s="263"/>
      <c r="FFG88" s="289"/>
      <c r="FFH88" s="289"/>
      <c r="FFI88" s="289"/>
      <c r="FFJ88" s="292"/>
      <c r="FFK88" s="289"/>
      <c r="FFL88" s="293"/>
      <c r="FFM88" s="266"/>
      <c r="FFN88" s="290"/>
      <c r="FFO88" s="297"/>
      <c r="FFP88" s="260"/>
      <c r="FFQ88" s="261"/>
      <c r="FFR88" s="262"/>
      <c r="FFS88" s="263"/>
      <c r="FFT88" s="289"/>
      <c r="FFU88" s="289"/>
      <c r="FFV88" s="289"/>
      <c r="FFW88" s="292"/>
      <c r="FFX88" s="289"/>
      <c r="FFY88" s="293"/>
      <c r="FFZ88" s="266"/>
      <c r="FGA88" s="290"/>
      <c r="FGB88" s="297"/>
      <c r="FGC88" s="260"/>
      <c r="FGD88" s="261"/>
      <c r="FGE88" s="262"/>
      <c r="FGF88" s="263"/>
      <c r="FGG88" s="289"/>
      <c r="FGH88" s="289"/>
      <c r="FGI88" s="289"/>
      <c r="FGJ88" s="292"/>
      <c r="FGK88" s="289"/>
      <c r="FGL88" s="293"/>
      <c r="FGM88" s="266"/>
      <c r="FGN88" s="290"/>
      <c r="FGO88" s="297"/>
      <c r="FGP88" s="260"/>
      <c r="FGQ88" s="261"/>
      <c r="FGR88" s="262"/>
      <c r="FGS88" s="263"/>
      <c r="FGT88" s="289"/>
      <c r="FGU88" s="289"/>
      <c r="FGV88" s="289"/>
      <c r="FGW88" s="292"/>
      <c r="FGX88" s="289"/>
      <c r="FGY88" s="293"/>
      <c r="FGZ88" s="266"/>
      <c r="FHA88" s="290"/>
      <c r="FHB88" s="297"/>
      <c r="FHC88" s="260"/>
      <c r="FHD88" s="261"/>
      <c r="FHE88" s="262"/>
      <c r="FHF88" s="263"/>
      <c r="FHG88" s="289"/>
      <c r="FHH88" s="289"/>
      <c r="FHI88" s="289"/>
      <c r="FHJ88" s="292"/>
      <c r="FHK88" s="289"/>
      <c r="FHL88" s="293"/>
      <c r="FHM88" s="266"/>
      <c r="FHN88" s="290"/>
      <c r="FHO88" s="297"/>
      <c r="FHP88" s="260"/>
      <c r="FHQ88" s="261"/>
      <c r="FHR88" s="262"/>
      <c r="FHS88" s="263"/>
      <c r="FHT88" s="289"/>
      <c r="FHU88" s="289"/>
      <c r="FHV88" s="289"/>
      <c r="FHW88" s="292"/>
      <c r="FHX88" s="289"/>
      <c r="FHY88" s="293"/>
      <c r="FHZ88" s="266"/>
      <c r="FIA88" s="290"/>
      <c r="FIB88" s="297"/>
      <c r="FIC88" s="260"/>
      <c r="FID88" s="261"/>
      <c r="FIE88" s="262"/>
      <c r="FIF88" s="263"/>
      <c r="FIG88" s="289"/>
      <c r="FIH88" s="289"/>
      <c r="FII88" s="289"/>
      <c r="FIJ88" s="292"/>
      <c r="FIK88" s="289"/>
      <c r="FIL88" s="293"/>
      <c r="FIM88" s="266"/>
      <c r="FIN88" s="290"/>
      <c r="FIO88" s="297"/>
      <c r="FIP88" s="260"/>
      <c r="FIQ88" s="261"/>
      <c r="FIR88" s="262"/>
      <c r="FIS88" s="263"/>
      <c r="FIT88" s="289"/>
      <c r="FIU88" s="289"/>
      <c r="FIV88" s="289"/>
      <c r="FIW88" s="292"/>
      <c r="FIX88" s="289"/>
      <c r="FIY88" s="293"/>
      <c r="FIZ88" s="266"/>
      <c r="FJA88" s="290"/>
      <c r="FJB88" s="297"/>
      <c r="FJC88" s="260"/>
      <c r="FJD88" s="261"/>
      <c r="FJE88" s="262"/>
      <c r="FJF88" s="263"/>
      <c r="FJG88" s="289"/>
      <c r="FJH88" s="289"/>
      <c r="FJI88" s="289"/>
      <c r="FJJ88" s="292"/>
      <c r="FJK88" s="289"/>
      <c r="FJL88" s="293"/>
      <c r="FJM88" s="266"/>
      <c r="FJN88" s="290"/>
      <c r="FJO88" s="297"/>
      <c r="FJP88" s="260"/>
      <c r="FJQ88" s="261"/>
      <c r="FJR88" s="262"/>
      <c r="FJS88" s="263"/>
      <c r="FJT88" s="289"/>
      <c r="FJU88" s="289"/>
      <c r="FJV88" s="289"/>
      <c r="FJW88" s="292"/>
      <c r="FJX88" s="289"/>
      <c r="FJY88" s="293"/>
      <c r="FJZ88" s="266"/>
      <c r="FKA88" s="290"/>
      <c r="FKB88" s="297"/>
      <c r="FKC88" s="260"/>
      <c r="FKD88" s="261"/>
      <c r="FKE88" s="262"/>
      <c r="FKF88" s="263"/>
      <c r="FKG88" s="289"/>
      <c r="FKH88" s="289"/>
      <c r="FKI88" s="289"/>
      <c r="FKJ88" s="292"/>
      <c r="FKK88" s="289"/>
      <c r="FKL88" s="293"/>
      <c r="FKM88" s="266"/>
      <c r="FKN88" s="290"/>
      <c r="FKO88" s="297"/>
      <c r="FKP88" s="260"/>
      <c r="FKQ88" s="261"/>
      <c r="FKR88" s="262"/>
      <c r="FKS88" s="263"/>
      <c r="FKT88" s="289"/>
      <c r="FKU88" s="289"/>
      <c r="FKV88" s="289"/>
      <c r="FKW88" s="292"/>
      <c r="FKX88" s="289"/>
      <c r="FKY88" s="293"/>
      <c r="FKZ88" s="266"/>
      <c r="FLA88" s="290"/>
      <c r="FLB88" s="297"/>
      <c r="FLC88" s="260"/>
      <c r="FLD88" s="261"/>
      <c r="FLE88" s="262"/>
      <c r="FLF88" s="263"/>
      <c r="FLG88" s="289"/>
      <c r="FLH88" s="289"/>
      <c r="FLI88" s="289"/>
      <c r="FLJ88" s="292"/>
      <c r="FLK88" s="289"/>
      <c r="FLL88" s="293"/>
      <c r="FLM88" s="266"/>
      <c r="FLN88" s="290"/>
      <c r="FLO88" s="297"/>
      <c r="FLP88" s="260"/>
      <c r="FLQ88" s="261"/>
      <c r="FLR88" s="262"/>
      <c r="FLS88" s="263"/>
      <c r="FLT88" s="289"/>
      <c r="FLU88" s="289"/>
      <c r="FLV88" s="289"/>
      <c r="FLW88" s="292"/>
      <c r="FLX88" s="289"/>
      <c r="FLY88" s="293"/>
      <c r="FLZ88" s="266"/>
      <c r="FMA88" s="290"/>
      <c r="FMB88" s="297"/>
      <c r="FMC88" s="260"/>
      <c r="FMD88" s="261"/>
      <c r="FME88" s="262"/>
      <c r="FMF88" s="263"/>
      <c r="FMG88" s="289"/>
      <c r="FMH88" s="289"/>
      <c r="FMI88" s="289"/>
      <c r="FMJ88" s="292"/>
      <c r="FMK88" s="289"/>
      <c r="FML88" s="293"/>
      <c r="FMM88" s="266"/>
      <c r="FMN88" s="290"/>
      <c r="FMO88" s="297"/>
      <c r="FMP88" s="260"/>
      <c r="FMQ88" s="261"/>
      <c r="FMR88" s="262"/>
      <c r="FMS88" s="263"/>
      <c r="FMT88" s="289"/>
      <c r="FMU88" s="289"/>
      <c r="FMV88" s="289"/>
      <c r="FMW88" s="292"/>
      <c r="FMX88" s="289"/>
      <c r="FMY88" s="293"/>
      <c r="FMZ88" s="266"/>
      <c r="FNA88" s="290"/>
      <c r="FNB88" s="297"/>
      <c r="FNC88" s="260"/>
      <c r="FND88" s="261"/>
      <c r="FNE88" s="262"/>
      <c r="FNF88" s="263"/>
      <c r="FNG88" s="289"/>
      <c r="FNH88" s="289"/>
      <c r="FNI88" s="289"/>
      <c r="FNJ88" s="292"/>
      <c r="FNK88" s="289"/>
      <c r="FNL88" s="293"/>
      <c r="FNM88" s="266"/>
      <c r="FNN88" s="290"/>
      <c r="FNO88" s="297"/>
      <c r="FNP88" s="260"/>
      <c r="FNQ88" s="261"/>
      <c r="FNR88" s="262"/>
      <c r="FNS88" s="263"/>
      <c r="FNT88" s="289"/>
      <c r="FNU88" s="289"/>
      <c r="FNV88" s="289"/>
      <c r="FNW88" s="292"/>
      <c r="FNX88" s="289"/>
      <c r="FNY88" s="293"/>
      <c r="FNZ88" s="266"/>
      <c r="FOA88" s="290"/>
      <c r="FOB88" s="297"/>
      <c r="FOC88" s="260"/>
      <c r="FOD88" s="261"/>
      <c r="FOE88" s="262"/>
      <c r="FOF88" s="263"/>
      <c r="FOG88" s="289"/>
      <c r="FOH88" s="289"/>
      <c r="FOI88" s="289"/>
      <c r="FOJ88" s="292"/>
      <c r="FOK88" s="289"/>
      <c r="FOL88" s="293"/>
      <c r="FOM88" s="266"/>
      <c r="FON88" s="290"/>
      <c r="FOO88" s="297"/>
      <c r="FOP88" s="260"/>
      <c r="FOQ88" s="261"/>
      <c r="FOR88" s="262"/>
      <c r="FOS88" s="263"/>
      <c r="FOT88" s="289"/>
      <c r="FOU88" s="289"/>
      <c r="FOV88" s="289"/>
      <c r="FOW88" s="292"/>
      <c r="FOX88" s="289"/>
      <c r="FOY88" s="293"/>
      <c r="FOZ88" s="266"/>
      <c r="FPA88" s="290"/>
      <c r="FPB88" s="297"/>
      <c r="FPC88" s="260"/>
      <c r="FPD88" s="261"/>
      <c r="FPE88" s="262"/>
      <c r="FPF88" s="263"/>
      <c r="FPG88" s="289"/>
      <c r="FPH88" s="289"/>
      <c r="FPI88" s="289"/>
      <c r="FPJ88" s="292"/>
      <c r="FPK88" s="289"/>
      <c r="FPL88" s="293"/>
      <c r="FPM88" s="266"/>
      <c r="FPN88" s="290"/>
      <c r="FPO88" s="297"/>
      <c r="FPP88" s="260"/>
      <c r="FPQ88" s="261"/>
      <c r="FPR88" s="262"/>
      <c r="FPS88" s="263"/>
      <c r="FPT88" s="289"/>
      <c r="FPU88" s="289"/>
      <c r="FPV88" s="289"/>
      <c r="FPW88" s="292"/>
      <c r="FPX88" s="289"/>
      <c r="FPY88" s="293"/>
      <c r="FPZ88" s="266"/>
      <c r="FQA88" s="290"/>
      <c r="FQB88" s="297"/>
      <c r="FQC88" s="260"/>
      <c r="FQD88" s="261"/>
      <c r="FQE88" s="262"/>
      <c r="FQF88" s="263"/>
      <c r="FQG88" s="289"/>
      <c r="FQH88" s="289"/>
      <c r="FQI88" s="289"/>
      <c r="FQJ88" s="292"/>
      <c r="FQK88" s="289"/>
      <c r="FQL88" s="293"/>
      <c r="FQM88" s="266"/>
      <c r="FQN88" s="290"/>
      <c r="FQO88" s="297"/>
      <c r="FQP88" s="260"/>
      <c r="FQQ88" s="261"/>
      <c r="FQR88" s="262"/>
      <c r="FQS88" s="263"/>
      <c r="FQT88" s="289"/>
      <c r="FQU88" s="289"/>
      <c r="FQV88" s="289"/>
      <c r="FQW88" s="292"/>
      <c r="FQX88" s="289"/>
      <c r="FQY88" s="293"/>
      <c r="FQZ88" s="266"/>
      <c r="FRA88" s="290"/>
      <c r="FRB88" s="297"/>
      <c r="FRC88" s="260"/>
      <c r="FRD88" s="261"/>
      <c r="FRE88" s="262"/>
      <c r="FRF88" s="263"/>
      <c r="FRG88" s="289"/>
      <c r="FRH88" s="289"/>
      <c r="FRI88" s="289"/>
      <c r="FRJ88" s="292"/>
      <c r="FRK88" s="289"/>
      <c r="FRL88" s="293"/>
      <c r="FRM88" s="266"/>
      <c r="FRN88" s="290"/>
      <c r="FRO88" s="297"/>
      <c r="FRP88" s="260"/>
      <c r="FRQ88" s="261"/>
      <c r="FRR88" s="262"/>
      <c r="FRS88" s="263"/>
      <c r="FRT88" s="289"/>
      <c r="FRU88" s="289"/>
      <c r="FRV88" s="289"/>
      <c r="FRW88" s="292"/>
      <c r="FRX88" s="289"/>
      <c r="FRY88" s="293"/>
      <c r="FRZ88" s="266"/>
      <c r="FSA88" s="290"/>
      <c r="FSB88" s="297"/>
      <c r="FSC88" s="260"/>
      <c r="FSD88" s="261"/>
      <c r="FSE88" s="262"/>
      <c r="FSF88" s="263"/>
      <c r="FSG88" s="289"/>
      <c r="FSH88" s="289"/>
      <c r="FSI88" s="289"/>
      <c r="FSJ88" s="292"/>
      <c r="FSK88" s="289"/>
      <c r="FSL88" s="293"/>
      <c r="FSM88" s="266"/>
      <c r="FSN88" s="290"/>
      <c r="FSO88" s="297"/>
      <c r="FSP88" s="260"/>
      <c r="FSQ88" s="261"/>
      <c r="FSR88" s="262"/>
      <c r="FSS88" s="263"/>
      <c r="FST88" s="289"/>
      <c r="FSU88" s="289"/>
      <c r="FSV88" s="289"/>
      <c r="FSW88" s="292"/>
      <c r="FSX88" s="289"/>
      <c r="FSY88" s="293"/>
      <c r="FSZ88" s="266"/>
      <c r="FTA88" s="290"/>
      <c r="FTB88" s="297"/>
      <c r="FTC88" s="260"/>
      <c r="FTD88" s="261"/>
      <c r="FTE88" s="262"/>
      <c r="FTF88" s="263"/>
      <c r="FTG88" s="289"/>
      <c r="FTH88" s="289"/>
      <c r="FTI88" s="289"/>
      <c r="FTJ88" s="292"/>
      <c r="FTK88" s="289"/>
      <c r="FTL88" s="293"/>
      <c r="FTM88" s="266"/>
      <c r="FTN88" s="290"/>
      <c r="FTO88" s="297"/>
      <c r="FTP88" s="260"/>
      <c r="FTQ88" s="261"/>
      <c r="FTR88" s="262"/>
      <c r="FTS88" s="263"/>
      <c r="FTT88" s="289"/>
      <c r="FTU88" s="289"/>
      <c r="FTV88" s="289"/>
      <c r="FTW88" s="292"/>
      <c r="FTX88" s="289"/>
      <c r="FTY88" s="293"/>
      <c r="FTZ88" s="266"/>
      <c r="FUA88" s="290"/>
      <c r="FUB88" s="297"/>
      <c r="FUC88" s="260"/>
      <c r="FUD88" s="261"/>
      <c r="FUE88" s="262"/>
      <c r="FUF88" s="263"/>
      <c r="FUG88" s="289"/>
      <c r="FUH88" s="289"/>
      <c r="FUI88" s="289"/>
      <c r="FUJ88" s="292"/>
      <c r="FUK88" s="289"/>
      <c r="FUL88" s="293"/>
      <c r="FUM88" s="266"/>
      <c r="FUN88" s="290"/>
      <c r="FUO88" s="297"/>
      <c r="FUP88" s="260"/>
      <c r="FUQ88" s="261"/>
      <c r="FUR88" s="262"/>
      <c r="FUS88" s="263"/>
      <c r="FUT88" s="289"/>
      <c r="FUU88" s="289"/>
      <c r="FUV88" s="289"/>
      <c r="FUW88" s="292"/>
      <c r="FUX88" s="289"/>
      <c r="FUY88" s="293"/>
      <c r="FUZ88" s="266"/>
      <c r="FVA88" s="290"/>
      <c r="FVB88" s="297"/>
      <c r="FVC88" s="260"/>
      <c r="FVD88" s="261"/>
      <c r="FVE88" s="262"/>
      <c r="FVF88" s="263"/>
      <c r="FVG88" s="289"/>
      <c r="FVH88" s="289"/>
      <c r="FVI88" s="289"/>
      <c r="FVJ88" s="292"/>
      <c r="FVK88" s="289"/>
      <c r="FVL88" s="293"/>
      <c r="FVM88" s="266"/>
      <c r="FVN88" s="290"/>
      <c r="FVO88" s="297"/>
      <c r="FVP88" s="260"/>
      <c r="FVQ88" s="261"/>
      <c r="FVR88" s="262"/>
      <c r="FVS88" s="263"/>
      <c r="FVT88" s="289"/>
      <c r="FVU88" s="289"/>
      <c r="FVV88" s="289"/>
      <c r="FVW88" s="292"/>
      <c r="FVX88" s="289"/>
      <c r="FVY88" s="293"/>
      <c r="FVZ88" s="266"/>
      <c r="FWA88" s="290"/>
      <c r="FWB88" s="297"/>
      <c r="FWC88" s="260"/>
      <c r="FWD88" s="261"/>
      <c r="FWE88" s="262"/>
      <c r="FWF88" s="263"/>
      <c r="FWG88" s="289"/>
      <c r="FWH88" s="289"/>
      <c r="FWI88" s="289"/>
      <c r="FWJ88" s="292"/>
      <c r="FWK88" s="289"/>
      <c r="FWL88" s="293"/>
      <c r="FWM88" s="266"/>
      <c r="FWN88" s="290"/>
      <c r="FWO88" s="297"/>
      <c r="FWP88" s="260"/>
      <c r="FWQ88" s="261"/>
      <c r="FWR88" s="262"/>
      <c r="FWS88" s="263"/>
      <c r="FWT88" s="289"/>
      <c r="FWU88" s="289"/>
      <c r="FWV88" s="289"/>
      <c r="FWW88" s="292"/>
      <c r="FWX88" s="289"/>
      <c r="FWY88" s="293"/>
      <c r="FWZ88" s="266"/>
      <c r="FXA88" s="290"/>
      <c r="FXB88" s="297"/>
      <c r="FXC88" s="260"/>
      <c r="FXD88" s="261"/>
      <c r="FXE88" s="262"/>
      <c r="FXF88" s="263"/>
      <c r="FXG88" s="289"/>
      <c r="FXH88" s="289"/>
      <c r="FXI88" s="289"/>
      <c r="FXJ88" s="292"/>
      <c r="FXK88" s="289"/>
      <c r="FXL88" s="293"/>
      <c r="FXM88" s="266"/>
      <c r="FXN88" s="290"/>
      <c r="FXO88" s="297"/>
      <c r="FXP88" s="260"/>
      <c r="FXQ88" s="261"/>
      <c r="FXR88" s="262"/>
      <c r="FXS88" s="263"/>
      <c r="FXT88" s="289"/>
      <c r="FXU88" s="289"/>
      <c r="FXV88" s="289"/>
      <c r="FXW88" s="292"/>
      <c r="FXX88" s="289"/>
      <c r="FXY88" s="293"/>
      <c r="FXZ88" s="266"/>
      <c r="FYA88" s="290"/>
      <c r="FYB88" s="297"/>
      <c r="FYC88" s="260"/>
      <c r="FYD88" s="261"/>
      <c r="FYE88" s="262"/>
      <c r="FYF88" s="263"/>
      <c r="FYG88" s="289"/>
      <c r="FYH88" s="289"/>
      <c r="FYI88" s="289"/>
      <c r="FYJ88" s="292"/>
      <c r="FYK88" s="289"/>
      <c r="FYL88" s="293"/>
      <c r="FYM88" s="266"/>
      <c r="FYN88" s="290"/>
      <c r="FYO88" s="297"/>
      <c r="FYP88" s="260"/>
      <c r="FYQ88" s="261"/>
      <c r="FYR88" s="262"/>
      <c r="FYS88" s="263"/>
      <c r="FYT88" s="289"/>
      <c r="FYU88" s="289"/>
      <c r="FYV88" s="289"/>
      <c r="FYW88" s="292"/>
      <c r="FYX88" s="289"/>
      <c r="FYY88" s="293"/>
      <c r="FYZ88" s="266"/>
      <c r="FZA88" s="290"/>
      <c r="FZB88" s="297"/>
      <c r="FZC88" s="260"/>
      <c r="FZD88" s="261"/>
      <c r="FZE88" s="262"/>
      <c r="FZF88" s="263"/>
      <c r="FZG88" s="289"/>
      <c r="FZH88" s="289"/>
      <c r="FZI88" s="289"/>
      <c r="FZJ88" s="292"/>
      <c r="FZK88" s="289"/>
      <c r="FZL88" s="293"/>
      <c r="FZM88" s="266"/>
      <c r="FZN88" s="290"/>
      <c r="FZO88" s="297"/>
      <c r="FZP88" s="260"/>
      <c r="FZQ88" s="261"/>
      <c r="FZR88" s="262"/>
      <c r="FZS88" s="263"/>
      <c r="FZT88" s="289"/>
      <c r="FZU88" s="289"/>
      <c r="FZV88" s="289"/>
      <c r="FZW88" s="292"/>
      <c r="FZX88" s="289"/>
      <c r="FZY88" s="293"/>
      <c r="FZZ88" s="266"/>
      <c r="GAA88" s="290"/>
      <c r="GAB88" s="297"/>
      <c r="GAC88" s="260"/>
      <c r="GAD88" s="261"/>
      <c r="GAE88" s="262"/>
      <c r="GAF88" s="263"/>
      <c r="GAG88" s="289"/>
      <c r="GAH88" s="289"/>
      <c r="GAI88" s="289"/>
      <c r="GAJ88" s="292"/>
      <c r="GAK88" s="289"/>
      <c r="GAL88" s="293"/>
      <c r="GAM88" s="266"/>
      <c r="GAN88" s="290"/>
      <c r="GAO88" s="297"/>
      <c r="GAP88" s="260"/>
      <c r="GAQ88" s="261"/>
      <c r="GAR88" s="262"/>
      <c r="GAS88" s="263"/>
      <c r="GAT88" s="289"/>
      <c r="GAU88" s="289"/>
      <c r="GAV88" s="289"/>
      <c r="GAW88" s="292"/>
      <c r="GAX88" s="289"/>
      <c r="GAY88" s="293"/>
      <c r="GAZ88" s="266"/>
      <c r="GBA88" s="290"/>
      <c r="GBB88" s="297"/>
      <c r="GBC88" s="260"/>
      <c r="GBD88" s="261"/>
      <c r="GBE88" s="262"/>
      <c r="GBF88" s="263"/>
      <c r="GBG88" s="289"/>
      <c r="GBH88" s="289"/>
      <c r="GBI88" s="289"/>
      <c r="GBJ88" s="292"/>
      <c r="GBK88" s="289"/>
      <c r="GBL88" s="293"/>
      <c r="GBM88" s="266"/>
      <c r="GBN88" s="290"/>
      <c r="GBO88" s="297"/>
      <c r="GBP88" s="260"/>
      <c r="GBQ88" s="261"/>
      <c r="GBR88" s="262"/>
      <c r="GBS88" s="263"/>
      <c r="GBT88" s="289"/>
      <c r="GBU88" s="289"/>
      <c r="GBV88" s="289"/>
      <c r="GBW88" s="292"/>
      <c r="GBX88" s="289"/>
      <c r="GBY88" s="293"/>
      <c r="GBZ88" s="266"/>
      <c r="GCA88" s="290"/>
      <c r="GCB88" s="297"/>
      <c r="GCC88" s="260"/>
      <c r="GCD88" s="261"/>
      <c r="GCE88" s="262"/>
      <c r="GCF88" s="263"/>
      <c r="GCG88" s="289"/>
      <c r="GCH88" s="289"/>
      <c r="GCI88" s="289"/>
      <c r="GCJ88" s="292"/>
      <c r="GCK88" s="289"/>
      <c r="GCL88" s="293"/>
      <c r="GCM88" s="266"/>
      <c r="GCN88" s="290"/>
      <c r="GCO88" s="297"/>
      <c r="GCP88" s="260"/>
      <c r="GCQ88" s="261"/>
      <c r="GCR88" s="262"/>
      <c r="GCS88" s="263"/>
      <c r="GCT88" s="289"/>
      <c r="GCU88" s="289"/>
      <c r="GCV88" s="289"/>
      <c r="GCW88" s="292"/>
      <c r="GCX88" s="289"/>
      <c r="GCY88" s="293"/>
      <c r="GCZ88" s="266"/>
      <c r="GDA88" s="290"/>
      <c r="GDB88" s="297"/>
      <c r="GDC88" s="260"/>
      <c r="GDD88" s="261"/>
      <c r="GDE88" s="262"/>
      <c r="GDF88" s="263"/>
      <c r="GDG88" s="289"/>
      <c r="GDH88" s="289"/>
      <c r="GDI88" s="289"/>
      <c r="GDJ88" s="292"/>
      <c r="GDK88" s="289"/>
      <c r="GDL88" s="293"/>
      <c r="GDM88" s="266"/>
      <c r="GDN88" s="290"/>
      <c r="GDO88" s="297"/>
      <c r="GDP88" s="260"/>
      <c r="GDQ88" s="261"/>
      <c r="GDR88" s="262"/>
      <c r="GDS88" s="263"/>
      <c r="GDT88" s="289"/>
      <c r="GDU88" s="289"/>
      <c r="GDV88" s="289"/>
      <c r="GDW88" s="292"/>
      <c r="GDX88" s="289"/>
      <c r="GDY88" s="293"/>
      <c r="GDZ88" s="266"/>
      <c r="GEA88" s="290"/>
      <c r="GEB88" s="297"/>
      <c r="GEC88" s="260"/>
      <c r="GED88" s="261"/>
      <c r="GEE88" s="262"/>
      <c r="GEF88" s="263"/>
      <c r="GEG88" s="289"/>
      <c r="GEH88" s="289"/>
      <c r="GEI88" s="289"/>
      <c r="GEJ88" s="292"/>
      <c r="GEK88" s="289"/>
      <c r="GEL88" s="293"/>
      <c r="GEM88" s="266"/>
      <c r="GEN88" s="290"/>
      <c r="GEO88" s="297"/>
      <c r="GEP88" s="260"/>
      <c r="GEQ88" s="261"/>
      <c r="GER88" s="262"/>
      <c r="GES88" s="263"/>
      <c r="GET88" s="289"/>
      <c r="GEU88" s="289"/>
      <c r="GEV88" s="289"/>
      <c r="GEW88" s="292"/>
      <c r="GEX88" s="289"/>
      <c r="GEY88" s="293"/>
      <c r="GEZ88" s="266"/>
      <c r="GFA88" s="290"/>
      <c r="GFB88" s="297"/>
      <c r="GFC88" s="260"/>
      <c r="GFD88" s="261"/>
      <c r="GFE88" s="262"/>
      <c r="GFF88" s="263"/>
      <c r="GFG88" s="289"/>
      <c r="GFH88" s="289"/>
      <c r="GFI88" s="289"/>
      <c r="GFJ88" s="292"/>
      <c r="GFK88" s="289"/>
      <c r="GFL88" s="293"/>
      <c r="GFM88" s="266"/>
      <c r="GFN88" s="290"/>
      <c r="GFO88" s="297"/>
      <c r="GFP88" s="260"/>
      <c r="GFQ88" s="261"/>
      <c r="GFR88" s="262"/>
      <c r="GFS88" s="263"/>
      <c r="GFT88" s="289"/>
      <c r="GFU88" s="289"/>
      <c r="GFV88" s="289"/>
      <c r="GFW88" s="292"/>
      <c r="GFX88" s="289"/>
      <c r="GFY88" s="293"/>
      <c r="GFZ88" s="266"/>
      <c r="GGA88" s="290"/>
      <c r="GGB88" s="297"/>
      <c r="GGC88" s="260"/>
      <c r="GGD88" s="261"/>
      <c r="GGE88" s="262"/>
      <c r="GGF88" s="263"/>
      <c r="GGG88" s="289"/>
      <c r="GGH88" s="289"/>
      <c r="GGI88" s="289"/>
      <c r="GGJ88" s="292"/>
      <c r="GGK88" s="289"/>
      <c r="GGL88" s="293"/>
      <c r="GGM88" s="266"/>
      <c r="GGN88" s="290"/>
      <c r="GGO88" s="297"/>
      <c r="GGP88" s="260"/>
      <c r="GGQ88" s="261"/>
      <c r="GGR88" s="262"/>
      <c r="GGS88" s="263"/>
      <c r="GGT88" s="289"/>
      <c r="GGU88" s="289"/>
      <c r="GGV88" s="289"/>
      <c r="GGW88" s="292"/>
      <c r="GGX88" s="289"/>
      <c r="GGY88" s="293"/>
      <c r="GGZ88" s="266"/>
      <c r="GHA88" s="290"/>
      <c r="GHB88" s="297"/>
      <c r="GHC88" s="260"/>
      <c r="GHD88" s="261"/>
      <c r="GHE88" s="262"/>
      <c r="GHF88" s="263"/>
      <c r="GHG88" s="289"/>
      <c r="GHH88" s="289"/>
      <c r="GHI88" s="289"/>
      <c r="GHJ88" s="292"/>
      <c r="GHK88" s="289"/>
      <c r="GHL88" s="293"/>
      <c r="GHM88" s="266"/>
      <c r="GHN88" s="290"/>
      <c r="GHO88" s="297"/>
      <c r="GHP88" s="260"/>
      <c r="GHQ88" s="261"/>
      <c r="GHR88" s="262"/>
      <c r="GHS88" s="263"/>
      <c r="GHT88" s="289"/>
      <c r="GHU88" s="289"/>
      <c r="GHV88" s="289"/>
      <c r="GHW88" s="292"/>
      <c r="GHX88" s="289"/>
      <c r="GHY88" s="293"/>
      <c r="GHZ88" s="266"/>
      <c r="GIA88" s="290"/>
      <c r="GIB88" s="297"/>
      <c r="GIC88" s="260"/>
      <c r="GID88" s="261"/>
      <c r="GIE88" s="262"/>
      <c r="GIF88" s="263"/>
      <c r="GIG88" s="289"/>
      <c r="GIH88" s="289"/>
      <c r="GII88" s="289"/>
      <c r="GIJ88" s="292"/>
      <c r="GIK88" s="289"/>
      <c r="GIL88" s="293"/>
      <c r="GIM88" s="266"/>
      <c r="GIN88" s="290"/>
      <c r="GIO88" s="297"/>
      <c r="GIP88" s="260"/>
      <c r="GIQ88" s="261"/>
      <c r="GIR88" s="262"/>
      <c r="GIS88" s="263"/>
      <c r="GIT88" s="289"/>
      <c r="GIU88" s="289"/>
      <c r="GIV88" s="289"/>
      <c r="GIW88" s="292"/>
      <c r="GIX88" s="289"/>
      <c r="GIY88" s="293"/>
      <c r="GIZ88" s="266"/>
      <c r="GJA88" s="290"/>
      <c r="GJB88" s="297"/>
      <c r="GJC88" s="260"/>
      <c r="GJD88" s="261"/>
      <c r="GJE88" s="262"/>
      <c r="GJF88" s="263"/>
      <c r="GJG88" s="289"/>
      <c r="GJH88" s="289"/>
      <c r="GJI88" s="289"/>
      <c r="GJJ88" s="292"/>
      <c r="GJK88" s="289"/>
      <c r="GJL88" s="293"/>
      <c r="GJM88" s="266"/>
      <c r="GJN88" s="290"/>
      <c r="GJO88" s="297"/>
      <c r="GJP88" s="260"/>
      <c r="GJQ88" s="261"/>
      <c r="GJR88" s="262"/>
      <c r="GJS88" s="263"/>
      <c r="GJT88" s="289"/>
      <c r="GJU88" s="289"/>
      <c r="GJV88" s="289"/>
      <c r="GJW88" s="292"/>
      <c r="GJX88" s="289"/>
      <c r="GJY88" s="293"/>
      <c r="GJZ88" s="266"/>
      <c r="GKA88" s="290"/>
      <c r="GKB88" s="297"/>
      <c r="GKC88" s="260"/>
      <c r="GKD88" s="261"/>
      <c r="GKE88" s="262"/>
      <c r="GKF88" s="263"/>
      <c r="GKG88" s="289"/>
      <c r="GKH88" s="289"/>
      <c r="GKI88" s="289"/>
      <c r="GKJ88" s="292"/>
      <c r="GKK88" s="289"/>
      <c r="GKL88" s="293"/>
      <c r="GKM88" s="266"/>
      <c r="GKN88" s="290"/>
      <c r="GKO88" s="297"/>
      <c r="GKP88" s="260"/>
      <c r="GKQ88" s="261"/>
      <c r="GKR88" s="262"/>
      <c r="GKS88" s="263"/>
      <c r="GKT88" s="289"/>
      <c r="GKU88" s="289"/>
      <c r="GKV88" s="289"/>
      <c r="GKW88" s="292"/>
      <c r="GKX88" s="289"/>
      <c r="GKY88" s="293"/>
      <c r="GKZ88" s="266"/>
      <c r="GLA88" s="290"/>
      <c r="GLB88" s="297"/>
      <c r="GLC88" s="260"/>
      <c r="GLD88" s="261"/>
      <c r="GLE88" s="262"/>
      <c r="GLF88" s="263"/>
      <c r="GLG88" s="289"/>
      <c r="GLH88" s="289"/>
      <c r="GLI88" s="289"/>
      <c r="GLJ88" s="292"/>
      <c r="GLK88" s="289"/>
      <c r="GLL88" s="293"/>
      <c r="GLM88" s="266"/>
      <c r="GLN88" s="290"/>
      <c r="GLO88" s="297"/>
      <c r="GLP88" s="260"/>
      <c r="GLQ88" s="261"/>
      <c r="GLR88" s="262"/>
      <c r="GLS88" s="263"/>
      <c r="GLT88" s="289"/>
      <c r="GLU88" s="289"/>
      <c r="GLV88" s="289"/>
      <c r="GLW88" s="292"/>
      <c r="GLX88" s="289"/>
      <c r="GLY88" s="293"/>
      <c r="GLZ88" s="266"/>
      <c r="GMA88" s="290"/>
      <c r="GMB88" s="297"/>
      <c r="GMC88" s="260"/>
      <c r="GMD88" s="261"/>
      <c r="GME88" s="262"/>
      <c r="GMF88" s="263"/>
      <c r="GMG88" s="289"/>
      <c r="GMH88" s="289"/>
      <c r="GMI88" s="289"/>
      <c r="GMJ88" s="292"/>
      <c r="GMK88" s="289"/>
      <c r="GML88" s="293"/>
      <c r="GMM88" s="266"/>
      <c r="GMN88" s="290"/>
      <c r="GMO88" s="297"/>
      <c r="GMP88" s="260"/>
      <c r="GMQ88" s="261"/>
      <c r="GMR88" s="262"/>
      <c r="GMS88" s="263"/>
      <c r="GMT88" s="289"/>
      <c r="GMU88" s="289"/>
      <c r="GMV88" s="289"/>
      <c r="GMW88" s="292"/>
      <c r="GMX88" s="289"/>
      <c r="GMY88" s="293"/>
      <c r="GMZ88" s="266"/>
      <c r="GNA88" s="290"/>
      <c r="GNB88" s="297"/>
      <c r="GNC88" s="260"/>
      <c r="GND88" s="261"/>
      <c r="GNE88" s="262"/>
      <c r="GNF88" s="263"/>
      <c r="GNG88" s="289"/>
      <c r="GNH88" s="289"/>
      <c r="GNI88" s="289"/>
      <c r="GNJ88" s="292"/>
      <c r="GNK88" s="289"/>
      <c r="GNL88" s="293"/>
      <c r="GNM88" s="266"/>
      <c r="GNN88" s="290"/>
      <c r="GNO88" s="297"/>
      <c r="GNP88" s="260"/>
      <c r="GNQ88" s="261"/>
      <c r="GNR88" s="262"/>
      <c r="GNS88" s="263"/>
      <c r="GNT88" s="289"/>
      <c r="GNU88" s="289"/>
      <c r="GNV88" s="289"/>
      <c r="GNW88" s="292"/>
      <c r="GNX88" s="289"/>
      <c r="GNY88" s="293"/>
      <c r="GNZ88" s="266"/>
      <c r="GOA88" s="290"/>
      <c r="GOB88" s="297"/>
      <c r="GOC88" s="260"/>
      <c r="GOD88" s="261"/>
      <c r="GOE88" s="262"/>
      <c r="GOF88" s="263"/>
      <c r="GOG88" s="289"/>
      <c r="GOH88" s="289"/>
      <c r="GOI88" s="289"/>
      <c r="GOJ88" s="292"/>
      <c r="GOK88" s="289"/>
      <c r="GOL88" s="293"/>
      <c r="GOM88" s="266"/>
      <c r="GON88" s="290"/>
      <c r="GOO88" s="297"/>
      <c r="GOP88" s="260"/>
      <c r="GOQ88" s="261"/>
      <c r="GOR88" s="262"/>
      <c r="GOS88" s="263"/>
      <c r="GOT88" s="289"/>
      <c r="GOU88" s="289"/>
      <c r="GOV88" s="289"/>
      <c r="GOW88" s="292"/>
      <c r="GOX88" s="289"/>
      <c r="GOY88" s="293"/>
      <c r="GOZ88" s="266"/>
      <c r="GPA88" s="290"/>
      <c r="GPB88" s="297"/>
      <c r="GPC88" s="260"/>
      <c r="GPD88" s="261"/>
      <c r="GPE88" s="262"/>
      <c r="GPF88" s="263"/>
      <c r="GPG88" s="289"/>
      <c r="GPH88" s="289"/>
      <c r="GPI88" s="289"/>
      <c r="GPJ88" s="292"/>
      <c r="GPK88" s="289"/>
      <c r="GPL88" s="293"/>
      <c r="GPM88" s="266"/>
      <c r="GPN88" s="290"/>
      <c r="GPO88" s="297"/>
      <c r="GPP88" s="260"/>
      <c r="GPQ88" s="261"/>
      <c r="GPR88" s="262"/>
      <c r="GPS88" s="263"/>
      <c r="GPT88" s="289"/>
      <c r="GPU88" s="289"/>
      <c r="GPV88" s="289"/>
      <c r="GPW88" s="292"/>
      <c r="GPX88" s="289"/>
      <c r="GPY88" s="293"/>
      <c r="GPZ88" s="266"/>
      <c r="GQA88" s="290"/>
      <c r="GQB88" s="297"/>
      <c r="GQC88" s="260"/>
      <c r="GQD88" s="261"/>
      <c r="GQE88" s="262"/>
      <c r="GQF88" s="263"/>
      <c r="GQG88" s="289"/>
      <c r="GQH88" s="289"/>
      <c r="GQI88" s="289"/>
      <c r="GQJ88" s="292"/>
      <c r="GQK88" s="289"/>
      <c r="GQL88" s="293"/>
      <c r="GQM88" s="266"/>
      <c r="GQN88" s="290"/>
      <c r="GQO88" s="297"/>
      <c r="GQP88" s="260"/>
      <c r="GQQ88" s="261"/>
      <c r="GQR88" s="262"/>
      <c r="GQS88" s="263"/>
      <c r="GQT88" s="289"/>
      <c r="GQU88" s="289"/>
      <c r="GQV88" s="289"/>
      <c r="GQW88" s="292"/>
      <c r="GQX88" s="289"/>
      <c r="GQY88" s="293"/>
      <c r="GQZ88" s="266"/>
      <c r="GRA88" s="290"/>
      <c r="GRB88" s="297"/>
      <c r="GRC88" s="260"/>
      <c r="GRD88" s="261"/>
      <c r="GRE88" s="262"/>
      <c r="GRF88" s="263"/>
      <c r="GRG88" s="289"/>
      <c r="GRH88" s="289"/>
      <c r="GRI88" s="289"/>
      <c r="GRJ88" s="292"/>
      <c r="GRK88" s="289"/>
      <c r="GRL88" s="293"/>
      <c r="GRM88" s="266"/>
      <c r="GRN88" s="290"/>
      <c r="GRO88" s="297"/>
      <c r="GRP88" s="260"/>
      <c r="GRQ88" s="261"/>
      <c r="GRR88" s="262"/>
      <c r="GRS88" s="263"/>
      <c r="GRT88" s="289"/>
      <c r="GRU88" s="289"/>
      <c r="GRV88" s="289"/>
      <c r="GRW88" s="292"/>
      <c r="GRX88" s="289"/>
      <c r="GRY88" s="293"/>
      <c r="GRZ88" s="266"/>
      <c r="GSA88" s="290"/>
      <c r="GSB88" s="297"/>
      <c r="GSC88" s="260"/>
      <c r="GSD88" s="261"/>
      <c r="GSE88" s="262"/>
      <c r="GSF88" s="263"/>
      <c r="GSG88" s="289"/>
      <c r="GSH88" s="289"/>
      <c r="GSI88" s="289"/>
      <c r="GSJ88" s="292"/>
      <c r="GSK88" s="289"/>
      <c r="GSL88" s="293"/>
      <c r="GSM88" s="266"/>
      <c r="GSN88" s="290"/>
      <c r="GSO88" s="297"/>
      <c r="GSP88" s="260"/>
      <c r="GSQ88" s="261"/>
      <c r="GSR88" s="262"/>
      <c r="GSS88" s="263"/>
      <c r="GST88" s="289"/>
      <c r="GSU88" s="289"/>
      <c r="GSV88" s="289"/>
      <c r="GSW88" s="292"/>
      <c r="GSX88" s="289"/>
      <c r="GSY88" s="293"/>
      <c r="GSZ88" s="266"/>
      <c r="GTA88" s="290"/>
      <c r="GTB88" s="297"/>
      <c r="GTC88" s="260"/>
      <c r="GTD88" s="261"/>
      <c r="GTE88" s="262"/>
      <c r="GTF88" s="263"/>
      <c r="GTG88" s="289"/>
      <c r="GTH88" s="289"/>
      <c r="GTI88" s="289"/>
      <c r="GTJ88" s="292"/>
      <c r="GTK88" s="289"/>
      <c r="GTL88" s="293"/>
      <c r="GTM88" s="266"/>
      <c r="GTN88" s="290"/>
      <c r="GTO88" s="297"/>
      <c r="GTP88" s="260"/>
      <c r="GTQ88" s="261"/>
      <c r="GTR88" s="262"/>
      <c r="GTS88" s="263"/>
      <c r="GTT88" s="289"/>
      <c r="GTU88" s="289"/>
      <c r="GTV88" s="289"/>
      <c r="GTW88" s="292"/>
      <c r="GTX88" s="289"/>
      <c r="GTY88" s="293"/>
      <c r="GTZ88" s="266"/>
      <c r="GUA88" s="290"/>
      <c r="GUB88" s="297"/>
      <c r="GUC88" s="260"/>
      <c r="GUD88" s="261"/>
      <c r="GUE88" s="262"/>
      <c r="GUF88" s="263"/>
      <c r="GUG88" s="289"/>
      <c r="GUH88" s="289"/>
      <c r="GUI88" s="289"/>
      <c r="GUJ88" s="292"/>
      <c r="GUK88" s="289"/>
      <c r="GUL88" s="293"/>
      <c r="GUM88" s="266"/>
      <c r="GUN88" s="290"/>
      <c r="GUO88" s="297"/>
      <c r="GUP88" s="260"/>
      <c r="GUQ88" s="261"/>
      <c r="GUR88" s="262"/>
      <c r="GUS88" s="263"/>
      <c r="GUT88" s="289"/>
      <c r="GUU88" s="289"/>
      <c r="GUV88" s="289"/>
      <c r="GUW88" s="292"/>
      <c r="GUX88" s="289"/>
      <c r="GUY88" s="293"/>
      <c r="GUZ88" s="266"/>
      <c r="GVA88" s="290"/>
      <c r="GVB88" s="297"/>
      <c r="GVC88" s="260"/>
      <c r="GVD88" s="261"/>
      <c r="GVE88" s="262"/>
      <c r="GVF88" s="263"/>
      <c r="GVG88" s="289"/>
      <c r="GVH88" s="289"/>
      <c r="GVI88" s="289"/>
      <c r="GVJ88" s="292"/>
      <c r="GVK88" s="289"/>
      <c r="GVL88" s="293"/>
      <c r="GVM88" s="266"/>
      <c r="GVN88" s="290"/>
      <c r="GVO88" s="297"/>
      <c r="GVP88" s="260"/>
      <c r="GVQ88" s="261"/>
      <c r="GVR88" s="262"/>
      <c r="GVS88" s="263"/>
      <c r="GVT88" s="289"/>
      <c r="GVU88" s="289"/>
      <c r="GVV88" s="289"/>
      <c r="GVW88" s="292"/>
      <c r="GVX88" s="289"/>
      <c r="GVY88" s="293"/>
      <c r="GVZ88" s="266"/>
      <c r="GWA88" s="290"/>
      <c r="GWB88" s="297"/>
      <c r="GWC88" s="260"/>
      <c r="GWD88" s="261"/>
      <c r="GWE88" s="262"/>
      <c r="GWF88" s="263"/>
      <c r="GWG88" s="289"/>
      <c r="GWH88" s="289"/>
      <c r="GWI88" s="289"/>
      <c r="GWJ88" s="292"/>
      <c r="GWK88" s="289"/>
      <c r="GWL88" s="293"/>
      <c r="GWM88" s="266"/>
      <c r="GWN88" s="290"/>
      <c r="GWO88" s="297"/>
      <c r="GWP88" s="260"/>
      <c r="GWQ88" s="261"/>
      <c r="GWR88" s="262"/>
      <c r="GWS88" s="263"/>
      <c r="GWT88" s="289"/>
      <c r="GWU88" s="289"/>
      <c r="GWV88" s="289"/>
      <c r="GWW88" s="292"/>
      <c r="GWX88" s="289"/>
      <c r="GWY88" s="293"/>
      <c r="GWZ88" s="266"/>
      <c r="GXA88" s="290"/>
      <c r="GXB88" s="297"/>
      <c r="GXC88" s="260"/>
      <c r="GXD88" s="261"/>
      <c r="GXE88" s="262"/>
      <c r="GXF88" s="263"/>
      <c r="GXG88" s="289"/>
      <c r="GXH88" s="289"/>
      <c r="GXI88" s="289"/>
      <c r="GXJ88" s="292"/>
      <c r="GXK88" s="289"/>
      <c r="GXL88" s="293"/>
      <c r="GXM88" s="266"/>
      <c r="GXN88" s="290"/>
      <c r="GXO88" s="297"/>
      <c r="GXP88" s="260"/>
      <c r="GXQ88" s="261"/>
      <c r="GXR88" s="262"/>
      <c r="GXS88" s="263"/>
      <c r="GXT88" s="289"/>
      <c r="GXU88" s="289"/>
      <c r="GXV88" s="289"/>
      <c r="GXW88" s="292"/>
      <c r="GXX88" s="289"/>
      <c r="GXY88" s="293"/>
      <c r="GXZ88" s="266"/>
      <c r="GYA88" s="290"/>
      <c r="GYB88" s="297"/>
      <c r="GYC88" s="260"/>
      <c r="GYD88" s="261"/>
      <c r="GYE88" s="262"/>
      <c r="GYF88" s="263"/>
      <c r="GYG88" s="289"/>
      <c r="GYH88" s="289"/>
      <c r="GYI88" s="289"/>
      <c r="GYJ88" s="292"/>
      <c r="GYK88" s="289"/>
      <c r="GYL88" s="293"/>
      <c r="GYM88" s="266"/>
      <c r="GYN88" s="290"/>
      <c r="GYO88" s="297"/>
      <c r="GYP88" s="260"/>
      <c r="GYQ88" s="261"/>
      <c r="GYR88" s="262"/>
      <c r="GYS88" s="263"/>
      <c r="GYT88" s="289"/>
      <c r="GYU88" s="289"/>
      <c r="GYV88" s="289"/>
      <c r="GYW88" s="292"/>
      <c r="GYX88" s="289"/>
      <c r="GYY88" s="293"/>
      <c r="GYZ88" s="266"/>
      <c r="GZA88" s="290"/>
      <c r="GZB88" s="297"/>
      <c r="GZC88" s="260"/>
      <c r="GZD88" s="261"/>
      <c r="GZE88" s="262"/>
      <c r="GZF88" s="263"/>
      <c r="GZG88" s="289"/>
      <c r="GZH88" s="289"/>
      <c r="GZI88" s="289"/>
      <c r="GZJ88" s="292"/>
      <c r="GZK88" s="289"/>
      <c r="GZL88" s="293"/>
      <c r="GZM88" s="266"/>
      <c r="GZN88" s="290"/>
      <c r="GZO88" s="297"/>
      <c r="GZP88" s="260"/>
      <c r="GZQ88" s="261"/>
      <c r="GZR88" s="262"/>
      <c r="GZS88" s="263"/>
      <c r="GZT88" s="289"/>
      <c r="GZU88" s="289"/>
      <c r="GZV88" s="289"/>
      <c r="GZW88" s="292"/>
      <c r="GZX88" s="289"/>
      <c r="GZY88" s="293"/>
      <c r="GZZ88" s="266"/>
      <c r="HAA88" s="290"/>
      <c r="HAB88" s="297"/>
      <c r="HAC88" s="260"/>
      <c r="HAD88" s="261"/>
      <c r="HAE88" s="262"/>
      <c r="HAF88" s="263"/>
      <c r="HAG88" s="289"/>
      <c r="HAH88" s="289"/>
      <c r="HAI88" s="289"/>
      <c r="HAJ88" s="292"/>
      <c r="HAK88" s="289"/>
      <c r="HAL88" s="293"/>
      <c r="HAM88" s="266"/>
      <c r="HAN88" s="290"/>
      <c r="HAO88" s="297"/>
      <c r="HAP88" s="260"/>
      <c r="HAQ88" s="261"/>
      <c r="HAR88" s="262"/>
      <c r="HAS88" s="263"/>
      <c r="HAT88" s="289"/>
      <c r="HAU88" s="289"/>
      <c r="HAV88" s="289"/>
      <c r="HAW88" s="292"/>
      <c r="HAX88" s="289"/>
      <c r="HAY88" s="293"/>
      <c r="HAZ88" s="266"/>
      <c r="HBA88" s="290"/>
      <c r="HBB88" s="297"/>
      <c r="HBC88" s="260"/>
      <c r="HBD88" s="261"/>
      <c r="HBE88" s="262"/>
      <c r="HBF88" s="263"/>
      <c r="HBG88" s="289"/>
      <c r="HBH88" s="289"/>
      <c r="HBI88" s="289"/>
      <c r="HBJ88" s="292"/>
      <c r="HBK88" s="289"/>
      <c r="HBL88" s="293"/>
      <c r="HBM88" s="266"/>
      <c r="HBN88" s="290"/>
      <c r="HBO88" s="297"/>
      <c r="HBP88" s="260"/>
      <c r="HBQ88" s="261"/>
      <c r="HBR88" s="262"/>
      <c r="HBS88" s="263"/>
      <c r="HBT88" s="289"/>
      <c r="HBU88" s="289"/>
      <c r="HBV88" s="289"/>
      <c r="HBW88" s="292"/>
      <c r="HBX88" s="289"/>
      <c r="HBY88" s="293"/>
      <c r="HBZ88" s="266"/>
      <c r="HCA88" s="290"/>
      <c r="HCB88" s="297"/>
      <c r="HCC88" s="260"/>
      <c r="HCD88" s="261"/>
      <c r="HCE88" s="262"/>
      <c r="HCF88" s="263"/>
      <c r="HCG88" s="289"/>
      <c r="HCH88" s="289"/>
      <c r="HCI88" s="289"/>
      <c r="HCJ88" s="292"/>
      <c r="HCK88" s="289"/>
      <c r="HCL88" s="293"/>
      <c r="HCM88" s="266"/>
      <c r="HCN88" s="290"/>
      <c r="HCO88" s="297"/>
      <c r="HCP88" s="260"/>
      <c r="HCQ88" s="261"/>
      <c r="HCR88" s="262"/>
      <c r="HCS88" s="263"/>
      <c r="HCT88" s="289"/>
      <c r="HCU88" s="289"/>
      <c r="HCV88" s="289"/>
      <c r="HCW88" s="292"/>
      <c r="HCX88" s="289"/>
      <c r="HCY88" s="293"/>
      <c r="HCZ88" s="266"/>
      <c r="HDA88" s="290"/>
      <c r="HDB88" s="297"/>
      <c r="HDC88" s="260"/>
      <c r="HDD88" s="261"/>
      <c r="HDE88" s="262"/>
      <c r="HDF88" s="263"/>
      <c r="HDG88" s="289"/>
      <c r="HDH88" s="289"/>
      <c r="HDI88" s="289"/>
      <c r="HDJ88" s="292"/>
      <c r="HDK88" s="289"/>
      <c r="HDL88" s="293"/>
      <c r="HDM88" s="266"/>
      <c r="HDN88" s="290"/>
      <c r="HDO88" s="297"/>
      <c r="HDP88" s="260"/>
      <c r="HDQ88" s="261"/>
      <c r="HDR88" s="262"/>
      <c r="HDS88" s="263"/>
      <c r="HDT88" s="289"/>
      <c r="HDU88" s="289"/>
      <c r="HDV88" s="289"/>
      <c r="HDW88" s="292"/>
      <c r="HDX88" s="289"/>
      <c r="HDY88" s="293"/>
      <c r="HDZ88" s="266"/>
      <c r="HEA88" s="290"/>
      <c r="HEB88" s="297"/>
      <c r="HEC88" s="260"/>
      <c r="HED88" s="261"/>
      <c r="HEE88" s="262"/>
      <c r="HEF88" s="263"/>
      <c r="HEG88" s="289"/>
      <c r="HEH88" s="289"/>
      <c r="HEI88" s="289"/>
      <c r="HEJ88" s="292"/>
      <c r="HEK88" s="289"/>
      <c r="HEL88" s="293"/>
      <c r="HEM88" s="266"/>
      <c r="HEN88" s="290"/>
      <c r="HEO88" s="297"/>
      <c r="HEP88" s="260"/>
      <c r="HEQ88" s="261"/>
      <c r="HER88" s="262"/>
      <c r="HES88" s="263"/>
      <c r="HET88" s="289"/>
      <c r="HEU88" s="289"/>
      <c r="HEV88" s="289"/>
      <c r="HEW88" s="292"/>
      <c r="HEX88" s="289"/>
      <c r="HEY88" s="293"/>
      <c r="HEZ88" s="266"/>
      <c r="HFA88" s="290"/>
      <c r="HFB88" s="297"/>
      <c r="HFC88" s="260"/>
      <c r="HFD88" s="261"/>
      <c r="HFE88" s="262"/>
      <c r="HFF88" s="263"/>
      <c r="HFG88" s="289"/>
      <c r="HFH88" s="289"/>
      <c r="HFI88" s="289"/>
      <c r="HFJ88" s="292"/>
      <c r="HFK88" s="289"/>
      <c r="HFL88" s="293"/>
      <c r="HFM88" s="266"/>
      <c r="HFN88" s="290"/>
      <c r="HFO88" s="297"/>
      <c r="HFP88" s="260"/>
      <c r="HFQ88" s="261"/>
      <c r="HFR88" s="262"/>
      <c r="HFS88" s="263"/>
      <c r="HFT88" s="289"/>
      <c r="HFU88" s="289"/>
      <c r="HFV88" s="289"/>
      <c r="HFW88" s="292"/>
      <c r="HFX88" s="289"/>
      <c r="HFY88" s="293"/>
      <c r="HFZ88" s="266"/>
      <c r="HGA88" s="290"/>
      <c r="HGB88" s="297"/>
      <c r="HGC88" s="260"/>
      <c r="HGD88" s="261"/>
      <c r="HGE88" s="262"/>
      <c r="HGF88" s="263"/>
      <c r="HGG88" s="289"/>
      <c r="HGH88" s="289"/>
      <c r="HGI88" s="289"/>
      <c r="HGJ88" s="292"/>
      <c r="HGK88" s="289"/>
      <c r="HGL88" s="293"/>
      <c r="HGM88" s="266"/>
      <c r="HGN88" s="290"/>
      <c r="HGO88" s="297"/>
      <c r="HGP88" s="260"/>
      <c r="HGQ88" s="261"/>
      <c r="HGR88" s="262"/>
      <c r="HGS88" s="263"/>
      <c r="HGT88" s="289"/>
      <c r="HGU88" s="289"/>
      <c r="HGV88" s="289"/>
      <c r="HGW88" s="292"/>
      <c r="HGX88" s="289"/>
      <c r="HGY88" s="293"/>
      <c r="HGZ88" s="266"/>
      <c r="HHA88" s="290"/>
      <c r="HHB88" s="297"/>
      <c r="HHC88" s="260"/>
      <c r="HHD88" s="261"/>
      <c r="HHE88" s="262"/>
      <c r="HHF88" s="263"/>
      <c r="HHG88" s="289"/>
      <c r="HHH88" s="289"/>
      <c r="HHI88" s="289"/>
      <c r="HHJ88" s="292"/>
      <c r="HHK88" s="289"/>
      <c r="HHL88" s="293"/>
      <c r="HHM88" s="266"/>
      <c r="HHN88" s="290"/>
      <c r="HHO88" s="297"/>
      <c r="HHP88" s="260"/>
      <c r="HHQ88" s="261"/>
      <c r="HHR88" s="262"/>
      <c r="HHS88" s="263"/>
      <c r="HHT88" s="289"/>
      <c r="HHU88" s="289"/>
      <c r="HHV88" s="289"/>
      <c r="HHW88" s="292"/>
      <c r="HHX88" s="289"/>
      <c r="HHY88" s="293"/>
      <c r="HHZ88" s="266"/>
      <c r="HIA88" s="290"/>
      <c r="HIB88" s="297"/>
      <c r="HIC88" s="260"/>
      <c r="HID88" s="261"/>
      <c r="HIE88" s="262"/>
      <c r="HIF88" s="263"/>
      <c r="HIG88" s="289"/>
      <c r="HIH88" s="289"/>
      <c r="HII88" s="289"/>
      <c r="HIJ88" s="292"/>
      <c r="HIK88" s="289"/>
      <c r="HIL88" s="293"/>
      <c r="HIM88" s="266"/>
      <c r="HIN88" s="290"/>
      <c r="HIO88" s="297"/>
      <c r="HIP88" s="260"/>
      <c r="HIQ88" s="261"/>
      <c r="HIR88" s="262"/>
      <c r="HIS88" s="263"/>
      <c r="HIT88" s="289"/>
      <c r="HIU88" s="289"/>
      <c r="HIV88" s="289"/>
      <c r="HIW88" s="292"/>
      <c r="HIX88" s="289"/>
      <c r="HIY88" s="293"/>
      <c r="HIZ88" s="266"/>
      <c r="HJA88" s="290"/>
      <c r="HJB88" s="297"/>
      <c r="HJC88" s="260"/>
      <c r="HJD88" s="261"/>
      <c r="HJE88" s="262"/>
      <c r="HJF88" s="263"/>
      <c r="HJG88" s="289"/>
      <c r="HJH88" s="289"/>
      <c r="HJI88" s="289"/>
      <c r="HJJ88" s="292"/>
      <c r="HJK88" s="289"/>
      <c r="HJL88" s="293"/>
      <c r="HJM88" s="266"/>
      <c r="HJN88" s="290"/>
      <c r="HJO88" s="297"/>
      <c r="HJP88" s="260"/>
      <c r="HJQ88" s="261"/>
      <c r="HJR88" s="262"/>
      <c r="HJS88" s="263"/>
      <c r="HJT88" s="289"/>
      <c r="HJU88" s="289"/>
      <c r="HJV88" s="289"/>
      <c r="HJW88" s="292"/>
      <c r="HJX88" s="289"/>
      <c r="HJY88" s="293"/>
      <c r="HJZ88" s="266"/>
      <c r="HKA88" s="290"/>
      <c r="HKB88" s="297"/>
      <c r="HKC88" s="260"/>
      <c r="HKD88" s="261"/>
      <c r="HKE88" s="262"/>
      <c r="HKF88" s="263"/>
      <c r="HKG88" s="289"/>
      <c r="HKH88" s="289"/>
      <c r="HKI88" s="289"/>
      <c r="HKJ88" s="292"/>
      <c r="HKK88" s="289"/>
      <c r="HKL88" s="293"/>
      <c r="HKM88" s="266"/>
      <c r="HKN88" s="290"/>
      <c r="HKO88" s="297"/>
      <c r="HKP88" s="260"/>
      <c r="HKQ88" s="261"/>
      <c r="HKR88" s="262"/>
      <c r="HKS88" s="263"/>
      <c r="HKT88" s="289"/>
      <c r="HKU88" s="289"/>
      <c r="HKV88" s="289"/>
      <c r="HKW88" s="292"/>
      <c r="HKX88" s="289"/>
      <c r="HKY88" s="293"/>
      <c r="HKZ88" s="266"/>
      <c r="HLA88" s="290"/>
      <c r="HLB88" s="297"/>
      <c r="HLC88" s="260"/>
      <c r="HLD88" s="261"/>
      <c r="HLE88" s="262"/>
      <c r="HLF88" s="263"/>
      <c r="HLG88" s="289"/>
      <c r="HLH88" s="289"/>
      <c r="HLI88" s="289"/>
      <c r="HLJ88" s="292"/>
      <c r="HLK88" s="289"/>
      <c r="HLL88" s="293"/>
      <c r="HLM88" s="266"/>
      <c r="HLN88" s="290"/>
      <c r="HLO88" s="297"/>
      <c r="HLP88" s="260"/>
      <c r="HLQ88" s="261"/>
      <c r="HLR88" s="262"/>
      <c r="HLS88" s="263"/>
      <c r="HLT88" s="289"/>
      <c r="HLU88" s="289"/>
      <c r="HLV88" s="289"/>
      <c r="HLW88" s="292"/>
      <c r="HLX88" s="289"/>
      <c r="HLY88" s="293"/>
      <c r="HLZ88" s="266"/>
      <c r="HMA88" s="290"/>
      <c r="HMB88" s="297"/>
      <c r="HMC88" s="260"/>
      <c r="HMD88" s="261"/>
      <c r="HME88" s="262"/>
      <c r="HMF88" s="263"/>
      <c r="HMG88" s="289"/>
      <c r="HMH88" s="289"/>
      <c r="HMI88" s="289"/>
      <c r="HMJ88" s="292"/>
      <c r="HMK88" s="289"/>
      <c r="HML88" s="293"/>
      <c r="HMM88" s="266"/>
      <c r="HMN88" s="290"/>
      <c r="HMO88" s="297"/>
      <c r="HMP88" s="260"/>
      <c r="HMQ88" s="261"/>
      <c r="HMR88" s="262"/>
      <c r="HMS88" s="263"/>
      <c r="HMT88" s="289"/>
      <c r="HMU88" s="289"/>
      <c r="HMV88" s="289"/>
      <c r="HMW88" s="292"/>
      <c r="HMX88" s="289"/>
      <c r="HMY88" s="293"/>
      <c r="HMZ88" s="266"/>
      <c r="HNA88" s="290"/>
      <c r="HNB88" s="297"/>
      <c r="HNC88" s="260"/>
      <c r="HND88" s="261"/>
      <c r="HNE88" s="262"/>
      <c r="HNF88" s="263"/>
      <c r="HNG88" s="289"/>
      <c r="HNH88" s="289"/>
      <c r="HNI88" s="289"/>
      <c r="HNJ88" s="292"/>
      <c r="HNK88" s="289"/>
      <c r="HNL88" s="293"/>
      <c r="HNM88" s="266"/>
      <c r="HNN88" s="290"/>
      <c r="HNO88" s="297"/>
      <c r="HNP88" s="260"/>
      <c r="HNQ88" s="261"/>
      <c r="HNR88" s="262"/>
      <c r="HNS88" s="263"/>
      <c r="HNT88" s="289"/>
      <c r="HNU88" s="289"/>
      <c r="HNV88" s="289"/>
      <c r="HNW88" s="292"/>
      <c r="HNX88" s="289"/>
      <c r="HNY88" s="293"/>
      <c r="HNZ88" s="266"/>
      <c r="HOA88" s="290"/>
      <c r="HOB88" s="297"/>
      <c r="HOC88" s="260"/>
      <c r="HOD88" s="261"/>
      <c r="HOE88" s="262"/>
      <c r="HOF88" s="263"/>
      <c r="HOG88" s="289"/>
      <c r="HOH88" s="289"/>
      <c r="HOI88" s="289"/>
      <c r="HOJ88" s="292"/>
      <c r="HOK88" s="289"/>
      <c r="HOL88" s="293"/>
      <c r="HOM88" s="266"/>
      <c r="HON88" s="290"/>
      <c r="HOO88" s="297"/>
      <c r="HOP88" s="260"/>
      <c r="HOQ88" s="261"/>
      <c r="HOR88" s="262"/>
      <c r="HOS88" s="263"/>
      <c r="HOT88" s="289"/>
      <c r="HOU88" s="289"/>
      <c r="HOV88" s="289"/>
      <c r="HOW88" s="292"/>
      <c r="HOX88" s="289"/>
      <c r="HOY88" s="293"/>
      <c r="HOZ88" s="266"/>
      <c r="HPA88" s="290"/>
      <c r="HPB88" s="297"/>
      <c r="HPC88" s="260"/>
      <c r="HPD88" s="261"/>
      <c r="HPE88" s="262"/>
      <c r="HPF88" s="263"/>
      <c r="HPG88" s="289"/>
      <c r="HPH88" s="289"/>
      <c r="HPI88" s="289"/>
      <c r="HPJ88" s="292"/>
      <c r="HPK88" s="289"/>
      <c r="HPL88" s="293"/>
      <c r="HPM88" s="266"/>
      <c r="HPN88" s="290"/>
      <c r="HPO88" s="297"/>
      <c r="HPP88" s="260"/>
      <c r="HPQ88" s="261"/>
      <c r="HPR88" s="262"/>
      <c r="HPS88" s="263"/>
      <c r="HPT88" s="289"/>
      <c r="HPU88" s="289"/>
      <c r="HPV88" s="289"/>
      <c r="HPW88" s="292"/>
      <c r="HPX88" s="289"/>
      <c r="HPY88" s="293"/>
      <c r="HPZ88" s="266"/>
      <c r="HQA88" s="290"/>
      <c r="HQB88" s="297"/>
      <c r="HQC88" s="260"/>
      <c r="HQD88" s="261"/>
      <c r="HQE88" s="262"/>
      <c r="HQF88" s="263"/>
      <c r="HQG88" s="289"/>
      <c r="HQH88" s="289"/>
      <c r="HQI88" s="289"/>
      <c r="HQJ88" s="292"/>
      <c r="HQK88" s="289"/>
      <c r="HQL88" s="293"/>
      <c r="HQM88" s="266"/>
      <c r="HQN88" s="290"/>
      <c r="HQO88" s="297"/>
      <c r="HQP88" s="260"/>
      <c r="HQQ88" s="261"/>
      <c r="HQR88" s="262"/>
      <c r="HQS88" s="263"/>
      <c r="HQT88" s="289"/>
      <c r="HQU88" s="289"/>
      <c r="HQV88" s="289"/>
      <c r="HQW88" s="292"/>
      <c r="HQX88" s="289"/>
      <c r="HQY88" s="293"/>
      <c r="HQZ88" s="266"/>
      <c r="HRA88" s="290"/>
      <c r="HRB88" s="297"/>
      <c r="HRC88" s="260"/>
      <c r="HRD88" s="261"/>
      <c r="HRE88" s="262"/>
      <c r="HRF88" s="263"/>
      <c r="HRG88" s="289"/>
      <c r="HRH88" s="289"/>
      <c r="HRI88" s="289"/>
      <c r="HRJ88" s="292"/>
      <c r="HRK88" s="289"/>
      <c r="HRL88" s="293"/>
      <c r="HRM88" s="266"/>
      <c r="HRN88" s="290"/>
      <c r="HRO88" s="297"/>
      <c r="HRP88" s="260"/>
      <c r="HRQ88" s="261"/>
      <c r="HRR88" s="262"/>
      <c r="HRS88" s="263"/>
      <c r="HRT88" s="289"/>
      <c r="HRU88" s="289"/>
      <c r="HRV88" s="289"/>
      <c r="HRW88" s="292"/>
      <c r="HRX88" s="289"/>
      <c r="HRY88" s="293"/>
      <c r="HRZ88" s="266"/>
      <c r="HSA88" s="290"/>
      <c r="HSB88" s="297"/>
      <c r="HSC88" s="260"/>
      <c r="HSD88" s="261"/>
      <c r="HSE88" s="262"/>
      <c r="HSF88" s="263"/>
      <c r="HSG88" s="289"/>
      <c r="HSH88" s="289"/>
      <c r="HSI88" s="289"/>
      <c r="HSJ88" s="292"/>
      <c r="HSK88" s="289"/>
      <c r="HSL88" s="293"/>
      <c r="HSM88" s="266"/>
      <c r="HSN88" s="290"/>
      <c r="HSO88" s="297"/>
      <c r="HSP88" s="260"/>
      <c r="HSQ88" s="261"/>
      <c r="HSR88" s="262"/>
      <c r="HSS88" s="263"/>
      <c r="HST88" s="289"/>
      <c r="HSU88" s="289"/>
      <c r="HSV88" s="289"/>
      <c r="HSW88" s="292"/>
      <c r="HSX88" s="289"/>
      <c r="HSY88" s="293"/>
      <c r="HSZ88" s="266"/>
      <c r="HTA88" s="290"/>
      <c r="HTB88" s="297"/>
      <c r="HTC88" s="260"/>
      <c r="HTD88" s="261"/>
      <c r="HTE88" s="262"/>
      <c r="HTF88" s="263"/>
      <c r="HTG88" s="289"/>
      <c r="HTH88" s="289"/>
      <c r="HTI88" s="289"/>
      <c r="HTJ88" s="292"/>
      <c r="HTK88" s="289"/>
      <c r="HTL88" s="293"/>
      <c r="HTM88" s="266"/>
      <c r="HTN88" s="290"/>
      <c r="HTO88" s="297"/>
      <c r="HTP88" s="260"/>
      <c r="HTQ88" s="261"/>
      <c r="HTR88" s="262"/>
      <c r="HTS88" s="263"/>
      <c r="HTT88" s="289"/>
      <c r="HTU88" s="289"/>
      <c r="HTV88" s="289"/>
      <c r="HTW88" s="292"/>
      <c r="HTX88" s="289"/>
      <c r="HTY88" s="293"/>
      <c r="HTZ88" s="266"/>
      <c r="HUA88" s="290"/>
      <c r="HUB88" s="297"/>
      <c r="HUC88" s="260"/>
      <c r="HUD88" s="261"/>
      <c r="HUE88" s="262"/>
      <c r="HUF88" s="263"/>
      <c r="HUG88" s="289"/>
      <c r="HUH88" s="289"/>
      <c r="HUI88" s="289"/>
      <c r="HUJ88" s="292"/>
      <c r="HUK88" s="289"/>
      <c r="HUL88" s="293"/>
      <c r="HUM88" s="266"/>
      <c r="HUN88" s="290"/>
      <c r="HUO88" s="297"/>
      <c r="HUP88" s="260"/>
      <c r="HUQ88" s="261"/>
      <c r="HUR88" s="262"/>
      <c r="HUS88" s="263"/>
      <c r="HUT88" s="289"/>
      <c r="HUU88" s="289"/>
      <c r="HUV88" s="289"/>
      <c r="HUW88" s="292"/>
      <c r="HUX88" s="289"/>
      <c r="HUY88" s="293"/>
      <c r="HUZ88" s="266"/>
      <c r="HVA88" s="290"/>
      <c r="HVB88" s="297"/>
      <c r="HVC88" s="260"/>
      <c r="HVD88" s="261"/>
      <c r="HVE88" s="262"/>
      <c r="HVF88" s="263"/>
      <c r="HVG88" s="289"/>
      <c r="HVH88" s="289"/>
      <c r="HVI88" s="289"/>
      <c r="HVJ88" s="292"/>
      <c r="HVK88" s="289"/>
      <c r="HVL88" s="293"/>
      <c r="HVM88" s="266"/>
      <c r="HVN88" s="290"/>
      <c r="HVO88" s="297"/>
      <c r="HVP88" s="260"/>
      <c r="HVQ88" s="261"/>
      <c r="HVR88" s="262"/>
      <c r="HVS88" s="263"/>
      <c r="HVT88" s="289"/>
      <c r="HVU88" s="289"/>
      <c r="HVV88" s="289"/>
      <c r="HVW88" s="292"/>
      <c r="HVX88" s="289"/>
      <c r="HVY88" s="293"/>
      <c r="HVZ88" s="266"/>
      <c r="HWA88" s="290"/>
      <c r="HWB88" s="297"/>
      <c r="HWC88" s="260"/>
      <c r="HWD88" s="261"/>
      <c r="HWE88" s="262"/>
      <c r="HWF88" s="263"/>
      <c r="HWG88" s="289"/>
      <c r="HWH88" s="289"/>
      <c r="HWI88" s="289"/>
      <c r="HWJ88" s="292"/>
      <c r="HWK88" s="289"/>
      <c r="HWL88" s="293"/>
      <c r="HWM88" s="266"/>
      <c r="HWN88" s="290"/>
      <c r="HWO88" s="297"/>
      <c r="HWP88" s="260"/>
      <c r="HWQ88" s="261"/>
      <c r="HWR88" s="262"/>
      <c r="HWS88" s="263"/>
      <c r="HWT88" s="289"/>
      <c r="HWU88" s="289"/>
      <c r="HWV88" s="289"/>
      <c r="HWW88" s="292"/>
      <c r="HWX88" s="289"/>
      <c r="HWY88" s="293"/>
      <c r="HWZ88" s="266"/>
      <c r="HXA88" s="290"/>
      <c r="HXB88" s="297"/>
      <c r="HXC88" s="260"/>
      <c r="HXD88" s="261"/>
      <c r="HXE88" s="262"/>
      <c r="HXF88" s="263"/>
      <c r="HXG88" s="289"/>
      <c r="HXH88" s="289"/>
      <c r="HXI88" s="289"/>
      <c r="HXJ88" s="292"/>
      <c r="HXK88" s="289"/>
      <c r="HXL88" s="293"/>
      <c r="HXM88" s="266"/>
      <c r="HXN88" s="290"/>
      <c r="HXO88" s="297"/>
      <c r="HXP88" s="260"/>
      <c r="HXQ88" s="261"/>
      <c r="HXR88" s="262"/>
      <c r="HXS88" s="263"/>
      <c r="HXT88" s="289"/>
      <c r="HXU88" s="289"/>
      <c r="HXV88" s="289"/>
      <c r="HXW88" s="292"/>
      <c r="HXX88" s="289"/>
      <c r="HXY88" s="293"/>
      <c r="HXZ88" s="266"/>
      <c r="HYA88" s="290"/>
      <c r="HYB88" s="297"/>
      <c r="HYC88" s="260"/>
      <c r="HYD88" s="261"/>
      <c r="HYE88" s="262"/>
      <c r="HYF88" s="263"/>
      <c r="HYG88" s="289"/>
      <c r="HYH88" s="289"/>
      <c r="HYI88" s="289"/>
      <c r="HYJ88" s="292"/>
      <c r="HYK88" s="289"/>
      <c r="HYL88" s="293"/>
      <c r="HYM88" s="266"/>
      <c r="HYN88" s="290"/>
      <c r="HYO88" s="297"/>
      <c r="HYP88" s="260"/>
      <c r="HYQ88" s="261"/>
      <c r="HYR88" s="262"/>
      <c r="HYS88" s="263"/>
      <c r="HYT88" s="289"/>
      <c r="HYU88" s="289"/>
      <c r="HYV88" s="289"/>
      <c r="HYW88" s="292"/>
      <c r="HYX88" s="289"/>
      <c r="HYY88" s="293"/>
      <c r="HYZ88" s="266"/>
      <c r="HZA88" s="290"/>
      <c r="HZB88" s="297"/>
      <c r="HZC88" s="260"/>
      <c r="HZD88" s="261"/>
      <c r="HZE88" s="262"/>
      <c r="HZF88" s="263"/>
      <c r="HZG88" s="289"/>
      <c r="HZH88" s="289"/>
      <c r="HZI88" s="289"/>
      <c r="HZJ88" s="292"/>
      <c r="HZK88" s="289"/>
      <c r="HZL88" s="293"/>
      <c r="HZM88" s="266"/>
      <c r="HZN88" s="290"/>
      <c r="HZO88" s="297"/>
      <c r="HZP88" s="260"/>
      <c r="HZQ88" s="261"/>
      <c r="HZR88" s="262"/>
      <c r="HZS88" s="263"/>
      <c r="HZT88" s="289"/>
      <c r="HZU88" s="289"/>
      <c r="HZV88" s="289"/>
      <c r="HZW88" s="292"/>
      <c r="HZX88" s="289"/>
      <c r="HZY88" s="293"/>
      <c r="HZZ88" s="266"/>
      <c r="IAA88" s="290"/>
      <c r="IAB88" s="297"/>
      <c r="IAC88" s="260"/>
      <c r="IAD88" s="261"/>
      <c r="IAE88" s="262"/>
      <c r="IAF88" s="263"/>
      <c r="IAG88" s="289"/>
      <c r="IAH88" s="289"/>
      <c r="IAI88" s="289"/>
      <c r="IAJ88" s="292"/>
      <c r="IAK88" s="289"/>
      <c r="IAL88" s="293"/>
      <c r="IAM88" s="266"/>
      <c r="IAN88" s="290"/>
      <c r="IAO88" s="297"/>
      <c r="IAP88" s="260"/>
      <c r="IAQ88" s="261"/>
      <c r="IAR88" s="262"/>
      <c r="IAS88" s="263"/>
      <c r="IAT88" s="289"/>
      <c r="IAU88" s="289"/>
      <c r="IAV88" s="289"/>
      <c r="IAW88" s="292"/>
      <c r="IAX88" s="289"/>
      <c r="IAY88" s="293"/>
      <c r="IAZ88" s="266"/>
      <c r="IBA88" s="290"/>
      <c r="IBB88" s="297"/>
      <c r="IBC88" s="260"/>
      <c r="IBD88" s="261"/>
      <c r="IBE88" s="262"/>
      <c r="IBF88" s="263"/>
      <c r="IBG88" s="289"/>
      <c r="IBH88" s="289"/>
      <c r="IBI88" s="289"/>
      <c r="IBJ88" s="292"/>
      <c r="IBK88" s="289"/>
      <c r="IBL88" s="293"/>
      <c r="IBM88" s="266"/>
      <c r="IBN88" s="290"/>
      <c r="IBO88" s="297"/>
      <c r="IBP88" s="260"/>
      <c r="IBQ88" s="261"/>
      <c r="IBR88" s="262"/>
      <c r="IBS88" s="263"/>
      <c r="IBT88" s="289"/>
      <c r="IBU88" s="289"/>
      <c r="IBV88" s="289"/>
      <c r="IBW88" s="292"/>
      <c r="IBX88" s="289"/>
      <c r="IBY88" s="293"/>
      <c r="IBZ88" s="266"/>
      <c r="ICA88" s="290"/>
      <c r="ICB88" s="297"/>
      <c r="ICC88" s="260"/>
      <c r="ICD88" s="261"/>
      <c r="ICE88" s="262"/>
      <c r="ICF88" s="263"/>
      <c r="ICG88" s="289"/>
      <c r="ICH88" s="289"/>
      <c r="ICI88" s="289"/>
      <c r="ICJ88" s="292"/>
      <c r="ICK88" s="289"/>
      <c r="ICL88" s="293"/>
      <c r="ICM88" s="266"/>
      <c r="ICN88" s="290"/>
      <c r="ICO88" s="297"/>
      <c r="ICP88" s="260"/>
      <c r="ICQ88" s="261"/>
      <c r="ICR88" s="262"/>
      <c r="ICS88" s="263"/>
      <c r="ICT88" s="289"/>
      <c r="ICU88" s="289"/>
      <c r="ICV88" s="289"/>
      <c r="ICW88" s="292"/>
      <c r="ICX88" s="289"/>
      <c r="ICY88" s="293"/>
      <c r="ICZ88" s="266"/>
      <c r="IDA88" s="290"/>
      <c r="IDB88" s="297"/>
      <c r="IDC88" s="260"/>
      <c r="IDD88" s="261"/>
      <c r="IDE88" s="262"/>
      <c r="IDF88" s="263"/>
      <c r="IDG88" s="289"/>
      <c r="IDH88" s="289"/>
      <c r="IDI88" s="289"/>
      <c r="IDJ88" s="292"/>
      <c r="IDK88" s="289"/>
      <c r="IDL88" s="293"/>
      <c r="IDM88" s="266"/>
      <c r="IDN88" s="290"/>
      <c r="IDO88" s="297"/>
      <c r="IDP88" s="260"/>
      <c r="IDQ88" s="261"/>
      <c r="IDR88" s="262"/>
      <c r="IDS88" s="263"/>
      <c r="IDT88" s="289"/>
      <c r="IDU88" s="289"/>
      <c r="IDV88" s="289"/>
      <c r="IDW88" s="292"/>
      <c r="IDX88" s="289"/>
      <c r="IDY88" s="293"/>
      <c r="IDZ88" s="266"/>
      <c r="IEA88" s="290"/>
      <c r="IEB88" s="297"/>
      <c r="IEC88" s="260"/>
      <c r="IED88" s="261"/>
      <c r="IEE88" s="262"/>
      <c r="IEF88" s="263"/>
      <c r="IEG88" s="289"/>
      <c r="IEH88" s="289"/>
      <c r="IEI88" s="289"/>
      <c r="IEJ88" s="292"/>
      <c r="IEK88" s="289"/>
      <c r="IEL88" s="293"/>
      <c r="IEM88" s="266"/>
      <c r="IEN88" s="290"/>
      <c r="IEO88" s="297"/>
      <c r="IEP88" s="260"/>
      <c r="IEQ88" s="261"/>
      <c r="IER88" s="262"/>
      <c r="IES88" s="263"/>
      <c r="IET88" s="289"/>
      <c r="IEU88" s="289"/>
      <c r="IEV88" s="289"/>
      <c r="IEW88" s="292"/>
      <c r="IEX88" s="289"/>
      <c r="IEY88" s="293"/>
      <c r="IEZ88" s="266"/>
      <c r="IFA88" s="290"/>
      <c r="IFB88" s="297"/>
      <c r="IFC88" s="260"/>
      <c r="IFD88" s="261"/>
      <c r="IFE88" s="262"/>
      <c r="IFF88" s="263"/>
      <c r="IFG88" s="289"/>
      <c r="IFH88" s="289"/>
      <c r="IFI88" s="289"/>
      <c r="IFJ88" s="292"/>
      <c r="IFK88" s="289"/>
      <c r="IFL88" s="293"/>
      <c r="IFM88" s="266"/>
      <c r="IFN88" s="290"/>
      <c r="IFO88" s="297"/>
      <c r="IFP88" s="260"/>
      <c r="IFQ88" s="261"/>
      <c r="IFR88" s="262"/>
      <c r="IFS88" s="263"/>
      <c r="IFT88" s="289"/>
      <c r="IFU88" s="289"/>
      <c r="IFV88" s="289"/>
      <c r="IFW88" s="292"/>
      <c r="IFX88" s="289"/>
      <c r="IFY88" s="293"/>
      <c r="IFZ88" s="266"/>
      <c r="IGA88" s="290"/>
      <c r="IGB88" s="297"/>
      <c r="IGC88" s="260"/>
      <c r="IGD88" s="261"/>
      <c r="IGE88" s="262"/>
      <c r="IGF88" s="263"/>
      <c r="IGG88" s="289"/>
      <c r="IGH88" s="289"/>
      <c r="IGI88" s="289"/>
      <c r="IGJ88" s="292"/>
      <c r="IGK88" s="289"/>
      <c r="IGL88" s="293"/>
      <c r="IGM88" s="266"/>
      <c r="IGN88" s="290"/>
      <c r="IGO88" s="297"/>
      <c r="IGP88" s="260"/>
      <c r="IGQ88" s="261"/>
      <c r="IGR88" s="262"/>
      <c r="IGS88" s="263"/>
      <c r="IGT88" s="289"/>
      <c r="IGU88" s="289"/>
      <c r="IGV88" s="289"/>
      <c r="IGW88" s="292"/>
      <c r="IGX88" s="289"/>
      <c r="IGY88" s="293"/>
      <c r="IGZ88" s="266"/>
      <c r="IHA88" s="290"/>
      <c r="IHB88" s="297"/>
      <c r="IHC88" s="260"/>
      <c r="IHD88" s="261"/>
      <c r="IHE88" s="262"/>
      <c r="IHF88" s="263"/>
      <c r="IHG88" s="289"/>
      <c r="IHH88" s="289"/>
      <c r="IHI88" s="289"/>
      <c r="IHJ88" s="292"/>
      <c r="IHK88" s="289"/>
      <c r="IHL88" s="293"/>
      <c r="IHM88" s="266"/>
      <c r="IHN88" s="290"/>
      <c r="IHO88" s="297"/>
      <c r="IHP88" s="260"/>
      <c r="IHQ88" s="261"/>
      <c r="IHR88" s="262"/>
      <c r="IHS88" s="263"/>
      <c r="IHT88" s="289"/>
      <c r="IHU88" s="289"/>
      <c r="IHV88" s="289"/>
      <c r="IHW88" s="292"/>
      <c r="IHX88" s="289"/>
      <c r="IHY88" s="293"/>
      <c r="IHZ88" s="266"/>
      <c r="IIA88" s="290"/>
      <c r="IIB88" s="297"/>
      <c r="IIC88" s="260"/>
      <c r="IID88" s="261"/>
      <c r="IIE88" s="262"/>
      <c r="IIF88" s="263"/>
      <c r="IIG88" s="289"/>
      <c r="IIH88" s="289"/>
      <c r="III88" s="289"/>
      <c r="IIJ88" s="292"/>
      <c r="IIK88" s="289"/>
      <c r="IIL88" s="293"/>
      <c r="IIM88" s="266"/>
      <c r="IIN88" s="290"/>
      <c r="IIO88" s="297"/>
      <c r="IIP88" s="260"/>
      <c r="IIQ88" s="261"/>
      <c r="IIR88" s="262"/>
      <c r="IIS88" s="263"/>
      <c r="IIT88" s="289"/>
      <c r="IIU88" s="289"/>
      <c r="IIV88" s="289"/>
      <c r="IIW88" s="292"/>
      <c r="IIX88" s="289"/>
      <c r="IIY88" s="293"/>
      <c r="IIZ88" s="266"/>
      <c r="IJA88" s="290"/>
      <c r="IJB88" s="297"/>
      <c r="IJC88" s="260"/>
      <c r="IJD88" s="261"/>
      <c r="IJE88" s="262"/>
      <c r="IJF88" s="263"/>
      <c r="IJG88" s="289"/>
      <c r="IJH88" s="289"/>
      <c r="IJI88" s="289"/>
      <c r="IJJ88" s="292"/>
      <c r="IJK88" s="289"/>
      <c r="IJL88" s="293"/>
      <c r="IJM88" s="266"/>
      <c r="IJN88" s="290"/>
      <c r="IJO88" s="297"/>
      <c r="IJP88" s="260"/>
      <c r="IJQ88" s="261"/>
      <c r="IJR88" s="262"/>
      <c r="IJS88" s="263"/>
      <c r="IJT88" s="289"/>
      <c r="IJU88" s="289"/>
      <c r="IJV88" s="289"/>
      <c r="IJW88" s="292"/>
      <c r="IJX88" s="289"/>
      <c r="IJY88" s="293"/>
      <c r="IJZ88" s="266"/>
      <c r="IKA88" s="290"/>
      <c r="IKB88" s="297"/>
      <c r="IKC88" s="260"/>
      <c r="IKD88" s="261"/>
      <c r="IKE88" s="262"/>
      <c r="IKF88" s="263"/>
      <c r="IKG88" s="289"/>
      <c r="IKH88" s="289"/>
      <c r="IKI88" s="289"/>
      <c r="IKJ88" s="292"/>
      <c r="IKK88" s="289"/>
      <c r="IKL88" s="293"/>
      <c r="IKM88" s="266"/>
      <c r="IKN88" s="290"/>
      <c r="IKO88" s="297"/>
      <c r="IKP88" s="260"/>
      <c r="IKQ88" s="261"/>
      <c r="IKR88" s="262"/>
      <c r="IKS88" s="263"/>
      <c r="IKT88" s="289"/>
      <c r="IKU88" s="289"/>
      <c r="IKV88" s="289"/>
      <c r="IKW88" s="292"/>
      <c r="IKX88" s="289"/>
      <c r="IKY88" s="293"/>
      <c r="IKZ88" s="266"/>
      <c r="ILA88" s="290"/>
      <c r="ILB88" s="297"/>
      <c r="ILC88" s="260"/>
      <c r="ILD88" s="261"/>
      <c r="ILE88" s="262"/>
      <c r="ILF88" s="263"/>
      <c r="ILG88" s="289"/>
      <c r="ILH88" s="289"/>
      <c r="ILI88" s="289"/>
      <c r="ILJ88" s="292"/>
      <c r="ILK88" s="289"/>
      <c r="ILL88" s="293"/>
      <c r="ILM88" s="266"/>
      <c r="ILN88" s="290"/>
      <c r="ILO88" s="297"/>
      <c r="ILP88" s="260"/>
      <c r="ILQ88" s="261"/>
      <c r="ILR88" s="262"/>
      <c r="ILS88" s="263"/>
      <c r="ILT88" s="289"/>
      <c r="ILU88" s="289"/>
      <c r="ILV88" s="289"/>
      <c r="ILW88" s="292"/>
      <c r="ILX88" s="289"/>
      <c r="ILY88" s="293"/>
      <c r="ILZ88" s="266"/>
      <c r="IMA88" s="290"/>
      <c r="IMB88" s="297"/>
      <c r="IMC88" s="260"/>
      <c r="IMD88" s="261"/>
      <c r="IME88" s="262"/>
      <c r="IMF88" s="263"/>
      <c r="IMG88" s="289"/>
      <c r="IMH88" s="289"/>
      <c r="IMI88" s="289"/>
      <c r="IMJ88" s="292"/>
      <c r="IMK88" s="289"/>
      <c r="IML88" s="293"/>
      <c r="IMM88" s="266"/>
      <c r="IMN88" s="290"/>
      <c r="IMO88" s="297"/>
      <c r="IMP88" s="260"/>
      <c r="IMQ88" s="261"/>
      <c r="IMR88" s="262"/>
      <c r="IMS88" s="263"/>
      <c r="IMT88" s="289"/>
      <c r="IMU88" s="289"/>
      <c r="IMV88" s="289"/>
      <c r="IMW88" s="292"/>
      <c r="IMX88" s="289"/>
      <c r="IMY88" s="293"/>
      <c r="IMZ88" s="266"/>
      <c r="INA88" s="290"/>
      <c r="INB88" s="297"/>
      <c r="INC88" s="260"/>
      <c r="IND88" s="261"/>
      <c r="INE88" s="262"/>
      <c r="INF88" s="263"/>
      <c r="ING88" s="289"/>
      <c r="INH88" s="289"/>
      <c r="INI88" s="289"/>
      <c r="INJ88" s="292"/>
      <c r="INK88" s="289"/>
      <c r="INL88" s="293"/>
      <c r="INM88" s="266"/>
      <c r="INN88" s="290"/>
      <c r="INO88" s="297"/>
      <c r="INP88" s="260"/>
      <c r="INQ88" s="261"/>
      <c r="INR88" s="262"/>
      <c r="INS88" s="263"/>
      <c r="INT88" s="289"/>
      <c r="INU88" s="289"/>
      <c r="INV88" s="289"/>
      <c r="INW88" s="292"/>
      <c r="INX88" s="289"/>
      <c r="INY88" s="293"/>
      <c r="INZ88" s="266"/>
      <c r="IOA88" s="290"/>
      <c r="IOB88" s="297"/>
      <c r="IOC88" s="260"/>
      <c r="IOD88" s="261"/>
      <c r="IOE88" s="262"/>
      <c r="IOF88" s="263"/>
      <c r="IOG88" s="289"/>
      <c r="IOH88" s="289"/>
      <c r="IOI88" s="289"/>
      <c r="IOJ88" s="292"/>
      <c r="IOK88" s="289"/>
      <c r="IOL88" s="293"/>
      <c r="IOM88" s="266"/>
      <c r="ION88" s="290"/>
      <c r="IOO88" s="297"/>
      <c r="IOP88" s="260"/>
      <c r="IOQ88" s="261"/>
      <c r="IOR88" s="262"/>
      <c r="IOS88" s="263"/>
      <c r="IOT88" s="289"/>
      <c r="IOU88" s="289"/>
      <c r="IOV88" s="289"/>
      <c r="IOW88" s="292"/>
      <c r="IOX88" s="289"/>
      <c r="IOY88" s="293"/>
      <c r="IOZ88" s="266"/>
      <c r="IPA88" s="290"/>
      <c r="IPB88" s="297"/>
      <c r="IPC88" s="260"/>
      <c r="IPD88" s="261"/>
      <c r="IPE88" s="262"/>
      <c r="IPF88" s="263"/>
      <c r="IPG88" s="289"/>
      <c r="IPH88" s="289"/>
      <c r="IPI88" s="289"/>
      <c r="IPJ88" s="292"/>
      <c r="IPK88" s="289"/>
      <c r="IPL88" s="293"/>
      <c r="IPM88" s="266"/>
      <c r="IPN88" s="290"/>
      <c r="IPO88" s="297"/>
      <c r="IPP88" s="260"/>
      <c r="IPQ88" s="261"/>
      <c r="IPR88" s="262"/>
      <c r="IPS88" s="263"/>
      <c r="IPT88" s="289"/>
      <c r="IPU88" s="289"/>
      <c r="IPV88" s="289"/>
      <c r="IPW88" s="292"/>
      <c r="IPX88" s="289"/>
      <c r="IPY88" s="293"/>
      <c r="IPZ88" s="266"/>
      <c r="IQA88" s="290"/>
      <c r="IQB88" s="297"/>
      <c r="IQC88" s="260"/>
      <c r="IQD88" s="261"/>
      <c r="IQE88" s="262"/>
      <c r="IQF88" s="263"/>
      <c r="IQG88" s="289"/>
      <c r="IQH88" s="289"/>
      <c r="IQI88" s="289"/>
      <c r="IQJ88" s="292"/>
      <c r="IQK88" s="289"/>
      <c r="IQL88" s="293"/>
      <c r="IQM88" s="266"/>
      <c r="IQN88" s="290"/>
      <c r="IQO88" s="297"/>
      <c r="IQP88" s="260"/>
      <c r="IQQ88" s="261"/>
      <c r="IQR88" s="262"/>
      <c r="IQS88" s="263"/>
      <c r="IQT88" s="289"/>
      <c r="IQU88" s="289"/>
      <c r="IQV88" s="289"/>
      <c r="IQW88" s="292"/>
      <c r="IQX88" s="289"/>
      <c r="IQY88" s="293"/>
      <c r="IQZ88" s="266"/>
      <c r="IRA88" s="290"/>
      <c r="IRB88" s="297"/>
      <c r="IRC88" s="260"/>
      <c r="IRD88" s="261"/>
      <c r="IRE88" s="262"/>
      <c r="IRF88" s="263"/>
      <c r="IRG88" s="289"/>
      <c r="IRH88" s="289"/>
      <c r="IRI88" s="289"/>
      <c r="IRJ88" s="292"/>
      <c r="IRK88" s="289"/>
      <c r="IRL88" s="293"/>
      <c r="IRM88" s="266"/>
      <c r="IRN88" s="290"/>
      <c r="IRO88" s="297"/>
      <c r="IRP88" s="260"/>
      <c r="IRQ88" s="261"/>
      <c r="IRR88" s="262"/>
      <c r="IRS88" s="263"/>
      <c r="IRT88" s="289"/>
      <c r="IRU88" s="289"/>
      <c r="IRV88" s="289"/>
      <c r="IRW88" s="292"/>
      <c r="IRX88" s="289"/>
      <c r="IRY88" s="293"/>
      <c r="IRZ88" s="266"/>
      <c r="ISA88" s="290"/>
      <c r="ISB88" s="297"/>
      <c r="ISC88" s="260"/>
      <c r="ISD88" s="261"/>
      <c r="ISE88" s="262"/>
      <c r="ISF88" s="263"/>
      <c r="ISG88" s="289"/>
      <c r="ISH88" s="289"/>
      <c r="ISI88" s="289"/>
      <c r="ISJ88" s="292"/>
      <c r="ISK88" s="289"/>
      <c r="ISL88" s="293"/>
      <c r="ISM88" s="266"/>
      <c r="ISN88" s="290"/>
      <c r="ISO88" s="297"/>
      <c r="ISP88" s="260"/>
      <c r="ISQ88" s="261"/>
      <c r="ISR88" s="262"/>
      <c r="ISS88" s="263"/>
      <c r="IST88" s="289"/>
      <c r="ISU88" s="289"/>
      <c r="ISV88" s="289"/>
      <c r="ISW88" s="292"/>
      <c r="ISX88" s="289"/>
      <c r="ISY88" s="293"/>
      <c r="ISZ88" s="266"/>
      <c r="ITA88" s="290"/>
      <c r="ITB88" s="297"/>
      <c r="ITC88" s="260"/>
      <c r="ITD88" s="261"/>
      <c r="ITE88" s="262"/>
      <c r="ITF88" s="263"/>
      <c r="ITG88" s="289"/>
      <c r="ITH88" s="289"/>
      <c r="ITI88" s="289"/>
      <c r="ITJ88" s="292"/>
      <c r="ITK88" s="289"/>
      <c r="ITL88" s="293"/>
      <c r="ITM88" s="266"/>
      <c r="ITN88" s="290"/>
      <c r="ITO88" s="297"/>
      <c r="ITP88" s="260"/>
      <c r="ITQ88" s="261"/>
      <c r="ITR88" s="262"/>
      <c r="ITS88" s="263"/>
      <c r="ITT88" s="289"/>
      <c r="ITU88" s="289"/>
      <c r="ITV88" s="289"/>
      <c r="ITW88" s="292"/>
      <c r="ITX88" s="289"/>
      <c r="ITY88" s="293"/>
      <c r="ITZ88" s="266"/>
      <c r="IUA88" s="290"/>
      <c r="IUB88" s="297"/>
      <c r="IUC88" s="260"/>
      <c r="IUD88" s="261"/>
      <c r="IUE88" s="262"/>
      <c r="IUF88" s="263"/>
      <c r="IUG88" s="289"/>
      <c r="IUH88" s="289"/>
      <c r="IUI88" s="289"/>
      <c r="IUJ88" s="292"/>
      <c r="IUK88" s="289"/>
      <c r="IUL88" s="293"/>
      <c r="IUM88" s="266"/>
      <c r="IUN88" s="290"/>
      <c r="IUO88" s="297"/>
      <c r="IUP88" s="260"/>
      <c r="IUQ88" s="261"/>
      <c r="IUR88" s="262"/>
      <c r="IUS88" s="263"/>
      <c r="IUT88" s="289"/>
      <c r="IUU88" s="289"/>
      <c r="IUV88" s="289"/>
      <c r="IUW88" s="292"/>
      <c r="IUX88" s="289"/>
      <c r="IUY88" s="293"/>
      <c r="IUZ88" s="266"/>
      <c r="IVA88" s="290"/>
      <c r="IVB88" s="297"/>
      <c r="IVC88" s="260"/>
      <c r="IVD88" s="261"/>
      <c r="IVE88" s="262"/>
      <c r="IVF88" s="263"/>
      <c r="IVG88" s="289"/>
      <c r="IVH88" s="289"/>
      <c r="IVI88" s="289"/>
      <c r="IVJ88" s="292"/>
      <c r="IVK88" s="289"/>
      <c r="IVL88" s="293"/>
      <c r="IVM88" s="266"/>
      <c r="IVN88" s="290"/>
      <c r="IVO88" s="297"/>
      <c r="IVP88" s="260"/>
      <c r="IVQ88" s="261"/>
      <c r="IVR88" s="262"/>
      <c r="IVS88" s="263"/>
      <c r="IVT88" s="289"/>
      <c r="IVU88" s="289"/>
      <c r="IVV88" s="289"/>
      <c r="IVW88" s="292"/>
      <c r="IVX88" s="289"/>
      <c r="IVY88" s="293"/>
      <c r="IVZ88" s="266"/>
      <c r="IWA88" s="290"/>
      <c r="IWB88" s="297"/>
      <c r="IWC88" s="260"/>
      <c r="IWD88" s="261"/>
      <c r="IWE88" s="262"/>
      <c r="IWF88" s="263"/>
      <c r="IWG88" s="289"/>
      <c r="IWH88" s="289"/>
      <c r="IWI88" s="289"/>
      <c r="IWJ88" s="292"/>
      <c r="IWK88" s="289"/>
      <c r="IWL88" s="293"/>
      <c r="IWM88" s="266"/>
      <c r="IWN88" s="290"/>
      <c r="IWO88" s="297"/>
      <c r="IWP88" s="260"/>
      <c r="IWQ88" s="261"/>
      <c r="IWR88" s="262"/>
      <c r="IWS88" s="263"/>
      <c r="IWT88" s="289"/>
      <c r="IWU88" s="289"/>
      <c r="IWV88" s="289"/>
      <c r="IWW88" s="292"/>
      <c r="IWX88" s="289"/>
      <c r="IWY88" s="293"/>
      <c r="IWZ88" s="266"/>
      <c r="IXA88" s="290"/>
      <c r="IXB88" s="297"/>
      <c r="IXC88" s="260"/>
      <c r="IXD88" s="261"/>
      <c r="IXE88" s="262"/>
      <c r="IXF88" s="263"/>
      <c r="IXG88" s="289"/>
      <c r="IXH88" s="289"/>
      <c r="IXI88" s="289"/>
      <c r="IXJ88" s="292"/>
      <c r="IXK88" s="289"/>
      <c r="IXL88" s="293"/>
      <c r="IXM88" s="266"/>
      <c r="IXN88" s="290"/>
      <c r="IXO88" s="297"/>
      <c r="IXP88" s="260"/>
      <c r="IXQ88" s="261"/>
      <c r="IXR88" s="262"/>
      <c r="IXS88" s="263"/>
      <c r="IXT88" s="289"/>
      <c r="IXU88" s="289"/>
      <c r="IXV88" s="289"/>
      <c r="IXW88" s="292"/>
      <c r="IXX88" s="289"/>
      <c r="IXY88" s="293"/>
      <c r="IXZ88" s="266"/>
      <c r="IYA88" s="290"/>
      <c r="IYB88" s="297"/>
      <c r="IYC88" s="260"/>
      <c r="IYD88" s="261"/>
      <c r="IYE88" s="262"/>
      <c r="IYF88" s="263"/>
      <c r="IYG88" s="289"/>
      <c r="IYH88" s="289"/>
      <c r="IYI88" s="289"/>
      <c r="IYJ88" s="292"/>
      <c r="IYK88" s="289"/>
      <c r="IYL88" s="293"/>
      <c r="IYM88" s="266"/>
      <c r="IYN88" s="290"/>
      <c r="IYO88" s="297"/>
      <c r="IYP88" s="260"/>
      <c r="IYQ88" s="261"/>
      <c r="IYR88" s="262"/>
      <c r="IYS88" s="263"/>
      <c r="IYT88" s="289"/>
      <c r="IYU88" s="289"/>
      <c r="IYV88" s="289"/>
      <c r="IYW88" s="292"/>
      <c r="IYX88" s="289"/>
      <c r="IYY88" s="293"/>
      <c r="IYZ88" s="266"/>
      <c r="IZA88" s="290"/>
      <c r="IZB88" s="297"/>
      <c r="IZC88" s="260"/>
      <c r="IZD88" s="261"/>
      <c r="IZE88" s="262"/>
      <c r="IZF88" s="263"/>
      <c r="IZG88" s="289"/>
      <c r="IZH88" s="289"/>
      <c r="IZI88" s="289"/>
      <c r="IZJ88" s="292"/>
      <c r="IZK88" s="289"/>
      <c r="IZL88" s="293"/>
      <c r="IZM88" s="266"/>
      <c r="IZN88" s="290"/>
      <c r="IZO88" s="297"/>
      <c r="IZP88" s="260"/>
      <c r="IZQ88" s="261"/>
      <c r="IZR88" s="262"/>
      <c r="IZS88" s="263"/>
      <c r="IZT88" s="289"/>
      <c r="IZU88" s="289"/>
      <c r="IZV88" s="289"/>
      <c r="IZW88" s="292"/>
      <c r="IZX88" s="289"/>
      <c r="IZY88" s="293"/>
      <c r="IZZ88" s="266"/>
      <c r="JAA88" s="290"/>
      <c r="JAB88" s="297"/>
      <c r="JAC88" s="260"/>
      <c r="JAD88" s="261"/>
      <c r="JAE88" s="262"/>
      <c r="JAF88" s="263"/>
      <c r="JAG88" s="289"/>
      <c r="JAH88" s="289"/>
      <c r="JAI88" s="289"/>
      <c r="JAJ88" s="292"/>
      <c r="JAK88" s="289"/>
      <c r="JAL88" s="293"/>
      <c r="JAM88" s="266"/>
      <c r="JAN88" s="290"/>
      <c r="JAO88" s="297"/>
      <c r="JAP88" s="260"/>
      <c r="JAQ88" s="261"/>
      <c r="JAR88" s="262"/>
      <c r="JAS88" s="263"/>
      <c r="JAT88" s="289"/>
      <c r="JAU88" s="289"/>
      <c r="JAV88" s="289"/>
      <c r="JAW88" s="292"/>
      <c r="JAX88" s="289"/>
      <c r="JAY88" s="293"/>
      <c r="JAZ88" s="266"/>
      <c r="JBA88" s="290"/>
      <c r="JBB88" s="297"/>
      <c r="JBC88" s="260"/>
      <c r="JBD88" s="261"/>
      <c r="JBE88" s="262"/>
      <c r="JBF88" s="263"/>
      <c r="JBG88" s="289"/>
      <c r="JBH88" s="289"/>
      <c r="JBI88" s="289"/>
      <c r="JBJ88" s="292"/>
      <c r="JBK88" s="289"/>
      <c r="JBL88" s="293"/>
      <c r="JBM88" s="266"/>
      <c r="JBN88" s="290"/>
      <c r="JBO88" s="297"/>
      <c r="JBP88" s="260"/>
      <c r="JBQ88" s="261"/>
      <c r="JBR88" s="262"/>
      <c r="JBS88" s="263"/>
      <c r="JBT88" s="289"/>
      <c r="JBU88" s="289"/>
      <c r="JBV88" s="289"/>
      <c r="JBW88" s="292"/>
      <c r="JBX88" s="289"/>
      <c r="JBY88" s="293"/>
      <c r="JBZ88" s="266"/>
      <c r="JCA88" s="290"/>
      <c r="JCB88" s="297"/>
      <c r="JCC88" s="260"/>
      <c r="JCD88" s="261"/>
      <c r="JCE88" s="262"/>
      <c r="JCF88" s="263"/>
      <c r="JCG88" s="289"/>
      <c r="JCH88" s="289"/>
      <c r="JCI88" s="289"/>
      <c r="JCJ88" s="292"/>
      <c r="JCK88" s="289"/>
      <c r="JCL88" s="293"/>
      <c r="JCM88" s="266"/>
      <c r="JCN88" s="290"/>
      <c r="JCO88" s="297"/>
      <c r="JCP88" s="260"/>
      <c r="JCQ88" s="261"/>
      <c r="JCR88" s="262"/>
      <c r="JCS88" s="263"/>
      <c r="JCT88" s="289"/>
      <c r="JCU88" s="289"/>
      <c r="JCV88" s="289"/>
      <c r="JCW88" s="292"/>
      <c r="JCX88" s="289"/>
      <c r="JCY88" s="293"/>
      <c r="JCZ88" s="266"/>
      <c r="JDA88" s="290"/>
      <c r="JDB88" s="297"/>
      <c r="JDC88" s="260"/>
      <c r="JDD88" s="261"/>
      <c r="JDE88" s="262"/>
      <c r="JDF88" s="263"/>
      <c r="JDG88" s="289"/>
      <c r="JDH88" s="289"/>
      <c r="JDI88" s="289"/>
      <c r="JDJ88" s="292"/>
      <c r="JDK88" s="289"/>
      <c r="JDL88" s="293"/>
      <c r="JDM88" s="266"/>
      <c r="JDN88" s="290"/>
      <c r="JDO88" s="297"/>
      <c r="JDP88" s="260"/>
      <c r="JDQ88" s="261"/>
      <c r="JDR88" s="262"/>
      <c r="JDS88" s="263"/>
      <c r="JDT88" s="289"/>
      <c r="JDU88" s="289"/>
      <c r="JDV88" s="289"/>
      <c r="JDW88" s="292"/>
      <c r="JDX88" s="289"/>
      <c r="JDY88" s="293"/>
      <c r="JDZ88" s="266"/>
      <c r="JEA88" s="290"/>
      <c r="JEB88" s="297"/>
      <c r="JEC88" s="260"/>
      <c r="JED88" s="261"/>
      <c r="JEE88" s="262"/>
      <c r="JEF88" s="263"/>
      <c r="JEG88" s="289"/>
      <c r="JEH88" s="289"/>
      <c r="JEI88" s="289"/>
      <c r="JEJ88" s="292"/>
      <c r="JEK88" s="289"/>
      <c r="JEL88" s="293"/>
      <c r="JEM88" s="266"/>
      <c r="JEN88" s="290"/>
      <c r="JEO88" s="297"/>
      <c r="JEP88" s="260"/>
      <c r="JEQ88" s="261"/>
      <c r="JER88" s="262"/>
      <c r="JES88" s="263"/>
      <c r="JET88" s="289"/>
      <c r="JEU88" s="289"/>
      <c r="JEV88" s="289"/>
      <c r="JEW88" s="292"/>
      <c r="JEX88" s="289"/>
      <c r="JEY88" s="293"/>
      <c r="JEZ88" s="266"/>
      <c r="JFA88" s="290"/>
      <c r="JFB88" s="297"/>
      <c r="JFC88" s="260"/>
      <c r="JFD88" s="261"/>
      <c r="JFE88" s="262"/>
      <c r="JFF88" s="263"/>
      <c r="JFG88" s="289"/>
      <c r="JFH88" s="289"/>
      <c r="JFI88" s="289"/>
      <c r="JFJ88" s="292"/>
      <c r="JFK88" s="289"/>
      <c r="JFL88" s="293"/>
      <c r="JFM88" s="266"/>
      <c r="JFN88" s="290"/>
      <c r="JFO88" s="297"/>
      <c r="JFP88" s="260"/>
      <c r="JFQ88" s="261"/>
      <c r="JFR88" s="262"/>
      <c r="JFS88" s="263"/>
      <c r="JFT88" s="289"/>
      <c r="JFU88" s="289"/>
      <c r="JFV88" s="289"/>
      <c r="JFW88" s="292"/>
      <c r="JFX88" s="289"/>
      <c r="JFY88" s="293"/>
      <c r="JFZ88" s="266"/>
      <c r="JGA88" s="290"/>
      <c r="JGB88" s="297"/>
      <c r="JGC88" s="260"/>
      <c r="JGD88" s="261"/>
      <c r="JGE88" s="262"/>
      <c r="JGF88" s="263"/>
      <c r="JGG88" s="289"/>
      <c r="JGH88" s="289"/>
      <c r="JGI88" s="289"/>
      <c r="JGJ88" s="292"/>
      <c r="JGK88" s="289"/>
      <c r="JGL88" s="293"/>
      <c r="JGM88" s="266"/>
      <c r="JGN88" s="290"/>
      <c r="JGO88" s="297"/>
      <c r="JGP88" s="260"/>
      <c r="JGQ88" s="261"/>
      <c r="JGR88" s="262"/>
      <c r="JGS88" s="263"/>
      <c r="JGT88" s="289"/>
      <c r="JGU88" s="289"/>
      <c r="JGV88" s="289"/>
      <c r="JGW88" s="292"/>
      <c r="JGX88" s="289"/>
      <c r="JGY88" s="293"/>
      <c r="JGZ88" s="266"/>
      <c r="JHA88" s="290"/>
      <c r="JHB88" s="297"/>
      <c r="JHC88" s="260"/>
      <c r="JHD88" s="261"/>
      <c r="JHE88" s="262"/>
      <c r="JHF88" s="263"/>
      <c r="JHG88" s="289"/>
      <c r="JHH88" s="289"/>
      <c r="JHI88" s="289"/>
      <c r="JHJ88" s="292"/>
      <c r="JHK88" s="289"/>
      <c r="JHL88" s="293"/>
      <c r="JHM88" s="266"/>
      <c r="JHN88" s="290"/>
      <c r="JHO88" s="297"/>
      <c r="JHP88" s="260"/>
      <c r="JHQ88" s="261"/>
      <c r="JHR88" s="262"/>
      <c r="JHS88" s="263"/>
      <c r="JHT88" s="289"/>
      <c r="JHU88" s="289"/>
      <c r="JHV88" s="289"/>
      <c r="JHW88" s="292"/>
      <c r="JHX88" s="289"/>
      <c r="JHY88" s="293"/>
      <c r="JHZ88" s="266"/>
      <c r="JIA88" s="290"/>
      <c r="JIB88" s="297"/>
      <c r="JIC88" s="260"/>
      <c r="JID88" s="261"/>
      <c r="JIE88" s="262"/>
      <c r="JIF88" s="263"/>
      <c r="JIG88" s="289"/>
      <c r="JIH88" s="289"/>
      <c r="JII88" s="289"/>
      <c r="JIJ88" s="292"/>
      <c r="JIK88" s="289"/>
      <c r="JIL88" s="293"/>
      <c r="JIM88" s="266"/>
      <c r="JIN88" s="290"/>
      <c r="JIO88" s="297"/>
      <c r="JIP88" s="260"/>
      <c r="JIQ88" s="261"/>
      <c r="JIR88" s="262"/>
      <c r="JIS88" s="263"/>
      <c r="JIT88" s="289"/>
      <c r="JIU88" s="289"/>
      <c r="JIV88" s="289"/>
      <c r="JIW88" s="292"/>
      <c r="JIX88" s="289"/>
      <c r="JIY88" s="293"/>
      <c r="JIZ88" s="266"/>
      <c r="JJA88" s="290"/>
      <c r="JJB88" s="297"/>
      <c r="JJC88" s="260"/>
      <c r="JJD88" s="261"/>
      <c r="JJE88" s="262"/>
      <c r="JJF88" s="263"/>
      <c r="JJG88" s="289"/>
      <c r="JJH88" s="289"/>
      <c r="JJI88" s="289"/>
      <c r="JJJ88" s="292"/>
      <c r="JJK88" s="289"/>
      <c r="JJL88" s="293"/>
      <c r="JJM88" s="266"/>
      <c r="JJN88" s="290"/>
      <c r="JJO88" s="297"/>
      <c r="JJP88" s="260"/>
      <c r="JJQ88" s="261"/>
      <c r="JJR88" s="262"/>
      <c r="JJS88" s="263"/>
      <c r="JJT88" s="289"/>
      <c r="JJU88" s="289"/>
      <c r="JJV88" s="289"/>
      <c r="JJW88" s="292"/>
      <c r="JJX88" s="289"/>
      <c r="JJY88" s="293"/>
      <c r="JJZ88" s="266"/>
      <c r="JKA88" s="290"/>
      <c r="JKB88" s="297"/>
      <c r="JKC88" s="260"/>
      <c r="JKD88" s="261"/>
      <c r="JKE88" s="262"/>
      <c r="JKF88" s="263"/>
      <c r="JKG88" s="289"/>
      <c r="JKH88" s="289"/>
      <c r="JKI88" s="289"/>
      <c r="JKJ88" s="292"/>
      <c r="JKK88" s="289"/>
      <c r="JKL88" s="293"/>
      <c r="JKM88" s="266"/>
      <c r="JKN88" s="290"/>
      <c r="JKO88" s="297"/>
      <c r="JKP88" s="260"/>
      <c r="JKQ88" s="261"/>
      <c r="JKR88" s="262"/>
      <c r="JKS88" s="263"/>
      <c r="JKT88" s="289"/>
      <c r="JKU88" s="289"/>
      <c r="JKV88" s="289"/>
      <c r="JKW88" s="292"/>
      <c r="JKX88" s="289"/>
      <c r="JKY88" s="293"/>
      <c r="JKZ88" s="266"/>
      <c r="JLA88" s="290"/>
      <c r="JLB88" s="297"/>
      <c r="JLC88" s="260"/>
      <c r="JLD88" s="261"/>
      <c r="JLE88" s="262"/>
      <c r="JLF88" s="263"/>
      <c r="JLG88" s="289"/>
      <c r="JLH88" s="289"/>
      <c r="JLI88" s="289"/>
      <c r="JLJ88" s="292"/>
      <c r="JLK88" s="289"/>
      <c r="JLL88" s="293"/>
      <c r="JLM88" s="266"/>
      <c r="JLN88" s="290"/>
      <c r="JLO88" s="297"/>
      <c r="JLP88" s="260"/>
      <c r="JLQ88" s="261"/>
      <c r="JLR88" s="262"/>
      <c r="JLS88" s="263"/>
      <c r="JLT88" s="289"/>
      <c r="JLU88" s="289"/>
      <c r="JLV88" s="289"/>
      <c r="JLW88" s="292"/>
      <c r="JLX88" s="289"/>
      <c r="JLY88" s="293"/>
      <c r="JLZ88" s="266"/>
      <c r="JMA88" s="290"/>
      <c r="JMB88" s="297"/>
      <c r="JMC88" s="260"/>
      <c r="JMD88" s="261"/>
      <c r="JME88" s="262"/>
      <c r="JMF88" s="263"/>
      <c r="JMG88" s="289"/>
      <c r="JMH88" s="289"/>
      <c r="JMI88" s="289"/>
      <c r="JMJ88" s="292"/>
      <c r="JMK88" s="289"/>
      <c r="JML88" s="293"/>
      <c r="JMM88" s="266"/>
      <c r="JMN88" s="290"/>
      <c r="JMO88" s="297"/>
      <c r="JMP88" s="260"/>
      <c r="JMQ88" s="261"/>
      <c r="JMR88" s="262"/>
      <c r="JMS88" s="263"/>
      <c r="JMT88" s="289"/>
      <c r="JMU88" s="289"/>
      <c r="JMV88" s="289"/>
      <c r="JMW88" s="292"/>
      <c r="JMX88" s="289"/>
      <c r="JMY88" s="293"/>
      <c r="JMZ88" s="266"/>
      <c r="JNA88" s="290"/>
      <c r="JNB88" s="297"/>
      <c r="JNC88" s="260"/>
      <c r="JND88" s="261"/>
      <c r="JNE88" s="262"/>
      <c r="JNF88" s="263"/>
      <c r="JNG88" s="289"/>
      <c r="JNH88" s="289"/>
      <c r="JNI88" s="289"/>
      <c r="JNJ88" s="292"/>
      <c r="JNK88" s="289"/>
      <c r="JNL88" s="293"/>
      <c r="JNM88" s="266"/>
      <c r="JNN88" s="290"/>
      <c r="JNO88" s="297"/>
      <c r="JNP88" s="260"/>
      <c r="JNQ88" s="261"/>
      <c r="JNR88" s="262"/>
      <c r="JNS88" s="263"/>
      <c r="JNT88" s="289"/>
      <c r="JNU88" s="289"/>
      <c r="JNV88" s="289"/>
      <c r="JNW88" s="292"/>
      <c r="JNX88" s="289"/>
      <c r="JNY88" s="293"/>
      <c r="JNZ88" s="266"/>
      <c r="JOA88" s="290"/>
      <c r="JOB88" s="297"/>
      <c r="JOC88" s="260"/>
      <c r="JOD88" s="261"/>
      <c r="JOE88" s="262"/>
      <c r="JOF88" s="263"/>
      <c r="JOG88" s="289"/>
      <c r="JOH88" s="289"/>
      <c r="JOI88" s="289"/>
      <c r="JOJ88" s="292"/>
      <c r="JOK88" s="289"/>
      <c r="JOL88" s="293"/>
      <c r="JOM88" s="266"/>
      <c r="JON88" s="290"/>
      <c r="JOO88" s="297"/>
      <c r="JOP88" s="260"/>
      <c r="JOQ88" s="261"/>
      <c r="JOR88" s="262"/>
      <c r="JOS88" s="263"/>
      <c r="JOT88" s="289"/>
      <c r="JOU88" s="289"/>
      <c r="JOV88" s="289"/>
      <c r="JOW88" s="292"/>
      <c r="JOX88" s="289"/>
      <c r="JOY88" s="293"/>
      <c r="JOZ88" s="266"/>
      <c r="JPA88" s="290"/>
      <c r="JPB88" s="297"/>
      <c r="JPC88" s="260"/>
      <c r="JPD88" s="261"/>
      <c r="JPE88" s="262"/>
      <c r="JPF88" s="263"/>
      <c r="JPG88" s="289"/>
      <c r="JPH88" s="289"/>
      <c r="JPI88" s="289"/>
      <c r="JPJ88" s="292"/>
      <c r="JPK88" s="289"/>
      <c r="JPL88" s="293"/>
      <c r="JPM88" s="266"/>
      <c r="JPN88" s="290"/>
      <c r="JPO88" s="297"/>
      <c r="JPP88" s="260"/>
      <c r="JPQ88" s="261"/>
      <c r="JPR88" s="262"/>
      <c r="JPS88" s="263"/>
      <c r="JPT88" s="289"/>
      <c r="JPU88" s="289"/>
      <c r="JPV88" s="289"/>
      <c r="JPW88" s="292"/>
      <c r="JPX88" s="289"/>
      <c r="JPY88" s="293"/>
      <c r="JPZ88" s="266"/>
      <c r="JQA88" s="290"/>
      <c r="JQB88" s="297"/>
      <c r="JQC88" s="260"/>
      <c r="JQD88" s="261"/>
      <c r="JQE88" s="262"/>
      <c r="JQF88" s="263"/>
      <c r="JQG88" s="289"/>
      <c r="JQH88" s="289"/>
      <c r="JQI88" s="289"/>
      <c r="JQJ88" s="292"/>
      <c r="JQK88" s="289"/>
      <c r="JQL88" s="293"/>
      <c r="JQM88" s="266"/>
      <c r="JQN88" s="290"/>
      <c r="JQO88" s="297"/>
      <c r="JQP88" s="260"/>
      <c r="JQQ88" s="261"/>
      <c r="JQR88" s="262"/>
      <c r="JQS88" s="263"/>
      <c r="JQT88" s="289"/>
      <c r="JQU88" s="289"/>
      <c r="JQV88" s="289"/>
      <c r="JQW88" s="292"/>
      <c r="JQX88" s="289"/>
      <c r="JQY88" s="293"/>
      <c r="JQZ88" s="266"/>
      <c r="JRA88" s="290"/>
      <c r="JRB88" s="297"/>
      <c r="JRC88" s="260"/>
      <c r="JRD88" s="261"/>
      <c r="JRE88" s="262"/>
      <c r="JRF88" s="263"/>
      <c r="JRG88" s="289"/>
      <c r="JRH88" s="289"/>
      <c r="JRI88" s="289"/>
      <c r="JRJ88" s="292"/>
      <c r="JRK88" s="289"/>
      <c r="JRL88" s="293"/>
      <c r="JRM88" s="266"/>
      <c r="JRN88" s="290"/>
      <c r="JRO88" s="297"/>
      <c r="JRP88" s="260"/>
      <c r="JRQ88" s="261"/>
      <c r="JRR88" s="262"/>
      <c r="JRS88" s="263"/>
      <c r="JRT88" s="289"/>
      <c r="JRU88" s="289"/>
      <c r="JRV88" s="289"/>
      <c r="JRW88" s="292"/>
      <c r="JRX88" s="289"/>
      <c r="JRY88" s="293"/>
      <c r="JRZ88" s="266"/>
      <c r="JSA88" s="290"/>
      <c r="JSB88" s="297"/>
      <c r="JSC88" s="260"/>
      <c r="JSD88" s="261"/>
      <c r="JSE88" s="262"/>
      <c r="JSF88" s="263"/>
      <c r="JSG88" s="289"/>
      <c r="JSH88" s="289"/>
      <c r="JSI88" s="289"/>
      <c r="JSJ88" s="292"/>
      <c r="JSK88" s="289"/>
      <c r="JSL88" s="293"/>
      <c r="JSM88" s="266"/>
      <c r="JSN88" s="290"/>
      <c r="JSO88" s="297"/>
      <c r="JSP88" s="260"/>
      <c r="JSQ88" s="261"/>
      <c r="JSR88" s="262"/>
      <c r="JSS88" s="263"/>
      <c r="JST88" s="289"/>
      <c r="JSU88" s="289"/>
      <c r="JSV88" s="289"/>
      <c r="JSW88" s="292"/>
      <c r="JSX88" s="289"/>
      <c r="JSY88" s="293"/>
      <c r="JSZ88" s="266"/>
      <c r="JTA88" s="290"/>
      <c r="JTB88" s="297"/>
      <c r="JTC88" s="260"/>
      <c r="JTD88" s="261"/>
      <c r="JTE88" s="262"/>
      <c r="JTF88" s="263"/>
      <c r="JTG88" s="289"/>
      <c r="JTH88" s="289"/>
      <c r="JTI88" s="289"/>
      <c r="JTJ88" s="292"/>
      <c r="JTK88" s="289"/>
      <c r="JTL88" s="293"/>
      <c r="JTM88" s="266"/>
      <c r="JTN88" s="290"/>
      <c r="JTO88" s="297"/>
      <c r="JTP88" s="260"/>
      <c r="JTQ88" s="261"/>
      <c r="JTR88" s="262"/>
      <c r="JTS88" s="263"/>
      <c r="JTT88" s="289"/>
      <c r="JTU88" s="289"/>
      <c r="JTV88" s="289"/>
      <c r="JTW88" s="292"/>
      <c r="JTX88" s="289"/>
      <c r="JTY88" s="293"/>
      <c r="JTZ88" s="266"/>
      <c r="JUA88" s="290"/>
      <c r="JUB88" s="297"/>
      <c r="JUC88" s="260"/>
      <c r="JUD88" s="261"/>
      <c r="JUE88" s="262"/>
      <c r="JUF88" s="263"/>
      <c r="JUG88" s="289"/>
      <c r="JUH88" s="289"/>
      <c r="JUI88" s="289"/>
      <c r="JUJ88" s="292"/>
      <c r="JUK88" s="289"/>
      <c r="JUL88" s="293"/>
      <c r="JUM88" s="266"/>
      <c r="JUN88" s="290"/>
      <c r="JUO88" s="297"/>
      <c r="JUP88" s="260"/>
      <c r="JUQ88" s="261"/>
      <c r="JUR88" s="262"/>
      <c r="JUS88" s="263"/>
      <c r="JUT88" s="289"/>
      <c r="JUU88" s="289"/>
      <c r="JUV88" s="289"/>
      <c r="JUW88" s="292"/>
      <c r="JUX88" s="289"/>
      <c r="JUY88" s="293"/>
      <c r="JUZ88" s="266"/>
      <c r="JVA88" s="290"/>
      <c r="JVB88" s="297"/>
      <c r="JVC88" s="260"/>
      <c r="JVD88" s="261"/>
      <c r="JVE88" s="262"/>
      <c r="JVF88" s="263"/>
      <c r="JVG88" s="289"/>
      <c r="JVH88" s="289"/>
      <c r="JVI88" s="289"/>
      <c r="JVJ88" s="292"/>
      <c r="JVK88" s="289"/>
      <c r="JVL88" s="293"/>
      <c r="JVM88" s="266"/>
      <c r="JVN88" s="290"/>
      <c r="JVO88" s="297"/>
      <c r="JVP88" s="260"/>
      <c r="JVQ88" s="261"/>
      <c r="JVR88" s="262"/>
      <c r="JVS88" s="263"/>
      <c r="JVT88" s="289"/>
      <c r="JVU88" s="289"/>
      <c r="JVV88" s="289"/>
      <c r="JVW88" s="292"/>
      <c r="JVX88" s="289"/>
      <c r="JVY88" s="293"/>
      <c r="JVZ88" s="266"/>
      <c r="JWA88" s="290"/>
      <c r="JWB88" s="297"/>
      <c r="JWC88" s="260"/>
      <c r="JWD88" s="261"/>
      <c r="JWE88" s="262"/>
      <c r="JWF88" s="263"/>
      <c r="JWG88" s="289"/>
      <c r="JWH88" s="289"/>
      <c r="JWI88" s="289"/>
      <c r="JWJ88" s="292"/>
      <c r="JWK88" s="289"/>
      <c r="JWL88" s="293"/>
      <c r="JWM88" s="266"/>
      <c r="JWN88" s="290"/>
      <c r="JWO88" s="297"/>
      <c r="JWP88" s="260"/>
      <c r="JWQ88" s="261"/>
      <c r="JWR88" s="262"/>
      <c r="JWS88" s="263"/>
      <c r="JWT88" s="289"/>
      <c r="JWU88" s="289"/>
      <c r="JWV88" s="289"/>
      <c r="JWW88" s="292"/>
      <c r="JWX88" s="289"/>
      <c r="JWY88" s="293"/>
      <c r="JWZ88" s="266"/>
      <c r="JXA88" s="290"/>
      <c r="JXB88" s="297"/>
      <c r="JXC88" s="260"/>
      <c r="JXD88" s="261"/>
      <c r="JXE88" s="262"/>
      <c r="JXF88" s="263"/>
      <c r="JXG88" s="289"/>
      <c r="JXH88" s="289"/>
      <c r="JXI88" s="289"/>
      <c r="JXJ88" s="292"/>
      <c r="JXK88" s="289"/>
      <c r="JXL88" s="293"/>
      <c r="JXM88" s="266"/>
      <c r="JXN88" s="290"/>
      <c r="JXO88" s="297"/>
      <c r="JXP88" s="260"/>
      <c r="JXQ88" s="261"/>
      <c r="JXR88" s="262"/>
      <c r="JXS88" s="263"/>
      <c r="JXT88" s="289"/>
      <c r="JXU88" s="289"/>
      <c r="JXV88" s="289"/>
      <c r="JXW88" s="292"/>
      <c r="JXX88" s="289"/>
      <c r="JXY88" s="293"/>
      <c r="JXZ88" s="266"/>
      <c r="JYA88" s="290"/>
      <c r="JYB88" s="297"/>
      <c r="JYC88" s="260"/>
      <c r="JYD88" s="261"/>
      <c r="JYE88" s="262"/>
      <c r="JYF88" s="263"/>
      <c r="JYG88" s="289"/>
      <c r="JYH88" s="289"/>
      <c r="JYI88" s="289"/>
      <c r="JYJ88" s="292"/>
      <c r="JYK88" s="289"/>
      <c r="JYL88" s="293"/>
      <c r="JYM88" s="266"/>
      <c r="JYN88" s="290"/>
      <c r="JYO88" s="297"/>
      <c r="JYP88" s="260"/>
      <c r="JYQ88" s="261"/>
      <c r="JYR88" s="262"/>
      <c r="JYS88" s="263"/>
      <c r="JYT88" s="289"/>
      <c r="JYU88" s="289"/>
      <c r="JYV88" s="289"/>
      <c r="JYW88" s="292"/>
      <c r="JYX88" s="289"/>
      <c r="JYY88" s="293"/>
      <c r="JYZ88" s="266"/>
      <c r="JZA88" s="290"/>
      <c r="JZB88" s="297"/>
      <c r="JZC88" s="260"/>
      <c r="JZD88" s="261"/>
      <c r="JZE88" s="262"/>
      <c r="JZF88" s="263"/>
      <c r="JZG88" s="289"/>
      <c r="JZH88" s="289"/>
      <c r="JZI88" s="289"/>
      <c r="JZJ88" s="292"/>
      <c r="JZK88" s="289"/>
      <c r="JZL88" s="293"/>
      <c r="JZM88" s="266"/>
      <c r="JZN88" s="290"/>
      <c r="JZO88" s="297"/>
      <c r="JZP88" s="260"/>
      <c r="JZQ88" s="261"/>
      <c r="JZR88" s="262"/>
      <c r="JZS88" s="263"/>
      <c r="JZT88" s="289"/>
      <c r="JZU88" s="289"/>
      <c r="JZV88" s="289"/>
      <c r="JZW88" s="292"/>
      <c r="JZX88" s="289"/>
      <c r="JZY88" s="293"/>
      <c r="JZZ88" s="266"/>
      <c r="KAA88" s="290"/>
      <c r="KAB88" s="297"/>
      <c r="KAC88" s="260"/>
      <c r="KAD88" s="261"/>
      <c r="KAE88" s="262"/>
      <c r="KAF88" s="263"/>
      <c r="KAG88" s="289"/>
      <c r="KAH88" s="289"/>
      <c r="KAI88" s="289"/>
      <c r="KAJ88" s="292"/>
      <c r="KAK88" s="289"/>
      <c r="KAL88" s="293"/>
      <c r="KAM88" s="266"/>
      <c r="KAN88" s="290"/>
      <c r="KAO88" s="297"/>
      <c r="KAP88" s="260"/>
      <c r="KAQ88" s="261"/>
      <c r="KAR88" s="262"/>
      <c r="KAS88" s="263"/>
      <c r="KAT88" s="289"/>
      <c r="KAU88" s="289"/>
      <c r="KAV88" s="289"/>
      <c r="KAW88" s="292"/>
      <c r="KAX88" s="289"/>
      <c r="KAY88" s="293"/>
      <c r="KAZ88" s="266"/>
      <c r="KBA88" s="290"/>
      <c r="KBB88" s="297"/>
      <c r="KBC88" s="260"/>
      <c r="KBD88" s="261"/>
      <c r="KBE88" s="262"/>
      <c r="KBF88" s="263"/>
      <c r="KBG88" s="289"/>
      <c r="KBH88" s="289"/>
      <c r="KBI88" s="289"/>
      <c r="KBJ88" s="292"/>
      <c r="KBK88" s="289"/>
      <c r="KBL88" s="293"/>
      <c r="KBM88" s="266"/>
      <c r="KBN88" s="290"/>
      <c r="KBO88" s="297"/>
      <c r="KBP88" s="260"/>
      <c r="KBQ88" s="261"/>
      <c r="KBR88" s="262"/>
      <c r="KBS88" s="263"/>
      <c r="KBT88" s="289"/>
      <c r="KBU88" s="289"/>
      <c r="KBV88" s="289"/>
      <c r="KBW88" s="292"/>
      <c r="KBX88" s="289"/>
      <c r="KBY88" s="293"/>
      <c r="KBZ88" s="266"/>
      <c r="KCA88" s="290"/>
      <c r="KCB88" s="297"/>
      <c r="KCC88" s="260"/>
      <c r="KCD88" s="261"/>
      <c r="KCE88" s="262"/>
      <c r="KCF88" s="263"/>
      <c r="KCG88" s="289"/>
      <c r="KCH88" s="289"/>
      <c r="KCI88" s="289"/>
      <c r="KCJ88" s="292"/>
      <c r="KCK88" s="289"/>
      <c r="KCL88" s="293"/>
      <c r="KCM88" s="266"/>
      <c r="KCN88" s="290"/>
      <c r="KCO88" s="297"/>
      <c r="KCP88" s="260"/>
      <c r="KCQ88" s="261"/>
      <c r="KCR88" s="262"/>
      <c r="KCS88" s="263"/>
      <c r="KCT88" s="289"/>
      <c r="KCU88" s="289"/>
      <c r="KCV88" s="289"/>
      <c r="KCW88" s="292"/>
      <c r="KCX88" s="289"/>
      <c r="KCY88" s="293"/>
      <c r="KCZ88" s="266"/>
      <c r="KDA88" s="290"/>
      <c r="KDB88" s="297"/>
      <c r="KDC88" s="260"/>
      <c r="KDD88" s="261"/>
      <c r="KDE88" s="262"/>
      <c r="KDF88" s="263"/>
      <c r="KDG88" s="289"/>
      <c r="KDH88" s="289"/>
      <c r="KDI88" s="289"/>
      <c r="KDJ88" s="292"/>
      <c r="KDK88" s="289"/>
      <c r="KDL88" s="293"/>
      <c r="KDM88" s="266"/>
      <c r="KDN88" s="290"/>
      <c r="KDO88" s="297"/>
      <c r="KDP88" s="260"/>
      <c r="KDQ88" s="261"/>
      <c r="KDR88" s="262"/>
      <c r="KDS88" s="263"/>
      <c r="KDT88" s="289"/>
      <c r="KDU88" s="289"/>
      <c r="KDV88" s="289"/>
      <c r="KDW88" s="292"/>
      <c r="KDX88" s="289"/>
      <c r="KDY88" s="293"/>
      <c r="KDZ88" s="266"/>
      <c r="KEA88" s="290"/>
      <c r="KEB88" s="297"/>
      <c r="KEC88" s="260"/>
      <c r="KED88" s="261"/>
      <c r="KEE88" s="262"/>
      <c r="KEF88" s="263"/>
      <c r="KEG88" s="289"/>
      <c r="KEH88" s="289"/>
      <c r="KEI88" s="289"/>
      <c r="KEJ88" s="292"/>
      <c r="KEK88" s="289"/>
      <c r="KEL88" s="293"/>
      <c r="KEM88" s="266"/>
      <c r="KEN88" s="290"/>
      <c r="KEO88" s="297"/>
      <c r="KEP88" s="260"/>
      <c r="KEQ88" s="261"/>
      <c r="KER88" s="262"/>
      <c r="KES88" s="263"/>
      <c r="KET88" s="289"/>
      <c r="KEU88" s="289"/>
      <c r="KEV88" s="289"/>
      <c r="KEW88" s="292"/>
      <c r="KEX88" s="289"/>
      <c r="KEY88" s="293"/>
      <c r="KEZ88" s="266"/>
      <c r="KFA88" s="290"/>
      <c r="KFB88" s="297"/>
      <c r="KFC88" s="260"/>
      <c r="KFD88" s="261"/>
      <c r="KFE88" s="262"/>
      <c r="KFF88" s="263"/>
      <c r="KFG88" s="289"/>
      <c r="KFH88" s="289"/>
      <c r="KFI88" s="289"/>
      <c r="KFJ88" s="292"/>
      <c r="KFK88" s="289"/>
      <c r="KFL88" s="293"/>
      <c r="KFM88" s="266"/>
      <c r="KFN88" s="290"/>
      <c r="KFO88" s="297"/>
      <c r="KFP88" s="260"/>
      <c r="KFQ88" s="261"/>
      <c r="KFR88" s="262"/>
      <c r="KFS88" s="263"/>
      <c r="KFT88" s="289"/>
      <c r="KFU88" s="289"/>
      <c r="KFV88" s="289"/>
      <c r="KFW88" s="292"/>
      <c r="KFX88" s="289"/>
      <c r="KFY88" s="293"/>
      <c r="KFZ88" s="266"/>
      <c r="KGA88" s="290"/>
      <c r="KGB88" s="297"/>
      <c r="KGC88" s="260"/>
      <c r="KGD88" s="261"/>
      <c r="KGE88" s="262"/>
      <c r="KGF88" s="263"/>
      <c r="KGG88" s="289"/>
      <c r="KGH88" s="289"/>
      <c r="KGI88" s="289"/>
      <c r="KGJ88" s="292"/>
      <c r="KGK88" s="289"/>
      <c r="KGL88" s="293"/>
      <c r="KGM88" s="266"/>
      <c r="KGN88" s="290"/>
      <c r="KGO88" s="297"/>
      <c r="KGP88" s="260"/>
      <c r="KGQ88" s="261"/>
      <c r="KGR88" s="262"/>
      <c r="KGS88" s="263"/>
      <c r="KGT88" s="289"/>
      <c r="KGU88" s="289"/>
      <c r="KGV88" s="289"/>
      <c r="KGW88" s="292"/>
      <c r="KGX88" s="289"/>
      <c r="KGY88" s="293"/>
      <c r="KGZ88" s="266"/>
      <c r="KHA88" s="290"/>
      <c r="KHB88" s="297"/>
      <c r="KHC88" s="260"/>
      <c r="KHD88" s="261"/>
      <c r="KHE88" s="262"/>
      <c r="KHF88" s="263"/>
      <c r="KHG88" s="289"/>
      <c r="KHH88" s="289"/>
      <c r="KHI88" s="289"/>
      <c r="KHJ88" s="292"/>
      <c r="KHK88" s="289"/>
      <c r="KHL88" s="293"/>
      <c r="KHM88" s="266"/>
      <c r="KHN88" s="290"/>
      <c r="KHO88" s="297"/>
      <c r="KHP88" s="260"/>
      <c r="KHQ88" s="261"/>
      <c r="KHR88" s="262"/>
      <c r="KHS88" s="263"/>
      <c r="KHT88" s="289"/>
      <c r="KHU88" s="289"/>
      <c r="KHV88" s="289"/>
      <c r="KHW88" s="292"/>
      <c r="KHX88" s="289"/>
      <c r="KHY88" s="293"/>
      <c r="KHZ88" s="266"/>
      <c r="KIA88" s="290"/>
      <c r="KIB88" s="297"/>
      <c r="KIC88" s="260"/>
      <c r="KID88" s="261"/>
      <c r="KIE88" s="262"/>
      <c r="KIF88" s="263"/>
      <c r="KIG88" s="289"/>
      <c r="KIH88" s="289"/>
      <c r="KII88" s="289"/>
      <c r="KIJ88" s="292"/>
      <c r="KIK88" s="289"/>
      <c r="KIL88" s="293"/>
      <c r="KIM88" s="266"/>
      <c r="KIN88" s="290"/>
      <c r="KIO88" s="297"/>
      <c r="KIP88" s="260"/>
      <c r="KIQ88" s="261"/>
      <c r="KIR88" s="262"/>
      <c r="KIS88" s="263"/>
      <c r="KIT88" s="289"/>
      <c r="KIU88" s="289"/>
      <c r="KIV88" s="289"/>
      <c r="KIW88" s="292"/>
      <c r="KIX88" s="289"/>
      <c r="KIY88" s="293"/>
      <c r="KIZ88" s="266"/>
      <c r="KJA88" s="290"/>
      <c r="KJB88" s="297"/>
      <c r="KJC88" s="260"/>
      <c r="KJD88" s="261"/>
      <c r="KJE88" s="262"/>
      <c r="KJF88" s="263"/>
      <c r="KJG88" s="289"/>
      <c r="KJH88" s="289"/>
      <c r="KJI88" s="289"/>
      <c r="KJJ88" s="292"/>
      <c r="KJK88" s="289"/>
      <c r="KJL88" s="293"/>
      <c r="KJM88" s="266"/>
      <c r="KJN88" s="290"/>
      <c r="KJO88" s="297"/>
      <c r="KJP88" s="260"/>
      <c r="KJQ88" s="261"/>
      <c r="KJR88" s="262"/>
      <c r="KJS88" s="263"/>
      <c r="KJT88" s="289"/>
      <c r="KJU88" s="289"/>
      <c r="KJV88" s="289"/>
      <c r="KJW88" s="292"/>
      <c r="KJX88" s="289"/>
      <c r="KJY88" s="293"/>
      <c r="KJZ88" s="266"/>
      <c r="KKA88" s="290"/>
      <c r="KKB88" s="297"/>
      <c r="KKC88" s="260"/>
      <c r="KKD88" s="261"/>
      <c r="KKE88" s="262"/>
      <c r="KKF88" s="263"/>
      <c r="KKG88" s="289"/>
      <c r="KKH88" s="289"/>
      <c r="KKI88" s="289"/>
      <c r="KKJ88" s="292"/>
      <c r="KKK88" s="289"/>
      <c r="KKL88" s="293"/>
      <c r="KKM88" s="266"/>
      <c r="KKN88" s="290"/>
      <c r="KKO88" s="297"/>
      <c r="KKP88" s="260"/>
      <c r="KKQ88" s="261"/>
      <c r="KKR88" s="262"/>
      <c r="KKS88" s="263"/>
      <c r="KKT88" s="289"/>
      <c r="KKU88" s="289"/>
      <c r="KKV88" s="289"/>
      <c r="KKW88" s="292"/>
      <c r="KKX88" s="289"/>
      <c r="KKY88" s="293"/>
      <c r="KKZ88" s="266"/>
      <c r="KLA88" s="290"/>
      <c r="KLB88" s="297"/>
      <c r="KLC88" s="260"/>
      <c r="KLD88" s="261"/>
      <c r="KLE88" s="262"/>
      <c r="KLF88" s="263"/>
      <c r="KLG88" s="289"/>
      <c r="KLH88" s="289"/>
      <c r="KLI88" s="289"/>
      <c r="KLJ88" s="292"/>
      <c r="KLK88" s="289"/>
      <c r="KLL88" s="293"/>
      <c r="KLM88" s="266"/>
      <c r="KLN88" s="290"/>
      <c r="KLO88" s="297"/>
      <c r="KLP88" s="260"/>
      <c r="KLQ88" s="261"/>
      <c r="KLR88" s="262"/>
      <c r="KLS88" s="263"/>
      <c r="KLT88" s="289"/>
      <c r="KLU88" s="289"/>
      <c r="KLV88" s="289"/>
      <c r="KLW88" s="292"/>
      <c r="KLX88" s="289"/>
      <c r="KLY88" s="293"/>
      <c r="KLZ88" s="266"/>
      <c r="KMA88" s="290"/>
      <c r="KMB88" s="297"/>
      <c r="KMC88" s="260"/>
      <c r="KMD88" s="261"/>
      <c r="KME88" s="262"/>
      <c r="KMF88" s="263"/>
      <c r="KMG88" s="289"/>
      <c r="KMH88" s="289"/>
      <c r="KMI88" s="289"/>
      <c r="KMJ88" s="292"/>
      <c r="KMK88" s="289"/>
      <c r="KML88" s="293"/>
      <c r="KMM88" s="266"/>
      <c r="KMN88" s="290"/>
      <c r="KMO88" s="297"/>
      <c r="KMP88" s="260"/>
      <c r="KMQ88" s="261"/>
      <c r="KMR88" s="262"/>
      <c r="KMS88" s="263"/>
      <c r="KMT88" s="289"/>
      <c r="KMU88" s="289"/>
      <c r="KMV88" s="289"/>
      <c r="KMW88" s="292"/>
      <c r="KMX88" s="289"/>
      <c r="KMY88" s="293"/>
      <c r="KMZ88" s="266"/>
      <c r="KNA88" s="290"/>
      <c r="KNB88" s="297"/>
      <c r="KNC88" s="260"/>
      <c r="KND88" s="261"/>
      <c r="KNE88" s="262"/>
      <c r="KNF88" s="263"/>
      <c r="KNG88" s="289"/>
      <c r="KNH88" s="289"/>
      <c r="KNI88" s="289"/>
      <c r="KNJ88" s="292"/>
      <c r="KNK88" s="289"/>
      <c r="KNL88" s="293"/>
      <c r="KNM88" s="266"/>
      <c r="KNN88" s="290"/>
      <c r="KNO88" s="297"/>
      <c r="KNP88" s="260"/>
      <c r="KNQ88" s="261"/>
      <c r="KNR88" s="262"/>
      <c r="KNS88" s="263"/>
      <c r="KNT88" s="289"/>
      <c r="KNU88" s="289"/>
      <c r="KNV88" s="289"/>
      <c r="KNW88" s="292"/>
      <c r="KNX88" s="289"/>
      <c r="KNY88" s="293"/>
      <c r="KNZ88" s="266"/>
      <c r="KOA88" s="290"/>
      <c r="KOB88" s="297"/>
      <c r="KOC88" s="260"/>
      <c r="KOD88" s="261"/>
      <c r="KOE88" s="262"/>
      <c r="KOF88" s="263"/>
      <c r="KOG88" s="289"/>
      <c r="KOH88" s="289"/>
      <c r="KOI88" s="289"/>
      <c r="KOJ88" s="292"/>
      <c r="KOK88" s="289"/>
      <c r="KOL88" s="293"/>
      <c r="KOM88" s="266"/>
      <c r="KON88" s="290"/>
      <c r="KOO88" s="297"/>
      <c r="KOP88" s="260"/>
      <c r="KOQ88" s="261"/>
      <c r="KOR88" s="262"/>
      <c r="KOS88" s="263"/>
      <c r="KOT88" s="289"/>
      <c r="KOU88" s="289"/>
      <c r="KOV88" s="289"/>
      <c r="KOW88" s="292"/>
      <c r="KOX88" s="289"/>
      <c r="KOY88" s="293"/>
      <c r="KOZ88" s="266"/>
      <c r="KPA88" s="290"/>
      <c r="KPB88" s="297"/>
      <c r="KPC88" s="260"/>
      <c r="KPD88" s="261"/>
      <c r="KPE88" s="262"/>
      <c r="KPF88" s="263"/>
      <c r="KPG88" s="289"/>
      <c r="KPH88" s="289"/>
      <c r="KPI88" s="289"/>
      <c r="KPJ88" s="292"/>
      <c r="KPK88" s="289"/>
      <c r="KPL88" s="293"/>
      <c r="KPM88" s="266"/>
      <c r="KPN88" s="290"/>
      <c r="KPO88" s="297"/>
      <c r="KPP88" s="260"/>
      <c r="KPQ88" s="261"/>
      <c r="KPR88" s="262"/>
      <c r="KPS88" s="263"/>
      <c r="KPT88" s="289"/>
      <c r="KPU88" s="289"/>
      <c r="KPV88" s="289"/>
      <c r="KPW88" s="292"/>
      <c r="KPX88" s="289"/>
      <c r="KPY88" s="293"/>
      <c r="KPZ88" s="266"/>
      <c r="KQA88" s="290"/>
      <c r="KQB88" s="297"/>
      <c r="KQC88" s="260"/>
      <c r="KQD88" s="261"/>
      <c r="KQE88" s="262"/>
      <c r="KQF88" s="263"/>
      <c r="KQG88" s="289"/>
      <c r="KQH88" s="289"/>
      <c r="KQI88" s="289"/>
      <c r="KQJ88" s="292"/>
      <c r="KQK88" s="289"/>
      <c r="KQL88" s="293"/>
      <c r="KQM88" s="266"/>
      <c r="KQN88" s="290"/>
      <c r="KQO88" s="297"/>
      <c r="KQP88" s="260"/>
      <c r="KQQ88" s="261"/>
      <c r="KQR88" s="262"/>
      <c r="KQS88" s="263"/>
      <c r="KQT88" s="289"/>
      <c r="KQU88" s="289"/>
      <c r="KQV88" s="289"/>
      <c r="KQW88" s="292"/>
      <c r="KQX88" s="289"/>
      <c r="KQY88" s="293"/>
      <c r="KQZ88" s="266"/>
      <c r="KRA88" s="290"/>
      <c r="KRB88" s="297"/>
      <c r="KRC88" s="260"/>
      <c r="KRD88" s="261"/>
      <c r="KRE88" s="262"/>
      <c r="KRF88" s="263"/>
      <c r="KRG88" s="289"/>
      <c r="KRH88" s="289"/>
      <c r="KRI88" s="289"/>
      <c r="KRJ88" s="292"/>
      <c r="KRK88" s="289"/>
      <c r="KRL88" s="293"/>
      <c r="KRM88" s="266"/>
      <c r="KRN88" s="290"/>
      <c r="KRO88" s="297"/>
      <c r="KRP88" s="260"/>
      <c r="KRQ88" s="261"/>
      <c r="KRR88" s="262"/>
      <c r="KRS88" s="263"/>
      <c r="KRT88" s="289"/>
      <c r="KRU88" s="289"/>
      <c r="KRV88" s="289"/>
      <c r="KRW88" s="292"/>
      <c r="KRX88" s="289"/>
      <c r="KRY88" s="293"/>
      <c r="KRZ88" s="266"/>
      <c r="KSA88" s="290"/>
      <c r="KSB88" s="297"/>
      <c r="KSC88" s="260"/>
      <c r="KSD88" s="261"/>
      <c r="KSE88" s="262"/>
      <c r="KSF88" s="263"/>
      <c r="KSG88" s="289"/>
      <c r="KSH88" s="289"/>
      <c r="KSI88" s="289"/>
      <c r="KSJ88" s="292"/>
      <c r="KSK88" s="289"/>
      <c r="KSL88" s="293"/>
      <c r="KSM88" s="266"/>
      <c r="KSN88" s="290"/>
      <c r="KSO88" s="297"/>
      <c r="KSP88" s="260"/>
      <c r="KSQ88" s="261"/>
      <c r="KSR88" s="262"/>
      <c r="KSS88" s="263"/>
      <c r="KST88" s="289"/>
      <c r="KSU88" s="289"/>
      <c r="KSV88" s="289"/>
      <c r="KSW88" s="292"/>
      <c r="KSX88" s="289"/>
      <c r="KSY88" s="293"/>
      <c r="KSZ88" s="266"/>
      <c r="KTA88" s="290"/>
      <c r="KTB88" s="297"/>
      <c r="KTC88" s="260"/>
      <c r="KTD88" s="261"/>
      <c r="KTE88" s="262"/>
      <c r="KTF88" s="263"/>
      <c r="KTG88" s="289"/>
      <c r="KTH88" s="289"/>
      <c r="KTI88" s="289"/>
      <c r="KTJ88" s="292"/>
      <c r="KTK88" s="289"/>
      <c r="KTL88" s="293"/>
      <c r="KTM88" s="266"/>
      <c r="KTN88" s="290"/>
      <c r="KTO88" s="297"/>
      <c r="KTP88" s="260"/>
      <c r="KTQ88" s="261"/>
      <c r="KTR88" s="262"/>
      <c r="KTS88" s="263"/>
      <c r="KTT88" s="289"/>
      <c r="KTU88" s="289"/>
      <c r="KTV88" s="289"/>
      <c r="KTW88" s="292"/>
      <c r="KTX88" s="289"/>
      <c r="KTY88" s="293"/>
      <c r="KTZ88" s="266"/>
      <c r="KUA88" s="290"/>
      <c r="KUB88" s="297"/>
      <c r="KUC88" s="260"/>
      <c r="KUD88" s="261"/>
      <c r="KUE88" s="262"/>
      <c r="KUF88" s="263"/>
      <c r="KUG88" s="289"/>
      <c r="KUH88" s="289"/>
      <c r="KUI88" s="289"/>
      <c r="KUJ88" s="292"/>
      <c r="KUK88" s="289"/>
      <c r="KUL88" s="293"/>
      <c r="KUM88" s="266"/>
      <c r="KUN88" s="290"/>
      <c r="KUO88" s="297"/>
      <c r="KUP88" s="260"/>
      <c r="KUQ88" s="261"/>
      <c r="KUR88" s="262"/>
      <c r="KUS88" s="263"/>
      <c r="KUT88" s="289"/>
      <c r="KUU88" s="289"/>
      <c r="KUV88" s="289"/>
      <c r="KUW88" s="292"/>
      <c r="KUX88" s="289"/>
      <c r="KUY88" s="293"/>
      <c r="KUZ88" s="266"/>
      <c r="KVA88" s="290"/>
      <c r="KVB88" s="297"/>
      <c r="KVC88" s="260"/>
      <c r="KVD88" s="261"/>
      <c r="KVE88" s="262"/>
      <c r="KVF88" s="263"/>
      <c r="KVG88" s="289"/>
      <c r="KVH88" s="289"/>
      <c r="KVI88" s="289"/>
      <c r="KVJ88" s="292"/>
      <c r="KVK88" s="289"/>
      <c r="KVL88" s="293"/>
      <c r="KVM88" s="266"/>
      <c r="KVN88" s="290"/>
      <c r="KVO88" s="297"/>
      <c r="KVP88" s="260"/>
      <c r="KVQ88" s="261"/>
      <c r="KVR88" s="262"/>
      <c r="KVS88" s="263"/>
      <c r="KVT88" s="289"/>
      <c r="KVU88" s="289"/>
      <c r="KVV88" s="289"/>
      <c r="KVW88" s="292"/>
      <c r="KVX88" s="289"/>
      <c r="KVY88" s="293"/>
      <c r="KVZ88" s="266"/>
      <c r="KWA88" s="290"/>
      <c r="KWB88" s="297"/>
      <c r="KWC88" s="260"/>
      <c r="KWD88" s="261"/>
      <c r="KWE88" s="262"/>
      <c r="KWF88" s="263"/>
      <c r="KWG88" s="289"/>
      <c r="KWH88" s="289"/>
      <c r="KWI88" s="289"/>
      <c r="KWJ88" s="292"/>
      <c r="KWK88" s="289"/>
      <c r="KWL88" s="293"/>
      <c r="KWM88" s="266"/>
      <c r="KWN88" s="290"/>
      <c r="KWO88" s="297"/>
      <c r="KWP88" s="260"/>
      <c r="KWQ88" s="261"/>
      <c r="KWR88" s="262"/>
      <c r="KWS88" s="263"/>
      <c r="KWT88" s="289"/>
      <c r="KWU88" s="289"/>
      <c r="KWV88" s="289"/>
      <c r="KWW88" s="292"/>
      <c r="KWX88" s="289"/>
      <c r="KWY88" s="293"/>
      <c r="KWZ88" s="266"/>
      <c r="KXA88" s="290"/>
      <c r="KXB88" s="297"/>
      <c r="KXC88" s="260"/>
      <c r="KXD88" s="261"/>
      <c r="KXE88" s="262"/>
      <c r="KXF88" s="263"/>
      <c r="KXG88" s="289"/>
      <c r="KXH88" s="289"/>
      <c r="KXI88" s="289"/>
      <c r="KXJ88" s="292"/>
      <c r="KXK88" s="289"/>
      <c r="KXL88" s="293"/>
      <c r="KXM88" s="266"/>
      <c r="KXN88" s="290"/>
      <c r="KXO88" s="297"/>
      <c r="KXP88" s="260"/>
      <c r="KXQ88" s="261"/>
      <c r="KXR88" s="262"/>
      <c r="KXS88" s="263"/>
      <c r="KXT88" s="289"/>
      <c r="KXU88" s="289"/>
      <c r="KXV88" s="289"/>
      <c r="KXW88" s="292"/>
      <c r="KXX88" s="289"/>
      <c r="KXY88" s="293"/>
      <c r="KXZ88" s="266"/>
      <c r="KYA88" s="290"/>
      <c r="KYB88" s="297"/>
      <c r="KYC88" s="260"/>
      <c r="KYD88" s="261"/>
      <c r="KYE88" s="262"/>
      <c r="KYF88" s="263"/>
      <c r="KYG88" s="289"/>
      <c r="KYH88" s="289"/>
      <c r="KYI88" s="289"/>
      <c r="KYJ88" s="292"/>
      <c r="KYK88" s="289"/>
      <c r="KYL88" s="293"/>
      <c r="KYM88" s="266"/>
      <c r="KYN88" s="290"/>
      <c r="KYO88" s="297"/>
      <c r="KYP88" s="260"/>
      <c r="KYQ88" s="261"/>
      <c r="KYR88" s="262"/>
      <c r="KYS88" s="263"/>
      <c r="KYT88" s="289"/>
      <c r="KYU88" s="289"/>
      <c r="KYV88" s="289"/>
      <c r="KYW88" s="292"/>
      <c r="KYX88" s="289"/>
      <c r="KYY88" s="293"/>
      <c r="KYZ88" s="266"/>
      <c r="KZA88" s="290"/>
      <c r="KZB88" s="297"/>
      <c r="KZC88" s="260"/>
      <c r="KZD88" s="261"/>
      <c r="KZE88" s="262"/>
      <c r="KZF88" s="263"/>
      <c r="KZG88" s="289"/>
      <c r="KZH88" s="289"/>
      <c r="KZI88" s="289"/>
      <c r="KZJ88" s="292"/>
      <c r="KZK88" s="289"/>
      <c r="KZL88" s="293"/>
      <c r="KZM88" s="266"/>
      <c r="KZN88" s="290"/>
      <c r="KZO88" s="297"/>
      <c r="KZP88" s="260"/>
      <c r="KZQ88" s="261"/>
      <c r="KZR88" s="262"/>
      <c r="KZS88" s="263"/>
      <c r="KZT88" s="289"/>
      <c r="KZU88" s="289"/>
      <c r="KZV88" s="289"/>
      <c r="KZW88" s="292"/>
      <c r="KZX88" s="289"/>
      <c r="KZY88" s="293"/>
      <c r="KZZ88" s="266"/>
      <c r="LAA88" s="290"/>
      <c r="LAB88" s="297"/>
      <c r="LAC88" s="260"/>
      <c r="LAD88" s="261"/>
      <c r="LAE88" s="262"/>
      <c r="LAF88" s="263"/>
      <c r="LAG88" s="289"/>
      <c r="LAH88" s="289"/>
      <c r="LAI88" s="289"/>
      <c r="LAJ88" s="292"/>
      <c r="LAK88" s="289"/>
      <c r="LAL88" s="293"/>
      <c r="LAM88" s="266"/>
      <c r="LAN88" s="290"/>
      <c r="LAO88" s="297"/>
      <c r="LAP88" s="260"/>
      <c r="LAQ88" s="261"/>
      <c r="LAR88" s="262"/>
      <c r="LAS88" s="263"/>
      <c r="LAT88" s="289"/>
      <c r="LAU88" s="289"/>
      <c r="LAV88" s="289"/>
      <c r="LAW88" s="292"/>
      <c r="LAX88" s="289"/>
      <c r="LAY88" s="293"/>
      <c r="LAZ88" s="266"/>
      <c r="LBA88" s="290"/>
      <c r="LBB88" s="297"/>
      <c r="LBC88" s="260"/>
      <c r="LBD88" s="261"/>
      <c r="LBE88" s="262"/>
      <c r="LBF88" s="263"/>
      <c r="LBG88" s="289"/>
      <c r="LBH88" s="289"/>
      <c r="LBI88" s="289"/>
      <c r="LBJ88" s="292"/>
      <c r="LBK88" s="289"/>
      <c r="LBL88" s="293"/>
      <c r="LBM88" s="266"/>
      <c r="LBN88" s="290"/>
      <c r="LBO88" s="297"/>
      <c r="LBP88" s="260"/>
      <c r="LBQ88" s="261"/>
      <c r="LBR88" s="262"/>
      <c r="LBS88" s="263"/>
      <c r="LBT88" s="289"/>
      <c r="LBU88" s="289"/>
      <c r="LBV88" s="289"/>
      <c r="LBW88" s="292"/>
      <c r="LBX88" s="289"/>
      <c r="LBY88" s="293"/>
      <c r="LBZ88" s="266"/>
      <c r="LCA88" s="290"/>
      <c r="LCB88" s="297"/>
      <c r="LCC88" s="260"/>
      <c r="LCD88" s="261"/>
      <c r="LCE88" s="262"/>
      <c r="LCF88" s="263"/>
      <c r="LCG88" s="289"/>
      <c r="LCH88" s="289"/>
      <c r="LCI88" s="289"/>
      <c r="LCJ88" s="292"/>
      <c r="LCK88" s="289"/>
      <c r="LCL88" s="293"/>
      <c r="LCM88" s="266"/>
      <c r="LCN88" s="290"/>
      <c r="LCO88" s="297"/>
      <c r="LCP88" s="260"/>
      <c r="LCQ88" s="261"/>
      <c r="LCR88" s="262"/>
      <c r="LCS88" s="263"/>
      <c r="LCT88" s="289"/>
      <c r="LCU88" s="289"/>
      <c r="LCV88" s="289"/>
      <c r="LCW88" s="292"/>
      <c r="LCX88" s="289"/>
      <c r="LCY88" s="293"/>
      <c r="LCZ88" s="266"/>
      <c r="LDA88" s="290"/>
      <c r="LDB88" s="297"/>
      <c r="LDC88" s="260"/>
      <c r="LDD88" s="261"/>
      <c r="LDE88" s="262"/>
      <c r="LDF88" s="263"/>
      <c r="LDG88" s="289"/>
      <c r="LDH88" s="289"/>
      <c r="LDI88" s="289"/>
      <c r="LDJ88" s="292"/>
      <c r="LDK88" s="289"/>
      <c r="LDL88" s="293"/>
      <c r="LDM88" s="266"/>
      <c r="LDN88" s="290"/>
      <c r="LDO88" s="297"/>
      <c r="LDP88" s="260"/>
      <c r="LDQ88" s="261"/>
      <c r="LDR88" s="262"/>
      <c r="LDS88" s="263"/>
      <c r="LDT88" s="289"/>
      <c r="LDU88" s="289"/>
      <c r="LDV88" s="289"/>
      <c r="LDW88" s="292"/>
      <c r="LDX88" s="289"/>
      <c r="LDY88" s="293"/>
      <c r="LDZ88" s="266"/>
      <c r="LEA88" s="290"/>
      <c r="LEB88" s="297"/>
      <c r="LEC88" s="260"/>
      <c r="LED88" s="261"/>
      <c r="LEE88" s="262"/>
      <c r="LEF88" s="263"/>
      <c r="LEG88" s="289"/>
      <c r="LEH88" s="289"/>
      <c r="LEI88" s="289"/>
      <c r="LEJ88" s="292"/>
      <c r="LEK88" s="289"/>
      <c r="LEL88" s="293"/>
      <c r="LEM88" s="266"/>
      <c r="LEN88" s="290"/>
      <c r="LEO88" s="297"/>
      <c r="LEP88" s="260"/>
      <c r="LEQ88" s="261"/>
      <c r="LER88" s="262"/>
      <c r="LES88" s="263"/>
      <c r="LET88" s="289"/>
      <c r="LEU88" s="289"/>
      <c r="LEV88" s="289"/>
      <c r="LEW88" s="292"/>
      <c r="LEX88" s="289"/>
      <c r="LEY88" s="293"/>
      <c r="LEZ88" s="266"/>
      <c r="LFA88" s="290"/>
      <c r="LFB88" s="297"/>
      <c r="LFC88" s="260"/>
      <c r="LFD88" s="261"/>
      <c r="LFE88" s="262"/>
      <c r="LFF88" s="263"/>
      <c r="LFG88" s="289"/>
      <c r="LFH88" s="289"/>
      <c r="LFI88" s="289"/>
      <c r="LFJ88" s="292"/>
      <c r="LFK88" s="289"/>
      <c r="LFL88" s="293"/>
      <c r="LFM88" s="266"/>
      <c r="LFN88" s="290"/>
      <c r="LFO88" s="297"/>
      <c r="LFP88" s="260"/>
      <c r="LFQ88" s="261"/>
      <c r="LFR88" s="262"/>
      <c r="LFS88" s="263"/>
      <c r="LFT88" s="289"/>
      <c r="LFU88" s="289"/>
      <c r="LFV88" s="289"/>
      <c r="LFW88" s="292"/>
      <c r="LFX88" s="289"/>
      <c r="LFY88" s="293"/>
      <c r="LFZ88" s="266"/>
      <c r="LGA88" s="290"/>
      <c r="LGB88" s="297"/>
      <c r="LGC88" s="260"/>
      <c r="LGD88" s="261"/>
      <c r="LGE88" s="262"/>
      <c r="LGF88" s="263"/>
      <c r="LGG88" s="289"/>
      <c r="LGH88" s="289"/>
      <c r="LGI88" s="289"/>
      <c r="LGJ88" s="292"/>
      <c r="LGK88" s="289"/>
      <c r="LGL88" s="293"/>
      <c r="LGM88" s="266"/>
      <c r="LGN88" s="290"/>
      <c r="LGO88" s="297"/>
      <c r="LGP88" s="260"/>
      <c r="LGQ88" s="261"/>
      <c r="LGR88" s="262"/>
      <c r="LGS88" s="263"/>
      <c r="LGT88" s="289"/>
      <c r="LGU88" s="289"/>
      <c r="LGV88" s="289"/>
      <c r="LGW88" s="292"/>
      <c r="LGX88" s="289"/>
      <c r="LGY88" s="293"/>
      <c r="LGZ88" s="266"/>
      <c r="LHA88" s="290"/>
      <c r="LHB88" s="297"/>
      <c r="LHC88" s="260"/>
      <c r="LHD88" s="261"/>
      <c r="LHE88" s="262"/>
      <c r="LHF88" s="263"/>
      <c r="LHG88" s="289"/>
      <c r="LHH88" s="289"/>
      <c r="LHI88" s="289"/>
      <c r="LHJ88" s="292"/>
      <c r="LHK88" s="289"/>
      <c r="LHL88" s="293"/>
      <c r="LHM88" s="266"/>
      <c r="LHN88" s="290"/>
      <c r="LHO88" s="297"/>
      <c r="LHP88" s="260"/>
      <c r="LHQ88" s="261"/>
      <c r="LHR88" s="262"/>
      <c r="LHS88" s="263"/>
      <c r="LHT88" s="289"/>
      <c r="LHU88" s="289"/>
      <c r="LHV88" s="289"/>
      <c r="LHW88" s="292"/>
      <c r="LHX88" s="289"/>
      <c r="LHY88" s="293"/>
      <c r="LHZ88" s="266"/>
      <c r="LIA88" s="290"/>
      <c r="LIB88" s="297"/>
      <c r="LIC88" s="260"/>
      <c r="LID88" s="261"/>
      <c r="LIE88" s="262"/>
      <c r="LIF88" s="263"/>
      <c r="LIG88" s="289"/>
      <c r="LIH88" s="289"/>
      <c r="LII88" s="289"/>
      <c r="LIJ88" s="292"/>
      <c r="LIK88" s="289"/>
      <c r="LIL88" s="293"/>
      <c r="LIM88" s="266"/>
      <c r="LIN88" s="290"/>
      <c r="LIO88" s="297"/>
      <c r="LIP88" s="260"/>
      <c r="LIQ88" s="261"/>
      <c r="LIR88" s="262"/>
      <c r="LIS88" s="263"/>
      <c r="LIT88" s="289"/>
      <c r="LIU88" s="289"/>
      <c r="LIV88" s="289"/>
      <c r="LIW88" s="292"/>
      <c r="LIX88" s="289"/>
      <c r="LIY88" s="293"/>
      <c r="LIZ88" s="266"/>
      <c r="LJA88" s="290"/>
      <c r="LJB88" s="297"/>
      <c r="LJC88" s="260"/>
      <c r="LJD88" s="261"/>
      <c r="LJE88" s="262"/>
      <c r="LJF88" s="263"/>
      <c r="LJG88" s="289"/>
      <c r="LJH88" s="289"/>
      <c r="LJI88" s="289"/>
      <c r="LJJ88" s="292"/>
      <c r="LJK88" s="289"/>
      <c r="LJL88" s="293"/>
      <c r="LJM88" s="266"/>
      <c r="LJN88" s="290"/>
      <c r="LJO88" s="297"/>
      <c r="LJP88" s="260"/>
      <c r="LJQ88" s="261"/>
      <c r="LJR88" s="262"/>
      <c r="LJS88" s="263"/>
      <c r="LJT88" s="289"/>
      <c r="LJU88" s="289"/>
      <c r="LJV88" s="289"/>
      <c r="LJW88" s="292"/>
      <c r="LJX88" s="289"/>
      <c r="LJY88" s="293"/>
      <c r="LJZ88" s="266"/>
      <c r="LKA88" s="290"/>
      <c r="LKB88" s="297"/>
      <c r="LKC88" s="260"/>
      <c r="LKD88" s="261"/>
      <c r="LKE88" s="262"/>
      <c r="LKF88" s="263"/>
      <c r="LKG88" s="289"/>
      <c r="LKH88" s="289"/>
      <c r="LKI88" s="289"/>
      <c r="LKJ88" s="292"/>
      <c r="LKK88" s="289"/>
      <c r="LKL88" s="293"/>
      <c r="LKM88" s="266"/>
      <c r="LKN88" s="290"/>
      <c r="LKO88" s="297"/>
      <c r="LKP88" s="260"/>
      <c r="LKQ88" s="261"/>
      <c r="LKR88" s="262"/>
      <c r="LKS88" s="263"/>
      <c r="LKT88" s="289"/>
      <c r="LKU88" s="289"/>
      <c r="LKV88" s="289"/>
      <c r="LKW88" s="292"/>
      <c r="LKX88" s="289"/>
      <c r="LKY88" s="293"/>
      <c r="LKZ88" s="266"/>
      <c r="LLA88" s="290"/>
      <c r="LLB88" s="297"/>
      <c r="LLC88" s="260"/>
      <c r="LLD88" s="261"/>
      <c r="LLE88" s="262"/>
      <c r="LLF88" s="263"/>
      <c r="LLG88" s="289"/>
      <c r="LLH88" s="289"/>
      <c r="LLI88" s="289"/>
      <c r="LLJ88" s="292"/>
      <c r="LLK88" s="289"/>
      <c r="LLL88" s="293"/>
      <c r="LLM88" s="266"/>
      <c r="LLN88" s="290"/>
      <c r="LLO88" s="297"/>
      <c r="LLP88" s="260"/>
      <c r="LLQ88" s="261"/>
      <c r="LLR88" s="262"/>
      <c r="LLS88" s="263"/>
      <c r="LLT88" s="289"/>
      <c r="LLU88" s="289"/>
      <c r="LLV88" s="289"/>
      <c r="LLW88" s="292"/>
      <c r="LLX88" s="289"/>
      <c r="LLY88" s="293"/>
      <c r="LLZ88" s="266"/>
      <c r="LMA88" s="290"/>
      <c r="LMB88" s="297"/>
      <c r="LMC88" s="260"/>
      <c r="LMD88" s="261"/>
      <c r="LME88" s="262"/>
      <c r="LMF88" s="263"/>
      <c r="LMG88" s="289"/>
      <c r="LMH88" s="289"/>
      <c r="LMI88" s="289"/>
      <c r="LMJ88" s="292"/>
      <c r="LMK88" s="289"/>
      <c r="LML88" s="293"/>
      <c r="LMM88" s="266"/>
      <c r="LMN88" s="290"/>
      <c r="LMO88" s="297"/>
      <c r="LMP88" s="260"/>
      <c r="LMQ88" s="261"/>
      <c r="LMR88" s="262"/>
      <c r="LMS88" s="263"/>
      <c r="LMT88" s="289"/>
      <c r="LMU88" s="289"/>
      <c r="LMV88" s="289"/>
      <c r="LMW88" s="292"/>
      <c r="LMX88" s="289"/>
      <c r="LMY88" s="293"/>
      <c r="LMZ88" s="266"/>
      <c r="LNA88" s="290"/>
      <c r="LNB88" s="297"/>
      <c r="LNC88" s="260"/>
      <c r="LND88" s="261"/>
      <c r="LNE88" s="262"/>
      <c r="LNF88" s="263"/>
      <c r="LNG88" s="289"/>
      <c r="LNH88" s="289"/>
      <c r="LNI88" s="289"/>
      <c r="LNJ88" s="292"/>
      <c r="LNK88" s="289"/>
      <c r="LNL88" s="293"/>
      <c r="LNM88" s="266"/>
      <c r="LNN88" s="290"/>
      <c r="LNO88" s="297"/>
      <c r="LNP88" s="260"/>
      <c r="LNQ88" s="261"/>
      <c r="LNR88" s="262"/>
      <c r="LNS88" s="263"/>
      <c r="LNT88" s="289"/>
      <c r="LNU88" s="289"/>
      <c r="LNV88" s="289"/>
      <c r="LNW88" s="292"/>
      <c r="LNX88" s="289"/>
      <c r="LNY88" s="293"/>
      <c r="LNZ88" s="266"/>
      <c r="LOA88" s="290"/>
      <c r="LOB88" s="297"/>
      <c r="LOC88" s="260"/>
      <c r="LOD88" s="261"/>
      <c r="LOE88" s="262"/>
      <c r="LOF88" s="263"/>
      <c r="LOG88" s="289"/>
      <c r="LOH88" s="289"/>
      <c r="LOI88" s="289"/>
      <c r="LOJ88" s="292"/>
      <c r="LOK88" s="289"/>
      <c r="LOL88" s="293"/>
      <c r="LOM88" s="266"/>
      <c r="LON88" s="290"/>
      <c r="LOO88" s="297"/>
      <c r="LOP88" s="260"/>
      <c r="LOQ88" s="261"/>
      <c r="LOR88" s="262"/>
      <c r="LOS88" s="263"/>
      <c r="LOT88" s="289"/>
      <c r="LOU88" s="289"/>
      <c r="LOV88" s="289"/>
      <c r="LOW88" s="292"/>
      <c r="LOX88" s="289"/>
      <c r="LOY88" s="293"/>
      <c r="LOZ88" s="266"/>
      <c r="LPA88" s="290"/>
      <c r="LPB88" s="297"/>
      <c r="LPC88" s="260"/>
      <c r="LPD88" s="261"/>
      <c r="LPE88" s="262"/>
      <c r="LPF88" s="263"/>
      <c r="LPG88" s="289"/>
      <c r="LPH88" s="289"/>
      <c r="LPI88" s="289"/>
      <c r="LPJ88" s="292"/>
      <c r="LPK88" s="289"/>
      <c r="LPL88" s="293"/>
      <c r="LPM88" s="266"/>
      <c r="LPN88" s="290"/>
      <c r="LPO88" s="297"/>
      <c r="LPP88" s="260"/>
      <c r="LPQ88" s="261"/>
      <c r="LPR88" s="262"/>
      <c r="LPS88" s="263"/>
      <c r="LPT88" s="289"/>
      <c r="LPU88" s="289"/>
      <c r="LPV88" s="289"/>
      <c r="LPW88" s="292"/>
      <c r="LPX88" s="289"/>
      <c r="LPY88" s="293"/>
      <c r="LPZ88" s="266"/>
      <c r="LQA88" s="290"/>
      <c r="LQB88" s="297"/>
      <c r="LQC88" s="260"/>
      <c r="LQD88" s="261"/>
      <c r="LQE88" s="262"/>
      <c r="LQF88" s="263"/>
      <c r="LQG88" s="289"/>
      <c r="LQH88" s="289"/>
      <c r="LQI88" s="289"/>
      <c r="LQJ88" s="292"/>
      <c r="LQK88" s="289"/>
      <c r="LQL88" s="293"/>
      <c r="LQM88" s="266"/>
      <c r="LQN88" s="290"/>
      <c r="LQO88" s="297"/>
      <c r="LQP88" s="260"/>
      <c r="LQQ88" s="261"/>
      <c r="LQR88" s="262"/>
      <c r="LQS88" s="263"/>
      <c r="LQT88" s="289"/>
      <c r="LQU88" s="289"/>
      <c r="LQV88" s="289"/>
      <c r="LQW88" s="292"/>
      <c r="LQX88" s="289"/>
      <c r="LQY88" s="293"/>
      <c r="LQZ88" s="266"/>
      <c r="LRA88" s="290"/>
      <c r="LRB88" s="297"/>
      <c r="LRC88" s="260"/>
      <c r="LRD88" s="261"/>
      <c r="LRE88" s="262"/>
      <c r="LRF88" s="263"/>
      <c r="LRG88" s="289"/>
      <c r="LRH88" s="289"/>
      <c r="LRI88" s="289"/>
      <c r="LRJ88" s="292"/>
      <c r="LRK88" s="289"/>
      <c r="LRL88" s="293"/>
      <c r="LRM88" s="266"/>
      <c r="LRN88" s="290"/>
      <c r="LRO88" s="297"/>
      <c r="LRP88" s="260"/>
      <c r="LRQ88" s="261"/>
      <c r="LRR88" s="262"/>
      <c r="LRS88" s="263"/>
      <c r="LRT88" s="289"/>
      <c r="LRU88" s="289"/>
      <c r="LRV88" s="289"/>
      <c r="LRW88" s="292"/>
      <c r="LRX88" s="289"/>
      <c r="LRY88" s="293"/>
      <c r="LRZ88" s="266"/>
      <c r="LSA88" s="290"/>
      <c r="LSB88" s="297"/>
      <c r="LSC88" s="260"/>
      <c r="LSD88" s="261"/>
      <c r="LSE88" s="262"/>
      <c r="LSF88" s="263"/>
      <c r="LSG88" s="289"/>
      <c r="LSH88" s="289"/>
      <c r="LSI88" s="289"/>
      <c r="LSJ88" s="292"/>
      <c r="LSK88" s="289"/>
      <c r="LSL88" s="293"/>
      <c r="LSM88" s="266"/>
      <c r="LSN88" s="290"/>
      <c r="LSO88" s="297"/>
      <c r="LSP88" s="260"/>
      <c r="LSQ88" s="261"/>
      <c r="LSR88" s="262"/>
      <c r="LSS88" s="263"/>
      <c r="LST88" s="289"/>
      <c r="LSU88" s="289"/>
      <c r="LSV88" s="289"/>
      <c r="LSW88" s="292"/>
      <c r="LSX88" s="289"/>
      <c r="LSY88" s="293"/>
      <c r="LSZ88" s="266"/>
      <c r="LTA88" s="290"/>
      <c r="LTB88" s="297"/>
      <c r="LTC88" s="260"/>
      <c r="LTD88" s="261"/>
      <c r="LTE88" s="262"/>
      <c r="LTF88" s="263"/>
      <c r="LTG88" s="289"/>
      <c r="LTH88" s="289"/>
      <c r="LTI88" s="289"/>
      <c r="LTJ88" s="292"/>
      <c r="LTK88" s="289"/>
      <c r="LTL88" s="293"/>
      <c r="LTM88" s="266"/>
      <c r="LTN88" s="290"/>
      <c r="LTO88" s="297"/>
      <c r="LTP88" s="260"/>
      <c r="LTQ88" s="261"/>
      <c r="LTR88" s="262"/>
      <c r="LTS88" s="263"/>
      <c r="LTT88" s="289"/>
      <c r="LTU88" s="289"/>
      <c r="LTV88" s="289"/>
      <c r="LTW88" s="292"/>
      <c r="LTX88" s="289"/>
      <c r="LTY88" s="293"/>
      <c r="LTZ88" s="266"/>
      <c r="LUA88" s="290"/>
      <c r="LUB88" s="297"/>
      <c r="LUC88" s="260"/>
      <c r="LUD88" s="261"/>
      <c r="LUE88" s="262"/>
      <c r="LUF88" s="263"/>
      <c r="LUG88" s="289"/>
      <c r="LUH88" s="289"/>
      <c r="LUI88" s="289"/>
      <c r="LUJ88" s="292"/>
      <c r="LUK88" s="289"/>
      <c r="LUL88" s="293"/>
      <c r="LUM88" s="266"/>
      <c r="LUN88" s="290"/>
      <c r="LUO88" s="297"/>
      <c r="LUP88" s="260"/>
      <c r="LUQ88" s="261"/>
      <c r="LUR88" s="262"/>
      <c r="LUS88" s="263"/>
      <c r="LUT88" s="289"/>
      <c r="LUU88" s="289"/>
      <c r="LUV88" s="289"/>
      <c r="LUW88" s="292"/>
      <c r="LUX88" s="289"/>
      <c r="LUY88" s="293"/>
      <c r="LUZ88" s="266"/>
      <c r="LVA88" s="290"/>
      <c r="LVB88" s="297"/>
      <c r="LVC88" s="260"/>
      <c r="LVD88" s="261"/>
      <c r="LVE88" s="262"/>
      <c r="LVF88" s="263"/>
      <c r="LVG88" s="289"/>
      <c r="LVH88" s="289"/>
      <c r="LVI88" s="289"/>
      <c r="LVJ88" s="292"/>
      <c r="LVK88" s="289"/>
      <c r="LVL88" s="293"/>
      <c r="LVM88" s="266"/>
      <c r="LVN88" s="290"/>
      <c r="LVO88" s="297"/>
      <c r="LVP88" s="260"/>
      <c r="LVQ88" s="261"/>
      <c r="LVR88" s="262"/>
      <c r="LVS88" s="263"/>
      <c r="LVT88" s="289"/>
      <c r="LVU88" s="289"/>
      <c r="LVV88" s="289"/>
      <c r="LVW88" s="292"/>
      <c r="LVX88" s="289"/>
      <c r="LVY88" s="293"/>
      <c r="LVZ88" s="266"/>
      <c r="LWA88" s="290"/>
      <c r="LWB88" s="297"/>
      <c r="LWC88" s="260"/>
      <c r="LWD88" s="261"/>
      <c r="LWE88" s="262"/>
      <c r="LWF88" s="263"/>
      <c r="LWG88" s="289"/>
      <c r="LWH88" s="289"/>
      <c r="LWI88" s="289"/>
      <c r="LWJ88" s="292"/>
      <c r="LWK88" s="289"/>
      <c r="LWL88" s="293"/>
      <c r="LWM88" s="266"/>
      <c r="LWN88" s="290"/>
      <c r="LWO88" s="297"/>
      <c r="LWP88" s="260"/>
      <c r="LWQ88" s="261"/>
      <c r="LWR88" s="262"/>
      <c r="LWS88" s="263"/>
      <c r="LWT88" s="289"/>
      <c r="LWU88" s="289"/>
      <c r="LWV88" s="289"/>
      <c r="LWW88" s="292"/>
      <c r="LWX88" s="289"/>
      <c r="LWY88" s="293"/>
      <c r="LWZ88" s="266"/>
      <c r="LXA88" s="290"/>
      <c r="LXB88" s="297"/>
      <c r="LXC88" s="260"/>
      <c r="LXD88" s="261"/>
      <c r="LXE88" s="262"/>
      <c r="LXF88" s="263"/>
      <c r="LXG88" s="289"/>
      <c r="LXH88" s="289"/>
      <c r="LXI88" s="289"/>
      <c r="LXJ88" s="292"/>
      <c r="LXK88" s="289"/>
      <c r="LXL88" s="293"/>
      <c r="LXM88" s="266"/>
      <c r="LXN88" s="290"/>
      <c r="LXO88" s="297"/>
      <c r="LXP88" s="260"/>
      <c r="LXQ88" s="261"/>
      <c r="LXR88" s="262"/>
      <c r="LXS88" s="263"/>
      <c r="LXT88" s="289"/>
      <c r="LXU88" s="289"/>
      <c r="LXV88" s="289"/>
      <c r="LXW88" s="292"/>
      <c r="LXX88" s="289"/>
      <c r="LXY88" s="293"/>
      <c r="LXZ88" s="266"/>
      <c r="LYA88" s="290"/>
      <c r="LYB88" s="297"/>
      <c r="LYC88" s="260"/>
      <c r="LYD88" s="261"/>
      <c r="LYE88" s="262"/>
      <c r="LYF88" s="263"/>
      <c r="LYG88" s="289"/>
      <c r="LYH88" s="289"/>
      <c r="LYI88" s="289"/>
      <c r="LYJ88" s="292"/>
      <c r="LYK88" s="289"/>
      <c r="LYL88" s="293"/>
      <c r="LYM88" s="266"/>
      <c r="LYN88" s="290"/>
      <c r="LYO88" s="297"/>
      <c r="LYP88" s="260"/>
      <c r="LYQ88" s="261"/>
      <c r="LYR88" s="262"/>
      <c r="LYS88" s="263"/>
      <c r="LYT88" s="289"/>
      <c r="LYU88" s="289"/>
      <c r="LYV88" s="289"/>
      <c r="LYW88" s="292"/>
      <c r="LYX88" s="289"/>
      <c r="LYY88" s="293"/>
      <c r="LYZ88" s="266"/>
      <c r="LZA88" s="290"/>
      <c r="LZB88" s="297"/>
      <c r="LZC88" s="260"/>
      <c r="LZD88" s="261"/>
      <c r="LZE88" s="262"/>
      <c r="LZF88" s="263"/>
      <c r="LZG88" s="289"/>
      <c r="LZH88" s="289"/>
      <c r="LZI88" s="289"/>
      <c r="LZJ88" s="292"/>
      <c r="LZK88" s="289"/>
      <c r="LZL88" s="293"/>
      <c r="LZM88" s="266"/>
      <c r="LZN88" s="290"/>
      <c r="LZO88" s="297"/>
      <c r="LZP88" s="260"/>
      <c r="LZQ88" s="261"/>
      <c r="LZR88" s="262"/>
      <c r="LZS88" s="263"/>
      <c r="LZT88" s="289"/>
      <c r="LZU88" s="289"/>
      <c r="LZV88" s="289"/>
      <c r="LZW88" s="292"/>
      <c r="LZX88" s="289"/>
      <c r="LZY88" s="293"/>
      <c r="LZZ88" s="266"/>
      <c r="MAA88" s="290"/>
      <c r="MAB88" s="297"/>
      <c r="MAC88" s="260"/>
      <c r="MAD88" s="261"/>
      <c r="MAE88" s="262"/>
      <c r="MAF88" s="263"/>
      <c r="MAG88" s="289"/>
      <c r="MAH88" s="289"/>
      <c r="MAI88" s="289"/>
      <c r="MAJ88" s="292"/>
      <c r="MAK88" s="289"/>
      <c r="MAL88" s="293"/>
      <c r="MAM88" s="266"/>
      <c r="MAN88" s="290"/>
      <c r="MAO88" s="297"/>
      <c r="MAP88" s="260"/>
      <c r="MAQ88" s="261"/>
      <c r="MAR88" s="262"/>
      <c r="MAS88" s="263"/>
      <c r="MAT88" s="289"/>
      <c r="MAU88" s="289"/>
      <c r="MAV88" s="289"/>
      <c r="MAW88" s="292"/>
      <c r="MAX88" s="289"/>
      <c r="MAY88" s="293"/>
      <c r="MAZ88" s="266"/>
      <c r="MBA88" s="290"/>
      <c r="MBB88" s="297"/>
      <c r="MBC88" s="260"/>
      <c r="MBD88" s="261"/>
      <c r="MBE88" s="262"/>
      <c r="MBF88" s="263"/>
      <c r="MBG88" s="289"/>
      <c r="MBH88" s="289"/>
      <c r="MBI88" s="289"/>
      <c r="MBJ88" s="292"/>
      <c r="MBK88" s="289"/>
      <c r="MBL88" s="293"/>
      <c r="MBM88" s="266"/>
      <c r="MBN88" s="290"/>
      <c r="MBO88" s="297"/>
      <c r="MBP88" s="260"/>
      <c r="MBQ88" s="261"/>
      <c r="MBR88" s="262"/>
      <c r="MBS88" s="263"/>
      <c r="MBT88" s="289"/>
      <c r="MBU88" s="289"/>
      <c r="MBV88" s="289"/>
      <c r="MBW88" s="292"/>
      <c r="MBX88" s="289"/>
      <c r="MBY88" s="293"/>
      <c r="MBZ88" s="266"/>
      <c r="MCA88" s="290"/>
      <c r="MCB88" s="297"/>
      <c r="MCC88" s="260"/>
      <c r="MCD88" s="261"/>
      <c r="MCE88" s="262"/>
      <c r="MCF88" s="263"/>
      <c r="MCG88" s="289"/>
      <c r="MCH88" s="289"/>
      <c r="MCI88" s="289"/>
      <c r="MCJ88" s="292"/>
      <c r="MCK88" s="289"/>
      <c r="MCL88" s="293"/>
      <c r="MCM88" s="266"/>
      <c r="MCN88" s="290"/>
      <c r="MCO88" s="297"/>
      <c r="MCP88" s="260"/>
      <c r="MCQ88" s="261"/>
      <c r="MCR88" s="262"/>
      <c r="MCS88" s="263"/>
      <c r="MCT88" s="289"/>
      <c r="MCU88" s="289"/>
      <c r="MCV88" s="289"/>
      <c r="MCW88" s="292"/>
      <c r="MCX88" s="289"/>
      <c r="MCY88" s="293"/>
      <c r="MCZ88" s="266"/>
      <c r="MDA88" s="290"/>
      <c r="MDB88" s="297"/>
      <c r="MDC88" s="260"/>
      <c r="MDD88" s="261"/>
      <c r="MDE88" s="262"/>
      <c r="MDF88" s="263"/>
      <c r="MDG88" s="289"/>
      <c r="MDH88" s="289"/>
      <c r="MDI88" s="289"/>
      <c r="MDJ88" s="292"/>
      <c r="MDK88" s="289"/>
      <c r="MDL88" s="293"/>
      <c r="MDM88" s="266"/>
      <c r="MDN88" s="290"/>
      <c r="MDO88" s="297"/>
      <c r="MDP88" s="260"/>
      <c r="MDQ88" s="261"/>
      <c r="MDR88" s="262"/>
      <c r="MDS88" s="263"/>
      <c r="MDT88" s="289"/>
      <c r="MDU88" s="289"/>
      <c r="MDV88" s="289"/>
      <c r="MDW88" s="292"/>
      <c r="MDX88" s="289"/>
      <c r="MDY88" s="293"/>
      <c r="MDZ88" s="266"/>
      <c r="MEA88" s="290"/>
      <c r="MEB88" s="297"/>
      <c r="MEC88" s="260"/>
      <c r="MED88" s="261"/>
      <c r="MEE88" s="262"/>
      <c r="MEF88" s="263"/>
      <c r="MEG88" s="289"/>
      <c r="MEH88" s="289"/>
      <c r="MEI88" s="289"/>
      <c r="MEJ88" s="292"/>
      <c r="MEK88" s="289"/>
      <c r="MEL88" s="293"/>
      <c r="MEM88" s="266"/>
      <c r="MEN88" s="290"/>
      <c r="MEO88" s="297"/>
      <c r="MEP88" s="260"/>
      <c r="MEQ88" s="261"/>
      <c r="MER88" s="262"/>
      <c r="MES88" s="263"/>
      <c r="MET88" s="289"/>
      <c r="MEU88" s="289"/>
      <c r="MEV88" s="289"/>
      <c r="MEW88" s="292"/>
      <c r="MEX88" s="289"/>
      <c r="MEY88" s="293"/>
      <c r="MEZ88" s="266"/>
      <c r="MFA88" s="290"/>
      <c r="MFB88" s="297"/>
      <c r="MFC88" s="260"/>
      <c r="MFD88" s="261"/>
      <c r="MFE88" s="262"/>
      <c r="MFF88" s="263"/>
      <c r="MFG88" s="289"/>
      <c r="MFH88" s="289"/>
      <c r="MFI88" s="289"/>
      <c r="MFJ88" s="292"/>
      <c r="MFK88" s="289"/>
      <c r="MFL88" s="293"/>
      <c r="MFM88" s="266"/>
      <c r="MFN88" s="290"/>
      <c r="MFO88" s="297"/>
      <c r="MFP88" s="260"/>
      <c r="MFQ88" s="261"/>
      <c r="MFR88" s="262"/>
      <c r="MFS88" s="263"/>
      <c r="MFT88" s="289"/>
      <c r="MFU88" s="289"/>
      <c r="MFV88" s="289"/>
      <c r="MFW88" s="292"/>
      <c r="MFX88" s="289"/>
      <c r="MFY88" s="293"/>
      <c r="MFZ88" s="266"/>
      <c r="MGA88" s="290"/>
      <c r="MGB88" s="297"/>
      <c r="MGC88" s="260"/>
      <c r="MGD88" s="261"/>
      <c r="MGE88" s="262"/>
      <c r="MGF88" s="263"/>
      <c r="MGG88" s="289"/>
      <c r="MGH88" s="289"/>
      <c r="MGI88" s="289"/>
      <c r="MGJ88" s="292"/>
      <c r="MGK88" s="289"/>
      <c r="MGL88" s="293"/>
      <c r="MGM88" s="266"/>
      <c r="MGN88" s="290"/>
      <c r="MGO88" s="297"/>
      <c r="MGP88" s="260"/>
      <c r="MGQ88" s="261"/>
      <c r="MGR88" s="262"/>
      <c r="MGS88" s="263"/>
      <c r="MGT88" s="289"/>
      <c r="MGU88" s="289"/>
      <c r="MGV88" s="289"/>
      <c r="MGW88" s="292"/>
      <c r="MGX88" s="289"/>
      <c r="MGY88" s="293"/>
      <c r="MGZ88" s="266"/>
      <c r="MHA88" s="290"/>
      <c r="MHB88" s="297"/>
      <c r="MHC88" s="260"/>
      <c r="MHD88" s="261"/>
      <c r="MHE88" s="262"/>
      <c r="MHF88" s="263"/>
      <c r="MHG88" s="289"/>
      <c r="MHH88" s="289"/>
      <c r="MHI88" s="289"/>
      <c r="MHJ88" s="292"/>
      <c r="MHK88" s="289"/>
      <c r="MHL88" s="293"/>
      <c r="MHM88" s="266"/>
      <c r="MHN88" s="290"/>
      <c r="MHO88" s="297"/>
      <c r="MHP88" s="260"/>
      <c r="MHQ88" s="261"/>
      <c r="MHR88" s="262"/>
      <c r="MHS88" s="263"/>
      <c r="MHT88" s="289"/>
      <c r="MHU88" s="289"/>
      <c r="MHV88" s="289"/>
      <c r="MHW88" s="292"/>
      <c r="MHX88" s="289"/>
      <c r="MHY88" s="293"/>
      <c r="MHZ88" s="266"/>
      <c r="MIA88" s="290"/>
      <c r="MIB88" s="297"/>
      <c r="MIC88" s="260"/>
      <c r="MID88" s="261"/>
      <c r="MIE88" s="262"/>
      <c r="MIF88" s="263"/>
      <c r="MIG88" s="289"/>
      <c r="MIH88" s="289"/>
      <c r="MII88" s="289"/>
      <c r="MIJ88" s="292"/>
      <c r="MIK88" s="289"/>
      <c r="MIL88" s="293"/>
      <c r="MIM88" s="266"/>
      <c r="MIN88" s="290"/>
      <c r="MIO88" s="297"/>
      <c r="MIP88" s="260"/>
      <c r="MIQ88" s="261"/>
      <c r="MIR88" s="262"/>
      <c r="MIS88" s="263"/>
      <c r="MIT88" s="289"/>
      <c r="MIU88" s="289"/>
      <c r="MIV88" s="289"/>
      <c r="MIW88" s="292"/>
      <c r="MIX88" s="289"/>
      <c r="MIY88" s="293"/>
      <c r="MIZ88" s="266"/>
      <c r="MJA88" s="290"/>
      <c r="MJB88" s="297"/>
      <c r="MJC88" s="260"/>
      <c r="MJD88" s="261"/>
      <c r="MJE88" s="262"/>
      <c r="MJF88" s="263"/>
      <c r="MJG88" s="289"/>
      <c r="MJH88" s="289"/>
      <c r="MJI88" s="289"/>
      <c r="MJJ88" s="292"/>
      <c r="MJK88" s="289"/>
      <c r="MJL88" s="293"/>
      <c r="MJM88" s="266"/>
      <c r="MJN88" s="290"/>
      <c r="MJO88" s="297"/>
      <c r="MJP88" s="260"/>
      <c r="MJQ88" s="261"/>
      <c r="MJR88" s="262"/>
      <c r="MJS88" s="263"/>
      <c r="MJT88" s="289"/>
      <c r="MJU88" s="289"/>
      <c r="MJV88" s="289"/>
      <c r="MJW88" s="292"/>
      <c r="MJX88" s="289"/>
      <c r="MJY88" s="293"/>
      <c r="MJZ88" s="266"/>
      <c r="MKA88" s="290"/>
      <c r="MKB88" s="297"/>
      <c r="MKC88" s="260"/>
      <c r="MKD88" s="261"/>
      <c r="MKE88" s="262"/>
      <c r="MKF88" s="263"/>
      <c r="MKG88" s="289"/>
      <c r="MKH88" s="289"/>
      <c r="MKI88" s="289"/>
      <c r="MKJ88" s="292"/>
      <c r="MKK88" s="289"/>
      <c r="MKL88" s="293"/>
      <c r="MKM88" s="266"/>
      <c r="MKN88" s="290"/>
      <c r="MKO88" s="297"/>
      <c r="MKP88" s="260"/>
      <c r="MKQ88" s="261"/>
      <c r="MKR88" s="262"/>
      <c r="MKS88" s="263"/>
      <c r="MKT88" s="289"/>
      <c r="MKU88" s="289"/>
      <c r="MKV88" s="289"/>
      <c r="MKW88" s="292"/>
      <c r="MKX88" s="289"/>
      <c r="MKY88" s="293"/>
      <c r="MKZ88" s="266"/>
      <c r="MLA88" s="290"/>
      <c r="MLB88" s="297"/>
      <c r="MLC88" s="260"/>
      <c r="MLD88" s="261"/>
      <c r="MLE88" s="262"/>
      <c r="MLF88" s="263"/>
      <c r="MLG88" s="289"/>
      <c r="MLH88" s="289"/>
      <c r="MLI88" s="289"/>
      <c r="MLJ88" s="292"/>
      <c r="MLK88" s="289"/>
      <c r="MLL88" s="293"/>
      <c r="MLM88" s="266"/>
      <c r="MLN88" s="290"/>
      <c r="MLO88" s="297"/>
      <c r="MLP88" s="260"/>
      <c r="MLQ88" s="261"/>
      <c r="MLR88" s="262"/>
      <c r="MLS88" s="263"/>
      <c r="MLT88" s="289"/>
      <c r="MLU88" s="289"/>
      <c r="MLV88" s="289"/>
      <c r="MLW88" s="292"/>
      <c r="MLX88" s="289"/>
      <c r="MLY88" s="293"/>
      <c r="MLZ88" s="266"/>
      <c r="MMA88" s="290"/>
      <c r="MMB88" s="297"/>
      <c r="MMC88" s="260"/>
      <c r="MMD88" s="261"/>
      <c r="MME88" s="262"/>
      <c r="MMF88" s="263"/>
      <c r="MMG88" s="289"/>
      <c r="MMH88" s="289"/>
      <c r="MMI88" s="289"/>
      <c r="MMJ88" s="292"/>
      <c r="MMK88" s="289"/>
      <c r="MML88" s="293"/>
      <c r="MMM88" s="266"/>
      <c r="MMN88" s="290"/>
      <c r="MMO88" s="297"/>
      <c r="MMP88" s="260"/>
      <c r="MMQ88" s="261"/>
      <c r="MMR88" s="262"/>
      <c r="MMS88" s="263"/>
      <c r="MMT88" s="289"/>
      <c r="MMU88" s="289"/>
      <c r="MMV88" s="289"/>
      <c r="MMW88" s="292"/>
      <c r="MMX88" s="289"/>
      <c r="MMY88" s="293"/>
      <c r="MMZ88" s="266"/>
      <c r="MNA88" s="290"/>
      <c r="MNB88" s="297"/>
      <c r="MNC88" s="260"/>
      <c r="MND88" s="261"/>
      <c r="MNE88" s="262"/>
      <c r="MNF88" s="263"/>
      <c r="MNG88" s="289"/>
      <c r="MNH88" s="289"/>
      <c r="MNI88" s="289"/>
      <c r="MNJ88" s="292"/>
      <c r="MNK88" s="289"/>
      <c r="MNL88" s="293"/>
      <c r="MNM88" s="266"/>
      <c r="MNN88" s="290"/>
      <c r="MNO88" s="297"/>
      <c r="MNP88" s="260"/>
      <c r="MNQ88" s="261"/>
      <c r="MNR88" s="262"/>
      <c r="MNS88" s="263"/>
      <c r="MNT88" s="289"/>
      <c r="MNU88" s="289"/>
      <c r="MNV88" s="289"/>
      <c r="MNW88" s="292"/>
      <c r="MNX88" s="289"/>
      <c r="MNY88" s="293"/>
      <c r="MNZ88" s="266"/>
      <c r="MOA88" s="290"/>
      <c r="MOB88" s="297"/>
      <c r="MOC88" s="260"/>
      <c r="MOD88" s="261"/>
      <c r="MOE88" s="262"/>
      <c r="MOF88" s="263"/>
      <c r="MOG88" s="289"/>
      <c r="MOH88" s="289"/>
      <c r="MOI88" s="289"/>
      <c r="MOJ88" s="292"/>
      <c r="MOK88" s="289"/>
      <c r="MOL88" s="293"/>
      <c r="MOM88" s="266"/>
      <c r="MON88" s="290"/>
      <c r="MOO88" s="297"/>
      <c r="MOP88" s="260"/>
      <c r="MOQ88" s="261"/>
      <c r="MOR88" s="262"/>
      <c r="MOS88" s="263"/>
      <c r="MOT88" s="289"/>
      <c r="MOU88" s="289"/>
      <c r="MOV88" s="289"/>
      <c r="MOW88" s="292"/>
      <c r="MOX88" s="289"/>
      <c r="MOY88" s="293"/>
      <c r="MOZ88" s="266"/>
      <c r="MPA88" s="290"/>
      <c r="MPB88" s="297"/>
      <c r="MPC88" s="260"/>
      <c r="MPD88" s="261"/>
      <c r="MPE88" s="262"/>
      <c r="MPF88" s="263"/>
      <c r="MPG88" s="289"/>
      <c r="MPH88" s="289"/>
      <c r="MPI88" s="289"/>
      <c r="MPJ88" s="292"/>
      <c r="MPK88" s="289"/>
      <c r="MPL88" s="293"/>
      <c r="MPM88" s="266"/>
      <c r="MPN88" s="290"/>
      <c r="MPO88" s="297"/>
      <c r="MPP88" s="260"/>
      <c r="MPQ88" s="261"/>
      <c r="MPR88" s="262"/>
      <c r="MPS88" s="263"/>
      <c r="MPT88" s="289"/>
      <c r="MPU88" s="289"/>
      <c r="MPV88" s="289"/>
      <c r="MPW88" s="292"/>
      <c r="MPX88" s="289"/>
      <c r="MPY88" s="293"/>
      <c r="MPZ88" s="266"/>
      <c r="MQA88" s="290"/>
      <c r="MQB88" s="297"/>
      <c r="MQC88" s="260"/>
      <c r="MQD88" s="261"/>
      <c r="MQE88" s="262"/>
      <c r="MQF88" s="263"/>
      <c r="MQG88" s="289"/>
      <c r="MQH88" s="289"/>
      <c r="MQI88" s="289"/>
      <c r="MQJ88" s="292"/>
      <c r="MQK88" s="289"/>
      <c r="MQL88" s="293"/>
      <c r="MQM88" s="266"/>
      <c r="MQN88" s="290"/>
      <c r="MQO88" s="297"/>
      <c r="MQP88" s="260"/>
      <c r="MQQ88" s="261"/>
      <c r="MQR88" s="262"/>
      <c r="MQS88" s="263"/>
      <c r="MQT88" s="289"/>
      <c r="MQU88" s="289"/>
      <c r="MQV88" s="289"/>
      <c r="MQW88" s="292"/>
      <c r="MQX88" s="289"/>
      <c r="MQY88" s="293"/>
      <c r="MQZ88" s="266"/>
      <c r="MRA88" s="290"/>
      <c r="MRB88" s="297"/>
      <c r="MRC88" s="260"/>
      <c r="MRD88" s="261"/>
      <c r="MRE88" s="262"/>
      <c r="MRF88" s="263"/>
      <c r="MRG88" s="289"/>
      <c r="MRH88" s="289"/>
      <c r="MRI88" s="289"/>
      <c r="MRJ88" s="292"/>
      <c r="MRK88" s="289"/>
      <c r="MRL88" s="293"/>
      <c r="MRM88" s="266"/>
      <c r="MRN88" s="290"/>
      <c r="MRO88" s="297"/>
      <c r="MRP88" s="260"/>
      <c r="MRQ88" s="261"/>
      <c r="MRR88" s="262"/>
      <c r="MRS88" s="263"/>
      <c r="MRT88" s="289"/>
      <c r="MRU88" s="289"/>
      <c r="MRV88" s="289"/>
      <c r="MRW88" s="292"/>
      <c r="MRX88" s="289"/>
      <c r="MRY88" s="293"/>
      <c r="MRZ88" s="266"/>
      <c r="MSA88" s="290"/>
      <c r="MSB88" s="297"/>
      <c r="MSC88" s="260"/>
      <c r="MSD88" s="261"/>
      <c r="MSE88" s="262"/>
      <c r="MSF88" s="263"/>
      <c r="MSG88" s="289"/>
      <c r="MSH88" s="289"/>
      <c r="MSI88" s="289"/>
      <c r="MSJ88" s="292"/>
      <c r="MSK88" s="289"/>
      <c r="MSL88" s="293"/>
      <c r="MSM88" s="266"/>
      <c r="MSN88" s="290"/>
      <c r="MSO88" s="297"/>
      <c r="MSP88" s="260"/>
      <c r="MSQ88" s="261"/>
      <c r="MSR88" s="262"/>
      <c r="MSS88" s="263"/>
      <c r="MST88" s="289"/>
      <c r="MSU88" s="289"/>
      <c r="MSV88" s="289"/>
      <c r="MSW88" s="292"/>
      <c r="MSX88" s="289"/>
      <c r="MSY88" s="293"/>
      <c r="MSZ88" s="266"/>
      <c r="MTA88" s="290"/>
      <c r="MTB88" s="297"/>
      <c r="MTC88" s="260"/>
      <c r="MTD88" s="261"/>
      <c r="MTE88" s="262"/>
      <c r="MTF88" s="263"/>
      <c r="MTG88" s="289"/>
      <c r="MTH88" s="289"/>
      <c r="MTI88" s="289"/>
      <c r="MTJ88" s="292"/>
      <c r="MTK88" s="289"/>
      <c r="MTL88" s="293"/>
      <c r="MTM88" s="266"/>
      <c r="MTN88" s="290"/>
      <c r="MTO88" s="297"/>
      <c r="MTP88" s="260"/>
      <c r="MTQ88" s="261"/>
      <c r="MTR88" s="262"/>
      <c r="MTS88" s="263"/>
      <c r="MTT88" s="289"/>
      <c r="MTU88" s="289"/>
      <c r="MTV88" s="289"/>
      <c r="MTW88" s="292"/>
      <c r="MTX88" s="289"/>
      <c r="MTY88" s="293"/>
      <c r="MTZ88" s="266"/>
      <c r="MUA88" s="290"/>
      <c r="MUB88" s="297"/>
      <c r="MUC88" s="260"/>
      <c r="MUD88" s="261"/>
      <c r="MUE88" s="262"/>
      <c r="MUF88" s="263"/>
      <c r="MUG88" s="289"/>
      <c r="MUH88" s="289"/>
      <c r="MUI88" s="289"/>
      <c r="MUJ88" s="292"/>
      <c r="MUK88" s="289"/>
      <c r="MUL88" s="293"/>
      <c r="MUM88" s="266"/>
      <c r="MUN88" s="290"/>
      <c r="MUO88" s="297"/>
      <c r="MUP88" s="260"/>
      <c r="MUQ88" s="261"/>
      <c r="MUR88" s="262"/>
      <c r="MUS88" s="263"/>
      <c r="MUT88" s="289"/>
      <c r="MUU88" s="289"/>
      <c r="MUV88" s="289"/>
      <c r="MUW88" s="292"/>
      <c r="MUX88" s="289"/>
      <c r="MUY88" s="293"/>
      <c r="MUZ88" s="266"/>
      <c r="MVA88" s="290"/>
      <c r="MVB88" s="297"/>
      <c r="MVC88" s="260"/>
      <c r="MVD88" s="261"/>
      <c r="MVE88" s="262"/>
      <c r="MVF88" s="263"/>
      <c r="MVG88" s="289"/>
      <c r="MVH88" s="289"/>
      <c r="MVI88" s="289"/>
      <c r="MVJ88" s="292"/>
      <c r="MVK88" s="289"/>
      <c r="MVL88" s="293"/>
      <c r="MVM88" s="266"/>
      <c r="MVN88" s="290"/>
      <c r="MVO88" s="297"/>
      <c r="MVP88" s="260"/>
      <c r="MVQ88" s="261"/>
      <c r="MVR88" s="262"/>
      <c r="MVS88" s="263"/>
      <c r="MVT88" s="289"/>
      <c r="MVU88" s="289"/>
      <c r="MVV88" s="289"/>
      <c r="MVW88" s="292"/>
      <c r="MVX88" s="289"/>
      <c r="MVY88" s="293"/>
      <c r="MVZ88" s="266"/>
      <c r="MWA88" s="290"/>
      <c r="MWB88" s="297"/>
      <c r="MWC88" s="260"/>
      <c r="MWD88" s="261"/>
      <c r="MWE88" s="262"/>
      <c r="MWF88" s="263"/>
      <c r="MWG88" s="289"/>
      <c r="MWH88" s="289"/>
      <c r="MWI88" s="289"/>
      <c r="MWJ88" s="292"/>
      <c r="MWK88" s="289"/>
      <c r="MWL88" s="293"/>
      <c r="MWM88" s="266"/>
      <c r="MWN88" s="290"/>
      <c r="MWO88" s="297"/>
      <c r="MWP88" s="260"/>
      <c r="MWQ88" s="261"/>
      <c r="MWR88" s="262"/>
      <c r="MWS88" s="263"/>
      <c r="MWT88" s="289"/>
      <c r="MWU88" s="289"/>
      <c r="MWV88" s="289"/>
      <c r="MWW88" s="292"/>
      <c r="MWX88" s="289"/>
      <c r="MWY88" s="293"/>
      <c r="MWZ88" s="266"/>
      <c r="MXA88" s="290"/>
      <c r="MXB88" s="297"/>
      <c r="MXC88" s="260"/>
      <c r="MXD88" s="261"/>
      <c r="MXE88" s="262"/>
      <c r="MXF88" s="263"/>
      <c r="MXG88" s="289"/>
      <c r="MXH88" s="289"/>
      <c r="MXI88" s="289"/>
      <c r="MXJ88" s="292"/>
      <c r="MXK88" s="289"/>
      <c r="MXL88" s="293"/>
      <c r="MXM88" s="266"/>
      <c r="MXN88" s="290"/>
      <c r="MXO88" s="297"/>
      <c r="MXP88" s="260"/>
      <c r="MXQ88" s="261"/>
      <c r="MXR88" s="262"/>
      <c r="MXS88" s="263"/>
      <c r="MXT88" s="289"/>
      <c r="MXU88" s="289"/>
      <c r="MXV88" s="289"/>
      <c r="MXW88" s="292"/>
      <c r="MXX88" s="289"/>
      <c r="MXY88" s="293"/>
      <c r="MXZ88" s="266"/>
      <c r="MYA88" s="290"/>
      <c r="MYB88" s="297"/>
      <c r="MYC88" s="260"/>
      <c r="MYD88" s="261"/>
      <c r="MYE88" s="262"/>
      <c r="MYF88" s="263"/>
      <c r="MYG88" s="289"/>
      <c r="MYH88" s="289"/>
      <c r="MYI88" s="289"/>
      <c r="MYJ88" s="292"/>
      <c r="MYK88" s="289"/>
      <c r="MYL88" s="293"/>
      <c r="MYM88" s="266"/>
      <c r="MYN88" s="290"/>
      <c r="MYO88" s="297"/>
      <c r="MYP88" s="260"/>
      <c r="MYQ88" s="261"/>
      <c r="MYR88" s="262"/>
      <c r="MYS88" s="263"/>
      <c r="MYT88" s="289"/>
      <c r="MYU88" s="289"/>
      <c r="MYV88" s="289"/>
      <c r="MYW88" s="292"/>
      <c r="MYX88" s="289"/>
      <c r="MYY88" s="293"/>
      <c r="MYZ88" s="266"/>
      <c r="MZA88" s="290"/>
      <c r="MZB88" s="297"/>
      <c r="MZC88" s="260"/>
      <c r="MZD88" s="261"/>
      <c r="MZE88" s="262"/>
      <c r="MZF88" s="263"/>
      <c r="MZG88" s="289"/>
      <c r="MZH88" s="289"/>
      <c r="MZI88" s="289"/>
      <c r="MZJ88" s="292"/>
      <c r="MZK88" s="289"/>
      <c r="MZL88" s="293"/>
      <c r="MZM88" s="266"/>
      <c r="MZN88" s="290"/>
      <c r="MZO88" s="297"/>
      <c r="MZP88" s="260"/>
      <c r="MZQ88" s="261"/>
      <c r="MZR88" s="262"/>
      <c r="MZS88" s="263"/>
      <c r="MZT88" s="289"/>
      <c r="MZU88" s="289"/>
      <c r="MZV88" s="289"/>
      <c r="MZW88" s="292"/>
      <c r="MZX88" s="289"/>
      <c r="MZY88" s="293"/>
      <c r="MZZ88" s="266"/>
      <c r="NAA88" s="290"/>
      <c r="NAB88" s="297"/>
      <c r="NAC88" s="260"/>
      <c r="NAD88" s="261"/>
      <c r="NAE88" s="262"/>
      <c r="NAF88" s="263"/>
      <c r="NAG88" s="289"/>
      <c r="NAH88" s="289"/>
      <c r="NAI88" s="289"/>
      <c r="NAJ88" s="292"/>
      <c r="NAK88" s="289"/>
      <c r="NAL88" s="293"/>
      <c r="NAM88" s="266"/>
      <c r="NAN88" s="290"/>
      <c r="NAO88" s="297"/>
      <c r="NAP88" s="260"/>
      <c r="NAQ88" s="261"/>
      <c r="NAR88" s="262"/>
      <c r="NAS88" s="263"/>
      <c r="NAT88" s="289"/>
      <c r="NAU88" s="289"/>
      <c r="NAV88" s="289"/>
      <c r="NAW88" s="292"/>
      <c r="NAX88" s="289"/>
      <c r="NAY88" s="293"/>
      <c r="NAZ88" s="266"/>
      <c r="NBA88" s="290"/>
      <c r="NBB88" s="297"/>
      <c r="NBC88" s="260"/>
      <c r="NBD88" s="261"/>
      <c r="NBE88" s="262"/>
      <c r="NBF88" s="263"/>
      <c r="NBG88" s="289"/>
      <c r="NBH88" s="289"/>
      <c r="NBI88" s="289"/>
      <c r="NBJ88" s="292"/>
      <c r="NBK88" s="289"/>
      <c r="NBL88" s="293"/>
      <c r="NBM88" s="266"/>
      <c r="NBN88" s="290"/>
      <c r="NBO88" s="297"/>
      <c r="NBP88" s="260"/>
      <c r="NBQ88" s="261"/>
      <c r="NBR88" s="262"/>
      <c r="NBS88" s="263"/>
      <c r="NBT88" s="289"/>
      <c r="NBU88" s="289"/>
      <c r="NBV88" s="289"/>
      <c r="NBW88" s="292"/>
      <c r="NBX88" s="289"/>
      <c r="NBY88" s="293"/>
      <c r="NBZ88" s="266"/>
      <c r="NCA88" s="290"/>
      <c r="NCB88" s="297"/>
      <c r="NCC88" s="260"/>
      <c r="NCD88" s="261"/>
      <c r="NCE88" s="262"/>
      <c r="NCF88" s="263"/>
      <c r="NCG88" s="289"/>
      <c r="NCH88" s="289"/>
      <c r="NCI88" s="289"/>
      <c r="NCJ88" s="292"/>
      <c r="NCK88" s="289"/>
      <c r="NCL88" s="293"/>
      <c r="NCM88" s="266"/>
      <c r="NCN88" s="290"/>
      <c r="NCO88" s="297"/>
      <c r="NCP88" s="260"/>
      <c r="NCQ88" s="261"/>
      <c r="NCR88" s="262"/>
      <c r="NCS88" s="263"/>
      <c r="NCT88" s="289"/>
      <c r="NCU88" s="289"/>
      <c r="NCV88" s="289"/>
      <c r="NCW88" s="292"/>
      <c r="NCX88" s="289"/>
      <c r="NCY88" s="293"/>
      <c r="NCZ88" s="266"/>
      <c r="NDA88" s="290"/>
      <c r="NDB88" s="297"/>
      <c r="NDC88" s="260"/>
      <c r="NDD88" s="261"/>
      <c r="NDE88" s="262"/>
      <c r="NDF88" s="263"/>
      <c r="NDG88" s="289"/>
      <c r="NDH88" s="289"/>
      <c r="NDI88" s="289"/>
      <c r="NDJ88" s="292"/>
      <c r="NDK88" s="289"/>
      <c r="NDL88" s="293"/>
      <c r="NDM88" s="266"/>
      <c r="NDN88" s="290"/>
      <c r="NDO88" s="297"/>
      <c r="NDP88" s="260"/>
      <c r="NDQ88" s="261"/>
      <c r="NDR88" s="262"/>
      <c r="NDS88" s="263"/>
      <c r="NDT88" s="289"/>
      <c r="NDU88" s="289"/>
      <c r="NDV88" s="289"/>
      <c r="NDW88" s="292"/>
      <c r="NDX88" s="289"/>
      <c r="NDY88" s="293"/>
      <c r="NDZ88" s="266"/>
      <c r="NEA88" s="290"/>
      <c r="NEB88" s="297"/>
      <c r="NEC88" s="260"/>
      <c r="NED88" s="261"/>
      <c r="NEE88" s="262"/>
      <c r="NEF88" s="263"/>
      <c r="NEG88" s="289"/>
      <c r="NEH88" s="289"/>
      <c r="NEI88" s="289"/>
      <c r="NEJ88" s="292"/>
      <c r="NEK88" s="289"/>
      <c r="NEL88" s="293"/>
      <c r="NEM88" s="266"/>
      <c r="NEN88" s="290"/>
      <c r="NEO88" s="297"/>
      <c r="NEP88" s="260"/>
      <c r="NEQ88" s="261"/>
      <c r="NER88" s="262"/>
      <c r="NES88" s="263"/>
      <c r="NET88" s="289"/>
      <c r="NEU88" s="289"/>
      <c r="NEV88" s="289"/>
      <c r="NEW88" s="292"/>
      <c r="NEX88" s="289"/>
      <c r="NEY88" s="293"/>
      <c r="NEZ88" s="266"/>
      <c r="NFA88" s="290"/>
      <c r="NFB88" s="297"/>
      <c r="NFC88" s="260"/>
      <c r="NFD88" s="261"/>
      <c r="NFE88" s="262"/>
      <c r="NFF88" s="263"/>
      <c r="NFG88" s="289"/>
      <c r="NFH88" s="289"/>
      <c r="NFI88" s="289"/>
      <c r="NFJ88" s="292"/>
      <c r="NFK88" s="289"/>
      <c r="NFL88" s="293"/>
      <c r="NFM88" s="266"/>
      <c r="NFN88" s="290"/>
      <c r="NFO88" s="297"/>
      <c r="NFP88" s="260"/>
      <c r="NFQ88" s="261"/>
      <c r="NFR88" s="262"/>
      <c r="NFS88" s="263"/>
      <c r="NFT88" s="289"/>
      <c r="NFU88" s="289"/>
      <c r="NFV88" s="289"/>
      <c r="NFW88" s="292"/>
      <c r="NFX88" s="289"/>
      <c r="NFY88" s="293"/>
      <c r="NFZ88" s="266"/>
      <c r="NGA88" s="290"/>
      <c r="NGB88" s="297"/>
      <c r="NGC88" s="260"/>
      <c r="NGD88" s="261"/>
      <c r="NGE88" s="262"/>
      <c r="NGF88" s="263"/>
      <c r="NGG88" s="289"/>
      <c r="NGH88" s="289"/>
      <c r="NGI88" s="289"/>
      <c r="NGJ88" s="292"/>
      <c r="NGK88" s="289"/>
      <c r="NGL88" s="293"/>
      <c r="NGM88" s="266"/>
      <c r="NGN88" s="290"/>
      <c r="NGO88" s="297"/>
      <c r="NGP88" s="260"/>
      <c r="NGQ88" s="261"/>
      <c r="NGR88" s="262"/>
      <c r="NGS88" s="263"/>
      <c r="NGT88" s="289"/>
      <c r="NGU88" s="289"/>
      <c r="NGV88" s="289"/>
      <c r="NGW88" s="292"/>
      <c r="NGX88" s="289"/>
      <c r="NGY88" s="293"/>
      <c r="NGZ88" s="266"/>
      <c r="NHA88" s="290"/>
      <c r="NHB88" s="297"/>
      <c r="NHC88" s="260"/>
      <c r="NHD88" s="261"/>
      <c r="NHE88" s="262"/>
      <c r="NHF88" s="263"/>
      <c r="NHG88" s="289"/>
      <c r="NHH88" s="289"/>
      <c r="NHI88" s="289"/>
      <c r="NHJ88" s="292"/>
      <c r="NHK88" s="289"/>
      <c r="NHL88" s="293"/>
      <c r="NHM88" s="266"/>
      <c r="NHN88" s="290"/>
      <c r="NHO88" s="297"/>
      <c r="NHP88" s="260"/>
      <c r="NHQ88" s="261"/>
      <c r="NHR88" s="262"/>
      <c r="NHS88" s="263"/>
      <c r="NHT88" s="289"/>
      <c r="NHU88" s="289"/>
      <c r="NHV88" s="289"/>
      <c r="NHW88" s="292"/>
      <c r="NHX88" s="289"/>
      <c r="NHY88" s="293"/>
      <c r="NHZ88" s="266"/>
      <c r="NIA88" s="290"/>
      <c r="NIB88" s="297"/>
      <c r="NIC88" s="260"/>
      <c r="NID88" s="261"/>
      <c r="NIE88" s="262"/>
      <c r="NIF88" s="263"/>
      <c r="NIG88" s="289"/>
      <c r="NIH88" s="289"/>
      <c r="NII88" s="289"/>
      <c r="NIJ88" s="292"/>
      <c r="NIK88" s="289"/>
      <c r="NIL88" s="293"/>
      <c r="NIM88" s="266"/>
      <c r="NIN88" s="290"/>
      <c r="NIO88" s="297"/>
      <c r="NIP88" s="260"/>
      <c r="NIQ88" s="261"/>
      <c r="NIR88" s="262"/>
      <c r="NIS88" s="263"/>
      <c r="NIT88" s="289"/>
      <c r="NIU88" s="289"/>
      <c r="NIV88" s="289"/>
      <c r="NIW88" s="292"/>
      <c r="NIX88" s="289"/>
      <c r="NIY88" s="293"/>
      <c r="NIZ88" s="266"/>
      <c r="NJA88" s="290"/>
      <c r="NJB88" s="297"/>
      <c r="NJC88" s="260"/>
      <c r="NJD88" s="261"/>
      <c r="NJE88" s="262"/>
      <c r="NJF88" s="263"/>
      <c r="NJG88" s="289"/>
      <c r="NJH88" s="289"/>
      <c r="NJI88" s="289"/>
      <c r="NJJ88" s="292"/>
      <c r="NJK88" s="289"/>
      <c r="NJL88" s="293"/>
      <c r="NJM88" s="266"/>
      <c r="NJN88" s="290"/>
      <c r="NJO88" s="297"/>
      <c r="NJP88" s="260"/>
      <c r="NJQ88" s="261"/>
      <c r="NJR88" s="262"/>
      <c r="NJS88" s="263"/>
      <c r="NJT88" s="289"/>
      <c r="NJU88" s="289"/>
      <c r="NJV88" s="289"/>
      <c r="NJW88" s="292"/>
      <c r="NJX88" s="289"/>
      <c r="NJY88" s="293"/>
      <c r="NJZ88" s="266"/>
      <c r="NKA88" s="290"/>
      <c r="NKB88" s="297"/>
      <c r="NKC88" s="260"/>
      <c r="NKD88" s="261"/>
      <c r="NKE88" s="262"/>
      <c r="NKF88" s="263"/>
      <c r="NKG88" s="289"/>
      <c r="NKH88" s="289"/>
      <c r="NKI88" s="289"/>
      <c r="NKJ88" s="292"/>
      <c r="NKK88" s="289"/>
      <c r="NKL88" s="293"/>
      <c r="NKM88" s="266"/>
      <c r="NKN88" s="290"/>
      <c r="NKO88" s="297"/>
      <c r="NKP88" s="260"/>
      <c r="NKQ88" s="261"/>
      <c r="NKR88" s="262"/>
      <c r="NKS88" s="263"/>
      <c r="NKT88" s="289"/>
      <c r="NKU88" s="289"/>
      <c r="NKV88" s="289"/>
      <c r="NKW88" s="292"/>
      <c r="NKX88" s="289"/>
      <c r="NKY88" s="293"/>
      <c r="NKZ88" s="266"/>
      <c r="NLA88" s="290"/>
      <c r="NLB88" s="297"/>
      <c r="NLC88" s="260"/>
      <c r="NLD88" s="261"/>
      <c r="NLE88" s="262"/>
      <c r="NLF88" s="263"/>
      <c r="NLG88" s="289"/>
      <c r="NLH88" s="289"/>
      <c r="NLI88" s="289"/>
      <c r="NLJ88" s="292"/>
      <c r="NLK88" s="289"/>
      <c r="NLL88" s="293"/>
      <c r="NLM88" s="266"/>
      <c r="NLN88" s="290"/>
      <c r="NLO88" s="297"/>
      <c r="NLP88" s="260"/>
      <c r="NLQ88" s="261"/>
      <c r="NLR88" s="262"/>
      <c r="NLS88" s="263"/>
      <c r="NLT88" s="289"/>
      <c r="NLU88" s="289"/>
      <c r="NLV88" s="289"/>
      <c r="NLW88" s="292"/>
      <c r="NLX88" s="289"/>
      <c r="NLY88" s="293"/>
      <c r="NLZ88" s="266"/>
      <c r="NMA88" s="290"/>
      <c r="NMB88" s="297"/>
      <c r="NMC88" s="260"/>
      <c r="NMD88" s="261"/>
      <c r="NME88" s="262"/>
      <c r="NMF88" s="263"/>
      <c r="NMG88" s="289"/>
      <c r="NMH88" s="289"/>
      <c r="NMI88" s="289"/>
      <c r="NMJ88" s="292"/>
      <c r="NMK88" s="289"/>
      <c r="NML88" s="293"/>
      <c r="NMM88" s="266"/>
      <c r="NMN88" s="290"/>
      <c r="NMO88" s="297"/>
      <c r="NMP88" s="260"/>
      <c r="NMQ88" s="261"/>
      <c r="NMR88" s="262"/>
      <c r="NMS88" s="263"/>
      <c r="NMT88" s="289"/>
      <c r="NMU88" s="289"/>
      <c r="NMV88" s="289"/>
      <c r="NMW88" s="292"/>
      <c r="NMX88" s="289"/>
      <c r="NMY88" s="293"/>
      <c r="NMZ88" s="266"/>
      <c r="NNA88" s="290"/>
      <c r="NNB88" s="297"/>
      <c r="NNC88" s="260"/>
      <c r="NND88" s="261"/>
      <c r="NNE88" s="262"/>
      <c r="NNF88" s="263"/>
      <c r="NNG88" s="289"/>
      <c r="NNH88" s="289"/>
      <c r="NNI88" s="289"/>
      <c r="NNJ88" s="292"/>
      <c r="NNK88" s="289"/>
      <c r="NNL88" s="293"/>
      <c r="NNM88" s="266"/>
      <c r="NNN88" s="290"/>
      <c r="NNO88" s="297"/>
      <c r="NNP88" s="260"/>
      <c r="NNQ88" s="261"/>
      <c r="NNR88" s="262"/>
      <c r="NNS88" s="263"/>
      <c r="NNT88" s="289"/>
      <c r="NNU88" s="289"/>
      <c r="NNV88" s="289"/>
      <c r="NNW88" s="292"/>
      <c r="NNX88" s="289"/>
      <c r="NNY88" s="293"/>
      <c r="NNZ88" s="266"/>
      <c r="NOA88" s="290"/>
      <c r="NOB88" s="297"/>
      <c r="NOC88" s="260"/>
      <c r="NOD88" s="261"/>
      <c r="NOE88" s="262"/>
      <c r="NOF88" s="263"/>
      <c r="NOG88" s="289"/>
      <c r="NOH88" s="289"/>
      <c r="NOI88" s="289"/>
      <c r="NOJ88" s="292"/>
      <c r="NOK88" s="289"/>
      <c r="NOL88" s="293"/>
      <c r="NOM88" s="266"/>
      <c r="NON88" s="290"/>
      <c r="NOO88" s="297"/>
      <c r="NOP88" s="260"/>
      <c r="NOQ88" s="261"/>
      <c r="NOR88" s="262"/>
      <c r="NOS88" s="263"/>
      <c r="NOT88" s="289"/>
      <c r="NOU88" s="289"/>
      <c r="NOV88" s="289"/>
      <c r="NOW88" s="292"/>
      <c r="NOX88" s="289"/>
      <c r="NOY88" s="293"/>
      <c r="NOZ88" s="266"/>
      <c r="NPA88" s="290"/>
      <c r="NPB88" s="297"/>
      <c r="NPC88" s="260"/>
      <c r="NPD88" s="261"/>
      <c r="NPE88" s="262"/>
      <c r="NPF88" s="263"/>
      <c r="NPG88" s="289"/>
      <c r="NPH88" s="289"/>
      <c r="NPI88" s="289"/>
      <c r="NPJ88" s="292"/>
      <c r="NPK88" s="289"/>
      <c r="NPL88" s="293"/>
      <c r="NPM88" s="266"/>
      <c r="NPN88" s="290"/>
      <c r="NPO88" s="297"/>
      <c r="NPP88" s="260"/>
      <c r="NPQ88" s="261"/>
      <c r="NPR88" s="262"/>
      <c r="NPS88" s="263"/>
      <c r="NPT88" s="289"/>
      <c r="NPU88" s="289"/>
      <c r="NPV88" s="289"/>
      <c r="NPW88" s="292"/>
      <c r="NPX88" s="289"/>
      <c r="NPY88" s="293"/>
      <c r="NPZ88" s="266"/>
      <c r="NQA88" s="290"/>
      <c r="NQB88" s="297"/>
      <c r="NQC88" s="260"/>
      <c r="NQD88" s="261"/>
      <c r="NQE88" s="262"/>
      <c r="NQF88" s="263"/>
      <c r="NQG88" s="289"/>
      <c r="NQH88" s="289"/>
      <c r="NQI88" s="289"/>
      <c r="NQJ88" s="292"/>
      <c r="NQK88" s="289"/>
      <c r="NQL88" s="293"/>
      <c r="NQM88" s="266"/>
      <c r="NQN88" s="290"/>
      <c r="NQO88" s="297"/>
      <c r="NQP88" s="260"/>
      <c r="NQQ88" s="261"/>
      <c r="NQR88" s="262"/>
      <c r="NQS88" s="263"/>
      <c r="NQT88" s="289"/>
      <c r="NQU88" s="289"/>
      <c r="NQV88" s="289"/>
      <c r="NQW88" s="292"/>
      <c r="NQX88" s="289"/>
      <c r="NQY88" s="293"/>
      <c r="NQZ88" s="266"/>
      <c r="NRA88" s="290"/>
      <c r="NRB88" s="297"/>
      <c r="NRC88" s="260"/>
      <c r="NRD88" s="261"/>
      <c r="NRE88" s="262"/>
      <c r="NRF88" s="263"/>
      <c r="NRG88" s="289"/>
      <c r="NRH88" s="289"/>
      <c r="NRI88" s="289"/>
      <c r="NRJ88" s="292"/>
      <c r="NRK88" s="289"/>
      <c r="NRL88" s="293"/>
      <c r="NRM88" s="266"/>
      <c r="NRN88" s="290"/>
      <c r="NRO88" s="297"/>
      <c r="NRP88" s="260"/>
      <c r="NRQ88" s="261"/>
      <c r="NRR88" s="262"/>
      <c r="NRS88" s="263"/>
      <c r="NRT88" s="289"/>
      <c r="NRU88" s="289"/>
      <c r="NRV88" s="289"/>
      <c r="NRW88" s="292"/>
      <c r="NRX88" s="289"/>
      <c r="NRY88" s="293"/>
      <c r="NRZ88" s="266"/>
      <c r="NSA88" s="290"/>
      <c r="NSB88" s="297"/>
      <c r="NSC88" s="260"/>
      <c r="NSD88" s="261"/>
      <c r="NSE88" s="262"/>
      <c r="NSF88" s="263"/>
      <c r="NSG88" s="289"/>
      <c r="NSH88" s="289"/>
      <c r="NSI88" s="289"/>
      <c r="NSJ88" s="292"/>
      <c r="NSK88" s="289"/>
      <c r="NSL88" s="293"/>
      <c r="NSM88" s="266"/>
      <c r="NSN88" s="290"/>
      <c r="NSO88" s="297"/>
      <c r="NSP88" s="260"/>
      <c r="NSQ88" s="261"/>
      <c r="NSR88" s="262"/>
      <c r="NSS88" s="263"/>
      <c r="NST88" s="289"/>
      <c r="NSU88" s="289"/>
      <c r="NSV88" s="289"/>
      <c r="NSW88" s="292"/>
      <c r="NSX88" s="289"/>
      <c r="NSY88" s="293"/>
      <c r="NSZ88" s="266"/>
      <c r="NTA88" s="290"/>
      <c r="NTB88" s="297"/>
      <c r="NTC88" s="260"/>
      <c r="NTD88" s="261"/>
      <c r="NTE88" s="262"/>
      <c r="NTF88" s="263"/>
      <c r="NTG88" s="289"/>
      <c r="NTH88" s="289"/>
      <c r="NTI88" s="289"/>
      <c r="NTJ88" s="292"/>
      <c r="NTK88" s="289"/>
      <c r="NTL88" s="293"/>
      <c r="NTM88" s="266"/>
      <c r="NTN88" s="290"/>
      <c r="NTO88" s="297"/>
      <c r="NTP88" s="260"/>
      <c r="NTQ88" s="261"/>
      <c r="NTR88" s="262"/>
      <c r="NTS88" s="263"/>
      <c r="NTT88" s="289"/>
      <c r="NTU88" s="289"/>
      <c r="NTV88" s="289"/>
      <c r="NTW88" s="292"/>
      <c r="NTX88" s="289"/>
      <c r="NTY88" s="293"/>
      <c r="NTZ88" s="266"/>
      <c r="NUA88" s="290"/>
      <c r="NUB88" s="297"/>
      <c r="NUC88" s="260"/>
      <c r="NUD88" s="261"/>
      <c r="NUE88" s="262"/>
      <c r="NUF88" s="263"/>
      <c r="NUG88" s="289"/>
      <c r="NUH88" s="289"/>
      <c r="NUI88" s="289"/>
      <c r="NUJ88" s="292"/>
      <c r="NUK88" s="289"/>
      <c r="NUL88" s="293"/>
      <c r="NUM88" s="266"/>
      <c r="NUN88" s="290"/>
      <c r="NUO88" s="297"/>
      <c r="NUP88" s="260"/>
      <c r="NUQ88" s="261"/>
      <c r="NUR88" s="262"/>
      <c r="NUS88" s="263"/>
      <c r="NUT88" s="289"/>
      <c r="NUU88" s="289"/>
      <c r="NUV88" s="289"/>
      <c r="NUW88" s="292"/>
      <c r="NUX88" s="289"/>
      <c r="NUY88" s="293"/>
      <c r="NUZ88" s="266"/>
      <c r="NVA88" s="290"/>
      <c r="NVB88" s="297"/>
      <c r="NVC88" s="260"/>
      <c r="NVD88" s="261"/>
      <c r="NVE88" s="262"/>
      <c r="NVF88" s="263"/>
      <c r="NVG88" s="289"/>
      <c r="NVH88" s="289"/>
      <c r="NVI88" s="289"/>
      <c r="NVJ88" s="292"/>
      <c r="NVK88" s="289"/>
      <c r="NVL88" s="293"/>
      <c r="NVM88" s="266"/>
      <c r="NVN88" s="290"/>
      <c r="NVO88" s="297"/>
      <c r="NVP88" s="260"/>
      <c r="NVQ88" s="261"/>
      <c r="NVR88" s="262"/>
      <c r="NVS88" s="263"/>
      <c r="NVT88" s="289"/>
      <c r="NVU88" s="289"/>
      <c r="NVV88" s="289"/>
      <c r="NVW88" s="292"/>
      <c r="NVX88" s="289"/>
      <c r="NVY88" s="293"/>
      <c r="NVZ88" s="266"/>
      <c r="NWA88" s="290"/>
      <c r="NWB88" s="297"/>
      <c r="NWC88" s="260"/>
      <c r="NWD88" s="261"/>
      <c r="NWE88" s="262"/>
      <c r="NWF88" s="263"/>
      <c r="NWG88" s="289"/>
      <c r="NWH88" s="289"/>
      <c r="NWI88" s="289"/>
      <c r="NWJ88" s="292"/>
      <c r="NWK88" s="289"/>
      <c r="NWL88" s="293"/>
      <c r="NWM88" s="266"/>
      <c r="NWN88" s="290"/>
      <c r="NWO88" s="297"/>
      <c r="NWP88" s="260"/>
      <c r="NWQ88" s="261"/>
      <c r="NWR88" s="262"/>
      <c r="NWS88" s="263"/>
      <c r="NWT88" s="289"/>
      <c r="NWU88" s="289"/>
      <c r="NWV88" s="289"/>
      <c r="NWW88" s="292"/>
      <c r="NWX88" s="289"/>
      <c r="NWY88" s="293"/>
      <c r="NWZ88" s="266"/>
      <c r="NXA88" s="290"/>
      <c r="NXB88" s="297"/>
      <c r="NXC88" s="260"/>
      <c r="NXD88" s="261"/>
      <c r="NXE88" s="262"/>
      <c r="NXF88" s="263"/>
      <c r="NXG88" s="289"/>
      <c r="NXH88" s="289"/>
      <c r="NXI88" s="289"/>
      <c r="NXJ88" s="292"/>
      <c r="NXK88" s="289"/>
      <c r="NXL88" s="293"/>
      <c r="NXM88" s="266"/>
      <c r="NXN88" s="290"/>
      <c r="NXO88" s="297"/>
      <c r="NXP88" s="260"/>
      <c r="NXQ88" s="261"/>
      <c r="NXR88" s="262"/>
      <c r="NXS88" s="263"/>
      <c r="NXT88" s="289"/>
      <c r="NXU88" s="289"/>
      <c r="NXV88" s="289"/>
      <c r="NXW88" s="292"/>
      <c r="NXX88" s="289"/>
      <c r="NXY88" s="293"/>
      <c r="NXZ88" s="266"/>
      <c r="NYA88" s="290"/>
      <c r="NYB88" s="297"/>
      <c r="NYC88" s="260"/>
      <c r="NYD88" s="261"/>
      <c r="NYE88" s="262"/>
      <c r="NYF88" s="263"/>
      <c r="NYG88" s="289"/>
      <c r="NYH88" s="289"/>
      <c r="NYI88" s="289"/>
      <c r="NYJ88" s="292"/>
      <c r="NYK88" s="289"/>
      <c r="NYL88" s="293"/>
      <c r="NYM88" s="266"/>
      <c r="NYN88" s="290"/>
      <c r="NYO88" s="297"/>
      <c r="NYP88" s="260"/>
      <c r="NYQ88" s="261"/>
      <c r="NYR88" s="262"/>
      <c r="NYS88" s="263"/>
      <c r="NYT88" s="289"/>
      <c r="NYU88" s="289"/>
      <c r="NYV88" s="289"/>
      <c r="NYW88" s="292"/>
      <c r="NYX88" s="289"/>
      <c r="NYY88" s="293"/>
      <c r="NYZ88" s="266"/>
      <c r="NZA88" s="290"/>
      <c r="NZB88" s="297"/>
      <c r="NZC88" s="260"/>
      <c r="NZD88" s="261"/>
      <c r="NZE88" s="262"/>
      <c r="NZF88" s="263"/>
      <c r="NZG88" s="289"/>
      <c r="NZH88" s="289"/>
      <c r="NZI88" s="289"/>
      <c r="NZJ88" s="292"/>
      <c r="NZK88" s="289"/>
      <c r="NZL88" s="293"/>
      <c r="NZM88" s="266"/>
      <c r="NZN88" s="290"/>
      <c r="NZO88" s="297"/>
      <c r="NZP88" s="260"/>
      <c r="NZQ88" s="261"/>
      <c r="NZR88" s="262"/>
      <c r="NZS88" s="263"/>
      <c r="NZT88" s="289"/>
      <c r="NZU88" s="289"/>
      <c r="NZV88" s="289"/>
      <c r="NZW88" s="292"/>
      <c r="NZX88" s="289"/>
      <c r="NZY88" s="293"/>
      <c r="NZZ88" s="266"/>
      <c r="OAA88" s="290"/>
      <c r="OAB88" s="297"/>
      <c r="OAC88" s="260"/>
      <c r="OAD88" s="261"/>
      <c r="OAE88" s="262"/>
      <c r="OAF88" s="263"/>
      <c r="OAG88" s="289"/>
      <c r="OAH88" s="289"/>
      <c r="OAI88" s="289"/>
      <c r="OAJ88" s="292"/>
      <c r="OAK88" s="289"/>
      <c r="OAL88" s="293"/>
      <c r="OAM88" s="266"/>
      <c r="OAN88" s="290"/>
      <c r="OAO88" s="297"/>
      <c r="OAP88" s="260"/>
      <c r="OAQ88" s="261"/>
      <c r="OAR88" s="262"/>
      <c r="OAS88" s="263"/>
      <c r="OAT88" s="289"/>
      <c r="OAU88" s="289"/>
      <c r="OAV88" s="289"/>
      <c r="OAW88" s="292"/>
      <c r="OAX88" s="289"/>
      <c r="OAY88" s="293"/>
      <c r="OAZ88" s="266"/>
      <c r="OBA88" s="290"/>
      <c r="OBB88" s="297"/>
      <c r="OBC88" s="260"/>
      <c r="OBD88" s="261"/>
      <c r="OBE88" s="262"/>
      <c r="OBF88" s="263"/>
      <c r="OBG88" s="289"/>
      <c r="OBH88" s="289"/>
      <c r="OBI88" s="289"/>
      <c r="OBJ88" s="292"/>
      <c r="OBK88" s="289"/>
      <c r="OBL88" s="293"/>
      <c r="OBM88" s="266"/>
      <c r="OBN88" s="290"/>
      <c r="OBO88" s="297"/>
      <c r="OBP88" s="260"/>
      <c r="OBQ88" s="261"/>
      <c r="OBR88" s="262"/>
      <c r="OBS88" s="263"/>
      <c r="OBT88" s="289"/>
      <c r="OBU88" s="289"/>
      <c r="OBV88" s="289"/>
      <c r="OBW88" s="292"/>
      <c r="OBX88" s="289"/>
      <c r="OBY88" s="293"/>
      <c r="OBZ88" s="266"/>
      <c r="OCA88" s="290"/>
      <c r="OCB88" s="297"/>
      <c r="OCC88" s="260"/>
      <c r="OCD88" s="261"/>
      <c r="OCE88" s="262"/>
      <c r="OCF88" s="263"/>
      <c r="OCG88" s="289"/>
      <c r="OCH88" s="289"/>
      <c r="OCI88" s="289"/>
      <c r="OCJ88" s="292"/>
      <c r="OCK88" s="289"/>
      <c r="OCL88" s="293"/>
      <c r="OCM88" s="266"/>
      <c r="OCN88" s="290"/>
      <c r="OCO88" s="297"/>
      <c r="OCP88" s="260"/>
      <c r="OCQ88" s="261"/>
      <c r="OCR88" s="262"/>
      <c r="OCS88" s="263"/>
      <c r="OCT88" s="289"/>
      <c r="OCU88" s="289"/>
      <c r="OCV88" s="289"/>
      <c r="OCW88" s="292"/>
      <c r="OCX88" s="289"/>
      <c r="OCY88" s="293"/>
      <c r="OCZ88" s="266"/>
      <c r="ODA88" s="290"/>
      <c r="ODB88" s="297"/>
      <c r="ODC88" s="260"/>
      <c r="ODD88" s="261"/>
      <c r="ODE88" s="262"/>
      <c r="ODF88" s="263"/>
      <c r="ODG88" s="289"/>
      <c r="ODH88" s="289"/>
      <c r="ODI88" s="289"/>
      <c r="ODJ88" s="292"/>
      <c r="ODK88" s="289"/>
      <c r="ODL88" s="293"/>
      <c r="ODM88" s="266"/>
      <c r="ODN88" s="290"/>
      <c r="ODO88" s="297"/>
      <c r="ODP88" s="260"/>
      <c r="ODQ88" s="261"/>
      <c r="ODR88" s="262"/>
      <c r="ODS88" s="263"/>
      <c r="ODT88" s="289"/>
      <c r="ODU88" s="289"/>
      <c r="ODV88" s="289"/>
      <c r="ODW88" s="292"/>
      <c r="ODX88" s="289"/>
      <c r="ODY88" s="293"/>
      <c r="ODZ88" s="266"/>
      <c r="OEA88" s="290"/>
      <c r="OEB88" s="297"/>
      <c r="OEC88" s="260"/>
      <c r="OED88" s="261"/>
      <c r="OEE88" s="262"/>
      <c r="OEF88" s="263"/>
      <c r="OEG88" s="289"/>
      <c r="OEH88" s="289"/>
      <c r="OEI88" s="289"/>
      <c r="OEJ88" s="292"/>
      <c r="OEK88" s="289"/>
      <c r="OEL88" s="293"/>
      <c r="OEM88" s="266"/>
      <c r="OEN88" s="290"/>
      <c r="OEO88" s="297"/>
      <c r="OEP88" s="260"/>
      <c r="OEQ88" s="261"/>
      <c r="OER88" s="262"/>
      <c r="OES88" s="263"/>
      <c r="OET88" s="289"/>
      <c r="OEU88" s="289"/>
      <c r="OEV88" s="289"/>
      <c r="OEW88" s="292"/>
      <c r="OEX88" s="289"/>
      <c r="OEY88" s="293"/>
      <c r="OEZ88" s="266"/>
      <c r="OFA88" s="290"/>
      <c r="OFB88" s="297"/>
      <c r="OFC88" s="260"/>
      <c r="OFD88" s="261"/>
      <c r="OFE88" s="262"/>
      <c r="OFF88" s="263"/>
      <c r="OFG88" s="289"/>
      <c r="OFH88" s="289"/>
      <c r="OFI88" s="289"/>
      <c r="OFJ88" s="292"/>
      <c r="OFK88" s="289"/>
      <c r="OFL88" s="293"/>
      <c r="OFM88" s="266"/>
      <c r="OFN88" s="290"/>
      <c r="OFO88" s="297"/>
      <c r="OFP88" s="260"/>
      <c r="OFQ88" s="261"/>
      <c r="OFR88" s="262"/>
      <c r="OFS88" s="263"/>
      <c r="OFT88" s="289"/>
      <c r="OFU88" s="289"/>
      <c r="OFV88" s="289"/>
      <c r="OFW88" s="292"/>
      <c r="OFX88" s="289"/>
      <c r="OFY88" s="293"/>
      <c r="OFZ88" s="266"/>
      <c r="OGA88" s="290"/>
      <c r="OGB88" s="297"/>
      <c r="OGC88" s="260"/>
      <c r="OGD88" s="261"/>
      <c r="OGE88" s="262"/>
      <c r="OGF88" s="263"/>
      <c r="OGG88" s="289"/>
      <c r="OGH88" s="289"/>
      <c r="OGI88" s="289"/>
      <c r="OGJ88" s="292"/>
      <c r="OGK88" s="289"/>
      <c r="OGL88" s="293"/>
      <c r="OGM88" s="266"/>
      <c r="OGN88" s="290"/>
      <c r="OGO88" s="297"/>
      <c r="OGP88" s="260"/>
      <c r="OGQ88" s="261"/>
      <c r="OGR88" s="262"/>
      <c r="OGS88" s="263"/>
      <c r="OGT88" s="289"/>
      <c r="OGU88" s="289"/>
      <c r="OGV88" s="289"/>
      <c r="OGW88" s="292"/>
      <c r="OGX88" s="289"/>
      <c r="OGY88" s="293"/>
      <c r="OGZ88" s="266"/>
      <c r="OHA88" s="290"/>
      <c r="OHB88" s="297"/>
      <c r="OHC88" s="260"/>
      <c r="OHD88" s="261"/>
      <c r="OHE88" s="262"/>
      <c r="OHF88" s="263"/>
      <c r="OHG88" s="289"/>
      <c r="OHH88" s="289"/>
      <c r="OHI88" s="289"/>
      <c r="OHJ88" s="292"/>
      <c r="OHK88" s="289"/>
      <c r="OHL88" s="293"/>
      <c r="OHM88" s="266"/>
      <c r="OHN88" s="290"/>
      <c r="OHO88" s="297"/>
      <c r="OHP88" s="260"/>
      <c r="OHQ88" s="261"/>
      <c r="OHR88" s="262"/>
      <c r="OHS88" s="263"/>
      <c r="OHT88" s="289"/>
      <c r="OHU88" s="289"/>
      <c r="OHV88" s="289"/>
      <c r="OHW88" s="292"/>
      <c r="OHX88" s="289"/>
      <c r="OHY88" s="293"/>
      <c r="OHZ88" s="266"/>
      <c r="OIA88" s="290"/>
      <c r="OIB88" s="297"/>
      <c r="OIC88" s="260"/>
      <c r="OID88" s="261"/>
      <c r="OIE88" s="262"/>
      <c r="OIF88" s="263"/>
      <c r="OIG88" s="289"/>
      <c r="OIH88" s="289"/>
      <c r="OII88" s="289"/>
      <c r="OIJ88" s="292"/>
      <c r="OIK88" s="289"/>
      <c r="OIL88" s="293"/>
      <c r="OIM88" s="266"/>
      <c r="OIN88" s="290"/>
      <c r="OIO88" s="297"/>
      <c r="OIP88" s="260"/>
      <c r="OIQ88" s="261"/>
      <c r="OIR88" s="262"/>
      <c r="OIS88" s="263"/>
      <c r="OIT88" s="289"/>
      <c r="OIU88" s="289"/>
      <c r="OIV88" s="289"/>
      <c r="OIW88" s="292"/>
      <c r="OIX88" s="289"/>
      <c r="OIY88" s="293"/>
      <c r="OIZ88" s="266"/>
      <c r="OJA88" s="290"/>
      <c r="OJB88" s="297"/>
      <c r="OJC88" s="260"/>
      <c r="OJD88" s="261"/>
      <c r="OJE88" s="262"/>
      <c r="OJF88" s="263"/>
      <c r="OJG88" s="289"/>
      <c r="OJH88" s="289"/>
      <c r="OJI88" s="289"/>
      <c r="OJJ88" s="292"/>
      <c r="OJK88" s="289"/>
      <c r="OJL88" s="293"/>
      <c r="OJM88" s="266"/>
      <c r="OJN88" s="290"/>
      <c r="OJO88" s="297"/>
      <c r="OJP88" s="260"/>
      <c r="OJQ88" s="261"/>
      <c r="OJR88" s="262"/>
      <c r="OJS88" s="263"/>
      <c r="OJT88" s="289"/>
      <c r="OJU88" s="289"/>
      <c r="OJV88" s="289"/>
      <c r="OJW88" s="292"/>
      <c r="OJX88" s="289"/>
      <c r="OJY88" s="293"/>
      <c r="OJZ88" s="266"/>
      <c r="OKA88" s="290"/>
      <c r="OKB88" s="297"/>
      <c r="OKC88" s="260"/>
      <c r="OKD88" s="261"/>
      <c r="OKE88" s="262"/>
      <c r="OKF88" s="263"/>
      <c r="OKG88" s="289"/>
      <c r="OKH88" s="289"/>
      <c r="OKI88" s="289"/>
      <c r="OKJ88" s="292"/>
      <c r="OKK88" s="289"/>
      <c r="OKL88" s="293"/>
      <c r="OKM88" s="266"/>
      <c r="OKN88" s="290"/>
      <c r="OKO88" s="297"/>
      <c r="OKP88" s="260"/>
      <c r="OKQ88" s="261"/>
      <c r="OKR88" s="262"/>
      <c r="OKS88" s="263"/>
      <c r="OKT88" s="289"/>
      <c r="OKU88" s="289"/>
      <c r="OKV88" s="289"/>
      <c r="OKW88" s="292"/>
      <c r="OKX88" s="289"/>
      <c r="OKY88" s="293"/>
      <c r="OKZ88" s="266"/>
      <c r="OLA88" s="290"/>
      <c r="OLB88" s="297"/>
      <c r="OLC88" s="260"/>
      <c r="OLD88" s="261"/>
      <c r="OLE88" s="262"/>
      <c r="OLF88" s="263"/>
      <c r="OLG88" s="289"/>
      <c r="OLH88" s="289"/>
      <c r="OLI88" s="289"/>
      <c r="OLJ88" s="292"/>
      <c r="OLK88" s="289"/>
      <c r="OLL88" s="293"/>
      <c r="OLM88" s="266"/>
      <c r="OLN88" s="290"/>
      <c r="OLO88" s="297"/>
      <c r="OLP88" s="260"/>
      <c r="OLQ88" s="261"/>
      <c r="OLR88" s="262"/>
      <c r="OLS88" s="263"/>
      <c r="OLT88" s="289"/>
      <c r="OLU88" s="289"/>
      <c r="OLV88" s="289"/>
      <c r="OLW88" s="292"/>
      <c r="OLX88" s="289"/>
      <c r="OLY88" s="293"/>
      <c r="OLZ88" s="266"/>
      <c r="OMA88" s="290"/>
      <c r="OMB88" s="297"/>
      <c r="OMC88" s="260"/>
      <c r="OMD88" s="261"/>
      <c r="OME88" s="262"/>
      <c r="OMF88" s="263"/>
      <c r="OMG88" s="289"/>
      <c r="OMH88" s="289"/>
      <c r="OMI88" s="289"/>
      <c r="OMJ88" s="292"/>
      <c r="OMK88" s="289"/>
      <c r="OML88" s="293"/>
      <c r="OMM88" s="266"/>
      <c r="OMN88" s="290"/>
      <c r="OMO88" s="297"/>
      <c r="OMP88" s="260"/>
      <c r="OMQ88" s="261"/>
      <c r="OMR88" s="262"/>
      <c r="OMS88" s="263"/>
      <c r="OMT88" s="289"/>
      <c r="OMU88" s="289"/>
      <c r="OMV88" s="289"/>
      <c r="OMW88" s="292"/>
      <c r="OMX88" s="289"/>
      <c r="OMY88" s="293"/>
      <c r="OMZ88" s="266"/>
      <c r="ONA88" s="290"/>
      <c r="ONB88" s="297"/>
      <c r="ONC88" s="260"/>
      <c r="OND88" s="261"/>
      <c r="ONE88" s="262"/>
      <c r="ONF88" s="263"/>
      <c r="ONG88" s="289"/>
      <c r="ONH88" s="289"/>
      <c r="ONI88" s="289"/>
      <c r="ONJ88" s="292"/>
      <c r="ONK88" s="289"/>
      <c r="ONL88" s="293"/>
      <c r="ONM88" s="266"/>
      <c r="ONN88" s="290"/>
      <c r="ONO88" s="297"/>
      <c r="ONP88" s="260"/>
      <c r="ONQ88" s="261"/>
      <c r="ONR88" s="262"/>
      <c r="ONS88" s="263"/>
      <c r="ONT88" s="289"/>
      <c r="ONU88" s="289"/>
      <c r="ONV88" s="289"/>
      <c r="ONW88" s="292"/>
      <c r="ONX88" s="289"/>
      <c r="ONY88" s="293"/>
      <c r="ONZ88" s="266"/>
      <c r="OOA88" s="290"/>
      <c r="OOB88" s="297"/>
      <c r="OOC88" s="260"/>
      <c r="OOD88" s="261"/>
      <c r="OOE88" s="262"/>
      <c r="OOF88" s="263"/>
      <c r="OOG88" s="289"/>
      <c r="OOH88" s="289"/>
      <c r="OOI88" s="289"/>
      <c r="OOJ88" s="292"/>
      <c r="OOK88" s="289"/>
      <c r="OOL88" s="293"/>
      <c r="OOM88" s="266"/>
      <c r="OON88" s="290"/>
      <c r="OOO88" s="297"/>
      <c r="OOP88" s="260"/>
      <c r="OOQ88" s="261"/>
      <c r="OOR88" s="262"/>
      <c r="OOS88" s="263"/>
      <c r="OOT88" s="289"/>
      <c r="OOU88" s="289"/>
      <c r="OOV88" s="289"/>
      <c r="OOW88" s="292"/>
      <c r="OOX88" s="289"/>
      <c r="OOY88" s="293"/>
      <c r="OOZ88" s="266"/>
      <c r="OPA88" s="290"/>
      <c r="OPB88" s="297"/>
      <c r="OPC88" s="260"/>
      <c r="OPD88" s="261"/>
      <c r="OPE88" s="262"/>
      <c r="OPF88" s="263"/>
      <c r="OPG88" s="289"/>
      <c r="OPH88" s="289"/>
      <c r="OPI88" s="289"/>
      <c r="OPJ88" s="292"/>
      <c r="OPK88" s="289"/>
      <c r="OPL88" s="293"/>
      <c r="OPM88" s="266"/>
      <c r="OPN88" s="290"/>
      <c r="OPO88" s="297"/>
      <c r="OPP88" s="260"/>
      <c r="OPQ88" s="261"/>
      <c r="OPR88" s="262"/>
      <c r="OPS88" s="263"/>
      <c r="OPT88" s="289"/>
      <c r="OPU88" s="289"/>
      <c r="OPV88" s="289"/>
      <c r="OPW88" s="292"/>
      <c r="OPX88" s="289"/>
      <c r="OPY88" s="293"/>
      <c r="OPZ88" s="266"/>
      <c r="OQA88" s="290"/>
      <c r="OQB88" s="297"/>
      <c r="OQC88" s="260"/>
      <c r="OQD88" s="261"/>
      <c r="OQE88" s="262"/>
      <c r="OQF88" s="263"/>
      <c r="OQG88" s="289"/>
      <c r="OQH88" s="289"/>
      <c r="OQI88" s="289"/>
      <c r="OQJ88" s="292"/>
      <c r="OQK88" s="289"/>
      <c r="OQL88" s="293"/>
      <c r="OQM88" s="266"/>
      <c r="OQN88" s="290"/>
      <c r="OQO88" s="297"/>
      <c r="OQP88" s="260"/>
      <c r="OQQ88" s="261"/>
      <c r="OQR88" s="262"/>
      <c r="OQS88" s="263"/>
      <c r="OQT88" s="289"/>
      <c r="OQU88" s="289"/>
      <c r="OQV88" s="289"/>
      <c r="OQW88" s="292"/>
      <c r="OQX88" s="289"/>
      <c r="OQY88" s="293"/>
      <c r="OQZ88" s="266"/>
      <c r="ORA88" s="290"/>
      <c r="ORB88" s="297"/>
      <c r="ORC88" s="260"/>
      <c r="ORD88" s="261"/>
      <c r="ORE88" s="262"/>
      <c r="ORF88" s="263"/>
      <c r="ORG88" s="289"/>
      <c r="ORH88" s="289"/>
      <c r="ORI88" s="289"/>
      <c r="ORJ88" s="292"/>
      <c r="ORK88" s="289"/>
      <c r="ORL88" s="293"/>
      <c r="ORM88" s="266"/>
      <c r="ORN88" s="290"/>
      <c r="ORO88" s="297"/>
      <c r="ORP88" s="260"/>
      <c r="ORQ88" s="261"/>
      <c r="ORR88" s="262"/>
      <c r="ORS88" s="263"/>
      <c r="ORT88" s="289"/>
      <c r="ORU88" s="289"/>
      <c r="ORV88" s="289"/>
      <c r="ORW88" s="292"/>
      <c r="ORX88" s="289"/>
      <c r="ORY88" s="293"/>
      <c r="ORZ88" s="266"/>
      <c r="OSA88" s="290"/>
      <c r="OSB88" s="297"/>
      <c r="OSC88" s="260"/>
      <c r="OSD88" s="261"/>
      <c r="OSE88" s="262"/>
      <c r="OSF88" s="263"/>
      <c r="OSG88" s="289"/>
      <c r="OSH88" s="289"/>
      <c r="OSI88" s="289"/>
      <c r="OSJ88" s="292"/>
      <c r="OSK88" s="289"/>
      <c r="OSL88" s="293"/>
      <c r="OSM88" s="266"/>
      <c r="OSN88" s="290"/>
      <c r="OSO88" s="297"/>
      <c r="OSP88" s="260"/>
      <c r="OSQ88" s="261"/>
      <c r="OSR88" s="262"/>
      <c r="OSS88" s="263"/>
      <c r="OST88" s="289"/>
      <c r="OSU88" s="289"/>
      <c r="OSV88" s="289"/>
      <c r="OSW88" s="292"/>
      <c r="OSX88" s="289"/>
      <c r="OSY88" s="293"/>
      <c r="OSZ88" s="266"/>
      <c r="OTA88" s="290"/>
      <c r="OTB88" s="297"/>
      <c r="OTC88" s="260"/>
      <c r="OTD88" s="261"/>
      <c r="OTE88" s="262"/>
      <c r="OTF88" s="263"/>
      <c r="OTG88" s="289"/>
      <c r="OTH88" s="289"/>
      <c r="OTI88" s="289"/>
      <c r="OTJ88" s="292"/>
      <c r="OTK88" s="289"/>
      <c r="OTL88" s="293"/>
      <c r="OTM88" s="266"/>
      <c r="OTN88" s="290"/>
      <c r="OTO88" s="297"/>
      <c r="OTP88" s="260"/>
      <c r="OTQ88" s="261"/>
      <c r="OTR88" s="262"/>
      <c r="OTS88" s="263"/>
      <c r="OTT88" s="289"/>
      <c r="OTU88" s="289"/>
      <c r="OTV88" s="289"/>
      <c r="OTW88" s="292"/>
      <c r="OTX88" s="289"/>
      <c r="OTY88" s="293"/>
      <c r="OTZ88" s="266"/>
      <c r="OUA88" s="290"/>
      <c r="OUB88" s="297"/>
      <c r="OUC88" s="260"/>
      <c r="OUD88" s="261"/>
      <c r="OUE88" s="262"/>
      <c r="OUF88" s="263"/>
      <c r="OUG88" s="289"/>
      <c r="OUH88" s="289"/>
      <c r="OUI88" s="289"/>
      <c r="OUJ88" s="292"/>
      <c r="OUK88" s="289"/>
      <c r="OUL88" s="293"/>
      <c r="OUM88" s="266"/>
      <c r="OUN88" s="290"/>
      <c r="OUO88" s="297"/>
      <c r="OUP88" s="260"/>
      <c r="OUQ88" s="261"/>
      <c r="OUR88" s="262"/>
      <c r="OUS88" s="263"/>
      <c r="OUT88" s="289"/>
      <c r="OUU88" s="289"/>
      <c r="OUV88" s="289"/>
      <c r="OUW88" s="292"/>
      <c r="OUX88" s="289"/>
      <c r="OUY88" s="293"/>
      <c r="OUZ88" s="266"/>
      <c r="OVA88" s="290"/>
      <c r="OVB88" s="297"/>
      <c r="OVC88" s="260"/>
      <c r="OVD88" s="261"/>
      <c r="OVE88" s="262"/>
      <c r="OVF88" s="263"/>
      <c r="OVG88" s="289"/>
      <c r="OVH88" s="289"/>
      <c r="OVI88" s="289"/>
      <c r="OVJ88" s="292"/>
      <c r="OVK88" s="289"/>
      <c r="OVL88" s="293"/>
      <c r="OVM88" s="266"/>
      <c r="OVN88" s="290"/>
      <c r="OVO88" s="297"/>
      <c r="OVP88" s="260"/>
      <c r="OVQ88" s="261"/>
      <c r="OVR88" s="262"/>
      <c r="OVS88" s="263"/>
      <c r="OVT88" s="289"/>
      <c r="OVU88" s="289"/>
      <c r="OVV88" s="289"/>
      <c r="OVW88" s="292"/>
      <c r="OVX88" s="289"/>
      <c r="OVY88" s="293"/>
      <c r="OVZ88" s="266"/>
      <c r="OWA88" s="290"/>
      <c r="OWB88" s="297"/>
      <c r="OWC88" s="260"/>
      <c r="OWD88" s="261"/>
      <c r="OWE88" s="262"/>
      <c r="OWF88" s="263"/>
      <c r="OWG88" s="289"/>
      <c r="OWH88" s="289"/>
      <c r="OWI88" s="289"/>
      <c r="OWJ88" s="292"/>
      <c r="OWK88" s="289"/>
      <c r="OWL88" s="293"/>
      <c r="OWM88" s="266"/>
      <c r="OWN88" s="290"/>
      <c r="OWO88" s="297"/>
      <c r="OWP88" s="260"/>
      <c r="OWQ88" s="261"/>
      <c r="OWR88" s="262"/>
      <c r="OWS88" s="263"/>
      <c r="OWT88" s="289"/>
      <c r="OWU88" s="289"/>
      <c r="OWV88" s="289"/>
      <c r="OWW88" s="292"/>
      <c r="OWX88" s="289"/>
      <c r="OWY88" s="293"/>
      <c r="OWZ88" s="266"/>
      <c r="OXA88" s="290"/>
      <c r="OXB88" s="297"/>
      <c r="OXC88" s="260"/>
      <c r="OXD88" s="261"/>
      <c r="OXE88" s="262"/>
      <c r="OXF88" s="263"/>
      <c r="OXG88" s="289"/>
      <c r="OXH88" s="289"/>
      <c r="OXI88" s="289"/>
      <c r="OXJ88" s="292"/>
      <c r="OXK88" s="289"/>
      <c r="OXL88" s="293"/>
      <c r="OXM88" s="266"/>
      <c r="OXN88" s="290"/>
      <c r="OXO88" s="297"/>
      <c r="OXP88" s="260"/>
      <c r="OXQ88" s="261"/>
      <c r="OXR88" s="262"/>
      <c r="OXS88" s="263"/>
      <c r="OXT88" s="289"/>
      <c r="OXU88" s="289"/>
      <c r="OXV88" s="289"/>
      <c r="OXW88" s="292"/>
      <c r="OXX88" s="289"/>
      <c r="OXY88" s="293"/>
      <c r="OXZ88" s="266"/>
      <c r="OYA88" s="290"/>
      <c r="OYB88" s="297"/>
      <c r="OYC88" s="260"/>
      <c r="OYD88" s="261"/>
      <c r="OYE88" s="262"/>
      <c r="OYF88" s="263"/>
      <c r="OYG88" s="289"/>
      <c r="OYH88" s="289"/>
      <c r="OYI88" s="289"/>
      <c r="OYJ88" s="292"/>
      <c r="OYK88" s="289"/>
      <c r="OYL88" s="293"/>
      <c r="OYM88" s="266"/>
      <c r="OYN88" s="290"/>
      <c r="OYO88" s="297"/>
      <c r="OYP88" s="260"/>
      <c r="OYQ88" s="261"/>
      <c r="OYR88" s="262"/>
      <c r="OYS88" s="263"/>
      <c r="OYT88" s="289"/>
      <c r="OYU88" s="289"/>
      <c r="OYV88" s="289"/>
      <c r="OYW88" s="292"/>
      <c r="OYX88" s="289"/>
      <c r="OYY88" s="293"/>
      <c r="OYZ88" s="266"/>
      <c r="OZA88" s="290"/>
      <c r="OZB88" s="297"/>
      <c r="OZC88" s="260"/>
      <c r="OZD88" s="261"/>
      <c r="OZE88" s="262"/>
      <c r="OZF88" s="263"/>
      <c r="OZG88" s="289"/>
      <c r="OZH88" s="289"/>
      <c r="OZI88" s="289"/>
      <c r="OZJ88" s="292"/>
      <c r="OZK88" s="289"/>
      <c r="OZL88" s="293"/>
      <c r="OZM88" s="266"/>
      <c r="OZN88" s="290"/>
      <c r="OZO88" s="297"/>
      <c r="OZP88" s="260"/>
      <c r="OZQ88" s="261"/>
      <c r="OZR88" s="262"/>
      <c r="OZS88" s="263"/>
      <c r="OZT88" s="289"/>
      <c r="OZU88" s="289"/>
      <c r="OZV88" s="289"/>
      <c r="OZW88" s="292"/>
      <c r="OZX88" s="289"/>
      <c r="OZY88" s="293"/>
      <c r="OZZ88" s="266"/>
      <c r="PAA88" s="290"/>
      <c r="PAB88" s="297"/>
      <c r="PAC88" s="260"/>
      <c r="PAD88" s="261"/>
      <c r="PAE88" s="262"/>
      <c r="PAF88" s="263"/>
      <c r="PAG88" s="289"/>
      <c r="PAH88" s="289"/>
      <c r="PAI88" s="289"/>
      <c r="PAJ88" s="292"/>
      <c r="PAK88" s="289"/>
      <c r="PAL88" s="293"/>
      <c r="PAM88" s="266"/>
      <c r="PAN88" s="290"/>
      <c r="PAO88" s="297"/>
      <c r="PAP88" s="260"/>
      <c r="PAQ88" s="261"/>
      <c r="PAR88" s="262"/>
      <c r="PAS88" s="263"/>
      <c r="PAT88" s="289"/>
      <c r="PAU88" s="289"/>
      <c r="PAV88" s="289"/>
      <c r="PAW88" s="292"/>
      <c r="PAX88" s="289"/>
      <c r="PAY88" s="293"/>
      <c r="PAZ88" s="266"/>
      <c r="PBA88" s="290"/>
      <c r="PBB88" s="297"/>
      <c r="PBC88" s="260"/>
      <c r="PBD88" s="261"/>
      <c r="PBE88" s="262"/>
      <c r="PBF88" s="263"/>
      <c r="PBG88" s="289"/>
      <c r="PBH88" s="289"/>
      <c r="PBI88" s="289"/>
      <c r="PBJ88" s="292"/>
      <c r="PBK88" s="289"/>
      <c r="PBL88" s="293"/>
      <c r="PBM88" s="266"/>
      <c r="PBN88" s="290"/>
      <c r="PBO88" s="297"/>
      <c r="PBP88" s="260"/>
      <c r="PBQ88" s="261"/>
      <c r="PBR88" s="262"/>
      <c r="PBS88" s="263"/>
      <c r="PBT88" s="289"/>
      <c r="PBU88" s="289"/>
      <c r="PBV88" s="289"/>
      <c r="PBW88" s="292"/>
      <c r="PBX88" s="289"/>
      <c r="PBY88" s="293"/>
      <c r="PBZ88" s="266"/>
      <c r="PCA88" s="290"/>
      <c r="PCB88" s="297"/>
      <c r="PCC88" s="260"/>
      <c r="PCD88" s="261"/>
      <c r="PCE88" s="262"/>
      <c r="PCF88" s="263"/>
      <c r="PCG88" s="289"/>
      <c r="PCH88" s="289"/>
      <c r="PCI88" s="289"/>
      <c r="PCJ88" s="292"/>
      <c r="PCK88" s="289"/>
      <c r="PCL88" s="293"/>
      <c r="PCM88" s="266"/>
      <c r="PCN88" s="290"/>
      <c r="PCO88" s="297"/>
      <c r="PCP88" s="260"/>
      <c r="PCQ88" s="261"/>
      <c r="PCR88" s="262"/>
      <c r="PCS88" s="263"/>
      <c r="PCT88" s="289"/>
      <c r="PCU88" s="289"/>
      <c r="PCV88" s="289"/>
      <c r="PCW88" s="292"/>
      <c r="PCX88" s="289"/>
      <c r="PCY88" s="293"/>
      <c r="PCZ88" s="266"/>
      <c r="PDA88" s="290"/>
      <c r="PDB88" s="297"/>
      <c r="PDC88" s="260"/>
      <c r="PDD88" s="261"/>
      <c r="PDE88" s="262"/>
      <c r="PDF88" s="263"/>
      <c r="PDG88" s="289"/>
      <c r="PDH88" s="289"/>
      <c r="PDI88" s="289"/>
      <c r="PDJ88" s="292"/>
      <c r="PDK88" s="289"/>
      <c r="PDL88" s="293"/>
      <c r="PDM88" s="266"/>
      <c r="PDN88" s="290"/>
      <c r="PDO88" s="297"/>
      <c r="PDP88" s="260"/>
      <c r="PDQ88" s="261"/>
      <c r="PDR88" s="262"/>
      <c r="PDS88" s="263"/>
      <c r="PDT88" s="289"/>
      <c r="PDU88" s="289"/>
      <c r="PDV88" s="289"/>
      <c r="PDW88" s="292"/>
      <c r="PDX88" s="289"/>
      <c r="PDY88" s="293"/>
      <c r="PDZ88" s="266"/>
      <c r="PEA88" s="290"/>
      <c r="PEB88" s="297"/>
      <c r="PEC88" s="260"/>
      <c r="PED88" s="261"/>
      <c r="PEE88" s="262"/>
      <c r="PEF88" s="263"/>
      <c r="PEG88" s="289"/>
      <c r="PEH88" s="289"/>
      <c r="PEI88" s="289"/>
      <c r="PEJ88" s="292"/>
      <c r="PEK88" s="289"/>
      <c r="PEL88" s="293"/>
      <c r="PEM88" s="266"/>
      <c r="PEN88" s="290"/>
      <c r="PEO88" s="297"/>
      <c r="PEP88" s="260"/>
      <c r="PEQ88" s="261"/>
      <c r="PER88" s="262"/>
      <c r="PES88" s="263"/>
      <c r="PET88" s="289"/>
      <c r="PEU88" s="289"/>
      <c r="PEV88" s="289"/>
      <c r="PEW88" s="292"/>
      <c r="PEX88" s="289"/>
      <c r="PEY88" s="293"/>
      <c r="PEZ88" s="266"/>
      <c r="PFA88" s="290"/>
      <c r="PFB88" s="297"/>
      <c r="PFC88" s="260"/>
      <c r="PFD88" s="261"/>
      <c r="PFE88" s="262"/>
      <c r="PFF88" s="263"/>
      <c r="PFG88" s="289"/>
      <c r="PFH88" s="289"/>
      <c r="PFI88" s="289"/>
      <c r="PFJ88" s="292"/>
      <c r="PFK88" s="289"/>
      <c r="PFL88" s="293"/>
      <c r="PFM88" s="266"/>
      <c r="PFN88" s="290"/>
      <c r="PFO88" s="297"/>
      <c r="PFP88" s="260"/>
      <c r="PFQ88" s="261"/>
      <c r="PFR88" s="262"/>
      <c r="PFS88" s="263"/>
      <c r="PFT88" s="289"/>
      <c r="PFU88" s="289"/>
      <c r="PFV88" s="289"/>
      <c r="PFW88" s="292"/>
      <c r="PFX88" s="289"/>
      <c r="PFY88" s="293"/>
      <c r="PFZ88" s="266"/>
      <c r="PGA88" s="290"/>
      <c r="PGB88" s="297"/>
      <c r="PGC88" s="260"/>
      <c r="PGD88" s="261"/>
      <c r="PGE88" s="262"/>
      <c r="PGF88" s="263"/>
      <c r="PGG88" s="289"/>
      <c r="PGH88" s="289"/>
      <c r="PGI88" s="289"/>
      <c r="PGJ88" s="292"/>
      <c r="PGK88" s="289"/>
      <c r="PGL88" s="293"/>
      <c r="PGM88" s="266"/>
      <c r="PGN88" s="290"/>
      <c r="PGO88" s="297"/>
      <c r="PGP88" s="260"/>
      <c r="PGQ88" s="261"/>
      <c r="PGR88" s="262"/>
      <c r="PGS88" s="263"/>
      <c r="PGT88" s="289"/>
      <c r="PGU88" s="289"/>
      <c r="PGV88" s="289"/>
      <c r="PGW88" s="292"/>
      <c r="PGX88" s="289"/>
      <c r="PGY88" s="293"/>
      <c r="PGZ88" s="266"/>
      <c r="PHA88" s="290"/>
      <c r="PHB88" s="297"/>
      <c r="PHC88" s="260"/>
      <c r="PHD88" s="261"/>
      <c r="PHE88" s="262"/>
      <c r="PHF88" s="263"/>
      <c r="PHG88" s="289"/>
      <c r="PHH88" s="289"/>
      <c r="PHI88" s="289"/>
      <c r="PHJ88" s="292"/>
      <c r="PHK88" s="289"/>
      <c r="PHL88" s="293"/>
      <c r="PHM88" s="266"/>
      <c r="PHN88" s="290"/>
      <c r="PHO88" s="297"/>
      <c r="PHP88" s="260"/>
      <c r="PHQ88" s="261"/>
      <c r="PHR88" s="262"/>
      <c r="PHS88" s="263"/>
      <c r="PHT88" s="289"/>
      <c r="PHU88" s="289"/>
      <c r="PHV88" s="289"/>
      <c r="PHW88" s="292"/>
      <c r="PHX88" s="289"/>
      <c r="PHY88" s="293"/>
      <c r="PHZ88" s="266"/>
      <c r="PIA88" s="290"/>
      <c r="PIB88" s="297"/>
      <c r="PIC88" s="260"/>
      <c r="PID88" s="261"/>
      <c r="PIE88" s="262"/>
      <c r="PIF88" s="263"/>
      <c r="PIG88" s="289"/>
      <c r="PIH88" s="289"/>
      <c r="PII88" s="289"/>
      <c r="PIJ88" s="292"/>
      <c r="PIK88" s="289"/>
      <c r="PIL88" s="293"/>
      <c r="PIM88" s="266"/>
      <c r="PIN88" s="290"/>
      <c r="PIO88" s="297"/>
      <c r="PIP88" s="260"/>
      <c r="PIQ88" s="261"/>
      <c r="PIR88" s="262"/>
      <c r="PIS88" s="263"/>
      <c r="PIT88" s="289"/>
      <c r="PIU88" s="289"/>
      <c r="PIV88" s="289"/>
      <c r="PIW88" s="292"/>
      <c r="PIX88" s="289"/>
      <c r="PIY88" s="293"/>
      <c r="PIZ88" s="266"/>
      <c r="PJA88" s="290"/>
      <c r="PJB88" s="297"/>
      <c r="PJC88" s="260"/>
      <c r="PJD88" s="261"/>
      <c r="PJE88" s="262"/>
      <c r="PJF88" s="263"/>
      <c r="PJG88" s="289"/>
      <c r="PJH88" s="289"/>
      <c r="PJI88" s="289"/>
      <c r="PJJ88" s="292"/>
      <c r="PJK88" s="289"/>
      <c r="PJL88" s="293"/>
      <c r="PJM88" s="266"/>
      <c r="PJN88" s="290"/>
      <c r="PJO88" s="297"/>
      <c r="PJP88" s="260"/>
      <c r="PJQ88" s="261"/>
      <c r="PJR88" s="262"/>
      <c r="PJS88" s="263"/>
      <c r="PJT88" s="289"/>
      <c r="PJU88" s="289"/>
      <c r="PJV88" s="289"/>
      <c r="PJW88" s="292"/>
      <c r="PJX88" s="289"/>
      <c r="PJY88" s="293"/>
      <c r="PJZ88" s="266"/>
      <c r="PKA88" s="290"/>
      <c r="PKB88" s="297"/>
      <c r="PKC88" s="260"/>
      <c r="PKD88" s="261"/>
      <c r="PKE88" s="262"/>
      <c r="PKF88" s="263"/>
      <c r="PKG88" s="289"/>
      <c r="PKH88" s="289"/>
      <c r="PKI88" s="289"/>
      <c r="PKJ88" s="292"/>
      <c r="PKK88" s="289"/>
      <c r="PKL88" s="293"/>
      <c r="PKM88" s="266"/>
      <c r="PKN88" s="290"/>
      <c r="PKO88" s="297"/>
      <c r="PKP88" s="260"/>
      <c r="PKQ88" s="261"/>
      <c r="PKR88" s="262"/>
      <c r="PKS88" s="263"/>
      <c r="PKT88" s="289"/>
      <c r="PKU88" s="289"/>
      <c r="PKV88" s="289"/>
      <c r="PKW88" s="292"/>
      <c r="PKX88" s="289"/>
      <c r="PKY88" s="293"/>
      <c r="PKZ88" s="266"/>
      <c r="PLA88" s="290"/>
      <c r="PLB88" s="297"/>
      <c r="PLC88" s="260"/>
      <c r="PLD88" s="261"/>
      <c r="PLE88" s="262"/>
      <c r="PLF88" s="263"/>
      <c r="PLG88" s="289"/>
      <c r="PLH88" s="289"/>
      <c r="PLI88" s="289"/>
      <c r="PLJ88" s="292"/>
      <c r="PLK88" s="289"/>
      <c r="PLL88" s="293"/>
      <c r="PLM88" s="266"/>
      <c r="PLN88" s="290"/>
      <c r="PLO88" s="297"/>
      <c r="PLP88" s="260"/>
      <c r="PLQ88" s="261"/>
      <c r="PLR88" s="262"/>
      <c r="PLS88" s="263"/>
      <c r="PLT88" s="289"/>
      <c r="PLU88" s="289"/>
      <c r="PLV88" s="289"/>
      <c r="PLW88" s="292"/>
      <c r="PLX88" s="289"/>
      <c r="PLY88" s="293"/>
      <c r="PLZ88" s="266"/>
      <c r="PMA88" s="290"/>
      <c r="PMB88" s="297"/>
      <c r="PMC88" s="260"/>
      <c r="PMD88" s="261"/>
      <c r="PME88" s="262"/>
      <c r="PMF88" s="263"/>
      <c r="PMG88" s="289"/>
      <c r="PMH88" s="289"/>
      <c r="PMI88" s="289"/>
      <c r="PMJ88" s="292"/>
      <c r="PMK88" s="289"/>
      <c r="PML88" s="293"/>
      <c r="PMM88" s="266"/>
      <c r="PMN88" s="290"/>
      <c r="PMO88" s="297"/>
      <c r="PMP88" s="260"/>
      <c r="PMQ88" s="261"/>
      <c r="PMR88" s="262"/>
      <c r="PMS88" s="263"/>
      <c r="PMT88" s="289"/>
      <c r="PMU88" s="289"/>
      <c r="PMV88" s="289"/>
      <c r="PMW88" s="292"/>
      <c r="PMX88" s="289"/>
      <c r="PMY88" s="293"/>
      <c r="PMZ88" s="266"/>
      <c r="PNA88" s="290"/>
      <c r="PNB88" s="297"/>
      <c r="PNC88" s="260"/>
      <c r="PND88" s="261"/>
      <c r="PNE88" s="262"/>
      <c r="PNF88" s="263"/>
      <c r="PNG88" s="289"/>
      <c r="PNH88" s="289"/>
      <c r="PNI88" s="289"/>
      <c r="PNJ88" s="292"/>
      <c r="PNK88" s="289"/>
      <c r="PNL88" s="293"/>
      <c r="PNM88" s="266"/>
      <c r="PNN88" s="290"/>
      <c r="PNO88" s="297"/>
      <c r="PNP88" s="260"/>
      <c r="PNQ88" s="261"/>
      <c r="PNR88" s="262"/>
      <c r="PNS88" s="263"/>
      <c r="PNT88" s="289"/>
      <c r="PNU88" s="289"/>
      <c r="PNV88" s="289"/>
      <c r="PNW88" s="292"/>
      <c r="PNX88" s="289"/>
      <c r="PNY88" s="293"/>
      <c r="PNZ88" s="266"/>
      <c r="POA88" s="290"/>
      <c r="POB88" s="297"/>
      <c r="POC88" s="260"/>
      <c r="POD88" s="261"/>
      <c r="POE88" s="262"/>
      <c r="POF88" s="263"/>
      <c r="POG88" s="289"/>
      <c r="POH88" s="289"/>
      <c r="POI88" s="289"/>
      <c r="POJ88" s="292"/>
      <c r="POK88" s="289"/>
      <c r="POL88" s="293"/>
      <c r="POM88" s="266"/>
      <c r="PON88" s="290"/>
      <c r="POO88" s="297"/>
      <c r="POP88" s="260"/>
      <c r="POQ88" s="261"/>
      <c r="POR88" s="262"/>
      <c r="POS88" s="263"/>
      <c r="POT88" s="289"/>
      <c r="POU88" s="289"/>
      <c r="POV88" s="289"/>
      <c r="POW88" s="292"/>
      <c r="POX88" s="289"/>
      <c r="POY88" s="293"/>
      <c r="POZ88" s="266"/>
      <c r="PPA88" s="290"/>
      <c r="PPB88" s="297"/>
      <c r="PPC88" s="260"/>
      <c r="PPD88" s="261"/>
      <c r="PPE88" s="262"/>
      <c r="PPF88" s="263"/>
      <c r="PPG88" s="289"/>
      <c r="PPH88" s="289"/>
      <c r="PPI88" s="289"/>
      <c r="PPJ88" s="292"/>
      <c r="PPK88" s="289"/>
      <c r="PPL88" s="293"/>
      <c r="PPM88" s="266"/>
      <c r="PPN88" s="290"/>
      <c r="PPO88" s="297"/>
      <c r="PPP88" s="260"/>
      <c r="PPQ88" s="261"/>
      <c r="PPR88" s="262"/>
      <c r="PPS88" s="263"/>
      <c r="PPT88" s="289"/>
      <c r="PPU88" s="289"/>
      <c r="PPV88" s="289"/>
      <c r="PPW88" s="292"/>
      <c r="PPX88" s="289"/>
      <c r="PPY88" s="293"/>
      <c r="PPZ88" s="266"/>
      <c r="PQA88" s="290"/>
      <c r="PQB88" s="297"/>
      <c r="PQC88" s="260"/>
      <c r="PQD88" s="261"/>
      <c r="PQE88" s="262"/>
      <c r="PQF88" s="263"/>
      <c r="PQG88" s="289"/>
      <c r="PQH88" s="289"/>
      <c r="PQI88" s="289"/>
      <c r="PQJ88" s="292"/>
      <c r="PQK88" s="289"/>
      <c r="PQL88" s="293"/>
      <c r="PQM88" s="266"/>
      <c r="PQN88" s="290"/>
      <c r="PQO88" s="297"/>
      <c r="PQP88" s="260"/>
      <c r="PQQ88" s="261"/>
      <c r="PQR88" s="262"/>
      <c r="PQS88" s="263"/>
      <c r="PQT88" s="289"/>
      <c r="PQU88" s="289"/>
      <c r="PQV88" s="289"/>
      <c r="PQW88" s="292"/>
      <c r="PQX88" s="289"/>
      <c r="PQY88" s="293"/>
      <c r="PQZ88" s="266"/>
      <c r="PRA88" s="290"/>
      <c r="PRB88" s="297"/>
      <c r="PRC88" s="260"/>
      <c r="PRD88" s="261"/>
      <c r="PRE88" s="262"/>
      <c r="PRF88" s="263"/>
      <c r="PRG88" s="289"/>
      <c r="PRH88" s="289"/>
      <c r="PRI88" s="289"/>
      <c r="PRJ88" s="292"/>
      <c r="PRK88" s="289"/>
      <c r="PRL88" s="293"/>
      <c r="PRM88" s="266"/>
      <c r="PRN88" s="290"/>
      <c r="PRO88" s="297"/>
      <c r="PRP88" s="260"/>
      <c r="PRQ88" s="261"/>
      <c r="PRR88" s="262"/>
      <c r="PRS88" s="263"/>
      <c r="PRT88" s="289"/>
      <c r="PRU88" s="289"/>
      <c r="PRV88" s="289"/>
      <c r="PRW88" s="292"/>
      <c r="PRX88" s="289"/>
      <c r="PRY88" s="293"/>
      <c r="PRZ88" s="266"/>
      <c r="PSA88" s="290"/>
      <c r="PSB88" s="297"/>
      <c r="PSC88" s="260"/>
      <c r="PSD88" s="261"/>
      <c r="PSE88" s="262"/>
      <c r="PSF88" s="263"/>
      <c r="PSG88" s="289"/>
      <c r="PSH88" s="289"/>
      <c r="PSI88" s="289"/>
      <c r="PSJ88" s="292"/>
      <c r="PSK88" s="289"/>
      <c r="PSL88" s="293"/>
      <c r="PSM88" s="266"/>
      <c r="PSN88" s="290"/>
      <c r="PSO88" s="297"/>
      <c r="PSP88" s="260"/>
      <c r="PSQ88" s="261"/>
      <c r="PSR88" s="262"/>
      <c r="PSS88" s="263"/>
      <c r="PST88" s="289"/>
      <c r="PSU88" s="289"/>
      <c r="PSV88" s="289"/>
      <c r="PSW88" s="292"/>
      <c r="PSX88" s="289"/>
      <c r="PSY88" s="293"/>
      <c r="PSZ88" s="266"/>
      <c r="PTA88" s="290"/>
      <c r="PTB88" s="297"/>
      <c r="PTC88" s="260"/>
      <c r="PTD88" s="261"/>
      <c r="PTE88" s="262"/>
      <c r="PTF88" s="263"/>
      <c r="PTG88" s="289"/>
      <c r="PTH88" s="289"/>
      <c r="PTI88" s="289"/>
      <c r="PTJ88" s="292"/>
      <c r="PTK88" s="289"/>
      <c r="PTL88" s="293"/>
      <c r="PTM88" s="266"/>
      <c r="PTN88" s="290"/>
      <c r="PTO88" s="297"/>
      <c r="PTP88" s="260"/>
      <c r="PTQ88" s="261"/>
      <c r="PTR88" s="262"/>
      <c r="PTS88" s="263"/>
      <c r="PTT88" s="289"/>
      <c r="PTU88" s="289"/>
      <c r="PTV88" s="289"/>
      <c r="PTW88" s="292"/>
      <c r="PTX88" s="289"/>
      <c r="PTY88" s="293"/>
      <c r="PTZ88" s="266"/>
      <c r="PUA88" s="290"/>
      <c r="PUB88" s="297"/>
      <c r="PUC88" s="260"/>
      <c r="PUD88" s="261"/>
      <c r="PUE88" s="262"/>
      <c r="PUF88" s="263"/>
      <c r="PUG88" s="289"/>
      <c r="PUH88" s="289"/>
      <c r="PUI88" s="289"/>
      <c r="PUJ88" s="292"/>
      <c r="PUK88" s="289"/>
      <c r="PUL88" s="293"/>
      <c r="PUM88" s="266"/>
      <c r="PUN88" s="290"/>
      <c r="PUO88" s="297"/>
      <c r="PUP88" s="260"/>
      <c r="PUQ88" s="261"/>
      <c r="PUR88" s="262"/>
      <c r="PUS88" s="263"/>
      <c r="PUT88" s="289"/>
      <c r="PUU88" s="289"/>
      <c r="PUV88" s="289"/>
      <c r="PUW88" s="292"/>
      <c r="PUX88" s="289"/>
      <c r="PUY88" s="293"/>
      <c r="PUZ88" s="266"/>
      <c r="PVA88" s="290"/>
      <c r="PVB88" s="297"/>
      <c r="PVC88" s="260"/>
      <c r="PVD88" s="261"/>
      <c r="PVE88" s="262"/>
      <c r="PVF88" s="263"/>
      <c r="PVG88" s="289"/>
      <c r="PVH88" s="289"/>
      <c r="PVI88" s="289"/>
      <c r="PVJ88" s="292"/>
      <c r="PVK88" s="289"/>
      <c r="PVL88" s="293"/>
      <c r="PVM88" s="266"/>
      <c r="PVN88" s="290"/>
      <c r="PVO88" s="297"/>
      <c r="PVP88" s="260"/>
      <c r="PVQ88" s="261"/>
      <c r="PVR88" s="262"/>
      <c r="PVS88" s="263"/>
      <c r="PVT88" s="289"/>
      <c r="PVU88" s="289"/>
      <c r="PVV88" s="289"/>
      <c r="PVW88" s="292"/>
      <c r="PVX88" s="289"/>
      <c r="PVY88" s="293"/>
      <c r="PVZ88" s="266"/>
      <c r="PWA88" s="290"/>
      <c r="PWB88" s="297"/>
      <c r="PWC88" s="260"/>
      <c r="PWD88" s="261"/>
      <c r="PWE88" s="262"/>
      <c r="PWF88" s="263"/>
      <c r="PWG88" s="289"/>
      <c r="PWH88" s="289"/>
      <c r="PWI88" s="289"/>
      <c r="PWJ88" s="292"/>
      <c r="PWK88" s="289"/>
      <c r="PWL88" s="293"/>
      <c r="PWM88" s="266"/>
      <c r="PWN88" s="290"/>
      <c r="PWO88" s="297"/>
      <c r="PWP88" s="260"/>
      <c r="PWQ88" s="261"/>
      <c r="PWR88" s="262"/>
      <c r="PWS88" s="263"/>
      <c r="PWT88" s="289"/>
      <c r="PWU88" s="289"/>
      <c r="PWV88" s="289"/>
      <c r="PWW88" s="292"/>
      <c r="PWX88" s="289"/>
      <c r="PWY88" s="293"/>
      <c r="PWZ88" s="266"/>
      <c r="PXA88" s="290"/>
      <c r="PXB88" s="297"/>
      <c r="PXC88" s="260"/>
      <c r="PXD88" s="261"/>
      <c r="PXE88" s="262"/>
      <c r="PXF88" s="263"/>
      <c r="PXG88" s="289"/>
      <c r="PXH88" s="289"/>
      <c r="PXI88" s="289"/>
      <c r="PXJ88" s="292"/>
      <c r="PXK88" s="289"/>
      <c r="PXL88" s="293"/>
      <c r="PXM88" s="266"/>
      <c r="PXN88" s="290"/>
      <c r="PXO88" s="297"/>
      <c r="PXP88" s="260"/>
      <c r="PXQ88" s="261"/>
      <c r="PXR88" s="262"/>
      <c r="PXS88" s="263"/>
      <c r="PXT88" s="289"/>
      <c r="PXU88" s="289"/>
      <c r="PXV88" s="289"/>
      <c r="PXW88" s="292"/>
      <c r="PXX88" s="289"/>
      <c r="PXY88" s="293"/>
      <c r="PXZ88" s="266"/>
      <c r="PYA88" s="290"/>
      <c r="PYB88" s="297"/>
      <c r="PYC88" s="260"/>
      <c r="PYD88" s="261"/>
      <c r="PYE88" s="262"/>
      <c r="PYF88" s="263"/>
      <c r="PYG88" s="289"/>
      <c r="PYH88" s="289"/>
      <c r="PYI88" s="289"/>
      <c r="PYJ88" s="292"/>
      <c r="PYK88" s="289"/>
      <c r="PYL88" s="293"/>
      <c r="PYM88" s="266"/>
      <c r="PYN88" s="290"/>
      <c r="PYO88" s="297"/>
      <c r="PYP88" s="260"/>
      <c r="PYQ88" s="261"/>
      <c r="PYR88" s="262"/>
      <c r="PYS88" s="263"/>
      <c r="PYT88" s="289"/>
      <c r="PYU88" s="289"/>
      <c r="PYV88" s="289"/>
      <c r="PYW88" s="292"/>
      <c r="PYX88" s="289"/>
      <c r="PYY88" s="293"/>
      <c r="PYZ88" s="266"/>
      <c r="PZA88" s="290"/>
      <c r="PZB88" s="297"/>
      <c r="PZC88" s="260"/>
      <c r="PZD88" s="261"/>
      <c r="PZE88" s="262"/>
      <c r="PZF88" s="263"/>
      <c r="PZG88" s="289"/>
      <c r="PZH88" s="289"/>
      <c r="PZI88" s="289"/>
      <c r="PZJ88" s="292"/>
      <c r="PZK88" s="289"/>
      <c r="PZL88" s="293"/>
      <c r="PZM88" s="266"/>
      <c r="PZN88" s="290"/>
      <c r="PZO88" s="297"/>
      <c r="PZP88" s="260"/>
      <c r="PZQ88" s="261"/>
      <c r="PZR88" s="262"/>
      <c r="PZS88" s="263"/>
      <c r="PZT88" s="289"/>
      <c r="PZU88" s="289"/>
      <c r="PZV88" s="289"/>
      <c r="PZW88" s="292"/>
      <c r="PZX88" s="289"/>
      <c r="PZY88" s="293"/>
      <c r="PZZ88" s="266"/>
      <c r="QAA88" s="290"/>
      <c r="QAB88" s="297"/>
      <c r="QAC88" s="260"/>
      <c r="QAD88" s="261"/>
      <c r="QAE88" s="262"/>
      <c r="QAF88" s="263"/>
      <c r="QAG88" s="289"/>
      <c r="QAH88" s="289"/>
      <c r="QAI88" s="289"/>
      <c r="QAJ88" s="292"/>
      <c r="QAK88" s="289"/>
      <c r="QAL88" s="293"/>
      <c r="QAM88" s="266"/>
      <c r="QAN88" s="290"/>
      <c r="QAO88" s="297"/>
      <c r="QAP88" s="260"/>
      <c r="QAQ88" s="261"/>
      <c r="QAR88" s="262"/>
      <c r="QAS88" s="263"/>
      <c r="QAT88" s="289"/>
      <c r="QAU88" s="289"/>
      <c r="QAV88" s="289"/>
      <c r="QAW88" s="292"/>
      <c r="QAX88" s="289"/>
      <c r="QAY88" s="293"/>
      <c r="QAZ88" s="266"/>
      <c r="QBA88" s="290"/>
      <c r="QBB88" s="297"/>
      <c r="QBC88" s="260"/>
      <c r="QBD88" s="261"/>
      <c r="QBE88" s="262"/>
      <c r="QBF88" s="263"/>
      <c r="QBG88" s="289"/>
      <c r="QBH88" s="289"/>
      <c r="QBI88" s="289"/>
      <c r="QBJ88" s="292"/>
      <c r="QBK88" s="289"/>
      <c r="QBL88" s="293"/>
      <c r="QBM88" s="266"/>
      <c r="QBN88" s="290"/>
      <c r="QBO88" s="297"/>
      <c r="QBP88" s="260"/>
      <c r="QBQ88" s="261"/>
      <c r="QBR88" s="262"/>
      <c r="QBS88" s="263"/>
      <c r="QBT88" s="289"/>
      <c r="QBU88" s="289"/>
      <c r="QBV88" s="289"/>
      <c r="QBW88" s="292"/>
      <c r="QBX88" s="289"/>
      <c r="QBY88" s="293"/>
      <c r="QBZ88" s="266"/>
      <c r="QCA88" s="290"/>
      <c r="QCB88" s="297"/>
      <c r="QCC88" s="260"/>
      <c r="QCD88" s="261"/>
      <c r="QCE88" s="262"/>
      <c r="QCF88" s="263"/>
      <c r="QCG88" s="289"/>
      <c r="QCH88" s="289"/>
      <c r="QCI88" s="289"/>
      <c r="QCJ88" s="292"/>
      <c r="QCK88" s="289"/>
      <c r="QCL88" s="293"/>
      <c r="QCM88" s="266"/>
      <c r="QCN88" s="290"/>
      <c r="QCO88" s="297"/>
      <c r="QCP88" s="260"/>
      <c r="QCQ88" s="261"/>
      <c r="QCR88" s="262"/>
      <c r="QCS88" s="263"/>
      <c r="QCT88" s="289"/>
      <c r="QCU88" s="289"/>
      <c r="QCV88" s="289"/>
      <c r="QCW88" s="292"/>
      <c r="QCX88" s="289"/>
      <c r="QCY88" s="293"/>
      <c r="QCZ88" s="266"/>
      <c r="QDA88" s="290"/>
      <c r="QDB88" s="297"/>
      <c r="QDC88" s="260"/>
      <c r="QDD88" s="261"/>
      <c r="QDE88" s="262"/>
      <c r="QDF88" s="263"/>
      <c r="QDG88" s="289"/>
      <c r="QDH88" s="289"/>
      <c r="QDI88" s="289"/>
      <c r="QDJ88" s="292"/>
      <c r="QDK88" s="289"/>
      <c r="QDL88" s="293"/>
      <c r="QDM88" s="266"/>
      <c r="QDN88" s="290"/>
      <c r="QDO88" s="297"/>
      <c r="QDP88" s="260"/>
      <c r="QDQ88" s="261"/>
      <c r="QDR88" s="262"/>
      <c r="QDS88" s="263"/>
      <c r="QDT88" s="289"/>
      <c r="QDU88" s="289"/>
      <c r="QDV88" s="289"/>
      <c r="QDW88" s="292"/>
      <c r="QDX88" s="289"/>
      <c r="QDY88" s="293"/>
      <c r="QDZ88" s="266"/>
      <c r="QEA88" s="290"/>
      <c r="QEB88" s="297"/>
      <c r="QEC88" s="260"/>
      <c r="QED88" s="261"/>
      <c r="QEE88" s="262"/>
      <c r="QEF88" s="263"/>
      <c r="QEG88" s="289"/>
      <c r="QEH88" s="289"/>
      <c r="QEI88" s="289"/>
      <c r="QEJ88" s="292"/>
      <c r="QEK88" s="289"/>
      <c r="QEL88" s="293"/>
      <c r="QEM88" s="266"/>
      <c r="QEN88" s="290"/>
      <c r="QEO88" s="297"/>
      <c r="QEP88" s="260"/>
      <c r="QEQ88" s="261"/>
      <c r="QER88" s="262"/>
      <c r="QES88" s="263"/>
      <c r="QET88" s="289"/>
      <c r="QEU88" s="289"/>
      <c r="QEV88" s="289"/>
      <c r="QEW88" s="292"/>
      <c r="QEX88" s="289"/>
      <c r="QEY88" s="293"/>
      <c r="QEZ88" s="266"/>
      <c r="QFA88" s="290"/>
      <c r="QFB88" s="297"/>
      <c r="QFC88" s="260"/>
      <c r="QFD88" s="261"/>
      <c r="QFE88" s="262"/>
      <c r="QFF88" s="263"/>
      <c r="QFG88" s="289"/>
      <c r="QFH88" s="289"/>
      <c r="QFI88" s="289"/>
      <c r="QFJ88" s="292"/>
      <c r="QFK88" s="289"/>
      <c r="QFL88" s="293"/>
      <c r="QFM88" s="266"/>
      <c r="QFN88" s="290"/>
      <c r="QFO88" s="297"/>
      <c r="QFP88" s="260"/>
      <c r="QFQ88" s="261"/>
      <c r="QFR88" s="262"/>
      <c r="QFS88" s="263"/>
      <c r="QFT88" s="289"/>
      <c r="QFU88" s="289"/>
      <c r="QFV88" s="289"/>
      <c r="QFW88" s="292"/>
      <c r="QFX88" s="289"/>
      <c r="QFY88" s="293"/>
      <c r="QFZ88" s="266"/>
      <c r="QGA88" s="290"/>
      <c r="QGB88" s="297"/>
      <c r="QGC88" s="260"/>
      <c r="QGD88" s="261"/>
      <c r="QGE88" s="262"/>
      <c r="QGF88" s="263"/>
      <c r="QGG88" s="289"/>
      <c r="QGH88" s="289"/>
      <c r="QGI88" s="289"/>
      <c r="QGJ88" s="292"/>
      <c r="QGK88" s="289"/>
      <c r="QGL88" s="293"/>
      <c r="QGM88" s="266"/>
      <c r="QGN88" s="290"/>
      <c r="QGO88" s="297"/>
      <c r="QGP88" s="260"/>
      <c r="QGQ88" s="261"/>
      <c r="QGR88" s="262"/>
      <c r="QGS88" s="263"/>
      <c r="QGT88" s="289"/>
      <c r="QGU88" s="289"/>
      <c r="QGV88" s="289"/>
      <c r="QGW88" s="292"/>
      <c r="QGX88" s="289"/>
      <c r="QGY88" s="293"/>
      <c r="QGZ88" s="266"/>
      <c r="QHA88" s="290"/>
      <c r="QHB88" s="297"/>
      <c r="QHC88" s="260"/>
      <c r="QHD88" s="261"/>
      <c r="QHE88" s="262"/>
      <c r="QHF88" s="263"/>
      <c r="QHG88" s="289"/>
      <c r="QHH88" s="289"/>
      <c r="QHI88" s="289"/>
      <c r="QHJ88" s="292"/>
      <c r="QHK88" s="289"/>
      <c r="QHL88" s="293"/>
      <c r="QHM88" s="266"/>
      <c r="QHN88" s="290"/>
      <c r="QHO88" s="297"/>
      <c r="QHP88" s="260"/>
      <c r="QHQ88" s="261"/>
      <c r="QHR88" s="262"/>
      <c r="QHS88" s="263"/>
      <c r="QHT88" s="289"/>
      <c r="QHU88" s="289"/>
      <c r="QHV88" s="289"/>
      <c r="QHW88" s="292"/>
      <c r="QHX88" s="289"/>
      <c r="QHY88" s="293"/>
      <c r="QHZ88" s="266"/>
      <c r="QIA88" s="290"/>
      <c r="QIB88" s="297"/>
      <c r="QIC88" s="260"/>
      <c r="QID88" s="261"/>
      <c r="QIE88" s="262"/>
      <c r="QIF88" s="263"/>
      <c r="QIG88" s="289"/>
      <c r="QIH88" s="289"/>
      <c r="QII88" s="289"/>
      <c r="QIJ88" s="292"/>
      <c r="QIK88" s="289"/>
      <c r="QIL88" s="293"/>
      <c r="QIM88" s="266"/>
      <c r="QIN88" s="290"/>
      <c r="QIO88" s="297"/>
      <c r="QIP88" s="260"/>
      <c r="QIQ88" s="261"/>
      <c r="QIR88" s="262"/>
      <c r="QIS88" s="263"/>
      <c r="QIT88" s="289"/>
      <c r="QIU88" s="289"/>
      <c r="QIV88" s="289"/>
      <c r="QIW88" s="292"/>
      <c r="QIX88" s="289"/>
      <c r="QIY88" s="293"/>
      <c r="QIZ88" s="266"/>
      <c r="QJA88" s="290"/>
      <c r="QJB88" s="297"/>
      <c r="QJC88" s="260"/>
      <c r="QJD88" s="261"/>
      <c r="QJE88" s="262"/>
      <c r="QJF88" s="263"/>
      <c r="QJG88" s="289"/>
      <c r="QJH88" s="289"/>
      <c r="QJI88" s="289"/>
      <c r="QJJ88" s="292"/>
      <c r="QJK88" s="289"/>
      <c r="QJL88" s="293"/>
      <c r="QJM88" s="266"/>
      <c r="QJN88" s="290"/>
      <c r="QJO88" s="297"/>
      <c r="QJP88" s="260"/>
      <c r="QJQ88" s="261"/>
      <c r="QJR88" s="262"/>
      <c r="QJS88" s="263"/>
      <c r="QJT88" s="289"/>
      <c r="QJU88" s="289"/>
      <c r="QJV88" s="289"/>
      <c r="QJW88" s="292"/>
      <c r="QJX88" s="289"/>
      <c r="QJY88" s="293"/>
      <c r="QJZ88" s="266"/>
      <c r="QKA88" s="290"/>
      <c r="QKB88" s="297"/>
      <c r="QKC88" s="260"/>
      <c r="QKD88" s="261"/>
      <c r="QKE88" s="262"/>
      <c r="QKF88" s="263"/>
      <c r="QKG88" s="289"/>
      <c r="QKH88" s="289"/>
      <c r="QKI88" s="289"/>
      <c r="QKJ88" s="292"/>
      <c r="QKK88" s="289"/>
      <c r="QKL88" s="293"/>
      <c r="QKM88" s="266"/>
      <c r="QKN88" s="290"/>
      <c r="QKO88" s="297"/>
      <c r="QKP88" s="260"/>
      <c r="QKQ88" s="261"/>
      <c r="QKR88" s="262"/>
      <c r="QKS88" s="263"/>
      <c r="QKT88" s="289"/>
      <c r="QKU88" s="289"/>
      <c r="QKV88" s="289"/>
      <c r="QKW88" s="292"/>
      <c r="QKX88" s="289"/>
      <c r="QKY88" s="293"/>
      <c r="QKZ88" s="266"/>
      <c r="QLA88" s="290"/>
      <c r="QLB88" s="297"/>
      <c r="QLC88" s="260"/>
      <c r="QLD88" s="261"/>
      <c r="QLE88" s="262"/>
      <c r="QLF88" s="263"/>
      <c r="QLG88" s="289"/>
      <c r="QLH88" s="289"/>
      <c r="QLI88" s="289"/>
      <c r="QLJ88" s="292"/>
      <c r="QLK88" s="289"/>
      <c r="QLL88" s="293"/>
      <c r="QLM88" s="266"/>
      <c r="QLN88" s="290"/>
      <c r="QLO88" s="297"/>
      <c r="QLP88" s="260"/>
      <c r="QLQ88" s="261"/>
      <c r="QLR88" s="262"/>
      <c r="QLS88" s="263"/>
      <c r="QLT88" s="289"/>
      <c r="QLU88" s="289"/>
      <c r="QLV88" s="289"/>
      <c r="QLW88" s="292"/>
      <c r="QLX88" s="289"/>
      <c r="QLY88" s="293"/>
      <c r="QLZ88" s="266"/>
      <c r="QMA88" s="290"/>
      <c r="QMB88" s="297"/>
      <c r="QMC88" s="260"/>
      <c r="QMD88" s="261"/>
      <c r="QME88" s="262"/>
      <c r="QMF88" s="263"/>
      <c r="QMG88" s="289"/>
      <c r="QMH88" s="289"/>
      <c r="QMI88" s="289"/>
      <c r="QMJ88" s="292"/>
      <c r="QMK88" s="289"/>
      <c r="QML88" s="293"/>
      <c r="QMM88" s="266"/>
      <c r="QMN88" s="290"/>
      <c r="QMO88" s="297"/>
      <c r="QMP88" s="260"/>
      <c r="QMQ88" s="261"/>
      <c r="QMR88" s="262"/>
      <c r="QMS88" s="263"/>
      <c r="QMT88" s="289"/>
      <c r="QMU88" s="289"/>
      <c r="QMV88" s="289"/>
      <c r="QMW88" s="292"/>
      <c r="QMX88" s="289"/>
      <c r="QMY88" s="293"/>
      <c r="QMZ88" s="266"/>
      <c r="QNA88" s="290"/>
      <c r="QNB88" s="297"/>
      <c r="QNC88" s="260"/>
      <c r="QND88" s="261"/>
      <c r="QNE88" s="262"/>
      <c r="QNF88" s="263"/>
      <c r="QNG88" s="289"/>
      <c r="QNH88" s="289"/>
      <c r="QNI88" s="289"/>
      <c r="QNJ88" s="292"/>
      <c r="QNK88" s="289"/>
      <c r="QNL88" s="293"/>
      <c r="QNM88" s="266"/>
      <c r="QNN88" s="290"/>
      <c r="QNO88" s="297"/>
      <c r="QNP88" s="260"/>
      <c r="QNQ88" s="261"/>
      <c r="QNR88" s="262"/>
      <c r="QNS88" s="263"/>
      <c r="QNT88" s="289"/>
      <c r="QNU88" s="289"/>
      <c r="QNV88" s="289"/>
      <c r="QNW88" s="292"/>
      <c r="QNX88" s="289"/>
      <c r="QNY88" s="293"/>
      <c r="QNZ88" s="266"/>
      <c r="QOA88" s="290"/>
      <c r="QOB88" s="297"/>
      <c r="QOC88" s="260"/>
      <c r="QOD88" s="261"/>
      <c r="QOE88" s="262"/>
      <c r="QOF88" s="263"/>
      <c r="QOG88" s="289"/>
      <c r="QOH88" s="289"/>
      <c r="QOI88" s="289"/>
      <c r="QOJ88" s="292"/>
      <c r="QOK88" s="289"/>
      <c r="QOL88" s="293"/>
      <c r="QOM88" s="266"/>
      <c r="QON88" s="290"/>
      <c r="QOO88" s="297"/>
      <c r="QOP88" s="260"/>
      <c r="QOQ88" s="261"/>
      <c r="QOR88" s="262"/>
      <c r="QOS88" s="263"/>
      <c r="QOT88" s="289"/>
      <c r="QOU88" s="289"/>
      <c r="QOV88" s="289"/>
      <c r="QOW88" s="292"/>
      <c r="QOX88" s="289"/>
      <c r="QOY88" s="293"/>
      <c r="QOZ88" s="266"/>
      <c r="QPA88" s="290"/>
      <c r="QPB88" s="297"/>
      <c r="QPC88" s="260"/>
      <c r="QPD88" s="261"/>
      <c r="QPE88" s="262"/>
      <c r="QPF88" s="263"/>
      <c r="QPG88" s="289"/>
      <c r="QPH88" s="289"/>
      <c r="QPI88" s="289"/>
      <c r="QPJ88" s="292"/>
      <c r="QPK88" s="289"/>
      <c r="QPL88" s="293"/>
      <c r="QPM88" s="266"/>
      <c r="QPN88" s="290"/>
      <c r="QPO88" s="297"/>
      <c r="QPP88" s="260"/>
      <c r="QPQ88" s="261"/>
      <c r="QPR88" s="262"/>
      <c r="QPS88" s="263"/>
      <c r="QPT88" s="289"/>
      <c r="QPU88" s="289"/>
      <c r="QPV88" s="289"/>
      <c r="QPW88" s="292"/>
      <c r="QPX88" s="289"/>
      <c r="QPY88" s="293"/>
      <c r="QPZ88" s="266"/>
      <c r="QQA88" s="290"/>
      <c r="QQB88" s="297"/>
      <c r="QQC88" s="260"/>
      <c r="QQD88" s="261"/>
      <c r="QQE88" s="262"/>
      <c r="QQF88" s="263"/>
      <c r="QQG88" s="289"/>
      <c r="QQH88" s="289"/>
      <c r="QQI88" s="289"/>
      <c r="QQJ88" s="292"/>
      <c r="QQK88" s="289"/>
      <c r="QQL88" s="293"/>
      <c r="QQM88" s="266"/>
      <c r="QQN88" s="290"/>
      <c r="QQO88" s="297"/>
      <c r="QQP88" s="260"/>
      <c r="QQQ88" s="261"/>
      <c r="QQR88" s="262"/>
      <c r="QQS88" s="263"/>
      <c r="QQT88" s="289"/>
      <c r="QQU88" s="289"/>
      <c r="QQV88" s="289"/>
      <c r="QQW88" s="292"/>
      <c r="QQX88" s="289"/>
      <c r="QQY88" s="293"/>
      <c r="QQZ88" s="266"/>
      <c r="QRA88" s="290"/>
      <c r="QRB88" s="297"/>
      <c r="QRC88" s="260"/>
      <c r="QRD88" s="261"/>
      <c r="QRE88" s="262"/>
      <c r="QRF88" s="263"/>
      <c r="QRG88" s="289"/>
      <c r="QRH88" s="289"/>
      <c r="QRI88" s="289"/>
      <c r="QRJ88" s="292"/>
      <c r="QRK88" s="289"/>
      <c r="QRL88" s="293"/>
      <c r="QRM88" s="266"/>
      <c r="QRN88" s="290"/>
      <c r="QRO88" s="297"/>
      <c r="QRP88" s="260"/>
      <c r="QRQ88" s="261"/>
      <c r="QRR88" s="262"/>
      <c r="QRS88" s="263"/>
      <c r="QRT88" s="289"/>
      <c r="QRU88" s="289"/>
      <c r="QRV88" s="289"/>
      <c r="QRW88" s="292"/>
      <c r="QRX88" s="289"/>
      <c r="QRY88" s="293"/>
      <c r="QRZ88" s="266"/>
      <c r="QSA88" s="290"/>
      <c r="QSB88" s="297"/>
      <c r="QSC88" s="260"/>
      <c r="QSD88" s="261"/>
      <c r="QSE88" s="262"/>
      <c r="QSF88" s="263"/>
      <c r="QSG88" s="289"/>
      <c r="QSH88" s="289"/>
      <c r="QSI88" s="289"/>
      <c r="QSJ88" s="292"/>
      <c r="QSK88" s="289"/>
      <c r="QSL88" s="293"/>
      <c r="QSM88" s="266"/>
      <c r="QSN88" s="290"/>
      <c r="QSO88" s="297"/>
      <c r="QSP88" s="260"/>
      <c r="QSQ88" s="261"/>
      <c r="QSR88" s="262"/>
      <c r="QSS88" s="263"/>
      <c r="QST88" s="289"/>
      <c r="QSU88" s="289"/>
      <c r="QSV88" s="289"/>
      <c r="QSW88" s="292"/>
      <c r="QSX88" s="289"/>
      <c r="QSY88" s="293"/>
      <c r="QSZ88" s="266"/>
      <c r="QTA88" s="290"/>
      <c r="QTB88" s="297"/>
      <c r="QTC88" s="260"/>
      <c r="QTD88" s="261"/>
      <c r="QTE88" s="262"/>
      <c r="QTF88" s="263"/>
      <c r="QTG88" s="289"/>
      <c r="QTH88" s="289"/>
      <c r="QTI88" s="289"/>
      <c r="QTJ88" s="292"/>
      <c r="QTK88" s="289"/>
      <c r="QTL88" s="293"/>
      <c r="QTM88" s="266"/>
      <c r="QTN88" s="290"/>
      <c r="QTO88" s="297"/>
      <c r="QTP88" s="260"/>
      <c r="QTQ88" s="261"/>
      <c r="QTR88" s="262"/>
      <c r="QTS88" s="263"/>
      <c r="QTT88" s="289"/>
      <c r="QTU88" s="289"/>
      <c r="QTV88" s="289"/>
      <c r="QTW88" s="292"/>
      <c r="QTX88" s="289"/>
      <c r="QTY88" s="293"/>
      <c r="QTZ88" s="266"/>
      <c r="QUA88" s="290"/>
      <c r="QUB88" s="297"/>
      <c r="QUC88" s="260"/>
      <c r="QUD88" s="261"/>
      <c r="QUE88" s="262"/>
      <c r="QUF88" s="263"/>
      <c r="QUG88" s="289"/>
      <c r="QUH88" s="289"/>
      <c r="QUI88" s="289"/>
      <c r="QUJ88" s="292"/>
      <c r="QUK88" s="289"/>
      <c r="QUL88" s="293"/>
      <c r="QUM88" s="266"/>
      <c r="QUN88" s="290"/>
      <c r="QUO88" s="297"/>
      <c r="QUP88" s="260"/>
      <c r="QUQ88" s="261"/>
      <c r="QUR88" s="262"/>
      <c r="QUS88" s="263"/>
      <c r="QUT88" s="289"/>
      <c r="QUU88" s="289"/>
      <c r="QUV88" s="289"/>
      <c r="QUW88" s="292"/>
      <c r="QUX88" s="289"/>
      <c r="QUY88" s="293"/>
      <c r="QUZ88" s="266"/>
      <c r="QVA88" s="290"/>
      <c r="QVB88" s="297"/>
      <c r="QVC88" s="260"/>
      <c r="QVD88" s="261"/>
      <c r="QVE88" s="262"/>
      <c r="QVF88" s="263"/>
      <c r="QVG88" s="289"/>
      <c r="QVH88" s="289"/>
      <c r="QVI88" s="289"/>
      <c r="QVJ88" s="292"/>
      <c r="QVK88" s="289"/>
      <c r="QVL88" s="293"/>
      <c r="QVM88" s="266"/>
      <c r="QVN88" s="290"/>
      <c r="QVO88" s="297"/>
      <c r="QVP88" s="260"/>
      <c r="QVQ88" s="261"/>
      <c r="QVR88" s="262"/>
      <c r="QVS88" s="263"/>
      <c r="QVT88" s="289"/>
      <c r="QVU88" s="289"/>
      <c r="QVV88" s="289"/>
      <c r="QVW88" s="292"/>
      <c r="QVX88" s="289"/>
      <c r="QVY88" s="293"/>
      <c r="QVZ88" s="266"/>
      <c r="QWA88" s="290"/>
      <c r="QWB88" s="297"/>
      <c r="QWC88" s="260"/>
      <c r="QWD88" s="261"/>
      <c r="QWE88" s="262"/>
      <c r="QWF88" s="263"/>
      <c r="QWG88" s="289"/>
      <c r="QWH88" s="289"/>
      <c r="QWI88" s="289"/>
      <c r="QWJ88" s="292"/>
      <c r="QWK88" s="289"/>
      <c r="QWL88" s="293"/>
      <c r="QWM88" s="266"/>
      <c r="QWN88" s="290"/>
      <c r="QWO88" s="297"/>
      <c r="QWP88" s="260"/>
      <c r="QWQ88" s="261"/>
      <c r="QWR88" s="262"/>
      <c r="QWS88" s="263"/>
      <c r="QWT88" s="289"/>
      <c r="QWU88" s="289"/>
      <c r="QWV88" s="289"/>
      <c r="QWW88" s="292"/>
      <c r="QWX88" s="289"/>
      <c r="QWY88" s="293"/>
      <c r="QWZ88" s="266"/>
      <c r="QXA88" s="290"/>
      <c r="QXB88" s="297"/>
      <c r="QXC88" s="260"/>
      <c r="QXD88" s="261"/>
      <c r="QXE88" s="262"/>
      <c r="QXF88" s="263"/>
      <c r="QXG88" s="289"/>
      <c r="QXH88" s="289"/>
      <c r="QXI88" s="289"/>
      <c r="QXJ88" s="292"/>
      <c r="QXK88" s="289"/>
      <c r="QXL88" s="293"/>
      <c r="QXM88" s="266"/>
      <c r="QXN88" s="290"/>
      <c r="QXO88" s="297"/>
      <c r="QXP88" s="260"/>
      <c r="QXQ88" s="261"/>
      <c r="QXR88" s="262"/>
      <c r="QXS88" s="263"/>
      <c r="QXT88" s="289"/>
      <c r="QXU88" s="289"/>
      <c r="QXV88" s="289"/>
      <c r="QXW88" s="292"/>
      <c r="QXX88" s="289"/>
      <c r="QXY88" s="293"/>
      <c r="QXZ88" s="266"/>
      <c r="QYA88" s="290"/>
      <c r="QYB88" s="297"/>
      <c r="QYC88" s="260"/>
      <c r="QYD88" s="261"/>
      <c r="QYE88" s="262"/>
      <c r="QYF88" s="263"/>
      <c r="QYG88" s="289"/>
      <c r="QYH88" s="289"/>
      <c r="QYI88" s="289"/>
      <c r="QYJ88" s="292"/>
      <c r="QYK88" s="289"/>
      <c r="QYL88" s="293"/>
      <c r="QYM88" s="266"/>
      <c r="QYN88" s="290"/>
      <c r="QYO88" s="297"/>
      <c r="QYP88" s="260"/>
      <c r="QYQ88" s="261"/>
      <c r="QYR88" s="262"/>
      <c r="QYS88" s="263"/>
      <c r="QYT88" s="289"/>
      <c r="QYU88" s="289"/>
      <c r="QYV88" s="289"/>
      <c r="QYW88" s="292"/>
      <c r="QYX88" s="289"/>
      <c r="QYY88" s="293"/>
      <c r="QYZ88" s="266"/>
      <c r="QZA88" s="290"/>
      <c r="QZB88" s="297"/>
      <c r="QZC88" s="260"/>
      <c r="QZD88" s="261"/>
      <c r="QZE88" s="262"/>
      <c r="QZF88" s="263"/>
      <c r="QZG88" s="289"/>
      <c r="QZH88" s="289"/>
      <c r="QZI88" s="289"/>
      <c r="QZJ88" s="292"/>
      <c r="QZK88" s="289"/>
      <c r="QZL88" s="293"/>
      <c r="QZM88" s="266"/>
      <c r="QZN88" s="290"/>
      <c r="QZO88" s="297"/>
      <c r="QZP88" s="260"/>
      <c r="QZQ88" s="261"/>
      <c r="QZR88" s="262"/>
      <c r="QZS88" s="263"/>
      <c r="QZT88" s="289"/>
      <c r="QZU88" s="289"/>
      <c r="QZV88" s="289"/>
      <c r="QZW88" s="292"/>
      <c r="QZX88" s="289"/>
      <c r="QZY88" s="293"/>
      <c r="QZZ88" s="266"/>
      <c r="RAA88" s="290"/>
      <c r="RAB88" s="297"/>
      <c r="RAC88" s="260"/>
      <c r="RAD88" s="261"/>
      <c r="RAE88" s="262"/>
      <c r="RAF88" s="263"/>
      <c r="RAG88" s="289"/>
      <c r="RAH88" s="289"/>
      <c r="RAI88" s="289"/>
      <c r="RAJ88" s="292"/>
      <c r="RAK88" s="289"/>
      <c r="RAL88" s="293"/>
      <c r="RAM88" s="266"/>
      <c r="RAN88" s="290"/>
      <c r="RAO88" s="297"/>
      <c r="RAP88" s="260"/>
      <c r="RAQ88" s="261"/>
      <c r="RAR88" s="262"/>
      <c r="RAS88" s="263"/>
      <c r="RAT88" s="289"/>
      <c r="RAU88" s="289"/>
      <c r="RAV88" s="289"/>
      <c r="RAW88" s="292"/>
      <c r="RAX88" s="289"/>
      <c r="RAY88" s="293"/>
      <c r="RAZ88" s="266"/>
      <c r="RBA88" s="290"/>
      <c r="RBB88" s="297"/>
      <c r="RBC88" s="260"/>
      <c r="RBD88" s="261"/>
      <c r="RBE88" s="262"/>
      <c r="RBF88" s="263"/>
      <c r="RBG88" s="289"/>
      <c r="RBH88" s="289"/>
      <c r="RBI88" s="289"/>
      <c r="RBJ88" s="292"/>
      <c r="RBK88" s="289"/>
      <c r="RBL88" s="293"/>
      <c r="RBM88" s="266"/>
      <c r="RBN88" s="290"/>
      <c r="RBO88" s="297"/>
      <c r="RBP88" s="260"/>
      <c r="RBQ88" s="261"/>
      <c r="RBR88" s="262"/>
      <c r="RBS88" s="263"/>
      <c r="RBT88" s="289"/>
      <c r="RBU88" s="289"/>
      <c r="RBV88" s="289"/>
      <c r="RBW88" s="292"/>
      <c r="RBX88" s="289"/>
      <c r="RBY88" s="293"/>
      <c r="RBZ88" s="266"/>
      <c r="RCA88" s="290"/>
      <c r="RCB88" s="297"/>
      <c r="RCC88" s="260"/>
      <c r="RCD88" s="261"/>
      <c r="RCE88" s="262"/>
      <c r="RCF88" s="263"/>
      <c r="RCG88" s="289"/>
      <c r="RCH88" s="289"/>
      <c r="RCI88" s="289"/>
      <c r="RCJ88" s="292"/>
      <c r="RCK88" s="289"/>
      <c r="RCL88" s="293"/>
      <c r="RCM88" s="266"/>
      <c r="RCN88" s="290"/>
      <c r="RCO88" s="297"/>
      <c r="RCP88" s="260"/>
      <c r="RCQ88" s="261"/>
      <c r="RCR88" s="262"/>
      <c r="RCS88" s="263"/>
      <c r="RCT88" s="289"/>
      <c r="RCU88" s="289"/>
      <c r="RCV88" s="289"/>
      <c r="RCW88" s="292"/>
      <c r="RCX88" s="289"/>
      <c r="RCY88" s="293"/>
      <c r="RCZ88" s="266"/>
      <c r="RDA88" s="290"/>
      <c r="RDB88" s="297"/>
      <c r="RDC88" s="260"/>
      <c r="RDD88" s="261"/>
      <c r="RDE88" s="262"/>
      <c r="RDF88" s="263"/>
      <c r="RDG88" s="289"/>
      <c r="RDH88" s="289"/>
      <c r="RDI88" s="289"/>
      <c r="RDJ88" s="292"/>
      <c r="RDK88" s="289"/>
      <c r="RDL88" s="293"/>
      <c r="RDM88" s="266"/>
      <c r="RDN88" s="290"/>
      <c r="RDO88" s="297"/>
      <c r="RDP88" s="260"/>
      <c r="RDQ88" s="261"/>
      <c r="RDR88" s="262"/>
      <c r="RDS88" s="263"/>
      <c r="RDT88" s="289"/>
      <c r="RDU88" s="289"/>
      <c r="RDV88" s="289"/>
      <c r="RDW88" s="292"/>
      <c r="RDX88" s="289"/>
      <c r="RDY88" s="293"/>
      <c r="RDZ88" s="266"/>
      <c r="REA88" s="290"/>
      <c r="REB88" s="297"/>
      <c r="REC88" s="260"/>
      <c r="RED88" s="261"/>
      <c r="REE88" s="262"/>
      <c r="REF88" s="263"/>
      <c r="REG88" s="289"/>
      <c r="REH88" s="289"/>
      <c r="REI88" s="289"/>
      <c r="REJ88" s="292"/>
      <c r="REK88" s="289"/>
      <c r="REL88" s="293"/>
      <c r="REM88" s="266"/>
      <c r="REN88" s="290"/>
      <c r="REO88" s="297"/>
      <c r="REP88" s="260"/>
      <c r="REQ88" s="261"/>
      <c r="RER88" s="262"/>
      <c r="RES88" s="263"/>
      <c r="RET88" s="289"/>
      <c r="REU88" s="289"/>
      <c r="REV88" s="289"/>
      <c r="REW88" s="292"/>
      <c r="REX88" s="289"/>
      <c r="REY88" s="293"/>
      <c r="REZ88" s="266"/>
      <c r="RFA88" s="290"/>
      <c r="RFB88" s="297"/>
      <c r="RFC88" s="260"/>
      <c r="RFD88" s="261"/>
      <c r="RFE88" s="262"/>
      <c r="RFF88" s="263"/>
      <c r="RFG88" s="289"/>
      <c r="RFH88" s="289"/>
      <c r="RFI88" s="289"/>
      <c r="RFJ88" s="292"/>
      <c r="RFK88" s="289"/>
      <c r="RFL88" s="293"/>
      <c r="RFM88" s="266"/>
      <c r="RFN88" s="290"/>
      <c r="RFO88" s="297"/>
      <c r="RFP88" s="260"/>
      <c r="RFQ88" s="261"/>
      <c r="RFR88" s="262"/>
      <c r="RFS88" s="263"/>
      <c r="RFT88" s="289"/>
      <c r="RFU88" s="289"/>
      <c r="RFV88" s="289"/>
      <c r="RFW88" s="292"/>
      <c r="RFX88" s="289"/>
      <c r="RFY88" s="293"/>
      <c r="RFZ88" s="266"/>
      <c r="RGA88" s="290"/>
      <c r="RGB88" s="297"/>
      <c r="RGC88" s="260"/>
      <c r="RGD88" s="261"/>
      <c r="RGE88" s="262"/>
      <c r="RGF88" s="263"/>
      <c r="RGG88" s="289"/>
      <c r="RGH88" s="289"/>
      <c r="RGI88" s="289"/>
      <c r="RGJ88" s="292"/>
      <c r="RGK88" s="289"/>
      <c r="RGL88" s="293"/>
      <c r="RGM88" s="266"/>
      <c r="RGN88" s="290"/>
      <c r="RGO88" s="297"/>
      <c r="RGP88" s="260"/>
      <c r="RGQ88" s="261"/>
      <c r="RGR88" s="262"/>
      <c r="RGS88" s="263"/>
      <c r="RGT88" s="289"/>
      <c r="RGU88" s="289"/>
      <c r="RGV88" s="289"/>
      <c r="RGW88" s="292"/>
      <c r="RGX88" s="289"/>
      <c r="RGY88" s="293"/>
      <c r="RGZ88" s="266"/>
      <c r="RHA88" s="290"/>
      <c r="RHB88" s="297"/>
      <c r="RHC88" s="260"/>
      <c r="RHD88" s="261"/>
      <c r="RHE88" s="262"/>
      <c r="RHF88" s="263"/>
      <c r="RHG88" s="289"/>
      <c r="RHH88" s="289"/>
      <c r="RHI88" s="289"/>
      <c r="RHJ88" s="292"/>
      <c r="RHK88" s="289"/>
      <c r="RHL88" s="293"/>
      <c r="RHM88" s="266"/>
      <c r="RHN88" s="290"/>
      <c r="RHO88" s="297"/>
      <c r="RHP88" s="260"/>
      <c r="RHQ88" s="261"/>
      <c r="RHR88" s="262"/>
      <c r="RHS88" s="263"/>
      <c r="RHT88" s="289"/>
      <c r="RHU88" s="289"/>
      <c r="RHV88" s="289"/>
      <c r="RHW88" s="292"/>
      <c r="RHX88" s="289"/>
      <c r="RHY88" s="293"/>
      <c r="RHZ88" s="266"/>
      <c r="RIA88" s="290"/>
      <c r="RIB88" s="297"/>
      <c r="RIC88" s="260"/>
      <c r="RID88" s="261"/>
      <c r="RIE88" s="262"/>
      <c r="RIF88" s="263"/>
      <c r="RIG88" s="289"/>
      <c r="RIH88" s="289"/>
      <c r="RII88" s="289"/>
      <c r="RIJ88" s="292"/>
      <c r="RIK88" s="289"/>
      <c r="RIL88" s="293"/>
      <c r="RIM88" s="266"/>
      <c r="RIN88" s="290"/>
      <c r="RIO88" s="297"/>
      <c r="RIP88" s="260"/>
      <c r="RIQ88" s="261"/>
      <c r="RIR88" s="262"/>
      <c r="RIS88" s="263"/>
      <c r="RIT88" s="289"/>
      <c r="RIU88" s="289"/>
      <c r="RIV88" s="289"/>
      <c r="RIW88" s="292"/>
      <c r="RIX88" s="289"/>
      <c r="RIY88" s="293"/>
      <c r="RIZ88" s="266"/>
      <c r="RJA88" s="290"/>
      <c r="RJB88" s="297"/>
      <c r="RJC88" s="260"/>
      <c r="RJD88" s="261"/>
      <c r="RJE88" s="262"/>
      <c r="RJF88" s="263"/>
      <c r="RJG88" s="289"/>
      <c r="RJH88" s="289"/>
      <c r="RJI88" s="289"/>
      <c r="RJJ88" s="292"/>
      <c r="RJK88" s="289"/>
      <c r="RJL88" s="293"/>
      <c r="RJM88" s="266"/>
      <c r="RJN88" s="290"/>
      <c r="RJO88" s="297"/>
      <c r="RJP88" s="260"/>
      <c r="RJQ88" s="261"/>
      <c r="RJR88" s="262"/>
      <c r="RJS88" s="263"/>
      <c r="RJT88" s="289"/>
      <c r="RJU88" s="289"/>
      <c r="RJV88" s="289"/>
      <c r="RJW88" s="292"/>
      <c r="RJX88" s="289"/>
      <c r="RJY88" s="293"/>
      <c r="RJZ88" s="266"/>
      <c r="RKA88" s="290"/>
      <c r="RKB88" s="297"/>
      <c r="RKC88" s="260"/>
      <c r="RKD88" s="261"/>
      <c r="RKE88" s="262"/>
      <c r="RKF88" s="263"/>
      <c r="RKG88" s="289"/>
      <c r="RKH88" s="289"/>
      <c r="RKI88" s="289"/>
      <c r="RKJ88" s="292"/>
      <c r="RKK88" s="289"/>
      <c r="RKL88" s="293"/>
      <c r="RKM88" s="266"/>
      <c r="RKN88" s="290"/>
      <c r="RKO88" s="297"/>
      <c r="RKP88" s="260"/>
      <c r="RKQ88" s="261"/>
      <c r="RKR88" s="262"/>
      <c r="RKS88" s="263"/>
      <c r="RKT88" s="289"/>
      <c r="RKU88" s="289"/>
      <c r="RKV88" s="289"/>
      <c r="RKW88" s="292"/>
      <c r="RKX88" s="289"/>
      <c r="RKY88" s="293"/>
      <c r="RKZ88" s="266"/>
      <c r="RLA88" s="290"/>
      <c r="RLB88" s="297"/>
      <c r="RLC88" s="260"/>
      <c r="RLD88" s="261"/>
      <c r="RLE88" s="262"/>
      <c r="RLF88" s="263"/>
      <c r="RLG88" s="289"/>
      <c r="RLH88" s="289"/>
      <c r="RLI88" s="289"/>
      <c r="RLJ88" s="292"/>
      <c r="RLK88" s="289"/>
      <c r="RLL88" s="293"/>
      <c r="RLM88" s="266"/>
      <c r="RLN88" s="290"/>
      <c r="RLO88" s="297"/>
      <c r="RLP88" s="260"/>
      <c r="RLQ88" s="261"/>
      <c r="RLR88" s="262"/>
      <c r="RLS88" s="263"/>
      <c r="RLT88" s="289"/>
      <c r="RLU88" s="289"/>
      <c r="RLV88" s="289"/>
      <c r="RLW88" s="292"/>
      <c r="RLX88" s="289"/>
      <c r="RLY88" s="293"/>
      <c r="RLZ88" s="266"/>
      <c r="RMA88" s="290"/>
      <c r="RMB88" s="297"/>
      <c r="RMC88" s="260"/>
      <c r="RMD88" s="261"/>
      <c r="RME88" s="262"/>
      <c r="RMF88" s="263"/>
      <c r="RMG88" s="289"/>
      <c r="RMH88" s="289"/>
      <c r="RMI88" s="289"/>
      <c r="RMJ88" s="292"/>
      <c r="RMK88" s="289"/>
      <c r="RML88" s="293"/>
      <c r="RMM88" s="266"/>
      <c r="RMN88" s="290"/>
      <c r="RMO88" s="297"/>
      <c r="RMP88" s="260"/>
      <c r="RMQ88" s="261"/>
      <c r="RMR88" s="262"/>
      <c r="RMS88" s="263"/>
      <c r="RMT88" s="289"/>
      <c r="RMU88" s="289"/>
      <c r="RMV88" s="289"/>
      <c r="RMW88" s="292"/>
      <c r="RMX88" s="289"/>
      <c r="RMY88" s="293"/>
      <c r="RMZ88" s="266"/>
      <c r="RNA88" s="290"/>
      <c r="RNB88" s="297"/>
      <c r="RNC88" s="260"/>
      <c r="RND88" s="261"/>
      <c r="RNE88" s="262"/>
      <c r="RNF88" s="263"/>
      <c r="RNG88" s="289"/>
      <c r="RNH88" s="289"/>
      <c r="RNI88" s="289"/>
      <c r="RNJ88" s="292"/>
      <c r="RNK88" s="289"/>
      <c r="RNL88" s="293"/>
      <c r="RNM88" s="266"/>
      <c r="RNN88" s="290"/>
      <c r="RNO88" s="297"/>
      <c r="RNP88" s="260"/>
      <c r="RNQ88" s="261"/>
      <c r="RNR88" s="262"/>
      <c r="RNS88" s="263"/>
      <c r="RNT88" s="289"/>
      <c r="RNU88" s="289"/>
      <c r="RNV88" s="289"/>
      <c r="RNW88" s="292"/>
      <c r="RNX88" s="289"/>
      <c r="RNY88" s="293"/>
      <c r="RNZ88" s="266"/>
      <c r="ROA88" s="290"/>
      <c r="ROB88" s="297"/>
      <c r="ROC88" s="260"/>
      <c r="ROD88" s="261"/>
      <c r="ROE88" s="262"/>
      <c r="ROF88" s="263"/>
      <c r="ROG88" s="289"/>
      <c r="ROH88" s="289"/>
      <c r="ROI88" s="289"/>
      <c r="ROJ88" s="292"/>
      <c r="ROK88" s="289"/>
      <c r="ROL88" s="293"/>
      <c r="ROM88" s="266"/>
      <c r="RON88" s="290"/>
      <c r="ROO88" s="297"/>
      <c r="ROP88" s="260"/>
      <c r="ROQ88" s="261"/>
      <c r="ROR88" s="262"/>
      <c r="ROS88" s="263"/>
      <c r="ROT88" s="289"/>
      <c r="ROU88" s="289"/>
      <c r="ROV88" s="289"/>
      <c r="ROW88" s="292"/>
      <c r="ROX88" s="289"/>
      <c r="ROY88" s="293"/>
      <c r="ROZ88" s="266"/>
      <c r="RPA88" s="290"/>
      <c r="RPB88" s="297"/>
      <c r="RPC88" s="260"/>
      <c r="RPD88" s="261"/>
      <c r="RPE88" s="262"/>
      <c r="RPF88" s="263"/>
      <c r="RPG88" s="289"/>
      <c r="RPH88" s="289"/>
      <c r="RPI88" s="289"/>
      <c r="RPJ88" s="292"/>
      <c r="RPK88" s="289"/>
      <c r="RPL88" s="293"/>
      <c r="RPM88" s="266"/>
      <c r="RPN88" s="290"/>
      <c r="RPO88" s="297"/>
      <c r="RPP88" s="260"/>
      <c r="RPQ88" s="261"/>
      <c r="RPR88" s="262"/>
      <c r="RPS88" s="263"/>
      <c r="RPT88" s="289"/>
      <c r="RPU88" s="289"/>
      <c r="RPV88" s="289"/>
      <c r="RPW88" s="292"/>
      <c r="RPX88" s="289"/>
      <c r="RPY88" s="293"/>
      <c r="RPZ88" s="266"/>
      <c r="RQA88" s="290"/>
      <c r="RQB88" s="297"/>
      <c r="RQC88" s="260"/>
      <c r="RQD88" s="261"/>
      <c r="RQE88" s="262"/>
      <c r="RQF88" s="263"/>
      <c r="RQG88" s="289"/>
      <c r="RQH88" s="289"/>
      <c r="RQI88" s="289"/>
      <c r="RQJ88" s="292"/>
      <c r="RQK88" s="289"/>
      <c r="RQL88" s="293"/>
      <c r="RQM88" s="266"/>
      <c r="RQN88" s="290"/>
      <c r="RQO88" s="297"/>
      <c r="RQP88" s="260"/>
      <c r="RQQ88" s="261"/>
      <c r="RQR88" s="262"/>
      <c r="RQS88" s="263"/>
      <c r="RQT88" s="289"/>
      <c r="RQU88" s="289"/>
      <c r="RQV88" s="289"/>
      <c r="RQW88" s="292"/>
      <c r="RQX88" s="289"/>
      <c r="RQY88" s="293"/>
      <c r="RQZ88" s="266"/>
      <c r="RRA88" s="290"/>
      <c r="RRB88" s="297"/>
      <c r="RRC88" s="260"/>
      <c r="RRD88" s="261"/>
      <c r="RRE88" s="262"/>
      <c r="RRF88" s="263"/>
      <c r="RRG88" s="289"/>
      <c r="RRH88" s="289"/>
      <c r="RRI88" s="289"/>
      <c r="RRJ88" s="292"/>
      <c r="RRK88" s="289"/>
      <c r="RRL88" s="293"/>
      <c r="RRM88" s="266"/>
      <c r="RRN88" s="290"/>
      <c r="RRO88" s="297"/>
      <c r="RRP88" s="260"/>
      <c r="RRQ88" s="261"/>
      <c r="RRR88" s="262"/>
      <c r="RRS88" s="263"/>
      <c r="RRT88" s="289"/>
      <c r="RRU88" s="289"/>
      <c r="RRV88" s="289"/>
      <c r="RRW88" s="292"/>
      <c r="RRX88" s="289"/>
      <c r="RRY88" s="293"/>
      <c r="RRZ88" s="266"/>
      <c r="RSA88" s="290"/>
      <c r="RSB88" s="297"/>
      <c r="RSC88" s="260"/>
      <c r="RSD88" s="261"/>
      <c r="RSE88" s="262"/>
      <c r="RSF88" s="263"/>
      <c r="RSG88" s="289"/>
      <c r="RSH88" s="289"/>
      <c r="RSI88" s="289"/>
      <c r="RSJ88" s="292"/>
      <c r="RSK88" s="289"/>
      <c r="RSL88" s="293"/>
      <c r="RSM88" s="266"/>
      <c r="RSN88" s="290"/>
      <c r="RSO88" s="297"/>
      <c r="RSP88" s="260"/>
      <c r="RSQ88" s="261"/>
      <c r="RSR88" s="262"/>
      <c r="RSS88" s="263"/>
      <c r="RST88" s="289"/>
      <c r="RSU88" s="289"/>
      <c r="RSV88" s="289"/>
      <c r="RSW88" s="292"/>
      <c r="RSX88" s="289"/>
      <c r="RSY88" s="293"/>
      <c r="RSZ88" s="266"/>
      <c r="RTA88" s="290"/>
      <c r="RTB88" s="297"/>
      <c r="RTC88" s="260"/>
      <c r="RTD88" s="261"/>
      <c r="RTE88" s="262"/>
      <c r="RTF88" s="263"/>
      <c r="RTG88" s="289"/>
      <c r="RTH88" s="289"/>
      <c r="RTI88" s="289"/>
      <c r="RTJ88" s="292"/>
      <c r="RTK88" s="289"/>
      <c r="RTL88" s="293"/>
      <c r="RTM88" s="266"/>
      <c r="RTN88" s="290"/>
      <c r="RTO88" s="297"/>
      <c r="RTP88" s="260"/>
      <c r="RTQ88" s="261"/>
      <c r="RTR88" s="262"/>
      <c r="RTS88" s="263"/>
      <c r="RTT88" s="289"/>
      <c r="RTU88" s="289"/>
      <c r="RTV88" s="289"/>
      <c r="RTW88" s="292"/>
      <c r="RTX88" s="289"/>
      <c r="RTY88" s="293"/>
      <c r="RTZ88" s="266"/>
      <c r="RUA88" s="290"/>
      <c r="RUB88" s="297"/>
      <c r="RUC88" s="260"/>
      <c r="RUD88" s="261"/>
      <c r="RUE88" s="262"/>
      <c r="RUF88" s="263"/>
      <c r="RUG88" s="289"/>
      <c r="RUH88" s="289"/>
      <c r="RUI88" s="289"/>
      <c r="RUJ88" s="292"/>
      <c r="RUK88" s="289"/>
      <c r="RUL88" s="293"/>
      <c r="RUM88" s="266"/>
      <c r="RUN88" s="290"/>
      <c r="RUO88" s="297"/>
      <c r="RUP88" s="260"/>
      <c r="RUQ88" s="261"/>
      <c r="RUR88" s="262"/>
      <c r="RUS88" s="263"/>
      <c r="RUT88" s="289"/>
      <c r="RUU88" s="289"/>
      <c r="RUV88" s="289"/>
      <c r="RUW88" s="292"/>
      <c r="RUX88" s="289"/>
      <c r="RUY88" s="293"/>
      <c r="RUZ88" s="266"/>
      <c r="RVA88" s="290"/>
      <c r="RVB88" s="297"/>
      <c r="RVC88" s="260"/>
      <c r="RVD88" s="261"/>
      <c r="RVE88" s="262"/>
      <c r="RVF88" s="263"/>
      <c r="RVG88" s="289"/>
      <c r="RVH88" s="289"/>
      <c r="RVI88" s="289"/>
      <c r="RVJ88" s="292"/>
      <c r="RVK88" s="289"/>
      <c r="RVL88" s="293"/>
      <c r="RVM88" s="266"/>
      <c r="RVN88" s="290"/>
      <c r="RVO88" s="297"/>
      <c r="RVP88" s="260"/>
      <c r="RVQ88" s="261"/>
      <c r="RVR88" s="262"/>
      <c r="RVS88" s="263"/>
      <c r="RVT88" s="289"/>
      <c r="RVU88" s="289"/>
      <c r="RVV88" s="289"/>
      <c r="RVW88" s="292"/>
      <c r="RVX88" s="289"/>
      <c r="RVY88" s="293"/>
      <c r="RVZ88" s="266"/>
      <c r="RWA88" s="290"/>
      <c r="RWB88" s="297"/>
      <c r="RWC88" s="260"/>
      <c r="RWD88" s="261"/>
      <c r="RWE88" s="262"/>
      <c r="RWF88" s="263"/>
      <c r="RWG88" s="289"/>
      <c r="RWH88" s="289"/>
      <c r="RWI88" s="289"/>
      <c r="RWJ88" s="292"/>
      <c r="RWK88" s="289"/>
      <c r="RWL88" s="293"/>
      <c r="RWM88" s="266"/>
      <c r="RWN88" s="290"/>
      <c r="RWO88" s="297"/>
      <c r="RWP88" s="260"/>
      <c r="RWQ88" s="261"/>
      <c r="RWR88" s="262"/>
      <c r="RWS88" s="263"/>
      <c r="RWT88" s="289"/>
      <c r="RWU88" s="289"/>
      <c r="RWV88" s="289"/>
      <c r="RWW88" s="292"/>
      <c r="RWX88" s="289"/>
      <c r="RWY88" s="293"/>
      <c r="RWZ88" s="266"/>
      <c r="RXA88" s="290"/>
      <c r="RXB88" s="297"/>
      <c r="RXC88" s="260"/>
      <c r="RXD88" s="261"/>
      <c r="RXE88" s="262"/>
      <c r="RXF88" s="263"/>
      <c r="RXG88" s="289"/>
      <c r="RXH88" s="289"/>
      <c r="RXI88" s="289"/>
      <c r="RXJ88" s="292"/>
      <c r="RXK88" s="289"/>
      <c r="RXL88" s="293"/>
      <c r="RXM88" s="266"/>
      <c r="RXN88" s="290"/>
      <c r="RXO88" s="297"/>
      <c r="RXP88" s="260"/>
      <c r="RXQ88" s="261"/>
      <c r="RXR88" s="262"/>
      <c r="RXS88" s="263"/>
      <c r="RXT88" s="289"/>
      <c r="RXU88" s="289"/>
      <c r="RXV88" s="289"/>
      <c r="RXW88" s="292"/>
      <c r="RXX88" s="289"/>
      <c r="RXY88" s="293"/>
      <c r="RXZ88" s="266"/>
      <c r="RYA88" s="290"/>
      <c r="RYB88" s="297"/>
      <c r="RYC88" s="260"/>
      <c r="RYD88" s="261"/>
      <c r="RYE88" s="262"/>
      <c r="RYF88" s="263"/>
      <c r="RYG88" s="289"/>
      <c r="RYH88" s="289"/>
      <c r="RYI88" s="289"/>
      <c r="RYJ88" s="292"/>
      <c r="RYK88" s="289"/>
      <c r="RYL88" s="293"/>
      <c r="RYM88" s="266"/>
      <c r="RYN88" s="290"/>
      <c r="RYO88" s="297"/>
      <c r="RYP88" s="260"/>
      <c r="RYQ88" s="261"/>
      <c r="RYR88" s="262"/>
      <c r="RYS88" s="263"/>
      <c r="RYT88" s="289"/>
      <c r="RYU88" s="289"/>
      <c r="RYV88" s="289"/>
      <c r="RYW88" s="292"/>
      <c r="RYX88" s="289"/>
      <c r="RYY88" s="293"/>
      <c r="RYZ88" s="266"/>
      <c r="RZA88" s="290"/>
      <c r="RZB88" s="297"/>
      <c r="RZC88" s="260"/>
      <c r="RZD88" s="261"/>
      <c r="RZE88" s="262"/>
      <c r="RZF88" s="263"/>
      <c r="RZG88" s="289"/>
      <c r="RZH88" s="289"/>
      <c r="RZI88" s="289"/>
      <c r="RZJ88" s="292"/>
      <c r="RZK88" s="289"/>
      <c r="RZL88" s="293"/>
      <c r="RZM88" s="266"/>
      <c r="RZN88" s="290"/>
      <c r="RZO88" s="297"/>
      <c r="RZP88" s="260"/>
      <c r="RZQ88" s="261"/>
      <c r="RZR88" s="262"/>
      <c r="RZS88" s="263"/>
      <c r="RZT88" s="289"/>
      <c r="RZU88" s="289"/>
      <c r="RZV88" s="289"/>
      <c r="RZW88" s="292"/>
      <c r="RZX88" s="289"/>
      <c r="RZY88" s="293"/>
      <c r="RZZ88" s="266"/>
      <c r="SAA88" s="290"/>
      <c r="SAB88" s="297"/>
      <c r="SAC88" s="260"/>
      <c r="SAD88" s="261"/>
      <c r="SAE88" s="262"/>
      <c r="SAF88" s="263"/>
      <c r="SAG88" s="289"/>
      <c r="SAH88" s="289"/>
      <c r="SAI88" s="289"/>
      <c r="SAJ88" s="292"/>
      <c r="SAK88" s="289"/>
      <c r="SAL88" s="293"/>
      <c r="SAM88" s="266"/>
      <c r="SAN88" s="290"/>
      <c r="SAO88" s="297"/>
      <c r="SAP88" s="260"/>
      <c r="SAQ88" s="261"/>
      <c r="SAR88" s="262"/>
      <c r="SAS88" s="263"/>
      <c r="SAT88" s="289"/>
      <c r="SAU88" s="289"/>
      <c r="SAV88" s="289"/>
      <c r="SAW88" s="292"/>
      <c r="SAX88" s="289"/>
      <c r="SAY88" s="293"/>
      <c r="SAZ88" s="266"/>
      <c r="SBA88" s="290"/>
      <c r="SBB88" s="297"/>
      <c r="SBC88" s="260"/>
      <c r="SBD88" s="261"/>
      <c r="SBE88" s="262"/>
      <c r="SBF88" s="263"/>
      <c r="SBG88" s="289"/>
      <c r="SBH88" s="289"/>
      <c r="SBI88" s="289"/>
      <c r="SBJ88" s="292"/>
      <c r="SBK88" s="289"/>
      <c r="SBL88" s="293"/>
      <c r="SBM88" s="266"/>
      <c r="SBN88" s="290"/>
      <c r="SBO88" s="297"/>
      <c r="SBP88" s="260"/>
      <c r="SBQ88" s="261"/>
      <c r="SBR88" s="262"/>
      <c r="SBS88" s="263"/>
      <c r="SBT88" s="289"/>
      <c r="SBU88" s="289"/>
      <c r="SBV88" s="289"/>
      <c r="SBW88" s="292"/>
      <c r="SBX88" s="289"/>
      <c r="SBY88" s="293"/>
      <c r="SBZ88" s="266"/>
      <c r="SCA88" s="290"/>
      <c r="SCB88" s="297"/>
      <c r="SCC88" s="260"/>
      <c r="SCD88" s="261"/>
      <c r="SCE88" s="262"/>
      <c r="SCF88" s="263"/>
      <c r="SCG88" s="289"/>
      <c r="SCH88" s="289"/>
      <c r="SCI88" s="289"/>
      <c r="SCJ88" s="292"/>
      <c r="SCK88" s="289"/>
      <c r="SCL88" s="293"/>
      <c r="SCM88" s="266"/>
      <c r="SCN88" s="290"/>
      <c r="SCO88" s="297"/>
      <c r="SCP88" s="260"/>
      <c r="SCQ88" s="261"/>
      <c r="SCR88" s="262"/>
      <c r="SCS88" s="263"/>
      <c r="SCT88" s="289"/>
      <c r="SCU88" s="289"/>
      <c r="SCV88" s="289"/>
      <c r="SCW88" s="292"/>
      <c r="SCX88" s="289"/>
      <c r="SCY88" s="293"/>
      <c r="SCZ88" s="266"/>
      <c r="SDA88" s="290"/>
      <c r="SDB88" s="297"/>
      <c r="SDC88" s="260"/>
      <c r="SDD88" s="261"/>
      <c r="SDE88" s="262"/>
      <c r="SDF88" s="263"/>
      <c r="SDG88" s="289"/>
      <c r="SDH88" s="289"/>
      <c r="SDI88" s="289"/>
      <c r="SDJ88" s="292"/>
      <c r="SDK88" s="289"/>
      <c r="SDL88" s="293"/>
      <c r="SDM88" s="266"/>
      <c r="SDN88" s="290"/>
      <c r="SDO88" s="297"/>
      <c r="SDP88" s="260"/>
      <c r="SDQ88" s="261"/>
      <c r="SDR88" s="262"/>
      <c r="SDS88" s="263"/>
      <c r="SDT88" s="289"/>
      <c r="SDU88" s="289"/>
      <c r="SDV88" s="289"/>
      <c r="SDW88" s="292"/>
      <c r="SDX88" s="289"/>
      <c r="SDY88" s="293"/>
      <c r="SDZ88" s="266"/>
      <c r="SEA88" s="290"/>
      <c r="SEB88" s="297"/>
      <c r="SEC88" s="260"/>
      <c r="SED88" s="261"/>
      <c r="SEE88" s="262"/>
      <c r="SEF88" s="263"/>
      <c r="SEG88" s="289"/>
      <c r="SEH88" s="289"/>
      <c r="SEI88" s="289"/>
      <c r="SEJ88" s="292"/>
      <c r="SEK88" s="289"/>
      <c r="SEL88" s="293"/>
      <c r="SEM88" s="266"/>
      <c r="SEN88" s="290"/>
      <c r="SEO88" s="297"/>
      <c r="SEP88" s="260"/>
      <c r="SEQ88" s="261"/>
      <c r="SER88" s="262"/>
      <c r="SES88" s="263"/>
      <c r="SET88" s="289"/>
      <c r="SEU88" s="289"/>
      <c r="SEV88" s="289"/>
      <c r="SEW88" s="292"/>
      <c r="SEX88" s="289"/>
      <c r="SEY88" s="293"/>
      <c r="SEZ88" s="266"/>
      <c r="SFA88" s="290"/>
      <c r="SFB88" s="297"/>
      <c r="SFC88" s="260"/>
      <c r="SFD88" s="261"/>
      <c r="SFE88" s="262"/>
      <c r="SFF88" s="263"/>
      <c r="SFG88" s="289"/>
      <c r="SFH88" s="289"/>
      <c r="SFI88" s="289"/>
      <c r="SFJ88" s="292"/>
      <c r="SFK88" s="289"/>
      <c r="SFL88" s="293"/>
      <c r="SFM88" s="266"/>
      <c r="SFN88" s="290"/>
      <c r="SFO88" s="297"/>
      <c r="SFP88" s="260"/>
      <c r="SFQ88" s="261"/>
      <c r="SFR88" s="262"/>
      <c r="SFS88" s="263"/>
      <c r="SFT88" s="289"/>
      <c r="SFU88" s="289"/>
      <c r="SFV88" s="289"/>
      <c r="SFW88" s="292"/>
      <c r="SFX88" s="289"/>
      <c r="SFY88" s="293"/>
      <c r="SFZ88" s="266"/>
      <c r="SGA88" s="290"/>
      <c r="SGB88" s="297"/>
      <c r="SGC88" s="260"/>
      <c r="SGD88" s="261"/>
      <c r="SGE88" s="262"/>
      <c r="SGF88" s="263"/>
      <c r="SGG88" s="289"/>
      <c r="SGH88" s="289"/>
      <c r="SGI88" s="289"/>
      <c r="SGJ88" s="292"/>
      <c r="SGK88" s="289"/>
      <c r="SGL88" s="293"/>
      <c r="SGM88" s="266"/>
      <c r="SGN88" s="290"/>
      <c r="SGO88" s="297"/>
      <c r="SGP88" s="260"/>
      <c r="SGQ88" s="261"/>
      <c r="SGR88" s="262"/>
      <c r="SGS88" s="263"/>
      <c r="SGT88" s="289"/>
      <c r="SGU88" s="289"/>
      <c r="SGV88" s="289"/>
      <c r="SGW88" s="292"/>
      <c r="SGX88" s="289"/>
      <c r="SGY88" s="293"/>
      <c r="SGZ88" s="266"/>
      <c r="SHA88" s="290"/>
      <c r="SHB88" s="297"/>
      <c r="SHC88" s="260"/>
      <c r="SHD88" s="261"/>
      <c r="SHE88" s="262"/>
      <c r="SHF88" s="263"/>
      <c r="SHG88" s="289"/>
      <c r="SHH88" s="289"/>
      <c r="SHI88" s="289"/>
      <c r="SHJ88" s="292"/>
      <c r="SHK88" s="289"/>
      <c r="SHL88" s="293"/>
      <c r="SHM88" s="266"/>
      <c r="SHN88" s="290"/>
      <c r="SHO88" s="297"/>
      <c r="SHP88" s="260"/>
      <c r="SHQ88" s="261"/>
      <c r="SHR88" s="262"/>
      <c r="SHS88" s="263"/>
      <c r="SHT88" s="289"/>
      <c r="SHU88" s="289"/>
      <c r="SHV88" s="289"/>
      <c r="SHW88" s="292"/>
      <c r="SHX88" s="289"/>
      <c r="SHY88" s="293"/>
      <c r="SHZ88" s="266"/>
      <c r="SIA88" s="290"/>
      <c r="SIB88" s="297"/>
      <c r="SIC88" s="260"/>
      <c r="SID88" s="261"/>
      <c r="SIE88" s="262"/>
      <c r="SIF88" s="263"/>
      <c r="SIG88" s="289"/>
      <c r="SIH88" s="289"/>
      <c r="SII88" s="289"/>
      <c r="SIJ88" s="292"/>
      <c r="SIK88" s="289"/>
      <c r="SIL88" s="293"/>
      <c r="SIM88" s="266"/>
      <c r="SIN88" s="290"/>
      <c r="SIO88" s="297"/>
      <c r="SIP88" s="260"/>
      <c r="SIQ88" s="261"/>
      <c r="SIR88" s="262"/>
      <c r="SIS88" s="263"/>
      <c r="SIT88" s="289"/>
      <c r="SIU88" s="289"/>
      <c r="SIV88" s="289"/>
      <c r="SIW88" s="292"/>
      <c r="SIX88" s="289"/>
      <c r="SIY88" s="293"/>
      <c r="SIZ88" s="266"/>
      <c r="SJA88" s="290"/>
      <c r="SJB88" s="297"/>
      <c r="SJC88" s="260"/>
      <c r="SJD88" s="261"/>
      <c r="SJE88" s="262"/>
      <c r="SJF88" s="263"/>
      <c r="SJG88" s="289"/>
      <c r="SJH88" s="289"/>
      <c r="SJI88" s="289"/>
      <c r="SJJ88" s="292"/>
      <c r="SJK88" s="289"/>
      <c r="SJL88" s="293"/>
      <c r="SJM88" s="266"/>
      <c r="SJN88" s="290"/>
      <c r="SJO88" s="297"/>
      <c r="SJP88" s="260"/>
      <c r="SJQ88" s="261"/>
      <c r="SJR88" s="262"/>
      <c r="SJS88" s="263"/>
      <c r="SJT88" s="289"/>
      <c r="SJU88" s="289"/>
      <c r="SJV88" s="289"/>
      <c r="SJW88" s="292"/>
      <c r="SJX88" s="289"/>
      <c r="SJY88" s="293"/>
      <c r="SJZ88" s="266"/>
      <c r="SKA88" s="290"/>
      <c r="SKB88" s="297"/>
      <c r="SKC88" s="260"/>
      <c r="SKD88" s="261"/>
      <c r="SKE88" s="262"/>
      <c r="SKF88" s="263"/>
      <c r="SKG88" s="289"/>
      <c r="SKH88" s="289"/>
      <c r="SKI88" s="289"/>
      <c r="SKJ88" s="292"/>
      <c r="SKK88" s="289"/>
      <c r="SKL88" s="293"/>
      <c r="SKM88" s="266"/>
      <c r="SKN88" s="290"/>
      <c r="SKO88" s="297"/>
      <c r="SKP88" s="260"/>
      <c r="SKQ88" s="261"/>
      <c r="SKR88" s="262"/>
      <c r="SKS88" s="263"/>
      <c r="SKT88" s="289"/>
      <c r="SKU88" s="289"/>
      <c r="SKV88" s="289"/>
      <c r="SKW88" s="292"/>
      <c r="SKX88" s="289"/>
      <c r="SKY88" s="293"/>
      <c r="SKZ88" s="266"/>
      <c r="SLA88" s="290"/>
      <c r="SLB88" s="297"/>
      <c r="SLC88" s="260"/>
      <c r="SLD88" s="261"/>
      <c r="SLE88" s="262"/>
      <c r="SLF88" s="263"/>
      <c r="SLG88" s="289"/>
      <c r="SLH88" s="289"/>
      <c r="SLI88" s="289"/>
      <c r="SLJ88" s="292"/>
      <c r="SLK88" s="289"/>
      <c r="SLL88" s="293"/>
      <c r="SLM88" s="266"/>
      <c r="SLN88" s="290"/>
      <c r="SLO88" s="297"/>
      <c r="SLP88" s="260"/>
      <c r="SLQ88" s="261"/>
      <c r="SLR88" s="262"/>
      <c r="SLS88" s="263"/>
      <c r="SLT88" s="289"/>
      <c r="SLU88" s="289"/>
      <c r="SLV88" s="289"/>
      <c r="SLW88" s="292"/>
      <c r="SLX88" s="289"/>
      <c r="SLY88" s="293"/>
      <c r="SLZ88" s="266"/>
      <c r="SMA88" s="290"/>
      <c r="SMB88" s="297"/>
      <c r="SMC88" s="260"/>
      <c r="SMD88" s="261"/>
      <c r="SME88" s="262"/>
      <c r="SMF88" s="263"/>
      <c r="SMG88" s="289"/>
      <c r="SMH88" s="289"/>
      <c r="SMI88" s="289"/>
      <c r="SMJ88" s="292"/>
      <c r="SMK88" s="289"/>
      <c r="SML88" s="293"/>
      <c r="SMM88" s="266"/>
      <c r="SMN88" s="290"/>
      <c r="SMO88" s="297"/>
      <c r="SMP88" s="260"/>
      <c r="SMQ88" s="261"/>
      <c r="SMR88" s="262"/>
      <c r="SMS88" s="263"/>
      <c r="SMT88" s="289"/>
      <c r="SMU88" s="289"/>
      <c r="SMV88" s="289"/>
      <c r="SMW88" s="292"/>
      <c r="SMX88" s="289"/>
      <c r="SMY88" s="293"/>
      <c r="SMZ88" s="266"/>
      <c r="SNA88" s="290"/>
      <c r="SNB88" s="297"/>
      <c r="SNC88" s="260"/>
      <c r="SND88" s="261"/>
      <c r="SNE88" s="262"/>
      <c r="SNF88" s="263"/>
      <c r="SNG88" s="289"/>
      <c r="SNH88" s="289"/>
      <c r="SNI88" s="289"/>
      <c r="SNJ88" s="292"/>
      <c r="SNK88" s="289"/>
      <c r="SNL88" s="293"/>
      <c r="SNM88" s="266"/>
      <c r="SNN88" s="290"/>
      <c r="SNO88" s="297"/>
      <c r="SNP88" s="260"/>
      <c r="SNQ88" s="261"/>
      <c r="SNR88" s="262"/>
      <c r="SNS88" s="263"/>
      <c r="SNT88" s="289"/>
      <c r="SNU88" s="289"/>
      <c r="SNV88" s="289"/>
      <c r="SNW88" s="292"/>
      <c r="SNX88" s="289"/>
      <c r="SNY88" s="293"/>
      <c r="SNZ88" s="266"/>
      <c r="SOA88" s="290"/>
      <c r="SOB88" s="297"/>
      <c r="SOC88" s="260"/>
      <c r="SOD88" s="261"/>
      <c r="SOE88" s="262"/>
      <c r="SOF88" s="263"/>
      <c r="SOG88" s="289"/>
      <c r="SOH88" s="289"/>
      <c r="SOI88" s="289"/>
      <c r="SOJ88" s="292"/>
      <c r="SOK88" s="289"/>
      <c r="SOL88" s="293"/>
      <c r="SOM88" s="266"/>
      <c r="SON88" s="290"/>
      <c r="SOO88" s="297"/>
      <c r="SOP88" s="260"/>
      <c r="SOQ88" s="261"/>
      <c r="SOR88" s="262"/>
      <c r="SOS88" s="263"/>
      <c r="SOT88" s="289"/>
      <c r="SOU88" s="289"/>
      <c r="SOV88" s="289"/>
      <c r="SOW88" s="292"/>
      <c r="SOX88" s="289"/>
      <c r="SOY88" s="293"/>
      <c r="SOZ88" s="266"/>
      <c r="SPA88" s="290"/>
      <c r="SPB88" s="297"/>
      <c r="SPC88" s="260"/>
      <c r="SPD88" s="261"/>
      <c r="SPE88" s="262"/>
      <c r="SPF88" s="263"/>
      <c r="SPG88" s="289"/>
      <c r="SPH88" s="289"/>
      <c r="SPI88" s="289"/>
      <c r="SPJ88" s="292"/>
      <c r="SPK88" s="289"/>
      <c r="SPL88" s="293"/>
      <c r="SPM88" s="266"/>
      <c r="SPN88" s="290"/>
      <c r="SPO88" s="297"/>
      <c r="SPP88" s="260"/>
      <c r="SPQ88" s="261"/>
      <c r="SPR88" s="262"/>
      <c r="SPS88" s="263"/>
      <c r="SPT88" s="289"/>
      <c r="SPU88" s="289"/>
      <c r="SPV88" s="289"/>
      <c r="SPW88" s="292"/>
      <c r="SPX88" s="289"/>
      <c r="SPY88" s="293"/>
      <c r="SPZ88" s="266"/>
      <c r="SQA88" s="290"/>
      <c r="SQB88" s="297"/>
      <c r="SQC88" s="260"/>
      <c r="SQD88" s="261"/>
      <c r="SQE88" s="262"/>
      <c r="SQF88" s="263"/>
      <c r="SQG88" s="289"/>
      <c r="SQH88" s="289"/>
      <c r="SQI88" s="289"/>
      <c r="SQJ88" s="292"/>
      <c r="SQK88" s="289"/>
      <c r="SQL88" s="293"/>
      <c r="SQM88" s="266"/>
      <c r="SQN88" s="290"/>
      <c r="SQO88" s="297"/>
      <c r="SQP88" s="260"/>
      <c r="SQQ88" s="261"/>
      <c r="SQR88" s="262"/>
      <c r="SQS88" s="263"/>
      <c r="SQT88" s="289"/>
      <c r="SQU88" s="289"/>
      <c r="SQV88" s="289"/>
      <c r="SQW88" s="292"/>
      <c r="SQX88" s="289"/>
      <c r="SQY88" s="293"/>
      <c r="SQZ88" s="266"/>
      <c r="SRA88" s="290"/>
      <c r="SRB88" s="297"/>
      <c r="SRC88" s="260"/>
      <c r="SRD88" s="261"/>
      <c r="SRE88" s="262"/>
      <c r="SRF88" s="263"/>
      <c r="SRG88" s="289"/>
      <c r="SRH88" s="289"/>
      <c r="SRI88" s="289"/>
      <c r="SRJ88" s="292"/>
      <c r="SRK88" s="289"/>
      <c r="SRL88" s="293"/>
      <c r="SRM88" s="266"/>
      <c r="SRN88" s="290"/>
      <c r="SRO88" s="297"/>
      <c r="SRP88" s="260"/>
      <c r="SRQ88" s="261"/>
      <c r="SRR88" s="262"/>
      <c r="SRS88" s="263"/>
      <c r="SRT88" s="289"/>
      <c r="SRU88" s="289"/>
      <c r="SRV88" s="289"/>
      <c r="SRW88" s="292"/>
      <c r="SRX88" s="289"/>
      <c r="SRY88" s="293"/>
      <c r="SRZ88" s="266"/>
      <c r="SSA88" s="290"/>
      <c r="SSB88" s="297"/>
      <c r="SSC88" s="260"/>
      <c r="SSD88" s="261"/>
      <c r="SSE88" s="262"/>
      <c r="SSF88" s="263"/>
      <c r="SSG88" s="289"/>
      <c r="SSH88" s="289"/>
      <c r="SSI88" s="289"/>
      <c r="SSJ88" s="292"/>
      <c r="SSK88" s="289"/>
      <c r="SSL88" s="293"/>
      <c r="SSM88" s="266"/>
      <c r="SSN88" s="290"/>
      <c r="SSO88" s="297"/>
      <c r="SSP88" s="260"/>
      <c r="SSQ88" s="261"/>
      <c r="SSR88" s="262"/>
      <c r="SSS88" s="263"/>
      <c r="SST88" s="289"/>
      <c r="SSU88" s="289"/>
      <c r="SSV88" s="289"/>
      <c r="SSW88" s="292"/>
      <c r="SSX88" s="289"/>
      <c r="SSY88" s="293"/>
      <c r="SSZ88" s="266"/>
      <c r="STA88" s="290"/>
      <c r="STB88" s="297"/>
      <c r="STC88" s="260"/>
      <c r="STD88" s="261"/>
      <c r="STE88" s="262"/>
      <c r="STF88" s="263"/>
      <c r="STG88" s="289"/>
      <c r="STH88" s="289"/>
      <c r="STI88" s="289"/>
      <c r="STJ88" s="292"/>
      <c r="STK88" s="289"/>
      <c r="STL88" s="293"/>
      <c r="STM88" s="266"/>
      <c r="STN88" s="290"/>
      <c r="STO88" s="297"/>
      <c r="STP88" s="260"/>
      <c r="STQ88" s="261"/>
      <c r="STR88" s="262"/>
      <c r="STS88" s="263"/>
      <c r="STT88" s="289"/>
      <c r="STU88" s="289"/>
      <c r="STV88" s="289"/>
      <c r="STW88" s="292"/>
      <c r="STX88" s="289"/>
      <c r="STY88" s="293"/>
      <c r="STZ88" s="266"/>
      <c r="SUA88" s="290"/>
      <c r="SUB88" s="297"/>
      <c r="SUC88" s="260"/>
      <c r="SUD88" s="261"/>
      <c r="SUE88" s="262"/>
      <c r="SUF88" s="263"/>
      <c r="SUG88" s="289"/>
      <c r="SUH88" s="289"/>
      <c r="SUI88" s="289"/>
      <c r="SUJ88" s="292"/>
      <c r="SUK88" s="289"/>
      <c r="SUL88" s="293"/>
      <c r="SUM88" s="266"/>
      <c r="SUN88" s="290"/>
      <c r="SUO88" s="297"/>
      <c r="SUP88" s="260"/>
      <c r="SUQ88" s="261"/>
      <c r="SUR88" s="262"/>
      <c r="SUS88" s="263"/>
      <c r="SUT88" s="289"/>
      <c r="SUU88" s="289"/>
      <c r="SUV88" s="289"/>
      <c r="SUW88" s="292"/>
      <c r="SUX88" s="289"/>
      <c r="SUY88" s="293"/>
      <c r="SUZ88" s="266"/>
      <c r="SVA88" s="290"/>
      <c r="SVB88" s="297"/>
      <c r="SVC88" s="260"/>
      <c r="SVD88" s="261"/>
      <c r="SVE88" s="262"/>
      <c r="SVF88" s="263"/>
      <c r="SVG88" s="289"/>
      <c r="SVH88" s="289"/>
      <c r="SVI88" s="289"/>
      <c r="SVJ88" s="292"/>
      <c r="SVK88" s="289"/>
      <c r="SVL88" s="293"/>
      <c r="SVM88" s="266"/>
      <c r="SVN88" s="290"/>
      <c r="SVO88" s="297"/>
      <c r="SVP88" s="260"/>
      <c r="SVQ88" s="261"/>
      <c r="SVR88" s="262"/>
      <c r="SVS88" s="263"/>
      <c r="SVT88" s="289"/>
      <c r="SVU88" s="289"/>
      <c r="SVV88" s="289"/>
      <c r="SVW88" s="292"/>
      <c r="SVX88" s="289"/>
      <c r="SVY88" s="293"/>
      <c r="SVZ88" s="266"/>
      <c r="SWA88" s="290"/>
      <c r="SWB88" s="297"/>
      <c r="SWC88" s="260"/>
      <c r="SWD88" s="261"/>
      <c r="SWE88" s="262"/>
      <c r="SWF88" s="263"/>
      <c r="SWG88" s="289"/>
      <c r="SWH88" s="289"/>
      <c r="SWI88" s="289"/>
      <c r="SWJ88" s="292"/>
      <c r="SWK88" s="289"/>
      <c r="SWL88" s="293"/>
      <c r="SWM88" s="266"/>
      <c r="SWN88" s="290"/>
      <c r="SWO88" s="297"/>
      <c r="SWP88" s="260"/>
      <c r="SWQ88" s="261"/>
      <c r="SWR88" s="262"/>
      <c r="SWS88" s="263"/>
      <c r="SWT88" s="289"/>
      <c r="SWU88" s="289"/>
      <c r="SWV88" s="289"/>
      <c r="SWW88" s="292"/>
      <c r="SWX88" s="289"/>
      <c r="SWY88" s="293"/>
      <c r="SWZ88" s="266"/>
      <c r="SXA88" s="290"/>
      <c r="SXB88" s="297"/>
      <c r="SXC88" s="260"/>
      <c r="SXD88" s="261"/>
      <c r="SXE88" s="262"/>
      <c r="SXF88" s="263"/>
      <c r="SXG88" s="289"/>
      <c r="SXH88" s="289"/>
      <c r="SXI88" s="289"/>
      <c r="SXJ88" s="292"/>
      <c r="SXK88" s="289"/>
      <c r="SXL88" s="293"/>
      <c r="SXM88" s="266"/>
      <c r="SXN88" s="290"/>
      <c r="SXO88" s="297"/>
      <c r="SXP88" s="260"/>
      <c r="SXQ88" s="261"/>
      <c r="SXR88" s="262"/>
      <c r="SXS88" s="263"/>
      <c r="SXT88" s="289"/>
      <c r="SXU88" s="289"/>
      <c r="SXV88" s="289"/>
      <c r="SXW88" s="292"/>
      <c r="SXX88" s="289"/>
      <c r="SXY88" s="293"/>
      <c r="SXZ88" s="266"/>
      <c r="SYA88" s="290"/>
      <c r="SYB88" s="297"/>
      <c r="SYC88" s="260"/>
      <c r="SYD88" s="261"/>
      <c r="SYE88" s="262"/>
      <c r="SYF88" s="263"/>
      <c r="SYG88" s="289"/>
      <c r="SYH88" s="289"/>
      <c r="SYI88" s="289"/>
      <c r="SYJ88" s="292"/>
      <c r="SYK88" s="289"/>
      <c r="SYL88" s="293"/>
      <c r="SYM88" s="266"/>
      <c r="SYN88" s="290"/>
      <c r="SYO88" s="297"/>
      <c r="SYP88" s="260"/>
      <c r="SYQ88" s="261"/>
      <c r="SYR88" s="262"/>
      <c r="SYS88" s="263"/>
      <c r="SYT88" s="289"/>
      <c r="SYU88" s="289"/>
      <c r="SYV88" s="289"/>
      <c r="SYW88" s="292"/>
      <c r="SYX88" s="289"/>
      <c r="SYY88" s="293"/>
      <c r="SYZ88" s="266"/>
      <c r="SZA88" s="290"/>
      <c r="SZB88" s="297"/>
      <c r="SZC88" s="260"/>
      <c r="SZD88" s="261"/>
      <c r="SZE88" s="262"/>
      <c r="SZF88" s="263"/>
      <c r="SZG88" s="289"/>
      <c r="SZH88" s="289"/>
      <c r="SZI88" s="289"/>
      <c r="SZJ88" s="292"/>
      <c r="SZK88" s="289"/>
      <c r="SZL88" s="293"/>
      <c r="SZM88" s="266"/>
      <c r="SZN88" s="290"/>
      <c r="SZO88" s="297"/>
      <c r="SZP88" s="260"/>
      <c r="SZQ88" s="261"/>
      <c r="SZR88" s="262"/>
      <c r="SZS88" s="263"/>
      <c r="SZT88" s="289"/>
      <c r="SZU88" s="289"/>
      <c r="SZV88" s="289"/>
      <c r="SZW88" s="292"/>
      <c r="SZX88" s="289"/>
      <c r="SZY88" s="293"/>
      <c r="SZZ88" s="266"/>
      <c r="TAA88" s="290"/>
      <c r="TAB88" s="297"/>
      <c r="TAC88" s="260"/>
      <c r="TAD88" s="261"/>
      <c r="TAE88" s="262"/>
      <c r="TAF88" s="263"/>
      <c r="TAG88" s="289"/>
      <c r="TAH88" s="289"/>
      <c r="TAI88" s="289"/>
      <c r="TAJ88" s="292"/>
      <c r="TAK88" s="289"/>
      <c r="TAL88" s="293"/>
      <c r="TAM88" s="266"/>
      <c r="TAN88" s="290"/>
      <c r="TAO88" s="297"/>
      <c r="TAP88" s="260"/>
      <c r="TAQ88" s="261"/>
      <c r="TAR88" s="262"/>
      <c r="TAS88" s="263"/>
      <c r="TAT88" s="289"/>
      <c r="TAU88" s="289"/>
      <c r="TAV88" s="289"/>
      <c r="TAW88" s="292"/>
      <c r="TAX88" s="289"/>
      <c r="TAY88" s="293"/>
      <c r="TAZ88" s="266"/>
      <c r="TBA88" s="290"/>
      <c r="TBB88" s="297"/>
      <c r="TBC88" s="260"/>
      <c r="TBD88" s="261"/>
      <c r="TBE88" s="262"/>
      <c r="TBF88" s="263"/>
      <c r="TBG88" s="289"/>
      <c r="TBH88" s="289"/>
      <c r="TBI88" s="289"/>
      <c r="TBJ88" s="292"/>
      <c r="TBK88" s="289"/>
      <c r="TBL88" s="293"/>
      <c r="TBM88" s="266"/>
      <c r="TBN88" s="290"/>
      <c r="TBO88" s="297"/>
      <c r="TBP88" s="260"/>
      <c r="TBQ88" s="261"/>
      <c r="TBR88" s="262"/>
      <c r="TBS88" s="263"/>
      <c r="TBT88" s="289"/>
      <c r="TBU88" s="289"/>
      <c r="TBV88" s="289"/>
      <c r="TBW88" s="292"/>
      <c r="TBX88" s="289"/>
      <c r="TBY88" s="293"/>
      <c r="TBZ88" s="266"/>
      <c r="TCA88" s="290"/>
      <c r="TCB88" s="297"/>
      <c r="TCC88" s="260"/>
      <c r="TCD88" s="261"/>
      <c r="TCE88" s="262"/>
      <c r="TCF88" s="263"/>
      <c r="TCG88" s="289"/>
      <c r="TCH88" s="289"/>
      <c r="TCI88" s="289"/>
      <c r="TCJ88" s="292"/>
      <c r="TCK88" s="289"/>
      <c r="TCL88" s="293"/>
      <c r="TCM88" s="266"/>
      <c r="TCN88" s="290"/>
      <c r="TCO88" s="297"/>
      <c r="TCP88" s="260"/>
      <c r="TCQ88" s="261"/>
      <c r="TCR88" s="262"/>
      <c r="TCS88" s="263"/>
      <c r="TCT88" s="289"/>
      <c r="TCU88" s="289"/>
      <c r="TCV88" s="289"/>
      <c r="TCW88" s="292"/>
      <c r="TCX88" s="289"/>
      <c r="TCY88" s="293"/>
      <c r="TCZ88" s="266"/>
      <c r="TDA88" s="290"/>
      <c r="TDB88" s="297"/>
      <c r="TDC88" s="260"/>
      <c r="TDD88" s="261"/>
      <c r="TDE88" s="262"/>
      <c r="TDF88" s="263"/>
      <c r="TDG88" s="289"/>
      <c r="TDH88" s="289"/>
      <c r="TDI88" s="289"/>
      <c r="TDJ88" s="292"/>
      <c r="TDK88" s="289"/>
      <c r="TDL88" s="293"/>
      <c r="TDM88" s="266"/>
      <c r="TDN88" s="290"/>
      <c r="TDO88" s="297"/>
      <c r="TDP88" s="260"/>
      <c r="TDQ88" s="261"/>
      <c r="TDR88" s="262"/>
      <c r="TDS88" s="263"/>
      <c r="TDT88" s="289"/>
      <c r="TDU88" s="289"/>
      <c r="TDV88" s="289"/>
      <c r="TDW88" s="292"/>
      <c r="TDX88" s="289"/>
      <c r="TDY88" s="293"/>
      <c r="TDZ88" s="266"/>
      <c r="TEA88" s="290"/>
      <c r="TEB88" s="297"/>
      <c r="TEC88" s="260"/>
      <c r="TED88" s="261"/>
      <c r="TEE88" s="262"/>
      <c r="TEF88" s="263"/>
      <c r="TEG88" s="289"/>
      <c r="TEH88" s="289"/>
      <c r="TEI88" s="289"/>
      <c r="TEJ88" s="292"/>
      <c r="TEK88" s="289"/>
      <c r="TEL88" s="293"/>
      <c r="TEM88" s="266"/>
      <c r="TEN88" s="290"/>
      <c r="TEO88" s="297"/>
      <c r="TEP88" s="260"/>
      <c r="TEQ88" s="261"/>
      <c r="TER88" s="262"/>
      <c r="TES88" s="263"/>
      <c r="TET88" s="289"/>
      <c r="TEU88" s="289"/>
      <c r="TEV88" s="289"/>
      <c r="TEW88" s="292"/>
      <c r="TEX88" s="289"/>
      <c r="TEY88" s="293"/>
      <c r="TEZ88" s="266"/>
      <c r="TFA88" s="290"/>
      <c r="TFB88" s="297"/>
      <c r="TFC88" s="260"/>
      <c r="TFD88" s="261"/>
      <c r="TFE88" s="262"/>
      <c r="TFF88" s="263"/>
      <c r="TFG88" s="289"/>
      <c r="TFH88" s="289"/>
      <c r="TFI88" s="289"/>
      <c r="TFJ88" s="292"/>
      <c r="TFK88" s="289"/>
      <c r="TFL88" s="293"/>
      <c r="TFM88" s="266"/>
      <c r="TFN88" s="290"/>
      <c r="TFO88" s="297"/>
      <c r="TFP88" s="260"/>
      <c r="TFQ88" s="261"/>
      <c r="TFR88" s="262"/>
      <c r="TFS88" s="263"/>
      <c r="TFT88" s="289"/>
      <c r="TFU88" s="289"/>
      <c r="TFV88" s="289"/>
      <c r="TFW88" s="292"/>
      <c r="TFX88" s="289"/>
      <c r="TFY88" s="293"/>
      <c r="TFZ88" s="266"/>
      <c r="TGA88" s="290"/>
      <c r="TGB88" s="297"/>
      <c r="TGC88" s="260"/>
      <c r="TGD88" s="261"/>
      <c r="TGE88" s="262"/>
      <c r="TGF88" s="263"/>
      <c r="TGG88" s="289"/>
      <c r="TGH88" s="289"/>
      <c r="TGI88" s="289"/>
      <c r="TGJ88" s="292"/>
      <c r="TGK88" s="289"/>
      <c r="TGL88" s="293"/>
      <c r="TGM88" s="266"/>
      <c r="TGN88" s="290"/>
      <c r="TGO88" s="297"/>
      <c r="TGP88" s="260"/>
      <c r="TGQ88" s="261"/>
      <c r="TGR88" s="262"/>
      <c r="TGS88" s="263"/>
      <c r="TGT88" s="289"/>
      <c r="TGU88" s="289"/>
      <c r="TGV88" s="289"/>
      <c r="TGW88" s="292"/>
      <c r="TGX88" s="289"/>
      <c r="TGY88" s="293"/>
      <c r="TGZ88" s="266"/>
      <c r="THA88" s="290"/>
      <c r="THB88" s="297"/>
      <c r="THC88" s="260"/>
      <c r="THD88" s="261"/>
      <c r="THE88" s="262"/>
      <c r="THF88" s="263"/>
      <c r="THG88" s="289"/>
      <c r="THH88" s="289"/>
      <c r="THI88" s="289"/>
      <c r="THJ88" s="292"/>
      <c r="THK88" s="289"/>
      <c r="THL88" s="293"/>
      <c r="THM88" s="266"/>
      <c r="THN88" s="290"/>
      <c r="THO88" s="297"/>
      <c r="THP88" s="260"/>
      <c r="THQ88" s="261"/>
      <c r="THR88" s="262"/>
      <c r="THS88" s="263"/>
      <c r="THT88" s="289"/>
      <c r="THU88" s="289"/>
      <c r="THV88" s="289"/>
      <c r="THW88" s="292"/>
      <c r="THX88" s="289"/>
      <c r="THY88" s="293"/>
      <c r="THZ88" s="266"/>
      <c r="TIA88" s="290"/>
      <c r="TIB88" s="297"/>
      <c r="TIC88" s="260"/>
      <c r="TID88" s="261"/>
      <c r="TIE88" s="262"/>
      <c r="TIF88" s="263"/>
      <c r="TIG88" s="289"/>
      <c r="TIH88" s="289"/>
      <c r="TII88" s="289"/>
      <c r="TIJ88" s="292"/>
      <c r="TIK88" s="289"/>
      <c r="TIL88" s="293"/>
      <c r="TIM88" s="266"/>
      <c r="TIN88" s="290"/>
      <c r="TIO88" s="297"/>
      <c r="TIP88" s="260"/>
      <c r="TIQ88" s="261"/>
      <c r="TIR88" s="262"/>
      <c r="TIS88" s="263"/>
      <c r="TIT88" s="289"/>
      <c r="TIU88" s="289"/>
      <c r="TIV88" s="289"/>
      <c r="TIW88" s="292"/>
      <c r="TIX88" s="289"/>
      <c r="TIY88" s="293"/>
      <c r="TIZ88" s="266"/>
      <c r="TJA88" s="290"/>
      <c r="TJB88" s="297"/>
      <c r="TJC88" s="260"/>
      <c r="TJD88" s="261"/>
      <c r="TJE88" s="262"/>
      <c r="TJF88" s="263"/>
      <c r="TJG88" s="289"/>
      <c r="TJH88" s="289"/>
      <c r="TJI88" s="289"/>
      <c r="TJJ88" s="292"/>
      <c r="TJK88" s="289"/>
      <c r="TJL88" s="293"/>
      <c r="TJM88" s="266"/>
      <c r="TJN88" s="290"/>
      <c r="TJO88" s="297"/>
      <c r="TJP88" s="260"/>
      <c r="TJQ88" s="261"/>
      <c r="TJR88" s="262"/>
      <c r="TJS88" s="263"/>
      <c r="TJT88" s="289"/>
      <c r="TJU88" s="289"/>
      <c r="TJV88" s="289"/>
      <c r="TJW88" s="292"/>
      <c r="TJX88" s="289"/>
      <c r="TJY88" s="293"/>
      <c r="TJZ88" s="266"/>
      <c r="TKA88" s="290"/>
      <c r="TKB88" s="297"/>
      <c r="TKC88" s="260"/>
      <c r="TKD88" s="261"/>
      <c r="TKE88" s="262"/>
      <c r="TKF88" s="263"/>
      <c r="TKG88" s="289"/>
      <c r="TKH88" s="289"/>
      <c r="TKI88" s="289"/>
      <c r="TKJ88" s="292"/>
      <c r="TKK88" s="289"/>
      <c r="TKL88" s="293"/>
      <c r="TKM88" s="266"/>
      <c r="TKN88" s="290"/>
      <c r="TKO88" s="297"/>
      <c r="TKP88" s="260"/>
      <c r="TKQ88" s="261"/>
      <c r="TKR88" s="262"/>
      <c r="TKS88" s="263"/>
      <c r="TKT88" s="289"/>
      <c r="TKU88" s="289"/>
      <c r="TKV88" s="289"/>
      <c r="TKW88" s="292"/>
      <c r="TKX88" s="289"/>
      <c r="TKY88" s="293"/>
      <c r="TKZ88" s="266"/>
      <c r="TLA88" s="290"/>
      <c r="TLB88" s="297"/>
      <c r="TLC88" s="260"/>
      <c r="TLD88" s="261"/>
      <c r="TLE88" s="262"/>
      <c r="TLF88" s="263"/>
      <c r="TLG88" s="289"/>
      <c r="TLH88" s="289"/>
      <c r="TLI88" s="289"/>
      <c r="TLJ88" s="292"/>
      <c r="TLK88" s="289"/>
      <c r="TLL88" s="293"/>
      <c r="TLM88" s="266"/>
      <c r="TLN88" s="290"/>
      <c r="TLO88" s="297"/>
      <c r="TLP88" s="260"/>
      <c r="TLQ88" s="261"/>
      <c r="TLR88" s="262"/>
      <c r="TLS88" s="263"/>
      <c r="TLT88" s="289"/>
      <c r="TLU88" s="289"/>
      <c r="TLV88" s="289"/>
      <c r="TLW88" s="292"/>
      <c r="TLX88" s="289"/>
      <c r="TLY88" s="293"/>
      <c r="TLZ88" s="266"/>
      <c r="TMA88" s="290"/>
      <c r="TMB88" s="297"/>
      <c r="TMC88" s="260"/>
      <c r="TMD88" s="261"/>
      <c r="TME88" s="262"/>
      <c r="TMF88" s="263"/>
      <c r="TMG88" s="289"/>
      <c r="TMH88" s="289"/>
      <c r="TMI88" s="289"/>
      <c r="TMJ88" s="292"/>
      <c r="TMK88" s="289"/>
      <c r="TML88" s="293"/>
      <c r="TMM88" s="266"/>
      <c r="TMN88" s="290"/>
      <c r="TMO88" s="297"/>
      <c r="TMP88" s="260"/>
      <c r="TMQ88" s="261"/>
      <c r="TMR88" s="262"/>
      <c r="TMS88" s="263"/>
      <c r="TMT88" s="289"/>
      <c r="TMU88" s="289"/>
      <c r="TMV88" s="289"/>
      <c r="TMW88" s="292"/>
      <c r="TMX88" s="289"/>
      <c r="TMY88" s="293"/>
      <c r="TMZ88" s="266"/>
      <c r="TNA88" s="290"/>
      <c r="TNB88" s="297"/>
      <c r="TNC88" s="260"/>
      <c r="TND88" s="261"/>
      <c r="TNE88" s="262"/>
      <c r="TNF88" s="263"/>
      <c r="TNG88" s="289"/>
      <c r="TNH88" s="289"/>
      <c r="TNI88" s="289"/>
      <c r="TNJ88" s="292"/>
      <c r="TNK88" s="289"/>
      <c r="TNL88" s="293"/>
      <c r="TNM88" s="266"/>
      <c r="TNN88" s="290"/>
      <c r="TNO88" s="297"/>
      <c r="TNP88" s="260"/>
      <c r="TNQ88" s="261"/>
      <c r="TNR88" s="262"/>
      <c r="TNS88" s="263"/>
      <c r="TNT88" s="289"/>
      <c r="TNU88" s="289"/>
      <c r="TNV88" s="289"/>
      <c r="TNW88" s="292"/>
      <c r="TNX88" s="289"/>
      <c r="TNY88" s="293"/>
      <c r="TNZ88" s="266"/>
      <c r="TOA88" s="290"/>
      <c r="TOB88" s="297"/>
      <c r="TOC88" s="260"/>
      <c r="TOD88" s="261"/>
      <c r="TOE88" s="262"/>
      <c r="TOF88" s="263"/>
      <c r="TOG88" s="289"/>
      <c r="TOH88" s="289"/>
      <c r="TOI88" s="289"/>
      <c r="TOJ88" s="292"/>
      <c r="TOK88" s="289"/>
      <c r="TOL88" s="293"/>
      <c r="TOM88" s="266"/>
      <c r="TON88" s="290"/>
      <c r="TOO88" s="297"/>
      <c r="TOP88" s="260"/>
      <c r="TOQ88" s="261"/>
      <c r="TOR88" s="262"/>
      <c r="TOS88" s="263"/>
      <c r="TOT88" s="289"/>
      <c r="TOU88" s="289"/>
      <c r="TOV88" s="289"/>
      <c r="TOW88" s="292"/>
      <c r="TOX88" s="289"/>
      <c r="TOY88" s="293"/>
      <c r="TOZ88" s="266"/>
      <c r="TPA88" s="290"/>
      <c r="TPB88" s="297"/>
      <c r="TPC88" s="260"/>
      <c r="TPD88" s="261"/>
      <c r="TPE88" s="262"/>
      <c r="TPF88" s="263"/>
      <c r="TPG88" s="289"/>
      <c r="TPH88" s="289"/>
      <c r="TPI88" s="289"/>
      <c r="TPJ88" s="292"/>
      <c r="TPK88" s="289"/>
      <c r="TPL88" s="293"/>
      <c r="TPM88" s="266"/>
      <c r="TPN88" s="290"/>
      <c r="TPO88" s="297"/>
      <c r="TPP88" s="260"/>
      <c r="TPQ88" s="261"/>
      <c r="TPR88" s="262"/>
      <c r="TPS88" s="263"/>
      <c r="TPT88" s="289"/>
      <c r="TPU88" s="289"/>
      <c r="TPV88" s="289"/>
      <c r="TPW88" s="292"/>
      <c r="TPX88" s="289"/>
      <c r="TPY88" s="293"/>
      <c r="TPZ88" s="266"/>
      <c r="TQA88" s="290"/>
      <c r="TQB88" s="297"/>
      <c r="TQC88" s="260"/>
      <c r="TQD88" s="261"/>
      <c r="TQE88" s="262"/>
      <c r="TQF88" s="263"/>
      <c r="TQG88" s="289"/>
      <c r="TQH88" s="289"/>
      <c r="TQI88" s="289"/>
      <c r="TQJ88" s="292"/>
      <c r="TQK88" s="289"/>
      <c r="TQL88" s="293"/>
      <c r="TQM88" s="266"/>
      <c r="TQN88" s="290"/>
      <c r="TQO88" s="297"/>
      <c r="TQP88" s="260"/>
      <c r="TQQ88" s="261"/>
      <c r="TQR88" s="262"/>
      <c r="TQS88" s="263"/>
      <c r="TQT88" s="289"/>
      <c r="TQU88" s="289"/>
      <c r="TQV88" s="289"/>
      <c r="TQW88" s="292"/>
      <c r="TQX88" s="289"/>
      <c r="TQY88" s="293"/>
      <c r="TQZ88" s="266"/>
      <c r="TRA88" s="290"/>
      <c r="TRB88" s="297"/>
      <c r="TRC88" s="260"/>
      <c r="TRD88" s="261"/>
      <c r="TRE88" s="262"/>
      <c r="TRF88" s="263"/>
      <c r="TRG88" s="289"/>
      <c r="TRH88" s="289"/>
      <c r="TRI88" s="289"/>
      <c r="TRJ88" s="292"/>
      <c r="TRK88" s="289"/>
      <c r="TRL88" s="293"/>
      <c r="TRM88" s="266"/>
      <c r="TRN88" s="290"/>
      <c r="TRO88" s="297"/>
      <c r="TRP88" s="260"/>
      <c r="TRQ88" s="261"/>
      <c r="TRR88" s="262"/>
      <c r="TRS88" s="263"/>
      <c r="TRT88" s="289"/>
      <c r="TRU88" s="289"/>
      <c r="TRV88" s="289"/>
      <c r="TRW88" s="292"/>
      <c r="TRX88" s="289"/>
      <c r="TRY88" s="293"/>
      <c r="TRZ88" s="266"/>
      <c r="TSA88" s="290"/>
      <c r="TSB88" s="297"/>
      <c r="TSC88" s="260"/>
      <c r="TSD88" s="261"/>
      <c r="TSE88" s="262"/>
      <c r="TSF88" s="263"/>
      <c r="TSG88" s="289"/>
      <c r="TSH88" s="289"/>
      <c r="TSI88" s="289"/>
      <c r="TSJ88" s="292"/>
      <c r="TSK88" s="289"/>
      <c r="TSL88" s="293"/>
      <c r="TSM88" s="266"/>
      <c r="TSN88" s="290"/>
      <c r="TSO88" s="297"/>
      <c r="TSP88" s="260"/>
      <c r="TSQ88" s="261"/>
      <c r="TSR88" s="262"/>
      <c r="TSS88" s="263"/>
      <c r="TST88" s="289"/>
      <c r="TSU88" s="289"/>
      <c r="TSV88" s="289"/>
      <c r="TSW88" s="292"/>
      <c r="TSX88" s="289"/>
      <c r="TSY88" s="293"/>
      <c r="TSZ88" s="266"/>
      <c r="TTA88" s="290"/>
      <c r="TTB88" s="297"/>
      <c r="TTC88" s="260"/>
      <c r="TTD88" s="261"/>
      <c r="TTE88" s="262"/>
      <c r="TTF88" s="263"/>
      <c r="TTG88" s="289"/>
      <c r="TTH88" s="289"/>
      <c r="TTI88" s="289"/>
      <c r="TTJ88" s="292"/>
      <c r="TTK88" s="289"/>
      <c r="TTL88" s="293"/>
      <c r="TTM88" s="266"/>
      <c r="TTN88" s="290"/>
      <c r="TTO88" s="297"/>
      <c r="TTP88" s="260"/>
      <c r="TTQ88" s="261"/>
      <c r="TTR88" s="262"/>
      <c r="TTS88" s="263"/>
      <c r="TTT88" s="289"/>
      <c r="TTU88" s="289"/>
      <c r="TTV88" s="289"/>
      <c r="TTW88" s="292"/>
      <c r="TTX88" s="289"/>
      <c r="TTY88" s="293"/>
      <c r="TTZ88" s="266"/>
      <c r="TUA88" s="290"/>
      <c r="TUB88" s="297"/>
      <c r="TUC88" s="260"/>
      <c r="TUD88" s="261"/>
      <c r="TUE88" s="262"/>
      <c r="TUF88" s="263"/>
      <c r="TUG88" s="289"/>
      <c r="TUH88" s="289"/>
      <c r="TUI88" s="289"/>
      <c r="TUJ88" s="292"/>
      <c r="TUK88" s="289"/>
      <c r="TUL88" s="293"/>
      <c r="TUM88" s="266"/>
      <c r="TUN88" s="290"/>
      <c r="TUO88" s="297"/>
      <c r="TUP88" s="260"/>
      <c r="TUQ88" s="261"/>
      <c r="TUR88" s="262"/>
      <c r="TUS88" s="263"/>
      <c r="TUT88" s="289"/>
      <c r="TUU88" s="289"/>
      <c r="TUV88" s="289"/>
      <c r="TUW88" s="292"/>
      <c r="TUX88" s="289"/>
      <c r="TUY88" s="293"/>
      <c r="TUZ88" s="266"/>
      <c r="TVA88" s="290"/>
      <c r="TVB88" s="297"/>
      <c r="TVC88" s="260"/>
      <c r="TVD88" s="261"/>
      <c r="TVE88" s="262"/>
      <c r="TVF88" s="263"/>
      <c r="TVG88" s="289"/>
      <c r="TVH88" s="289"/>
      <c r="TVI88" s="289"/>
      <c r="TVJ88" s="292"/>
      <c r="TVK88" s="289"/>
      <c r="TVL88" s="293"/>
      <c r="TVM88" s="266"/>
      <c r="TVN88" s="290"/>
      <c r="TVO88" s="297"/>
      <c r="TVP88" s="260"/>
      <c r="TVQ88" s="261"/>
      <c r="TVR88" s="262"/>
      <c r="TVS88" s="263"/>
      <c r="TVT88" s="289"/>
      <c r="TVU88" s="289"/>
      <c r="TVV88" s="289"/>
      <c r="TVW88" s="292"/>
      <c r="TVX88" s="289"/>
      <c r="TVY88" s="293"/>
      <c r="TVZ88" s="266"/>
      <c r="TWA88" s="290"/>
      <c r="TWB88" s="297"/>
      <c r="TWC88" s="260"/>
      <c r="TWD88" s="261"/>
      <c r="TWE88" s="262"/>
      <c r="TWF88" s="263"/>
      <c r="TWG88" s="289"/>
      <c r="TWH88" s="289"/>
      <c r="TWI88" s="289"/>
      <c r="TWJ88" s="292"/>
      <c r="TWK88" s="289"/>
      <c r="TWL88" s="293"/>
      <c r="TWM88" s="266"/>
      <c r="TWN88" s="290"/>
      <c r="TWO88" s="297"/>
      <c r="TWP88" s="260"/>
      <c r="TWQ88" s="261"/>
      <c r="TWR88" s="262"/>
      <c r="TWS88" s="263"/>
      <c r="TWT88" s="289"/>
      <c r="TWU88" s="289"/>
      <c r="TWV88" s="289"/>
      <c r="TWW88" s="292"/>
      <c r="TWX88" s="289"/>
      <c r="TWY88" s="293"/>
      <c r="TWZ88" s="266"/>
      <c r="TXA88" s="290"/>
      <c r="TXB88" s="297"/>
      <c r="TXC88" s="260"/>
      <c r="TXD88" s="261"/>
      <c r="TXE88" s="262"/>
      <c r="TXF88" s="263"/>
      <c r="TXG88" s="289"/>
      <c r="TXH88" s="289"/>
      <c r="TXI88" s="289"/>
      <c r="TXJ88" s="292"/>
      <c r="TXK88" s="289"/>
      <c r="TXL88" s="293"/>
      <c r="TXM88" s="266"/>
      <c r="TXN88" s="290"/>
      <c r="TXO88" s="297"/>
      <c r="TXP88" s="260"/>
      <c r="TXQ88" s="261"/>
      <c r="TXR88" s="262"/>
      <c r="TXS88" s="263"/>
      <c r="TXT88" s="289"/>
      <c r="TXU88" s="289"/>
      <c r="TXV88" s="289"/>
      <c r="TXW88" s="292"/>
      <c r="TXX88" s="289"/>
      <c r="TXY88" s="293"/>
      <c r="TXZ88" s="266"/>
      <c r="TYA88" s="290"/>
      <c r="TYB88" s="297"/>
      <c r="TYC88" s="260"/>
      <c r="TYD88" s="261"/>
      <c r="TYE88" s="262"/>
      <c r="TYF88" s="263"/>
      <c r="TYG88" s="289"/>
      <c r="TYH88" s="289"/>
      <c r="TYI88" s="289"/>
      <c r="TYJ88" s="292"/>
      <c r="TYK88" s="289"/>
      <c r="TYL88" s="293"/>
      <c r="TYM88" s="266"/>
      <c r="TYN88" s="290"/>
      <c r="TYO88" s="297"/>
      <c r="TYP88" s="260"/>
      <c r="TYQ88" s="261"/>
      <c r="TYR88" s="262"/>
      <c r="TYS88" s="263"/>
      <c r="TYT88" s="289"/>
      <c r="TYU88" s="289"/>
      <c r="TYV88" s="289"/>
      <c r="TYW88" s="292"/>
      <c r="TYX88" s="289"/>
      <c r="TYY88" s="293"/>
      <c r="TYZ88" s="266"/>
      <c r="TZA88" s="290"/>
      <c r="TZB88" s="297"/>
      <c r="TZC88" s="260"/>
      <c r="TZD88" s="261"/>
      <c r="TZE88" s="262"/>
      <c r="TZF88" s="263"/>
      <c r="TZG88" s="289"/>
      <c r="TZH88" s="289"/>
      <c r="TZI88" s="289"/>
      <c r="TZJ88" s="292"/>
      <c r="TZK88" s="289"/>
      <c r="TZL88" s="293"/>
      <c r="TZM88" s="266"/>
      <c r="TZN88" s="290"/>
      <c r="TZO88" s="297"/>
      <c r="TZP88" s="260"/>
      <c r="TZQ88" s="261"/>
      <c r="TZR88" s="262"/>
      <c r="TZS88" s="263"/>
      <c r="TZT88" s="289"/>
      <c r="TZU88" s="289"/>
      <c r="TZV88" s="289"/>
      <c r="TZW88" s="292"/>
      <c r="TZX88" s="289"/>
      <c r="TZY88" s="293"/>
      <c r="TZZ88" s="266"/>
      <c r="UAA88" s="290"/>
      <c r="UAB88" s="297"/>
      <c r="UAC88" s="260"/>
      <c r="UAD88" s="261"/>
      <c r="UAE88" s="262"/>
      <c r="UAF88" s="263"/>
      <c r="UAG88" s="289"/>
      <c r="UAH88" s="289"/>
      <c r="UAI88" s="289"/>
      <c r="UAJ88" s="292"/>
      <c r="UAK88" s="289"/>
      <c r="UAL88" s="293"/>
      <c r="UAM88" s="266"/>
      <c r="UAN88" s="290"/>
      <c r="UAO88" s="297"/>
      <c r="UAP88" s="260"/>
      <c r="UAQ88" s="261"/>
      <c r="UAR88" s="262"/>
      <c r="UAS88" s="263"/>
      <c r="UAT88" s="289"/>
      <c r="UAU88" s="289"/>
      <c r="UAV88" s="289"/>
      <c r="UAW88" s="292"/>
      <c r="UAX88" s="289"/>
      <c r="UAY88" s="293"/>
      <c r="UAZ88" s="266"/>
      <c r="UBA88" s="290"/>
      <c r="UBB88" s="297"/>
      <c r="UBC88" s="260"/>
      <c r="UBD88" s="261"/>
      <c r="UBE88" s="262"/>
      <c r="UBF88" s="263"/>
      <c r="UBG88" s="289"/>
      <c r="UBH88" s="289"/>
      <c r="UBI88" s="289"/>
      <c r="UBJ88" s="292"/>
      <c r="UBK88" s="289"/>
      <c r="UBL88" s="293"/>
      <c r="UBM88" s="266"/>
      <c r="UBN88" s="290"/>
      <c r="UBO88" s="297"/>
      <c r="UBP88" s="260"/>
      <c r="UBQ88" s="261"/>
      <c r="UBR88" s="262"/>
      <c r="UBS88" s="263"/>
      <c r="UBT88" s="289"/>
      <c r="UBU88" s="289"/>
      <c r="UBV88" s="289"/>
      <c r="UBW88" s="292"/>
      <c r="UBX88" s="289"/>
      <c r="UBY88" s="293"/>
      <c r="UBZ88" s="266"/>
      <c r="UCA88" s="290"/>
      <c r="UCB88" s="297"/>
      <c r="UCC88" s="260"/>
      <c r="UCD88" s="261"/>
      <c r="UCE88" s="262"/>
      <c r="UCF88" s="263"/>
      <c r="UCG88" s="289"/>
      <c r="UCH88" s="289"/>
      <c r="UCI88" s="289"/>
      <c r="UCJ88" s="292"/>
      <c r="UCK88" s="289"/>
      <c r="UCL88" s="293"/>
      <c r="UCM88" s="266"/>
      <c r="UCN88" s="290"/>
      <c r="UCO88" s="297"/>
      <c r="UCP88" s="260"/>
      <c r="UCQ88" s="261"/>
      <c r="UCR88" s="262"/>
      <c r="UCS88" s="263"/>
      <c r="UCT88" s="289"/>
      <c r="UCU88" s="289"/>
      <c r="UCV88" s="289"/>
      <c r="UCW88" s="292"/>
      <c r="UCX88" s="289"/>
      <c r="UCY88" s="293"/>
      <c r="UCZ88" s="266"/>
      <c r="UDA88" s="290"/>
      <c r="UDB88" s="297"/>
      <c r="UDC88" s="260"/>
      <c r="UDD88" s="261"/>
      <c r="UDE88" s="262"/>
      <c r="UDF88" s="263"/>
      <c r="UDG88" s="289"/>
      <c r="UDH88" s="289"/>
      <c r="UDI88" s="289"/>
      <c r="UDJ88" s="292"/>
      <c r="UDK88" s="289"/>
      <c r="UDL88" s="293"/>
      <c r="UDM88" s="266"/>
      <c r="UDN88" s="290"/>
      <c r="UDO88" s="297"/>
      <c r="UDP88" s="260"/>
      <c r="UDQ88" s="261"/>
      <c r="UDR88" s="262"/>
      <c r="UDS88" s="263"/>
      <c r="UDT88" s="289"/>
      <c r="UDU88" s="289"/>
      <c r="UDV88" s="289"/>
      <c r="UDW88" s="292"/>
      <c r="UDX88" s="289"/>
      <c r="UDY88" s="293"/>
      <c r="UDZ88" s="266"/>
      <c r="UEA88" s="290"/>
      <c r="UEB88" s="297"/>
      <c r="UEC88" s="260"/>
      <c r="UED88" s="261"/>
      <c r="UEE88" s="262"/>
      <c r="UEF88" s="263"/>
      <c r="UEG88" s="289"/>
      <c r="UEH88" s="289"/>
      <c r="UEI88" s="289"/>
      <c r="UEJ88" s="292"/>
      <c r="UEK88" s="289"/>
      <c r="UEL88" s="293"/>
      <c r="UEM88" s="266"/>
      <c r="UEN88" s="290"/>
      <c r="UEO88" s="297"/>
      <c r="UEP88" s="260"/>
      <c r="UEQ88" s="261"/>
      <c r="UER88" s="262"/>
      <c r="UES88" s="263"/>
      <c r="UET88" s="289"/>
      <c r="UEU88" s="289"/>
      <c r="UEV88" s="289"/>
      <c r="UEW88" s="292"/>
      <c r="UEX88" s="289"/>
      <c r="UEY88" s="293"/>
      <c r="UEZ88" s="266"/>
      <c r="UFA88" s="290"/>
      <c r="UFB88" s="297"/>
      <c r="UFC88" s="260"/>
      <c r="UFD88" s="261"/>
      <c r="UFE88" s="262"/>
      <c r="UFF88" s="263"/>
      <c r="UFG88" s="289"/>
      <c r="UFH88" s="289"/>
      <c r="UFI88" s="289"/>
      <c r="UFJ88" s="292"/>
      <c r="UFK88" s="289"/>
      <c r="UFL88" s="293"/>
      <c r="UFM88" s="266"/>
      <c r="UFN88" s="290"/>
      <c r="UFO88" s="297"/>
      <c r="UFP88" s="260"/>
      <c r="UFQ88" s="261"/>
      <c r="UFR88" s="262"/>
      <c r="UFS88" s="263"/>
      <c r="UFT88" s="289"/>
      <c r="UFU88" s="289"/>
      <c r="UFV88" s="289"/>
      <c r="UFW88" s="292"/>
      <c r="UFX88" s="289"/>
      <c r="UFY88" s="293"/>
      <c r="UFZ88" s="266"/>
      <c r="UGA88" s="290"/>
      <c r="UGB88" s="297"/>
      <c r="UGC88" s="260"/>
      <c r="UGD88" s="261"/>
      <c r="UGE88" s="262"/>
      <c r="UGF88" s="263"/>
      <c r="UGG88" s="289"/>
      <c r="UGH88" s="289"/>
      <c r="UGI88" s="289"/>
      <c r="UGJ88" s="292"/>
      <c r="UGK88" s="289"/>
      <c r="UGL88" s="293"/>
      <c r="UGM88" s="266"/>
      <c r="UGN88" s="290"/>
      <c r="UGO88" s="297"/>
      <c r="UGP88" s="260"/>
      <c r="UGQ88" s="261"/>
      <c r="UGR88" s="262"/>
      <c r="UGS88" s="263"/>
      <c r="UGT88" s="289"/>
      <c r="UGU88" s="289"/>
      <c r="UGV88" s="289"/>
      <c r="UGW88" s="292"/>
      <c r="UGX88" s="289"/>
      <c r="UGY88" s="293"/>
      <c r="UGZ88" s="266"/>
      <c r="UHA88" s="290"/>
      <c r="UHB88" s="297"/>
      <c r="UHC88" s="260"/>
      <c r="UHD88" s="261"/>
      <c r="UHE88" s="262"/>
      <c r="UHF88" s="263"/>
      <c r="UHG88" s="289"/>
      <c r="UHH88" s="289"/>
      <c r="UHI88" s="289"/>
      <c r="UHJ88" s="292"/>
      <c r="UHK88" s="289"/>
      <c r="UHL88" s="293"/>
      <c r="UHM88" s="266"/>
      <c r="UHN88" s="290"/>
      <c r="UHO88" s="297"/>
      <c r="UHP88" s="260"/>
      <c r="UHQ88" s="261"/>
      <c r="UHR88" s="262"/>
      <c r="UHS88" s="263"/>
      <c r="UHT88" s="289"/>
      <c r="UHU88" s="289"/>
      <c r="UHV88" s="289"/>
      <c r="UHW88" s="292"/>
      <c r="UHX88" s="289"/>
      <c r="UHY88" s="293"/>
      <c r="UHZ88" s="266"/>
      <c r="UIA88" s="290"/>
      <c r="UIB88" s="297"/>
      <c r="UIC88" s="260"/>
      <c r="UID88" s="261"/>
      <c r="UIE88" s="262"/>
      <c r="UIF88" s="263"/>
      <c r="UIG88" s="289"/>
      <c r="UIH88" s="289"/>
      <c r="UII88" s="289"/>
      <c r="UIJ88" s="292"/>
      <c r="UIK88" s="289"/>
      <c r="UIL88" s="293"/>
      <c r="UIM88" s="266"/>
      <c r="UIN88" s="290"/>
      <c r="UIO88" s="297"/>
      <c r="UIP88" s="260"/>
      <c r="UIQ88" s="261"/>
      <c r="UIR88" s="262"/>
      <c r="UIS88" s="263"/>
      <c r="UIT88" s="289"/>
      <c r="UIU88" s="289"/>
      <c r="UIV88" s="289"/>
      <c r="UIW88" s="292"/>
      <c r="UIX88" s="289"/>
      <c r="UIY88" s="293"/>
      <c r="UIZ88" s="266"/>
      <c r="UJA88" s="290"/>
      <c r="UJB88" s="297"/>
      <c r="UJC88" s="260"/>
      <c r="UJD88" s="261"/>
      <c r="UJE88" s="262"/>
      <c r="UJF88" s="263"/>
      <c r="UJG88" s="289"/>
      <c r="UJH88" s="289"/>
      <c r="UJI88" s="289"/>
      <c r="UJJ88" s="292"/>
      <c r="UJK88" s="289"/>
      <c r="UJL88" s="293"/>
      <c r="UJM88" s="266"/>
      <c r="UJN88" s="290"/>
      <c r="UJO88" s="297"/>
      <c r="UJP88" s="260"/>
      <c r="UJQ88" s="261"/>
      <c r="UJR88" s="262"/>
      <c r="UJS88" s="263"/>
      <c r="UJT88" s="289"/>
      <c r="UJU88" s="289"/>
      <c r="UJV88" s="289"/>
      <c r="UJW88" s="292"/>
      <c r="UJX88" s="289"/>
      <c r="UJY88" s="293"/>
      <c r="UJZ88" s="266"/>
      <c r="UKA88" s="290"/>
      <c r="UKB88" s="297"/>
      <c r="UKC88" s="260"/>
      <c r="UKD88" s="261"/>
      <c r="UKE88" s="262"/>
      <c r="UKF88" s="263"/>
      <c r="UKG88" s="289"/>
      <c r="UKH88" s="289"/>
      <c r="UKI88" s="289"/>
      <c r="UKJ88" s="292"/>
      <c r="UKK88" s="289"/>
      <c r="UKL88" s="293"/>
      <c r="UKM88" s="266"/>
      <c r="UKN88" s="290"/>
      <c r="UKO88" s="297"/>
      <c r="UKP88" s="260"/>
      <c r="UKQ88" s="261"/>
      <c r="UKR88" s="262"/>
      <c r="UKS88" s="263"/>
      <c r="UKT88" s="289"/>
      <c r="UKU88" s="289"/>
      <c r="UKV88" s="289"/>
      <c r="UKW88" s="292"/>
      <c r="UKX88" s="289"/>
      <c r="UKY88" s="293"/>
      <c r="UKZ88" s="266"/>
      <c r="ULA88" s="290"/>
      <c r="ULB88" s="297"/>
      <c r="ULC88" s="260"/>
      <c r="ULD88" s="261"/>
      <c r="ULE88" s="262"/>
      <c r="ULF88" s="263"/>
      <c r="ULG88" s="289"/>
      <c r="ULH88" s="289"/>
      <c r="ULI88" s="289"/>
      <c r="ULJ88" s="292"/>
      <c r="ULK88" s="289"/>
      <c r="ULL88" s="293"/>
      <c r="ULM88" s="266"/>
      <c r="ULN88" s="290"/>
      <c r="ULO88" s="297"/>
      <c r="ULP88" s="260"/>
      <c r="ULQ88" s="261"/>
      <c r="ULR88" s="262"/>
      <c r="ULS88" s="263"/>
      <c r="ULT88" s="289"/>
      <c r="ULU88" s="289"/>
      <c r="ULV88" s="289"/>
      <c r="ULW88" s="292"/>
      <c r="ULX88" s="289"/>
      <c r="ULY88" s="293"/>
      <c r="ULZ88" s="266"/>
      <c r="UMA88" s="290"/>
      <c r="UMB88" s="297"/>
      <c r="UMC88" s="260"/>
      <c r="UMD88" s="261"/>
      <c r="UME88" s="262"/>
      <c r="UMF88" s="263"/>
      <c r="UMG88" s="289"/>
      <c r="UMH88" s="289"/>
      <c r="UMI88" s="289"/>
      <c r="UMJ88" s="292"/>
      <c r="UMK88" s="289"/>
      <c r="UML88" s="293"/>
      <c r="UMM88" s="266"/>
      <c r="UMN88" s="290"/>
      <c r="UMO88" s="297"/>
      <c r="UMP88" s="260"/>
      <c r="UMQ88" s="261"/>
      <c r="UMR88" s="262"/>
      <c r="UMS88" s="263"/>
      <c r="UMT88" s="289"/>
      <c r="UMU88" s="289"/>
      <c r="UMV88" s="289"/>
      <c r="UMW88" s="292"/>
      <c r="UMX88" s="289"/>
      <c r="UMY88" s="293"/>
      <c r="UMZ88" s="266"/>
      <c r="UNA88" s="290"/>
      <c r="UNB88" s="297"/>
      <c r="UNC88" s="260"/>
      <c r="UND88" s="261"/>
      <c r="UNE88" s="262"/>
      <c r="UNF88" s="263"/>
      <c r="UNG88" s="289"/>
      <c r="UNH88" s="289"/>
      <c r="UNI88" s="289"/>
      <c r="UNJ88" s="292"/>
      <c r="UNK88" s="289"/>
      <c r="UNL88" s="293"/>
      <c r="UNM88" s="266"/>
      <c r="UNN88" s="290"/>
      <c r="UNO88" s="297"/>
      <c r="UNP88" s="260"/>
      <c r="UNQ88" s="261"/>
      <c r="UNR88" s="262"/>
      <c r="UNS88" s="263"/>
      <c r="UNT88" s="289"/>
      <c r="UNU88" s="289"/>
      <c r="UNV88" s="289"/>
      <c r="UNW88" s="292"/>
      <c r="UNX88" s="289"/>
      <c r="UNY88" s="293"/>
      <c r="UNZ88" s="266"/>
      <c r="UOA88" s="290"/>
      <c r="UOB88" s="297"/>
      <c r="UOC88" s="260"/>
      <c r="UOD88" s="261"/>
      <c r="UOE88" s="262"/>
      <c r="UOF88" s="263"/>
      <c r="UOG88" s="289"/>
      <c r="UOH88" s="289"/>
      <c r="UOI88" s="289"/>
      <c r="UOJ88" s="292"/>
      <c r="UOK88" s="289"/>
      <c r="UOL88" s="293"/>
      <c r="UOM88" s="266"/>
      <c r="UON88" s="290"/>
      <c r="UOO88" s="297"/>
      <c r="UOP88" s="260"/>
      <c r="UOQ88" s="261"/>
      <c r="UOR88" s="262"/>
      <c r="UOS88" s="263"/>
      <c r="UOT88" s="289"/>
      <c r="UOU88" s="289"/>
      <c r="UOV88" s="289"/>
      <c r="UOW88" s="292"/>
      <c r="UOX88" s="289"/>
      <c r="UOY88" s="293"/>
      <c r="UOZ88" s="266"/>
      <c r="UPA88" s="290"/>
      <c r="UPB88" s="297"/>
      <c r="UPC88" s="260"/>
      <c r="UPD88" s="261"/>
      <c r="UPE88" s="262"/>
      <c r="UPF88" s="263"/>
      <c r="UPG88" s="289"/>
      <c r="UPH88" s="289"/>
      <c r="UPI88" s="289"/>
      <c r="UPJ88" s="292"/>
      <c r="UPK88" s="289"/>
      <c r="UPL88" s="293"/>
      <c r="UPM88" s="266"/>
      <c r="UPN88" s="290"/>
      <c r="UPO88" s="297"/>
      <c r="UPP88" s="260"/>
      <c r="UPQ88" s="261"/>
      <c r="UPR88" s="262"/>
      <c r="UPS88" s="263"/>
      <c r="UPT88" s="289"/>
      <c r="UPU88" s="289"/>
      <c r="UPV88" s="289"/>
      <c r="UPW88" s="292"/>
      <c r="UPX88" s="289"/>
      <c r="UPY88" s="293"/>
      <c r="UPZ88" s="266"/>
      <c r="UQA88" s="290"/>
      <c r="UQB88" s="297"/>
      <c r="UQC88" s="260"/>
      <c r="UQD88" s="261"/>
      <c r="UQE88" s="262"/>
      <c r="UQF88" s="263"/>
      <c r="UQG88" s="289"/>
      <c r="UQH88" s="289"/>
      <c r="UQI88" s="289"/>
      <c r="UQJ88" s="292"/>
      <c r="UQK88" s="289"/>
      <c r="UQL88" s="293"/>
      <c r="UQM88" s="266"/>
      <c r="UQN88" s="290"/>
      <c r="UQO88" s="297"/>
      <c r="UQP88" s="260"/>
      <c r="UQQ88" s="261"/>
      <c r="UQR88" s="262"/>
      <c r="UQS88" s="263"/>
      <c r="UQT88" s="289"/>
      <c r="UQU88" s="289"/>
      <c r="UQV88" s="289"/>
      <c r="UQW88" s="292"/>
      <c r="UQX88" s="289"/>
      <c r="UQY88" s="293"/>
      <c r="UQZ88" s="266"/>
      <c r="URA88" s="290"/>
      <c r="URB88" s="297"/>
      <c r="URC88" s="260"/>
      <c r="URD88" s="261"/>
      <c r="URE88" s="262"/>
      <c r="URF88" s="263"/>
      <c r="URG88" s="289"/>
      <c r="URH88" s="289"/>
      <c r="URI88" s="289"/>
      <c r="URJ88" s="292"/>
      <c r="URK88" s="289"/>
      <c r="URL88" s="293"/>
      <c r="URM88" s="266"/>
      <c r="URN88" s="290"/>
      <c r="URO88" s="297"/>
      <c r="URP88" s="260"/>
      <c r="URQ88" s="261"/>
      <c r="URR88" s="262"/>
      <c r="URS88" s="263"/>
      <c r="URT88" s="289"/>
      <c r="URU88" s="289"/>
      <c r="URV88" s="289"/>
      <c r="URW88" s="292"/>
      <c r="URX88" s="289"/>
      <c r="URY88" s="293"/>
      <c r="URZ88" s="266"/>
      <c r="USA88" s="290"/>
      <c r="USB88" s="297"/>
      <c r="USC88" s="260"/>
      <c r="USD88" s="261"/>
      <c r="USE88" s="262"/>
      <c r="USF88" s="263"/>
      <c r="USG88" s="289"/>
      <c r="USH88" s="289"/>
      <c r="USI88" s="289"/>
      <c r="USJ88" s="292"/>
      <c r="USK88" s="289"/>
      <c r="USL88" s="293"/>
      <c r="USM88" s="266"/>
      <c r="USN88" s="290"/>
      <c r="USO88" s="297"/>
      <c r="USP88" s="260"/>
      <c r="USQ88" s="261"/>
      <c r="USR88" s="262"/>
      <c r="USS88" s="263"/>
      <c r="UST88" s="289"/>
      <c r="USU88" s="289"/>
      <c r="USV88" s="289"/>
      <c r="USW88" s="292"/>
      <c r="USX88" s="289"/>
      <c r="USY88" s="293"/>
      <c r="USZ88" s="266"/>
      <c r="UTA88" s="290"/>
      <c r="UTB88" s="297"/>
      <c r="UTC88" s="260"/>
      <c r="UTD88" s="261"/>
      <c r="UTE88" s="262"/>
      <c r="UTF88" s="263"/>
      <c r="UTG88" s="289"/>
      <c r="UTH88" s="289"/>
      <c r="UTI88" s="289"/>
      <c r="UTJ88" s="292"/>
      <c r="UTK88" s="289"/>
      <c r="UTL88" s="293"/>
      <c r="UTM88" s="266"/>
      <c r="UTN88" s="290"/>
      <c r="UTO88" s="297"/>
      <c r="UTP88" s="260"/>
      <c r="UTQ88" s="261"/>
      <c r="UTR88" s="262"/>
      <c r="UTS88" s="263"/>
      <c r="UTT88" s="289"/>
      <c r="UTU88" s="289"/>
      <c r="UTV88" s="289"/>
      <c r="UTW88" s="292"/>
      <c r="UTX88" s="289"/>
      <c r="UTY88" s="293"/>
      <c r="UTZ88" s="266"/>
      <c r="UUA88" s="290"/>
      <c r="UUB88" s="297"/>
      <c r="UUC88" s="260"/>
      <c r="UUD88" s="261"/>
      <c r="UUE88" s="262"/>
      <c r="UUF88" s="263"/>
      <c r="UUG88" s="289"/>
      <c r="UUH88" s="289"/>
      <c r="UUI88" s="289"/>
      <c r="UUJ88" s="292"/>
      <c r="UUK88" s="289"/>
      <c r="UUL88" s="293"/>
      <c r="UUM88" s="266"/>
      <c r="UUN88" s="290"/>
      <c r="UUO88" s="297"/>
      <c r="UUP88" s="260"/>
      <c r="UUQ88" s="261"/>
      <c r="UUR88" s="262"/>
      <c r="UUS88" s="263"/>
      <c r="UUT88" s="289"/>
      <c r="UUU88" s="289"/>
      <c r="UUV88" s="289"/>
      <c r="UUW88" s="292"/>
      <c r="UUX88" s="289"/>
      <c r="UUY88" s="293"/>
      <c r="UUZ88" s="266"/>
      <c r="UVA88" s="290"/>
      <c r="UVB88" s="297"/>
      <c r="UVC88" s="260"/>
      <c r="UVD88" s="261"/>
      <c r="UVE88" s="262"/>
      <c r="UVF88" s="263"/>
      <c r="UVG88" s="289"/>
      <c r="UVH88" s="289"/>
      <c r="UVI88" s="289"/>
      <c r="UVJ88" s="292"/>
      <c r="UVK88" s="289"/>
      <c r="UVL88" s="293"/>
      <c r="UVM88" s="266"/>
      <c r="UVN88" s="290"/>
      <c r="UVO88" s="297"/>
      <c r="UVP88" s="260"/>
      <c r="UVQ88" s="261"/>
      <c r="UVR88" s="262"/>
      <c r="UVS88" s="263"/>
      <c r="UVT88" s="289"/>
      <c r="UVU88" s="289"/>
      <c r="UVV88" s="289"/>
      <c r="UVW88" s="292"/>
      <c r="UVX88" s="289"/>
      <c r="UVY88" s="293"/>
      <c r="UVZ88" s="266"/>
      <c r="UWA88" s="290"/>
      <c r="UWB88" s="297"/>
      <c r="UWC88" s="260"/>
      <c r="UWD88" s="261"/>
      <c r="UWE88" s="262"/>
      <c r="UWF88" s="263"/>
      <c r="UWG88" s="289"/>
      <c r="UWH88" s="289"/>
      <c r="UWI88" s="289"/>
      <c r="UWJ88" s="292"/>
      <c r="UWK88" s="289"/>
      <c r="UWL88" s="293"/>
      <c r="UWM88" s="266"/>
      <c r="UWN88" s="290"/>
      <c r="UWO88" s="297"/>
      <c r="UWP88" s="260"/>
      <c r="UWQ88" s="261"/>
      <c r="UWR88" s="262"/>
      <c r="UWS88" s="263"/>
      <c r="UWT88" s="289"/>
      <c r="UWU88" s="289"/>
      <c r="UWV88" s="289"/>
      <c r="UWW88" s="292"/>
      <c r="UWX88" s="289"/>
      <c r="UWY88" s="293"/>
      <c r="UWZ88" s="266"/>
      <c r="UXA88" s="290"/>
      <c r="UXB88" s="297"/>
      <c r="UXC88" s="260"/>
      <c r="UXD88" s="261"/>
      <c r="UXE88" s="262"/>
      <c r="UXF88" s="263"/>
      <c r="UXG88" s="289"/>
      <c r="UXH88" s="289"/>
      <c r="UXI88" s="289"/>
      <c r="UXJ88" s="292"/>
      <c r="UXK88" s="289"/>
      <c r="UXL88" s="293"/>
      <c r="UXM88" s="266"/>
      <c r="UXN88" s="290"/>
      <c r="UXO88" s="297"/>
      <c r="UXP88" s="260"/>
      <c r="UXQ88" s="261"/>
      <c r="UXR88" s="262"/>
      <c r="UXS88" s="263"/>
      <c r="UXT88" s="289"/>
      <c r="UXU88" s="289"/>
      <c r="UXV88" s="289"/>
      <c r="UXW88" s="292"/>
      <c r="UXX88" s="289"/>
      <c r="UXY88" s="293"/>
      <c r="UXZ88" s="266"/>
      <c r="UYA88" s="290"/>
      <c r="UYB88" s="297"/>
      <c r="UYC88" s="260"/>
      <c r="UYD88" s="261"/>
      <c r="UYE88" s="262"/>
      <c r="UYF88" s="263"/>
      <c r="UYG88" s="289"/>
      <c r="UYH88" s="289"/>
      <c r="UYI88" s="289"/>
      <c r="UYJ88" s="292"/>
      <c r="UYK88" s="289"/>
      <c r="UYL88" s="293"/>
      <c r="UYM88" s="266"/>
      <c r="UYN88" s="290"/>
      <c r="UYO88" s="297"/>
      <c r="UYP88" s="260"/>
      <c r="UYQ88" s="261"/>
      <c r="UYR88" s="262"/>
      <c r="UYS88" s="263"/>
      <c r="UYT88" s="289"/>
      <c r="UYU88" s="289"/>
      <c r="UYV88" s="289"/>
      <c r="UYW88" s="292"/>
      <c r="UYX88" s="289"/>
      <c r="UYY88" s="293"/>
      <c r="UYZ88" s="266"/>
      <c r="UZA88" s="290"/>
      <c r="UZB88" s="297"/>
      <c r="UZC88" s="260"/>
      <c r="UZD88" s="261"/>
      <c r="UZE88" s="262"/>
      <c r="UZF88" s="263"/>
      <c r="UZG88" s="289"/>
      <c r="UZH88" s="289"/>
      <c r="UZI88" s="289"/>
      <c r="UZJ88" s="292"/>
      <c r="UZK88" s="289"/>
      <c r="UZL88" s="293"/>
      <c r="UZM88" s="266"/>
      <c r="UZN88" s="290"/>
      <c r="UZO88" s="297"/>
      <c r="UZP88" s="260"/>
      <c r="UZQ88" s="261"/>
      <c r="UZR88" s="262"/>
      <c r="UZS88" s="263"/>
      <c r="UZT88" s="289"/>
      <c r="UZU88" s="289"/>
      <c r="UZV88" s="289"/>
      <c r="UZW88" s="292"/>
      <c r="UZX88" s="289"/>
      <c r="UZY88" s="293"/>
      <c r="UZZ88" s="266"/>
      <c r="VAA88" s="290"/>
      <c r="VAB88" s="297"/>
      <c r="VAC88" s="260"/>
      <c r="VAD88" s="261"/>
      <c r="VAE88" s="262"/>
      <c r="VAF88" s="263"/>
      <c r="VAG88" s="289"/>
      <c r="VAH88" s="289"/>
      <c r="VAI88" s="289"/>
      <c r="VAJ88" s="292"/>
      <c r="VAK88" s="289"/>
      <c r="VAL88" s="293"/>
      <c r="VAM88" s="266"/>
      <c r="VAN88" s="290"/>
      <c r="VAO88" s="297"/>
      <c r="VAP88" s="260"/>
      <c r="VAQ88" s="261"/>
      <c r="VAR88" s="262"/>
      <c r="VAS88" s="263"/>
      <c r="VAT88" s="289"/>
      <c r="VAU88" s="289"/>
      <c r="VAV88" s="289"/>
      <c r="VAW88" s="292"/>
      <c r="VAX88" s="289"/>
      <c r="VAY88" s="293"/>
      <c r="VAZ88" s="266"/>
      <c r="VBA88" s="290"/>
      <c r="VBB88" s="297"/>
      <c r="VBC88" s="260"/>
      <c r="VBD88" s="261"/>
      <c r="VBE88" s="262"/>
      <c r="VBF88" s="263"/>
      <c r="VBG88" s="289"/>
      <c r="VBH88" s="289"/>
      <c r="VBI88" s="289"/>
      <c r="VBJ88" s="292"/>
      <c r="VBK88" s="289"/>
      <c r="VBL88" s="293"/>
      <c r="VBM88" s="266"/>
      <c r="VBN88" s="290"/>
      <c r="VBO88" s="297"/>
      <c r="VBP88" s="260"/>
      <c r="VBQ88" s="261"/>
      <c r="VBR88" s="262"/>
      <c r="VBS88" s="263"/>
      <c r="VBT88" s="289"/>
      <c r="VBU88" s="289"/>
      <c r="VBV88" s="289"/>
      <c r="VBW88" s="292"/>
      <c r="VBX88" s="289"/>
      <c r="VBY88" s="293"/>
      <c r="VBZ88" s="266"/>
      <c r="VCA88" s="290"/>
      <c r="VCB88" s="297"/>
      <c r="VCC88" s="260"/>
      <c r="VCD88" s="261"/>
      <c r="VCE88" s="262"/>
      <c r="VCF88" s="263"/>
      <c r="VCG88" s="289"/>
      <c r="VCH88" s="289"/>
      <c r="VCI88" s="289"/>
      <c r="VCJ88" s="292"/>
      <c r="VCK88" s="289"/>
      <c r="VCL88" s="293"/>
      <c r="VCM88" s="266"/>
      <c r="VCN88" s="290"/>
      <c r="VCO88" s="297"/>
      <c r="VCP88" s="260"/>
      <c r="VCQ88" s="261"/>
      <c r="VCR88" s="262"/>
      <c r="VCS88" s="263"/>
      <c r="VCT88" s="289"/>
      <c r="VCU88" s="289"/>
      <c r="VCV88" s="289"/>
      <c r="VCW88" s="292"/>
      <c r="VCX88" s="289"/>
      <c r="VCY88" s="293"/>
      <c r="VCZ88" s="266"/>
      <c r="VDA88" s="290"/>
      <c r="VDB88" s="297"/>
      <c r="VDC88" s="260"/>
      <c r="VDD88" s="261"/>
      <c r="VDE88" s="262"/>
      <c r="VDF88" s="263"/>
      <c r="VDG88" s="289"/>
      <c r="VDH88" s="289"/>
      <c r="VDI88" s="289"/>
      <c r="VDJ88" s="292"/>
      <c r="VDK88" s="289"/>
      <c r="VDL88" s="293"/>
      <c r="VDM88" s="266"/>
      <c r="VDN88" s="290"/>
      <c r="VDO88" s="297"/>
      <c r="VDP88" s="260"/>
      <c r="VDQ88" s="261"/>
      <c r="VDR88" s="262"/>
      <c r="VDS88" s="263"/>
      <c r="VDT88" s="289"/>
      <c r="VDU88" s="289"/>
      <c r="VDV88" s="289"/>
      <c r="VDW88" s="292"/>
      <c r="VDX88" s="289"/>
      <c r="VDY88" s="293"/>
      <c r="VDZ88" s="266"/>
      <c r="VEA88" s="290"/>
      <c r="VEB88" s="297"/>
      <c r="VEC88" s="260"/>
      <c r="VED88" s="261"/>
      <c r="VEE88" s="262"/>
      <c r="VEF88" s="263"/>
      <c r="VEG88" s="289"/>
      <c r="VEH88" s="289"/>
      <c r="VEI88" s="289"/>
      <c r="VEJ88" s="292"/>
      <c r="VEK88" s="289"/>
      <c r="VEL88" s="293"/>
      <c r="VEM88" s="266"/>
      <c r="VEN88" s="290"/>
      <c r="VEO88" s="297"/>
      <c r="VEP88" s="260"/>
      <c r="VEQ88" s="261"/>
      <c r="VER88" s="262"/>
      <c r="VES88" s="263"/>
      <c r="VET88" s="289"/>
      <c r="VEU88" s="289"/>
      <c r="VEV88" s="289"/>
      <c r="VEW88" s="292"/>
      <c r="VEX88" s="289"/>
      <c r="VEY88" s="293"/>
      <c r="VEZ88" s="266"/>
      <c r="VFA88" s="290"/>
      <c r="VFB88" s="297"/>
      <c r="VFC88" s="260"/>
      <c r="VFD88" s="261"/>
      <c r="VFE88" s="262"/>
      <c r="VFF88" s="263"/>
      <c r="VFG88" s="289"/>
      <c r="VFH88" s="289"/>
      <c r="VFI88" s="289"/>
      <c r="VFJ88" s="292"/>
      <c r="VFK88" s="289"/>
      <c r="VFL88" s="293"/>
      <c r="VFM88" s="266"/>
      <c r="VFN88" s="290"/>
      <c r="VFO88" s="297"/>
      <c r="VFP88" s="260"/>
      <c r="VFQ88" s="261"/>
      <c r="VFR88" s="262"/>
      <c r="VFS88" s="263"/>
      <c r="VFT88" s="289"/>
      <c r="VFU88" s="289"/>
      <c r="VFV88" s="289"/>
      <c r="VFW88" s="292"/>
      <c r="VFX88" s="289"/>
      <c r="VFY88" s="293"/>
      <c r="VFZ88" s="266"/>
      <c r="VGA88" s="290"/>
      <c r="VGB88" s="297"/>
      <c r="VGC88" s="260"/>
      <c r="VGD88" s="261"/>
      <c r="VGE88" s="262"/>
      <c r="VGF88" s="263"/>
      <c r="VGG88" s="289"/>
      <c r="VGH88" s="289"/>
      <c r="VGI88" s="289"/>
      <c r="VGJ88" s="292"/>
      <c r="VGK88" s="289"/>
      <c r="VGL88" s="293"/>
      <c r="VGM88" s="266"/>
      <c r="VGN88" s="290"/>
      <c r="VGO88" s="297"/>
      <c r="VGP88" s="260"/>
      <c r="VGQ88" s="261"/>
      <c r="VGR88" s="262"/>
      <c r="VGS88" s="263"/>
      <c r="VGT88" s="289"/>
      <c r="VGU88" s="289"/>
      <c r="VGV88" s="289"/>
      <c r="VGW88" s="292"/>
      <c r="VGX88" s="289"/>
      <c r="VGY88" s="293"/>
      <c r="VGZ88" s="266"/>
      <c r="VHA88" s="290"/>
      <c r="VHB88" s="297"/>
      <c r="VHC88" s="260"/>
      <c r="VHD88" s="261"/>
      <c r="VHE88" s="262"/>
      <c r="VHF88" s="263"/>
      <c r="VHG88" s="289"/>
      <c r="VHH88" s="289"/>
      <c r="VHI88" s="289"/>
      <c r="VHJ88" s="292"/>
      <c r="VHK88" s="289"/>
      <c r="VHL88" s="293"/>
      <c r="VHM88" s="266"/>
      <c r="VHN88" s="290"/>
      <c r="VHO88" s="297"/>
      <c r="VHP88" s="260"/>
      <c r="VHQ88" s="261"/>
      <c r="VHR88" s="262"/>
      <c r="VHS88" s="263"/>
      <c r="VHT88" s="289"/>
      <c r="VHU88" s="289"/>
      <c r="VHV88" s="289"/>
      <c r="VHW88" s="292"/>
      <c r="VHX88" s="289"/>
      <c r="VHY88" s="293"/>
      <c r="VHZ88" s="266"/>
      <c r="VIA88" s="290"/>
      <c r="VIB88" s="297"/>
      <c r="VIC88" s="260"/>
      <c r="VID88" s="261"/>
      <c r="VIE88" s="262"/>
      <c r="VIF88" s="263"/>
      <c r="VIG88" s="289"/>
      <c r="VIH88" s="289"/>
      <c r="VII88" s="289"/>
      <c r="VIJ88" s="292"/>
      <c r="VIK88" s="289"/>
      <c r="VIL88" s="293"/>
      <c r="VIM88" s="266"/>
      <c r="VIN88" s="290"/>
      <c r="VIO88" s="297"/>
      <c r="VIP88" s="260"/>
      <c r="VIQ88" s="261"/>
      <c r="VIR88" s="262"/>
      <c r="VIS88" s="263"/>
      <c r="VIT88" s="289"/>
      <c r="VIU88" s="289"/>
      <c r="VIV88" s="289"/>
      <c r="VIW88" s="292"/>
      <c r="VIX88" s="289"/>
      <c r="VIY88" s="293"/>
      <c r="VIZ88" s="266"/>
      <c r="VJA88" s="290"/>
      <c r="VJB88" s="297"/>
      <c r="VJC88" s="260"/>
      <c r="VJD88" s="261"/>
      <c r="VJE88" s="262"/>
      <c r="VJF88" s="263"/>
      <c r="VJG88" s="289"/>
      <c r="VJH88" s="289"/>
      <c r="VJI88" s="289"/>
      <c r="VJJ88" s="292"/>
      <c r="VJK88" s="289"/>
      <c r="VJL88" s="293"/>
      <c r="VJM88" s="266"/>
      <c r="VJN88" s="290"/>
      <c r="VJO88" s="297"/>
      <c r="VJP88" s="260"/>
      <c r="VJQ88" s="261"/>
      <c r="VJR88" s="262"/>
      <c r="VJS88" s="263"/>
      <c r="VJT88" s="289"/>
      <c r="VJU88" s="289"/>
      <c r="VJV88" s="289"/>
      <c r="VJW88" s="292"/>
      <c r="VJX88" s="289"/>
      <c r="VJY88" s="293"/>
      <c r="VJZ88" s="266"/>
      <c r="VKA88" s="290"/>
      <c r="VKB88" s="297"/>
      <c r="VKC88" s="260"/>
      <c r="VKD88" s="261"/>
      <c r="VKE88" s="262"/>
      <c r="VKF88" s="263"/>
      <c r="VKG88" s="289"/>
      <c r="VKH88" s="289"/>
      <c r="VKI88" s="289"/>
      <c r="VKJ88" s="292"/>
      <c r="VKK88" s="289"/>
      <c r="VKL88" s="293"/>
      <c r="VKM88" s="266"/>
      <c r="VKN88" s="290"/>
      <c r="VKO88" s="297"/>
      <c r="VKP88" s="260"/>
      <c r="VKQ88" s="261"/>
      <c r="VKR88" s="262"/>
      <c r="VKS88" s="263"/>
      <c r="VKT88" s="289"/>
      <c r="VKU88" s="289"/>
      <c r="VKV88" s="289"/>
      <c r="VKW88" s="292"/>
      <c r="VKX88" s="289"/>
      <c r="VKY88" s="293"/>
      <c r="VKZ88" s="266"/>
      <c r="VLA88" s="290"/>
      <c r="VLB88" s="297"/>
      <c r="VLC88" s="260"/>
      <c r="VLD88" s="261"/>
      <c r="VLE88" s="262"/>
      <c r="VLF88" s="263"/>
      <c r="VLG88" s="289"/>
      <c r="VLH88" s="289"/>
      <c r="VLI88" s="289"/>
      <c r="VLJ88" s="292"/>
      <c r="VLK88" s="289"/>
      <c r="VLL88" s="293"/>
      <c r="VLM88" s="266"/>
      <c r="VLN88" s="290"/>
      <c r="VLO88" s="297"/>
      <c r="VLP88" s="260"/>
      <c r="VLQ88" s="261"/>
      <c r="VLR88" s="262"/>
      <c r="VLS88" s="263"/>
      <c r="VLT88" s="289"/>
      <c r="VLU88" s="289"/>
      <c r="VLV88" s="289"/>
      <c r="VLW88" s="292"/>
      <c r="VLX88" s="289"/>
      <c r="VLY88" s="293"/>
      <c r="VLZ88" s="266"/>
      <c r="VMA88" s="290"/>
      <c r="VMB88" s="297"/>
      <c r="VMC88" s="260"/>
      <c r="VMD88" s="261"/>
      <c r="VME88" s="262"/>
      <c r="VMF88" s="263"/>
      <c r="VMG88" s="289"/>
      <c r="VMH88" s="289"/>
      <c r="VMI88" s="289"/>
      <c r="VMJ88" s="292"/>
      <c r="VMK88" s="289"/>
      <c r="VML88" s="293"/>
      <c r="VMM88" s="266"/>
      <c r="VMN88" s="290"/>
      <c r="VMO88" s="297"/>
      <c r="VMP88" s="260"/>
      <c r="VMQ88" s="261"/>
      <c r="VMR88" s="262"/>
      <c r="VMS88" s="263"/>
      <c r="VMT88" s="289"/>
      <c r="VMU88" s="289"/>
      <c r="VMV88" s="289"/>
      <c r="VMW88" s="292"/>
      <c r="VMX88" s="289"/>
      <c r="VMY88" s="293"/>
      <c r="VMZ88" s="266"/>
      <c r="VNA88" s="290"/>
      <c r="VNB88" s="297"/>
      <c r="VNC88" s="260"/>
      <c r="VND88" s="261"/>
      <c r="VNE88" s="262"/>
      <c r="VNF88" s="263"/>
      <c r="VNG88" s="289"/>
      <c r="VNH88" s="289"/>
      <c r="VNI88" s="289"/>
      <c r="VNJ88" s="292"/>
      <c r="VNK88" s="289"/>
      <c r="VNL88" s="293"/>
      <c r="VNM88" s="266"/>
      <c r="VNN88" s="290"/>
      <c r="VNO88" s="297"/>
      <c r="VNP88" s="260"/>
      <c r="VNQ88" s="261"/>
      <c r="VNR88" s="262"/>
      <c r="VNS88" s="263"/>
      <c r="VNT88" s="289"/>
      <c r="VNU88" s="289"/>
      <c r="VNV88" s="289"/>
      <c r="VNW88" s="292"/>
      <c r="VNX88" s="289"/>
      <c r="VNY88" s="293"/>
      <c r="VNZ88" s="266"/>
      <c r="VOA88" s="290"/>
      <c r="VOB88" s="297"/>
      <c r="VOC88" s="260"/>
      <c r="VOD88" s="261"/>
      <c r="VOE88" s="262"/>
      <c r="VOF88" s="263"/>
      <c r="VOG88" s="289"/>
      <c r="VOH88" s="289"/>
      <c r="VOI88" s="289"/>
      <c r="VOJ88" s="292"/>
      <c r="VOK88" s="289"/>
      <c r="VOL88" s="293"/>
      <c r="VOM88" s="266"/>
      <c r="VON88" s="290"/>
      <c r="VOO88" s="297"/>
      <c r="VOP88" s="260"/>
      <c r="VOQ88" s="261"/>
      <c r="VOR88" s="262"/>
      <c r="VOS88" s="263"/>
      <c r="VOT88" s="289"/>
      <c r="VOU88" s="289"/>
      <c r="VOV88" s="289"/>
      <c r="VOW88" s="292"/>
      <c r="VOX88" s="289"/>
      <c r="VOY88" s="293"/>
      <c r="VOZ88" s="266"/>
      <c r="VPA88" s="290"/>
      <c r="VPB88" s="297"/>
      <c r="VPC88" s="260"/>
      <c r="VPD88" s="261"/>
      <c r="VPE88" s="262"/>
      <c r="VPF88" s="263"/>
      <c r="VPG88" s="289"/>
      <c r="VPH88" s="289"/>
      <c r="VPI88" s="289"/>
      <c r="VPJ88" s="292"/>
      <c r="VPK88" s="289"/>
      <c r="VPL88" s="293"/>
      <c r="VPM88" s="266"/>
      <c r="VPN88" s="290"/>
      <c r="VPO88" s="297"/>
      <c r="VPP88" s="260"/>
      <c r="VPQ88" s="261"/>
      <c r="VPR88" s="262"/>
      <c r="VPS88" s="263"/>
      <c r="VPT88" s="289"/>
      <c r="VPU88" s="289"/>
      <c r="VPV88" s="289"/>
      <c r="VPW88" s="292"/>
      <c r="VPX88" s="289"/>
      <c r="VPY88" s="293"/>
      <c r="VPZ88" s="266"/>
      <c r="VQA88" s="290"/>
      <c r="VQB88" s="297"/>
      <c r="VQC88" s="260"/>
      <c r="VQD88" s="261"/>
      <c r="VQE88" s="262"/>
      <c r="VQF88" s="263"/>
      <c r="VQG88" s="289"/>
      <c r="VQH88" s="289"/>
      <c r="VQI88" s="289"/>
      <c r="VQJ88" s="292"/>
      <c r="VQK88" s="289"/>
      <c r="VQL88" s="293"/>
      <c r="VQM88" s="266"/>
      <c r="VQN88" s="290"/>
      <c r="VQO88" s="297"/>
      <c r="VQP88" s="260"/>
      <c r="VQQ88" s="261"/>
      <c r="VQR88" s="262"/>
      <c r="VQS88" s="263"/>
      <c r="VQT88" s="289"/>
      <c r="VQU88" s="289"/>
      <c r="VQV88" s="289"/>
      <c r="VQW88" s="292"/>
      <c r="VQX88" s="289"/>
      <c r="VQY88" s="293"/>
      <c r="VQZ88" s="266"/>
      <c r="VRA88" s="290"/>
      <c r="VRB88" s="297"/>
      <c r="VRC88" s="260"/>
      <c r="VRD88" s="261"/>
      <c r="VRE88" s="262"/>
      <c r="VRF88" s="263"/>
      <c r="VRG88" s="289"/>
      <c r="VRH88" s="289"/>
      <c r="VRI88" s="289"/>
      <c r="VRJ88" s="292"/>
      <c r="VRK88" s="289"/>
      <c r="VRL88" s="293"/>
      <c r="VRM88" s="266"/>
      <c r="VRN88" s="290"/>
      <c r="VRO88" s="297"/>
      <c r="VRP88" s="260"/>
      <c r="VRQ88" s="261"/>
      <c r="VRR88" s="262"/>
      <c r="VRS88" s="263"/>
      <c r="VRT88" s="289"/>
      <c r="VRU88" s="289"/>
      <c r="VRV88" s="289"/>
      <c r="VRW88" s="292"/>
      <c r="VRX88" s="289"/>
      <c r="VRY88" s="293"/>
      <c r="VRZ88" s="266"/>
      <c r="VSA88" s="290"/>
      <c r="VSB88" s="297"/>
      <c r="VSC88" s="260"/>
      <c r="VSD88" s="261"/>
      <c r="VSE88" s="262"/>
      <c r="VSF88" s="263"/>
      <c r="VSG88" s="289"/>
      <c r="VSH88" s="289"/>
      <c r="VSI88" s="289"/>
      <c r="VSJ88" s="292"/>
      <c r="VSK88" s="289"/>
      <c r="VSL88" s="293"/>
      <c r="VSM88" s="266"/>
      <c r="VSN88" s="290"/>
      <c r="VSO88" s="297"/>
      <c r="VSP88" s="260"/>
      <c r="VSQ88" s="261"/>
      <c r="VSR88" s="262"/>
      <c r="VSS88" s="263"/>
      <c r="VST88" s="289"/>
      <c r="VSU88" s="289"/>
      <c r="VSV88" s="289"/>
      <c r="VSW88" s="292"/>
      <c r="VSX88" s="289"/>
      <c r="VSY88" s="293"/>
      <c r="VSZ88" s="266"/>
      <c r="VTA88" s="290"/>
      <c r="VTB88" s="297"/>
      <c r="VTC88" s="260"/>
      <c r="VTD88" s="261"/>
      <c r="VTE88" s="262"/>
      <c r="VTF88" s="263"/>
      <c r="VTG88" s="289"/>
      <c r="VTH88" s="289"/>
      <c r="VTI88" s="289"/>
      <c r="VTJ88" s="292"/>
      <c r="VTK88" s="289"/>
      <c r="VTL88" s="293"/>
      <c r="VTM88" s="266"/>
      <c r="VTN88" s="290"/>
      <c r="VTO88" s="297"/>
      <c r="VTP88" s="260"/>
      <c r="VTQ88" s="261"/>
      <c r="VTR88" s="262"/>
      <c r="VTS88" s="263"/>
      <c r="VTT88" s="289"/>
      <c r="VTU88" s="289"/>
      <c r="VTV88" s="289"/>
      <c r="VTW88" s="292"/>
      <c r="VTX88" s="289"/>
      <c r="VTY88" s="293"/>
      <c r="VTZ88" s="266"/>
      <c r="VUA88" s="290"/>
      <c r="VUB88" s="297"/>
      <c r="VUC88" s="260"/>
      <c r="VUD88" s="261"/>
      <c r="VUE88" s="262"/>
      <c r="VUF88" s="263"/>
      <c r="VUG88" s="289"/>
      <c r="VUH88" s="289"/>
      <c r="VUI88" s="289"/>
      <c r="VUJ88" s="292"/>
      <c r="VUK88" s="289"/>
      <c r="VUL88" s="293"/>
      <c r="VUM88" s="266"/>
      <c r="VUN88" s="290"/>
      <c r="VUO88" s="297"/>
      <c r="VUP88" s="260"/>
      <c r="VUQ88" s="261"/>
      <c r="VUR88" s="262"/>
      <c r="VUS88" s="263"/>
      <c r="VUT88" s="289"/>
      <c r="VUU88" s="289"/>
      <c r="VUV88" s="289"/>
      <c r="VUW88" s="292"/>
      <c r="VUX88" s="289"/>
      <c r="VUY88" s="293"/>
      <c r="VUZ88" s="266"/>
      <c r="VVA88" s="290"/>
      <c r="VVB88" s="297"/>
      <c r="VVC88" s="260"/>
      <c r="VVD88" s="261"/>
      <c r="VVE88" s="262"/>
      <c r="VVF88" s="263"/>
      <c r="VVG88" s="289"/>
      <c r="VVH88" s="289"/>
      <c r="VVI88" s="289"/>
      <c r="VVJ88" s="292"/>
      <c r="VVK88" s="289"/>
      <c r="VVL88" s="293"/>
      <c r="VVM88" s="266"/>
      <c r="VVN88" s="290"/>
      <c r="VVO88" s="297"/>
      <c r="VVP88" s="260"/>
      <c r="VVQ88" s="261"/>
      <c r="VVR88" s="262"/>
      <c r="VVS88" s="263"/>
      <c r="VVT88" s="289"/>
      <c r="VVU88" s="289"/>
      <c r="VVV88" s="289"/>
      <c r="VVW88" s="292"/>
      <c r="VVX88" s="289"/>
      <c r="VVY88" s="293"/>
      <c r="VVZ88" s="266"/>
      <c r="VWA88" s="290"/>
      <c r="VWB88" s="297"/>
      <c r="VWC88" s="260"/>
      <c r="VWD88" s="261"/>
      <c r="VWE88" s="262"/>
      <c r="VWF88" s="263"/>
      <c r="VWG88" s="289"/>
      <c r="VWH88" s="289"/>
      <c r="VWI88" s="289"/>
      <c r="VWJ88" s="292"/>
      <c r="VWK88" s="289"/>
      <c r="VWL88" s="293"/>
      <c r="VWM88" s="266"/>
      <c r="VWN88" s="290"/>
      <c r="VWO88" s="297"/>
      <c r="VWP88" s="260"/>
      <c r="VWQ88" s="261"/>
      <c r="VWR88" s="262"/>
      <c r="VWS88" s="263"/>
      <c r="VWT88" s="289"/>
      <c r="VWU88" s="289"/>
      <c r="VWV88" s="289"/>
      <c r="VWW88" s="292"/>
      <c r="VWX88" s="289"/>
      <c r="VWY88" s="293"/>
      <c r="VWZ88" s="266"/>
      <c r="VXA88" s="290"/>
      <c r="VXB88" s="297"/>
      <c r="VXC88" s="260"/>
      <c r="VXD88" s="261"/>
      <c r="VXE88" s="262"/>
      <c r="VXF88" s="263"/>
      <c r="VXG88" s="289"/>
      <c r="VXH88" s="289"/>
      <c r="VXI88" s="289"/>
      <c r="VXJ88" s="292"/>
      <c r="VXK88" s="289"/>
      <c r="VXL88" s="293"/>
      <c r="VXM88" s="266"/>
      <c r="VXN88" s="290"/>
      <c r="VXO88" s="297"/>
      <c r="VXP88" s="260"/>
      <c r="VXQ88" s="261"/>
      <c r="VXR88" s="262"/>
      <c r="VXS88" s="263"/>
      <c r="VXT88" s="289"/>
      <c r="VXU88" s="289"/>
      <c r="VXV88" s="289"/>
      <c r="VXW88" s="292"/>
      <c r="VXX88" s="289"/>
      <c r="VXY88" s="293"/>
      <c r="VXZ88" s="266"/>
      <c r="VYA88" s="290"/>
      <c r="VYB88" s="297"/>
      <c r="VYC88" s="260"/>
      <c r="VYD88" s="261"/>
      <c r="VYE88" s="262"/>
      <c r="VYF88" s="263"/>
      <c r="VYG88" s="289"/>
      <c r="VYH88" s="289"/>
      <c r="VYI88" s="289"/>
      <c r="VYJ88" s="292"/>
      <c r="VYK88" s="289"/>
      <c r="VYL88" s="293"/>
      <c r="VYM88" s="266"/>
      <c r="VYN88" s="290"/>
      <c r="VYO88" s="297"/>
      <c r="VYP88" s="260"/>
      <c r="VYQ88" s="261"/>
      <c r="VYR88" s="262"/>
      <c r="VYS88" s="263"/>
      <c r="VYT88" s="289"/>
      <c r="VYU88" s="289"/>
      <c r="VYV88" s="289"/>
      <c r="VYW88" s="292"/>
      <c r="VYX88" s="289"/>
      <c r="VYY88" s="293"/>
      <c r="VYZ88" s="266"/>
      <c r="VZA88" s="290"/>
      <c r="VZB88" s="297"/>
      <c r="VZC88" s="260"/>
      <c r="VZD88" s="261"/>
      <c r="VZE88" s="262"/>
      <c r="VZF88" s="263"/>
      <c r="VZG88" s="289"/>
      <c r="VZH88" s="289"/>
      <c r="VZI88" s="289"/>
      <c r="VZJ88" s="292"/>
      <c r="VZK88" s="289"/>
      <c r="VZL88" s="293"/>
      <c r="VZM88" s="266"/>
      <c r="VZN88" s="290"/>
      <c r="VZO88" s="297"/>
      <c r="VZP88" s="260"/>
      <c r="VZQ88" s="261"/>
      <c r="VZR88" s="262"/>
      <c r="VZS88" s="263"/>
      <c r="VZT88" s="289"/>
      <c r="VZU88" s="289"/>
      <c r="VZV88" s="289"/>
      <c r="VZW88" s="292"/>
      <c r="VZX88" s="289"/>
      <c r="VZY88" s="293"/>
      <c r="VZZ88" s="266"/>
      <c r="WAA88" s="290"/>
      <c r="WAB88" s="297"/>
      <c r="WAC88" s="260"/>
      <c r="WAD88" s="261"/>
      <c r="WAE88" s="262"/>
      <c r="WAF88" s="263"/>
      <c r="WAG88" s="289"/>
      <c r="WAH88" s="289"/>
      <c r="WAI88" s="289"/>
      <c r="WAJ88" s="292"/>
      <c r="WAK88" s="289"/>
      <c r="WAL88" s="293"/>
      <c r="WAM88" s="266"/>
      <c r="WAN88" s="290"/>
      <c r="WAO88" s="297"/>
      <c r="WAP88" s="260"/>
      <c r="WAQ88" s="261"/>
      <c r="WAR88" s="262"/>
      <c r="WAS88" s="263"/>
      <c r="WAT88" s="289"/>
      <c r="WAU88" s="289"/>
      <c r="WAV88" s="289"/>
      <c r="WAW88" s="292"/>
      <c r="WAX88" s="289"/>
      <c r="WAY88" s="293"/>
      <c r="WAZ88" s="266"/>
      <c r="WBA88" s="290"/>
      <c r="WBB88" s="297"/>
      <c r="WBC88" s="260"/>
      <c r="WBD88" s="261"/>
      <c r="WBE88" s="262"/>
      <c r="WBF88" s="263"/>
      <c r="WBG88" s="289"/>
      <c r="WBH88" s="289"/>
      <c r="WBI88" s="289"/>
      <c r="WBJ88" s="292"/>
      <c r="WBK88" s="289"/>
      <c r="WBL88" s="293"/>
      <c r="WBM88" s="266"/>
      <c r="WBN88" s="290"/>
      <c r="WBO88" s="297"/>
      <c r="WBP88" s="260"/>
      <c r="WBQ88" s="261"/>
      <c r="WBR88" s="262"/>
      <c r="WBS88" s="263"/>
      <c r="WBT88" s="289"/>
      <c r="WBU88" s="289"/>
      <c r="WBV88" s="289"/>
      <c r="WBW88" s="292"/>
      <c r="WBX88" s="289"/>
      <c r="WBY88" s="293"/>
      <c r="WBZ88" s="266"/>
      <c r="WCA88" s="290"/>
      <c r="WCB88" s="297"/>
      <c r="WCC88" s="260"/>
      <c r="WCD88" s="261"/>
      <c r="WCE88" s="262"/>
      <c r="WCF88" s="263"/>
      <c r="WCG88" s="289"/>
      <c r="WCH88" s="289"/>
      <c r="WCI88" s="289"/>
      <c r="WCJ88" s="292"/>
      <c r="WCK88" s="289"/>
      <c r="WCL88" s="293"/>
      <c r="WCM88" s="266"/>
      <c r="WCN88" s="290"/>
      <c r="WCO88" s="297"/>
      <c r="WCP88" s="260"/>
      <c r="WCQ88" s="261"/>
      <c r="WCR88" s="262"/>
      <c r="WCS88" s="263"/>
      <c r="WCT88" s="289"/>
      <c r="WCU88" s="289"/>
      <c r="WCV88" s="289"/>
      <c r="WCW88" s="292"/>
      <c r="WCX88" s="289"/>
      <c r="WCY88" s="293"/>
      <c r="WCZ88" s="266"/>
      <c r="WDA88" s="290"/>
      <c r="WDB88" s="297"/>
      <c r="WDC88" s="260"/>
      <c r="WDD88" s="261"/>
      <c r="WDE88" s="262"/>
      <c r="WDF88" s="263"/>
      <c r="WDG88" s="289"/>
      <c r="WDH88" s="289"/>
      <c r="WDI88" s="289"/>
      <c r="WDJ88" s="292"/>
      <c r="WDK88" s="289"/>
      <c r="WDL88" s="293"/>
      <c r="WDM88" s="266"/>
      <c r="WDN88" s="290"/>
      <c r="WDO88" s="297"/>
      <c r="WDP88" s="260"/>
      <c r="WDQ88" s="261"/>
      <c r="WDR88" s="262"/>
      <c r="WDS88" s="263"/>
      <c r="WDT88" s="289"/>
      <c r="WDU88" s="289"/>
      <c r="WDV88" s="289"/>
      <c r="WDW88" s="292"/>
      <c r="WDX88" s="289"/>
      <c r="WDY88" s="293"/>
      <c r="WDZ88" s="266"/>
      <c r="WEA88" s="290"/>
      <c r="WEB88" s="297"/>
      <c r="WEC88" s="260"/>
      <c r="WED88" s="261"/>
      <c r="WEE88" s="262"/>
      <c r="WEF88" s="263"/>
      <c r="WEG88" s="289"/>
      <c r="WEH88" s="289"/>
      <c r="WEI88" s="289"/>
      <c r="WEJ88" s="292"/>
      <c r="WEK88" s="289"/>
      <c r="WEL88" s="293"/>
      <c r="WEM88" s="266"/>
      <c r="WEN88" s="290"/>
      <c r="WEO88" s="297"/>
      <c r="WEP88" s="260"/>
      <c r="WEQ88" s="261"/>
      <c r="WER88" s="262"/>
      <c r="WES88" s="263"/>
      <c r="WET88" s="289"/>
      <c r="WEU88" s="289"/>
      <c r="WEV88" s="289"/>
      <c r="WEW88" s="292"/>
      <c r="WEX88" s="289"/>
      <c r="WEY88" s="293"/>
      <c r="WEZ88" s="266"/>
      <c r="WFA88" s="290"/>
      <c r="WFB88" s="297"/>
      <c r="WFC88" s="260"/>
      <c r="WFD88" s="261"/>
      <c r="WFE88" s="262"/>
      <c r="WFF88" s="263"/>
      <c r="WFG88" s="289"/>
      <c r="WFH88" s="289"/>
      <c r="WFI88" s="289"/>
      <c r="WFJ88" s="292"/>
      <c r="WFK88" s="289"/>
      <c r="WFL88" s="293"/>
      <c r="WFM88" s="266"/>
      <c r="WFN88" s="290"/>
      <c r="WFO88" s="297"/>
      <c r="WFP88" s="260"/>
      <c r="WFQ88" s="261"/>
      <c r="WFR88" s="262"/>
      <c r="WFS88" s="263"/>
      <c r="WFT88" s="289"/>
      <c r="WFU88" s="289"/>
      <c r="WFV88" s="289"/>
      <c r="WFW88" s="292"/>
      <c r="WFX88" s="289"/>
      <c r="WFY88" s="293"/>
      <c r="WFZ88" s="266"/>
      <c r="WGA88" s="290"/>
      <c r="WGB88" s="297"/>
      <c r="WGC88" s="260"/>
      <c r="WGD88" s="261"/>
      <c r="WGE88" s="262"/>
      <c r="WGF88" s="263"/>
      <c r="WGG88" s="289"/>
      <c r="WGH88" s="289"/>
      <c r="WGI88" s="289"/>
      <c r="WGJ88" s="292"/>
      <c r="WGK88" s="289"/>
      <c r="WGL88" s="293"/>
      <c r="WGM88" s="266"/>
      <c r="WGN88" s="290"/>
      <c r="WGO88" s="297"/>
      <c r="WGP88" s="260"/>
      <c r="WGQ88" s="261"/>
      <c r="WGR88" s="262"/>
      <c r="WGS88" s="263"/>
      <c r="WGT88" s="289"/>
      <c r="WGU88" s="289"/>
      <c r="WGV88" s="289"/>
      <c r="WGW88" s="292"/>
      <c r="WGX88" s="289"/>
      <c r="WGY88" s="293"/>
      <c r="WGZ88" s="266"/>
      <c r="WHA88" s="290"/>
      <c r="WHB88" s="297"/>
      <c r="WHC88" s="260"/>
      <c r="WHD88" s="261"/>
      <c r="WHE88" s="262"/>
      <c r="WHF88" s="263"/>
      <c r="WHG88" s="289"/>
      <c r="WHH88" s="289"/>
      <c r="WHI88" s="289"/>
      <c r="WHJ88" s="292"/>
      <c r="WHK88" s="289"/>
      <c r="WHL88" s="293"/>
      <c r="WHM88" s="266"/>
      <c r="WHN88" s="290"/>
      <c r="WHO88" s="297"/>
      <c r="WHP88" s="260"/>
      <c r="WHQ88" s="261"/>
      <c r="WHR88" s="262"/>
      <c r="WHS88" s="263"/>
      <c r="WHT88" s="289"/>
      <c r="WHU88" s="289"/>
      <c r="WHV88" s="289"/>
      <c r="WHW88" s="292"/>
      <c r="WHX88" s="289"/>
      <c r="WHY88" s="293"/>
      <c r="WHZ88" s="266"/>
      <c r="WIA88" s="290"/>
      <c r="WIB88" s="297"/>
      <c r="WIC88" s="260"/>
      <c r="WID88" s="261"/>
      <c r="WIE88" s="262"/>
      <c r="WIF88" s="263"/>
      <c r="WIG88" s="289"/>
      <c r="WIH88" s="289"/>
      <c r="WII88" s="289"/>
      <c r="WIJ88" s="292"/>
      <c r="WIK88" s="289"/>
      <c r="WIL88" s="293"/>
      <c r="WIM88" s="266"/>
      <c r="WIN88" s="290"/>
      <c r="WIO88" s="297"/>
      <c r="WIP88" s="260"/>
      <c r="WIQ88" s="261"/>
      <c r="WIR88" s="262"/>
      <c r="WIS88" s="263"/>
      <c r="WIT88" s="289"/>
      <c r="WIU88" s="289"/>
      <c r="WIV88" s="289"/>
      <c r="WIW88" s="292"/>
      <c r="WIX88" s="289"/>
      <c r="WIY88" s="293"/>
      <c r="WIZ88" s="266"/>
      <c r="WJA88" s="290"/>
      <c r="WJB88" s="297"/>
      <c r="WJC88" s="260"/>
      <c r="WJD88" s="261"/>
      <c r="WJE88" s="262"/>
      <c r="WJF88" s="263"/>
      <c r="WJG88" s="289"/>
      <c r="WJH88" s="289"/>
      <c r="WJI88" s="289"/>
      <c r="WJJ88" s="292"/>
      <c r="WJK88" s="289"/>
      <c r="WJL88" s="293"/>
      <c r="WJM88" s="266"/>
      <c r="WJN88" s="290"/>
      <c r="WJO88" s="297"/>
      <c r="WJP88" s="260"/>
      <c r="WJQ88" s="261"/>
      <c r="WJR88" s="262"/>
      <c r="WJS88" s="263"/>
      <c r="WJT88" s="289"/>
      <c r="WJU88" s="289"/>
      <c r="WJV88" s="289"/>
      <c r="WJW88" s="292"/>
      <c r="WJX88" s="289"/>
      <c r="WJY88" s="293"/>
      <c r="WJZ88" s="266"/>
      <c r="WKA88" s="290"/>
      <c r="WKB88" s="297"/>
      <c r="WKC88" s="260"/>
      <c r="WKD88" s="261"/>
      <c r="WKE88" s="262"/>
      <c r="WKF88" s="263"/>
      <c r="WKG88" s="289"/>
      <c r="WKH88" s="289"/>
      <c r="WKI88" s="289"/>
      <c r="WKJ88" s="292"/>
      <c r="WKK88" s="289"/>
      <c r="WKL88" s="293"/>
      <c r="WKM88" s="266"/>
      <c r="WKN88" s="290"/>
      <c r="WKO88" s="297"/>
      <c r="WKP88" s="260"/>
      <c r="WKQ88" s="261"/>
      <c r="WKR88" s="262"/>
      <c r="WKS88" s="263"/>
      <c r="WKT88" s="289"/>
      <c r="WKU88" s="289"/>
      <c r="WKV88" s="289"/>
      <c r="WKW88" s="292"/>
      <c r="WKX88" s="289"/>
      <c r="WKY88" s="293"/>
      <c r="WKZ88" s="266"/>
      <c r="WLA88" s="290"/>
      <c r="WLB88" s="297"/>
      <c r="WLC88" s="260"/>
      <c r="WLD88" s="261"/>
      <c r="WLE88" s="262"/>
      <c r="WLF88" s="263"/>
      <c r="WLG88" s="289"/>
      <c r="WLH88" s="289"/>
      <c r="WLI88" s="289"/>
      <c r="WLJ88" s="292"/>
      <c r="WLK88" s="289"/>
      <c r="WLL88" s="293"/>
      <c r="WLM88" s="266"/>
      <c r="WLN88" s="290"/>
      <c r="WLO88" s="297"/>
      <c r="WLP88" s="260"/>
      <c r="WLQ88" s="261"/>
      <c r="WLR88" s="262"/>
      <c r="WLS88" s="263"/>
      <c r="WLT88" s="289"/>
      <c r="WLU88" s="289"/>
      <c r="WLV88" s="289"/>
      <c r="WLW88" s="292"/>
      <c r="WLX88" s="289"/>
      <c r="WLY88" s="293"/>
      <c r="WLZ88" s="266"/>
      <c r="WMA88" s="290"/>
      <c r="WMB88" s="297"/>
      <c r="WMC88" s="260"/>
      <c r="WMD88" s="261"/>
      <c r="WME88" s="262"/>
      <c r="WMF88" s="263"/>
      <c r="WMG88" s="289"/>
      <c r="WMH88" s="289"/>
      <c r="WMI88" s="289"/>
      <c r="WMJ88" s="292"/>
      <c r="WMK88" s="289"/>
      <c r="WML88" s="293"/>
      <c r="WMM88" s="266"/>
      <c r="WMN88" s="290"/>
      <c r="WMO88" s="297"/>
      <c r="WMP88" s="260"/>
      <c r="WMQ88" s="261"/>
      <c r="WMR88" s="262"/>
      <c r="WMS88" s="263"/>
      <c r="WMT88" s="289"/>
      <c r="WMU88" s="289"/>
      <c r="WMV88" s="289"/>
      <c r="WMW88" s="292"/>
      <c r="WMX88" s="289"/>
      <c r="WMY88" s="293"/>
      <c r="WMZ88" s="266"/>
      <c r="WNA88" s="290"/>
      <c r="WNB88" s="297"/>
      <c r="WNC88" s="260"/>
      <c r="WND88" s="261"/>
      <c r="WNE88" s="262"/>
      <c r="WNF88" s="263"/>
      <c r="WNG88" s="289"/>
      <c r="WNH88" s="289"/>
      <c r="WNI88" s="289"/>
      <c r="WNJ88" s="292"/>
      <c r="WNK88" s="289"/>
      <c r="WNL88" s="293"/>
      <c r="WNM88" s="266"/>
      <c r="WNN88" s="290"/>
      <c r="WNO88" s="297"/>
      <c r="WNP88" s="260"/>
      <c r="WNQ88" s="261"/>
      <c r="WNR88" s="262"/>
      <c r="WNS88" s="263"/>
      <c r="WNT88" s="289"/>
      <c r="WNU88" s="289"/>
      <c r="WNV88" s="289"/>
      <c r="WNW88" s="292"/>
      <c r="WNX88" s="289"/>
      <c r="WNY88" s="293"/>
      <c r="WNZ88" s="266"/>
      <c r="WOA88" s="290"/>
      <c r="WOB88" s="297"/>
      <c r="WOC88" s="260"/>
      <c r="WOD88" s="261"/>
      <c r="WOE88" s="262"/>
      <c r="WOF88" s="263"/>
      <c r="WOG88" s="289"/>
      <c r="WOH88" s="289"/>
      <c r="WOI88" s="289"/>
      <c r="WOJ88" s="292"/>
      <c r="WOK88" s="289"/>
      <c r="WOL88" s="293"/>
      <c r="WOM88" s="266"/>
      <c r="WON88" s="290"/>
      <c r="WOO88" s="297"/>
      <c r="WOP88" s="260"/>
      <c r="WOQ88" s="261"/>
      <c r="WOR88" s="262"/>
      <c r="WOS88" s="263"/>
      <c r="WOT88" s="289"/>
      <c r="WOU88" s="289"/>
      <c r="WOV88" s="289"/>
      <c r="WOW88" s="292"/>
      <c r="WOX88" s="289"/>
      <c r="WOY88" s="293"/>
      <c r="WOZ88" s="266"/>
      <c r="WPA88" s="290"/>
      <c r="WPB88" s="297"/>
      <c r="WPC88" s="260"/>
      <c r="WPD88" s="261"/>
      <c r="WPE88" s="262"/>
      <c r="WPF88" s="263"/>
      <c r="WPG88" s="289"/>
      <c r="WPH88" s="289"/>
      <c r="WPI88" s="289"/>
      <c r="WPJ88" s="292"/>
      <c r="WPK88" s="289"/>
      <c r="WPL88" s="293"/>
      <c r="WPM88" s="266"/>
      <c r="WPN88" s="290"/>
      <c r="WPO88" s="297"/>
      <c r="WPP88" s="260"/>
      <c r="WPQ88" s="261"/>
      <c r="WPR88" s="262"/>
      <c r="WPS88" s="263"/>
      <c r="WPT88" s="289"/>
      <c r="WPU88" s="289"/>
      <c r="WPV88" s="289"/>
      <c r="WPW88" s="292"/>
      <c r="WPX88" s="289"/>
      <c r="WPY88" s="293"/>
      <c r="WPZ88" s="266"/>
      <c r="WQA88" s="290"/>
      <c r="WQB88" s="297"/>
      <c r="WQC88" s="260"/>
      <c r="WQD88" s="261"/>
      <c r="WQE88" s="262"/>
      <c r="WQF88" s="263"/>
      <c r="WQG88" s="289"/>
      <c r="WQH88" s="289"/>
      <c r="WQI88" s="289"/>
      <c r="WQJ88" s="292"/>
      <c r="WQK88" s="289"/>
      <c r="WQL88" s="293"/>
      <c r="WQM88" s="266"/>
      <c r="WQN88" s="290"/>
      <c r="WQO88" s="297"/>
      <c r="WQP88" s="260"/>
      <c r="WQQ88" s="261"/>
      <c r="WQR88" s="262"/>
      <c r="WQS88" s="263"/>
      <c r="WQT88" s="289"/>
      <c r="WQU88" s="289"/>
      <c r="WQV88" s="289"/>
      <c r="WQW88" s="292"/>
      <c r="WQX88" s="289"/>
      <c r="WQY88" s="293"/>
      <c r="WQZ88" s="266"/>
      <c r="WRA88" s="290"/>
      <c r="WRB88" s="297"/>
      <c r="WRC88" s="260"/>
      <c r="WRD88" s="261"/>
      <c r="WRE88" s="262"/>
      <c r="WRF88" s="263"/>
      <c r="WRG88" s="289"/>
      <c r="WRH88" s="289"/>
      <c r="WRI88" s="289"/>
      <c r="WRJ88" s="292"/>
      <c r="WRK88" s="289"/>
      <c r="WRL88" s="293"/>
      <c r="WRM88" s="266"/>
      <c r="WRN88" s="290"/>
      <c r="WRO88" s="297"/>
      <c r="WRP88" s="260"/>
      <c r="WRQ88" s="261"/>
      <c r="WRR88" s="262"/>
      <c r="WRS88" s="263"/>
      <c r="WRT88" s="289"/>
      <c r="WRU88" s="289"/>
      <c r="WRV88" s="289"/>
      <c r="WRW88" s="292"/>
      <c r="WRX88" s="289"/>
      <c r="WRY88" s="293"/>
      <c r="WRZ88" s="266"/>
      <c r="WSA88" s="290"/>
      <c r="WSB88" s="297"/>
      <c r="WSC88" s="260"/>
      <c r="WSD88" s="261"/>
      <c r="WSE88" s="262"/>
      <c r="WSF88" s="263"/>
      <c r="WSG88" s="289"/>
      <c r="WSH88" s="289"/>
      <c r="WSI88" s="289"/>
      <c r="WSJ88" s="292"/>
      <c r="WSK88" s="289"/>
      <c r="WSL88" s="293"/>
      <c r="WSM88" s="266"/>
      <c r="WSN88" s="290"/>
      <c r="WSO88" s="297"/>
      <c r="WSP88" s="260"/>
      <c r="WSQ88" s="261"/>
      <c r="WSR88" s="262"/>
      <c r="WSS88" s="263"/>
      <c r="WST88" s="289"/>
      <c r="WSU88" s="289"/>
      <c r="WSV88" s="289"/>
      <c r="WSW88" s="292"/>
      <c r="WSX88" s="289"/>
      <c r="WSY88" s="293"/>
      <c r="WSZ88" s="266"/>
      <c r="WTA88" s="290"/>
      <c r="WTB88" s="297"/>
      <c r="WTC88" s="260"/>
      <c r="WTD88" s="261"/>
      <c r="WTE88" s="262"/>
      <c r="WTF88" s="263"/>
      <c r="WTG88" s="289"/>
      <c r="WTH88" s="289"/>
      <c r="WTI88" s="289"/>
      <c r="WTJ88" s="292"/>
      <c r="WTK88" s="289"/>
      <c r="WTL88" s="293"/>
      <c r="WTM88" s="266"/>
      <c r="WTN88" s="290"/>
      <c r="WTO88" s="297"/>
      <c r="WTP88" s="260"/>
      <c r="WTQ88" s="261"/>
      <c r="WTR88" s="262"/>
      <c r="WTS88" s="263"/>
      <c r="WTT88" s="289"/>
      <c r="WTU88" s="289"/>
      <c r="WTV88" s="289"/>
      <c r="WTW88" s="292"/>
      <c r="WTX88" s="289"/>
      <c r="WTY88" s="293"/>
      <c r="WTZ88" s="266"/>
      <c r="WUA88" s="290"/>
      <c r="WUB88" s="297"/>
      <c r="WUC88" s="260"/>
      <c r="WUD88" s="261"/>
      <c r="WUE88" s="262"/>
      <c r="WUF88" s="263"/>
      <c r="WUG88" s="289"/>
      <c r="WUH88" s="289"/>
      <c r="WUI88" s="289"/>
      <c r="WUJ88" s="292"/>
      <c r="WUK88" s="289"/>
      <c r="WUL88" s="293"/>
      <c r="WUM88" s="266"/>
      <c r="WUN88" s="290"/>
      <c r="WUO88" s="297"/>
      <c r="WUP88" s="260"/>
      <c r="WUQ88" s="261"/>
      <c r="WUR88" s="262"/>
      <c r="WUS88" s="263"/>
      <c r="WUT88" s="289"/>
      <c r="WUU88" s="289"/>
      <c r="WUV88" s="289"/>
      <c r="WUW88" s="292"/>
      <c r="WUX88" s="289"/>
      <c r="WUY88" s="293"/>
      <c r="WUZ88" s="266"/>
      <c r="WVA88" s="290"/>
      <c r="WVB88" s="297"/>
      <c r="WVC88" s="260"/>
      <c r="WVD88" s="261"/>
      <c r="WVE88" s="262"/>
      <c r="WVF88" s="263"/>
      <c r="WVG88" s="289"/>
      <c r="WVH88" s="289"/>
      <c r="WVI88" s="289"/>
      <c r="WVJ88" s="292"/>
      <c r="WVK88" s="289"/>
      <c r="WVL88" s="293"/>
      <c r="WVM88" s="266"/>
      <c r="WVN88" s="290"/>
      <c r="WVO88" s="297"/>
      <c r="WVP88" s="260"/>
      <c r="WVQ88" s="261"/>
      <c r="WVR88" s="262"/>
      <c r="WVS88" s="263"/>
      <c r="WVT88" s="289"/>
      <c r="WVU88" s="289"/>
      <c r="WVV88" s="289"/>
      <c r="WVW88" s="292"/>
      <c r="WVX88" s="289"/>
      <c r="WVY88" s="293"/>
      <c r="WVZ88" s="266"/>
      <c r="WWA88" s="290"/>
      <c r="WWB88" s="297"/>
      <c r="WWC88" s="260"/>
      <c r="WWD88" s="261"/>
      <c r="WWE88" s="262"/>
      <c r="WWF88" s="263"/>
      <c r="WWG88" s="289"/>
      <c r="WWH88" s="289"/>
      <c r="WWI88" s="289"/>
      <c r="WWJ88" s="292"/>
      <c r="WWK88" s="289"/>
      <c r="WWL88" s="293"/>
      <c r="WWM88" s="266"/>
      <c r="WWN88" s="290"/>
      <c r="WWO88" s="297"/>
      <c r="WWP88" s="260"/>
      <c r="WWQ88" s="261"/>
      <c r="WWR88" s="262"/>
      <c r="WWS88" s="263"/>
      <c r="WWT88" s="289"/>
      <c r="WWU88" s="289"/>
      <c r="WWV88" s="289"/>
      <c r="WWW88" s="292"/>
      <c r="WWX88" s="289"/>
      <c r="WWY88" s="293"/>
      <c r="WWZ88" s="266"/>
      <c r="WXA88" s="290"/>
      <c r="WXB88" s="297"/>
      <c r="WXC88" s="260"/>
      <c r="WXD88" s="261"/>
      <c r="WXE88" s="262"/>
      <c r="WXF88" s="263"/>
      <c r="WXG88" s="289"/>
      <c r="WXH88" s="289"/>
      <c r="WXI88" s="289"/>
      <c r="WXJ88" s="292"/>
      <c r="WXK88" s="289"/>
      <c r="WXL88" s="293"/>
      <c r="WXM88" s="266"/>
      <c r="WXN88" s="290"/>
      <c r="WXO88" s="297"/>
      <c r="WXP88" s="260"/>
      <c r="WXQ88" s="261"/>
      <c r="WXR88" s="262"/>
      <c r="WXS88" s="263"/>
      <c r="WXT88" s="289"/>
      <c r="WXU88" s="289"/>
      <c r="WXV88" s="289"/>
      <c r="WXW88" s="292"/>
      <c r="WXX88" s="289"/>
      <c r="WXY88" s="293"/>
      <c r="WXZ88" s="266"/>
      <c r="WYA88" s="290"/>
      <c r="WYB88" s="297"/>
      <c r="WYC88" s="260"/>
      <c r="WYD88" s="261"/>
      <c r="WYE88" s="262"/>
      <c r="WYF88" s="263"/>
      <c r="WYG88" s="289"/>
      <c r="WYH88" s="289"/>
      <c r="WYI88" s="289"/>
      <c r="WYJ88" s="292"/>
      <c r="WYK88" s="289"/>
      <c r="WYL88" s="293"/>
      <c r="WYM88" s="266"/>
      <c r="WYN88" s="290"/>
      <c r="WYO88" s="297"/>
      <c r="WYP88" s="260"/>
      <c r="WYQ88" s="261"/>
      <c r="WYR88" s="262"/>
      <c r="WYS88" s="263"/>
      <c r="WYT88" s="289"/>
      <c r="WYU88" s="289"/>
      <c r="WYV88" s="289"/>
      <c r="WYW88" s="292"/>
      <c r="WYX88" s="289"/>
      <c r="WYY88" s="293"/>
      <c r="WYZ88" s="266"/>
      <c r="WZA88" s="290"/>
      <c r="WZB88" s="297"/>
      <c r="WZC88" s="260"/>
      <c r="WZD88" s="261"/>
      <c r="WZE88" s="262"/>
      <c r="WZF88" s="263"/>
      <c r="WZG88" s="289"/>
      <c r="WZH88" s="289"/>
      <c r="WZI88" s="289"/>
      <c r="WZJ88" s="292"/>
      <c r="WZK88" s="289"/>
      <c r="WZL88" s="293"/>
      <c r="WZM88" s="266"/>
      <c r="WZN88" s="290"/>
      <c r="WZO88" s="297"/>
      <c r="WZP88" s="260"/>
      <c r="WZQ88" s="261"/>
      <c r="WZR88" s="262"/>
      <c r="WZS88" s="263"/>
      <c r="WZT88" s="289"/>
      <c r="WZU88" s="289"/>
      <c r="WZV88" s="289"/>
      <c r="WZW88" s="292"/>
      <c r="WZX88" s="289"/>
      <c r="WZY88" s="293"/>
      <c r="WZZ88" s="266"/>
      <c r="XAA88" s="290"/>
      <c r="XAB88" s="297"/>
      <c r="XAC88" s="260"/>
      <c r="XAD88" s="261"/>
      <c r="XAE88" s="262"/>
      <c r="XAF88" s="263"/>
      <c r="XAG88" s="289"/>
      <c r="XAH88" s="289"/>
      <c r="XAI88" s="289"/>
      <c r="XAJ88" s="292"/>
      <c r="XAK88" s="289"/>
      <c r="XAL88" s="293"/>
      <c r="XAM88" s="266"/>
      <c r="XAN88" s="290"/>
      <c r="XAO88" s="297"/>
      <c r="XAP88" s="260"/>
      <c r="XAQ88" s="261"/>
      <c r="XAR88" s="262"/>
      <c r="XAS88" s="263"/>
      <c r="XAT88" s="289"/>
      <c r="XAU88" s="289"/>
      <c r="XAV88" s="289"/>
      <c r="XAW88" s="292"/>
      <c r="XAX88" s="289"/>
      <c r="XAY88" s="293"/>
      <c r="XAZ88" s="266"/>
      <c r="XBA88" s="290"/>
      <c r="XBB88" s="297"/>
      <c r="XBC88" s="260"/>
      <c r="XBD88" s="261"/>
      <c r="XBE88" s="262"/>
      <c r="XBF88" s="263"/>
      <c r="XBG88" s="289"/>
      <c r="XBH88" s="289"/>
      <c r="XBI88" s="289"/>
      <c r="XBJ88" s="292"/>
      <c r="XBK88" s="289"/>
      <c r="XBL88" s="293"/>
      <c r="XBM88" s="266"/>
      <c r="XBN88" s="290"/>
      <c r="XBO88" s="297"/>
      <c r="XBP88" s="260"/>
      <c r="XBQ88" s="261"/>
      <c r="XBR88" s="262"/>
      <c r="XBS88" s="263"/>
      <c r="XBT88" s="289"/>
      <c r="XBU88" s="289"/>
      <c r="XBV88" s="289"/>
      <c r="XBW88" s="292"/>
      <c r="XBX88" s="289"/>
      <c r="XBY88" s="293"/>
      <c r="XBZ88" s="266"/>
      <c r="XCA88" s="290"/>
      <c r="XCB88" s="297"/>
      <c r="XCC88" s="260"/>
      <c r="XCD88" s="261"/>
      <c r="XCE88" s="262"/>
      <c r="XCF88" s="263"/>
      <c r="XCG88" s="289"/>
      <c r="XCH88" s="289"/>
      <c r="XCI88" s="289"/>
      <c r="XCJ88" s="292"/>
      <c r="XCK88" s="289"/>
      <c r="XCL88" s="293"/>
      <c r="XCM88" s="266"/>
      <c r="XCN88" s="290"/>
      <c r="XCO88" s="297"/>
      <c r="XCP88" s="260"/>
      <c r="XCQ88" s="261"/>
      <c r="XCR88" s="262"/>
      <c r="XCS88" s="263"/>
      <c r="XCT88" s="289"/>
      <c r="XCU88" s="289"/>
      <c r="XCV88" s="289"/>
      <c r="XCW88" s="292"/>
      <c r="XCX88" s="289"/>
      <c r="XCY88" s="293"/>
      <c r="XCZ88" s="266"/>
      <c r="XDA88" s="290"/>
      <c r="XDB88" s="297"/>
      <c r="XDC88" s="260"/>
      <c r="XDD88" s="261"/>
      <c r="XDE88" s="262"/>
      <c r="XDF88" s="263"/>
      <c r="XDG88" s="289"/>
      <c r="XDH88" s="289"/>
      <c r="XDI88" s="289"/>
      <c r="XDJ88" s="292"/>
      <c r="XDK88" s="289"/>
      <c r="XDL88" s="293"/>
      <c r="XDM88" s="266"/>
      <c r="XDN88" s="290"/>
      <c r="XDO88" s="297"/>
      <c r="XDP88" s="260"/>
      <c r="XDQ88" s="261"/>
      <c r="XDR88" s="262"/>
      <c r="XDS88" s="263"/>
      <c r="XDT88" s="289"/>
      <c r="XDU88" s="289"/>
      <c r="XDV88" s="289"/>
      <c r="XDW88" s="292"/>
      <c r="XDX88" s="289"/>
      <c r="XDY88" s="293"/>
      <c r="XDZ88" s="266"/>
      <c r="XEA88" s="290"/>
      <c r="XEB88" s="297"/>
      <c r="XEC88" s="260"/>
      <c r="XED88" s="261"/>
      <c r="XEE88" s="262"/>
      <c r="XEF88" s="263"/>
      <c r="XEG88" s="289"/>
      <c r="XEH88" s="289"/>
      <c r="XEI88" s="289"/>
      <c r="XEJ88" s="292"/>
      <c r="XEK88" s="289"/>
      <c r="XEL88" s="293"/>
      <c r="XEM88" s="266"/>
      <c r="XEN88" s="290"/>
      <c r="XEO88" s="297"/>
      <c r="XEP88" s="260"/>
      <c r="XEQ88" s="261"/>
      <c r="XER88" s="262"/>
      <c r="XES88" s="263"/>
      <c r="XET88" s="289"/>
      <c r="XEU88" s="289"/>
      <c r="XEV88" s="289"/>
      <c r="XEW88" s="292"/>
      <c r="XEX88" s="289"/>
      <c r="XEY88" s="293"/>
      <c r="XEZ88" s="266"/>
      <c r="XFA88" s="290"/>
      <c r="XFB88" s="297"/>
      <c r="XFC88" s="260"/>
      <c r="XFD88" s="261"/>
    </row>
  </sheetData>
  <sheetProtection insertColumns="0" insertRows="0" insertHyperlinks="0" deleteColumns="0" deleteRows="0" sort="0" autoFilter="0" pivotTables="0"/>
  <autoFilter ref="A4:M87"/>
  <mergeCells count="4">
    <mergeCell ref="A1:M1"/>
    <mergeCell ref="A2:D2"/>
    <mergeCell ref="G2:L2"/>
    <mergeCell ref="G3:H3"/>
  </mergeCells>
  <conditionalFormatting sqref="F22 E33:F33 E46:F49 F28 F31:F32 E21:F21 E51 F51:F75 E86:F87 E78:F84 E1:F18 E89:F65536">
    <cfRule type="cellIs" dxfId="131" priority="246" stopIfTrue="1" operator="equal">
      <formula>"y"</formula>
    </cfRule>
    <cfRule type="cellIs" dxfId="130" priority="247" stopIfTrue="1" operator="equal">
      <formula>"Y"</formula>
    </cfRule>
  </conditionalFormatting>
  <conditionalFormatting sqref="B22 D22:M22 D33:M33 M35:M45 B47:B49 F28 F31:F32 B29:B30 D29:I30 K29:L30 D51:E51 F51:F75 D6:M14 D46:H49 G51:H51 J51:M51 J46:M49 D86:M87 F78:G84 K78:K84 L76:L77 G76:J77 B6:B15 D15:I15 K15:M15 J15:J20">
    <cfRule type="expression" dxfId="129" priority="245" stopIfTrue="1">
      <formula>IF($A6&lt;&gt;"",IF(B6="",TRUE,FALSE),FALSE)</formula>
    </cfRule>
  </conditionalFormatting>
  <conditionalFormatting sqref="J33 J22 J86:J87 J46:J49 J51 J76:J77 J6:J20">
    <cfRule type="expression" dxfId="128" priority="244" stopIfTrue="1">
      <formula>IF($D6="I",TRUE,FALSE)</formula>
    </cfRule>
  </conditionalFormatting>
  <conditionalFormatting sqref="B16 D16:I16 K16:M16">
    <cfRule type="expression" dxfId="127" priority="233" stopIfTrue="1">
      <formula>IF($A16&lt;&gt;"",IF(B16="",TRUE,FALSE),FALSE)</formula>
    </cfRule>
  </conditionalFormatting>
  <conditionalFormatting sqref="B17 D17:I17 K17:M17">
    <cfRule type="expression" dxfId="126" priority="231" stopIfTrue="1">
      <formula>IF($A17&lt;&gt;"",IF(B17="",TRUE,FALSE),FALSE)</formula>
    </cfRule>
  </conditionalFormatting>
  <conditionalFormatting sqref="B18 D18:I18 K18:M18">
    <cfRule type="expression" dxfId="125" priority="229" stopIfTrue="1">
      <formula>IF($A18&lt;&gt;"",IF(B18="",TRUE,FALSE),FALSE)</formula>
    </cfRule>
  </conditionalFormatting>
  <conditionalFormatting sqref="B21 D21:M21">
    <cfRule type="expression" dxfId="124" priority="219" stopIfTrue="1">
      <formula>IF($A21&lt;&gt;"",IF(B21="",TRUE,FALSE),FALSE)</formula>
    </cfRule>
  </conditionalFormatting>
  <conditionalFormatting sqref="J21">
    <cfRule type="expression" dxfId="123" priority="218" stopIfTrue="1">
      <formula>IF($D21="I",TRUE,FALSE)</formula>
    </cfRule>
  </conditionalFormatting>
  <conditionalFormatting sqref="E10:F10">
    <cfRule type="cellIs" dxfId="122" priority="216" stopIfTrue="1" operator="equal">
      <formula>"y"</formula>
    </cfRule>
    <cfRule type="cellIs" dxfId="121" priority="217" stopIfTrue="1" operator="equal">
      <formula>"Y"</formula>
    </cfRule>
  </conditionalFormatting>
  <conditionalFormatting sqref="B10 D10:M10">
    <cfRule type="expression" dxfId="120" priority="215" stopIfTrue="1">
      <formula>IF($A10&lt;&gt;"",IF(B10="",TRUE,FALSE),FALSE)</formula>
    </cfRule>
  </conditionalFormatting>
  <conditionalFormatting sqref="J10">
    <cfRule type="expression" dxfId="119" priority="214" stopIfTrue="1">
      <formula>IF($D10="I",TRUE,FALSE)</formula>
    </cfRule>
  </conditionalFormatting>
  <conditionalFormatting sqref="E23:F23">
    <cfRule type="cellIs" dxfId="118" priority="200" stopIfTrue="1" operator="equal">
      <formula>"y"</formula>
    </cfRule>
    <cfRule type="cellIs" dxfId="117" priority="201" stopIfTrue="1" operator="equal">
      <formula>"Y"</formula>
    </cfRule>
  </conditionalFormatting>
  <conditionalFormatting sqref="B23 D23:M23">
    <cfRule type="expression" dxfId="116" priority="199" stopIfTrue="1">
      <formula>IF($A23&lt;&gt;"",IF(B23="",TRUE,FALSE),FALSE)</formula>
    </cfRule>
  </conditionalFormatting>
  <conditionalFormatting sqref="J23">
    <cfRule type="expression" dxfId="115" priority="198" stopIfTrue="1">
      <formula>IF($D23="I",TRUE,FALSE)</formula>
    </cfRule>
  </conditionalFormatting>
  <conditionalFormatting sqref="E24:F25">
    <cfRule type="cellIs" dxfId="114" priority="188" stopIfTrue="1" operator="equal">
      <formula>"y"</formula>
    </cfRule>
    <cfRule type="cellIs" dxfId="113" priority="189" stopIfTrue="1" operator="equal">
      <formula>"Y"</formula>
    </cfRule>
  </conditionalFormatting>
  <conditionalFormatting sqref="D24:M24">
    <cfRule type="expression" dxfId="112" priority="187" stopIfTrue="1">
      <formula>IF($A24&lt;&gt;"",IF(D24="",TRUE,FALSE),FALSE)</formula>
    </cfRule>
  </conditionalFormatting>
  <conditionalFormatting sqref="J24">
    <cfRule type="expression" dxfId="111" priority="186" stopIfTrue="1">
      <formula>IF($D24="I",TRUE,FALSE)</formula>
    </cfRule>
  </conditionalFormatting>
  <conditionalFormatting sqref="D25:M25">
    <cfRule type="expression" dxfId="110" priority="185" stopIfTrue="1">
      <formula>IF($A25&lt;&gt;"",IF(D25="",TRUE,FALSE),FALSE)</formula>
    </cfRule>
  </conditionalFormatting>
  <conditionalFormatting sqref="J25">
    <cfRule type="expression" dxfId="109" priority="184" stopIfTrue="1">
      <formula>IF($D25="I",TRUE,FALSE)</formula>
    </cfRule>
  </conditionalFormatting>
  <conditionalFormatting sqref="D24:M24">
    <cfRule type="expression" dxfId="108" priority="183" stopIfTrue="1">
      <formula>IF($A24&lt;&gt;"",IF(D24="",TRUE,FALSE),FALSE)</formula>
    </cfRule>
  </conditionalFormatting>
  <conditionalFormatting sqref="J24">
    <cfRule type="expression" dxfId="107" priority="182" stopIfTrue="1">
      <formula>IF($D24="I",TRUE,FALSE)</formula>
    </cfRule>
  </conditionalFormatting>
  <conditionalFormatting sqref="D24:M24">
    <cfRule type="expression" dxfId="106" priority="181" stopIfTrue="1">
      <formula>IF($A24&lt;&gt;"",IF(D24="",TRUE,FALSE),FALSE)</formula>
    </cfRule>
  </conditionalFormatting>
  <conditionalFormatting sqref="J24">
    <cfRule type="expression" dxfId="105" priority="180" stopIfTrue="1">
      <formula>IF($D24="I",TRUE,FALSE)</formula>
    </cfRule>
  </conditionalFormatting>
  <conditionalFormatting sqref="D24:M24">
    <cfRule type="expression" dxfId="104" priority="179" stopIfTrue="1">
      <formula>IF($A24&lt;&gt;"",IF(D24="",TRUE,FALSE),FALSE)</formula>
    </cfRule>
  </conditionalFormatting>
  <conditionalFormatting sqref="J24">
    <cfRule type="expression" dxfId="103" priority="178" stopIfTrue="1">
      <formula>IF($D24="I",TRUE,FALSE)</formula>
    </cfRule>
  </conditionalFormatting>
  <conditionalFormatting sqref="E26:F26">
    <cfRule type="cellIs" dxfId="102" priority="176" stopIfTrue="1" operator="equal">
      <formula>"y"</formula>
    </cfRule>
    <cfRule type="cellIs" dxfId="101" priority="177" stopIfTrue="1" operator="equal">
      <formula>"Y"</formula>
    </cfRule>
  </conditionalFormatting>
  <conditionalFormatting sqref="D26:M26">
    <cfRule type="expression" dxfId="100" priority="175" stopIfTrue="1">
      <formula>IF($A26&lt;&gt;"",IF(D26="",TRUE,FALSE),FALSE)</formula>
    </cfRule>
  </conditionalFormatting>
  <conditionalFormatting sqref="J26">
    <cfRule type="expression" dxfId="99" priority="174" stopIfTrue="1">
      <formula>IF($D26="I",TRUE,FALSE)</formula>
    </cfRule>
  </conditionalFormatting>
  <conditionalFormatting sqref="E27:F27 E28">
    <cfRule type="cellIs" dxfId="98" priority="170" stopIfTrue="1" operator="equal">
      <formula>"y"</formula>
    </cfRule>
    <cfRule type="cellIs" dxfId="97" priority="171" stopIfTrue="1" operator="equal">
      <formula>"Y"</formula>
    </cfRule>
  </conditionalFormatting>
  <conditionalFormatting sqref="B27:B28 D27:M27 D28:E28 G28:M28 J29:J30">
    <cfRule type="expression" dxfId="96" priority="169" stopIfTrue="1">
      <formula>IF($A27&lt;&gt;"",IF(B27="",TRUE,FALSE),FALSE)</formula>
    </cfRule>
  </conditionalFormatting>
  <conditionalFormatting sqref="J27:J30">
    <cfRule type="expression" dxfId="95" priority="168" stopIfTrue="1">
      <formula>IF($D27="I",TRUE,FALSE)</formula>
    </cfRule>
  </conditionalFormatting>
  <conditionalFormatting sqref="B27:B28 D27:M27 D28:E28 G28:M28 J29:J30">
    <cfRule type="expression" dxfId="94" priority="167" stopIfTrue="1">
      <formula>IF($A27&lt;&gt;"",IF(B27="",TRUE,FALSE),FALSE)</formula>
    </cfRule>
  </conditionalFormatting>
  <conditionalFormatting sqref="J27:J30">
    <cfRule type="expression" dxfId="93" priority="166" stopIfTrue="1">
      <formula>IF($D27="I",TRUE,FALSE)</formula>
    </cfRule>
  </conditionalFormatting>
  <conditionalFormatting sqref="B27:B28 D27:M27 D28:E28 G28:M28 J29:J30">
    <cfRule type="expression" dxfId="92" priority="165" stopIfTrue="1">
      <formula>IF($A27&lt;&gt;"",IF(B27="",TRUE,FALSE),FALSE)</formula>
    </cfRule>
  </conditionalFormatting>
  <conditionalFormatting sqref="J27:J30">
    <cfRule type="expression" dxfId="91" priority="164" stopIfTrue="1">
      <formula>IF($D27="I",TRUE,FALSE)</formula>
    </cfRule>
  </conditionalFormatting>
  <conditionalFormatting sqref="E31:E32">
    <cfRule type="cellIs" dxfId="90" priority="162" stopIfTrue="1" operator="equal">
      <formula>"y"</formula>
    </cfRule>
    <cfRule type="cellIs" dxfId="89" priority="163" stopIfTrue="1" operator="equal">
      <formula>"Y"</formula>
    </cfRule>
  </conditionalFormatting>
  <conditionalFormatting sqref="D31:E32 G31:M32">
    <cfRule type="expression" dxfId="88" priority="161" stopIfTrue="1">
      <formula>IF($A31&lt;&gt;"",IF(D31="",TRUE,FALSE),FALSE)</formula>
    </cfRule>
  </conditionalFormatting>
  <conditionalFormatting sqref="J31:J32">
    <cfRule type="expression" dxfId="87" priority="160" stopIfTrue="1">
      <formula>IF($D31="I",TRUE,FALSE)</formula>
    </cfRule>
  </conditionalFormatting>
  <conditionalFormatting sqref="D31:E32 G31:M32">
    <cfRule type="expression" dxfId="86" priority="159" stopIfTrue="1">
      <formula>IF($A31&lt;&gt;"",IF(D31="",TRUE,FALSE),FALSE)</formula>
    </cfRule>
  </conditionalFormatting>
  <conditionalFormatting sqref="J31:J32">
    <cfRule type="expression" dxfId="85" priority="158" stopIfTrue="1">
      <formula>IF($D31="I",TRUE,FALSE)</formula>
    </cfRule>
  </conditionalFormatting>
  <conditionalFormatting sqref="D31:E32 G31:M32">
    <cfRule type="expression" dxfId="84" priority="157" stopIfTrue="1">
      <formula>IF($A31&lt;&gt;"",IF(D31="",TRUE,FALSE),FALSE)</formula>
    </cfRule>
  </conditionalFormatting>
  <conditionalFormatting sqref="J31:J32">
    <cfRule type="expression" dxfId="83" priority="156" stopIfTrue="1">
      <formula>IF($D31="I",TRUE,FALSE)</formula>
    </cfRule>
  </conditionalFormatting>
  <conditionalFormatting sqref="E52:E75">
    <cfRule type="cellIs" dxfId="82" priority="138" stopIfTrue="1" operator="equal">
      <formula>"y"</formula>
    </cfRule>
    <cfRule type="cellIs" dxfId="81" priority="139" stopIfTrue="1" operator="equal">
      <formula>"Y"</formula>
    </cfRule>
  </conditionalFormatting>
  <conditionalFormatting sqref="D52:E75 G52:M53 B52:B53 G52:H55 M54:M68 B56:B62 B69:B71 J62 H56:H71 J69:M71">
    <cfRule type="expression" dxfId="80" priority="137" stopIfTrue="1">
      <formula>IF($A52&lt;&gt;"",IF(B52="",TRUE,FALSE),FALSE)</formula>
    </cfRule>
  </conditionalFormatting>
  <conditionalFormatting sqref="J52:J53 J62 J69:J71">
    <cfRule type="expression" dxfId="79" priority="136" stopIfTrue="1">
      <formula>IF($D52="I",TRUE,FALSE)</formula>
    </cfRule>
  </conditionalFormatting>
  <conditionalFormatting sqref="B72:B75 G75:M75 H72:M74">
    <cfRule type="expression" dxfId="78" priority="133" stopIfTrue="1">
      <formula>IF($A72&lt;&gt;"",IF(B72="",TRUE,FALSE),FALSE)</formula>
    </cfRule>
  </conditionalFormatting>
  <conditionalFormatting sqref="J72:J75">
    <cfRule type="expression" dxfId="77" priority="132" stopIfTrue="1">
      <formula>IF($D72="I",TRUE,FALSE)</formula>
    </cfRule>
  </conditionalFormatting>
  <conditionalFormatting sqref="E78:E84">
    <cfRule type="expression" dxfId="76" priority="129" stopIfTrue="1">
      <formula>IF($A78&lt;&gt;"",IF(E78="",TRUE,FALSE),FALSE)</formula>
    </cfRule>
  </conditionalFormatting>
  <conditionalFormatting sqref="I78:J84 D78:D84 L78:M84">
    <cfRule type="expression" dxfId="75" priority="122" stopIfTrue="1">
      <formula>IF($A78&lt;&gt;"",IF(D78="",TRUE,FALSE),FALSE)</formula>
    </cfRule>
  </conditionalFormatting>
  <conditionalFormatting sqref="J78:J84">
    <cfRule type="expression" dxfId="74" priority="121" stopIfTrue="1">
      <formula>IF($D78="I",TRUE,FALSE)</formula>
    </cfRule>
  </conditionalFormatting>
  <conditionalFormatting sqref="E22">
    <cfRule type="cellIs" dxfId="73" priority="113" stopIfTrue="1" operator="equal">
      <formula>"y"</formula>
    </cfRule>
    <cfRule type="cellIs" dxfId="72" priority="114" stopIfTrue="1" operator="equal">
      <formula>"Y"</formula>
    </cfRule>
  </conditionalFormatting>
  <conditionalFormatting sqref="B38:B39">
    <cfRule type="expression" dxfId="71" priority="248" stopIfTrue="1">
      <formula>IF($A33&lt;&gt;"",IF(B38="",TRUE,FALSE),FALSE)</formula>
    </cfRule>
  </conditionalFormatting>
  <conditionalFormatting sqref="B40:B41">
    <cfRule type="expression" dxfId="70" priority="106" stopIfTrue="1">
      <formula>IF($A35&lt;&gt;"",IF(B40="",TRUE,FALSE),FALSE)</formula>
    </cfRule>
  </conditionalFormatting>
  <conditionalFormatting sqref="B42:B43">
    <cfRule type="expression" dxfId="69" priority="105" stopIfTrue="1">
      <formula>IF($A37&lt;&gt;"",IF(B42="",TRUE,FALSE),FALSE)</formula>
    </cfRule>
  </conditionalFormatting>
  <conditionalFormatting sqref="B44:B45">
    <cfRule type="expression" dxfId="68" priority="104" stopIfTrue="1">
      <formula>IF($A39&lt;&gt;"",IF(B44="",TRUE,FALSE),FALSE)</formula>
    </cfRule>
  </conditionalFormatting>
  <conditionalFormatting sqref="E34:F45">
    <cfRule type="cellIs" dxfId="67" priority="102" stopIfTrue="1" operator="equal">
      <formula>"y"</formula>
    </cfRule>
    <cfRule type="cellIs" dxfId="66" priority="103" stopIfTrue="1" operator="equal">
      <formula>"Y"</formula>
    </cfRule>
  </conditionalFormatting>
  <conditionalFormatting sqref="B34 D34:M34 D35:L45">
    <cfRule type="expression" dxfId="65" priority="101" stopIfTrue="1">
      <formula>IF($A34&lt;&gt;"",IF(B34="",TRUE,FALSE),FALSE)</formula>
    </cfRule>
  </conditionalFormatting>
  <conditionalFormatting sqref="J34:J45">
    <cfRule type="expression" dxfId="64" priority="100" stopIfTrue="1">
      <formula>IF($D34="I",TRUE,FALSE)</formula>
    </cfRule>
  </conditionalFormatting>
  <conditionalFormatting sqref="B35">
    <cfRule type="expression" dxfId="63" priority="254" stopIfTrue="1">
      <formula>IF($A32&lt;&gt;"",IF(B35="",TRUE,FALSE),FALSE)</formula>
    </cfRule>
  </conditionalFormatting>
  <conditionalFormatting sqref="B36:B37">
    <cfRule type="expression" dxfId="62" priority="256" stopIfTrue="1">
      <formula>IF($A29&lt;&gt;"",IF(B36="",TRUE,FALSE),FALSE)</formula>
    </cfRule>
  </conditionalFormatting>
  <conditionalFormatting sqref="M29:M30">
    <cfRule type="expression" dxfId="61" priority="98" stopIfTrue="1">
      <formula>IF($A29&lt;&gt;"",IF(M29="",TRUE,FALSE),FALSE)</formula>
    </cfRule>
  </conditionalFormatting>
  <conditionalFormatting sqref="M29:M30">
    <cfRule type="expression" dxfId="60" priority="97" stopIfTrue="1">
      <formula>IF($A29&lt;&gt;"",IF(M29="",TRUE,FALSE),FALSE)</formula>
    </cfRule>
  </conditionalFormatting>
  <conditionalFormatting sqref="M29:M30">
    <cfRule type="expression" dxfId="59" priority="96" stopIfTrue="1">
      <formula>IF($A29&lt;&gt;"",IF(M29="",TRUE,FALSE),FALSE)</formula>
    </cfRule>
  </conditionalFormatting>
  <conditionalFormatting sqref="B31:B33">
    <cfRule type="expression" dxfId="58" priority="95" stopIfTrue="1">
      <formula>IF($A31&lt;&gt;"",IF(B31="",TRUE,FALSE),FALSE)</formula>
    </cfRule>
  </conditionalFormatting>
  <conditionalFormatting sqref="E19:F20">
    <cfRule type="cellIs" dxfId="57" priority="84" stopIfTrue="1" operator="equal">
      <formula>"y"</formula>
    </cfRule>
    <cfRule type="cellIs" dxfId="56" priority="85" stopIfTrue="1" operator="equal">
      <formula>"Y"</formula>
    </cfRule>
  </conditionalFormatting>
  <conditionalFormatting sqref="B19:B20 D19:I20 K19:M20">
    <cfRule type="expression" dxfId="55" priority="83" stopIfTrue="1">
      <formula>IF($A19&lt;&gt;"",IF(B19="",TRUE,FALSE),FALSE)</formula>
    </cfRule>
  </conditionalFormatting>
  <conditionalFormatting sqref="E76:F77">
    <cfRule type="cellIs" dxfId="54" priority="80" stopIfTrue="1" operator="equal">
      <formula>"y"</formula>
    </cfRule>
    <cfRule type="cellIs" dxfId="53" priority="81" stopIfTrue="1" operator="equal">
      <formula>"Y"</formula>
    </cfRule>
  </conditionalFormatting>
  <conditionalFormatting sqref="B76:B77 D76:F77 K76:K77 M76:M77">
    <cfRule type="expression" dxfId="52" priority="79" stopIfTrue="1">
      <formula>IF($A76&lt;&gt;"",IF(B76="",TRUE,FALSE),FALSE)</formula>
    </cfRule>
  </conditionalFormatting>
  <conditionalFormatting sqref="E50:F50">
    <cfRule type="cellIs" dxfId="51" priority="70" stopIfTrue="1" operator="equal">
      <formula>"y"</formula>
    </cfRule>
    <cfRule type="cellIs" dxfId="50" priority="71" stopIfTrue="1" operator="equal">
      <formula>"Y"</formula>
    </cfRule>
  </conditionalFormatting>
  <conditionalFormatting sqref="K50:M50 D50:H50">
    <cfRule type="expression" dxfId="49" priority="69" stopIfTrue="1">
      <formula>IF($A50&lt;&gt;"",IF(D50="",TRUE,FALSE),FALSE)</formula>
    </cfRule>
  </conditionalFormatting>
  <conditionalFormatting sqref="E85:F85">
    <cfRule type="cellIs" dxfId="48" priority="66" stopIfTrue="1" operator="equal">
      <formula>"y"</formula>
    </cfRule>
    <cfRule type="cellIs" dxfId="47" priority="67" stopIfTrue="1" operator="equal">
      <formula>"Y"</formula>
    </cfRule>
  </conditionalFormatting>
  <conditionalFormatting sqref="F85">
    <cfRule type="expression" dxfId="46" priority="65" stopIfTrue="1">
      <formula>IF($A85&lt;&gt;"",IF(F85="",TRUE,FALSE),FALSE)</formula>
    </cfRule>
  </conditionalFormatting>
  <conditionalFormatting sqref="E85">
    <cfRule type="expression" dxfId="45" priority="64" stopIfTrue="1">
      <formula>IF($A85&lt;&gt;"",IF(E85="",TRUE,FALSE),FALSE)</formula>
    </cfRule>
  </conditionalFormatting>
  <conditionalFormatting sqref="I85:M85 D85">
    <cfRule type="expression" dxfId="44" priority="63" stopIfTrue="1">
      <formula>IF($A85&lt;&gt;"",IF(D85="",TRUE,FALSE),FALSE)</formula>
    </cfRule>
  </conditionalFormatting>
  <conditionalFormatting sqref="J85">
    <cfRule type="expression" dxfId="43" priority="62" stopIfTrue="1">
      <formula>IF($D85="I",TRUE,FALSE)</formula>
    </cfRule>
  </conditionalFormatting>
  <conditionalFormatting sqref="G85:H85">
    <cfRule type="expression" dxfId="42" priority="61" stopIfTrue="1">
      <formula>IF($A85&lt;&gt;"",IF(G85="",TRUE,FALSE),FALSE)</formula>
    </cfRule>
  </conditionalFormatting>
  <conditionalFormatting sqref="B78:B84">
    <cfRule type="expression" dxfId="41" priority="46" stopIfTrue="1">
      <formula>IF($A78&lt;&gt;"",IF(B78="",TRUE,FALSE),FALSE)</formula>
    </cfRule>
  </conditionalFormatting>
  <conditionalFormatting sqref="B46">
    <cfRule type="expression" dxfId="40" priority="45" stopIfTrue="1">
      <formula>IF($A41&lt;&gt;"",IF(B46="",TRUE,FALSE),FALSE)</formula>
    </cfRule>
  </conditionalFormatting>
  <conditionalFormatting sqref="B50:B51">
    <cfRule type="expression" dxfId="39" priority="44" stopIfTrue="1">
      <formula>IF($A50&lt;&gt;"",IF(B50="",TRUE,FALSE),FALSE)</formula>
    </cfRule>
  </conditionalFormatting>
  <conditionalFormatting sqref="J50">
    <cfRule type="expression" dxfId="38" priority="43" stopIfTrue="1">
      <formula>IF($A50&lt;&gt;"",IF(J50="",TRUE,FALSE),FALSE)</formula>
    </cfRule>
  </conditionalFormatting>
  <conditionalFormatting sqref="J50">
    <cfRule type="expression" dxfId="37" priority="42" stopIfTrue="1">
      <formula>IF($D50="I",TRUE,FALSE)</formula>
    </cfRule>
  </conditionalFormatting>
  <conditionalFormatting sqref="J55:L55">
    <cfRule type="expression" dxfId="36" priority="41" stopIfTrue="1">
      <formula>IF($A55&lt;&gt;"",IF(J55="",TRUE,FALSE),FALSE)</formula>
    </cfRule>
  </conditionalFormatting>
  <conditionalFormatting sqref="J55">
    <cfRule type="expression" dxfId="35" priority="40" stopIfTrue="1">
      <formula>IF($D55="I",TRUE,FALSE)</formula>
    </cfRule>
  </conditionalFormatting>
  <conditionalFormatting sqref="K54:L54">
    <cfRule type="expression" dxfId="34" priority="39" stopIfTrue="1">
      <formula>IF($A54&lt;&gt;"",IF(K54="",TRUE,FALSE),FALSE)</formula>
    </cfRule>
  </conditionalFormatting>
  <conditionalFormatting sqref="J54">
    <cfRule type="expression" dxfId="33" priority="38" stopIfTrue="1">
      <formula>IF($A54&lt;&gt;"",IF(J54="",TRUE,FALSE),FALSE)</formula>
    </cfRule>
  </conditionalFormatting>
  <conditionalFormatting sqref="J54">
    <cfRule type="expression" dxfId="32" priority="37" stopIfTrue="1">
      <formula>IF($D54="I",TRUE,FALSE)</formula>
    </cfRule>
  </conditionalFormatting>
  <conditionalFormatting sqref="I46:I51">
    <cfRule type="expression" dxfId="31" priority="36" stopIfTrue="1">
      <formula>IF($A46&lt;&gt;"",IF(I46="",TRUE,FALSE),FALSE)</formula>
    </cfRule>
  </conditionalFormatting>
  <conditionalFormatting sqref="I54:I55">
    <cfRule type="expression" dxfId="30" priority="35" stopIfTrue="1">
      <formula>IF($A54&lt;&gt;"",IF(I54="",TRUE,FALSE),FALSE)</formula>
    </cfRule>
  </conditionalFormatting>
  <conditionalFormatting sqref="K56:K68">
    <cfRule type="expression" dxfId="29" priority="34" stopIfTrue="1">
      <formula>IF($A56&lt;&gt;"",IF(K56="",TRUE,FALSE),FALSE)</formula>
    </cfRule>
  </conditionalFormatting>
  <conditionalFormatting sqref="L56:L68">
    <cfRule type="expression" dxfId="28" priority="33" stopIfTrue="1">
      <formula>IF($A56&lt;&gt;"",IF(L56="",TRUE,FALSE),FALSE)</formula>
    </cfRule>
  </conditionalFormatting>
  <conditionalFormatting sqref="G56:G74">
    <cfRule type="expression" dxfId="27" priority="30" stopIfTrue="1">
      <formula>IF($A56&lt;&gt;"",IF(G56="",TRUE,FALSE),FALSE)</formula>
    </cfRule>
  </conditionalFormatting>
  <conditionalFormatting sqref="B85:B87">
    <cfRule type="expression" dxfId="26" priority="29" stopIfTrue="1">
      <formula>IF($A85&lt;&gt;"",IF(B85="",TRUE,FALSE),FALSE)</formula>
    </cfRule>
  </conditionalFormatting>
  <conditionalFormatting sqref="H78:H84">
    <cfRule type="expression" dxfId="25" priority="28" stopIfTrue="1">
      <formula>IF($A78&lt;&gt;"",IF(H78="",TRUE,FALSE),FALSE)</formula>
    </cfRule>
  </conditionalFormatting>
  <conditionalFormatting sqref="B54:B55">
    <cfRule type="expression" dxfId="24" priority="27" stopIfTrue="1">
      <formula>IF($A54&lt;&gt;"",IF(B54="",TRUE,FALSE),FALSE)</formula>
    </cfRule>
  </conditionalFormatting>
  <conditionalFormatting sqref="B24:B26">
    <cfRule type="expression" dxfId="23" priority="25" stopIfTrue="1">
      <formula>IF($A24&lt;&gt;"",IF(B24="",TRUE,FALSE),FALSE)</formula>
    </cfRule>
  </conditionalFormatting>
  <conditionalFormatting sqref="B63:B64">
    <cfRule type="expression" dxfId="22" priority="22" stopIfTrue="1">
      <formula>IF($A63&lt;&gt;"",IF(B63="",TRUE,FALSE),FALSE)</formula>
    </cfRule>
  </conditionalFormatting>
  <conditionalFormatting sqref="B67:B68">
    <cfRule type="expression" dxfId="21" priority="21" stopIfTrue="1">
      <formula>IF($A65&lt;&gt;"",IF(B67="",TRUE,FALSE),FALSE)</formula>
    </cfRule>
  </conditionalFormatting>
  <conditionalFormatting sqref="B65:B66">
    <cfRule type="expression" dxfId="20" priority="20" stopIfTrue="1">
      <formula>IF($A65&lt;&gt;"",IF(B65="",TRUE,FALSE),FALSE)</formula>
    </cfRule>
  </conditionalFormatting>
  <conditionalFormatting sqref="I56:I69">
    <cfRule type="expression" dxfId="19" priority="18" stopIfTrue="1">
      <formula>IF($A56&lt;&gt;"",IF(I56="",TRUE,FALSE),FALSE)</formula>
    </cfRule>
  </conditionalFormatting>
  <conditionalFormatting sqref="J56:J61">
    <cfRule type="expression" dxfId="18" priority="17" stopIfTrue="1">
      <formula>IF($A56&lt;&gt;"",IF(J56="",TRUE,FALSE),FALSE)</formula>
    </cfRule>
  </conditionalFormatting>
  <conditionalFormatting sqref="J56:J61">
    <cfRule type="expression" dxfId="17" priority="16" stopIfTrue="1">
      <formula>IF($D56="I",TRUE,FALSE)</formula>
    </cfRule>
  </conditionalFormatting>
  <conditionalFormatting sqref="J63:J68">
    <cfRule type="expression" dxfId="16" priority="15" stopIfTrue="1">
      <formula>IF($A63&lt;&gt;"",IF(J63="",TRUE,FALSE),FALSE)</formula>
    </cfRule>
  </conditionalFormatting>
  <conditionalFormatting sqref="J63:J68">
    <cfRule type="expression" dxfId="15" priority="14" stopIfTrue="1">
      <formula>IF($D63="I",TRUE,FALSE)</formula>
    </cfRule>
  </conditionalFormatting>
  <conditionalFormatting sqref="I70">
    <cfRule type="expression" dxfId="14" priority="13" stopIfTrue="1">
      <formula>IF($A70&lt;&gt;"",IF(I70="",TRUE,FALSE),FALSE)</formula>
    </cfRule>
  </conditionalFormatting>
  <conditionalFormatting sqref="I71">
    <cfRule type="expression" dxfId="13" priority="12" stopIfTrue="1">
      <formula>IF($A71&lt;&gt;"",IF(I71="",TRUE,FALSE),FALSE)</formula>
    </cfRule>
  </conditionalFormatting>
  <conditionalFormatting sqref="AE88:AF88 AR88:AS88 BE88:BF88 BR88:BS88 CE88:CF88 CR88:CS88 DE88:DF88 DR88:DS88 EE88:EF88 ER88:ES88 FE88:FF88 FR88:FS88 GE88:GF88 GR88:GS88 HE88:HF88 HR88:HS88 IE88:IF88 IR88:IS88 JE88:JF88 JR88:JS88 KE88:KF88 KR88:KS88 LE88:LF88 LR88:LS88 ME88:MF88 MR88:MS88 NE88:NF88 NR88:NS88 OE88:OF88 OR88:OS88 PE88:PF88 PR88:PS88 QE88:QF88 QR88:QS88 RE88:RF88 RR88:RS88 SE88:SF88 SR88:SS88 TE88:TF88 TR88:TS88 UE88:UF88 UR88:US88 VE88:VF88 VR88:VS88 WE88:WF88 WR88:WS88 XE88:XF88 XR88:XS88 YE88:YF88 YR88:YS88 ZE88:ZF88 ZR88:ZS88 AAE88:AAF88 AAR88:AAS88 ABE88:ABF88 ABR88:ABS88 ACE88:ACF88 ACR88:ACS88 ADE88:ADF88 ADR88:ADS88 AEE88:AEF88 AER88:AES88 AFE88:AFF88 AFR88:AFS88 AGE88:AGF88 AGR88:AGS88 AHE88:AHF88 AHR88:AHS88 AIE88:AIF88 AIR88:AIS88 AJE88:AJF88 AJR88:AJS88 AKE88:AKF88 AKR88:AKS88 ALE88:ALF88 ALR88:ALS88 AME88:AMF88 AMR88:AMS88 ANE88:ANF88 ANR88:ANS88 AOE88:AOF88 AOR88:AOS88 APE88:APF88 APR88:APS88 AQE88:AQF88 AQR88:AQS88 ARE88:ARF88 ARR88:ARS88 ASE88:ASF88 ASR88:ASS88 ATE88:ATF88 ATR88:ATS88 AUE88:AUF88 AUR88:AUS88 AVE88:AVF88 AVR88:AVS88 AWE88:AWF88 AWR88:AWS88 AXE88:AXF88 AXR88:AXS88 AYE88:AYF88 AYR88:AYS88 AZE88:AZF88 AZR88:AZS88 BAE88:BAF88 BAR88:BAS88 BBE88:BBF88 BBR88:BBS88 BCE88:BCF88 BCR88:BCS88 BDE88:BDF88 BDR88:BDS88 BEE88:BEF88 BER88:BES88 BFE88:BFF88 BFR88:BFS88 BGE88:BGF88 BGR88:BGS88 BHE88:BHF88 BHR88:BHS88 BIE88:BIF88 BIR88:BIS88 BJE88:BJF88 BJR88:BJS88 BKE88:BKF88 BKR88:BKS88 BLE88:BLF88 BLR88:BLS88 BME88:BMF88 BMR88:BMS88 BNE88:BNF88 BNR88:BNS88 BOE88:BOF88 BOR88:BOS88 BPE88:BPF88 BPR88:BPS88 BQE88:BQF88 BQR88:BQS88 BRE88:BRF88 BRR88:BRS88 BSE88:BSF88 BSR88:BSS88 BTE88:BTF88 BTR88:BTS88 BUE88:BUF88 BUR88:BUS88 BVE88:BVF88 BVR88:BVS88 BWE88:BWF88 BWR88:BWS88 BXE88:BXF88 BXR88:BXS88 BYE88:BYF88 BYR88:BYS88 BZE88:BZF88 BZR88:BZS88 CAE88:CAF88 CAR88:CAS88 CBE88:CBF88 CBR88:CBS88 CCE88:CCF88 CCR88:CCS88 CDE88:CDF88 CDR88:CDS88 CEE88:CEF88 CER88:CES88 CFE88:CFF88 CFR88:CFS88 CGE88:CGF88 CGR88:CGS88 CHE88:CHF88 CHR88:CHS88 CIE88:CIF88 CIR88:CIS88 CJE88:CJF88 CJR88:CJS88 CKE88:CKF88 CKR88:CKS88 CLE88:CLF88 CLR88:CLS88 CME88:CMF88 CMR88:CMS88 CNE88:CNF88 CNR88:CNS88 COE88:COF88 COR88:COS88 CPE88:CPF88 CPR88:CPS88 CQE88:CQF88 CQR88:CQS88 CRE88:CRF88 CRR88:CRS88 CSE88:CSF88 CSR88:CSS88 CTE88:CTF88 CTR88:CTS88 CUE88:CUF88 CUR88:CUS88 CVE88:CVF88 CVR88:CVS88 CWE88:CWF88 CWR88:CWS88 CXE88:CXF88 CXR88:CXS88 CYE88:CYF88 CYR88:CYS88 CZE88:CZF88 CZR88:CZS88 DAE88:DAF88 DAR88:DAS88 DBE88:DBF88 DBR88:DBS88 DCE88:DCF88 DCR88:DCS88 DDE88:DDF88 DDR88:DDS88 DEE88:DEF88 DER88:DES88 DFE88:DFF88 DFR88:DFS88 DGE88:DGF88 DGR88:DGS88 DHE88:DHF88 DHR88:DHS88 DIE88:DIF88 DIR88:DIS88 DJE88:DJF88 DJR88:DJS88 DKE88:DKF88 DKR88:DKS88 DLE88:DLF88 DLR88:DLS88 DME88:DMF88 DMR88:DMS88 DNE88:DNF88 DNR88:DNS88 DOE88:DOF88 DOR88:DOS88 DPE88:DPF88 DPR88:DPS88 DQE88:DQF88 DQR88:DQS88 DRE88:DRF88 DRR88:DRS88 DSE88:DSF88 DSR88:DSS88 DTE88:DTF88 DTR88:DTS88 DUE88:DUF88 DUR88:DUS88 DVE88:DVF88 DVR88:DVS88 DWE88:DWF88 DWR88:DWS88 DXE88:DXF88 DXR88:DXS88 DYE88:DYF88 DYR88:DYS88 DZE88:DZF88 DZR88:DZS88 EAE88:EAF88 EAR88:EAS88 EBE88:EBF88 EBR88:EBS88 ECE88:ECF88 ECR88:ECS88 EDE88:EDF88 EDR88:EDS88 EEE88:EEF88 EER88:EES88 EFE88:EFF88 EFR88:EFS88 EGE88:EGF88 EGR88:EGS88 EHE88:EHF88 EHR88:EHS88 EIE88:EIF88 EIR88:EIS88 EJE88:EJF88 EJR88:EJS88 EKE88:EKF88 EKR88:EKS88 ELE88:ELF88 ELR88:ELS88 EME88:EMF88 EMR88:EMS88 ENE88:ENF88 ENR88:ENS88 EOE88:EOF88 EOR88:EOS88 EPE88:EPF88 EPR88:EPS88 EQE88:EQF88 EQR88:EQS88 ERE88:ERF88 ERR88:ERS88 ESE88:ESF88 ESR88:ESS88 ETE88:ETF88 ETR88:ETS88 EUE88:EUF88 EUR88:EUS88 EVE88:EVF88 EVR88:EVS88 EWE88:EWF88 EWR88:EWS88 EXE88:EXF88 EXR88:EXS88 EYE88:EYF88 EYR88:EYS88 EZE88:EZF88 EZR88:EZS88 FAE88:FAF88 FAR88:FAS88 FBE88:FBF88 FBR88:FBS88 FCE88:FCF88 FCR88:FCS88 FDE88:FDF88 FDR88:FDS88 FEE88:FEF88 FER88:FES88 FFE88:FFF88 FFR88:FFS88 FGE88:FGF88 FGR88:FGS88 FHE88:FHF88 FHR88:FHS88 FIE88:FIF88 FIR88:FIS88 FJE88:FJF88 FJR88:FJS88 FKE88:FKF88 FKR88:FKS88 FLE88:FLF88 FLR88:FLS88 FME88:FMF88 FMR88:FMS88 FNE88:FNF88 FNR88:FNS88 FOE88:FOF88 FOR88:FOS88 FPE88:FPF88 FPR88:FPS88 FQE88:FQF88 FQR88:FQS88 FRE88:FRF88 FRR88:FRS88 FSE88:FSF88 FSR88:FSS88 FTE88:FTF88 FTR88:FTS88 FUE88:FUF88 FUR88:FUS88 FVE88:FVF88 FVR88:FVS88 FWE88:FWF88 FWR88:FWS88 FXE88:FXF88 FXR88:FXS88 FYE88:FYF88 FYR88:FYS88 FZE88:FZF88 FZR88:FZS88 GAE88:GAF88 GAR88:GAS88 GBE88:GBF88 GBR88:GBS88 GCE88:GCF88 GCR88:GCS88 GDE88:GDF88 GDR88:GDS88 GEE88:GEF88 GER88:GES88 GFE88:GFF88 GFR88:GFS88 GGE88:GGF88 GGR88:GGS88 GHE88:GHF88 GHR88:GHS88 GIE88:GIF88 GIR88:GIS88 GJE88:GJF88 GJR88:GJS88 GKE88:GKF88 GKR88:GKS88 GLE88:GLF88 GLR88:GLS88 GME88:GMF88 GMR88:GMS88 GNE88:GNF88 GNR88:GNS88 GOE88:GOF88 GOR88:GOS88 GPE88:GPF88 GPR88:GPS88 GQE88:GQF88 GQR88:GQS88 GRE88:GRF88 GRR88:GRS88 GSE88:GSF88 GSR88:GSS88 GTE88:GTF88 GTR88:GTS88 GUE88:GUF88 GUR88:GUS88 GVE88:GVF88 GVR88:GVS88 GWE88:GWF88 GWR88:GWS88 GXE88:GXF88 GXR88:GXS88 GYE88:GYF88 GYR88:GYS88 GZE88:GZF88 GZR88:GZS88 HAE88:HAF88 HAR88:HAS88 HBE88:HBF88 HBR88:HBS88 HCE88:HCF88 HCR88:HCS88 HDE88:HDF88 HDR88:HDS88 HEE88:HEF88 HER88:HES88 HFE88:HFF88 HFR88:HFS88 HGE88:HGF88 HGR88:HGS88 HHE88:HHF88 HHR88:HHS88 HIE88:HIF88 HIR88:HIS88 HJE88:HJF88 HJR88:HJS88 HKE88:HKF88 HKR88:HKS88 HLE88:HLF88 HLR88:HLS88 HME88:HMF88 HMR88:HMS88 HNE88:HNF88 HNR88:HNS88 HOE88:HOF88 HOR88:HOS88 HPE88:HPF88 HPR88:HPS88 HQE88:HQF88 HQR88:HQS88 HRE88:HRF88 HRR88:HRS88 HSE88:HSF88 HSR88:HSS88 HTE88:HTF88 HTR88:HTS88 HUE88:HUF88 HUR88:HUS88 HVE88:HVF88 HVR88:HVS88 HWE88:HWF88 HWR88:HWS88 HXE88:HXF88 HXR88:HXS88 HYE88:HYF88 HYR88:HYS88 HZE88:HZF88 HZR88:HZS88 IAE88:IAF88 IAR88:IAS88 IBE88:IBF88 IBR88:IBS88 ICE88:ICF88 ICR88:ICS88 IDE88:IDF88 IDR88:IDS88 IEE88:IEF88 IER88:IES88 IFE88:IFF88 IFR88:IFS88 IGE88:IGF88 IGR88:IGS88 IHE88:IHF88 IHR88:IHS88 IIE88:IIF88 IIR88:IIS88 IJE88:IJF88 IJR88:IJS88 IKE88:IKF88 IKR88:IKS88 ILE88:ILF88 ILR88:ILS88 IME88:IMF88 IMR88:IMS88 INE88:INF88 INR88:INS88 IOE88:IOF88 IOR88:IOS88 IPE88:IPF88 IPR88:IPS88 IQE88:IQF88 IQR88:IQS88 IRE88:IRF88 IRR88:IRS88 ISE88:ISF88 ISR88:ISS88 ITE88:ITF88 ITR88:ITS88 IUE88:IUF88 IUR88:IUS88 IVE88:IVF88 IVR88:IVS88 IWE88:IWF88 IWR88:IWS88 IXE88:IXF88 IXR88:IXS88 IYE88:IYF88 IYR88:IYS88 IZE88:IZF88 IZR88:IZS88 JAE88:JAF88 JAR88:JAS88 JBE88:JBF88 JBR88:JBS88 JCE88:JCF88 JCR88:JCS88 JDE88:JDF88 JDR88:JDS88 JEE88:JEF88 JER88:JES88 JFE88:JFF88 JFR88:JFS88 JGE88:JGF88 JGR88:JGS88 JHE88:JHF88 JHR88:JHS88 JIE88:JIF88 JIR88:JIS88 JJE88:JJF88 JJR88:JJS88 JKE88:JKF88 JKR88:JKS88 JLE88:JLF88 JLR88:JLS88 JME88:JMF88 JMR88:JMS88 JNE88:JNF88 JNR88:JNS88 JOE88:JOF88 JOR88:JOS88 JPE88:JPF88 JPR88:JPS88 JQE88:JQF88 JQR88:JQS88 JRE88:JRF88 JRR88:JRS88 JSE88:JSF88 JSR88:JSS88 JTE88:JTF88 JTR88:JTS88 JUE88:JUF88 JUR88:JUS88 JVE88:JVF88 JVR88:JVS88 JWE88:JWF88 JWR88:JWS88 JXE88:JXF88 JXR88:JXS88 JYE88:JYF88 JYR88:JYS88 JZE88:JZF88 JZR88:JZS88 KAE88:KAF88 KAR88:KAS88 KBE88:KBF88 KBR88:KBS88 KCE88:KCF88 KCR88:KCS88 KDE88:KDF88 KDR88:KDS88 KEE88:KEF88 KER88:KES88 KFE88:KFF88 KFR88:KFS88 KGE88:KGF88 KGR88:KGS88 KHE88:KHF88 KHR88:KHS88 KIE88:KIF88 KIR88:KIS88 KJE88:KJF88 KJR88:KJS88 KKE88:KKF88 KKR88:KKS88 KLE88:KLF88 KLR88:KLS88 KME88:KMF88 KMR88:KMS88 KNE88:KNF88 KNR88:KNS88 KOE88:KOF88 KOR88:KOS88 KPE88:KPF88 KPR88:KPS88 KQE88:KQF88 KQR88:KQS88 KRE88:KRF88 KRR88:KRS88 KSE88:KSF88 KSR88:KSS88 KTE88:KTF88 KTR88:KTS88 KUE88:KUF88 KUR88:KUS88 KVE88:KVF88 KVR88:KVS88 KWE88:KWF88 KWR88:KWS88 KXE88:KXF88 KXR88:KXS88 KYE88:KYF88 KYR88:KYS88 KZE88:KZF88 KZR88:KZS88 LAE88:LAF88 LAR88:LAS88 LBE88:LBF88 LBR88:LBS88 LCE88:LCF88 LCR88:LCS88 LDE88:LDF88 LDR88:LDS88 LEE88:LEF88 LER88:LES88 LFE88:LFF88 LFR88:LFS88 LGE88:LGF88 LGR88:LGS88 LHE88:LHF88 LHR88:LHS88 LIE88:LIF88 LIR88:LIS88 LJE88:LJF88 LJR88:LJS88 LKE88:LKF88 LKR88:LKS88 LLE88:LLF88 LLR88:LLS88 LME88:LMF88 LMR88:LMS88 LNE88:LNF88 LNR88:LNS88 LOE88:LOF88 LOR88:LOS88 LPE88:LPF88 LPR88:LPS88 LQE88:LQF88 LQR88:LQS88 LRE88:LRF88 LRR88:LRS88 LSE88:LSF88 LSR88:LSS88 LTE88:LTF88 LTR88:LTS88 LUE88:LUF88 LUR88:LUS88 LVE88:LVF88 LVR88:LVS88 LWE88:LWF88 LWR88:LWS88 LXE88:LXF88 LXR88:LXS88 LYE88:LYF88 LYR88:LYS88 LZE88:LZF88 LZR88:LZS88 MAE88:MAF88 MAR88:MAS88 MBE88:MBF88 MBR88:MBS88 MCE88:MCF88 MCR88:MCS88 MDE88:MDF88 MDR88:MDS88 MEE88:MEF88 MER88:MES88 MFE88:MFF88 MFR88:MFS88 MGE88:MGF88 MGR88:MGS88 MHE88:MHF88 MHR88:MHS88 MIE88:MIF88 MIR88:MIS88 MJE88:MJF88 MJR88:MJS88 MKE88:MKF88 MKR88:MKS88 MLE88:MLF88 MLR88:MLS88 MME88:MMF88 MMR88:MMS88 MNE88:MNF88 MNR88:MNS88 MOE88:MOF88 MOR88:MOS88 MPE88:MPF88 MPR88:MPS88 MQE88:MQF88 MQR88:MQS88 MRE88:MRF88 MRR88:MRS88 MSE88:MSF88 MSR88:MSS88 MTE88:MTF88 MTR88:MTS88 MUE88:MUF88 MUR88:MUS88 MVE88:MVF88 MVR88:MVS88 MWE88:MWF88 MWR88:MWS88 MXE88:MXF88 MXR88:MXS88 MYE88:MYF88 MYR88:MYS88 MZE88:MZF88 MZR88:MZS88 NAE88:NAF88 NAR88:NAS88 NBE88:NBF88 NBR88:NBS88 NCE88:NCF88 NCR88:NCS88 NDE88:NDF88 NDR88:NDS88 NEE88:NEF88 NER88:NES88 NFE88:NFF88 NFR88:NFS88 NGE88:NGF88 NGR88:NGS88 NHE88:NHF88 NHR88:NHS88 NIE88:NIF88 NIR88:NIS88 NJE88:NJF88 NJR88:NJS88 NKE88:NKF88 NKR88:NKS88 NLE88:NLF88 NLR88:NLS88 NME88:NMF88 NMR88:NMS88 NNE88:NNF88 NNR88:NNS88 NOE88:NOF88 NOR88:NOS88 NPE88:NPF88 NPR88:NPS88 NQE88:NQF88 NQR88:NQS88 NRE88:NRF88 NRR88:NRS88 NSE88:NSF88 NSR88:NSS88 NTE88:NTF88 NTR88:NTS88 NUE88:NUF88 NUR88:NUS88 NVE88:NVF88 NVR88:NVS88 NWE88:NWF88 NWR88:NWS88 NXE88:NXF88 NXR88:NXS88 NYE88:NYF88 NYR88:NYS88 NZE88:NZF88 NZR88:NZS88 OAE88:OAF88 OAR88:OAS88 OBE88:OBF88 OBR88:OBS88 OCE88:OCF88 OCR88:OCS88 ODE88:ODF88 ODR88:ODS88 OEE88:OEF88 OER88:OES88 OFE88:OFF88 OFR88:OFS88 OGE88:OGF88 OGR88:OGS88 OHE88:OHF88 OHR88:OHS88 OIE88:OIF88 OIR88:OIS88 OJE88:OJF88 OJR88:OJS88 OKE88:OKF88 OKR88:OKS88 OLE88:OLF88 OLR88:OLS88 OME88:OMF88 OMR88:OMS88 ONE88:ONF88 ONR88:ONS88 OOE88:OOF88 OOR88:OOS88 OPE88:OPF88 OPR88:OPS88 OQE88:OQF88 OQR88:OQS88 ORE88:ORF88 ORR88:ORS88 OSE88:OSF88 OSR88:OSS88 OTE88:OTF88 OTR88:OTS88 OUE88:OUF88 OUR88:OUS88 OVE88:OVF88 OVR88:OVS88 OWE88:OWF88 OWR88:OWS88 OXE88:OXF88 OXR88:OXS88 OYE88:OYF88 OYR88:OYS88 OZE88:OZF88 OZR88:OZS88 PAE88:PAF88 PAR88:PAS88 PBE88:PBF88 PBR88:PBS88 PCE88:PCF88 PCR88:PCS88 PDE88:PDF88 PDR88:PDS88 PEE88:PEF88 PER88:PES88 PFE88:PFF88 PFR88:PFS88 PGE88:PGF88 PGR88:PGS88 PHE88:PHF88 PHR88:PHS88 PIE88:PIF88 PIR88:PIS88 PJE88:PJF88 PJR88:PJS88 PKE88:PKF88 PKR88:PKS88 PLE88:PLF88 PLR88:PLS88 PME88:PMF88 PMR88:PMS88 PNE88:PNF88 PNR88:PNS88 POE88:POF88 POR88:POS88 PPE88:PPF88 PPR88:PPS88 PQE88:PQF88 PQR88:PQS88 PRE88:PRF88 PRR88:PRS88 PSE88:PSF88 PSR88:PSS88 PTE88:PTF88 PTR88:PTS88 PUE88:PUF88 PUR88:PUS88 PVE88:PVF88 PVR88:PVS88 PWE88:PWF88 PWR88:PWS88 PXE88:PXF88 PXR88:PXS88 PYE88:PYF88 PYR88:PYS88 PZE88:PZF88 PZR88:PZS88 QAE88:QAF88 QAR88:QAS88 QBE88:QBF88 QBR88:QBS88 QCE88:QCF88 QCR88:QCS88 QDE88:QDF88 QDR88:QDS88 QEE88:QEF88 QER88:QES88 QFE88:QFF88 QFR88:QFS88 QGE88:QGF88 QGR88:QGS88 QHE88:QHF88 QHR88:QHS88 QIE88:QIF88 QIR88:QIS88 QJE88:QJF88 QJR88:QJS88 QKE88:QKF88 QKR88:QKS88 QLE88:QLF88 QLR88:QLS88 QME88:QMF88 QMR88:QMS88 QNE88:QNF88 QNR88:QNS88 QOE88:QOF88 QOR88:QOS88 QPE88:QPF88 QPR88:QPS88 QQE88:QQF88 QQR88:QQS88 QRE88:QRF88 QRR88:QRS88 QSE88:QSF88 QSR88:QSS88 QTE88:QTF88 QTR88:QTS88 QUE88:QUF88 QUR88:QUS88 QVE88:QVF88 QVR88:QVS88 QWE88:QWF88 QWR88:QWS88 QXE88:QXF88 QXR88:QXS88 QYE88:QYF88 QYR88:QYS88 QZE88:QZF88 QZR88:QZS88 RAE88:RAF88 RAR88:RAS88 RBE88:RBF88 RBR88:RBS88 RCE88:RCF88 RCR88:RCS88 RDE88:RDF88 RDR88:RDS88 REE88:REF88 RER88:RES88 RFE88:RFF88 RFR88:RFS88 RGE88:RGF88 RGR88:RGS88 RHE88:RHF88 RHR88:RHS88 RIE88:RIF88 RIR88:RIS88 RJE88:RJF88 RJR88:RJS88 RKE88:RKF88 RKR88:RKS88 RLE88:RLF88 RLR88:RLS88 RME88:RMF88 RMR88:RMS88 RNE88:RNF88 RNR88:RNS88 ROE88:ROF88 ROR88:ROS88 RPE88:RPF88 RPR88:RPS88 RQE88:RQF88 RQR88:RQS88 RRE88:RRF88 RRR88:RRS88 RSE88:RSF88 RSR88:RSS88 RTE88:RTF88 RTR88:RTS88 RUE88:RUF88 RUR88:RUS88 RVE88:RVF88 RVR88:RVS88 RWE88:RWF88 RWR88:RWS88 RXE88:RXF88 RXR88:RXS88 RYE88:RYF88 RYR88:RYS88 RZE88:RZF88 RZR88:RZS88 SAE88:SAF88 SAR88:SAS88 SBE88:SBF88 SBR88:SBS88 SCE88:SCF88 SCR88:SCS88 SDE88:SDF88 SDR88:SDS88 SEE88:SEF88 SER88:SES88 SFE88:SFF88 SFR88:SFS88 SGE88:SGF88 SGR88:SGS88 SHE88:SHF88 SHR88:SHS88 SIE88:SIF88 SIR88:SIS88 SJE88:SJF88 SJR88:SJS88 SKE88:SKF88 SKR88:SKS88 SLE88:SLF88 SLR88:SLS88 SME88:SMF88 SMR88:SMS88 SNE88:SNF88 SNR88:SNS88 SOE88:SOF88 SOR88:SOS88 SPE88:SPF88 SPR88:SPS88 SQE88:SQF88 SQR88:SQS88 SRE88:SRF88 SRR88:SRS88 SSE88:SSF88 SSR88:SSS88 STE88:STF88 STR88:STS88 SUE88:SUF88 SUR88:SUS88 SVE88:SVF88 SVR88:SVS88 SWE88:SWF88 SWR88:SWS88 SXE88:SXF88 SXR88:SXS88 SYE88:SYF88 SYR88:SYS88 SZE88:SZF88 SZR88:SZS88 TAE88:TAF88 TAR88:TAS88 TBE88:TBF88 TBR88:TBS88 TCE88:TCF88 TCR88:TCS88 TDE88:TDF88 TDR88:TDS88 TEE88:TEF88 TER88:TES88 TFE88:TFF88 TFR88:TFS88 TGE88:TGF88 TGR88:TGS88 THE88:THF88 THR88:THS88 TIE88:TIF88 TIR88:TIS88 TJE88:TJF88 TJR88:TJS88 TKE88:TKF88 TKR88:TKS88 TLE88:TLF88 TLR88:TLS88 TME88:TMF88 TMR88:TMS88 TNE88:TNF88 TNR88:TNS88 TOE88:TOF88 TOR88:TOS88 TPE88:TPF88 TPR88:TPS88 TQE88:TQF88 TQR88:TQS88 TRE88:TRF88 TRR88:TRS88 TSE88:TSF88 TSR88:TSS88 TTE88:TTF88 TTR88:TTS88 TUE88:TUF88 TUR88:TUS88 TVE88:TVF88 TVR88:TVS88 TWE88:TWF88 TWR88:TWS88 TXE88:TXF88 TXR88:TXS88 TYE88:TYF88 TYR88:TYS88 TZE88:TZF88 TZR88:TZS88 UAE88:UAF88 UAR88:UAS88 UBE88:UBF88 UBR88:UBS88 UCE88:UCF88 UCR88:UCS88 UDE88:UDF88 UDR88:UDS88 UEE88:UEF88 UER88:UES88 UFE88:UFF88 UFR88:UFS88 UGE88:UGF88 UGR88:UGS88 UHE88:UHF88 UHR88:UHS88 UIE88:UIF88 UIR88:UIS88 UJE88:UJF88 UJR88:UJS88 UKE88:UKF88 UKR88:UKS88 ULE88:ULF88 ULR88:ULS88 UME88:UMF88 UMR88:UMS88 UNE88:UNF88 UNR88:UNS88 UOE88:UOF88 UOR88:UOS88 UPE88:UPF88 UPR88:UPS88 UQE88:UQF88 UQR88:UQS88 URE88:URF88 URR88:URS88 USE88:USF88 USR88:USS88 UTE88:UTF88 UTR88:UTS88 UUE88:UUF88 UUR88:UUS88 UVE88:UVF88 UVR88:UVS88 UWE88:UWF88 UWR88:UWS88 UXE88:UXF88 UXR88:UXS88 UYE88:UYF88 UYR88:UYS88 UZE88:UZF88 UZR88:UZS88 VAE88:VAF88 VAR88:VAS88 VBE88:VBF88 VBR88:VBS88 VCE88:VCF88 VCR88:VCS88 VDE88:VDF88 VDR88:VDS88 VEE88:VEF88 VER88:VES88 VFE88:VFF88 VFR88:VFS88 VGE88:VGF88 VGR88:VGS88 VHE88:VHF88 VHR88:VHS88 VIE88:VIF88 VIR88:VIS88 VJE88:VJF88 VJR88:VJS88 VKE88:VKF88 VKR88:VKS88 VLE88:VLF88 VLR88:VLS88 VME88:VMF88 VMR88:VMS88 VNE88:VNF88 VNR88:VNS88 VOE88:VOF88 VOR88:VOS88 VPE88:VPF88 VPR88:VPS88 VQE88:VQF88 VQR88:VQS88 VRE88:VRF88 VRR88:VRS88 VSE88:VSF88 VSR88:VSS88 VTE88:VTF88 VTR88:VTS88 VUE88:VUF88 VUR88:VUS88 VVE88:VVF88 VVR88:VVS88 VWE88:VWF88 VWR88:VWS88 VXE88:VXF88 VXR88:VXS88 VYE88:VYF88 VYR88:VYS88 VZE88:VZF88 VZR88:VZS88 WAE88:WAF88 WAR88:WAS88 WBE88:WBF88 WBR88:WBS88 WCE88:WCF88 WCR88:WCS88 WDE88:WDF88 WDR88:WDS88 WEE88:WEF88 WER88:WES88 WFE88:WFF88 WFR88:WFS88 WGE88:WGF88 WGR88:WGS88 WHE88:WHF88 WHR88:WHS88 WIE88:WIF88 WIR88:WIS88 WJE88:WJF88 WJR88:WJS88 WKE88:WKF88 WKR88:WKS88 WLE88:WLF88 WLR88:WLS88 WME88:WMF88 WMR88:WMS88 WNE88:WNF88 WNR88:WNS88 WOE88:WOF88 WOR88:WOS88 WPE88:WPF88 WPR88:WPS88 WQE88:WQF88 WQR88:WQS88 WRE88:WRF88 WRR88:WRS88 WSE88:WSF88 WSR88:WSS88 WTE88:WTF88 WTR88:WTS88 WUE88:WUF88 WUR88:WUS88 WVE88:WVF88 WVR88:WVS88 WWE88:WWF88 WWR88:WWS88 WXE88:WXF88 WXR88:WXS88 WYE88:WYF88 WYR88:WYS88 WZE88:WZF88 WZR88:WZS88 XAE88:XAF88 XAR88:XAS88 XBE88:XBF88 XBR88:XBS88 XCE88:XCF88 XCR88:XCS88 XDE88:XDF88 XDR88:XDS88 XEE88:XEF88 XER88:XES88">
    <cfRule type="cellIs" dxfId="12" priority="10" stopIfTrue="1" operator="equal">
      <formula>"y"</formula>
    </cfRule>
    <cfRule type="cellIs" dxfId="11" priority="11" stopIfTrue="1" operator="equal">
      <formula>"Y"</formula>
    </cfRule>
  </conditionalFormatting>
  <conditionalFormatting sqref="G88:M88 AD88:AM88 AQ88:AZ88 BD88:BM88 BQ88:BZ88 CD88:CM88 CQ88:CZ88 DD88:DM88 DQ88:DZ88 ED88:EM88 EQ88:EZ88 FD88:FM88 FQ88:FZ88 GD88:GM88 GQ88:GZ88 HD88:HM88 HQ88:HZ88 ID88:IM88 IQ88:IZ88 JD88:JM88 JQ88:JZ88 KD88:KM88 KQ88:KZ88 LD88:LM88 LQ88:LZ88 MD88:MM88 MQ88:MZ88 ND88:NM88 NQ88:NZ88 OD88:OM88 OQ88:OZ88 PD88:PM88 PQ88:PZ88 QD88:QM88 QQ88:QZ88 RD88:RM88 RQ88:RZ88 SD88:SM88 SQ88:SZ88 TD88:TM88 TQ88:TZ88 UD88:UM88 UQ88:UZ88 VD88:VM88 VQ88:VZ88 WD88:WM88 WQ88:WZ88 XD88:XM88 XQ88:XZ88 YD88:YM88 YQ88:YZ88 ZD88:ZM88 ZQ88:ZZ88 AAD88:AAM88 AAQ88:AAZ88 ABD88:ABM88 ABQ88:ABZ88 ACD88:ACM88 ACQ88:ACZ88 ADD88:ADM88 ADQ88:ADZ88 AED88:AEM88 AEQ88:AEZ88 AFD88:AFM88 AFQ88:AFZ88 AGD88:AGM88 AGQ88:AGZ88 AHD88:AHM88 AHQ88:AHZ88 AID88:AIM88 AIQ88:AIZ88 AJD88:AJM88 AJQ88:AJZ88 AKD88:AKM88 AKQ88:AKZ88 ALD88:ALM88 ALQ88:ALZ88 AMD88:AMM88 AMQ88:AMZ88 AND88:ANM88 ANQ88:ANZ88 AOD88:AOM88 AOQ88:AOZ88 APD88:APM88 APQ88:APZ88 AQD88:AQM88 AQQ88:AQZ88 ARD88:ARM88 ARQ88:ARZ88 ASD88:ASM88 ASQ88:ASZ88 ATD88:ATM88 ATQ88:ATZ88 AUD88:AUM88 AUQ88:AUZ88 AVD88:AVM88 AVQ88:AVZ88 AWD88:AWM88 AWQ88:AWZ88 AXD88:AXM88 AXQ88:AXZ88 AYD88:AYM88 AYQ88:AYZ88 AZD88:AZM88 AZQ88:AZZ88 BAD88:BAM88 BAQ88:BAZ88 BBD88:BBM88 BBQ88:BBZ88 BCD88:BCM88 BCQ88:BCZ88 BDD88:BDM88 BDQ88:BDZ88 BED88:BEM88 BEQ88:BEZ88 BFD88:BFM88 BFQ88:BFZ88 BGD88:BGM88 BGQ88:BGZ88 BHD88:BHM88 BHQ88:BHZ88 BID88:BIM88 BIQ88:BIZ88 BJD88:BJM88 BJQ88:BJZ88 BKD88:BKM88 BKQ88:BKZ88 BLD88:BLM88 BLQ88:BLZ88 BMD88:BMM88 BMQ88:BMZ88 BND88:BNM88 BNQ88:BNZ88 BOD88:BOM88 BOQ88:BOZ88 BPD88:BPM88 BPQ88:BPZ88 BQD88:BQM88 BQQ88:BQZ88 BRD88:BRM88 BRQ88:BRZ88 BSD88:BSM88 BSQ88:BSZ88 BTD88:BTM88 BTQ88:BTZ88 BUD88:BUM88 BUQ88:BUZ88 BVD88:BVM88 BVQ88:BVZ88 BWD88:BWM88 BWQ88:BWZ88 BXD88:BXM88 BXQ88:BXZ88 BYD88:BYM88 BYQ88:BYZ88 BZD88:BZM88 BZQ88:BZZ88 CAD88:CAM88 CAQ88:CAZ88 CBD88:CBM88 CBQ88:CBZ88 CCD88:CCM88 CCQ88:CCZ88 CDD88:CDM88 CDQ88:CDZ88 CED88:CEM88 CEQ88:CEZ88 CFD88:CFM88 CFQ88:CFZ88 CGD88:CGM88 CGQ88:CGZ88 CHD88:CHM88 CHQ88:CHZ88 CID88:CIM88 CIQ88:CIZ88 CJD88:CJM88 CJQ88:CJZ88 CKD88:CKM88 CKQ88:CKZ88 CLD88:CLM88 CLQ88:CLZ88 CMD88:CMM88 CMQ88:CMZ88 CND88:CNM88 CNQ88:CNZ88 COD88:COM88 COQ88:COZ88 CPD88:CPM88 CPQ88:CPZ88 CQD88:CQM88 CQQ88:CQZ88 CRD88:CRM88 CRQ88:CRZ88 CSD88:CSM88 CSQ88:CSZ88 CTD88:CTM88 CTQ88:CTZ88 CUD88:CUM88 CUQ88:CUZ88 CVD88:CVM88 CVQ88:CVZ88 CWD88:CWM88 CWQ88:CWZ88 CXD88:CXM88 CXQ88:CXZ88 CYD88:CYM88 CYQ88:CYZ88 CZD88:CZM88 CZQ88:CZZ88 DAD88:DAM88 DAQ88:DAZ88 DBD88:DBM88 DBQ88:DBZ88 DCD88:DCM88 DCQ88:DCZ88 DDD88:DDM88 DDQ88:DDZ88 DED88:DEM88 DEQ88:DEZ88 DFD88:DFM88 DFQ88:DFZ88 DGD88:DGM88 DGQ88:DGZ88 DHD88:DHM88 DHQ88:DHZ88 DID88:DIM88 DIQ88:DIZ88 DJD88:DJM88 DJQ88:DJZ88 DKD88:DKM88 DKQ88:DKZ88 DLD88:DLM88 DLQ88:DLZ88 DMD88:DMM88 DMQ88:DMZ88 DND88:DNM88 DNQ88:DNZ88 DOD88:DOM88 DOQ88:DOZ88 DPD88:DPM88 DPQ88:DPZ88 DQD88:DQM88 DQQ88:DQZ88 DRD88:DRM88 DRQ88:DRZ88 DSD88:DSM88 DSQ88:DSZ88 DTD88:DTM88 DTQ88:DTZ88 DUD88:DUM88 DUQ88:DUZ88 DVD88:DVM88 DVQ88:DVZ88 DWD88:DWM88 DWQ88:DWZ88 DXD88:DXM88 DXQ88:DXZ88 DYD88:DYM88 DYQ88:DYZ88 DZD88:DZM88 DZQ88:DZZ88 EAD88:EAM88 EAQ88:EAZ88 EBD88:EBM88 EBQ88:EBZ88 ECD88:ECM88 ECQ88:ECZ88 EDD88:EDM88 EDQ88:EDZ88 EED88:EEM88 EEQ88:EEZ88 EFD88:EFM88 EFQ88:EFZ88 EGD88:EGM88 EGQ88:EGZ88 EHD88:EHM88 EHQ88:EHZ88 EID88:EIM88 EIQ88:EIZ88 EJD88:EJM88 EJQ88:EJZ88 EKD88:EKM88 EKQ88:EKZ88 ELD88:ELM88 ELQ88:ELZ88 EMD88:EMM88 EMQ88:EMZ88 END88:ENM88 ENQ88:ENZ88 EOD88:EOM88 EOQ88:EOZ88 EPD88:EPM88 EPQ88:EPZ88 EQD88:EQM88 EQQ88:EQZ88 ERD88:ERM88 ERQ88:ERZ88 ESD88:ESM88 ESQ88:ESZ88 ETD88:ETM88 ETQ88:ETZ88 EUD88:EUM88 EUQ88:EUZ88 EVD88:EVM88 EVQ88:EVZ88 EWD88:EWM88 EWQ88:EWZ88 EXD88:EXM88 EXQ88:EXZ88 EYD88:EYM88 EYQ88:EYZ88 EZD88:EZM88 EZQ88:EZZ88 FAD88:FAM88 FAQ88:FAZ88 FBD88:FBM88 FBQ88:FBZ88 FCD88:FCM88 FCQ88:FCZ88 FDD88:FDM88 FDQ88:FDZ88 FED88:FEM88 FEQ88:FEZ88 FFD88:FFM88 FFQ88:FFZ88 FGD88:FGM88 FGQ88:FGZ88 FHD88:FHM88 FHQ88:FHZ88 FID88:FIM88 FIQ88:FIZ88 FJD88:FJM88 FJQ88:FJZ88 FKD88:FKM88 FKQ88:FKZ88 FLD88:FLM88 FLQ88:FLZ88 FMD88:FMM88 FMQ88:FMZ88 FND88:FNM88 FNQ88:FNZ88 FOD88:FOM88 FOQ88:FOZ88 FPD88:FPM88 FPQ88:FPZ88 FQD88:FQM88 FQQ88:FQZ88 FRD88:FRM88 FRQ88:FRZ88 FSD88:FSM88 FSQ88:FSZ88 FTD88:FTM88 FTQ88:FTZ88 FUD88:FUM88 FUQ88:FUZ88 FVD88:FVM88 FVQ88:FVZ88 FWD88:FWM88 FWQ88:FWZ88 FXD88:FXM88 FXQ88:FXZ88 FYD88:FYM88 FYQ88:FYZ88 FZD88:FZM88 FZQ88:FZZ88 GAD88:GAM88 GAQ88:GAZ88 GBD88:GBM88 GBQ88:GBZ88 GCD88:GCM88 GCQ88:GCZ88 GDD88:GDM88 GDQ88:GDZ88 GED88:GEM88 GEQ88:GEZ88 GFD88:GFM88 GFQ88:GFZ88 GGD88:GGM88 GGQ88:GGZ88 GHD88:GHM88 GHQ88:GHZ88 GID88:GIM88 GIQ88:GIZ88 GJD88:GJM88 GJQ88:GJZ88 GKD88:GKM88 GKQ88:GKZ88 GLD88:GLM88 GLQ88:GLZ88 GMD88:GMM88 GMQ88:GMZ88 GND88:GNM88 GNQ88:GNZ88 GOD88:GOM88 GOQ88:GOZ88 GPD88:GPM88 GPQ88:GPZ88 GQD88:GQM88 GQQ88:GQZ88 GRD88:GRM88 GRQ88:GRZ88 GSD88:GSM88 GSQ88:GSZ88 GTD88:GTM88 GTQ88:GTZ88 GUD88:GUM88 GUQ88:GUZ88 GVD88:GVM88 GVQ88:GVZ88 GWD88:GWM88 GWQ88:GWZ88 GXD88:GXM88 GXQ88:GXZ88 GYD88:GYM88 GYQ88:GYZ88 GZD88:GZM88 GZQ88:GZZ88 HAD88:HAM88 HAQ88:HAZ88 HBD88:HBM88 HBQ88:HBZ88 HCD88:HCM88 HCQ88:HCZ88 HDD88:HDM88 HDQ88:HDZ88 HED88:HEM88 HEQ88:HEZ88 HFD88:HFM88 HFQ88:HFZ88 HGD88:HGM88 HGQ88:HGZ88 HHD88:HHM88 HHQ88:HHZ88 HID88:HIM88 HIQ88:HIZ88 HJD88:HJM88 HJQ88:HJZ88 HKD88:HKM88 HKQ88:HKZ88 HLD88:HLM88 HLQ88:HLZ88 HMD88:HMM88 HMQ88:HMZ88 HND88:HNM88 HNQ88:HNZ88 HOD88:HOM88 HOQ88:HOZ88 HPD88:HPM88 HPQ88:HPZ88 HQD88:HQM88 HQQ88:HQZ88 HRD88:HRM88 HRQ88:HRZ88 HSD88:HSM88 HSQ88:HSZ88 HTD88:HTM88 HTQ88:HTZ88 HUD88:HUM88 HUQ88:HUZ88 HVD88:HVM88 HVQ88:HVZ88 HWD88:HWM88 HWQ88:HWZ88 HXD88:HXM88 HXQ88:HXZ88 HYD88:HYM88 HYQ88:HYZ88 HZD88:HZM88 HZQ88:HZZ88 IAD88:IAM88 IAQ88:IAZ88 IBD88:IBM88 IBQ88:IBZ88 ICD88:ICM88 ICQ88:ICZ88 IDD88:IDM88 IDQ88:IDZ88 IED88:IEM88 IEQ88:IEZ88 IFD88:IFM88 IFQ88:IFZ88 IGD88:IGM88 IGQ88:IGZ88 IHD88:IHM88 IHQ88:IHZ88 IID88:IIM88 IIQ88:IIZ88 IJD88:IJM88 IJQ88:IJZ88 IKD88:IKM88 IKQ88:IKZ88 ILD88:ILM88 ILQ88:ILZ88 IMD88:IMM88 IMQ88:IMZ88 IND88:INM88 INQ88:INZ88 IOD88:IOM88 IOQ88:IOZ88 IPD88:IPM88 IPQ88:IPZ88 IQD88:IQM88 IQQ88:IQZ88 IRD88:IRM88 IRQ88:IRZ88 ISD88:ISM88 ISQ88:ISZ88 ITD88:ITM88 ITQ88:ITZ88 IUD88:IUM88 IUQ88:IUZ88 IVD88:IVM88 IVQ88:IVZ88 IWD88:IWM88 IWQ88:IWZ88 IXD88:IXM88 IXQ88:IXZ88 IYD88:IYM88 IYQ88:IYZ88 IZD88:IZM88 IZQ88:IZZ88 JAD88:JAM88 JAQ88:JAZ88 JBD88:JBM88 JBQ88:JBZ88 JCD88:JCM88 JCQ88:JCZ88 JDD88:JDM88 JDQ88:JDZ88 JED88:JEM88 JEQ88:JEZ88 JFD88:JFM88 JFQ88:JFZ88 JGD88:JGM88 JGQ88:JGZ88 JHD88:JHM88 JHQ88:JHZ88 JID88:JIM88 JIQ88:JIZ88 JJD88:JJM88 JJQ88:JJZ88 JKD88:JKM88 JKQ88:JKZ88 JLD88:JLM88 JLQ88:JLZ88 JMD88:JMM88 JMQ88:JMZ88 JND88:JNM88 JNQ88:JNZ88 JOD88:JOM88 JOQ88:JOZ88 JPD88:JPM88 JPQ88:JPZ88 JQD88:JQM88 JQQ88:JQZ88 JRD88:JRM88 JRQ88:JRZ88 JSD88:JSM88 JSQ88:JSZ88 JTD88:JTM88 JTQ88:JTZ88 JUD88:JUM88 JUQ88:JUZ88 JVD88:JVM88 JVQ88:JVZ88 JWD88:JWM88 JWQ88:JWZ88 JXD88:JXM88 JXQ88:JXZ88 JYD88:JYM88 JYQ88:JYZ88 JZD88:JZM88 JZQ88:JZZ88 KAD88:KAM88 KAQ88:KAZ88 KBD88:KBM88 KBQ88:KBZ88 KCD88:KCM88 KCQ88:KCZ88 KDD88:KDM88 KDQ88:KDZ88 KED88:KEM88 KEQ88:KEZ88 KFD88:KFM88 KFQ88:KFZ88 KGD88:KGM88 KGQ88:KGZ88 KHD88:KHM88 KHQ88:KHZ88 KID88:KIM88 KIQ88:KIZ88 KJD88:KJM88 KJQ88:KJZ88 KKD88:KKM88 KKQ88:KKZ88 KLD88:KLM88 KLQ88:KLZ88 KMD88:KMM88 KMQ88:KMZ88 KND88:KNM88 KNQ88:KNZ88 KOD88:KOM88 KOQ88:KOZ88 KPD88:KPM88 KPQ88:KPZ88 KQD88:KQM88 KQQ88:KQZ88 KRD88:KRM88 KRQ88:KRZ88 KSD88:KSM88 KSQ88:KSZ88 KTD88:KTM88 KTQ88:KTZ88 KUD88:KUM88 KUQ88:KUZ88 KVD88:KVM88 KVQ88:KVZ88 KWD88:KWM88 KWQ88:KWZ88 KXD88:KXM88 KXQ88:KXZ88 KYD88:KYM88 KYQ88:KYZ88 KZD88:KZM88 KZQ88:KZZ88 LAD88:LAM88 LAQ88:LAZ88 LBD88:LBM88 LBQ88:LBZ88 LCD88:LCM88 LCQ88:LCZ88 LDD88:LDM88 LDQ88:LDZ88 LED88:LEM88 LEQ88:LEZ88 LFD88:LFM88 LFQ88:LFZ88 LGD88:LGM88 LGQ88:LGZ88 LHD88:LHM88 LHQ88:LHZ88 LID88:LIM88 LIQ88:LIZ88 LJD88:LJM88 LJQ88:LJZ88 LKD88:LKM88 LKQ88:LKZ88 LLD88:LLM88 LLQ88:LLZ88 LMD88:LMM88 LMQ88:LMZ88 LND88:LNM88 LNQ88:LNZ88 LOD88:LOM88 LOQ88:LOZ88 LPD88:LPM88 LPQ88:LPZ88 LQD88:LQM88 LQQ88:LQZ88 LRD88:LRM88 LRQ88:LRZ88 LSD88:LSM88 LSQ88:LSZ88 LTD88:LTM88 LTQ88:LTZ88 LUD88:LUM88 LUQ88:LUZ88 LVD88:LVM88 LVQ88:LVZ88 LWD88:LWM88 LWQ88:LWZ88 LXD88:LXM88 LXQ88:LXZ88 LYD88:LYM88 LYQ88:LYZ88 LZD88:LZM88 LZQ88:LZZ88 MAD88:MAM88 MAQ88:MAZ88 MBD88:MBM88 MBQ88:MBZ88 MCD88:MCM88 MCQ88:MCZ88 MDD88:MDM88 MDQ88:MDZ88 MED88:MEM88 MEQ88:MEZ88 MFD88:MFM88 MFQ88:MFZ88 MGD88:MGM88 MGQ88:MGZ88 MHD88:MHM88 MHQ88:MHZ88 MID88:MIM88 MIQ88:MIZ88 MJD88:MJM88 MJQ88:MJZ88 MKD88:MKM88 MKQ88:MKZ88 MLD88:MLM88 MLQ88:MLZ88 MMD88:MMM88 MMQ88:MMZ88 MND88:MNM88 MNQ88:MNZ88 MOD88:MOM88 MOQ88:MOZ88 MPD88:MPM88 MPQ88:MPZ88 MQD88:MQM88 MQQ88:MQZ88 MRD88:MRM88 MRQ88:MRZ88 MSD88:MSM88 MSQ88:MSZ88 MTD88:MTM88 MTQ88:MTZ88 MUD88:MUM88 MUQ88:MUZ88 MVD88:MVM88 MVQ88:MVZ88 MWD88:MWM88 MWQ88:MWZ88 MXD88:MXM88 MXQ88:MXZ88 MYD88:MYM88 MYQ88:MYZ88 MZD88:MZM88 MZQ88:MZZ88 NAD88:NAM88 NAQ88:NAZ88 NBD88:NBM88 NBQ88:NBZ88 NCD88:NCM88 NCQ88:NCZ88 NDD88:NDM88 NDQ88:NDZ88 NED88:NEM88 NEQ88:NEZ88 NFD88:NFM88 NFQ88:NFZ88 NGD88:NGM88 NGQ88:NGZ88 NHD88:NHM88 NHQ88:NHZ88 NID88:NIM88 NIQ88:NIZ88 NJD88:NJM88 NJQ88:NJZ88 NKD88:NKM88 NKQ88:NKZ88 NLD88:NLM88 NLQ88:NLZ88 NMD88:NMM88 NMQ88:NMZ88 NND88:NNM88 NNQ88:NNZ88 NOD88:NOM88 NOQ88:NOZ88 NPD88:NPM88 NPQ88:NPZ88 NQD88:NQM88 NQQ88:NQZ88 NRD88:NRM88 NRQ88:NRZ88 NSD88:NSM88 NSQ88:NSZ88 NTD88:NTM88 NTQ88:NTZ88 NUD88:NUM88 NUQ88:NUZ88 NVD88:NVM88 NVQ88:NVZ88 NWD88:NWM88 NWQ88:NWZ88 NXD88:NXM88 NXQ88:NXZ88 NYD88:NYM88 NYQ88:NYZ88 NZD88:NZM88 NZQ88:NZZ88 OAD88:OAM88 OAQ88:OAZ88 OBD88:OBM88 OBQ88:OBZ88 OCD88:OCM88 OCQ88:OCZ88 ODD88:ODM88 ODQ88:ODZ88 OED88:OEM88 OEQ88:OEZ88 OFD88:OFM88 OFQ88:OFZ88 OGD88:OGM88 OGQ88:OGZ88 OHD88:OHM88 OHQ88:OHZ88 OID88:OIM88 OIQ88:OIZ88 OJD88:OJM88 OJQ88:OJZ88 OKD88:OKM88 OKQ88:OKZ88 OLD88:OLM88 OLQ88:OLZ88 OMD88:OMM88 OMQ88:OMZ88 OND88:ONM88 ONQ88:ONZ88 OOD88:OOM88 OOQ88:OOZ88 OPD88:OPM88 OPQ88:OPZ88 OQD88:OQM88 OQQ88:OQZ88 ORD88:ORM88 ORQ88:ORZ88 OSD88:OSM88 OSQ88:OSZ88 OTD88:OTM88 OTQ88:OTZ88 OUD88:OUM88 OUQ88:OUZ88 OVD88:OVM88 OVQ88:OVZ88 OWD88:OWM88 OWQ88:OWZ88 OXD88:OXM88 OXQ88:OXZ88 OYD88:OYM88 OYQ88:OYZ88 OZD88:OZM88 OZQ88:OZZ88 PAD88:PAM88 PAQ88:PAZ88 PBD88:PBM88 PBQ88:PBZ88 PCD88:PCM88 PCQ88:PCZ88 PDD88:PDM88 PDQ88:PDZ88 PED88:PEM88 PEQ88:PEZ88 PFD88:PFM88 PFQ88:PFZ88 PGD88:PGM88 PGQ88:PGZ88 PHD88:PHM88 PHQ88:PHZ88 PID88:PIM88 PIQ88:PIZ88 PJD88:PJM88 PJQ88:PJZ88 PKD88:PKM88 PKQ88:PKZ88 PLD88:PLM88 PLQ88:PLZ88 PMD88:PMM88 PMQ88:PMZ88 PND88:PNM88 PNQ88:PNZ88 POD88:POM88 POQ88:POZ88 PPD88:PPM88 PPQ88:PPZ88 PQD88:PQM88 PQQ88:PQZ88 PRD88:PRM88 PRQ88:PRZ88 PSD88:PSM88 PSQ88:PSZ88 PTD88:PTM88 PTQ88:PTZ88 PUD88:PUM88 PUQ88:PUZ88 PVD88:PVM88 PVQ88:PVZ88 PWD88:PWM88 PWQ88:PWZ88 PXD88:PXM88 PXQ88:PXZ88 PYD88:PYM88 PYQ88:PYZ88 PZD88:PZM88 PZQ88:PZZ88 QAD88:QAM88 QAQ88:QAZ88 QBD88:QBM88 QBQ88:QBZ88 QCD88:QCM88 QCQ88:QCZ88 QDD88:QDM88 QDQ88:QDZ88 QED88:QEM88 QEQ88:QEZ88 QFD88:QFM88 QFQ88:QFZ88 QGD88:QGM88 QGQ88:QGZ88 QHD88:QHM88 QHQ88:QHZ88 QID88:QIM88 QIQ88:QIZ88 QJD88:QJM88 QJQ88:QJZ88 QKD88:QKM88 QKQ88:QKZ88 QLD88:QLM88 QLQ88:QLZ88 QMD88:QMM88 QMQ88:QMZ88 QND88:QNM88 QNQ88:QNZ88 QOD88:QOM88 QOQ88:QOZ88 QPD88:QPM88 QPQ88:QPZ88 QQD88:QQM88 QQQ88:QQZ88 QRD88:QRM88 QRQ88:QRZ88 QSD88:QSM88 QSQ88:QSZ88 QTD88:QTM88 QTQ88:QTZ88 QUD88:QUM88 QUQ88:QUZ88 QVD88:QVM88 QVQ88:QVZ88 QWD88:QWM88 QWQ88:QWZ88 QXD88:QXM88 QXQ88:QXZ88 QYD88:QYM88 QYQ88:QYZ88 QZD88:QZM88 QZQ88:QZZ88 RAD88:RAM88 RAQ88:RAZ88 RBD88:RBM88 RBQ88:RBZ88 RCD88:RCM88 RCQ88:RCZ88 RDD88:RDM88 RDQ88:RDZ88 RED88:REM88 REQ88:REZ88 RFD88:RFM88 RFQ88:RFZ88 RGD88:RGM88 RGQ88:RGZ88 RHD88:RHM88 RHQ88:RHZ88 RID88:RIM88 RIQ88:RIZ88 RJD88:RJM88 RJQ88:RJZ88 RKD88:RKM88 RKQ88:RKZ88 RLD88:RLM88 RLQ88:RLZ88 RMD88:RMM88 RMQ88:RMZ88 RND88:RNM88 RNQ88:RNZ88 ROD88:ROM88 ROQ88:ROZ88 RPD88:RPM88 RPQ88:RPZ88 RQD88:RQM88 RQQ88:RQZ88 RRD88:RRM88 RRQ88:RRZ88 RSD88:RSM88 RSQ88:RSZ88 RTD88:RTM88 RTQ88:RTZ88 RUD88:RUM88 RUQ88:RUZ88 RVD88:RVM88 RVQ88:RVZ88 RWD88:RWM88 RWQ88:RWZ88 RXD88:RXM88 RXQ88:RXZ88 RYD88:RYM88 RYQ88:RYZ88 RZD88:RZM88 RZQ88:RZZ88 SAD88:SAM88 SAQ88:SAZ88 SBD88:SBM88 SBQ88:SBZ88 SCD88:SCM88 SCQ88:SCZ88 SDD88:SDM88 SDQ88:SDZ88 SED88:SEM88 SEQ88:SEZ88 SFD88:SFM88 SFQ88:SFZ88 SGD88:SGM88 SGQ88:SGZ88 SHD88:SHM88 SHQ88:SHZ88 SID88:SIM88 SIQ88:SIZ88 SJD88:SJM88 SJQ88:SJZ88 SKD88:SKM88 SKQ88:SKZ88 SLD88:SLM88 SLQ88:SLZ88 SMD88:SMM88 SMQ88:SMZ88 SND88:SNM88 SNQ88:SNZ88 SOD88:SOM88 SOQ88:SOZ88 SPD88:SPM88 SPQ88:SPZ88 SQD88:SQM88 SQQ88:SQZ88 SRD88:SRM88 SRQ88:SRZ88 SSD88:SSM88 SSQ88:SSZ88 STD88:STM88 STQ88:STZ88 SUD88:SUM88 SUQ88:SUZ88 SVD88:SVM88 SVQ88:SVZ88 SWD88:SWM88 SWQ88:SWZ88 SXD88:SXM88 SXQ88:SXZ88 SYD88:SYM88 SYQ88:SYZ88 SZD88:SZM88 SZQ88:SZZ88 TAD88:TAM88 TAQ88:TAZ88 TBD88:TBM88 TBQ88:TBZ88 TCD88:TCM88 TCQ88:TCZ88 TDD88:TDM88 TDQ88:TDZ88 TED88:TEM88 TEQ88:TEZ88 TFD88:TFM88 TFQ88:TFZ88 TGD88:TGM88 TGQ88:TGZ88 THD88:THM88 THQ88:THZ88 TID88:TIM88 TIQ88:TIZ88 TJD88:TJM88 TJQ88:TJZ88 TKD88:TKM88 TKQ88:TKZ88 TLD88:TLM88 TLQ88:TLZ88 TMD88:TMM88 TMQ88:TMZ88 TND88:TNM88 TNQ88:TNZ88 TOD88:TOM88 TOQ88:TOZ88 TPD88:TPM88 TPQ88:TPZ88 TQD88:TQM88 TQQ88:TQZ88 TRD88:TRM88 TRQ88:TRZ88 TSD88:TSM88 TSQ88:TSZ88 TTD88:TTM88 TTQ88:TTZ88 TUD88:TUM88 TUQ88:TUZ88 TVD88:TVM88 TVQ88:TVZ88 TWD88:TWM88 TWQ88:TWZ88 TXD88:TXM88 TXQ88:TXZ88 TYD88:TYM88 TYQ88:TYZ88 TZD88:TZM88 TZQ88:TZZ88 UAD88:UAM88 UAQ88:UAZ88 UBD88:UBM88 UBQ88:UBZ88 UCD88:UCM88 UCQ88:UCZ88 UDD88:UDM88 UDQ88:UDZ88 UED88:UEM88 UEQ88:UEZ88 UFD88:UFM88 UFQ88:UFZ88 UGD88:UGM88 UGQ88:UGZ88 UHD88:UHM88 UHQ88:UHZ88 UID88:UIM88 UIQ88:UIZ88 UJD88:UJM88 UJQ88:UJZ88 UKD88:UKM88 UKQ88:UKZ88 ULD88:ULM88 ULQ88:ULZ88 UMD88:UMM88 UMQ88:UMZ88 UND88:UNM88 UNQ88:UNZ88 UOD88:UOM88 UOQ88:UOZ88 UPD88:UPM88 UPQ88:UPZ88 UQD88:UQM88 UQQ88:UQZ88 URD88:URM88 URQ88:URZ88 USD88:USM88 USQ88:USZ88 UTD88:UTM88 UTQ88:UTZ88 UUD88:UUM88 UUQ88:UUZ88 UVD88:UVM88 UVQ88:UVZ88 UWD88:UWM88 UWQ88:UWZ88 UXD88:UXM88 UXQ88:UXZ88 UYD88:UYM88 UYQ88:UYZ88 UZD88:UZM88 UZQ88:UZZ88 VAD88:VAM88 VAQ88:VAZ88 VBD88:VBM88 VBQ88:VBZ88 VCD88:VCM88 VCQ88:VCZ88 VDD88:VDM88 VDQ88:VDZ88 VED88:VEM88 VEQ88:VEZ88 VFD88:VFM88 VFQ88:VFZ88 VGD88:VGM88 VGQ88:VGZ88 VHD88:VHM88 VHQ88:VHZ88 VID88:VIM88 VIQ88:VIZ88 VJD88:VJM88 VJQ88:VJZ88 VKD88:VKM88 VKQ88:VKZ88 VLD88:VLM88 VLQ88:VLZ88 VMD88:VMM88 VMQ88:VMZ88 VND88:VNM88 VNQ88:VNZ88 VOD88:VOM88 VOQ88:VOZ88 VPD88:VPM88 VPQ88:VPZ88 VQD88:VQM88 VQQ88:VQZ88 VRD88:VRM88 VRQ88:VRZ88 VSD88:VSM88 VSQ88:VSZ88 VTD88:VTM88 VTQ88:VTZ88 VUD88:VUM88 VUQ88:VUZ88 VVD88:VVM88 VVQ88:VVZ88 VWD88:VWM88 VWQ88:VWZ88 VXD88:VXM88 VXQ88:VXZ88 VYD88:VYM88 VYQ88:VYZ88 VZD88:VZM88 VZQ88:VZZ88 WAD88:WAM88 WAQ88:WAZ88 WBD88:WBM88 WBQ88:WBZ88 WCD88:WCM88 WCQ88:WCZ88 WDD88:WDM88 WDQ88:WDZ88 WED88:WEM88 WEQ88:WEZ88 WFD88:WFM88 WFQ88:WFZ88 WGD88:WGM88 WGQ88:WGZ88 WHD88:WHM88 WHQ88:WHZ88 WID88:WIM88 WIQ88:WIZ88 WJD88:WJM88 WJQ88:WJZ88 WKD88:WKM88 WKQ88:WKZ88 WLD88:WLM88 WLQ88:WLZ88 WMD88:WMM88 WMQ88:WMZ88 WND88:WNM88 WNQ88:WNZ88 WOD88:WOM88 WOQ88:WOZ88 WPD88:WPM88 WPQ88:WPZ88 WQD88:WQM88 WQQ88:WQZ88 WRD88:WRM88 WRQ88:WRZ88 WSD88:WSM88 WSQ88:WSZ88 WTD88:WTM88 WTQ88:WTZ88 WUD88:WUM88 WUQ88:WUZ88 WVD88:WVM88 WVQ88:WVZ88 WWD88:WWM88 WWQ88:WWZ88 WXD88:WXM88 WXQ88:WXZ88 WYD88:WYM88 WYQ88:WYZ88 WZD88:WZM88 WZQ88:WZZ88 XAD88:XAM88 XAQ88:XAZ88 XBD88:XBM88 XBQ88:XBZ88 XCD88:XCM88 XCQ88:XCZ88 XDD88:XDM88 XDQ88:XDZ88 XED88:XEM88 XEQ88:XEZ88 XFD88">
    <cfRule type="expression" dxfId="10" priority="9" stopIfTrue="1">
      <formula>IF($A88&lt;&gt;"",IF(G88="",TRUE,FALSE),FALSE)</formula>
    </cfRule>
  </conditionalFormatting>
  <conditionalFormatting sqref="J88 AJ88 AW88 BJ88 BW88 CJ88 CW88 DJ88 DW88 EJ88 EW88 FJ88 FW88 GJ88 GW88 HJ88 HW88 IJ88 IW88 JJ88 JW88 KJ88 KW88 LJ88 LW88 MJ88 MW88 NJ88 NW88 OJ88 OW88 PJ88 PW88 QJ88 QW88 RJ88 RW88 SJ88 SW88 TJ88 TW88 UJ88 UW88 VJ88 VW88 WJ88 WW88 XJ88 XW88 YJ88 YW88 ZJ88 ZW88 AAJ88 AAW88 ABJ88 ABW88 ACJ88 ACW88 ADJ88 ADW88 AEJ88 AEW88 AFJ88 AFW88 AGJ88 AGW88 AHJ88 AHW88 AIJ88 AIW88 AJJ88 AJW88 AKJ88 AKW88 ALJ88 ALW88 AMJ88 AMW88 ANJ88 ANW88 AOJ88 AOW88 APJ88 APW88 AQJ88 AQW88 ARJ88 ARW88 ASJ88 ASW88 ATJ88 ATW88 AUJ88 AUW88 AVJ88 AVW88 AWJ88 AWW88 AXJ88 AXW88 AYJ88 AYW88 AZJ88 AZW88 BAJ88 BAW88 BBJ88 BBW88 BCJ88 BCW88 BDJ88 BDW88 BEJ88 BEW88 BFJ88 BFW88 BGJ88 BGW88 BHJ88 BHW88 BIJ88 BIW88 BJJ88 BJW88 BKJ88 BKW88 BLJ88 BLW88 BMJ88 BMW88 BNJ88 BNW88 BOJ88 BOW88 BPJ88 BPW88 BQJ88 BQW88 BRJ88 BRW88 BSJ88 BSW88 BTJ88 BTW88 BUJ88 BUW88 BVJ88 BVW88 BWJ88 BWW88 BXJ88 BXW88 BYJ88 BYW88 BZJ88 BZW88 CAJ88 CAW88 CBJ88 CBW88 CCJ88 CCW88 CDJ88 CDW88 CEJ88 CEW88 CFJ88 CFW88 CGJ88 CGW88 CHJ88 CHW88 CIJ88 CIW88 CJJ88 CJW88 CKJ88 CKW88 CLJ88 CLW88 CMJ88 CMW88 CNJ88 CNW88 COJ88 COW88 CPJ88 CPW88 CQJ88 CQW88 CRJ88 CRW88 CSJ88 CSW88 CTJ88 CTW88 CUJ88 CUW88 CVJ88 CVW88 CWJ88 CWW88 CXJ88 CXW88 CYJ88 CYW88 CZJ88 CZW88 DAJ88 DAW88 DBJ88 DBW88 DCJ88 DCW88 DDJ88 DDW88 DEJ88 DEW88 DFJ88 DFW88 DGJ88 DGW88 DHJ88 DHW88 DIJ88 DIW88 DJJ88 DJW88 DKJ88 DKW88 DLJ88 DLW88 DMJ88 DMW88 DNJ88 DNW88 DOJ88 DOW88 DPJ88 DPW88 DQJ88 DQW88 DRJ88 DRW88 DSJ88 DSW88 DTJ88 DTW88 DUJ88 DUW88 DVJ88 DVW88 DWJ88 DWW88 DXJ88 DXW88 DYJ88 DYW88 DZJ88 DZW88 EAJ88 EAW88 EBJ88 EBW88 ECJ88 ECW88 EDJ88 EDW88 EEJ88 EEW88 EFJ88 EFW88 EGJ88 EGW88 EHJ88 EHW88 EIJ88 EIW88 EJJ88 EJW88 EKJ88 EKW88 ELJ88 ELW88 EMJ88 EMW88 ENJ88 ENW88 EOJ88 EOW88 EPJ88 EPW88 EQJ88 EQW88 ERJ88 ERW88 ESJ88 ESW88 ETJ88 ETW88 EUJ88 EUW88 EVJ88 EVW88 EWJ88 EWW88 EXJ88 EXW88 EYJ88 EYW88 EZJ88 EZW88 FAJ88 FAW88 FBJ88 FBW88 FCJ88 FCW88 FDJ88 FDW88 FEJ88 FEW88 FFJ88 FFW88 FGJ88 FGW88 FHJ88 FHW88 FIJ88 FIW88 FJJ88 FJW88 FKJ88 FKW88 FLJ88 FLW88 FMJ88 FMW88 FNJ88 FNW88 FOJ88 FOW88 FPJ88 FPW88 FQJ88 FQW88 FRJ88 FRW88 FSJ88 FSW88 FTJ88 FTW88 FUJ88 FUW88 FVJ88 FVW88 FWJ88 FWW88 FXJ88 FXW88 FYJ88 FYW88 FZJ88 FZW88 GAJ88 GAW88 GBJ88 GBW88 GCJ88 GCW88 GDJ88 GDW88 GEJ88 GEW88 GFJ88 GFW88 GGJ88 GGW88 GHJ88 GHW88 GIJ88 GIW88 GJJ88 GJW88 GKJ88 GKW88 GLJ88 GLW88 GMJ88 GMW88 GNJ88 GNW88 GOJ88 GOW88 GPJ88 GPW88 GQJ88 GQW88 GRJ88 GRW88 GSJ88 GSW88 GTJ88 GTW88 GUJ88 GUW88 GVJ88 GVW88 GWJ88 GWW88 GXJ88 GXW88 GYJ88 GYW88 GZJ88 GZW88 HAJ88 HAW88 HBJ88 HBW88 HCJ88 HCW88 HDJ88 HDW88 HEJ88 HEW88 HFJ88 HFW88 HGJ88 HGW88 HHJ88 HHW88 HIJ88 HIW88 HJJ88 HJW88 HKJ88 HKW88 HLJ88 HLW88 HMJ88 HMW88 HNJ88 HNW88 HOJ88 HOW88 HPJ88 HPW88 HQJ88 HQW88 HRJ88 HRW88 HSJ88 HSW88 HTJ88 HTW88 HUJ88 HUW88 HVJ88 HVW88 HWJ88 HWW88 HXJ88 HXW88 HYJ88 HYW88 HZJ88 HZW88 IAJ88 IAW88 IBJ88 IBW88 ICJ88 ICW88 IDJ88 IDW88 IEJ88 IEW88 IFJ88 IFW88 IGJ88 IGW88 IHJ88 IHW88 IIJ88 IIW88 IJJ88 IJW88 IKJ88 IKW88 ILJ88 ILW88 IMJ88 IMW88 INJ88 INW88 IOJ88 IOW88 IPJ88 IPW88 IQJ88 IQW88 IRJ88 IRW88 ISJ88 ISW88 ITJ88 ITW88 IUJ88 IUW88 IVJ88 IVW88 IWJ88 IWW88 IXJ88 IXW88 IYJ88 IYW88 IZJ88 IZW88 JAJ88 JAW88 JBJ88 JBW88 JCJ88 JCW88 JDJ88 JDW88 JEJ88 JEW88 JFJ88 JFW88 JGJ88 JGW88 JHJ88 JHW88 JIJ88 JIW88 JJJ88 JJW88 JKJ88 JKW88 JLJ88 JLW88 JMJ88 JMW88 JNJ88 JNW88 JOJ88 JOW88 JPJ88 JPW88 JQJ88 JQW88 JRJ88 JRW88 JSJ88 JSW88 JTJ88 JTW88 JUJ88 JUW88 JVJ88 JVW88 JWJ88 JWW88 JXJ88 JXW88 JYJ88 JYW88 JZJ88 JZW88 KAJ88 KAW88 KBJ88 KBW88 KCJ88 KCW88 KDJ88 KDW88 KEJ88 KEW88 KFJ88 KFW88 KGJ88 KGW88 KHJ88 KHW88 KIJ88 KIW88 KJJ88 KJW88 KKJ88 KKW88 KLJ88 KLW88 KMJ88 KMW88 KNJ88 KNW88 KOJ88 KOW88 KPJ88 KPW88 KQJ88 KQW88 KRJ88 KRW88 KSJ88 KSW88 KTJ88 KTW88 KUJ88 KUW88 KVJ88 KVW88 KWJ88 KWW88 KXJ88 KXW88 KYJ88 KYW88 KZJ88 KZW88 LAJ88 LAW88 LBJ88 LBW88 LCJ88 LCW88 LDJ88 LDW88 LEJ88 LEW88 LFJ88 LFW88 LGJ88 LGW88 LHJ88 LHW88 LIJ88 LIW88 LJJ88 LJW88 LKJ88 LKW88 LLJ88 LLW88 LMJ88 LMW88 LNJ88 LNW88 LOJ88 LOW88 LPJ88 LPW88 LQJ88 LQW88 LRJ88 LRW88 LSJ88 LSW88 LTJ88 LTW88 LUJ88 LUW88 LVJ88 LVW88 LWJ88 LWW88 LXJ88 LXW88 LYJ88 LYW88 LZJ88 LZW88 MAJ88 MAW88 MBJ88 MBW88 MCJ88 MCW88 MDJ88 MDW88 MEJ88 MEW88 MFJ88 MFW88 MGJ88 MGW88 MHJ88 MHW88 MIJ88 MIW88 MJJ88 MJW88 MKJ88 MKW88 MLJ88 MLW88 MMJ88 MMW88 MNJ88 MNW88 MOJ88 MOW88 MPJ88 MPW88 MQJ88 MQW88 MRJ88 MRW88 MSJ88 MSW88 MTJ88 MTW88 MUJ88 MUW88 MVJ88 MVW88 MWJ88 MWW88 MXJ88 MXW88 MYJ88 MYW88 MZJ88 MZW88 NAJ88 NAW88 NBJ88 NBW88 NCJ88 NCW88 NDJ88 NDW88 NEJ88 NEW88 NFJ88 NFW88 NGJ88 NGW88 NHJ88 NHW88 NIJ88 NIW88 NJJ88 NJW88 NKJ88 NKW88 NLJ88 NLW88 NMJ88 NMW88 NNJ88 NNW88 NOJ88 NOW88 NPJ88 NPW88 NQJ88 NQW88 NRJ88 NRW88 NSJ88 NSW88 NTJ88 NTW88 NUJ88 NUW88 NVJ88 NVW88 NWJ88 NWW88 NXJ88 NXW88 NYJ88 NYW88 NZJ88 NZW88 OAJ88 OAW88 OBJ88 OBW88 OCJ88 OCW88 ODJ88 ODW88 OEJ88 OEW88 OFJ88 OFW88 OGJ88 OGW88 OHJ88 OHW88 OIJ88 OIW88 OJJ88 OJW88 OKJ88 OKW88 OLJ88 OLW88 OMJ88 OMW88 ONJ88 ONW88 OOJ88 OOW88 OPJ88 OPW88 OQJ88 OQW88 ORJ88 ORW88 OSJ88 OSW88 OTJ88 OTW88 OUJ88 OUW88 OVJ88 OVW88 OWJ88 OWW88 OXJ88 OXW88 OYJ88 OYW88 OZJ88 OZW88 PAJ88 PAW88 PBJ88 PBW88 PCJ88 PCW88 PDJ88 PDW88 PEJ88 PEW88 PFJ88 PFW88 PGJ88 PGW88 PHJ88 PHW88 PIJ88 PIW88 PJJ88 PJW88 PKJ88 PKW88 PLJ88 PLW88 PMJ88 PMW88 PNJ88 PNW88 POJ88 POW88 PPJ88 PPW88 PQJ88 PQW88 PRJ88 PRW88 PSJ88 PSW88 PTJ88 PTW88 PUJ88 PUW88 PVJ88 PVW88 PWJ88 PWW88 PXJ88 PXW88 PYJ88 PYW88 PZJ88 PZW88 QAJ88 QAW88 QBJ88 QBW88 QCJ88 QCW88 QDJ88 QDW88 QEJ88 QEW88 QFJ88 QFW88 QGJ88 QGW88 QHJ88 QHW88 QIJ88 QIW88 QJJ88 QJW88 QKJ88 QKW88 QLJ88 QLW88 QMJ88 QMW88 QNJ88 QNW88 QOJ88 QOW88 QPJ88 QPW88 QQJ88 QQW88 QRJ88 QRW88 QSJ88 QSW88 QTJ88 QTW88 QUJ88 QUW88 QVJ88 QVW88 QWJ88 QWW88 QXJ88 QXW88 QYJ88 QYW88 QZJ88 QZW88 RAJ88 RAW88 RBJ88 RBW88 RCJ88 RCW88 RDJ88 RDW88 REJ88 REW88 RFJ88 RFW88 RGJ88 RGW88 RHJ88 RHW88 RIJ88 RIW88 RJJ88 RJW88 RKJ88 RKW88 RLJ88 RLW88 RMJ88 RMW88 RNJ88 RNW88 ROJ88 ROW88 RPJ88 RPW88 RQJ88 RQW88 RRJ88 RRW88 RSJ88 RSW88 RTJ88 RTW88 RUJ88 RUW88 RVJ88 RVW88 RWJ88 RWW88 RXJ88 RXW88 RYJ88 RYW88 RZJ88 RZW88 SAJ88 SAW88 SBJ88 SBW88 SCJ88 SCW88 SDJ88 SDW88 SEJ88 SEW88 SFJ88 SFW88 SGJ88 SGW88 SHJ88 SHW88 SIJ88 SIW88 SJJ88 SJW88 SKJ88 SKW88 SLJ88 SLW88 SMJ88 SMW88 SNJ88 SNW88 SOJ88 SOW88 SPJ88 SPW88 SQJ88 SQW88 SRJ88 SRW88 SSJ88 SSW88 STJ88 STW88 SUJ88 SUW88 SVJ88 SVW88 SWJ88 SWW88 SXJ88 SXW88 SYJ88 SYW88 SZJ88 SZW88 TAJ88 TAW88 TBJ88 TBW88 TCJ88 TCW88 TDJ88 TDW88 TEJ88 TEW88 TFJ88 TFW88 TGJ88 TGW88 THJ88 THW88 TIJ88 TIW88 TJJ88 TJW88 TKJ88 TKW88 TLJ88 TLW88 TMJ88 TMW88 TNJ88 TNW88 TOJ88 TOW88 TPJ88 TPW88 TQJ88 TQW88 TRJ88 TRW88 TSJ88 TSW88 TTJ88 TTW88 TUJ88 TUW88 TVJ88 TVW88 TWJ88 TWW88 TXJ88 TXW88 TYJ88 TYW88 TZJ88 TZW88 UAJ88 UAW88 UBJ88 UBW88 UCJ88 UCW88 UDJ88 UDW88 UEJ88 UEW88 UFJ88 UFW88 UGJ88 UGW88 UHJ88 UHW88 UIJ88 UIW88 UJJ88 UJW88 UKJ88 UKW88 ULJ88 ULW88 UMJ88 UMW88 UNJ88 UNW88 UOJ88 UOW88 UPJ88 UPW88 UQJ88 UQW88 URJ88 URW88 USJ88 USW88 UTJ88 UTW88 UUJ88 UUW88 UVJ88 UVW88 UWJ88 UWW88 UXJ88 UXW88 UYJ88 UYW88 UZJ88 UZW88 VAJ88 VAW88 VBJ88 VBW88 VCJ88 VCW88 VDJ88 VDW88 VEJ88 VEW88 VFJ88 VFW88 VGJ88 VGW88 VHJ88 VHW88 VIJ88 VIW88 VJJ88 VJW88 VKJ88 VKW88 VLJ88 VLW88 VMJ88 VMW88 VNJ88 VNW88 VOJ88 VOW88 VPJ88 VPW88 VQJ88 VQW88 VRJ88 VRW88 VSJ88 VSW88 VTJ88 VTW88 VUJ88 VUW88 VVJ88 VVW88 VWJ88 VWW88 VXJ88 VXW88 VYJ88 VYW88 VZJ88 VZW88 WAJ88 WAW88 WBJ88 WBW88 WCJ88 WCW88 WDJ88 WDW88 WEJ88 WEW88 WFJ88 WFW88 WGJ88 WGW88 WHJ88 WHW88 WIJ88 WIW88 WJJ88 WJW88 WKJ88 WKW88 WLJ88 WLW88 WMJ88 WMW88 WNJ88 WNW88 WOJ88 WOW88 WPJ88 WPW88 WQJ88 WQW88 WRJ88 WRW88 WSJ88 WSW88 WTJ88 WTW88 WUJ88 WUW88 WVJ88 WVW88 WWJ88 WWW88 WXJ88 WXW88 WYJ88 WYW88 WZJ88 WZW88 XAJ88 XAW88 XBJ88 XBW88 XCJ88 XCW88 XDJ88 XDW88 XEJ88 XEW88">
    <cfRule type="expression" dxfId="9" priority="8" stopIfTrue="1">
      <formula>IF($D88="I",TRUE,FALSE)</formula>
    </cfRule>
  </conditionalFormatting>
  <conditionalFormatting sqref="B88 AO88 BB88 BO88 CB88 CO88 DB88 DO88 EB88 EO88 FB88 FO88 GB88 GO88 HB88 HO88 IB88 IO88 JB88 JO88 KB88 KO88 LB88 LO88 MB88 MO88 NB88 NO88 OB88 OO88 PB88 PO88 QB88 QO88 RB88 RO88 SB88 SO88 TB88 TO88 UB88 UO88 VB88 VO88 WB88 WO88 XB88 XO88 YB88 YO88 ZB88 ZO88 AAB88 AAO88 ABB88 ABO88 ACB88 ACO88 ADB88 ADO88 AEB88 AEO88 AFB88 AFO88 AGB88 AGO88 AHB88 AHO88 AIB88 AIO88 AJB88 AJO88 AKB88 AKO88 ALB88 ALO88 AMB88 AMO88 ANB88 ANO88 AOB88 AOO88 APB88 APO88 AQB88 AQO88 ARB88 ARO88 ASB88 ASO88 ATB88 ATO88 AUB88 AUO88 AVB88 AVO88 AWB88 AWO88 AXB88 AXO88 AYB88 AYO88 AZB88 AZO88 BAB88 BAO88 BBB88 BBO88 BCB88 BCO88 BDB88 BDO88 BEB88 BEO88 BFB88 BFO88 BGB88 BGO88 BHB88 BHO88 BIB88 BIO88 BJB88 BJO88 BKB88 BKO88 BLB88 BLO88 BMB88 BMO88 BNB88 BNO88 BOB88 BOO88 BPB88 BPO88 BQB88 BQO88 BRB88 BRO88 BSB88 BSO88 BTB88 BTO88 BUB88 BUO88 BVB88 BVO88 BWB88 BWO88 BXB88 BXO88 BYB88 BYO88 BZB88 BZO88 CAB88 CAO88 CBB88 CBO88 CCB88 CCO88 CDB88 CDO88 CEB88 CEO88 CFB88 CFO88 CGB88 CGO88 CHB88 CHO88 CIB88 CIO88 CJB88 CJO88 CKB88 CKO88 CLB88 CLO88 CMB88 CMO88 CNB88 CNO88 COB88 COO88 CPB88 CPO88 CQB88 CQO88 CRB88 CRO88 CSB88 CSO88 CTB88 CTO88 CUB88 CUO88 CVB88 CVO88 CWB88 CWO88 CXB88 CXO88 CYB88 CYO88 CZB88 CZO88 DAB88 DAO88 DBB88 DBO88 DCB88 DCO88 DDB88 DDO88 DEB88 DEO88 DFB88 DFO88 DGB88 DGO88 DHB88 DHO88 DIB88 DIO88 DJB88 DJO88 DKB88 DKO88 DLB88 DLO88 DMB88 DMO88 DNB88 DNO88 DOB88 DOO88 DPB88 DPO88 DQB88 DQO88 DRB88 DRO88 DSB88 DSO88 DTB88 DTO88 DUB88 DUO88 DVB88 DVO88 DWB88 DWO88 DXB88 DXO88 DYB88 DYO88 DZB88 DZO88 EAB88 EAO88 EBB88 EBO88 ECB88 ECO88 EDB88 EDO88 EEB88 EEO88 EFB88 EFO88 EGB88 EGO88 EHB88 EHO88 EIB88 EIO88 EJB88 EJO88 EKB88 EKO88 ELB88 ELO88 EMB88 EMO88 ENB88 ENO88 EOB88 EOO88 EPB88 EPO88 EQB88 EQO88 ERB88 ERO88 ESB88 ESO88 ETB88 ETO88 EUB88 EUO88 EVB88 EVO88 EWB88 EWO88 EXB88 EXO88 EYB88 EYO88 EZB88 EZO88 FAB88 FAO88 FBB88 FBO88 FCB88 FCO88 FDB88 FDO88 FEB88 FEO88 FFB88 FFO88 FGB88 FGO88 FHB88 FHO88 FIB88 FIO88 FJB88 FJO88 FKB88 FKO88 FLB88 FLO88 FMB88 FMO88 FNB88 FNO88 FOB88 FOO88 FPB88 FPO88 FQB88 FQO88 FRB88 FRO88 FSB88 FSO88 FTB88 FTO88 FUB88 FUO88 FVB88 FVO88 FWB88 FWO88 FXB88 FXO88 FYB88 FYO88 FZB88 FZO88 GAB88 GAO88 GBB88 GBO88 GCB88 GCO88 GDB88 GDO88 GEB88 GEO88 GFB88 GFO88 GGB88 GGO88 GHB88 GHO88 GIB88 GIO88 GJB88 GJO88 GKB88 GKO88 GLB88 GLO88 GMB88 GMO88 GNB88 GNO88 GOB88 GOO88 GPB88 GPO88 GQB88 GQO88 GRB88 GRO88 GSB88 GSO88 GTB88 GTO88 GUB88 GUO88 GVB88 GVO88 GWB88 GWO88 GXB88 GXO88 GYB88 GYO88 GZB88 GZO88 HAB88 HAO88 HBB88 HBO88 HCB88 HCO88 HDB88 HDO88 HEB88 HEO88 HFB88 HFO88 HGB88 HGO88 HHB88 HHO88 HIB88 HIO88 HJB88 HJO88 HKB88 HKO88 HLB88 HLO88 HMB88 HMO88 HNB88 HNO88 HOB88 HOO88 HPB88 HPO88 HQB88 HQO88 HRB88 HRO88 HSB88 HSO88 HTB88 HTO88 HUB88 HUO88 HVB88 HVO88 HWB88 HWO88 HXB88 HXO88 HYB88 HYO88 HZB88 HZO88 IAB88 IAO88 IBB88 IBO88 ICB88 ICO88 IDB88 IDO88 IEB88 IEO88 IFB88 IFO88 IGB88 IGO88 IHB88 IHO88 IIB88 IIO88 IJB88 IJO88 IKB88 IKO88 ILB88 ILO88 IMB88 IMO88 INB88 INO88 IOB88 IOO88 IPB88 IPO88 IQB88 IQO88 IRB88 IRO88 ISB88 ISO88 ITB88 ITO88 IUB88 IUO88 IVB88 IVO88 IWB88 IWO88 IXB88 IXO88 IYB88 IYO88 IZB88 IZO88 JAB88 JAO88 JBB88 JBO88 JCB88 JCO88 JDB88 JDO88 JEB88 JEO88 JFB88 JFO88 JGB88 JGO88 JHB88 JHO88 JIB88 JIO88 JJB88 JJO88 JKB88 JKO88 JLB88 JLO88 JMB88 JMO88 JNB88 JNO88 JOB88 JOO88 JPB88 JPO88 JQB88 JQO88 JRB88 JRO88 JSB88 JSO88 JTB88 JTO88 JUB88 JUO88 JVB88 JVO88 JWB88 JWO88 JXB88 JXO88 JYB88 JYO88 JZB88 JZO88 KAB88 KAO88 KBB88 KBO88 KCB88 KCO88 KDB88 KDO88 KEB88 KEO88 KFB88 KFO88 KGB88 KGO88 KHB88 KHO88 KIB88 KIO88 KJB88 KJO88 KKB88 KKO88 KLB88 KLO88 KMB88 KMO88 KNB88 KNO88 KOB88 KOO88 KPB88 KPO88 KQB88 KQO88 KRB88 KRO88 KSB88 KSO88 KTB88 KTO88 KUB88 KUO88 KVB88 KVO88 KWB88 KWO88 KXB88 KXO88 KYB88 KYO88 KZB88 KZO88 LAB88 LAO88 LBB88 LBO88 LCB88 LCO88 LDB88 LDO88 LEB88 LEO88 LFB88 LFO88 LGB88 LGO88 LHB88 LHO88 LIB88 LIO88 LJB88 LJO88 LKB88 LKO88 LLB88 LLO88 LMB88 LMO88 LNB88 LNO88 LOB88 LOO88 LPB88 LPO88 LQB88 LQO88 LRB88 LRO88 LSB88 LSO88 LTB88 LTO88 LUB88 LUO88 LVB88 LVO88 LWB88 LWO88 LXB88 LXO88 LYB88 LYO88 LZB88 LZO88 MAB88 MAO88 MBB88 MBO88 MCB88 MCO88 MDB88 MDO88 MEB88 MEO88 MFB88 MFO88 MGB88 MGO88 MHB88 MHO88 MIB88 MIO88 MJB88 MJO88 MKB88 MKO88 MLB88 MLO88 MMB88 MMO88 MNB88 MNO88 MOB88 MOO88 MPB88 MPO88 MQB88 MQO88 MRB88 MRO88 MSB88 MSO88 MTB88 MTO88 MUB88 MUO88 MVB88 MVO88 MWB88 MWO88 MXB88 MXO88 MYB88 MYO88 MZB88 MZO88 NAB88 NAO88 NBB88 NBO88 NCB88 NCO88 NDB88 NDO88 NEB88 NEO88 NFB88 NFO88 NGB88 NGO88 NHB88 NHO88 NIB88 NIO88 NJB88 NJO88 NKB88 NKO88 NLB88 NLO88 NMB88 NMO88 NNB88 NNO88 NOB88 NOO88 NPB88 NPO88 NQB88 NQO88 NRB88 NRO88 NSB88 NSO88 NTB88 NTO88 NUB88 NUO88 NVB88 NVO88 NWB88 NWO88 NXB88 NXO88 NYB88 NYO88 NZB88 NZO88 OAB88 OAO88 OBB88 OBO88 OCB88 OCO88 ODB88 ODO88 OEB88 OEO88 OFB88 OFO88 OGB88 OGO88 OHB88 OHO88 OIB88 OIO88 OJB88 OJO88 OKB88 OKO88 OLB88 OLO88 OMB88 OMO88 ONB88 ONO88 OOB88 OOO88 OPB88 OPO88 OQB88 OQO88 ORB88 ORO88 OSB88 OSO88 OTB88 OTO88 OUB88 OUO88 OVB88 OVO88 OWB88 OWO88 OXB88 OXO88 OYB88 OYO88 OZB88 OZO88 PAB88 PAO88 PBB88 PBO88 PCB88 PCO88 PDB88 PDO88 PEB88 PEO88 PFB88 PFO88 PGB88 PGO88 PHB88 PHO88 PIB88 PIO88 PJB88 PJO88 PKB88 PKO88 PLB88 PLO88 PMB88 PMO88 PNB88 PNO88 POB88 POO88 PPB88 PPO88 PQB88 PQO88 PRB88 PRO88 PSB88 PSO88 PTB88 PTO88 PUB88 PUO88 PVB88 PVO88 PWB88 PWO88 PXB88 PXO88 PYB88 PYO88 PZB88 PZO88 QAB88 QAO88 QBB88 QBO88 QCB88 QCO88 QDB88 QDO88 QEB88 QEO88 QFB88 QFO88 QGB88 QGO88 QHB88 QHO88 QIB88 QIO88 QJB88 QJO88 QKB88 QKO88 QLB88 QLO88 QMB88 QMO88 QNB88 QNO88 QOB88 QOO88 QPB88 QPO88 QQB88 QQO88 QRB88 QRO88 QSB88 QSO88 QTB88 QTO88 QUB88 QUO88 QVB88 QVO88 QWB88 QWO88 QXB88 QXO88 QYB88 QYO88 QZB88 QZO88 RAB88 RAO88 RBB88 RBO88 RCB88 RCO88 RDB88 RDO88 REB88 REO88 RFB88 RFO88 RGB88 RGO88 RHB88 RHO88 RIB88 RIO88 RJB88 RJO88 RKB88 RKO88 RLB88 RLO88 RMB88 RMO88 RNB88 RNO88 ROB88 ROO88 RPB88 RPO88 RQB88 RQO88 RRB88 RRO88 RSB88 RSO88 RTB88 RTO88 RUB88 RUO88 RVB88 RVO88 RWB88 RWO88 RXB88 RXO88 RYB88 RYO88 RZB88 RZO88 SAB88 SAO88 SBB88 SBO88 SCB88 SCO88 SDB88 SDO88 SEB88 SEO88 SFB88 SFO88 SGB88 SGO88 SHB88 SHO88 SIB88 SIO88 SJB88 SJO88 SKB88 SKO88 SLB88 SLO88 SMB88 SMO88 SNB88 SNO88 SOB88 SOO88 SPB88 SPO88 SQB88 SQO88 SRB88 SRO88 SSB88 SSO88 STB88 STO88 SUB88 SUO88 SVB88 SVO88 SWB88 SWO88 SXB88 SXO88 SYB88 SYO88 SZB88 SZO88 TAB88 TAO88 TBB88 TBO88 TCB88 TCO88 TDB88 TDO88 TEB88 TEO88 TFB88 TFO88 TGB88 TGO88 THB88 THO88 TIB88 TIO88 TJB88 TJO88 TKB88 TKO88 TLB88 TLO88 TMB88 TMO88 TNB88 TNO88 TOB88 TOO88 TPB88 TPO88 TQB88 TQO88 TRB88 TRO88 TSB88 TSO88 TTB88 TTO88 TUB88 TUO88 TVB88 TVO88 TWB88 TWO88 TXB88 TXO88 TYB88 TYO88 TZB88 TZO88 UAB88 UAO88 UBB88 UBO88 UCB88 UCO88 UDB88 UDO88 UEB88 UEO88 UFB88 UFO88 UGB88 UGO88 UHB88 UHO88 UIB88 UIO88 UJB88 UJO88 UKB88 UKO88 ULB88 ULO88 UMB88 UMO88 UNB88 UNO88 UOB88 UOO88 UPB88 UPO88 UQB88 UQO88 URB88 URO88 USB88 USO88 UTB88 UTO88 UUB88 UUO88 UVB88 UVO88 UWB88 UWO88 UXB88 UXO88 UYB88 UYO88 UZB88 UZO88 VAB88 VAO88 VBB88 VBO88 VCB88 VCO88 VDB88 VDO88 VEB88 VEO88 VFB88 VFO88 VGB88 VGO88 VHB88 VHO88 VIB88 VIO88 VJB88 VJO88 VKB88 VKO88 VLB88 VLO88 VMB88 VMO88 VNB88 VNO88 VOB88 VOO88 VPB88 VPO88 VQB88 VQO88 VRB88 VRO88 VSB88 VSO88 VTB88 VTO88 VUB88 VUO88 VVB88 VVO88 VWB88 VWO88 VXB88 VXO88 VYB88 VYO88 VZB88 VZO88 WAB88 WAO88 WBB88 WBO88 WCB88 WCO88 WDB88 WDO88 WEB88 WEO88 WFB88 WFO88 WGB88 WGO88 WHB88 WHO88 WIB88 WIO88 WJB88 WJO88 WKB88 WKO88 WLB88 WLO88 WMB88 WMO88 WNB88 WNO88 WOB88 WOO88 WPB88 WPO88 WQB88 WQO88 WRB88 WRO88 WSB88 WSO88 WTB88 WTO88 WUB88 WUO88 WVB88 WVO88 WWB88 WWO88 WXB88 WXO88 WYB88 WYO88 WZB88 WZO88 XAB88 XAO88 XBB88 XBO88 XCB88 XCO88 XDB88 XDO88 XEB88 XEO88 XFB88">
    <cfRule type="expression" dxfId="8" priority="7" stopIfTrue="1">
      <formula>IF($A88&lt;&gt;"",IF(B88="",TRUE,FALSE),FALSE)</formula>
    </cfRule>
  </conditionalFormatting>
  <conditionalFormatting sqref="E88:F88">
    <cfRule type="cellIs" dxfId="7" priority="3" stopIfTrue="1" operator="equal">
      <formula>"y"</formula>
    </cfRule>
    <cfRule type="cellIs" dxfId="6" priority="4" stopIfTrue="1" operator="equal">
      <formula>"Y"</formula>
    </cfRule>
  </conditionalFormatting>
  <conditionalFormatting sqref="D88:F88">
    <cfRule type="expression" dxfId="5" priority="2" stopIfTrue="1">
      <formula>IF($A88&lt;&gt;"",IF(D88="",TRUE,FALSE),FALSE)</formula>
    </cfRule>
  </conditionalFormatting>
  <conditionalFormatting sqref="A88">
    <cfRule type="expression" dxfId="4" priority="1" stopIfTrue="1">
      <formula>IF($A88&lt;&gt;"",IF(A88="",TRUE,FALSE),FALSE)</formula>
    </cfRule>
  </conditionalFormatting>
  <dataValidations count="2">
    <dataValidation type="list" allowBlank="1" showInputMessage="1" showErrorMessage="1" sqref="E5 D5:D65536">
      <formula1>#REF!</formula1>
    </dataValidation>
    <dataValidation type="list" allowBlank="1" showInputMessage="1" showErrorMessage="1" sqref="E6:E65536">
      <formula1>#REF!</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153"/>
  <sheetViews>
    <sheetView zoomScale="80" zoomScaleNormal="80" workbookViewId="0">
      <pane ySplit="4" topLeftCell="A14" activePane="bottomLeft" state="frozen"/>
      <selection pane="bottomLeft" activeCell="J17" sqref="J17"/>
    </sheetView>
  </sheetViews>
  <sheetFormatPr defaultRowHeight="12.75" x14ac:dyDescent="0.2"/>
  <cols>
    <col min="1" max="1" width="37.5703125" style="267" customWidth="1"/>
    <col min="2" max="2" width="30.85546875" style="267" customWidth="1"/>
    <col min="3" max="3" width="15.5703125" style="281" hidden="1" customWidth="1"/>
    <col min="4" max="4" width="15.5703125" style="281" customWidth="1"/>
    <col min="5" max="5" width="21" style="268" bestFit="1" customWidth="1"/>
    <col min="6" max="6" width="10.5703125" style="269" customWidth="1"/>
    <col min="7" max="7" width="5.7109375" style="269" customWidth="1"/>
    <col min="8" max="8" width="33.140625" style="282" customWidth="1"/>
    <col min="9" max="9" width="16.85546875" style="270" customWidth="1"/>
    <col min="10" max="10" width="19.140625" style="271" customWidth="1"/>
    <col min="11" max="11" width="14.85546875" style="270" customWidth="1"/>
    <col min="12" max="12" width="15.7109375" style="270" customWidth="1"/>
    <col min="13" max="13" width="22.28515625" style="270" customWidth="1"/>
    <col min="14" max="14" width="36.85546875" style="236" bestFit="1" customWidth="1"/>
    <col min="15" max="15" width="6.5703125" style="237" customWidth="1"/>
    <col min="16" max="16384" width="9.140625" style="237"/>
  </cols>
  <sheetData>
    <row r="1" spans="1:17" s="192" customFormat="1" ht="29.25" customHeight="1" thickBot="1" x14ac:dyDescent="0.25">
      <c r="A1" s="342" t="str">
        <f>'Change Log'!A1:D1</f>
        <v>MtrCurr - Rev9</v>
      </c>
      <c r="B1" s="343"/>
      <c r="C1" s="343"/>
      <c r="D1" s="343"/>
      <c r="E1" s="343"/>
      <c r="F1" s="343"/>
      <c r="G1" s="343"/>
      <c r="H1" s="343"/>
      <c r="I1" s="343"/>
      <c r="J1" s="343"/>
      <c r="K1" s="343"/>
      <c r="L1" s="343"/>
      <c r="M1" s="343"/>
      <c r="N1" s="190"/>
      <c r="Q1" s="191" t="str">
        <f>Template!C22</f>
        <v>N</v>
      </c>
    </row>
    <row r="2" spans="1:17" s="272" customFormat="1" ht="13.5" thickBot="1" x14ac:dyDescent="0.25">
      <c r="A2" s="344" t="s">
        <v>99</v>
      </c>
      <c r="B2" s="345"/>
      <c r="C2" s="345"/>
      <c r="D2" s="345"/>
      <c r="E2" s="346"/>
      <c r="F2" s="346"/>
      <c r="G2" s="193"/>
      <c r="H2" s="350" t="s">
        <v>86</v>
      </c>
      <c r="I2" s="346"/>
      <c r="J2" s="346"/>
      <c r="K2" s="346"/>
      <c r="L2" s="347"/>
      <c r="M2" s="194"/>
      <c r="N2" s="195"/>
      <c r="Q2" s="198" t="str">
        <f>Template!C32</f>
        <v>Y</v>
      </c>
    </row>
    <row r="3" spans="1:17" s="272" customFormat="1" ht="22.5" customHeight="1" x14ac:dyDescent="0.2">
      <c r="A3" s="222"/>
      <c r="B3" s="223"/>
      <c r="C3" s="224"/>
      <c r="D3" s="224"/>
      <c r="E3" s="224"/>
      <c r="F3" s="225"/>
      <c r="G3" s="226"/>
      <c r="H3" s="238"/>
      <c r="I3" s="348" t="s">
        <v>85</v>
      </c>
      <c r="J3" s="349"/>
      <c r="K3" s="225"/>
      <c r="L3" s="228"/>
      <c r="M3" s="228"/>
      <c r="N3" s="195"/>
      <c r="Q3" s="198" t="str">
        <f>Template!C42</f>
        <v>P</v>
      </c>
    </row>
    <row r="4" spans="1:17" s="272" customFormat="1" ht="101.25" customHeight="1" thickBot="1" x14ac:dyDescent="0.25">
      <c r="A4" s="229" t="s">
        <v>166</v>
      </c>
      <c r="B4" s="189" t="s">
        <v>147</v>
      </c>
      <c r="C4" s="231" t="s">
        <v>102</v>
      </c>
      <c r="D4" s="240" t="s">
        <v>168</v>
      </c>
      <c r="E4" s="231" t="s">
        <v>58</v>
      </c>
      <c r="F4" s="231" t="s">
        <v>100</v>
      </c>
      <c r="G4" s="232" t="s">
        <v>148</v>
      </c>
      <c r="H4" s="239" t="s">
        <v>101</v>
      </c>
      <c r="I4" s="233" t="s">
        <v>149</v>
      </c>
      <c r="J4" s="234" t="s">
        <v>150</v>
      </c>
      <c r="K4" s="231" t="s">
        <v>53</v>
      </c>
      <c r="L4" s="235" t="s">
        <v>92</v>
      </c>
      <c r="M4" s="228" t="s">
        <v>87</v>
      </c>
      <c r="N4" s="195"/>
    </row>
    <row r="5" spans="1:17" s="192" customFormat="1" ht="15" customHeight="1" x14ac:dyDescent="0.2">
      <c r="A5" s="253" t="s">
        <v>167</v>
      </c>
      <c r="B5" s="254"/>
      <c r="C5" s="255"/>
      <c r="D5" s="255"/>
      <c r="E5" s="255"/>
      <c r="F5" s="256"/>
      <c r="G5" s="256"/>
      <c r="H5" s="273"/>
      <c r="I5" s="257"/>
      <c r="J5" s="258"/>
      <c r="K5" s="257"/>
      <c r="L5" s="257"/>
      <c r="M5" s="257"/>
      <c r="N5" s="195"/>
    </row>
    <row r="6" spans="1:17" ht="22.5" x14ac:dyDescent="0.2">
      <c r="A6" s="300" t="s">
        <v>237</v>
      </c>
      <c r="B6" s="274" t="s">
        <v>206</v>
      </c>
      <c r="C6" s="275"/>
      <c r="D6" s="275" t="s">
        <v>203</v>
      </c>
      <c r="E6" s="275" t="s">
        <v>204</v>
      </c>
      <c r="F6" s="276" t="s">
        <v>84</v>
      </c>
      <c r="G6" s="277" t="s">
        <v>84</v>
      </c>
      <c r="H6" s="301">
        <v>1.7953429000000001</v>
      </c>
      <c r="I6" s="302">
        <v>0</v>
      </c>
      <c r="J6" s="302">
        <v>882.54240000000004</v>
      </c>
      <c r="K6" s="302" t="s">
        <v>238</v>
      </c>
      <c r="L6" s="302" t="s">
        <v>177</v>
      </c>
      <c r="M6" s="266"/>
    </row>
    <row r="7" spans="1:17" ht="22.5" x14ac:dyDescent="0.2">
      <c r="A7" s="298" t="s">
        <v>205</v>
      </c>
      <c r="B7" s="274" t="s">
        <v>207</v>
      </c>
      <c r="C7" s="275"/>
      <c r="D7" s="275" t="s">
        <v>203</v>
      </c>
      <c r="E7" s="275"/>
      <c r="F7" s="276" t="s">
        <v>84</v>
      </c>
      <c r="G7" s="277" t="s">
        <v>84</v>
      </c>
      <c r="H7" s="278">
        <v>0</v>
      </c>
      <c r="I7" s="279">
        <v>0</v>
      </c>
      <c r="J7" s="279">
        <v>50</v>
      </c>
      <c r="K7" s="270" t="s">
        <v>179</v>
      </c>
      <c r="L7" s="279" t="s">
        <v>177</v>
      </c>
      <c r="M7" s="266"/>
    </row>
    <row r="8" spans="1:17" ht="22.5" x14ac:dyDescent="0.2">
      <c r="A8" s="280" t="s">
        <v>208</v>
      </c>
      <c r="B8" s="274" t="s">
        <v>209</v>
      </c>
      <c r="C8" s="275"/>
      <c r="D8" s="275" t="s">
        <v>203</v>
      </c>
      <c r="E8" s="275"/>
      <c r="F8" s="276" t="s">
        <v>84</v>
      </c>
      <c r="G8" s="277" t="s">
        <v>84</v>
      </c>
      <c r="H8" s="278">
        <v>9.6000000000000002E-5</v>
      </c>
      <c r="I8" s="279">
        <v>2.5000000000000001E-5</v>
      </c>
      <c r="J8" s="279">
        <v>2.0000000000000001E-4</v>
      </c>
      <c r="K8" s="279" t="s">
        <v>210</v>
      </c>
      <c r="L8" s="279" t="s">
        <v>177</v>
      </c>
      <c r="M8" s="266"/>
    </row>
    <row r="9" spans="1:17" ht="22.5" x14ac:dyDescent="0.2">
      <c r="A9" s="280" t="s">
        <v>211</v>
      </c>
      <c r="B9" s="274" t="s">
        <v>213</v>
      </c>
      <c r="C9" s="275"/>
      <c r="D9" s="275" t="s">
        <v>203</v>
      </c>
      <c r="E9" s="275"/>
      <c r="F9" s="276" t="s">
        <v>84</v>
      </c>
      <c r="G9" s="277" t="s">
        <v>84</v>
      </c>
      <c r="H9" s="278">
        <v>2.2000000000000002</v>
      </c>
      <c r="I9" s="279">
        <v>1</v>
      </c>
      <c r="J9" s="279">
        <v>3</v>
      </c>
      <c r="K9" s="279" t="s">
        <v>178</v>
      </c>
      <c r="L9" s="279" t="s">
        <v>177</v>
      </c>
      <c r="M9" s="266"/>
    </row>
    <row r="10" spans="1:17" ht="22.5" x14ac:dyDescent="0.2">
      <c r="A10" s="280" t="s">
        <v>212</v>
      </c>
      <c r="B10" s="274" t="s">
        <v>214</v>
      </c>
      <c r="C10" s="275"/>
      <c r="D10" s="275" t="s">
        <v>203</v>
      </c>
      <c r="E10" s="275"/>
      <c r="F10" s="276" t="s">
        <v>84</v>
      </c>
      <c r="G10" s="277" t="s">
        <v>84</v>
      </c>
      <c r="H10" s="278">
        <v>2.8</v>
      </c>
      <c r="I10" s="279">
        <v>1</v>
      </c>
      <c r="J10" s="279">
        <v>3</v>
      </c>
      <c r="K10" s="279" t="s">
        <v>178</v>
      </c>
      <c r="L10" s="279" t="s">
        <v>177</v>
      </c>
      <c r="M10" s="266"/>
    </row>
    <row r="11" spans="1:17" ht="22.5" x14ac:dyDescent="0.2">
      <c r="A11" s="280" t="s">
        <v>215</v>
      </c>
      <c r="B11" s="274" t="s">
        <v>216</v>
      </c>
      <c r="C11" s="275"/>
      <c r="D11" s="275" t="s">
        <v>203</v>
      </c>
      <c r="E11" s="275"/>
      <c r="F11" s="276" t="s">
        <v>84</v>
      </c>
      <c r="G11" s="277" t="s">
        <v>84</v>
      </c>
      <c r="H11" s="278">
        <v>90</v>
      </c>
      <c r="I11" s="279">
        <v>20</v>
      </c>
      <c r="J11" s="279">
        <v>125</v>
      </c>
      <c r="K11" s="279" t="s">
        <v>217</v>
      </c>
      <c r="L11" s="279" t="s">
        <v>177</v>
      </c>
      <c r="M11" s="266"/>
    </row>
    <row r="12" spans="1:17" ht="22.5" x14ac:dyDescent="0.2">
      <c r="A12" s="280" t="s">
        <v>218</v>
      </c>
      <c r="B12" s="274" t="s">
        <v>219</v>
      </c>
      <c r="C12" s="275"/>
      <c r="D12" s="275" t="s">
        <v>203</v>
      </c>
      <c r="E12" s="275"/>
      <c r="F12" s="276" t="s">
        <v>84</v>
      </c>
      <c r="G12" s="277" t="s">
        <v>84</v>
      </c>
      <c r="H12" s="278">
        <v>110</v>
      </c>
      <c r="I12" s="279">
        <v>20</v>
      </c>
      <c r="J12" s="279">
        <v>125</v>
      </c>
      <c r="K12" s="279" t="s">
        <v>217</v>
      </c>
      <c r="L12" s="279" t="s">
        <v>177</v>
      </c>
      <c r="M12" s="266"/>
    </row>
    <row r="13" spans="1:17" ht="22.5" x14ac:dyDescent="0.2">
      <c r="A13" s="298" t="s">
        <v>223</v>
      </c>
      <c r="B13" s="274" t="s">
        <v>226</v>
      </c>
      <c r="C13" s="275"/>
      <c r="D13" s="275" t="s">
        <v>203</v>
      </c>
      <c r="E13" s="275"/>
      <c r="F13" s="276" t="s">
        <v>84</v>
      </c>
      <c r="G13" s="277" t="s">
        <v>84</v>
      </c>
      <c r="H13" s="278">
        <v>45</v>
      </c>
      <c r="I13" s="279">
        <v>10</v>
      </c>
      <c r="J13" s="279">
        <v>100</v>
      </c>
      <c r="K13" s="279" t="s">
        <v>179</v>
      </c>
      <c r="L13" s="279" t="s">
        <v>177</v>
      </c>
      <c r="M13" s="266"/>
    </row>
    <row r="14" spans="1:17" ht="22.5" x14ac:dyDescent="0.2">
      <c r="A14" s="280" t="s">
        <v>224</v>
      </c>
      <c r="B14" s="274" t="s">
        <v>225</v>
      </c>
      <c r="C14" s="275"/>
      <c r="D14" s="275" t="s">
        <v>203</v>
      </c>
      <c r="E14" s="275"/>
      <c r="F14" s="276" t="s">
        <v>84</v>
      </c>
      <c r="G14" s="277" t="s">
        <v>84</v>
      </c>
      <c r="H14" s="278">
        <v>10</v>
      </c>
      <c r="I14" s="279">
        <v>-20</v>
      </c>
      <c r="J14" s="279">
        <v>20</v>
      </c>
      <c r="K14" s="279" t="s">
        <v>220</v>
      </c>
      <c r="L14" s="279" t="s">
        <v>177</v>
      </c>
      <c r="M14" s="266"/>
    </row>
    <row r="15" spans="1:17" ht="22.5" x14ac:dyDescent="0.2">
      <c r="A15" s="280" t="s">
        <v>221</v>
      </c>
      <c r="B15" s="274" t="s">
        <v>222</v>
      </c>
      <c r="C15" s="275"/>
      <c r="D15" s="275" t="s">
        <v>203</v>
      </c>
      <c r="E15" s="275"/>
      <c r="F15" s="276" t="s">
        <v>84</v>
      </c>
      <c r="G15" s="277" t="s">
        <v>84</v>
      </c>
      <c r="H15" s="278">
        <v>1462</v>
      </c>
      <c r="I15" s="279">
        <v>0</v>
      </c>
      <c r="J15" s="279">
        <v>65535</v>
      </c>
      <c r="K15" s="279" t="s">
        <v>195</v>
      </c>
      <c r="L15" s="279" t="s">
        <v>188</v>
      </c>
      <c r="M15" s="266"/>
    </row>
    <row r="16" spans="1:17" s="372" customFormat="1" ht="22.5" x14ac:dyDescent="0.2">
      <c r="A16" s="364" t="s">
        <v>362</v>
      </c>
      <c r="B16" s="365" t="s">
        <v>362</v>
      </c>
      <c r="C16" s="366"/>
      <c r="D16" s="366" t="s">
        <v>203</v>
      </c>
      <c r="E16" s="366"/>
      <c r="F16" s="367" t="s">
        <v>84</v>
      </c>
      <c r="G16" s="368" t="s">
        <v>84</v>
      </c>
      <c r="H16" s="369">
        <v>500</v>
      </c>
      <c r="I16" s="370">
        <v>500</v>
      </c>
      <c r="J16" s="370">
        <v>1500</v>
      </c>
      <c r="K16" s="370" t="s">
        <v>195</v>
      </c>
      <c r="L16" s="370" t="s">
        <v>188</v>
      </c>
      <c r="M16" s="299"/>
      <c r="N16" s="371"/>
    </row>
    <row r="17" spans="1:14" s="372" customFormat="1" ht="22.5" x14ac:dyDescent="0.2">
      <c r="A17" s="364" t="s">
        <v>363</v>
      </c>
      <c r="B17" s="365" t="s">
        <v>364</v>
      </c>
      <c r="C17" s="366"/>
      <c r="D17" s="366" t="s">
        <v>203</v>
      </c>
      <c r="E17" s="366"/>
      <c r="F17" s="367" t="s">
        <v>84</v>
      </c>
      <c r="G17" s="368" t="s">
        <v>84</v>
      </c>
      <c r="H17" s="369">
        <v>900</v>
      </c>
      <c r="I17" s="370">
        <v>1</v>
      </c>
      <c r="J17" s="370">
        <v>10000</v>
      </c>
      <c r="K17" s="370" t="s">
        <v>195</v>
      </c>
      <c r="L17" s="370" t="s">
        <v>188</v>
      </c>
      <c r="M17" s="299"/>
      <c r="N17" s="371"/>
    </row>
    <row r="18" spans="1:14" x14ac:dyDescent="0.2">
      <c r="A18" s="280"/>
      <c r="B18" s="274"/>
      <c r="C18" s="275"/>
      <c r="D18" s="275"/>
      <c r="E18" s="275"/>
      <c r="F18" s="276"/>
      <c r="G18" s="277"/>
      <c r="H18" s="278"/>
      <c r="I18" s="279"/>
      <c r="J18" s="279"/>
      <c r="K18" s="279"/>
      <c r="L18" s="279"/>
      <c r="M18" s="266"/>
    </row>
    <row r="19" spans="1:14" x14ac:dyDescent="0.2">
      <c r="A19" s="280"/>
      <c r="B19" s="274"/>
      <c r="C19" s="275"/>
      <c r="D19" s="275"/>
      <c r="E19" s="275"/>
      <c r="F19" s="276"/>
      <c r="G19" s="277"/>
      <c r="H19" s="278"/>
      <c r="I19" s="279"/>
      <c r="J19" s="279"/>
      <c r="K19" s="279"/>
      <c r="L19" s="279"/>
      <c r="M19" s="266"/>
    </row>
    <row r="20" spans="1:14" x14ac:dyDescent="0.2">
      <c r="A20" s="280"/>
      <c r="B20" s="274"/>
      <c r="C20" s="275"/>
      <c r="D20" s="275"/>
      <c r="E20" s="275"/>
      <c r="F20" s="276"/>
      <c r="G20" s="277"/>
      <c r="H20" s="278"/>
      <c r="I20" s="279"/>
      <c r="J20" s="279"/>
      <c r="K20" s="279"/>
      <c r="L20" s="279"/>
      <c r="M20" s="266"/>
    </row>
    <row r="21" spans="1:14" x14ac:dyDescent="0.2">
      <c r="A21" s="280"/>
      <c r="B21" s="274"/>
      <c r="C21" s="275"/>
      <c r="D21" s="275"/>
      <c r="E21" s="275"/>
      <c r="F21" s="276"/>
      <c r="G21" s="277"/>
      <c r="H21" s="278"/>
      <c r="I21" s="279"/>
      <c r="J21" s="279"/>
      <c r="K21" s="279"/>
      <c r="L21" s="279"/>
      <c r="M21" s="266"/>
    </row>
    <row r="22" spans="1:14" x14ac:dyDescent="0.2">
      <c r="A22" s="280"/>
      <c r="B22" s="274"/>
      <c r="C22" s="275"/>
      <c r="D22" s="275"/>
      <c r="E22" s="275"/>
      <c r="F22" s="276"/>
      <c r="G22" s="277"/>
      <c r="H22" s="278"/>
      <c r="I22" s="279"/>
      <c r="J22" s="279"/>
      <c r="K22" s="279"/>
      <c r="L22" s="279"/>
      <c r="M22" s="266"/>
    </row>
    <row r="23" spans="1:14" x14ac:dyDescent="0.2">
      <c r="A23" s="280"/>
      <c r="B23" s="274"/>
      <c r="C23" s="275"/>
      <c r="D23" s="275"/>
      <c r="E23" s="275"/>
      <c r="F23" s="276"/>
      <c r="G23" s="277"/>
      <c r="H23" s="278"/>
      <c r="I23" s="279"/>
      <c r="J23" s="279"/>
      <c r="K23" s="279"/>
      <c r="L23" s="279"/>
      <c r="M23" s="266"/>
    </row>
    <row r="24" spans="1:14" x14ac:dyDescent="0.2">
      <c r="A24" s="280"/>
      <c r="B24" s="274"/>
      <c r="C24" s="275"/>
      <c r="D24" s="275"/>
      <c r="E24" s="275"/>
      <c r="F24" s="276"/>
      <c r="G24" s="277"/>
      <c r="H24" s="278"/>
      <c r="I24" s="279"/>
      <c r="J24" s="279"/>
      <c r="K24" s="279"/>
      <c r="L24" s="279"/>
      <c r="M24" s="266"/>
    </row>
    <row r="25" spans="1:14" x14ac:dyDescent="0.2">
      <c r="A25" s="280"/>
      <c r="B25" s="274"/>
      <c r="C25" s="275"/>
      <c r="D25" s="275"/>
      <c r="E25" s="275"/>
      <c r="F25" s="276"/>
      <c r="G25" s="277"/>
      <c r="H25" s="278"/>
      <c r="I25" s="279"/>
      <c r="J25" s="279"/>
      <c r="K25" s="279"/>
      <c r="L25" s="279"/>
      <c r="M25" s="266"/>
    </row>
    <row r="26" spans="1:14" x14ac:dyDescent="0.2">
      <c r="A26" s="280"/>
      <c r="B26" s="274"/>
      <c r="C26" s="275"/>
      <c r="D26" s="275"/>
      <c r="E26" s="275"/>
      <c r="F26" s="276"/>
      <c r="G26" s="277"/>
      <c r="H26" s="278"/>
      <c r="I26" s="279"/>
      <c r="J26" s="279"/>
      <c r="K26" s="279"/>
      <c r="L26" s="279"/>
      <c r="M26" s="266"/>
    </row>
    <row r="27" spans="1:14" x14ac:dyDescent="0.2">
      <c r="A27" s="280"/>
      <c r="B27" s="274"/>
      <c r="C27" s="275"/>
      <c r="D27" s="275"/>
      <c r="E27" s="275"/>
      <c r="F27" s="276"/>
      <c r="G27" s="277"/>
      <c r="H27" s="278"/>
      <c r="I27" s="279"/>
      <c r="J27" s="279"/>
      <c r="K27" s="279"/>
      <c r="L27" s="279"/>
      <c r="M27" s="266"/>
    </row>
    <row r="28" spans="1:14" x14ac:dyDescent="0.2">
      <c r="A28" s="280"/>
      <c r="B28" s="274"/>
      <c r="C28" s="275"/>
      <c r="D28" s="275"/>
      <c r="E28" s="275"/>
      <c r="F28" s="276"/>
      <c r="G28" s="277"/>
      <c r="H28" s="278"/>
      <c r="I28" s="279"/>
      <c r="J28" s="279"/>
      <c r="K28" s="279"/>
      <c r="L28" s="279"/>
      <c r="M28" s="266"/>
    </row>
    <row r="29" spans="1:14" x14ac:dyDescent="0.2">
      <c r="A29" s="280"/>
      <c r="B29" s="274"/>
      <c r="C29" s="275"/>
      <c r="D29" s="275"/>
      <c r="E29" s="275"/>
      <c r="F29" s="276"/>
      <c r="G29" s="277"/>
      <c r="H29" s="278"/>
      <c r="I29" s="279"/>
      <c r="J29" s="279"/>
      <c r="K29" s="279"/>
      <c r="L29" s="279"/>
      <c r="M29" s="266"/>
    </row>
    <row r="30" spans="1:14" x14ac:dyDescent="0.2">
      <c r="A30" s="280"/>
      <c r="B30" s="274"/>
      <c r="C30" s="275"/>
      <c r="D30" s="275"/>
      <c r="E30" s="275"/>
      <c r="F30" s="276"/>
      <c r="G30" s="277"/>
      <c r="H30" s="278"/>
      <c r="I30" s="279"/>
      <c r="J30" s="279"/>
      <c r="K30" s="279"/>
      <c r="L30" s="279"/>
      <c r="M30" s="266"/>
    </row>
    <row r="31" spans="1:14" x14ac:dyDescent="0.2">
      <c r="A31" s="280"/>
      <c r="B31" s="274"/>
      <c r="C31" s="275"/>
      <c r="D31" s="275"/>
      <c r="E31" s="275"/>
      <c r="F31" s="276"/>
      <c r="G31" s="277"/>
      <c r="H31" s="278"/>
      <c r="I31" s="279"/>
      <c r="J31" s="279"/>
      <c r="K31" s="279"/>
      <c r="L31" s="279"/>
      <c r="M31" s="266"/>
    </row>
    <row r="32" spans="1:14" x14ac:dyDescent="0.2">
      <c r="A32" s="280"/>
      <c r="B32" s="274"/>
      <c r="C32" s="275"/>
      <c r="D32" s="275"/>
      <c r="E32" s="275"/>
      <c r="F32" s="276"/>
      <c r="G32" s="277"/>
      <c r="H32" s="278"/>
      <c r="I32" s="279"/>
      <c r="J32" s="279"/>
      <c r="K32" s="279"/>
      <c r="L32" s="279"/>
      <c r="M32" s="266"/>
    </row>
    <row r="33" spans="1:13" x14ac:dyDescent="0.2">
      <c r="A33" s="280"/>
      <c r="B33" s="274"/>
      <c r="C33" s="275"/>
      <c r="D33" s="275"/>
      <c r="E33" s="275"/>
      <c r="F33" s="276"/>
      <c r="G33" s="277"/>
      <c r="H33" s="278"/>
      <c r="I33" s="279"/>
      <c r="J33" s="279"/>
      <c r="K33" s="279"/>
      <c r="L33" s="279"/>
      <c r="M33" s="266"/>
    </row>
    <row r="34" spans="1:13" x14ac:dyDescent="0.2">
      <c r="A34" s="280"/>
      <c r="B34" s="274"/>
      <c r="C34" s="275"/>
      <c r="D34" s="275"/>
      <c r="E34" s="275"/>
      <c r="F34" s="276"/>
      <c r="G34" s="277"/>
      <c r="H34" s="278"/>
      <c r="I34" s="279"/>
      <c r="J34" s="279"/>
      <c r="K34" s="279"/>
      <c r="L34" s="279"/>
      <c r="M34" s="266"/>
    </row>
    <row r="35" spans="1:13" x14ac:dyDescent="0.2">
      <c r="A35" s="280"/>
      <c r="B35" s="274"/>
      <c r="C35" s="275"/>
      <c r="D35" s="275"/>
      <c r="E35" s="275"/>
      <c r="F35" s="276"/>
      <c r="G35" s="277"/>
      <c r="H35" s="278"/>
      <c r="I35" s="279"/>
      <c r="J35" s="279"/>
      <c r="K35" s="279"/>
      <c r="L35" s="279"/>
      <c r="M35" s="266"/>
    </row>
    <row r="36" spans="1:13" x14ac:dyDescent="0.2">
      <c r="A36" s="280"/>
      <c r="B36" s="274"/>
      <c r="C36" s="275"/>
      <c r="D36" s="275"/>
      <c r="E36" s="275"/>
      <c r="F36" s="276"/>
      <c r="G36" s="277"/>
      <c r="H36" s="278"/>
      <c r="I36" s="279"/>
      <c r="J36" s="279"/>
      <c r="K36" s="279"/>
      <c r="L36" s="279"/>
      <c r="M36" s="266"/>
    </row>
    <row r="37" spans="1:13" x14ac:dyDescent="0.2">
      <c r="A37" s="280"/>
      <c r="B37" s="274"/>
      <c r="C37" s="275"/>
      <c r="D37" s="275"/>
      <c r="E37" s="275"/>
      <c r="F37" s="276"/>
      <c r="G37" s="277"/>
      <c r="H37" s="278"/>
      <c r="I37" s="279"/>
      <c r="J37" s="279"/>
      <c r="K37" s="279"/>
      <c r="L37" s="279"/>
      <c r="M37" s="266"/>
    </row>
    <row r="38" spans="1:13" x14ac:dyDescent="0.2">
      <c r="A38" s="280"/>
      <c r="B38" s="274"/>
      <c r="C38" s="275"/>
      <c r="D38" s="275"/>
      <c r="E38" s="275"/>
      <c r="F38" s="276"/>
      <c r="G38" s="277"/>
      <c r="H38" s="278"/>
      <c r="I38" s="279"/>
      <c r="J38" s="279"/>
      <c r="K38" s="279"/>
      <c r="L38" s="279"/>
      <c r="M38" s="266"/>
    </row>
    <row r="39" spans="1:13" x14ac:dyDescent="0.2">
      <c r="A39" s="280"/>
      <c r="B39" s="274"/>
      <c r="C39" s="275"/>
      <c r="D39" s="275"/>
      <c r="E39" s="275"/>
      <c r="F39" s="276"/>
      <c r="G39" s="277"/>
      <c r="H39" s="278"/>
      <c r="I39" s="279"/>
      <c r="J39" s="279"/>
      <c r="K39" s="279"/>
      <c r="L39" s="279"/>
      <c r="M39" s="266"/>
    </row>
    <row r="40" spans="1:13" x14ac:dyDescent="0.2">
      <c r="A40" s="280"/>
      <c r="B40" s="274"/>
      <c r="C40" s="275"/>
      <c r="D40" s="275"/>
      <c r="E40" s="275"/>
      <c r="F40" s="276"/>
      <c r="G40" s="277"/>
      <c r="H40" s="278"/>
      <c r="I40" s="279"/>
      <c r="J40" s="279"/>
      <c r="K40" s="279"/>
      <c r="L40" s="279"/>
      <c r="M40" s="266"/>
    </row>
    <row r="41" spans="1:13" x14ac:dyDescent="0.2">
      <c r="A41" s="280"/>
      <c r="B41" s="274"/>
      <c r="C41" s="275"/>
      <c r="D41" s="275"/>
      <c r="E41" s="275"/>
      <c r="F41" s="276"/>
      <c r="G41" s="277"/>
      <c r="H41" s="278"/>
      <c r="I41" s="279"/>
      <c r="J41" s="279"/>
      <c r="K41" s="279"/>
      <c r="L41" s="279"/>
      <c r="M41" s="266"/>
    </row>
    <row r="42" spans="1:13" x14ac:dyDescent="0.2">
      <c r="A42" s="280"/>
      <c r="B42" s="274"/>
      <c r="C42" s="275"/>
      <c r="D42" s="275"/>
      <c r="E42" s="275"/>
      <c r="F42" s="276"/>
      <c r="G42" s="277"/>
      <c r="H42" s="278"/>
      <c r="I42" s="279"/>
      <c r="J42" s="279"/>
      <c r="K42" s="279"/>
      <c r="L42" s="279"/>
      <c r="M42" s="266"/>
    </row>
    <row r="43" spans="1:13" x14ac:dyDescent="0.2">
      <c r="A43" s="280"/>
      <c r="B43" s="274"/>
      <c r="C43" s="275"/>
      <c r="D43" s="275"/>
      <c r="E43" s="275"/>
      <c r="F43" s="276"/>
      <c r="G43" s="277"/>
      <c r="H43" s="278"/>
      <c r="I43" s="279"/>
      <c r="J43" s="279"/>
      <c r="K43" s="279"/>
      <c r="L43" s="279"/>
      <c r="M43" s="266"/>
    </row>
    <row r="44" spans="1:13" x14ac:dyDescent="0.2">
      <c r="A44" s="280"/>
      <c r="B44" s="274"/>
      <c r="C44" s="275"/>
      <c r="D44" s="275"/>
      <c r="E44" s="275"/>
      <c r="F44" s="276"/>
      <c r="G44" s="277"/>
      <c r="H44" s="278"/>
      <c r="I44" s="279"/>
      <c r="J44" s="279"/>
      <c r="K44" s="279"/>
      <c r="L44" s="279"/>
      <c r="M44" s="266"/>
    </row>
    <row r="45" spans="1:13" x14ac:dyDescent="0.2">
      <c r="A45" s="280"/>
      <c r="B45" s="274"/>
      <c r="C45" s="275"/>
      <c r="D45" s="275"/>
      <c r="E45" s="275"/>
      <c r="F45" s="276"/>
      <c r="G45" s="277"/>
      <c r="H45" s="278"/>
      <c r="I45" s="279"/>
      <c r="J45" s="279"/>
      <c r="K45" s="279"/>
      <c r="L45" s="279"/>
      <c r="M45" s="266"/>
    </row>
    <row r="46" spans="1:13" x14ac:dyDescent="0.2">
      <c r="A46" s="280"/>
      <c r="B46" s="274"/>
      <c r="C46" s="275"/>
      <c r="D46" s="275"/>
      <c r="E46" s="275"/>
      <c r="F46" s="276"/>
      <c r="G46" s="277"/>
      <c r="H46" s="278"/>
      <c r="I46" s="279"/>
      <c r="J46" s="279"/>
      <c r="K46" s="279"/>
      <c r="L46" s="279"/>
      <c r="M46" s="266"/>
    </row>
    <row r="47" spans="1:13" x14ac:dyDescent="0.2">
      <c r="A47" s="280"/>
      <c r="B47" s="274"/>
      <c r="C47" s="275"/>
      <c r="D47" s="275"/>
      <c r="E47" s="275"/>
      <c r="F47" s="276"/>
      <c r="G47" s="277"/>
      <c r="H47" s="278"/>
      <c r="I47" s="279"/>
      <c r="J47" s="279"/>
      <c r="K47" s="279"/>
      <c r="L47" s="279"/>
      <c r="M47" s="266"/>
    </row>
    <row r="48" spans="1:13" x14ac:dyDescent="0.2">
      <c r="A48" s="280"/>
      <c r="B48" s="274"/>
      <c r="C48" s="275"/>
      <c r="D48" s="275"/>
      <c r="E48" s="275"/>
      <c r="F48" s="276"/>
      <c r="G48" s="277"/>
      <c r="H48" s="278"/>
      <c r="I48" s="279"/>
      <c r="J48" s="279"/>
      <c r="K48" s="279"/>
      <c r="L48" s="279"/>
      <c r="M48" s="266"/>
    </row>
    <row r="49" spans="1:13" x14ac:dyDescent="0.2">
      <c r="A49" s="280"/>
      <c r="B49" s="274"/>
      <c r="C49" s="275"/>
      <c r="D49" s="275"/>
      <c r="E49" s="275"/>
      <c r="F49" s="276"/>
      <c r="G49" s="277"/>
      <c r="H49" s="278"/>
      <c r="I49" s="279"/>
      <c r="J49" s="279"/>
      <c r="K49" s="279"/>
      <c r="L49" s="279"/>
      <c r="M49" s="266"/>
    </row>
    <row r="50" spans="1:13" x14ac:dyDescent="0.2">
      <c r="A50" s="280"/>
      <c r="B50" s="274"/>
      <c r="C50" s="275"/>
      <c r="D50" s="275"/>
      <c r="E50" s="275"/>
      <c r="F50" s="276"/>
      <c r="G50" s="277"/>
      <c r="H50" s="278"/>
      <c r="I50" s="279"/>
      <c r="J50" s="279"/>
      <c r="K50" s="279"/>
      <c r="L50" s="279"/>
      <c r="M50" s="266"/>
    </row>
    <row r="51" spans="1:13" x14ac:dyDescent="0.2">
      <c r="A51" s="280"/>
      <c r="B51" s="274"/>
      <c r="C51" s="275"/>
      <c r="D51" s="275"/>
      <c r="E51" s="275"/>
      <c r="F51" s="276"/>
      <c r="G51" s="277"/>
      <c r="H51" s="278"/>
      <c r="I51" s="279"/>
      <c r="J51" s="279"/>
      <c r="K51" s="279"/>
      <c r="L51" s="279"/>
      <c r="M51" s="266"/>
    </row>
    <row r="52" spans="1:13" x14ac:dyDescent="0.2">
      <c r="A52" s="280"/>
      <c r="B52" s="274"/>
      <c r="C52" s="275"/>
      <c r="D52" s="275"/>
      <c r="E52" s="275"/>
      <c r="F52" s="276"/>
      <c r="G52" s="277"/>
      <c r="H52" s="278"/>
      <c r="I52" s="279"/>
      <c r="J52" s="279"/>
      <c r="K52" s="279"/>
      <c r="L52" s="279"/>
      <c r="M52" s="266"/>
    </row>
    <row r="53" spans="1:13" x14ac:dyDescent="0.2">
      <c r="A53" s="280"/>
      <c r="B53" s="274"/>
      <c r="C53" s="275"/>
      <c r="D53" s="275"/>
      <c r="E53" s="275"/>
      <c r="F53" s="276"/>
      <c r="G53" s="277"/>
      <c r="H53" s="278"/>
      <c r="I53" s="279"/>
      <c r="J53" s="279"/>
      <c r="K53" s="279"/>
      <c r="L53" s="279"/>
      <c r="M53" s="266"/>
    </row>
    <row r="54" spans="1:13" x14ac:dyDescent="0.2">
      <c r="A54" s="280"/>
      <c r="B54" s="274"/>
      <c r="C54" s="275"/>
      <c r="D54" s="275"/>
      <c r="E54" s="275"/>
      <c r="F54" s="276"/>
      <c r="G54" s="277"/>
      <c r="H54" s="278"/>
      <c r="I54" s="279"/>
      <c r="J54" s="279"/>
      <c r="K54" s="279"/>
      <c r="L54" s="279"/>
      <c r="M54" s="266"/>
    </row>
    <row r="55" spans="1:13" x14ac:dyDescent="0.2">
      <c r="A55" s="280"/>
      <c r="B55" s="274"/>
      <c r="C55" s="275"/>
      <c r="D55" s="275"/>
      <c r="E55" s="275"/>
      <c r="F55" s="276"/>
      <c r="G55" s="277"/>
      <c r="H55" s="278"/>
      <c r="I55" s="279"/>
      <c r="J55" s="279"/>
      <c r="K55" s="279"/>
      <c r="L55" s="279"/>
      <c r="M55" s="266"/>
    </row>
    <row r="56" spans="1:13" x14ac:dyDescent="0.2">
      <c r="A56" s="280"/>
      <c r="B56" s="274"/>
      <c r="C56" s="275"/>
      <c r="D56" s="275"/>
      <c r="E56" s="275"/>
      <c r="F56" s="276"/>
      <c r="G56" s="277"/>
      <c r="H56" s="278"/>
      <c r="I56" s="279"/>
      <c r="J56" s="279"/>
      <c r="K56" s="279"/>
      <c r="L56" s="279"/>
      <c r="M56" s="266"/>
    </row>
    <row r="57" spans="1:13" x14ac:dyDescent="0.2">
      <c r="A57" s="280"/>
      <c r="B57" s="274"/>
      <c r="C57" s="275"/>
      <c r="D57" s="275"/>
      <c r="E57" s="275"/>
      <c r="F57" s="276"/>
      <c r="G57" s="277"/>
      <c r="H57" s="278"/>
      <c r="I57" s="279"/>
      <c r="J57" s="279"/>
      <c r="K57" s="279"/>
      <c r="L57" s="279"/>
      <c r="M57" s="266"/>
    </row>
    <row r="58" spans="1:13" x14ac:dyDescent="0.2">
      <c r="A58" s="280"/>
      <c r="B58" s="274"/>
      <c r="C58" s="275"/>
      <c r="D58" s="275"/>
      <c r="E58" s="275"/>
      <c r="F58" s="276"/>
      <c r="G58" s="277"/>
      <c r="H58" s="278"/>
      <c r="I58" s="279"/>
      <c r="J58" s="279"/>
      <c r="K58" s="279"/>
      <c r="L58" s="279"/>
      <c r="M58" s="266"/>
    </row>
    <row r="59" spans="1:13" x14ac:dyDescent="0.2">
      <c r="A59" s="280"/>
      <c r="B59" s="274"/>
      <c r="C59" s="275"/>
      <c r="D59" s="275"/>
      <c r="E59" s="275"/>
      <c r="F59" s="276"/>
      <c r="G59" s="277"/>
      <c r="H59" s="278"/>
      <c r="I59" s="279"/>
      <c r="J59" s="279"/>
      <c r="K59" s="279"/>
      <c r="L59" s="279"/>
      <c r="M59" s="266"/>
    </row>
    <row r="60" spans="1:13" x14ac:dyDescent="0.2">
      <c r="A60" s="280"/>
      <c r="B60" s="274"/>
      <c r="C60" s="275"/>
      <c r="D60" s="275"/>
      <c r="E60" s="275"/>
      <c r="F60" s="276"/>
      <c r="G60" s="277"/>
      <c r="H60" s="278"/>
      <c r="I60" s="279"/>
      <c r="J60" s="279"/>
      <c r="K60" s="279"/>
      <c r="L60" s="279"/>
      <c r="M60" s="266"/>
    </row>
    <row r="61" spans="1:13" x14ac:dyDescent="0.2">
      <c r="A61" s="280"/>
      <c r="B61" s="274"/>
      <c r="C61" s="275"/>
      <c r="D61" s="275"/>
      <c r="E61" s="275"/>
      <c r="F61" s="276"/>
      <c r="G61" s="277"/>
      <c r="H61" s="278"/>
      <c r="I61" s="279"/>
      <c r="J61" s="279"/>
      <c r="K61" s="279"/>
      <c r="L61" s="279"/>
      <c r="M61" s="266"/>
    </row>
    <row r="62" spans="1:13" x14ac:dyDescent="0.2">
      <c r="A62" s="280"/>
      <c r="B62" s="274"/>
      <c r="C62" s="275"/>
      <c r="D62" s="275"/>
      <c r="E62" s="275"/>
      <c r="F62" s="276"/>
      <c r="G62" s="277"/>
      <c r="H62" s="278"/>
      <c r="I62" s="279"/>
      <c r="J62" s="279"/>
      <c r="K62" s="279"/>
      <c r="L62" s="279"/>
      <c r="M62" s="266"/>
    </row>
    <row r="63" spans="1:13" x14ac:dyDescent="0.2">
      <c r="A63" s="280"/>
      <c r="B63" s="274"/>
      <c r="C63" s="275"/>
      <c r="D63" s="275"/>
      <c r="E63" s="275"/>
      <c r="F63" s="276"/>
      <c r="G63" s="277"/>
      <c r="H63" s="278"/>
      <c r="I63" s="279"/>
      <c r="J63" s="279"/>
      <c r="K63" s="279"/>
      <c r="L63" s="279"/>
      <c r="M63" s="266"/>
    </row>
    <row r="64" spans="1:13" x14ac:dyDescent="0.2">
      <c r="A64" s="280"/>
      <c r="B64" s="274"/>
      <c r="C64" s="275"/>
      <c r="D64" s="275"/>
      <c r="E64" s="275"/>
      <c r="F64" s="276"/>
      <c r="G64" s="277"/>
      <c r="H64" s="278"/>
      <c r="I64" s="279"/>
      <c r="J64" s="279"/>
      <c r="K64" s="279"/>
      <c r="L64" s="279"/>
      <c r="M64" s="266"/>
    </row>
    <row r="65" spans="1:13" x14ac:dyDescent="0.2">
      <c r="A65" s="280"/>
      <c r="B65" s="274"/>
      <c r="C65" s="275"/>
      <c r="D65" s="275"/>
      <c r="E65" s="275"/>
      <c r="F65" s="276"/>
      <c r="G65" s="277"/>
      <c r="H65" s="278"/>
      <c r="I65" s="279"/>
      <c r="J65" s="279"/>
      <c r="K65" s="279"/>
      <c r="L65" s="279"/>
      <c r="M65" s="266"/>
    </row>
    <row r="66" spans="1:13" x14ac:dyDescent="0.2">
      <c r="A66" s="280"/>
      <c r="B66" s="274"/>
      <c r="C66" s="275"/>
      <c r="D66" s="275"/>
      <c r="E66" s="275"/>
      <c r="F66" s="276"/>
      <c r="G66" s="277"/>
      <c r="H66" s="278"/>
      <c r="I66" s="279"/>
      <c r="J66" s="279"/>
      <c r="K66" s="279"/>
      <c r="L66" s="279"/>
      <c r="M66" s="266"/>
    </row>
    <row r="67" spans="1:13" x14ac:dyDescent="0.2">
      <c r="A67" s="280"/>
      <c r="B67" s="274"/>
      <c r="C67" s="275"/>
      <c r="D67" s="275"/>
      <c r="E67" s="275"/>
      <c r="F67" s="276"/>
      <c r="G67" s="277"/>
      <c r="H67" s="278"/>
      <c r="I67" s="279"/>
      <c r="J67" s="279"/>
      <c r="K67" s="279"/>
      <c r="L67" s="279"/>
      <c r="M67" s="266"/>
    </row>
    <row r="68" spans="1:13" x14ac:dyDescent="0.2">
      <c r="A68" s="280"/>
      <c r="B68" s="274"/>
      <c r="C68" s="275"/>
      <c r="D68" s="275"/>
      <c r="E68" s="275"/>
      <c r="F68" s="276"/>
      <c r="G68" s="277"/>
      <c r="H68" s="278"/>
      <c r="I68" s="279"/>
      <c r="J68" s="279"/>
      <c r="K68" s="279"/>
      <c r="L68" s="279"/>
      <c r="M68" s="266"/>
    </row>
    <row r="69" spans="1:13" x14ac:dyDescent="0.2">
      <c r="A69" s="280"/>
      <c r="B69" s="274"/>
      <c r="C69" s="275"/>
      <c r="D69" s="275"/>
      <c r="E69" s="275"/>
      <c r="F69" s="276"/>
      <c r="G69" s="277"/>
      <c r="H69" s="278"/>
      <c r="I69" s="279"/>
      <c r="J69" s="279"/>
      <c r="K69" s="279"/>
      <c r="L69" s="279"/>
      <c r="M69" s="266"/>
    </row>
    <row r="70" spans="1:13" x14ac:dyDescent="0.2">
      <c r="A70" s="280"/>
      <c r="B70" s="274"/>
      <c r="C70" s="275"/>
      <c r="D70" s="275"/>
      <c r="E70" s="275"/>
      <c r="F70" s="276"/>
      <c r="G70" s="277"/>
      <c r="H70" s="278"/>
      <c r="I70" s="279"/>
      <c r="J70" s="279"/>
      <c r="K70" s="279"/>
      <c r="L70" s="279"/>
      <c r="M70" s="266"/>
    </row>
    <row r="71" spans="1:13" x14ac:dyDescent="0.2">
      <c r="A71" s="280"/>
      <c r="B71" s="274"/>
      <c r="C71" s="275"/>
      <c r="D71" s="275"/>
      <c r="E71" s="275"/>
      <c r="F71" s="276"/>
      <c r="G71" s="277"/>
      <c r="H71" s="278"/>
      <c r="I71" s="279"/>
      <c r="J71" s="279"/>
      <c r="K71" s="279"/>
      <c r="L71" s="279"/>
      <c r="M71" s="266"/>
    </row>
    <row r="72" spans="1:13" x14ac:dyDescent="0.2">
      <c r="A72" s="280"/>
      <c r="B72" s="274"/>
      <c r="C72" s="275"/>
      <c r="D72" s="275"/>
      <c r="E72" s="275"/>
      <c r="F72" s="276"/>
      <c r="G72" s="277"/>
      <c r="H72" s="278"/>
      <c r="I72" s="279"/>
      <c r="J72" s="279"/>
      <c r="K72" s="279"/>
      <c r="L72" s="279"/>
      <c r="M72" s="266"/>
    </row>
    <row r="73" spans="1:13" x14ac:dyDescent="0.2">
      <c r="A73" s="280"/>
      <c r="B73" s="274"/>
      <c r="C73" s="275"/>
      <c r="D73" s="275"/>
      <c r="E73" s="275"/>
      <c r="F73" s="276"/>
      <c r="G73" s="277"/>
      <c r="H73" s="278"/>
      <c r="I73" s="279"/>
      <c r="J73" s="279"/>
      <c r="K73" s="279"/>
      <c r="L73" s="279"/>
      <c r="M73" s="266"/>
    </row>
    <row r="74" spans="1:13" x14ac:dyDescent="0.2">
      <c r="A74" s="280"/>
      <c r="B74" s="274"/>
      <c r="C74" s="275"/>
      <c r="D74" s="275"/>
      <c r="E74" s="275"/>
      <c r="F74" s="276"/>
      <c r="G74" s="277"/>
      <c r="H74" s="278"/>
      <c r="I74" s="279"/>
      <c r="J74" s="279"/>
      <c r="K74" s="279"/>
      <c r="L74" s="279"/>
      <c r="M74" s="266"/>
    </row>
    <row r="75" spans="1:13" x14ac:dyDescent="0.2">
      <c r="A75" s="280"/>
      <c r="B75" s="274"/>
      <c r="C75" s="275"/>
      <c r="D75" s="275"/>
      <c r="E75" s="275"/>
      <c r="F75" s="276"/>
      <c r="G75" s="277"/>
      <c r="H75" s="278"/>
      <c r="I75" s="279"/>
      <c r="J75" s="279"/>
      <c r="K75" s="279"/>
      <c r="L75" s="279"/>
      <c r="M75" s="266"/>
    </row>
    <row r="76" spans="1:13" x14ac:dyDescent="0.2">
      <c r="A76" s="280"/>
      <c r="B76" s="274"/>
      <c r="C76" s="275"/>
      <c r="D76" s="275"/>
      <c r="E76" s="275"/>
      <c r="F76" s="276"/>
      <c r="G76" s="277"/>
      <c r="H76" s="278"/>
      <c r="I76" s="279"/>
      <c r="J76" s="279"/>
      <c r="K76" s="279"/>
      <c r="L76" s="279"/>
      <c r="M76" s="266"/>
    </row>
    <row r="77" spans="1:13" x14ac:dyDescent="0.2">
      <c r="A77" s="280"/>
      <c r="B77" s="274"/>
      <c r="C77" s="275"/>
      <c r="D77" s="275"/>
      <c r="E77" s="275"/>
      <c r="F77" s="276"/>
      <c r="G77" s="277"/>
      <c r="H77" s="278"/>
      <c r="I77" s="279"/>
      <c r="J77" s="279"/>
      <c r="K77" s="279"/>
      <c r="L77" s="279"/>
      <c r="M77" s="266"/>
    </row>
    <row r="78" spans="1:13" x14ac:dyDescent="0.2">
      <c r="A78" s="280"/>
      <c r="B78" s="274"/>
      <c r="C78" s="275"/>
      <c r="D78" s="275"/>
      <c r="E78" s="275"/>
      <c r="F78" s="276"/>
      <c r="G78" s="277"/>
      <c r="H78" s="278"/>
      <c r="I78" s="279"/>
      <c r="J78" s="279"/>
      <c r="K78" s="279"/>
      <c r="L78" s="279"/>
      <c r="M78" s="266"/>
    </row>
    <row r="79" spans="1:13" x14ac:dyDescent="0.2">
      <c r="A79" s="280"/>
      <c r="B79" s="274"/>
      <c r="C79" s="275"/>
      <c r="D79" s="275"/>
      <c r="E79" s="275"/>
      <c r="F79" s="276"/>
      <c r="G79" s="277"/>
      <c r="H79" s="278"/>
      <c r="I79" s="279"/>
      <c r="J79" s="279"/>
      <c r="K79" s="279"/>
      <c r="L79" s="279"/>
      <c r="M79" s="266"/>
    </row>
    <row r="80" spans="1:13" x14ac:dyDescent="0.2">
      <c r="A80" s="280"/>
      <c r="B80" s="274"/>
      <c r="C80" s="275"/>
      <c r="D80" s="275"/>
      <c r="E80" s="275"/>
      <c r="F80" s="276"/>
      <c r="G80" s="277"/>
      <c r="H80" s="278"/>
      <c r="I80" s="279"/>
      <c r="J80" s="279"/>
      <c r="K80" s="279"/>
      <c r="L80" s="279"/>
      <c r="M80" s="266"/>
    </row>
    <row r="81" spans="1:13" x14ac:dyDescent="0.2">
      <c r="A81" s="280"/>
      <c r="B81" s="274"/>
      <c r="C81" s="275"/>
      <c r="D81" s="275"/>
      <c r="E81" s="275"/>
      <c r="F81" s="276"/>
      <c r="G81" s="277"/>
      <c r="H81" s="278"/>
      <c r="I81" s="279"/>
      <c r="J81" s="279"/>
      <c r="K81" s="279"/>
      <c r="L81" s="279"/>
      <c r="M81" s="266"/>
    </row>
    <row r="82" spans="1:13" x14ac:dyDescent="0.2">
      <c r="A82" s="280"/>
      <c r="B82" s="274"/>
      <c r="C82" s="275"/>
      <c r="D82" s="275"/>
      <c r="E82" s="275"/>
      <c r="F82" s="276"/>
      <c r="G82" s="277"/>
      <c r="H82" s="278"/>
      <c r="I82" s="279"/>
      <c r="J82" s="279"/>
      <c r="K82" s="279"/>
      <c r="L82" s="279"/>
      <c r="M82" s="266"/>
    </row>
    <row r="83" spans="1:13" x14ac:dyDescent="0.2">
      <c r="A83" s="280"/>
      <c r="B83" s="274"/>
      <c r="C83" s="275"/>
      <c r="D83" s="275"/>
      <c r="E83" s="275"/>
      <c r="F83" s="276"/>
      <c r="G83" s="277"/>
      <c r="H83" s="278"/>
      <c r="I83" s="279"/>
      <c r="J83" s="279"/>
      <c r="K83" s="279"/>
      <c r="L83" s="279"/>
      <c r="M83" s="266"/>
    </row>
    <row r="84" spans="1:13" x14ac:dyDescent="0.2">
      <c r="A84" s="280"/>
      <c r="B84" s="274"/>
      <c r="C84" s="275"/>
      <c r="D84" s="275"/>
      <c r="E84" s="275"/>
      <c r="F84" s="276"/>
      <c r="G84" s="277"/>
      <c r="H84" s="278"/>
      <c r="I84" s="279"/>
      <c r="J84" s="279"/>
      <c r="K84" s="279"/>
      <c r="L84" s="279"/>
      <c r="M84" s="266"/>
    </row>
    <row r="85" spans="1:13" x14ac:dyDescent="0.2">
      <c r="A85" s="280"/>
      <c r="B85" s="274"/>
      <c r="C85" s="275"/>
      <c r="D85" s="275"/>
      <c r="E85" s="275"/>
      <c r="F85" s="276"/>
      <c r="G85" s="277"/>
      <c r="H85" s="278"/>
      <c r="I85" s="279"/>
      <c r="J85" s="279"/>
      <c r="K85" s="279"/>
      <c r="L85" s="279"/>
      <c r="M85" s="266"/>
    </row>
    <row r="86" spans="1:13" x14ac:dyDescent="0.2">
      <c r="A86" s="280"/>
      <c r="B86" s="274"/>
      <c r="C86" s="275"/>
      <c r="D86" s="275"/>
      <c r="E86" s="275"/>
      <c r="F86" s="276"/>
      <c r="G86" s="277"/>
      <c r="H86" s="278"/>
      <c r="I86" s="279"/>
      <c r="J86" s="279"/>
      <c r="K86" s="279"/>
      <c r="L86" s="279"/>
      <c r="M86" s="266"/>
    </row>
    <row r="87" spans="1:13" x14ac:dyDescent="0.2">
      <c r="A87" s="280"/>
      <c r="B87" s="274"/>
      <c r="C87" s="275"/>
      <c r="D87" s="275"/>
      <c r="E87" s="275"/>
      <c r="F87" s="276"/>
      <c r="G87" s="277"/>
      <c r="H87" s="278"/>
      <c r="I87" s="279"/>
      <c r="J87" s="279"/>
      <c r="K87" s="279"/>
      <c r="L87" s="279"/>
      <c r="M87" s="266"/>
    </row>
    <row r="88" spans="1:13" x14ac:dyDescent="0.2">
      <c r="A88" s="280"/>
      <c r="B88" s="274"/>
      <c r="C88" s="275"/>
      <c r="D88" s="275"/>
      <c r="E88" s="275"/>
      <c r="F88" s="276"/>
      <c r="G88" s="277"/>
      <c r="H88" s="278"/>
      <c r="I88" s="279"/>
      <c r="J88" s="279"/>
      <c r="K88" s="279"/>
      <c r="L88" s="279"/>
      <c r="M88" s="266"/>
    </row>
    <row r="89" spans="1:13" x14ac:dyDescent="0.2">
      <c r="A89" s="280"/>
      <c r="B89" s="274"/>
      <c r="C89" s="275"/>
      <c r="D89" s="275"/>
      <c r="E89" s="275"/>
      <c r="F89" s="276"/>
      <c r="G89" s="277"/>
      <c r="H89" s="278"/>
      <c r="I89" s="279"/>
      <c r="J89" s="279"/>
      <c r="K89" s="279"/>
      <c r="L89" s="279"/>
      <c r="M89" s="266"/>
    </row>
    <row r="90" spans="1:13" x14ac:dyDescent="0.2">
      <c r="A90" s="280"/>
      <c r="B90" s="274"/>
      <c r="C90" s="275"/>
      <c r="D90" s="275"/>
      <c r="E90" s="275"/>
      <c r="F90" s="276"/>
      <c r="G90" s="277"/>
      <c r="H90" s="278"/>
      <c r="I90" s="279"/>
      <c r="J90" s="279"/>
      <c r="K90" s="279"/>
      <c r="L90" s="279"/>
      <c r="M90" s="266"/>
    </row>
    <row r="91" spans="1:13" x14ac:dyDescent="0.2">
      <c r="A91" s="280"/>
      <c r="B91" s="274"/>
      <c r="C91" s="275"/>
      <c r="D91" s="275"/>
      <c r="E91" s="275"/>
      <c r="F91" s="276"/>
      <c r="G91" s="277"/>
      <c r="H91" s="278"/>
      <c r="I91" s="279"/>
      <c r="J91" s="279"/>
      <c r="K91" s="279"/>
      <c r="L91" s="279"/>
      <c r="M91" s="266"/>
    </row>
    <row r="92" spans="1:13" x14ac:dyDescent="0.2">
      <c r="A92" s="280"/>
      <c r="B92" s="274"/>
      <c r="C92" s="275"/>
      <c r="D92" s="275"/>
      <c r="E92" s="275"/>
      <c r="F92" s="276"/>
      <c r="G92" s="277"/>
      <c r="H92" s="278"/>
      <c r="I92" s="279"/>
      <c r="J92" s="279"/>
      <c r="K92" s="279"/>
      <c r="L92" s="279"/>
      <c r="M92" s="266"/>
    </row>
    <row r="93" spans="1:13" x14ac:dyDescent="0.2">
      <c r="A93" s="280"/>
      <c r="B93" s="274"/>
      <c r="C93" s="275"/>
      <c r="D93" s="275"/>
      <c r="E93" s="275"/>
      <c r="F93" s="276"/>
      <c r="G93" s="277"/>
      <c r="H93" s="278"/>
      <c r="I93" s="279"/>
      <c r="J93" s="279"/>
      <c r="K93" s="279"/>
      <c r="L93" s="279"/>
      <c r="M93" s="266"/>
    </row>
    <row r="94" spans="1:13" x14ac:dyDescent="0.2">
      <c r="A94" s="280"/>
      <c r="B94" s="274"/>
      <c r="C94" s="275"/>
      <c r="D94" s="275"/>
      <c r="E94" s="275"/>
      <c r="F94" s="276"/>
      <c r="G94" s="277"/>
      <c r="H94" s="278"/>
      <c r="I94" s="279"/>
      <c r="J94" s="279"/>
      <c r="K94" s="279"/>
      <c r="L94" s="279"/>
      <c r="M94" s="266"/>
    </row>
    <row r="95" spans="1:13" x14ac:dyDescent="0.2">
      <c r="A95" s="280"/>
      <c r="B95" s="274"/>
      <c r="C95" s="275"/>
      <c r="D95" s="275"/>
      <c r="E95" s="275"/>
      <c r="F95" s="276"/>
      <c r="G95" s="277"/>
      <c r="H95" s="278"/>
      <c r="I95" s="279"/>
      <c r="J95" s="279"/>
      <c r="K95" s="279"/>
      <c r="L95" s="279"/>
      <c r="M95" s="266"/>
    </row>
    <row r="96" spans="1:13" x14ac:dyDescent="0.2">
      <c r="A96" s="280"/>
      <c r="B96" s="274"/>
      <c r="C96" s="275"/>
      <c r="D96" s="275"/>
      <c r="E96" s="275"/>
      <c r="F96" s="276"/>
      <c r="G96" s="277"/>
      <c r="H96" s="278"/>
      <c r="I96" s="279"/>
      <c r="J96" s="279"/>
      <c r="K96" s="279"/>
      <c r="L96" s="279"/>
      <c r="M96" s="266"/>
    </row>
    <row r="97" spans="1:13" x14ac:dyDescent="0.2">
      <c r="A97" s="280"/>
      <c r="B97" s="274"/>
      <c r="C97" s="275"/>
      <c r="D97" s="275"/>
      <c r="E97" s="275"/>
      <c r="F97" s="276"/>
      <c r="G97" s="277"/>
      <c r="H97" s="278"/>
      <c r="I97" s="279"/>
      <c r="J97" s="279"/>
      <c r="K97" s="279"/>
      <c r="L97" s="279"/>
      <c r="M97" s="266"/>
    </row>
    <row r="98" spans="1:13" x14ac:dyDescent="0.2">
      <c r="A98" s="280"/>
      <c r="B98" s="274"/>
      <c r="C98" s="275"/>
      <c r="D98" s="275"/>
      <c r="E98" s="275"/>
      <c r="F98" s="276"/>
      <c r="G98" s="277"/>
      <c r="H98" s="278"/>
      <c r="I98" s="279"/>
      <c r="J98" s="279"/>
      <c r="K98" s="279"/>
      <c r="L98" s="279"/>
      <c r="M98" s="266"/>
    </row>
    <row r="99" spans="1:13" x14ac:dyDescent="0.2">
      <c r="A99" s="280"/>
      <c r="B99" s="274"/>
      <c r="C99" s="275"/>
      <c r="D99" s="275"/>
      <c r="E99" s="275"/>
      <c r="F99" s="276"/>
      <c r="G99" s="277"/>
      <c r="H99" s="278"/>
      <c r="I99" s="279"/>
      <c r="J99" s="279"/>
      <c r="K99" s="279"/>
      <c r="L99" s="279"/>
      <c r="M99" s="266"/>
    </row>
    <row r="100" spans="1:13" x14ac:dyDescent="0.2">
      <c r="A100" s="280"/>
      <c r="B100" s="274"/>
      <c r="C100" s="275"/>
      <c r="D100" s="275"/>
      <c r="E100" s="275"/>
      <c r="F100" s="276"/>
      <c r="G100" s="277"/>
      <c r="H100" s="278"/>
      <c r="I100" s="279"/>
      <c r="J100" s="279"/>
      <c r="K100" s="279"/>
      <c r="L100" s="279"/>
      <c r="M100" s="266"/>
    </row>
    <row r="101" spans="1:13" x14ac:dyDescent="0.2">
      <c r="A101" s="280"/>
      <c r="B101" s="274"/>
      <c r="C101" s="275"/>
      <c r="D101" s="275"/>
      <c r="E101" s="275"/>
      <c r="F101" s="276"/>
      <c r="G101" s="277"/>
      <c r="H101" s="278"/>
      <c r="I101" s="279"/>
      <c r="J101" s="279"/>
      <c r="K101" s="279"/>
      <c r="L101" s="279"/>
      <c r="M101" s="266"/>
    </row>
    <row r="102" spans="1:13" x14ac:dyDescent="0.2">
      <c r="A102" s="280"/>
      <c r="B102" s="274"/>
      <c r="C102" s="275"/>
      <c r="D102" s="275"/>
      <c r="E102" s="275"/>
      <c r="F102" s="276"/>
      <c r="G102" s="277"/>
      <c r="H102" s="278"/>
      <c r="I102" s="279"/>
      <c r="J102" s="279"/>
      <c r="K102" s="279"/>
      <c r="L102" s="279"/>
      <c r="M102" s="266"/>
    </row>
    <row r="103" spans="1:13" x14ac:dyDescent="0.2">
      <c r="A103" s="280"/>
      <c r="B103" s="274"/>
      <c r="C103" s="275"/>
      <c r="D103" s="275"/>
      <c r="E103" s="275"/>
      <c r="F103" s="276"/>
      <c r="G103" s="277"/>
      <c r="H103" s="278"/>
      <c r="I103" s="279"/>
      <c r="J103" s="279"/>
      <c r="K103" s="279"/>
      <c r="L103" s="279"/>
      <c r="M103" s="266"/>
    </row>
    <row r="104" spans="1:13" x14ac:dyDescent="0.2">
      <c r="A104" s="280"/>
      <c r="B104" s="274"/>
      <c r="C104" s="275"/>
      <c r="D104" s="275"/>
      <c r="E104" s="275"/>
      <c r="F104" s="276"/>
      <c r="G104" s="277"/>
      <c r="H104" s="278"/>
      <c r="I104" s="279"/>
      <c r="J104" s="279"/>
      <c r="K104" s="279"/>
      <c r="L104" s="279"/>
      <c r="M104" s="266"/>
    </row>
    <row r="105" spans="1:13" x14ac:dyDescent="0.2">
      <c r="A105" s="280"/>
      <c r="B105" s="274"/>
      <c r="C105" s="275"/>
      <c r="D105" s="275"/>
      <c r="E105" s="275"/>
      <c r="F105" s="276"/>
      <c r="G105" s="277"/>
      <c r="H105" s="278"/>
      <c r="I105" s="279"/>
      <c r="J105" s="279"/>
      <c r="K105" s="279"/>
      <c r="L105" s="279"/>
      <c r="M105" s="266"/>
    </row>
    <row r="106" spans="1:13" x14ac:dyDescent="0.2">
      <c r="A106" s="280"/>
      <c r="B106" s="274"/>
      <c r="C106" s="275"/>
      <c r="D106" s="275"/>
      <c r="E106" s="275"/>
      <c r="F106" s="276"/>
      <c r="G106" s="277"/>
      <c r="H106" s="278"/>
      <c r="I106" s="279"/>
      <c r="J106" s="279"/>
      <c r="K106" s="279"/>
      <c r="L106" s="279"/>
      <c r="M106" s="266"/>
    </row>
    <row r="107" spans="1:13" x14ac:dyDescent="0.2">
      <c r="A107" s="280"/>
      <c r="B107" s="274"/>
      <c r="C107" s="275"/>
      <c r="D107" s="275"/>
      <c r="E107" s="275"/>
      <c r="F107" s="276"/>
      <c r="G107" s="277"/>
      <c r="H107" s="278"/>
      <c r="I107" s="279"/>
      <c r="J107" s="279"/>
      <c r="K107" s="279"/>
      <c r="L107" s="279"/>
      <c r="M107" s="266"/>
    </row>
    <row r="108" spans="1:13" x14ac:dyDescent="0.2">
      <c r="A108" s="280"/>
      <c r="B108" s="274"/>
      <c r="C108" s="275"/>
      <c r="D108" s="275"/>
      <c r="E108" s="275"/>
      <c r="F108" s="276"/>
      <c r="G108" s="277"/>
      <c r="H108" s="278"/>
      <c r="I108" s="279"/>
      <c r="J108" s="279"/>
      <c r="K108" s="279"/>
      <c r="L108" s="279"/>
      <c r="M108" s="266"/>
    </row>
    <row r="109" spans="1:13" x14ac:dyDescent="0.2">
      <c r="A109" s="280"/>
      <c r="B109" s="274"/>
      <c r="C109" s="275"/>
      <c r="D109" s="275"/>
      <c r="E109" s="275"/>
      <c r="F109" s="276"/>
      <c r="G109" s="277"/>
      <c r="H109" s="278"/>
      <c r="I109" s="279"/>
      <c r="J109" s="279"/>
      <c r="K109" s="279"/>
      <c r="L109" s="279"/>
      <c r="M109" s="266"/>
    </row>
    <row r="110" spans="1:13" x14ac:dyDescent="0.2">
      <c r="A110" s="280"/>
      <c r="B110" s="274"/>
      <c r="C110" s="275"/>
      <c r="D110" s="275"/>
      <c r="E110" s="275"/>
      <c r="F110" s="276"/>
      <c r="G110" s="277"/>
      <c r="H110" s="278"/>
      <c r="I110" s="279"/>
      <c r="J110" s="279"/>
      <c r="K110" s="279"/>
      <c r="L110" s="279"/>
      <c r="M110" s="266"/>
    </row>
    <row r="111" spans="1:13" x14ac:dyDescent="0.2">
      <c r="A111" s="280"/>
      <c r="B111" s="274"/>
      <c r="C111" s="275"/>
      <c r="D111" s="275"/>
      <c r="E111" s="275"/>
      <c r="F111" s="276"/>
      <c r="G111" s="277"/>
      <c r="H111" s="278"/>
      <c r="I111" s="279"/>
      <c r="J111" s="279"/>
      <c r="K111" s="279"/>
      <c r="L111" s="279"/>
      <c r="M111" s="266"/>
    </row>
    <row r="112" spans="1:13" x14ac:dyDescent="0.2">
      <c r="A112" s="280"/>
      <c r="B112" s="274"/>
      <c r="C112" s="275"/>
      <c r="D112" s="275"/>
      <c r="E112" s="275"/>
      <c r="F112" s="276"/>
      <c r="G112" s="277"/>
      <c r="H112" s="278"/>
      <c r="I112" s="279"/>
      <c r="J112" s="279"/>
      <c r="K112" s="279"/>
      <c r="L112" s="279"/>
      <c r="M112" s="266"/>
    </row>
    <row r="113" spans="1:13" x14ac:dyDescent="0.2">
      <c r="A113" s="280"/>
      <c r="B113" s="274"/>
      <c r="C113" s="275"/>
      <c r="D113" s="275"/>
      <c r="E113" s="275"/>
      <c r="F113" s="276"/>
      <c r="G113" s="277"/>
      <c r="H113" s="278"/>
      <c r="I113" s="279"/>
      <c r="J113" s="279"/>
      <c r="K113" s="279"/>
      <c r="L113" s="279"/>
      <c r="M113" s="266"/>
    </row>
    <row r="114" spans="1:13" x14ac:dyDescent="0.2">
      <c r="A114" s="280"/>
      <c r="B114" s="274"/>
      <c r="C114" s="275"/>
      <c r="D114" s="275"/>
      <c r="E114" s="275"/>
      <c r="F114" s="276"/>
      <c r="G114" s="277"/>
      <c r="H114" s="278"/>
      <c r="I114" s="279"/>
      <c r="J114" s="279"/>
      <c r="K114" s="279"/>
      <c r="L114" s="279"/>
      <c r="M114" s="266"/>
    </row>
    <row r="115" spans="1:13" x14ac:dyDescent="0.2">
      <c r="A115" s="280"/>
      <c r="B115" s="274"/>
      <c r="C115" s="275"/>
      <c r="D115" s="275"/>
      <c r="E115" s="275"/>
      <c r="F115" s="276"/>
      <c r="G115" s="277"/>
      <c r="H115" s="278"/>
      <c r="I115" s="279"/>
      <c r="J115" s="279"/>
      <c r="K115" s="279"/>
      <c r="L115" s="279"/>
      <c r="M115" s="266"/>
    </row>
    <row r="116" spans="1:13" x14ac:dyDescent="0.2">
      <c r="A116" s="280"/>
      <c r="B116" s="274"/>
      <c r="C116" s="275"/>
      <c r="D116" s="275"/>
      <c r="E116" s="275"/>
      <c r="F116" s="276"/>
      <c r="G116" s="277"/>
      <c r="H116" s="278"/>
      <c r="I116" s="279"/>
      <c r="J116" s="279"/>
      <c r="K116" s="279"/>
      <c r="L116" s="279"/>
      <c r="M116" s="266"/>
    </row>
    <row r="117" spans="1:13" x14ac:dyDescent="0.2">
      <c r="A117" s="280"/>
      <c r="B117" s="274"/>
      <c r="C117" s="275"/>
      <c r="D117" s="275"/>
      <c r="E117" s="275"/>
      <c r="F117" s="276"/>
      <c r="G117" s="277"/>
      <c r="H117" s="278"/>
      <c r="I117" s="279"/>
      <c r="J117" s="279"/>
      <c r="K117" s="279"/>
      <c r="L117" s="279"/>
      <c r="M117" s="266"/>
    </row>
    <row r="118" spans="1:13" x14ac:dyDescent="0.2">
      <c r="A118" s="280"/>
      <c r="B118" s="274"/>
      <c r="C118" s="275"/>
      <c r="D118" s="275"/>
      <c r="E118" s="275"/>
      <c r="F118" s="276"/>
      <c r="G118" s="277"/>
      <c r="H118" s="278"/>
      <c r="I118" s="279"/>
      <c r="J118" s="279"/>
      <c r="K118" s="279"/>
      <c r="L118" s="279"/>
      <c r="M118" s="266"/>
    </row>
    <row r="119" spans="1:13" x14ac:dyDescent="0.2">
      <c r="A119" s="280"/>
      <c r="B119" s="274"/>
      <c r="C119" s="275"/>
      <c r="D119" s="275"/>
      <c r="E119" s="275"/>
      <c r="F119" s="276"/>
      <c r="G119" s="277"/>
      <c r="H119" s="278"/>
      <c r="I119" s="279"/>
      <c r="J119" s="279"/>
      <c r="K119" s="279"/>
      <c r="L119" s="279"/>
      <c r="M119" s="266"/>
    </row>
    <row r="120" spans="1:13" x14ac:dyDescent="0.2">
      <c r="A120" s="280"/>
      <c r="B120" s="274"/>
      <c r="C120" s="275"/>
      <c r="D120" s="275"/>
      <c r="E120" s="275"/>
      <c r="F120" s="276"/>
      <c r="G120" s="277"/>
      <c r="H120" s="278"/>
      <c r="I120" s="279"/>
      <c r="J120" s="279"/>
      <c r="K120" s="279"/>
      <c r="L120" s="279"/>
      <c r="M120" s="266"/>
    </row>
    <row r="121" spans="1:13" x14ac:dyDescent="0.2">
      <c r="A121" s="280"/>
      <c r="B121" s="274"/>
      <c r="C121" s="275"/>
      <c r="D121" s="275"/>
      <c r="E121" s="275"/>
      <c r="F121" s="276"/>
      <c r="G121" s="277"/>
      <c r="H121" s="278"/>
      <c r="I121" s="279"/>
      <c r="J121" s="279"/>
      <c r="K121" s="279"/>
      <c r="L121" s="279"/>
      <c r="M121" s="266"/>
    </row>
    <row r="122" spans="1:13" x14ac:dyDescent="0.2">
      <c r="A122" s="280"/>
      <c r="B122" s="274"/>
      <c r="C122" s="275"/>
      <c r="D122" s="275"/>
      <c r="E122" s="275"/>
      <c r="F122" s="276"/>
      <c r="G122" s="277"/>
      <c r="H122" s="278"/>
      <c r="I122" s="279"/>
      <c r="J122" s="279"/>
      <c r="K122" s="279"/>
      <c r="L122" s="279"/>
      <c r="M122" s="266"/>
    </row>
    <row r="123" spans="1:13" x14ac:dyDescent="0.2">
      <c r="A123" s="280"/>
      <c r="B123" s="274"/>
      <c r="C123" s="275"/>
      <c r="D123" s="275"/>
      <c r="E123" s="275"/>
      <c r="F123" s="276"/>
      <c r="G123" s="277"/>
      <c r="H123" s="278"/>
      <c r="I123" s="279"/>
      <c r="J123" s="279"/>
      <c r="K123" s="279"/>
      <c r="L123" s="279"/>
      <c r="M123" s="266"/>
    </row>
    <row r="124" spans="1:13" x14ac:dyDescent="0.2">
      <c r="A124" s="280"/>
      <c r="B124" s="274"/>
      <c r="C124" s="275"/>
      <c r="D124" s="275"/>
      <c r="E124" s="275"/>
      <c r="F124" s="276"/>
      <c r="G124" s="277"/>
      <c r="H124" s="278"/>
      <c r="I124" s="279"/>
      <c r="J124" s="279"/>
      <c r="K124" s="279"/>
      <c r="L124" s="279"/>
      <c r="M124" s="266"/>
    </row>
    <row r="125" spans="1:13" x14ac:dyDescent="0.2">
      <c r="A125" s="280"/>
      <c r="B125" s="274"/>
      <c r="C125" s="275"/>
      <c r="D125" s="275"/>
      <c r="E125" s="275"/>
      <c r="F125" s="276"/>
      <c r="G125" s="277"/>
      <c r="H125" s="278"/>
      <c r="I125" s="279"/>
      <c r="J125" s="279"/>
      <c r="K125" s="279"/>
      <c r="L125" s="279"/>
      <c r="M125" s="266"/>
    </row>
    <row r="126" spans="1:13" x14ac:dyDescent="0.2">
      <c r="A126" s="280"/>
      <c r="B126" s="274"/>
      <c r="C126" s="275"/>
      <c r="D126" s="275"/>
      <c r="E126" s="275"/>
      <c r="F126" s="276"/>
      <c r="G126" s="277"/>
      <c r="H126" s="278"/>
      <c r="I126" s="279"/>
      <c r="J126" s="279"/>
      <c r="K126" s="279"/>
      <c r="L126" s="279"/>
      <c r="M126" s="266"/>
    </row>
    <row r="127" spans="1:13" x14ac:dyDescent="0.2">
      <c r="A127" s="280"/>
      <c r="B127" s="274"/>
      <c r="C127" s="275"/>
      <c r="D127" s="275"/>
      <c r="E127" s="275"/>
      <c r="F127" s="276"/>
      <c r="G127" s="277"/>
      <c r="H127" s="278"/>
      <c r="I127" s="279"/>
      <c r="J127" s="279"/>
      <c r="K127" s="279"/>
      <c r="L127" s="279"/>
      <c r="M127" s="266"/>
    </row>
    <row r="128" spans="1:13" x14ac:dyDescent="0.2">
      <c r="A128" s="280"/>
      <c r="B128" s="274"/>
      <c r="C128" s="275"/>
      <c r="D128" s="275"/>
      <c r="E128" s="275"/>
      <c r="F128" s="276"/>
      <c r="G128" s="277"/>
      <c r="H128" s="278"/>
      <c r="I128" s="279"/>
      <c r="J128" s="279"/>
      <c r="K128" s="279"/>
      <c r="L128" s="279"/>
      <c r="M128" s="266"/>
    </row>
    <row r="129" spans="1:13" x14ac:dyDescent="0.2">
      <c r="A129" s="280"/>
      <c r="B129" s="274"/>
      <c r="C129" s="275"/>
      <c r="D129" s="275"/>
      <c r="E129" s="275"/>
      <c r="F129" s="276"/>
      <c r="G129" s="277"/>
      <c r="H129" s="278"/>
      <c r="I129" s="279"/>
      <c r="J129" s="279"/>
      <c r="K129" s="279"/>
      <c r="L129" s="279"/>
      <c r="M129" s="266"/>
    </row>
    <row r="130" spans="1:13" x14ac:dyDescent="0.2">
      <c r="A130" s="280"/>
      <c r="B130" s="274"/>
      <c r="C130" s="275"/>
      <c r="D130" s="275"/>
      <c r="E130" s="275"/>
      <c r="F130" s="276"/>
      <c r="G130" s="277"/>
      <c r="H130" s="278"/>
      <c r="I130" s="279"/>
      <c r="J130" s="279"/>
      <c r="K130" s="279"/>
      <c r="L130" s="279"/>
      <c r="M130" s="266"/>
    </row>
    <row r="131" spans="1:13" x14ac:dyDescent="0.2">
      <c r="A131" s="280"/>
      <c r="B131" s="274"/>
      <c r="C131" s="275"/>
      <c r="D131" s="275"/>
      <c r="E131" s="275"/>
      <c r="F131" s="276"/>
      <c r="G131" s="277"/>
      <c r="H131" s="278"/>
      <c r="I131" s="279"/>
      <c r="J131" s="279"/>
      <c r="K131" s="279"/>
      <c r="L131" s="279"/>
      <c r="M131" s="266"/>
    </row>
    <row r="132" spans="1:13" x14ac:dyDescent="0.2">
      <c r="A132" s="280"/>
      <c r="B132" s="274"/>
      <c r="C132" s="275"/>
      <c r="D132" s="275"/>
      <c r="E132" s="275"/>
      <c r="F132" s="276"/>
      <c r="G132" s="277"/>
      <c r="H132" s="278"/>
      <c r="I132" s="279"/>
      <c r="J132" s="279"/>
      <c r="K132" s="279"/>
      <c r="L132" s="279"/>
      <c r="M132" s="266"/>
    </row>
    <row r="133" spans="1:13" x14ac:dyDescent="0.2">
      <c r="A133" s="280"/>
      <c r="B133" s="274"/>
      <c r="C133" s="275"/>
      <c r="D133" s="275"/>
      <c r="E133" s="275"/>
      <c r="F133" s="276"/>
      <c r="G133" s="277"/>
      <c r="H133" s="278"/>
      <c r="I133" s="279"/>
      <c r="J133" s="279"/>
      <c r="K133" s="279"/>
      <c r="L133" s="279"/>
      <c r="M133" s="266"/>
    </row>
    <row r="134" spans="1:13" x14ac:dyDescent="0.2">
      <c r="A134" s="280"/>
      <c r="B134" s="274"/>
      <c r="C134" s="275"/>
      <c r="D134" s="275"/>
      <c r="E134" s="275"/>
      <c r="F134" s="276"/>
      <c r="G134" s="277"/>
      <c r="H134" s="278"/>
      <c r="I134" s="279"/>
      <c r="J134" s="279"/>
      <c r="K134" s="279"/>
      <c r="L134" s="279"/>
      <c r="M134" s="266"/>
    </row>
    <row r="135" spans="1:13" x14ac:dyDescent="0.2">
      <c r="A135" s="280"/>
      <c r="B135" s="274"/>
      <c r="C135" s="275"/>
      <c r="D135" s="275"/>
      <c r="E135" s="275"/>
      <c r="F135" s="276"/>
      <c r="G135" s="277"/>
      <c r="H135" s="278"/>
      <c r="I135" s="279"/>
      <c r="J135" s="279"/>
      <c r="K135" s="279"/>
      <c r="L135" s="279"/>
      <c r="M135" s="266"/>
    </row>
    <row r="136" spans="1:13" x14ac:dyDescent="0.2">
      <c r="A136" s="280"/>
      <c r="B136" s="274"/>
      <c r="C136" s="275"/>
      <c r="D136" s="275"/>
      <c r="E136" s="275"/>
      <c r="F136" s="276"/>
      <c r="G136" s="277"/>
      <c r="H136" s="278"/>
      <c r="I136" s="279"/>
      <c r="J136" s="279"/>
      <c r="K136" s="279"/>
      <c r="L136" s="279"/>
      <c r="M136" s="266"/>
    </row>
    <row r="137" spans="1:13" x14ac:dyDescent="0.2">
      <c r="A137" s="280"/>
      <c r="B137" s="274"/>
      <c r="C137" s="275"/>
      <c r="D137" s="275"/>
      <c r="E137" s="275"/>
      <c r="F137" s="276"/>
      <c r="G137" s="277"/>
      <c r="H137" s="278"/>
      <c r="I137" s="279"/>
      <c r="J137" s="279"/>
      <c r="K137" s="279"/>
      <c r="L137" s="279"/>
      <c r="M137" s="266"/>
    </row>
    <row r="138" spans="1:13" x14ac:dyDescent="0.2">
      <c r="A138" s="280"/>
      <c r="B138" s="274"/>
      <c r="C138" s="275"/>
      <c r="D138" s="275"/>
      <c r="E138" s="275"/>
      <c r="F138" s="276"/>
      <c r="G138" s="277"/>
      <c r="H138" s="278"/>
      <c r="I138" s="279"/>
      <c r="J138" s="279"/>
      <c r="K138" s="279"/>
      <c r="L138" s="279"/>
      <c r="M138" s="266"/>
    </row>
    <row r="139" spans="1:13" x14ac:dyDescent="0.2">
      <c r="A139" s="280"/>
      <c r="B139" s="274"/>
      <c r="C139" s="275"/>
      <c r="D139" s="275"/>
      <c r="E139" s="275"/>
      <c r="F139" s="276"/>
      <c r="G139" s="277"/>
      <c r="H139" s="278"/>
      <c r="I139" s="279"/>
      <c r="J139" s="279"/>
      <c r="K139" s="279"/>
      <c r="L139" s="279"/>
      <c r="M139" s="266"/>
    </row>
    <row r="140" spans="1:13" x14ac:dyDescent="0.2">
      <c r="A140" s="280"/>
      <c r="B140" s="274"/>
      <c r="C140" s="275"/>
      <c r="D140" s="275"/>
      <c r="E140" s="275"/>
      <c r="F140" s="276"/>
      <c r="G140" s="277"/>
      <c r="H140" s="278"/>
      <c r="I140" s="279"/>
      <c r="J140" s="279"/>
      <c r="K140" s="279"/>
      <c r="L140" s="279"/>
      <c r="M140" s="266"/>
    </row>
    <row r="141" spans="1:13" x14ac:dyDescent="0.2">
      <c r="A141" s="280"/>
      <c r="B141" s="274"/>
      <c r="C141" s="275"/>
      <c r="D141" s="275"/>
      <c r="E141" s="275"/>
      <c r="F141" s="276"/>
      <c r="G141" s="277"/>
      <c r="H141" s="278"/>
      <c r="I141" s="279"/>
      <c r="J141" s="279"/>
      <c r="K141" s="279"/>
      <c r="L141" s="279"/>
      <c r="M141" s="266"/>
    </row>
    <row r="142" spans="1:13" x14ac:dyDescent="0.2">
      <c r="A142" s="280"/>
      <c r="B142" s="274"/>
      <c r="C142" s="275"/>
      <c r="D142" s="275"/>
      <c r="E142" s="275"/>
      <c r="F142" s="276"/>
      <c r="G142" s="277"/>
      <c r="H142" s="278"/>
      <c r="I142" s="279"/>
      <c r="J142" s="279"/>
      <c r="K142" s="279"/>
      <c r="L142" s="279"/>
      <c r="M142" s="266"/>
    </row>
    <row r="143" spans="1:13" x14ac:dyDescent="0.2">
      <c r="A143" s="280"/>
      <c r="B143" s="274"/>
      <c r="C143" s="275"/>
      <c r="D143" s="275"/>
      <c r="E143" s="275"/>
      <c r="F143" s="276"/>
      <c r="G143" s="277"/>
      <c r="H143" s="278"/>
      <c r="I143" s="279"/>
      <c r="J143" s="279"/>
      <c r="K143" s="279"/>
      <c r="L143" s="279"/>
      <c r="M143" s="266"/>
    </row>
    <row r="144" spans="1:13" x14ac:dyDescent="0.2">
      <c r="A144" s="280"/>
      <c r="B144" s="274"/>
      <c r="C144" s="275"/>
      <c r="D144" s="275"/>
      <c r="E144" s="275"/>
      <c r="F144" s="276"/>
      <c r="G144" s="277"/>
      <c r="H144" s="278"/>
      <c r="I144" s="279"/>
      <c r="J144" s="279"/>
      <c r="K144" s="279"/>
      <c r="L144" s="279"/>
      <c r="M144" s="266"/>
    </row>
    <row r="145" spans="1:13" x14ac:dyDescent="0.2">
      <c r="A145" s="280"/>
      <c r="B145" s="274"/>
      <c r="C145" s="275"/>
      <c r="D145" s="275"/>
      <c r="E145" s="275"/>
      <c r="F145" s="276"/>
      <c r="G145" s="277"/>
      <c r="H145" s="278"/>
      <c r="I145" s="279"/>
      <c r="J145" s="279"/>
      <c r="K145" s="279"/>
      <c r="L145" s="279"/>
      <c r="M145" s="266"/>
    </row>
    <row r="146" spans="1:13" x14ac:dyDescent="0.2">
      <c r="A146" s="280"/>
      <c r="B146" s="274"/>
      <c r="C146" s="275"/>
      <c r="D146" s="275"/>
      <c r="E146" s="275"/>
      <c r="F146" s="276"/>
      <c r="G146" s="277"/>
      <c r="H146" s="278"/>
      <c r="I146" s="279"/>
      <c r="J146" s="279"/>
      <c r="K146" s="279"/>
      <c r="L146" s="279"/>
      <c r="M146" s="266"/>
    </row>
    <row r="147" spans="1:13" x14ac:dyDescent="0.2">
      <c r="A147" s="280"/>
      <c r="B147" s="274"/>
      <c r="C147" s="275"/>
      <c r="D147" s="275"/>
      <c r="E147" s="275"/>
      <c r="F147" s="276"/>
      <c r="G147" s="277"/>
      <c r="H147" s="278"/>
      <c r="I147" s="279"/>
      <c r="J147" s="279"/>
      <c r="K147" s="279"/>
      <c r="L147" s="279"/>
      <c r="M147" s="266"/>
    </row>
    <row r="148" spans="1:13" x14ac:dyDescent="0.2">
      <c r="A148" s="280"/>
      <c r="B148" s="274"/>
      <c r="C148" s="275"/>
      <c r="D148" s="275"/>
      <c r="E148" s="275"/>
      <c r="F148" s="276"/>
      <c r="G148" s="277"/>
      <c r="H148" s="278"/>
      <c r="I148" s="279"/>
      <c r="J148" s="279"/>
      <c r="K148" s="279"/>
      <c r="L148" s="279"/>
      <c r="M148" s="266"/>
    </row>
    <row r="149" spans="1:13" x14ac:dyDescent="0.2">
      <c r="A149" s="280"/>
      <c r="B149" s="274"/>
      <c r="C149" s="275"/>
      <c r="D149" s="275"/>
      <c r="E149" s="275"/>
      <c r="F149" s="276"/>
      <c r="G149" s="277"/>
      <c r="H149" s="278"/>
      <c r="I149" s="279"/>
      <c r="J149" s="279"/>
      <c r="K149" s="279"/>
      <c r="L149" s="279"/>
      <c r="M149" s="266"/>
    </row>
    <row r="150" spans="1:13" x14ac:dyDescent="0.2">
      <c r="A150" s="280"/>
      <c r="B150" s="274"/>
      <c r="C150" s="275"/>
      <c r="D150" s="275"/>
      <c r="E150" s="275"/>
      <c r="F150" s="276"/>
      <c r="G150" s="277"/>
      <c r="H150" s="278"/>
      <c r="I150" s="279"/>
      <c r="J150" s="279"/>
      <c r="K150" s="279"/>
      <c r="L150" s="279"/>
      <c r="M150" s="266"/>
    </row>
    <row r="151" spans="1:13" x14ac:dyDescent="0.2">
      <c r="A151" s="280"/>
      <c r="B151" s="274"/>
      <c r="C151" s="275"/>
      <c r="D151" s="275"/>
      <c r="E151" s="275"/>
      <c r="F151" s="276"/>
      <c r="G151" s="277"/>
      <c r="H151" s="278"/>
      <c r="I151" s="279"/>
      <c r="J151" s="279"/>
      <c r="K151" s="279"/>
      <c r="L151" s="279"/>
      <c r="M151" s="266"/>
    </row>
    <row r="152" spans="1:13" x14ac:dyDescent="0.2">
      <c r="A152" s="280"/>
      <c r="B152" s="274"/>
      <c r="C152" s="275"/>
      <c r="D152" s="275"/>
      <c r="E152" s="275"/>
      <c r="F152" s="276"/>
      <c r="G152" s="277"/>
      <c r="H152" s="278"/>
      <c r="I152" s="279"/>
      <c r="J152" s="279"/>
      <c r="K152" s="279"/>
      <c r="L152" s="279"/>
      <c r="M152" s="266"/>
    </row>
    <row r="153" spans="1:13" x14ac:dyDescent="0.2">
      <c r="A153" s="280"/>
      <c r="B153" s="274"/>
      <c r="C153" s="275"/>
      <c r="D153" s="275"/>
      <c r="E153" s="275"/>
      <c r="F153" s="276"/>
      <c r="G153" s="277"/>
      <c r="H153" s="278"/>
      <c r="I153" s="279"/>
      <c r="J153" s="279"/>
      <c r="K153" s="279"/>
      <c r="L153" s="279"/>
      <c r="M153" s="266"/>
    </row>
  </sheetData>
  <sheetProtection insertColumns="0" insertRows="0" insertHyperlinks="0" deleteColumns="0" deleteRows="0" sort="0" autoFilter="0" pivotTables="0"/>
  <mergeCells count="4">
    <mergeCell ref="A1:M1"/>
    <mergeCell ref="A2:F2"/>
    <mergeCell ref="H2:L2"/>
    <mergeCell ref="I3:J3"/>
  </mergeCells>
  <conditionalFormatting sqref="K6:L6 F11:M12 F6:G6 F7:J153 K8:K153 L6:M153 B6:D153">
    <cfRule type="expression" dxfId="3" priority="4" stopIfTrue="1">
      <formula>IF($A6&lt;&gt;"",IF(B6="",TRUE,FALSE),FALSE)</formula>
    </cfRule>
  </conditionalFormatting>
  <conditionalFormatting sqref="H6:J6">
    <cfRule type="expression" dxfId="2" priority="1" stopIfTrue="1">
      <formula>IF($A6&lt;&gt;"",IF(H6="",TRUE,FALSE),FALSE)</formula>
    </cfRule>
  </conditionalFormatting>
  <dataValidations count="2">
    <dataValidation type="list" allowBlank="1" showInputMessage="1" showErrorMessage="1" sqref="F6:F65536">
      <formula1>$Q$1:$Q$3</formula1>
    </dataValidation>
    <dataValidation type="list" allowBlank="1" showInputMessage="1" showErrorMessage="1" sqref="G5:G65536">
      <formula1>$Q$1:$Q$2</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87"/>
  <sheetViews>
    <sheetView zoomScale="80" zoomScaleNormal="80" workbookViewId="0">
      <pane xSplit="5" ySplit="4" topLeftCell="F5" activePane="bottomRight" state="frozen"/>
      <selection pane="topRight" activeCell="E1" sqref="E1"/>
      <selection pane="bottomLeft" activeCell="A5" sqref="A5"/>
      <selection pane="bottomRight" activeCell="E18" sqref="E18"/>
    </sheetView>
  </sheetViews>
  <sheetFormatPr defaultRowHeight="12.75" x14ac:dyDescent="0.2"/>
  <cols>
    <col min="1" max="1" width="36" style="2" customWidth="1"/>
    <col min="2" max="2" width="26.140625" style="1" customWidth="1"/>
    <col min="3" max="3" width="6.42578125" style="49" bestFit="1" customWidth="1"/>
    <col min="4" max="4" width="7" style="49" bestFit="1" customWidth="1"/>
    <col min="5" max="5" width="21.7109375" style="50"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29" customFormat="1" ht="29.25" customHeight="1" thickBot="1" x14ac:dyDescent="0.25">
      <c r="A1" s="351" t="str">
        <f>'Change Log'!A1:D1</f>
        <v>MtrCurr - Rev9</v>
      </c>
      <c r="B1" s="352"/>
      <c r="C1" s="352"/>
      <c r="D1" s="352"/>
      <c r="E1" s="352"/>
    </row>
    <row r="2" spans="1:79" ht="13.5" customHeight="1" thickBot="1" x14ac:dyDescent="0.25">
      <c r="A2" s="334" t="s">
        <v>15</v>
      </c>
      <c r="B2" s="335"/>
      <c r="C2" s="100"/>
      <c r="D2" s="100"/>
      <c r="E2" s="80" t="s">
        <v>86</v>
      </c>
      <c r="F2" s="322" t="s">
        <v>13</v>
      </c>
      <c r="G2" s="323"/>
      <c r="H2" s="323"/>
      <c r="I2" s="323"/>
      <c r="J2" s="323"/>
      <c r="K2" s="323"/>
      <c r="L2" s="323"/>
      <c r="M2" s="323"/>
      <c r="N2" s="323"/>
      <c r="O2" s="323"/>
      <c r="P2" s="323"/>
      <c r="Q2" s="323"/>
      <c r="R2" s="323"/>
      <c r="S2" s="323"/>
      <c r="T2" s="323"/>
      <c r="U2" s="323"/>
      <c r="V2" s="323"/>
      <c r="W2" s="323"/>
      <c r="X2" s="323"/>
      <c r="Y2" s="323"/>
      <c r="Z2" s="323"/>
      <c r="AA2" s="323"/>
      <c r="AB2" s="323"/>
      <c r="AC2" s="323"/>
      <c r="AD2" s="323"/>
      <c r="AE2" s="323"/>
      <c r="AF2" s="323"/>
      <c r="AG2" s="323"/>
      <c r="AH2" s="323"/>
      <c r="AI2" s="323"/>
      <c r="AJ2" s="323"/>
      <c r="AK2" s="323"/>
      <c r="AL2" s="323"/>
      <c r="AM2" s="323"/>
      <c r="AN2" s="323"/>
      <c r="AO2" s="323"/>
      <c r="AP2" s="323"/>
      <c r="AQ2" s="323"/>
      <c r="AR2" s="323"/>
      <c r="AS2" s="323"/>
      <c r="AT2" s="323"/>
      <c r="AU2" s="323"/>
      <c r="AV2" s="323"/>
      <c r="AW2" s="323"/>
      <c r="AX2" s="323"/>
      <c r="AY2" s="323"/>
      <c r="AZ2" s="323"/>
      <c r="BA2" s="323"/>
      <c r="BB2" s="323"/>
      <c r="BC2" s="323"/>
      <c r="BD2" s="323"/>
      <c r="BE2" s="323"/>
      <c r="BF2" s="323"/>
      <c r="BG2" s="323"/>
      <c r="BH2" s="323"/>
      <c r="BI2" s="323"/>
      <c r="BJ2" s="323"/>
      <c r="BK2" s="323"/>
      <c r="BL2" s="323"/>
      <c r="BM2" s="323"/>
      <c r="BN2" s="323"/>
      <c r="BO2" s="323"/>
      <c r="BP2" s="323"/>
      <c r="BQ2" s="323"/>
      <c r="BR2" s="323"/>
      <c r="BS2" s="323"/>
      <c r="BT2" s="323"/>
      <c r="BU2" s="323"/>
      <c r="BV2" s="323"/>
      <c r="BW2" s="323"/>
      <c r="BX2" s="323"/>
      <c r="BY2" s="323"/>
      <c r="BZ2" s="324"/>
      <c r="CA2" s="173"/>
    </row>
    <row r="3" spans="1:79" s="36" customFormat="1" ht="13.5" customHeight="1" thickBot="1" x14ac:dyDescent="0.25">
      <c r="A3" s="30"/>
      <c r="B3" s="31"/>
      <c r="C3" s="102"/>
      <c r="D3" s="102"/>
      <c r="E3" s="33"/>
      <c r="F3" s="325" t="s">
        <v>56</v>
      </c>
      <c r="G3" s="326"/>
      <c r="H3" s="326"/>
      <c r="I3" s="326"/>
      <c r="J3" s="326"/>
      <c r="K3" s="326"/>
      <c r="L3" s="326"/>
      <c r="M3" s="326"/>
      <c r="N3" s="326"/>
      <c r="O3" s="326"/>
      <c r="P3" s="326"/>
      <c r="Q3" s="326"/>
      <c r="R3" s="326"/>
      <c r="S3" s="326"/>
      <c r="T3" s="326"/>
      <c r="U3" s="326"/>
      <c r="V3" s="326"/>
      <c r="W3" s="326"/>
      <c r="X3" s="326"/>
      <c r="Y3" s="326"/>
      <c r="Z3" s="326"/>
      <c r="AA3" s="326"/>
      <c r="AB3" s="326"/>
      <c r="AC3" s="326"/>
      <c r="AD3" s="326"/>
      <c r="AE3" s="326"/>
      <c r="AF3" s="326"/>
      <c r="AG3" s="326"/>
      <c r="AH3" s="326"/>
      <c r="AI3" s="326"/>
      <c r="AJ3" s="326"/>
      <c r="AK3" s="326"/>
      <c r="AL3" s="327"/>
      <c r="AM3" s="328" t="s">
        <v>80</v>
      </c>
      <c r="AN3" s="329"/>
      <c r="AO3" s="329"/>
      <c r="AP3" s="329"/>
      <c r="AQ3" s="329"/>
      <c r="AR3" s="329"/>
      <c r="AS3" s="329"/>
      <c r="AT3" s="329"/>
      <c r="AU3" s="329"/>
      <c r="AV3" s="329"/>
      <c r="AW3" s="329"/>
      <c r="AX3" s="329"/>
      <c r="AY3" s="329"/>
      <c r="AZ3" s="329"/>
      <c r="BA3" s="329"/>
      <c r="BB3" s="329"/>
      <c r="BC3" s="329"/>
      <c r="BD3" s="329"/>
      <c r="BE3" s="329"/>
      <c r="BF3" s="329"/>
      <c r="BG3" s="330"/>
      <c r="BH3" s="331" t="s">
        <v>59</v>
      </c>
      <c r="BI3" s="332"/>
      <c r="BJ3" s="332"/>
      <c r="BK3" s="332"/>
      <c r="BL3" s="332"/>
      <c r="BM3" s="332"/>
      <c r="BN3" s="332"/>
      <c r="BO3" s="332"/>
      <c r="BP3" s="333"/>
      <c r="BQ3" s="319" t="s">
        <v>81</v>
      </c>
      <c r="BR3" s="320"/>
      <c r="BS3" s="320"/>
      <c r="BT3" s="320"/>
      <c r="BU3" s="320"/>
      <c r="BV3" s="320"/>
      <c r="BW3" s="320"/>
      <c r="BX3" s="320"/>
      <c r="BY3" s="320"/>
      <c r="BZ3" s="321"/>
      <c r="CA3" s="174"/>
    </row>
    <row r="4" spans="1:79" s="36" customFormat="1" ht="201.75" customHeight="1" thickBot="1" x14ac:dyDescent="0.25">
      <c r="A4" s="37" t="s">
        <v>88</v>
      </c>
      <c r="B4" s="38" t="s">
        <v>58</v>
      </c>
      <c r="C4" s="101" t="s">
        <v>115</v>
      </c>
      <c r="D4" s="101" t="s">
        <v>92</v>
      </c>
      <c r="E4" s="42" t="s">
        <v>142</v>
      </c>
      <c r="F4" s="175" t="s">
        <v>21</v>
      </c>
      <c r="G4" s="176" t="s">
        <v>22</v>
      </c>
      <c r="H4" s="176" t="s">
        <v>23</v>
      </c>
      <c r="I4" s="176" t="s">
        <v>103</v>
      </c>
      <c r="J4" s="176" t="s">
        <v>123</v>
      </c>
      <c r="K4" s="176" t="s">
        <v>124</v>
      </c>
      <c r="L4" s="176" t="s">
        <v>125</v>
      </c>
      <c r="M4" s="176" t="s">
        <v>126</v>
      </c>
      <c r="N4" s="176" t="s">
        <v>127</v>
      </c>
      <c r="O4" s="176" t="s">
        <v>128</v>
      </c>
      <c r="P4" s="176" t="s">
        <v>129</v>
      </c>
      <c r="Q4" s="176" t="s">
        <v>130</v>
      </c>
      <c r="R4" s="176" t="s">
        <v>24</v>
      </c>
      <c r="S4" s="176" t="s">
        <v>25</v>
      </c>
      <c r="T4" s="176" t="s">
        <v>26</v>
      </c>
      <c r="U4" s="176" t="s">
        <v>27</v>
      </c>
      <c r="V4" s="176" t="s">
        <v>28</v>
      </c>
      <c r="W4" s="176" t="s">
        <v>29</v>
      </c>
      <c r="X4" s="176" t="s">
        <v>30</v>
      </c>
      <c r="Y4" s="176" t="s">
        <v>11</v>
      </c>
      <c r="Z4" s="176" t="s">
        <v>31</v>
      </c>
      <c r="AA4" s="176" t="s">
        <v>32</v>
      </c>
      <c r="AB4" s="176" t="s">
        <v>33</v>
      </c>
      <c r="AC4" s="176" t="s">
        <v>34</v>
      </c>
      <c r="AD4" s="176" t="s">
        <v>35</v>
      </c>
      <c r="AE4" s="176" t="s">
        <v>36</v>
      </c>
      <c r="AF4" s="176" t="s">
        <v>37</v>
      </c>
      <c r="AG4" s="176" t="s">
        <v>38</v>
      </c>
      <c r="AH4" s="176" t="s">
        <v>39</v>
      </c>
      <c r="AI4" s="176" t="s">
        <v>40</v>
      </c>
      <c r="AJ4" s="176" t="s">
        <v>41</v>
      </c>
      <c r="AK4" s="176" t="s">
        <v>42</v>
      </c>
      <c r="AL4" s="176" t="s">
        <v>14</v>
      </c>
      <c r="AM4" s="176" t="s">
        <v>43</v>
      </c>
      <c r="AN4" s="176" t="s">
        <v>44</v>
      </c>
      <c r="AO4" s="176" t="s">
        <v>45</v>
      </c>
      <c r="AP4" s="176" t="s">
        <v>46</v>
      </c>
      <c r="AQ4" s="176" t="s">
        <v>47</v>
      </c>
      <c r="AR4" s="176" t="s">
        <v>73</v>
      </c>
      <c r="AS4" s="176" t="s">
        <v>74</v>
      </c>
      <c r="AT4" s="176" t="s">
        <v>75</v>
      </c>
      <c r="AU4" s="176" t="s">
        <v>76</v>
      </c>
      <c r="AV4" s="176" t="s">
        <v>77</v>
      </c>
      <c r="AW4" s="176" t="s">
        <v>78</v>
      </c>
      <c r="AX4" s="176" t="s">
        <v>89</v>
      </c>
      <c r="AY4" s="176" t="s">
        <v>12</v>
      </c>
      <c r="AZ4" s="176" t="s">
        <v>90</v>
      </c>
      <c r="BA4" s="176" t="s">
        <v>141</v>
      </c>
      <c r="BB4" s="176" t="s">
        <v>91</v>
      </c>
      <c r="BC4" s="176" t="s">
        <v>60</v>
      </c>
      <c r="BD4" s="176" t="s">
        <v>61</v>
      </c>
      <c r="BE4" s="176" t="s">
        <v>62</v>
      </c>
      <c r="BF4" s="176" t="s">
        <v>63</v>
      </c>
      <c r="BG4" s="176" t="s">
        <v>64</v>
      </c>
      <c r="BH4" s="176" t="s">
        <v>65</v>
      </c>
      <c r="BI4" s="176" t="s">
        <v>66</v>
      </c>
      <c r="BJ4" s="176" t="s">
        <v>67</v>
      </c>
      <c r="BK4" s="176" t="s">
        <v>68</v>
      </c>
      <c r="BL4" s="176" t="s">
        <v>69</v>
      </c>
      <c r="BM4" s="176" t="s">
        <v>70</v>
      </c>
      <c r="BN4" s="176" t="s">
        <v>71</v>
      </c>
      <c r="BO4" s="176" t="s">
        <v>72</v>
      </c>
      <c r="BP4" s="176" t="s">
        <v>104</v>
      </c>
      <c r="BQ4" s="176" t="s">
        <v>105</v>
      </c>
      <c r="BR4" s="176" t="s">
        <v>106</v>
      </c>
      <c r="BS4" s="176" t="s">
        <v>107</v>
      </c>
      <c r="BT4" s="176" t="s">
        <v>108</v>
      </c>
      <c r="BU4" s="176" t="s">
        <v>109</v>
      </c>
      <c r="BV4" s="176" t="s">
        <v>110</v>
      </c>
      <c r="BW4" s="176" t="s">
        <v>119</v>
      </c>
      <c r="BX4" s="176" t="s">
        <v>120</v>
      </c>
      <c r="BY4" s="176" t="s">
        <v>121</v>
      </c>
      <c r="BZ4" s="187" t="s">
        <v>122</v>
      </c>
    </row>
    <row r="5" spans="1:79" s="36" customFormat="1" x14ac:dyDescent="0.2">
      <c r="A5" s="77"/>
      <c r="B5" s="55"/>
      <c r="C5" s="103"/>
      <c r="D5" s="103"/>
      <c r="E5" s="82"/>
      <c r="F5" s="88"/>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90"/>
    </row>
    <row r="6" spans="1:79" s="36" customFormat="1" x14ac:dyDescent="0.2">
      <c r="A6" s="54"/>
      <c r="B6" s="55"/>
      <c r="C6" s="103"/>
      <c r="D6" s="103"/>
      <c r="E6" s="82"/>
      <c r="F6" s="64"/>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5"/>
      <c r="BL6" s="65"/>
      <c r="BM6" s="65"/>
      <c r="BN6" s="65"/>
      <c r="BO6" s="65"/>
      <c r="BP6" s="65"/>
      <c r="BQ6" s="65"/>
      <c r="BR6" s="65"/>
      <c r="BS6" s="65"/>
      <c r="BT6" s="65"/>
      <c r="BU6" s="65"/>
      <c r="BV6" s="65"/>
      <c r="BW6" s="65"/>
      <c r="BX6" s="65"/>
      <c r="BY6" s="65"/>
      <c r="BZ6" s="66"/>
    </row>
    <row r="7" spans="1:79" x14ac:dyDescent="0.2">
      <c r="A7" s="63"/>
      <c r="B7" s="55"/>
      <c r="C7" s="103"/>
      <c r="D7" s="103"/>
      <c r="E7" s="82"/>
      <c r="F7" s="64"/>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6"/>
    </row>
    <row r="8" spans="1:79" x14ac:dyDescent="0.2">
      <c r="A8" s="67"/>
      <c r="B8" s="55"/>
      <c r="C8" s="103"/>
      <c r="D8" s="103"/>
      <c r="E8" s="82"/>
      <c r="F8" s="64"/>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6"/>
    </row>
    <row r="9" spans="1:79" x14ac:dyDescent="0.2">
      <c r="A9" s="63"/>
      <c r="B9" s="55"/>
      <c r="C9" s="103"/>
      <c r="D9" s="103"/>
      <c r="E9" s="82"/>
      <c r="F9" s="60"/>
      <c r="G9" s="61"/>
      <c r="H9" s="61"/>
      <c r="I9" s="61"/>
      <c r="J9" s="61"/>
      <c r="K9" s="61"/>
      <c r="L9" s="61"/>
      <c r="M9" s="61"/>
      <c r="N9" s="61"/>
      <c r="O9" s="61"/>
      <c r="P9" s="61"/>
      <c r="Q9" s="61"/>
      <c r="R9" s="61"/>
      <c r="S9" s="61"/>
      <c r="T9" s="61"/>
      <c r="U9" s="61"/>
      <c r="V9" s="61"/>
      <c r="W9" s="61"/>
      <c r="X9" s="61"/>
      <c r="Y9" s="61"/>
      <c r="Z9" s="61"/>
      <c r="AA9" s="61"/>
      <c r="AB9" s="61"/>
      <c r="AC9" s="61"/>
      <c r="AD9" s="61"/>
      <c r="AE9" s="61"/>
      <c r="AF9" s="61"/>
      <c r="AG9" s="61"/>
      <c r="AH9" s="61"/>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2"/>
    </row>
    <row r="10" spans="1:79" x14ac:dyDescent="0.2">
      <c r="A10" s="67"/>
      <c r="B10" s="55"/>
      <c r="C10" s="103"/>
      <c r="D10" s="103"/>
      <c r="E10" s="82"/>
      <c r="F10" s="64"/>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6"/>
    </row>
    <row r="11" spans="1:79" x14ac:dyDescent="0.2">
      <c r="A11" s="63"/>
      <c r="B11" s="55"/>
      <c r="C11" s="103"/>
      <c r="D11" s="103"/>
      <c r="E11" s="82"/>
      <c r="F11" s="64"/>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c r="BX11" s="65"/>
      <c r="BY11" s="65"/>
      <c r="BZ11" s="66"/>
    </row>
    <row r="12" spans="1:79" x14ac:dyDescent="0.2">
      <c r="A12" s="63"/>
      <c r="B12" s="55"/>
      <c r="C12" s="103"/>
      <c r="D12" s="103"/>
      <c r="E12" s="82"/>
      <c r="F12" s="64"/>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c r="BA12" s="65"/>
      <c r="BB12" s="65"/>
      <c r="BC12" s="65"/>
      <c r="BD12" s="65"/>
      <c r="BE12" s="65"/>
      <c r="BF12" s="65"/>
      <c r="BG12" s="65"/>
      <c r="BH12" s="65"/>
      <c r="BI12" s="65"/>
      <c r="BJ12" s="65"/>
      <c r="BK12" s="65"/>
      <c r="BL12" s="65"/>
      <c r="BM12" s="65"/>
      <c r="BN12" s="65"/>
      <c r="BO12" s="65"/>
      <c r="BP12" s="65"/>
      <c r="BQ12" s="65"/>
      <c r="BR12" s="65"/>
      <c r="BS12" s="65"/>
      <c r="BT12" s="65"/>
      <c r="BU12" s="65"/>
      <c r="BV12" s="65"/>
      <c r="BW12" s="65"/>
      <c r="BX12" s="65"/>
      <c r="BY12" s="65"/>
      <c r="BZ12" s="66"/>
    </row>
    <row r="13" spans="1:79" x14ac:dyDescent="0.2">
      <c r="A13" s="67"/>
      <c r="B13" s="55"/>
      <c r="C13" s="103"/>
      <c r="D13" s="103"/>
      <c r="E13" s="82"/>
      <c r="F13" s="64"/>
      <c r="G13" s="65"/>
      <c r="H13" s="65"/>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c r="BY13" s="65"/>
      <c r="BZ13" s="66"/>
    </row>
    <row r="14" spans="1:79" x14ac:dyDescent="0.2">
      <c r="A14" s="63"/>
      <c r="B14" s="55"/>
      <c r="C14" s="103"/>
      <c r="D14" s="103"/>
      <c r="E14" s="82"/>
      <c r="F14" s="64"/>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6"/>
    </row>
    <row r="15" spans="1:79" x14ac:dyDescent="0.2">
      <c r="A15" s="67"/>
      <c r="B15" s="55"/>
      <c r="C15" s="103"/>
      <c r="D15" s="103"/>
      <c r="E15" s="82"/>
      <c r="F15" s="64"/>
      <c r="G15" s="65"/>
      <c r="H15" s="65"/>
      <c r="I15" s="65"/>
      <c r="J15" s="65"/>
      <c r="K15" s="65"/>
      <c r="L15" s="65"/>
      <c r="M15" s="65"/>
      <c r="N15" s="65"/>
      <c r="O15" s="65"/>
      <c r="P15" s="65"/>
      <c r="Q15" s="65"/>
      <c r="R15" s="65"/>
      <c r="S15" s="65"/>
      <c r="T15" s="65"/>
      <c r="U15" s="65"/>
      <c r="V15" s="65"/>
      <c r="W15" s="65"/>
      <c r="X15" s="65"/>
      <c r="Y15" s="65"/>
      <c r="Z15" s="65"/>
      <c r="AA15" s="65"/>
      <c r="AB15" s="65"/>
      <c r="AC15" s="65"/>
      <c r="AD15" s="65"/>
      <c r="AE15" s="65"/>
      <c r="AF15" s="65"/>
      <c r="AG15" s="65"/>
      <c r="AH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6"/>
    </row>
    <row r="16" spans="1:79" x14ac:dyDescent="0.2">
      <c r="A16" s="67"/>
      <c r="B16" s="55"/>
      <c r="C16" s="103"/>
      <c r="D16" s="103"/>
      <c r="E16" s="82"/>
      <c r="F16" s="64"/>
      <c r="G16" s="65"/>
      <c r="H16" s="65"/>
      <c r="I16" s="65"/>
      <c r="J16" s="65"/>
      <c r="K16" s="65"/>
      <c r="L16" s="65"/>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c r="BA16" s="65"/>
      <c r="BB16" s="65"/>
      <c r="BC16" s="65"/>
      <c r="BD16" s="65"/>
      <c r="BE16" s="65"/>
      <c r="BF16" s="65"/>
      <c r="BG16" s="65"/>
      <c r="BH16" s="65"/>
      <c r="BI16" s="65"/>
      <c r="BJ16" s="65"/>
      <c r="BK16" s="65"/>
      <c r="BL16" s="65"/>
      <c r="BM16" s="65"/>
      <c r="BN16" s="65"/>
      <c r="BO16" s="65"/>
      <c r="BP16" s="65"/>
      <c r="BQ16" s="65"/>
      <c r="BR16" s="65"/>
      <c r="BS16" s="65"/>
      <c r="BT16" s="65"/>
      <c r="BU16" s="65"/>
      <c r="BV16" s="65"/>
      <c r="BW16" s="65"/>
      <c r="BX16" s="65"/>
      <c r="BY16" s="65"/>
      <c r="BZ16" s="66"/>
    </row>
    <row r="17" spans="1:78" s="46" customFormat="1" x14ac:dyDescent="0.2">
      <c r="A17" s="78"/>
      <c r="B17" s="55"/>
      <c r="C17" s="103"/>
      <c r="D17" s="103"/>
      <c r="E17" s="82"/>
      <c r="F17" s="64"/>
      <c r="G17" s="65"/>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c r="BA17" s="65"/>
      <c r="BB17" s="65"/>
      <c r="BC17" s="65"/>
      <c r="BD17" s="65"/>
      <c r="BE17" s="65"/>
      <c r="BF17" s="65"/>
      <c r="BG17" s="65"/>
      <c r="BH17" s="65"/>
      <c r="BI17" s="65"/>
      <c r="BJ17" s="65"/>
      <c r="BK17" s="65"/>
      <c r="BL17" s="65"/>
      <c r="BM17" s="65"/>
      <c r="BN17" s="65"/>
      <c r="BO17" s="65"/>
      <c r="BP17" s="65"/>
      <c r="BQ17" s="65"/>
      <c r="BR17" s="65"/>
      <c r="BS17" s="65"/>
      <c r="BT17" s="65"/>
      <c r="BU17" s="65"/>
      <c r="BV17" s="65"/>
      <c r="BW17" s="65"/>
      <c r="BX17" s="65"/>
      <c r="BY17" s="65"/>
      <c r="BZ17" s="66"/>
    </row>
    <row r="18" spans="1:78" x14ac:dyDescent="0.2">
      <c r="A18" s="78"/>
      <c r="B18" s="55"/>
      <c r="C18" s="103"/>
      <c r="D18" s="103"/>
      <c r="E18" s="86"/>
      <c r="F18" s="64"/>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W18" s="65"/>
      <c r="BX18" s="65"/>
      <c r="BY18" s="65"/>
      <c r="BZ18" s="66"/>
    </row>
    <row r="19" spans="1:78" x14ac:dyDescent="0.2">
      <c r="A19" s="78"/>
      <c r="B19" s="55"/>
      <c r="C19" s="103"/>
      <c r="D19" s="103"/>
      <c r="E19" s="82"/>
      <c r="F19" s="64"/>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c r="BA19" s="65"/>
      <c r="BB19" s="65"/>
      <c r="BC19" s="65"/>
      <c r="BD19" s="65"/>
      <c r="BE19" s="65"/>
      <c r="BF19" s="65"/>
      <c r="BG19" s="65"/>
      <c r="BH19" s="65"/>
      <c r="BI19" s="65"/>
      <c r="BJ19" s="65"/>
      <c r="BK19" s="65"/>
      <c r="BL19" s="65"/>
      <c r="BM19" s="65"/>
      <c r="BN19" s="65"/>
      <c r="BO19" s="65"/>
      <c r="BP19" s="65"/>
      <c r="BQ19" s="65"/>
      <c r="BR19" s="65"/>
      <c r="BS19" s="65"/>
      <c r="BT19" s="65"/>
      <c r="BU19" s="65"/>
      <c r="BV19" s="65"/>
      <c r="BW19" s="65"/>
      <c r="BX19" s="65"/>
      <c r="BY19" s="65"/>
      <c r="BZ19" s="66"/>
    </row>
    <row r="20" spans="1:78" x14ac:dyDescent="0.2">
      <c r="A20" s="67"/>
      <c r="B20" s="55"/>
      <c r="C20" s="103"/>
      <c r="D20" s="103"/>
      <c r="E20" s="82"/>
      <c r="F20" s="64"/>
      <c r="G20" s="6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5"/>
      <c r="BI20" s="65"/>
      <c r="BJ20" s="65"/>
      <c r="BK20" s="65"/>
      <c r="BL20" s="65"/>
      <c r="BM20" s="65"/>
      <c r="BN20" s="65"/>
      <c r="BO20" s="65"/>
      <c r="BP20" s="65"/>
      <c r="BQ20" s="65"/>
      <c r="BR20" s="65"/>
      <c r="BS20" s="65"/>
      <c r="BT20" s="65"/>
      <c r="BU20" s="65"/>
      <c r="BV20" s="65"/>
      <c r="BW20" s="65"/>
      <c r="BX20" s="65"/>
      <c r="BY20" s="65"/>
      <c r="BZ20" s="66"/>
    </row>
    <row r="21" spans="1:78" x14ac:dyDescent="0.2">
      <c r="A21" s="67"/>
      <c r="B21" s="55"/>
      <c r="C21" s="103"/>
      <c r="D21" s="103"/>
      <c r="E21" s="82"/>
      <c r="F21" s="64"/>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c r="BA21" s="65"/>
      <c r="BB21" s="65"/>
      <c r="BC21" s="65"/>
      <c r="BD21" s="65"/>
      <c r="BE21" s="65"/>
      <c r="BF21" s="65"/>
      <c r="BG21" s="65"/>
      <c r="BH21" s="65"/>
      <c r="BI21" s="65"/>
      <c r="BJ21" s="65"/>
      <c r="BK21" s="65"/>
      <c r="BL21" s="65"/>
      <c r="BM21" s="65"/>
      <c r="BN21" s="65"/>
      <c r="BO21" s="65"/>
      <c r="BP21" s="65"/>
      <c r="BQ21" s="65"/>
      <c r="BR21" s="65"/>
      <c r="BS21" s="65"/>
      <c r="BT21" s="65"/>
      <c r="BU21" s="65"/>
      <c r="BV21" s="65"/>
      <c r="BW21" s="65"/>
      <c r="BX21" s="65"/>
      <c r="BY21" s="65"/>
      <c r="BZ21" s="66"/>
    </row>
    <row r="22" spans="1:78" x14ac:dyDescent="0.2">
      <c r="A22" s="67"/>
      <c r="B22" s="55"/>
      <c r="C22" s="103"/>
      <c r="D22" s="103"/>
      <c r="E22" s="82"/>
      <c r="F22" s="64"/>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c r="BA22" s="65"/>
      <c r="BB22" s="65"/>
      <c r="BC22" s="65"/>
      <c r="BD22" s="65"/>
      <c r="BE22" s="65"/>
      <c r="BF22" s="65"/>
      <c r="BG22" s="65"/>
      <c r="BH22" s="65"/>
      <c r="BI22" s="65"/>
      <c r="BJ22" s="65"/>
      <c r="BK22" s="65"/>
      <c r="BL22" s="65"/>
      <c r="BM22" s="65"/>
      <c r="BN22" s="65"/>
      <c r="BO22" s="65"/>
      <c r="BP22" s="65"/>
      <c r="BQ22" s="65"/>
      <c r="BR22" s="65"/>
      <c r="BS22" s="65"/>
      <c r="BT22" s="65"/>
      <c r="BU22" s="65"/>
      <c r="BV22" s="65"/>
      <c r="BW22" s="65"/>
      <c r="BX22" s="65"/>
      <c r="BY22" s="65"/>
      <c r="BZ22" s="66"/>
    </row>
    <row r="23" spans="1:78" x14ac:dyDescent="0.2">
      <c r="A23" s="63"/>
      <c r="B23" s="55"/>
      <c r="C23" s="103"/>
      <c r="D23" s="103"/>
      <c r="E23" s="82"/>
      <c r="F23" s="64"/>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c r="BA23" s="65"/>
      <c r="BB23" s="65"/>
      <c r="BC23" s="65"/>
      <c r="BD23" s="65"/>
      <c r="BE23" s="65"/>
      <c r="BF23" s="65"/>
      <c r="BG23" s="65"/>
      <c r="BH23" s="65"/>
      <c r="BI23" s="65"/>
      <c r="BJ23" s="65"/>
      <c r="BK23" s="65"/>
      <c r="BL23" s="65"/>
      <c r="BM23" s="65"/>
      <c r="BN23" s="65"/>
      <c r="BO23" s="65"/>
      <c r="BP23" s="65"/>
      <c r="BQ23" s="65"/>
      <c r="BR23" s="65"/>
      <c r="BS23" s="65"/>
      <c r="BT23" s="65"/>
      <c r="BU23" s="65"/>
      <c r="BV23" s="65"/>
      <c r="BW23" s="65"/>
      <c r="BX23" s="65"/>
      <c r="BY23" s="65"/>
      <c r="BZ23" s="66"/>
    </row>
    <row r="24" spans="1:78" x14ac:dyDescent="0.2">
      <c r="A24" s="63"/>
      <c r="B24" s="55"/>
      <c r="C24" s="103"/>
      <c r="D24" s="103"/>
      <c r="E24" s="82"/>
      <c r="F24" s="64"/>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c r="BA24" s="65"/>
      <c r="BB24" s="65"/>
      <c r="BC24" s="65"/>
      <c r="BD24" s="65"/>
      <c r="BE24" s="65"/>
      <c r="BF24" s="65"/>
      <c r="BG24" s="65"/>
      <c r="BH24" s="65"/>
      <c r="BI24" s="65"/>
      <c r="BJ24" s="65"/>
      <c r="BK24" s="65"/>
      <c r="BL24" s="65"/>
      <c r="BM24" s="65"/>
      <c r="BN24" s="65"/>
      <c r="BO24" s="65"/>
      <c r="BP24" s="65"/>
      <c r="BQ24" s="65"/>
      <c r="BR24" s="65"/>
      <c r="BS24" s="65"/>
      <c r="BT24" s="65"/>
      <c r="BU24" s="65"/>
      <c r="BV24" s="65"/>
      <c r="BW24" s="65"/>
      <c r="BX24" s="65"/>
      <c r="BY24" s="65"/>
      <c r="BZ24" s="66"/>
    </row>
    <row r="25" spans="1:78" x14ac:dyDescent="0.2">
      <c r="A25" s="63"/>
      <c r="B25" s="55"/>
      <c r="C25" s="103"/>
      <c r="D25" s="103"/>
      <c r="E25" s="82"/>
      <c r="F25" s="64"/>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c r="BA25" s="65"/>
      <c r="BB25" s="65"/>
      <c r="BC25" s="65"/>
      <c r="BD25" s="65"/>
      <c r="BE25" s="65"/>
      <c r="BF25" s="65"/>
      <c r="BG25" s="65"/>
      <c r="BH25" s="65"/>
      <c r="BI25" s="65"/>
      <c r="BJ25" s="65"/>
      <c r="BK25" s="65"/>
      <c r="BL25" s="65"/>
      <c r="BM25" s="65"/>
      <c r="BN25" s="65"/>
      <c r="BO25" s="65"/>
      <c r="BP25" s="65"/>
      <c r="BQ25" s="65"/>
      <c r="BR25" s="65"/>
      <c r="BS25" s="65"/>
      <c r="BT25" s="65"/>
      <c r="BU25" s="65"/>
      <c r="BV25" s="65"/>
      <c r="BW25" s="65"/>
      <c r="BX25" s="65"/>
      <c r="BY25" s="65"/>
      <c r="BZ25" s="66"/>
    </row>
    <row r="26" spans="1:78" x14ac:dyDescent="0.2">
      <c r="A26" s="63"/>
      <c r="B26" s="55"/>
      <c r="C26" s="103"/>
      <c r="D26" s="103"/>
      <c r="E26" s="82"/>
      <c r="F26" s="94"/>
      <c r="G26" s="95"/>
      <c r="H26" s="95"/>
      <c r="I26" s="95"/>
      <c r="J26" s="95"/>
      <c r="K26" s="95"/>
      <c r="L26" s="9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c r="AZ26" s="95"/>
      <c r="BA26" s="95"/>
      <c r="BB26" s="95"/>
      <c r="BC26" s="95"/>
      <c r="BD26" s="95"/>
      <c r="BE26" s="95"/>
      <c r="BF26" s="95"/>
      <c r="BG26" s="95"/>
      <c r="BH26" s="95"/>
      <c r="BI26" s="95"/>
      <c r="BJ26" s="95"/>
      <c r="BK26" s="95"/>
      <c r="BL26" s="95"/>
      <c r="BM26" s="95"/>
      <c r="BN26" s="95"/>
      <c r="BO26" s="95"/>
      <c r="BP26" s="95"/>
      <c r="BQ26" s="95"/>
      <c r="BR26" s="95"/>
      <c r="BS26" s="95"/>
      <c r="BT26" s="95"/>
      <c r="BU26" s="95"/>
      <c r="BV26" s="95"/>
      <c r="BW26" s="95"/>
      <c r="BX26" s="95"/>
      <c r="BY26" s="95"/>
      <c r="BZ26" s="96"/>
    </row>
    <row r="27" spans="1:78" x14ac:dyDescent="0.2">
      <c r="A27" s="67"/>
      <c r="B27" s="55"/>
      <c r="C27" s="103"/>
      <c r="D27" s="103"/>
      <c r="E27" s="82"/>
      <c r="F27" s="64"/>
      <c r="G27" s="65"/>
      <c r="H27" s="65"/>
      <c r="I27" s="65"/>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5"/>
      <c r="AQ27" s="65"/>
      <c r="AR27" s="65"/>
      <c r="AS27" s="65"/>
      <c r="AT27" s="65"/>
      <c r="AU27" s="65"/>
      <c r="AV27" s="65"/>
      <c r="AW27" s="65"/>
      <c r="AX27" s="65"/>
      <c r="AY27" s="65"/>
      <c r="AZ27" s="65"/>
      <c r="BA27" s="65"/>
      <c r="BB27" s="65"/>
      <c r="BC27" s="65"/>
      <c r="BD27" s="65"/>
      <c r="BE27" s="65"/>
      <c r="BF27" s="65"/>
      <c r="BG27" s="65"/>
      <c r="BH27" s="65"/>
      <c r="BI27" s="65"/>
      <c r="BJ27" s="65"/>
      <c r="BK27" s="65"/>
      <c r="BL27" s="65"/>
      <c r="BM27" s="65"/>
      <c r="BN27" s="65"/>
      <c r="BO27" s="65"/>
      <c r="BP27" s="65"/>
      <c r="BQ27" s="65"/>
      <c r="BR27" s="65"/>
      <c r="BS27" s="65"/>
      <c r="BT27" s="65"/>
      <c r="BU27" s="65"/>
      <c r="BV27" s="65"/>
      <c r="BW27" s="65"/>
      <c r="BX27" s="65"/>
      <c r="BY27" s="65"/>
      <c r="BZ27" s="66"/>
    </row>
    <row r="28" spans="1:78" s="46" customFormat="1" x14ac:dyDescent="0.2">
      <c r="A28" s="67"/>
      <c r="B28" s="55"/>
      <c r="C28" s="103"/>
      <c r="D28" s="103"/>
      <c r="E28" s="82"/>
      <c r="F28" s="64"/>
      <c r="G28" s="65"/>
      <c r="H28" s="65"/>
      <c r="I28" s="65"/>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c r="AS28" s="65"/>
      <c r="AT28" s="65"/>
      <c r="AU28" s="65"/>
      <c r="AV28" s="65"/>
      <c r="AW28" s="65"/>
      <c r="AX28" s="65"/>
      <c r="AY28" s="65"/>
      <c r="AZ28" s="65"/>
      <c r="BA28" s="65"/>
      <c r="BB28" s="65"/>
      <c r="BC28" s="65"/>
      <c r="BD28" s="65"/>
      <c r="BE28" s="65"/>
      <c r="BF28" s="65"/>
      <c r="BG28" s="65"/>
      <c r="BH28" s="65"/>
      <c r="BI28" s="65"/>
      <c r="BJ28" s="65"/>
      <c r="BK28" s="65"/>
      <c r="BL28" s="65"/>
      <c r="BM28" s="65"/>
      <c r="BN28" s="65"/>
      <c r="BO28" s="65"/>
      <c r="BP28" s="65"/>
      <c r="BQ28" s="65"/>
      <c r="BR28" s="65"/>
      <c r="BS28" s="65"/>
      <c r="BT28" s="65"/>
      <c r="BU28" s="65"/>
      <c r="BV28" s="65"/>
      <c r="BW28" s="65"/>
      <c r="BX28" s="65"/>
      <c r="BY28" s="65"/>
      <c r="BZ28" s="66"/>
    </row>
    <row r="29" spans="1:78" s="46" customFormat="1" x14ac:dyDescent="0.2">
      <c r="A29" s="63"/>
      <c r="B29" s="55"/>
      <c r="C29" s="103"/>
      <c r="D29" s="103"/>
      <c r="E29" s="82"/>
      <c r="F29" s="94"/>
      <c r="G29" s="95"/>
      <c r="H29" s="95"/>
      <c r="I29" s="95"/>
      <c r="J29" s="95"/>
      <c r="K29" s="95"/>
      <c r="L29" s="9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c r="BA29" s="95"/>
      <c r="BB29" s="95"/>
      <c r="BC29" s="95"/>
      <c r="BD29" s="95"/>
      <c r="BE29" s="95"/>
      <c r="BF29" s="95"/>
      <c r="BG29" s="95"/>
      <c r="BH29" s="95"/>
      <c r="BI29" s="95"/>
      <c r="BJ29" s="95"/>
      <c r="BK29" s="95"/>
      <c r="BL29" s="95"/>
      <c r="BM29" s="95"/>
      <c r="BN29" s="95"/>
      <c r="BO29" s="95"/>
      <c r="BP29" s="95"/>
      <c r="BQ29" s="95"/>
      <c r="BR29" s="95"/>
      <c r="BS29" s="95"/>
      <c r="BT29" s="95"/>
      <c r="BU29" s="95"/>
      <c r="BV29" s="95"/>
      <c r="BW29" s="95"/>
      <c r="BX29" s="95"/>
      <c r="BY29" s="95"/>
      <c r="BZ29" s="96"/>
    </row>
    <row r="30" spans="1:78" s="46" customFormat="1" x14ac:dyDescent="0.2">
      <c r="A30" s="67"/>
      <c r="B30" s="55"/>
      <c r="C30" s="103"/>
      <c r="D30" s="103"/>
      <c r="E30" s="82"/>
      <c r="F30" s="64"/>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c r="BA30" s="65"/>
      <c r="BB30" s="65"/>
      <c r="BC30" s="65"/>
      <c r="BD30" s="65"/>
      <c r="BE30" s="65"/>
      <c r="BF30" s="65"/>
      <c r="BG30" s="65"/>
      <c r="BH30" s="65"/>
      <c r="BI30" s="65"/>
      <c r="BJ30" s="65"/>
      <c r="BK30" s="65"/>
      <c r="BL30" s="65"/>
      <c r="BM30" s="65"/>
      <c r="BN30" s="65"/>
      <c r="BO30" s="65"/>
      <c r="BP30" s="65"/>
      <c r="BQ30" s="65"/>
      <c r="BR30" s="65"/>
      <c r="BS30" s="65"/>
      <c r="BT30" s="65"/>
      <c r="BU30" s="65"/>
      <c r="BV30" s="65"/>
      <c r="BW30" s="65"/>
      <c r="BX30" s="65"/>
      <c r="BY30" s="65"/>
      <c r="BZ30" s="66"/>
    </row>
    <row r="31" spans="1:78" x14ac:dyDescent="0.2">
      <c r="A31" s="63"/>
      <c r="B31" s="72"/>
      <c r="C31" s="103"/>
      <c r="D31" s="103"/>
      <c r="E31" s="82"/>
      <c r="F31" s="64"/>
      <c r="G31" s="65"/>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c r="BA31" s="65"/>
      <c r="BB31" s="65"/>
      <c r="BC31" s="65"/>
      <c r="BD31" s="65"/>
      <c r="BE31" s="65"/>
      <c r="BF31" s="65"/>
      <c r="BG31" s="65"/>
      <c r="BH31" s="65"/>
      <c r="BI31" s="65"/>
      <c r="BJ31" s="65"/>
      <c r="BK31" s="65"/>
      <c r="BL31" s="65"/>
      <c r="BM31" s="65"/>
      <c r="BN31" s="65"/>
      <c r="BO31" s="65"/>
      <c r="BP31" s="65"/>
      <c r="BQ31" s="65"/>
      <c r="BR31" s="65"/>
      <c r="BS31" s="65"/>
      <c r="BT31" s="65"/>
      <c r="BU31" s="65"/>
      <c r="BV31" s="65"/>
      <c r="BW31" s="65"/>
      <c r="BX31" s="65"/>
      <c r="BY31" s="65"/>
      <c r="BZ31" s="66"/>
    </row>
    <row r="32" spans="1:78" x14ac:dyDescent="0.2">
      <c r="A32" s="63"/>
      <c r="B32" s="72"/>
      <c r="C32" s="103"/>
      <c r="D32" s="103"/>
      <c r="E32" s="82"/>
      <c r="F32" s="64"/>
      <c r="G32" s="65"/>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65"/>
      <c r="AZ32" s="65"/>
      <c r="BA32" s="65"/>
      <c r="BB32" s="65"/>
      <c r="BC32" s="65"/>
      <c r="BD32" s="65"/>
      <c r="BE32" s="65"/>
      <c r="BF32" s="65"/>
      <c r="BG32" s="65"/>
      <c r="BH32" s="65"/>
      <c r="BI32" s="65"/>
      <c r="BJ32" s="65"/>
      <c r="BK32" s="65"/>
      <c r="BL32" s="65"/>
      <c r="BM32" s="65"/>
      <c r="BN32" s="65"/>
      <c r="BO32" s="65"/>
      <c r="BP32" s="65"/>
      <c r="BQ32" s="65"/>
      <c r="BR32" s="65"/>
      <c r="BS32" s="65"/>
      <c r="BT32" s="65"/>
      <c r="BU32" s="65"/>
      <c r="BV32" s="65"/>
      <c r="BW32" s="65"/>
      <c r="BX32" s="65"/>
      <c r="BY32" s="65"/>
      <c r="BZ32" s="66"/>
    </row>
    <row r="33" spans="1:78" s="46" customFormat="1" x14ac:dyDescent="0.2">
      <c r="A33" s="63"/>
      <c r="B33" s="55"/>
      <c r="C33" s="103"/>
      <c r="D33" s="103"/>
      <c r="E33" s="82"/>
      <c r="F33" s="94"/>
      <c r="G33" s="95"/>
      <c r="H33" s="95"/>
      <c r="I33" s="95"/>
      <c r="J33" s="95"/>
      <c r="K33" s="95"/>
      <c r="L33" s="95"/>
      <c r="M33" s="95"/>
      <c r="N33" s="95"/>
      <c r="O33" s="95"/>
      <c r="P33" s="95"/>
      <c r="Q33" s="95"/>
      <c r="R33" s="95"/>
      <c r="S33" s="95"/>
      <c r="T33" s="95"/>
      <c r="U33" s="95"/>
      <c r="V33" s="6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c r="BJ33" s="95"/>
      <c r="BK33" s="95"/>
      <c r="BL33" s="95"/>
      <c r="BM33" s="95"/>
      <c r="BN33" s="95"/>
      <c r="BO33" s="95"/>
      <c r="BP33" s="95"/>
      <c r="BQ33" s="95"/>
      <c r="BR33" s="95"/>
      <c r="BS33" s="95"/>
      <c r="BT33" s="95"/>
      <c r="BU33" s="95"/>
      <c r="BV33" s="95"/>
      <c r="BW33" s="95"/>
      <c r="BX33" s="95"/>
      <c r="BY33" s="95"/>
      <c r="BZ33" s="96"/>
    </row>
    <row r="34" spans="1:78" x14ac:dyDescent="0.2">
      <c r="A34" s="63"/>
      <c r="B34" s="55"/>
      <c r="C34" s="103"/>
      <c r="D34" s="103"/>
      <c r="E34" s="82"/>
      <c r="F34" s="94"/>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6"/>
    </row>
    <row r="35" spans="1:78" x14ac:dyDescent="0.2">
      <c r="A35" s="63"/>
      <c r="B35" s="55"/>
      <c r="C35" s="103"/>
      <c r="D35" s="103"/>
      <c r="E35" s="82"/>
      <c r="F35" s="94"/>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c r="BJ35" s="95"/>
      <c r="BK35" s="95"/>
      <c r="BL35" s="95"/>
      <c r="BM35" s="95"/>
      <c r="BN35" s="95"/>
      <c r="BO35" s="95"/>
      <c r="BP35" s="95"/>
      <c r="BQ35" s="95"/>
      <c r="BR35" s="95"/>
      <c r="BS35" s="95"/>
      <c r="BT35" s="95"/>
      <c r="BU35" s="95"/>
      <c r="BV35" s="95"/>
      <c r="BW35" s="95"/>
      <c r="BX35" s="95"/>
      <c r="BY35" s="95"/>
      <c r="BZ35" s="96"/>
    </row>
    <row r="36" spans="1:78" x14ac:dyDescent="0.2">
      <c r="A36" s="63"/>
      <c r="B36" s="55"/>
      <c r="C36" s="103"/>
      <c r="D36" s="103"/>
      <c r="E36" s="82"/>
      <c r="F36" s="94"/>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c r="AX36" s="95"/>
      <c r="AY36" s="95"/>
      <c r="AZ36" s="95"/>
      <c r="BA36" s="95"/>
      <c r="BB36" s="95"/>
      <c r="BC36" s="95"/>
      <c r="BD36" s="95"/>
      <c r="BE36" s="95"/>
      <c r="BF36" s="95"/>
      <c r="BG36" s="95"/>
      <c r="BH36" s="95"/>
      <c r="BI36" s="95"/>
      <c r="BJ36" s="95"/>
      <c r="BK36" s="95"/>
      <c r="BL36" s="95"/>
      <c r="BM36" s="95"/>
      <c r="BN36" s="95"/>
      <c r="BO36" s="95"/>
      <c r="BP36" s="95"/>
      <c r="BQ36" s="95"/>
      <c r="BR36" s="95"/>
      <c r="BS36" s="95"/>
      <c r="BT36" s="95"/>
      <c r="BU36" s="95"/>
      <c r="BV36" s="95"/>
      <c r="BW36" s="95"/>
      <c r="BX36" s="95"/>
      <c r="BY36" s="95"/>
      <c r="BZ36" s="96"/>
    </row>
    <row r="37" spans="1:78" x14ac:dyDescent="0.2">
      <c r="A37" s="63"/>
      <c r="B37" s="55"/>
      <c r="C37" s="103"/>
      <c r="D37" s="103"/>
      <c r="E37" s="82"/>
      <c r="F37" s="64"/>
      <c r="G37" s="65"/>
      <c r="H37" s="65"/>
      <c r="I37" s="65"/>
      <c r="J37" s="65"/>
      <c r="K37" s="65"/>
      <c r="L37" s="65"/>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c r="AQ37" s="65"/>
      <c r="AR37" s="65"/>
      <c r="AS37" s="65"/>
      <c r="AT37" s="65"/>
      <c r="AU37" s="65"/>
      <c r="AV37" s="65"/>
      <c r="AW37" s="65"/>
      <c r="AX37" s="65"/>
      <c r="AY37" s="65"/>
      <c r="AZ37" s="65"/>
      <c r="BA37" s="65"/>
      <c r="BB37" s="65"/>
      <c r="BC37" s="65"/>
      <c r="BD37" s="65"/>
      <c r="BE37" s="65"/>
      <c r="BF37" s="65"/>
      <c r="BG37" s="65"/>
      <c r="BH37" s="65"/>
      <c r="BI37" s="65"/>
      <c r="BJ37" s="65"/>
      <c r="BK37" s="65"/>
      <c r="BL37" s="65"/>
      <c r="BM37" s="65"/>
      <c r="BN37" s="65"/>
      <c r="BO37" s="65"/>
      <c r="BP37" s="65"/>
      <c r="BQ37" s="65"/>
      <c r="BR37" s="65"/>
      <c r="BS37" s="65"/>
      <c r="BT37" s="65"/>
      <c r="BU37" s="65"/>
      <c r="BV37" s="65"/>
      <c r="BW37" s="65"/>
      <c r="BX37" s="65"/>
      <c r="BY37" s="65"/>
      <c r="BZ37" s="66"/>
    </row>
    <row r="38" spans="1:78" x14ac:dyDescent="0.2">
      <c r="A38" s="83"/>
      <c r="B38" s="55"/>
      <c r="C38" s="103"/>
      <c r="D38" s="103"/>
      <c r="E38" s="82"/>
      <c r="F38" s="94"/>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c r="AX38" s="95"/>
      <c r="AY38" s="95"/>
      <c r="AZ38" s="95"/>
      <c r="BA38" s="95"/>
      <c r="BB38" s="95"/>
      <c r="BC38" s="95"/>
      <c r="BD38" s="95"/>
      <c r="BE38" s="95"/>
      <c r="BF38" s="95"/>
      <c r="BG38" s="95"/>
      <c r="BH38" s="95"/>
      <c r="BI38" s="95"/>
      <c r="BJ38" s="95"/>
      <c r="BK38" s="95"/>
      <c r="BL38" s="95"/>
      <c r="BM38" s="95"/>
      <c r="BN38" s="95"/>
      <c r="BO38" s="95"/>
      <c r="BP38" s="95"/>
      <c r="BQ38" s="95"/>
      <c r="BR38" s="95"/>
      <c r="BS38" s="95"/>
      <c r="BT38" s="95"/>
      <c r="BU38" s="95"/>
      <c r="BV38" s="95"/>
      <c r="BW38" s="95"/>
      <c r="BX38" s="95"/>
      <c r="BY38" s="95"/>
      <c r="BZ38" s="96"/>
    </row>
    <row r="39" spans="1:78" x14ac:dyDescent="0.2">
      <c r="A39" s="63"/>
      <c r="B39" s="55"/>
      <c r="C39" s="103"/>
      <c r="D39" s="103"/>
      <c r="E39" s="82"/>
      <c r="F39" s="64"/>
      <c r="G39" s="65"/>
      <c r="H39" s="65"/>
      <c r="I39" s="65"/>
      <c r="J39" s="65"/>
      <c r="K39" s="65"/>
      <c r="L39" s="65"/>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65"/>
      <c r="AL39" s="65"/>
      <c r="AM39" s="65"/>
      <c r="AN39" s="65"/>
      <c r="AO39" s="65"/>
      <c r="AP39" s="65"/>
      <c r="AQ39" s="65"/>
      <c r="AR39" s="65"/>
      <c r="AS39" s="65"/>
      <c r="AT39" s="65"/>
      <c r="AU39" s="65"/>
      <c r="AV39" s="65"/>
      <c r="AW39" s="65"/>
      <c r="AX39" s="65"/>
      <c r="AY39" s="65"/>
      <c r="AZ39" s="65"/>
      <c r="BA39" s="65"/>
      <c r="BB39" s="65"/>
      <c r="BC39" s="65"/>
      <c r="BD39" s="65"/>
      <c r="BE39" s="65"/>
      <c r="BF39" s="65"/>
      <c r="BG39" s="65"/>
      <c r="BH39" s="65"/>
      <c r="BI39" s="65"/>
      <c r="BJ39" s="65"/>
      <c r="BK39" s="65"/>
      <c r="BL39" s="65"/>
      <c r="BM39" s="65"/>
      <c r="BN39" s="65"/>
      <c r="BO39" s="65"/>
      <c r="BP39" s="65"/>
      <c r="BQ39" s="65"/>
      <c r="BR39" s="65"/>
      <c r="BS39" s="65"/>
      <c r="BT39" s="65"/>
      <c r="BU39" s="65"/>
      <c r="BV39" s="65"/>
      <c r="BW39" s="65"/>
      <c r="BX39" s="65"/>
      <c r="BY39" s="65"/>
      <c r="BZ39" s="66"/>
    </row>
    <row r="40" spans="1:78" x14ac:dyDescent="0.2">
      <c r="A40" s="63"/>
      <c r="B40" s="55"/>
      <c r="C40" s="103"/>
      <c r="D40" s="103"/>
      <c r="E40" s="82"/>
      <c r="F40" s="64"/>
      <c r="G40" s="65"/>
      <c r="H40" s="65"/>
      <c r="I40" s="65"/>
      <c r="J40" s="65"/>
      <c r="K40" s="65"/>
      <c r="L40" s="65"/>
      <c r="M40" s="65"/>
      <c r="N40" s="65"/>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c r="AQ40" s="65"/>
      <c r="AR40" s="65"/>
      <c r="AS40" s="65"/>
      <c r="AT40" s="65"/>
      <c r="AU40" s="65"/>
      <c r="AV40" s="65"/>
      <c r="AW40" s="65"/>
      <c r="AX40" s="65"/>
      <c r="AY40" s="65"/>
      <c r="AZ40" s="65"/>
      <c r="BA40" s="65"/>
      <c r="BB40" s="65"/>
      <c r="BC40" s="65"/>
      <c r="BD40" s="65"/>
      <c r="BE40" s="65"/>
      <c r="BF40" s="65"/>
      <c r="BG40" s="65"/>
      <c r="BH40" s="65"/>
      <c r="BI40" s="65"/>
      <c r="BJ40" s="65"/>
      <c r="BK40" s="65"/>
      <c r="BL40" s="65"/>
      <c r="BM40" s="65"/>
      <c r="BN40" s="65"/>
      <c r="BO40" s="65"/>
      <c r="BP40" s="65"/>
      <c r="BQ40" s="65"/>
      <c r="BR40" s="65"/>
      <c r="BS40" s="65"/>
      <c r="BT40" s="65"/>
      <c r="BU40" s="65"/>
      <c r="BV40" s="65"/>
      <c r="BW40" s="65"/>
      <c r="BX40" s="65"/>
      <c r="BY40" s="65"/>
      <c r="BZ40" s="66"/>
    </row>
    <row r="41" spans="1:78" x14ac:dyDescent="0.2">
      <c r="A41" s="67"/>
      <c r="B41" s="55"/>
      <c r="C41" s="103"/>
      <c r="D41" s="103"/>
      <c r="E41" s="82"/>
      <c r="F41" s="64"/>
      <c r="G41" s="65"/>
      <c r="H41" s="65"/>
      <c r="I41" s="65"/>
      <c r="J41" s="65"/>
      <c r="K41" s="65"/>
      <c r="L41" s="65"/>
      <c r="M41" s="65"/>
      <c r="N41" s="65"/>
      <c r="O41" s="6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c r="AQ41" s="65"/>
      <c r="AR41" s="65"/>
      <c r="AS41" s="65"/>
      <c r="AT41" s="65"/>
      <c r="AU41" s="65"/>
      <c r="AV41" s="65"/>
      <c r="AW41" s="65"/>
      <c r="AX41" s="65"/>
      <c r="AY41" s="65"/>
      <c r="AZ41" s="65"/>
      <c r="BA41" s="65"/>
      <c r="BB41" s="65"/>
      <c r="BC41" s="65"/>
      <c r="BD41" s="65"/>
      <c r="BE41" s="65"/>
      <c r="BF41" s="65"/>
      <c r="BG41" s="65"/>
      <c r="BH41" s="65"/>
      <c r="BI41" s="65"/>
      <c r="BJ41" s="65"/>
      <c r="BK41" s="65"/>
      <c r="BL41" s="65"/>
      <c r="BM41" s="65"/>
      <c r="BN41" s="65"/>
      <c r="BO41" s="65"/>
      <c r="BP41" s="65"/>
      <c r="BQ41" s="65"/>
      <c r="BR41" s="65"/>
      <c r="BS41" s="65"/>
      <c r="BT41" s="65"/>
      <c r="BU41" s="65"/>
      <c r="BV41" s="65"/>
      <c r="BW41" s="65"/>
      <c r="BX41" s="65"/>
      <c r="BY41" s="65"/>
      <c r="BZ41" s="66"/>
    </row>
    <row r="42" spans="1:78" x14ac:dyDescent="0.2">
      <c r="A42" s="67"/>
      <c r="B42" s="55"/>
      <c r="C42" s="103"/>
      <c r="D42" s="103"/>
      <c r="E42" s="82"/>
      <c r="F42" s="64"/>
      <c r="G42" s="65"/>
      <c r="H42" s="65"/>
      <c r="I42" s="65"/>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c r="BC42" s="65"/>
      <c r="BD42" s="65"/>
      <c r="BE42" s="65"/>
      <c r="BF42" s="65"/>
      <c r="BG42" s="65"/>
      <c r="BH42" s="65"/>
      <c r="BI42" s="65"/>
      <c r="BJ42" s="65"/>
      <c r="BK42" s="65"/>
      <c r="BL42" s="65"/>
      <c r="BM42" s="65"/>
      <c r="BN42" s="65"/>
      <c r="BO42" s="65"/>
      <c r="BP42" s="65"/>
      <c r="BQ42" s="65"/>
      <c r="BR42" s="65"/>
      <c r="BS42" s="65"/>
      <c r="BT42" s="65"/>
      <c r="BU42" s="65"/>
      <c r="BV42" s="65"/>
      <c r="BW42" s="65"/>
      <c r="BX42" s="65"/>
      <c r="BY42" s="65"/>
      <c r="BZ42" s="66"/>
    </row>
    <row r="43" spans="1:78" x14ac:dyDescent="0.2">
      <c r="A43" s="63"/>
      <c r="B43" s="55"/>
      <c r="C43" s="103"/>
      <c r="D43" s="103"/>
      <c r="E43" s="82"/>
      <c r="F43" s="64"/>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5"/>
      <c r="BA43" s="65"/>
      <c r="BB43" s="65"/>
      <c r="BC43" s="65"/>
      <c r="BD43" s="65"/>
      <c r="BE43" s="65"/>
      <c r="BF43" s="65"/>
      <c r="BG43" s="65"/>
      <c r="BH43" s="65"/>
      <c r="BI43" s="65"/>
      <c r="BJ43" s="65"/>
      <c r="BK43" s="65"/>
      <c r="BL43" s="65"/>
      <c r="BM43" s="65"/>
      <c r="BN43" s="65"/>
      <c r="BO43" s="65"/>
      <c r="BP43" s="65"/>
      <c r="BQ43" s="65"/>
      <c r="BR43" s="65"/>
      <c r="BS43" s="65"/>
      <c r="BT43" s="65"/>
      <c r="BU43" s="65"/>
      <c r="BV43" s="65"/>
      <c r="BW43" s="65"/>
      <c r="BX43" s="65"/>
      <c r="BY43" s="65"/>
      <c r="BZ43" s="66"/>
    </row>
    <row r="44" spans="1:78" x14ac:dyDescent="0.2">
      <c r="A44" s="63"/>
      <c r="B44" s="55"/>
      <c r="C44" s="103"/>
      <c r="D44" s="103"/>
      <c r="E44" s="82"/>
      <c r="F44" s="74"/>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85"/>
      <c r="AU44" s="75"/>
      <c r="AV44" s="75"/>
      <c r="AW44" s="65"/>
      <c r="AX44" s="75"/>
      <c r="AY44" s="75"/>
      <c r="AZ44" s="75"/>
      <c r="BA44" s="75"/>
      <c r="BB44" s="6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6"/>
    </row>
    <row r="45" spans="1:78" x14ac:dyDescent="0.2">
      <c r="A45" s="67"/>
      <c r="B45" s="55"/>
      <c r="C45" s="103"/>
      <c r="D45" s="103"/>
      <c r="E45" s="82"/>
      <c r="F45" s="64"/>
      <c r="G45" s="65"/>
      <c r="H45" s="65"/>
      <c r="I45" s="65"/>
      <c r="J45" s="65"/>
      <c r="K45" s="65"/>
      <c r="L45" s="65"/>
      <c r="M45" s="65"/>
      <c r="N45" s="65"/>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c r="AN45" s="65"/>
      <c r="AO45" s="65"/>
      <c r="AP45" s="65"/>
      <c r="AQ45" s="65"/>
      <c r="AR45" s="65"/>
      <c r="AS45" s="65"/>
      <c r="AT45" s="65"/>
      <c r="AU45" s="65"/>
      <c r="AV45" s="65"/>
      <c r="AW45" s="65"/>
      <c r="AX45" s="65"/>
      <c r="AY45" s="65"/>
      <c r="AZ45" s="65"/>
      <c r="BA45" s="65"/>
      <c r="BB45" s="65"/>
      <c r="BC45" s="65"/>
      <c r="BD45" s="65"/>
      <c r="BE45" s="65"/>
      <c r="BF45" s="65"/>
      <c r="BG45" s="65"/>
      <c r="BH45" s="65"/>
      <c r="BI45" s="65"/>
      <c r="BJ45" s="65"/>
      <c r="BK45" s="65"/>
      <c r="BL45" s="65"/>
      <c r="BM45" s="65"/>
      <c r="BN45" s="65"/>
      <c r="BO45" s="65"/>
      <c r="BP45" s="65"/>
      <c r="BQ45" s="65"/>
      <c r="BR45" s="65"/>
      <c r="BS45" s="65"/>
      <c r="BT45" s="65"/>
      <c r="BU45" s="65"/>
      <c r="BV45" s="65"/>
      <c r="BW45" s="65"/>
      <c r="BX45" s="65"/>
      <c r="BY45" s="65"/>
      <c r="BZ45" s="66"/>
    </row>
    <row r="46" spans="1:78" x14ac:dyDescent="0.2">
      <c r="A46" s="63"/>
      <c r="B46" s="55"/>
      <c r="C46" s="103"/>
      <c r="D46" s="103"/>
      <c r="E46" s="86"/>
      <c r="F46" s="64"/>
      <c r="G46" s="65"/>
      <c r="H46" s="65"/>
      <c r="I46" s="65"/>
      <c r="J46" s="65"/>
      <c r="K46" s="65"/>
      <c r="L46" s="65"/>
      <c r="M46" s="65"/>
      <c r="N46" s="65"/>
      <c r="O46" s="65"/>
      <c r="P46" s="65"/>
      <c r="Q46" s="65"/>
      <c r="R46" s="65"/>
      <c r="S46" s="65"/>
      <c r="T46" s="65"/>
      <c r="U46" s="65"/>
      <c r="V46" s="65"/>
      <c r="W46" s="65"/>
      <c r="X46" s="65"/>
      <c r="Y46" s="65"/>
      <c r="Z46" s="65"/>
      <c r="AA46" s="65"/>
      <c r="AB46" s="65"/>
      <c r="AC46" s="65"/>
      <c r="AD46" s="65"/>
      <c r="AE46" s="65"/>
      <c r="AF46" s="65"/>
      <c r="AG46" s="65"/>
      <c r="AH46" s="65"/>
      <c r="AI46" s="65"/>
      <c r="AJ46" s="65"/>
      <c r="AK46" s="65"/>
      <c r="AL46" s="65"/>
      <c r="AM46" s="65"/>
      <c r="AN46" s="65"/>
      <c r="AO46" s="65"/>
      <c r="AP46" s="65"/>
      <c r="AQ46" s="65"/>
      <c r="AR46" s="65"/>
      <c r="AS46" s="65"/>
      <c r="AT46" s="65"/>
      <c r="AU46" s="65"/>
      <c r="AV46" s="65"/>
      <c r="AW46" s="65"/>
      <c r="AX46" s="65"/>
      <c r="AY46" s="65"/>
      <c r="AZ46" s="65"/>
      <c r="BA46" s="65"/>
      <c r="BB46" s="65"/>
      <c r="BC46" s="65"/>
      <c r="BD46" s="65"/>
      <c r="BE46" s="65"/>
      <c r="BF46" s="65"/>
      <c r="BG46" s="65"/>
      <c r="BH46" s="65"/>
      <c r="BI46" s="65"/>
      <c r="BJ46" s="65"/>
      <c r="BK46" s="65"/>
      <c r="BL46" s="65"/>
      <c r="BM46" s="65"/>
      <c r="BN46" s="65"/>
      <c r="BO46" s="65"/>
      <c r="BP46" s="65"/>
      <c r="BQ46" s="65"/>
      <c r="BR46" s="65"/>
      <c r="BS46" s="65"/>
      <c r="BT46" s="65"/>
      <c r="BU46" s="65"/>
      <c r="BV46" s="65"/>
      <c r="BW46" s="65"/>
      <c r="BX46" s="65"/>
      <c r="BY46" s="65"/>
      <c r="BZ46" s="66"/>
    </row>
    <row r="47" spans="1:78" x14ac:dyDescent="0.2">
      <c r="A47" s="63"/>
      <c r="B47" s="55"/>
      <c r="C47" s="103"/>
      <c r="D47" s="103"/>
      <c r="E47" s="82"/>
      <c r="F47" s="64"/>
      <c r="G47" s="65"/>
      <c r="H47" s="65"/>
      <c r="I47" s="65"/>
      <c r="J47" s="65"/>
      <c r="K47" s="65"/>
      <c r="L47" s="65"/>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c r="AL47" s="65"/>
      <c r="AM47" s="65"/>
      <c r="AN47" s="65"/>
      <c r="AO47" s="65"/>
      <c r="AP47" s="65"/>
      <c r="AQ47" s="65"/>
      <c r="AR47" s="65"/>
      <c r="AS47" s="65"/>
      <c r="AT47" s="65"/>
      <c r="AU47" s="65"/>
      <c r="AV47" s="65"/>
      <c r="AW47" s="65"/>
      <c r="AX47" s="65"/>
      <c r="AY47" s="65"/>
      <c r="AZ47" s="65"/>
      <c r="BA47" s="65"/>
      <c r="BB47" s="65"/>
      <c r="BC47" s="65"/>
      <c r="BD47" s="65"/>
      <c r="BE47" s="65"/>
      <c r="BF47" s="65"/>
      <c r="BG47" s="65"/>
      <c r="BH47" s="65"/>
      <c r="BI47" s="65"/>
      <c r="BJ47" s="65"/>
      <c r="BK47" s="65"/>
      <c r="BL47" s="65"/>
      <c r="BM47" s="65"/>
      <c r="BN47" s="65"/>
      <c r="BO47" s="65"/>
      <c r="BP47" s="65"/>
      <c r="BQ47" s="65"/>
      <c r="BR47" s="65"/>
      <c r="BS47" s="65"/>
      <c r="BT47" s="65"/>
      <c r="BU47" s="65"/>
      <c r="BV47" s="65"/>
      <c r="BW47" s="65"/>
      <c r="BX47" s="65"/>
      <c r="BY47" s="65"/>
      <c r="BZ47" s="66"/>
    </row>
    <row r="48" spans="1:78" x14ac:dyDescent="0.2">
      <c r="A48" s="63"/>
      <c r="B48" s="55"/>
      <c r="C48" s="103"/>
      <c r="D48" s="103"/>
      <c r="E48" s="82"/>
      <c r="F48" s="64"/>
      <c r="G48" s="65"/>
      <c r="H48" s="65"/>
      <c r="I48" s="65"/>
      <c r="J48" s="65"/>
      <c r="K48" s="65"/>
      <c r="L48" s="65"/>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c r="AL48" s="65"/>
      <c r="AM48" s="65"/>
      <c r="AN48" s="65"/>
      <c r="AO48" s="65"/>
      <c r="AP48" s="65"/>
      <c r="AQ48" s="65"/>
      <c r="AR48" s="65"/>
      <c r="AS48" s="65"/>
      <c r="AT48" s="65"/>
      <c r="AU48" s="65"/>
      <c r="AV48" s="65"/>
      <c r="AW48" s="65"/>
      <c r="AX48" s="65"/>
      <c r="AY48" s="65"/>
      <c r="AZ48" s="65"/>
      <c r="BA48" s="65"/>
      <c r="BB48" s="65"/>
      <c r="BC48" s="65"/>
      <c r="BD48" s="65"/>
      <c r="BE48" s="65"/>
      <c r="BF48" s="65"/>
      <c r="BG48" s="65"/>
      <c r="BH48" s="65"/>
      <c r="BI48" s="65"/>
      <c r="BJ48" s="65"/>
      <c r="BK48" s="65"/>
      <c r="BL48" s="65"/>
      <c r="BM48" s="65"/>
      <c r="BN48" s="65"/>
      <c r="BO48" s="65"/>
      <c r="BP48" s="65"/>
      <c r="BQ48" s="65"/>
      <c r="BR48" s="65"/>
      <c r="BS48" s="65"/>
      <c r="BT48" s="65"/>
      <c r="BU48" s="65"/>
      <c r="BV48" s="65"/>
      <c r="BW48" s="65"/>
      <c r="BX48" s="65"/>
      <c r="BY48" s="65"/>
      <c r="BZ48" s="66"/>
    </row>
    <row r="49" spans="1:78" x14ac:dyDescent="0.2">
      <c r="A49" s="67"/>
      <c r="B49" s="55"/>
      <c r="C49" s="103"/>
      <c r="D49" s="103"/>
      <c r="E49" s="82"/>
      <c r="F49" s="64"/>
      <c r="G49" s="65"/>
      <c r="H49" s="65"/>
      <c r="I49" s="65"/>
      <c r="J49" s="65"/>
      <c r="K49" s="65"/>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c r="AQ49" s="65"/>
      <c r="AR49" s="65"/>
      <c r="AS49" s="65"/>
      <c r="AT49" s="65"/>
      <c r="AU49" s="65"/>
      <c r="AV49" s="65"/>
      <c r="AW49" s="65"/>
      <c r="AX49" s="65"/>
      <c r="AY49" s="65"/>
      <c r="AZ49" s="65"/>
      <c r="BA49" s="65"/>
      <c r="BB49" s="65"/>
      <c r="BC49" s="65"/>
      <c r="BD49" s="65"/>
      <c r="BE49" s="65"/>
      <c r="BF49" s="65"/>
      <c r="BG49" s="65"/>
      <c r="BH49" s="65"/>
      <c r="BI49" s="65"/>
      <c r="BJ49" s="65"/>
      <c r="BK49" s="65"/>
      <c r="BL49" s="65"/>
      <c r="BM49" s="65"/>
      <c r="BN49" s="65"/>
      <c r="BO49" s="65"/>
      <c r="BP49" s="65"/>
      <c r="BQ49" s="65"/>
      <c r="BR49" s="65"/>
      <c r="BS49" s="65"/>
      <c r="BT49" s="65"/>
      <c r="BU49" s="65"/>
      <c r="BV49" s="65"/>
      <c r="BW49" s="65"/>
      <c r="BX49" s="65"/>
      <c r="BY49" s="65"/>
      <c r="BZ49" s="66"/>
    </row>
    <row r="50" spans="1:78" x14ac:dyDescent="0.2">
      <c r="A50" s="63"/>
      <c r="B50" s="55"/>
      <c r="C50" s="103"/>
      <c r="D50" s="103"/>
      <c r="E50" s="82"/>
      <c r="F50" s="64"/>
      <c r="G50" s="65"/>
      <c r="H50" s="65"/>
      <c r="I50" s="65"/>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c r="AR50" s="65"/>
      <c r="AS50" s="65"/>
      <c r="AT50" s="65"/>
      <c r="AU50" s="65"/>
      <c r="AV50" s="65"/>
      <c r="AW50" s="65"/>
      <c r="AX50" s="65"/>
      <c r="AY50" s="65"/>
      <c r="AZ50" s="65"/>
      <c r="BA50" s="65"/>
      <c r="BB50" s="65"/>
      <c r="BC50" s="65"/>
      <c r="BD50" s="65"/>
      <c r="BE50" s="65"/>
      <c r="BF50" s="65"/>
      <c r="BG50" s="65"/>
      <c r="BH50" s="65"/>
      <c r="BI50" s="65"/>
      <c r="BJ50" s="65"/>
      <c r="BK50" s="65"/>
      <c r="BL50" s="65"/>
      <c r="BM50" s="65"/>
      <c r="BN50" s="65"/>
      <c r="BO50" s="65"/>
      <c r="BP50" s="65"/>
      <c r="BQ50" s="65"/>
      <c r="BR50" s="65"/>
      <c r="BS50" s="65"/>
      <c r="BT50" s="65"/>
      <c r="BU50" s="65"/>
      <c r="BV50" s="65"/>
      <c r="BW50" s="65"/>
      <c r="BX50" s="65"/>
      <c r="BY50" s="65"/>
      <c r="BZ50" s="66"/>
    </row>
    <row r="51" spans="1:78" x14ac:dyDescent="0.2">
      <c r="A51" s="63"/>
      <c r="B51" s="55"/>
      <c r="C51" s="103"/>
      <c r="D51" s="103"/>
      <c r="E51" s="82"/>
      <c r="F51" s="64"/>
      <c r="G51" s="65"/>
      <c r="H51" s="65"/>
      <c r="I51" s="65"/>
      <c r="J51" s="65"/>
      <c r="K51" s="65"/>
      <c r="L51" s="65"/>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c r="AL51" s="65"/>
      <c r="AM51" s="65"/>
      <c r="AN51" s="65"/>
      <c r="AO51" s="65"/>
      <c r="AP51" s="65"/>
      <c r="AQ51" s="65"/>
      <c r="AR51" s="65"/>
      <c r="AS51" s="65"/>
      <c r="AT51" s="65"/>
      <c r="AU51" s="65"/>
      <c r="AV51" s="65"/>
      <c r="AW51" s="65"/>
      <c r="AX51" s="65"/>
      <c r="AY51" s="65"/>
      <c r="AZ51" s="65"/>
      <c r="BA51" s="65"/>
      <c r="BB51" s="65"/>
      <c r="BC51" s="65"/>
      <c r="BD51" s="65"/>
      <c r="BE51" s="65"/>
      <c r="BF51" s="65"/>
      <c r="BG51" s="65"/>
      <c r="BH51" s="65"/>
      <c r="BI51" s="65"/>
      <c r="BJ51" s="65"/>
      <c r="BK51" s="65"/>
      <c r="BL51" s="65"/>
      <c r="BM51" s="65"/>
      <c r="BN51" s="65"/>
      <c r="BO51" s="65"/>
      <c r="BP51" s="65"/>
      <c r="BQ51" s="65"/>
      <c r="BR51" s="65"/>
      <c r="BS51" s="65"/>
      <c r="BT51" s="65"/>
      <c r="BU51" s="65"/>
      <c r="BV51" s="65"/>
      <c r="BW51" s="65"/>
      <c r="BX51" s="65"/>
      <c r="BY51" s="65"/>
      <c r="BZ51" s="66"/>
    </row>
    <row r="52" spans="1:78" x14ac:dyDescent="0.2">
      <c r="A52" s="63"/>
      <c r="B52" s="55"/>
      <c r="C52" s="103"/>
      <c r="D52" s="103"/>
      <c r="E52" s="82"/>
      <c r="F52" s="64"/>
      <c r="G52" s="65"/>
      <c r="H52" s="65"/>
      <c r="I52" s="65"/>
      <c r="J52" s="65"/>
      <c r="K52" s="65"/>
      <c r="L52" s="65"/>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c r="AL52" s="65"/>
      <c r="AM52" s="65"/>
      <c r="AN52" s="65"/>
      <c r="AO52" s="65"/>
      <c r="AP52" s="65"/>
      <c r="AQ52" s="65"/>
      <c r="AR52" s="65"/>
      <c r="AS52" s="65"/>
      <c r="AT52" s="65"/>
      <c r="AU52" s="65"/>
      <c r="AV52" s="65"/>
      <c r="AW52" s="65"/>
      <c r="AX52" s="65"/>
      <c r="AY52" s="65"/>
      <c r="AZ52" s="65"/>
      <c r="BA52" s="65"/>
      <c r="BB52" s="65"/>
      <c r="BC52" s="65"/>
      <c r="BD52" s="65"/>
      <c r="BE52" s="65"/>
      <c r="BF52" s="65"/>
      <c r="BG52" s="65"/>
      <c r="BH52" s="65"/>
      <c r="BI52" s="65"/>
      <c r="BJ52" s="65"/>
      <c r="BK52" s="65"/>
      <c r="BL52" s="65"/>
      <c r="BM52" s="65"/>
      <c r="BN52" s="65"/>
      <c r="BO52" s="65"/>
      <c r="BP52" s="65"/>
      <c r="BQ52" s="65"/>
      <c r="BR52" s="65"/>
      <c r="BS52" s="65"/>
      <c r="BT52" s="65"/>
      <c r="BU52" s="65"/>
      <c r="BV52" s="65"/>
      <c r="BW52" s="65"/>
      <c r="BX52" s="65"/>
      <c r="BY52" s="65"/>
      <c r="BZ52" s="66"/>
    </row>
    <row r="53" spans="1:78" x14ac:dyDescent="0.2">
      <c r="A53" s="67"/>
      <c r="B53" s="55"/>
      <c r="C53" s="103"/>
      <c r="D53" s="103"/>
      <c r="E53" s="82"/>
      <c r="F53" s="64"/>
      <c r="G53" s="65"/>
      <c r="H53" s="65"/>
      <c r="I53" s="65"/>
      <c r="J53" s="65"/>
      <c r="K53" s="65"/>
      <c r="L53" s="65"/>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c r="AL53" s="65"/>
      <c r="AM53" s="65"/>
      <c r="AN53" s="65"/>
      <c r="AO53" s="65"/>
      <c r="AP53" s="65"/>
      <c r="AQ53" s="65"/>
      <c r="AR53" s="65"/>
      <c r="AS53" s="65"/>
      <c r="AT53" s="65"/>
      <c r="AU53" s="65"/>
      <c r="AV53" s="65"/>
      <c r="AW53" s="65"/>
      <c r="AX53" s="65"/>
      <c r="AY53" s="65"/>
      <c r="AZ53" s="65"/>
      <c r="BA53" s="65"/>
      <c r="BB53" s="65"/>
      <c r="BC53" s="65"/>
      <c r="BD53" s="65"/>
      <c r="BE53" s="65"/>
      <c r="BF53" s="65"/>
      <c r="BG53" s="65"/>
      <c r="BH53" s="65"/>
      <c r="BI53" s="65"/>
      <c r="BJ53" s="65"/>
      <c r="BK53" s="65"/>
      <c r="BL53" s="65"/>
      <c r="BM53" s="65"/>
      <c r="BN53" s="65"/>
      <c r="BO53" s="65"/>
      <c r="BP53" s="65"/>
      <c r="BQ53" s="65"/>
      <c r="BR53" s="65"/>
      <c r="BS53" s="65"/>
      <c r="BT53" s="65"/>
      <c r="BU53" s="65"/>
      <c r="BV53" s="65"/>
      <c r="BW53" s="65"/>
      <c r="BX53" s="65"/>
      <c r="BY53" s="65"/>
      <c r="BZ53" s="66"/>
    </row>
    <row r="54" spans="1:78" x14ac:dyDescent="0.2">
      <c r="A54" s="63"/>
      <c r="B54" s="55"/>
      <c r="C54" s="103"/>
      <c r="D54" s="103"/>
      <c r="E54" s="82"/>
      <c r="F54" s="64"/>
      <c r="G54" s="65"/>
      <c r="H54" s="65"/>
      <c r="I54" s="65"/>
      <c r="J54" s="65"/>
      <c r="K54" s="65"/>
      <c r="L54" s="65"/>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c r="AL54" s="65"/>
      <c r="AM54" s="65"/>
      <c r="AN54" s="65"/>
      <c r="AO54" s="65"/>
      <c r="AP54" s="65"/>
      <c r="AQ54" s="65"/>
      <c r="AR54" s="65"/>
      <c r="AS54" s="65"/>
      <c r="AT54" s="65"/>
      <c r="AU54" s="65"/>
      <c r="AV54" s="65"/>
      <c r="AW54" s="65"/>
      <c r="AX54" s="65"/>
      <c r="AY54" s="65"/>
      <c r="AZ54" s="65"/>
      <c r="BA54" s="65"/>
      <c r="BB54" s="65"/>
      <c r="BC54" s="65"/>
      <c r="BD54" s="65"/>
      <c r="BE54" s="65"/>
      <c r="BF54" s="65"/>
      <c r="BG54" s="65"/>
      <c r="BH54" s="65"/>
      <c r="BI54" s="65"/>
      <c r="BJ54" s="65"/>
      <c r="BK54" s="65"/>
      <c r="BL54" s="65"/>
      <c r="BM54" s="65"/>
      <c r="BN54" s="65"/>
      <c r="BO54" s="65"/>
      <c r="BP54" s="65"/>
      <c r="BQ54" s="65"/>
      <c r="BR54" s="65"/>
      <c r="BS54" s="65"/>
      <c r="BT54" s="65"/>
      <c r="BU54" s="65"/>
      <c r="BV54" s="65"/>
      <c r="BW54" s="65"/>
      <c r="BX54" s="65"/>
      <c r="BY54" s="65"/>
      <c r="BZ54" s="66"/>
    </row>
    <row r="55" spans="1:78" x14ac:dyDescent="0.2">
      <c r="A55" s="67"/>
      <c r="B55" s="55"/>
      <c r="C55" s="103"/>
      <c r="D55" s="103"/>
      <c r="E55" s="82"/>
      <c r="F55" s="64"/>
      <c r="G55" s="65"/>
      <c r="H55" s="65"/>
      <c r="I55" s="65"/>
      <c r="J55" s="65"/>
      <c r="K55" s="65"/>
      <c r="L55" s="65"/>
      <c r="M55" s="65"/>
      <c r="N55" s="65"/>
      <c r="O55" s="65"/>
      <c r="P55" s="65"/>
      <c r="Q55" s="65"/>
      <c r="R55" s="65"/>
      <c r="S55" s="65"/>
      <c r="T55" s="65"/>
      <c r="U55" s="65"/>
      <c r="V55" s="65"/>
      <c r="W55" s="65"/>
      <c r="X55" s="65"/>
      <c r="Y55" s="65"/>
      <c r="Z55" s="65"/>
      <c r="AA55" s="65"/>
      <c r="AB55" s="65"/>
      <c r="AC55" s="65"/>
      <c r="AD55" s="65"/>
      <c r="AE55" s="65"/>
      <c r="AF55" s="65"/>
      <c r="AG55" s="65"/>
      <c r="AH55" s="65"/>
      <c r="AI55" s="65"/>
      <c r="AJ55" s="65"/>
      <c r="AK55" s="65"/>
      <c r="AL55" s="65"/>
      <c r="AM55" s="65"/>
      <c r="AN55" s="65"/>
      <c r="AO55" s="65"/>
      <c r="AP55" s="65"/>
      <c r="AQ55" s="65"/>
      <c r="AR55" s="65"/>
      <c r="AS55" s="65"/>
      <c r="AT55" s="65"/>
      <c r="AU55" s="65"/>
      <c r="AV55" s="65"/>
      <c r="AW55" s="65"/>
      <c r="AX55" s="65"/>
      <c r="AY55" s="65"/>
      <c r="AZ55" s="65"/>
      <c r="BA55" s="65"/>
      <c r="BB55" s="65"/>
      <c r="BC55" s="65"/>
      <c r="BD55" s="65"/>
      <c r="BE55" s="65"/>
      <c r="BF55" s="65"/>
      <c r="BG55" s="65"/>
      <c r="BH55" s="65"/>
      <c r="BI55" s="65"/>
      <c r="BJ55" s="65"/>
      <c r="BK55" s="65"/>
      <c r="BL55" s="65"/>
      <c r="BM55" s="65"/>
      <c r="BN55" s="65"/>
      <c r="BO55" s="65"/>
      <c r="BP55" s="65"/>
      <c r="BQ55" s="65"/>
      <c r="BR55" s="65"/>
      <c r="BS55" s="65"/>
      <c r="BT55" s="65"/>
      <c r="BU55" s="65"/>
      <c r="BV55" s="65"/>
      <c r="BW55" s="65"/>
      <c r="BX55" s="65"/>
      <c r="BY55" s="65"/>
      <c r="BZ55" s="66"/>
    </row>
    <row r="56" spans="1:78" x14ac:dyDescent="0.2">
      <c r="A56" s="63"/>
      <c r="B56" s="55"/>
      <c r="C56" s="103"/>
      <c r="D56" s="103"/>
      <c r="E56" s="82"/>
      <c r="F56" s="64"/>
      <c r="G56" s="65"/>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65"/>
      <c r="AI56" s="65"/>
      <c r="AJ56" s="65"/>
      <c r="AK56" s="65"/>
      <c r="AL56" s="65"/>
      <c r="AM56" s="65"/>
      <c r="AN56" s="65"/>
      <c r="AO56" s="65"/>
      <c r="AP56" s="65"/>
      <c r="AQ56" s="65"/>
      <c r="AR56" s="65"/>
      <c r="AS56" s="65"/>
      <c r="AT56" s="65"/>
      <c r="AU56" s="65"/>
      <c r="AV56" s="65"/>
      <c r="AW56" s="65"/>
      <c r="AX56" s="65"/>
      <c r="AY56" s="65"/>
      <c r="AZ56" s="65"/>
      <c r="BA56" s="65"/>
      <c r="BB56" s="65"/>
      <c r="BC56" s="65"/>
      <c r="BD56" s="65"/>
      <c r="BE56" s="65"/>
      <c r="BF56" s="65"/>
      <c r="BG56" s="65"/>
      <c r="BH56" s="65"/>
      <c r="BI56" s="65"/>
      <c r="BJ56" s="65"/>
      <c r="BK56" s="65"/>
      <c r="BL56" s="65"/>
      <c r="BM56" s="65"/>
      <c r="BN56" s="65"/>
      <c r="BO56" s="65"/>
      <c r="BP56" s="65"/>
      <c r="BQ56" s="65"/>
      <c r="BR56" s="65"/>
      <c r="BS56" s="65"/>
      <c r="BT56" s="65"/>
      <c r="BU56" s="65"/>
      <c r="BV56" s="65"/>
      <c r="BW56" s="65"/>
      <c r="BX56" s="65"/>
      <c r="BY56" s="65"/>
      <c r="BZ56" s="66"/>
    </row>
    <row r="57" spans="1:78" x14ac:dyDescent="0.2">
      <c r="A57" s="63"/>
      <c r="B57" s="55"/>
      <c r="C57" s="103"/>
      <c r="D57" s="103"/>
      <c r="E57" s="82"/>
      <c r="F57" s="64"/>
      <c r="G57" s="65"/>
      <c r="H57" s="65"/>
      <c r="I57" s="65"/>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65"/>
      <c r="AI57" s="65"/>
      <c r="AJ57" s="65"/>
      <c r="AK57" s="65"/>
      <c r="AL57" s="65"/>
      <c r="AM57" s="65"/>
      <c r="AN57" s="65"/>
      <c r="AO57" s="65"/>
      <c r="AP57" s="65"/>
      <c r="AQ57" s="65"/>
      <c r="AR57" s="65"/>
      <c r="AS57" s="65"/>
      <c r="AT57" s="65"/>
      <c r="AU57" s="65"/>
      <c r="AV57" s="65"/>
      <c r="AW57" s="65"/>
      <c r="AX57" s="65"/>
      <c r="AY57" s="65"/>
      <c r="AZ57" s="65"/>
      <c r="BA57" s="65"/>
      <c r="BB57" s="65"/>
      <c r="BC57" s="65"/>
      <c r="BD57" s="65"/>
      <c r="BE57" s="65"/>
      <c r="BF57" s="65"/>
      <c r="BG57" s="65"/>
      <c r="BH57" s="65"/>
      <c r="BI57" s="65"/>
      <c r="BJ57" s="65"/>
      <c r="BK57" s="65"/>
      <c r="BL57" s="65"/>
      <c r="BM57" s="65"/>
      <c r="BN57" s="65"/>
      <c r="BO57" s="65"/>
      <c r="BP57" s="65"/>
      <c r="BQ57" s="65"/>
      <c r="BR57" s="65"/>
      <c r="BS57" s="65"/>
      <c r="BT57" s="65"/>
      <c r="BU57" s="65"/>
      <c r="BV57" s="65"/>
      <c r="BW57" s="65"/>
      <c r="BX57" s="65"/>
      <c r="BY57" s="65"/>
      <c r="BZ57" s="66"/>
    </row>
    <row r="58" spans="1:78" x14ac:dyDescent="0.2">
      <c r="A58" s="63"/>
      <c r="B58" s="55"/>
      <c r="C58" s="103"/>
      <c r="D58" s="103"/>
      <c r="E58" s="82"/>
      <c r="F58" s="64"/>
      <c r="G58" s="65"/>
      <c r="H58" s="65"/>
      <c r="I58" s="65"/>
      <c r="J58" s="65"/>
      <c r="K58" s="65"/>
      <c r="L58" s="65"/>
      <c r="M58" s="65"/>
      <c r="N58" s="65"/>
      <c r="O58" s="65"/>
      <c r="P58" s="65"/>
      <c r="Q58" s="65"/>
      <c r="R58" s="65"/>
      <c r="S58" s="65"/>
      <c r="T58" s="65"/>
      <c r="U58" s="65"/>
      <c r="V58" s="65"/>
      <c r="W58" s="65"/>
      <c r="X58" s="65"/>
      <c r="Y58" s="65"/>
      <c r="Z58" s="65"/>
      <c r="AA58" s="65"/>
      <c r="AB58" s="65"/>
      <c r="AC58" s="65"/>
      <c r="AD58" s="65"/>
      <c r="AE58" s="65"/>
      <c r="AF58" s="65"/>
      <c r="AG58" s="65"/>
      <c r="AH58" s="65"/>
      <c r="AI58" s="65"/>
      <c r="AJ58" s="65"/>
      <c r="AK58" s="65"/>
      <c r="AL58" s="65"/>
      <c r="AM58" s="65"/>
      <c r="AN58" s="65"/>
      <c r="AO58" s="65"/>
      <c r="AP58" s="65"/>
      <c r="AQ58" s="65"/>
      <c r="AR58" s="65"/>
      <c r="AS58" s="65"/>
      <c r="AT58" s="65"/>
      <c r="AU58" s="65"/>
      <c r="AV58" s="65"/>
      <c r="AW58" s="65"/>
      <c r="AX58" s="65"/>
      <c r="AY58" s="65"/>
      <c r="AZ58" s="65"/>
      <c r="BA58" s="65"/>
      <c r="BB58" s="65"/>
      <c r="BC58" s="65"/>
      <c r="BD58" s="65"/>
      <c r="BE58" s="65"/>
      <c r="BF58" s="65"/>
      <c r="BG58" s="65"/>
      <c r="BH58" s="65"/>
      <c r="BI58" s="65"/>
      <c r="BJ58" s="65"/>
      <c r="BK58" s="65"/>
      <c r="BL58" s="65"/>
      <c r="BM58" s="65"/>
      <c r="BN58" s="65"/>
      <c r="BO58" s="65"/>
      <c r="BP58" s="65"/>
      <c r="BQ58" s="65"/>
      <c r="BR58" s="65"/>
      <c r="BS58" s="65"/>
      <c r="BT58" s="65"/>
      <c r="BU58" s="65"/>
      <c r="BV58" s="65"/>
      <c r="BW58" s="65"/>
      <c r="BX58" s="65"/>
      <c r="BY58" s="65"/>
      <c r="BZ58" s="66"/>
    </row>
    <row r="59" spans="1:78" x14ac:dyDescent="0.2">
      <c r="A59" s="67"/>
      <c r="B59" s="55"/>
      <c r="C59" s="103"/>
      <c r="D59" s="103"/>
      <c r="E59" s="82"/>
      <c r="F59" s="64"/>
      <c r="G59" s="65"/>
      <c r="H59" s="65"/>
      <c r="I59" s="65"/>
      <c r="J59" s="65"/>
      <c r="K59" s="65"/>
      <c r="L59" s="65"/>
      <c r="M59" s="65"/>
      <c r="N59" s="65"/>
      <c r="O59" s="65"/>
      <c r="P59" s="65"/>
      <c r="Q59" s="65"/>
      <c r="R59" s="65"/>
      <c r="S59" s="65"/>
      <c r="T59" s="65"/>
      <c r="U59" s="65"/>
      <c r="V59" s="65"/>
      <c r="W59" s="65"/>
      <c r="X59" s="65"/>
      <c r="Y59" s="65"/>
      <c r="Z59" s="65"/>
      <c r="AA59" s="65"/>
      <c r="AB59" s="65"/>
      <c r="AC59" s="65"/>
      <c r="AD59" s="65"/>
      <c r="AE59" s="65"/>
      <c r="AF59" s="65"/>
      <c r="AG59" s="65"/>
      <c r="AH59" s="65"/>
      <c r="AI59" s="65"/>
      <c r="AJ59" s="65"/>
      <c r="AK59" s="65"/>
      <c r="AL59" s="65"/>
      <c r="AM59" s="65"/>
      <c r="AN59" s="65"/>
      <c r="AO59" s="65"/>
      <c r="AP59" s="65"/>
      <c r="AQ59" s="65"/>
      <c r="AR59" s="65"/>
      <c r="AS59" s="65"/>
      <c r="AT59" s="65"/>
      <c r="AU59" s="65"/>
      <c r="AV59" s="65"/>
      <c r="AW59" s="65"/>
      <c r="AX59" s="65"/>
      <c r="AY59" s="65"/>
      <c r="AZ59" s="65"/>
      <c r="BA59" s="65"/>
      <c r="BB59" s="65"/>
      <c r="BC59" s="65"/>
      <c r="BD59" s="65"/>
      <c r="BE59" s="65"/>
      <c r="BF59" s="65"/>
      <c r="BG59" s="65"/>
      <c r="BH59" s="65"/>
      <c r="BI59" s="65"/>
      <c r="BJ59" s="65"/>
      <c r="BK59" s="65"/>
      <c r="BL59" s="65"/>
      <c r="BM59" s="65"/>
      <c r="BN59" s="65"/>
      <c r="BO59" s="65"/>
      <c r="BP59" s="65"/>
      <c r="BQ59" s="65"/>
      <c r="BR59" s="65"/>
      <c r="BS59" s="65"/>
      <c r="BT59" s="65"/>
      <c r="BU59" s="65"/>
      <c r="BV59" s="65"/>
      <c r="BW59" s="65"/>
      <c r="BX59" s="65"/>
      <c r="BY59" s="65"/>
      <c r="BZ59" s="66"/>
    </row>
    <row r="60" spans="1:78" x14ac:dyDescent="0.2">
      <c r="A60" s="77"/>
      <c r="B60" s="55"/>
      <c r="C60" s="103"/>
      <c r="D60" s="103"/>
      <c r="E60" s="82"/>
      <c r="F60" s="64"/>
      <c r="G60" s="65"/>
      <c r="H60" s="65"/>
      <c r="I60" s="65"/>
      <c r="J60" s="65"/>
      <c r="K60" s="65"/>
      <c r="L60" s="65"/>
      <c r="M60" s="65"/>
      <c r="N60" s="65"/>
      <c r="O60" s="65"/>
      <c r="P60" s="65"/>
      <c r="Q60" s="65"/>
      <c r="R60" s="65"/>
      <c r="S60" s="65"/>
      <c r="T60" s="65"/>
      <c r="U60" s="65"/>
      <c r="V60" s="65"/>
      <c r="W60" s="65"/>
      <c r="X60" s="65"/>
      <c r="Y60" s="65"/>
      <c r="Z60" s="65"/>
      <c r="AA60" s="65"/>
      <c r="AB60" s="65"/>
      <c r="AC60" s="65"/>
      <c r="AD60" s="65"/>
      <c r="AE60" s="65"/>
      <c r="AF60" s="65"/>
      <c r="AG60" s="65"/>
      <c r="AH60" s="65"/>
      <c r="AI60" s="65"/>
      <c r="AJ60" s="65"/>
      <c r="AK60" s="65"/>
      <c r="AL60" s="65"/>
      <c r="AM60" s="65"/>
      <c r="AN60" s="65"/>
      <c r="AO60" s="65"/>
      <c r="AP60" s="65"/>
      <c r="AQ60" s="65"/>
      <c r="AR60" s="65"/>
      <c r="AS60" s="65"/>
      <c r="AT60" s="65"/>
      <c r="AU60" s="65"/>
      <c r="AV60" s="65"/>
      <c r="AW60" s="65"/>
      <c r="AX60" s="65"/>
      <c r="AY60" s="65"/>
      <c r="AZ60" s="65"/>
      <c r="BA60" s="65"/>
      <c r="BB60" s="65"/>
      <c r="BC60" s="65"/>
      <c r="BD60" s="65"/>
      <c r="BE60" s="65"/>
      <c r="BF60" s="65"/>
      <c r="BG60" s="65"/>
      <c r="BH60" s="65"/>
      <c r="BI60" s="65"/>
      <c r="BJ60" s="65"/>
      <c r="BK60" s="65"/>
      <c r="BL60" s="65"/>
      <c r="BM60" s="65"/>
      <c r="BN60" s="65"/>
      <c r="BO60" s="65"/>
      <c r="BP60" s="65"/>
      <c r="BQ60" s="65"/>
      <c r="BR60" s="65"/>
      <c r="BS60" s="65"/>
      <c r="BT60" s="65"/>
      <c r="BU60" s="65"/>
      <c r="BV60" s="65"/>
      <c r="BW60" s="65"/>
      <c r="BX60" s="65"/>
      <c r="BY60" s="65"/>
      <c r="BZ60" s="66"/>
    </row>
    <row r="61" spans="1:78" x14ac:dyDescent="0.2">
      <c r="A61" s="77"/>
      <c r="B61" s="55"/>
      <c r="C61" s="103"/>
      <c r="D61" s="103"/>
      <c r="E61" s="82"/>
      <c r="F61" s="64"/>
      <c r="G61" s="65"/>
      <c r="H61" s="65"/>
      <c r="I61" s="65"/>
      <c r="J61" s="65"/>
      <c r="K61" s="65"/>
      <c r="L61" s="65"/>
      <c r="M61" s="65"/>
      <c r="N61" s="65"/>
      <c r="O61" s="65"/>
      <c r="P61" s="65"/>
      <c r="Q61" s="65"/>
      <c r="R61" s="65"/>
      <c r="S61" s="65"/>
      <c r="T61" s="65"/>
      <c r="U61" s="65"/>
      <c r="V61" s="65"/>
      <c r="W61" s="65"/>
      <c r="X61" s="65"/>
      <c r="Y61" s="65"/>
      <c r="Z61" s="65"/>
      <c r="AA61" s="65"/>
      <c r="AB61" s="65"/>
      <c r="AC61" s="65"/>
      <c r="AD61" s="65"/>
      <c r="AE61" s="65"/>
      <c r="AF61" s="65"/>
      <c r="AG61" s="65"/>
      <c r="AH61" s="65"/>
      <c r="AI61" s="65"/>
      <c r="AJ61" s="65"/>
      <c r="AK61" s="65"/>
      <c r="AL61" s="65"/>
      <c r="AM61" s="65"/>
      <c r="AN61" s="65"/>
      <c r="AO61" s="65"/>
      <c r="AP61" s="65"/>
      <c r="AQ61" s="65"/>
      <c r="AR61" s="65"/>
      <c r="AS61" s="65"/>
      <c r="AT61" s="65"/>
      <c r="AU61" s="65"/>
      <c r="AV61" s="65"/>
      <c r="AW61" s="65"/>
      <c r="AX61" s="65"/>
      <c r="AY61" s="65"/>
      <c r="AZ61" s="65"/>
      <c r="BA61" s="65"/>
      <c r="BB61" s="65"/>
      <c r="BC61" s="65"/>
      <c r="BD61" s="65"/>
      <c r="BE61" s="65"/>
      <c r="BF61" s="65"/>
      <c r="BG61" s="65"/>
      <c r="BH61" s="65"/>
      <c r="BI61" s="65"/>
      <c r="BJ61" s="65"/>
      <c r="BK61" s="65"/>
      <c r="BL61" s="65"/>
      <c r="BM61" s="65"/>
      <c r="BN61" s="65"/>
      <c r="BO61" s="65"/>
      <c r="BP61" s="65"/>
      <c r="BQ61" s="65"/>
      <c r="BR61" s="65"/>
      <c r="BS61" s="65"/>
      <c r="BT61" s="65"/>
      <c r="BU61" s="65"/>
      <c r="BV61" s="65"/>
      <c r="BW61" s="65"/>
      <c r="BX61" s="65"/>
      <c r="BY61" s="65"/>
      <c r="BZ61" s="66"/>
    </row>
    <row r="62" spans="1:78" x14ac:dyDescent="0.2">
      <c r="A62" s="77"/>
      <c r="B62" s="55"/>
      <c r="C62" s="103"/>
      <c r="D62" s="103"/>
      <c r="E62" s="82"/>
      <c r="F62" s="64"/>
      <c r="G62" s="65"/>
      <c r="H62" s="65"/>
      <c r="I62" s="65"/>
      <c r="J62" s="65"/>
      <c r="K62" s="65"/>
      <c r="L62" s="65"/>
      <c r="M62" s="65"/>
      <c r="N62" s="65"/>
      <c r="O62" s="65"/>
      <c r="P62" s="65"/>
      <c r="Q62" s="65"/>
      <c r="R62" s="65"/>
      <c r="S62" s="65"/>
      <c r="T62" s="65"/>
      <c r="U62" s="65"/>
      <c r="V62" s="65"/>
      <c r="W62" s="65"/>
      <c r="X62" s="65"/>
      <c r="Y62" s="65"/>
      <c r="Z62" s="65"/>
      <c r="AA62" s="65"/>
      <c r="AB62" s="65"/>
      <c r="AC62" s="65"/>
      <c r="AD62" s="65"/>
      <c r="AE62" s="65"/>
      <c r="AF62" s="65"/>
      <c r="AG62" s="65"/>
      <c r="AH62" s="65"/>
      <c r="AI62" s="65"/>
      <c r="AJ62" s="65"/>
      <c r="AK62" s="65"/>
      <c r="AL62" s="65"/>
      <c r="AM62" s="65"/>
      <c r="AN62" s="65"/>
      <c r="AO62" s="65"/>
      <c r="AP62" s="65"/>
      <c r="AQ62" s="65"/>
      <c r="AR62" s="65"/>
      <c r="AS62" s="65"/>
      <c r="AT62" s="65"/>
      <c r="AU62" s="65"/>
      <c r="AV62" s="65"/>
      <c r="AW62" s="65"/>
      <c r="AX62" s="65"/>
      <c r="AY62" s="65"/>
      <c r="AZ62" s="65"/>
      <c r="BA62" s="65"/>
      <c r="BB62" s="65"/>
      <c r="BC62" s="65"/>
      <c r="BD62" s="65"/>
      <c r="BE62" s="65"/>
      <c r="BF62" s="65"/>
      <c r="BG62" s="65"/>
      <c r="BH62" s="65"/>
      <c r="BI62" s="65"/>
      <c r="BJ62" s="65"/>
      <c r="BK62" s="65"/>
      <c r="BL62" s="65"/>
      <c r="BM62" s="65"/>
      <c r="BN62" s="65"/>
      <c r="BO62" s="65"/>
      <c r="BP62" s="65"/>
      <c r="BQ62" s="65"/>
      <c r="BR62" s="65"/>
      <c r="BS62" s="65"/>
      <c r="BT62" s="65"/>
      <c r="BU62" s="65"/>
      <c r="BV62" s="65"/>
      <c r="BW62" s="65"/>
      <c r="BX62" s="65"/>
      <c r="BY62" s="65"/>
      <c r="BZ62" s="66"/>
    </row>
    <row r="63" spans="1:78" x14ac:dyDescent="0.2">
      <c r="A63" s="54"/>
      <c r="B63" s="55"/>
      <c r="C63" s="103"/>
      <c r="D63" s="103"/>
      <c r="E63" s="82"/>
      <c r="F63" s="64"/>
      <c r="G63" s="65"/>
      <c r="H63" s="65"/>
      <c r="I63" s="65"/>
      <c r="J63" s="65"/>
      <c r="K63" s="65"/>
      <c r="L63" s="65"/>
      <c r="M63" s="65"/>
      <c r="N63" s="65"/>
      <c r="O63" s="65"/>
      <c r="P63" s="65"/>
      <c r="Q63" s="65"/>
      <c r="R63" s="65"/>
      <c r="S63" s="65"/>
      <c r="T63" s="65"/>
      <c r="U63" s="65"/>
      <c r="V63" s="65"/>
      <c r="W63" s="65"/>
      <c r="X63" s="65"/>
      <c r="Y63" s="65"/>
      <c r="Z63" s="65"/>
      <c r="AA63" s="65"/>
      <c r="AB63" s="65"/>
      <c r="AC63" s="65"/>
      <c r="AD63" s="65"/>
      <c r="AE63" s="65"/>
      <c r="AF63" s="65"/>
      <c r="AG63" s="65"/>
      <c r="AH63" s="65"/>
      <c r="AI63" s="65"/>
      <c r="AJ63" s="65"/>
      <c r="AK63" s="65"/>
      <c r="AL63" s="65"/>
      <c r="AM63" s="65"/>
      <c r="AN63" s="65"/>
      <c r="AO63" s="65"/>
      <c r="AP63" s="65"/>
      <c r="AQ63" s="65"/>
      <c r="AR63" s="65"/>
      <c r="AS63" s="65"/>
      <c r="AT63" s="65"/>
      <c r="AU63" s="65"/>
      <c r="AV63" s="65"/>
      <c r="AW63" s="65"/>
      <c r="AX63" s="65"/>
      <c r="AY63" s="65"/>
      <c r="AZ63" s="65"/>
      <c r="BA63" s="65"/>
      <c r="BB63" s="65"/>
      <c r="BC63" s="65"/>
      <c r="BD63" s="65"/>
      <c r="BE63" s="65"/>
      <c r="BF63" s="65"/>
      <c r="BG63" s="65"/>
      <c r="BH63" s="65"/>
      <c r="BI63" s="65"/>
      <c r="BJ63" s="65"/>
      <c r="BK63" s="65"/>
      <c r="BL63" s="65"/>
      <c r="BM63" s="65"/>
      <c r="BN63" s="65"/>
      <c r="BO63" s="65"/>
      <c r="BP63" s="65"/>
      <c r="BQ63" s="65"/>
      <c r="BR63" s="65"/>
      <c r="BS63" s="65"/>
      <c r="BT63" s="65"/>
      <c r="BU63" s="65"/>
      <c r="BV63" s="65"/>
      <c r="BW63" s="65"/>
      <c r="BX63" s="65"/>
      <c r="BY63" s="65"/>
      <c r="BZ63" s="66"/>
    </row>
    <row r="64" spans="1:78" s="46" customFormat="1" x14ac:dyDescent="0.2">
      <c r="A64" s="81"/>
      <c r="B64" s="55"/>
      <c r="C64" s="103"/>
      <c r="D64" s="103"/>
      <c r="E64" s="82"/>
      <c r="F64" s="64"/>
      <c r="G64" s="65"/>
      <c r="H64" s="65"/>
      <c r="I64" s="65"/>
      <c r="J64" s="65"/>
      <c r="K64" s="65"/>
      <c r="L64" s="65"/>
      <c r="M64" s="65"/>
      <c r="N64" s="65"/>
      <c r="O64" s="65"/>
      <c r="P64" s="65"/>
      <c r="Q64" s="65"/>
      <c r="R64" s="65"/>
      <c r="S64" s="65"/>
      <c r="T64" s="65"/>
      <c r="U64" s="65"/>
      <c r="V64" s="65"/>
      <c r="W64" s="65"/>
      <c r="X64" s="65"/>
      <c r="Y64" s="65"/>
      <c r="Z64" s="65"/>
      <c r="AA64" s="65"/>
      <c r="AB64" s="65"/>
      <c r="AC64" s="65"/>
      <c r="AD64" s="65"/>
      <c r="AE64" s="65"/>
      <c r="AF64" s="65"/>
      <c r="AG64" s="65"/>
      <c r="AH64" s="65"/>
      <c r="AI64" s="65"/>
      <c r="AJ64" s="65"/>
      <c r="AK64" s="65"/>
      <c r="AL64" s="65"/>
      <c r="AM64" s="65"/>
      <c r="AN64" s="65"/>
      <c r="AO64" s="65"/>
      <c r="AP64" s="65"/>
      <c r="AQ64" s="65"/>
      <c r="AR64" s="65"/>
      <c r="AS64" s="65"/>
      <c r="AT64" s="65"/>
      <c r="AU64" s="65"/>
      <c r="AV64" s="65"/>
      <c r="AW64" s="65"/>
      <c r="AX64" s="65"/>
      <c r="AY64" s="65"/>
      <c r="AZ64" s="65"/>
      <c r="BA64" s="65"/>
      <c r="BB64" s="65"/>
      <c r="BC64" s="65"/>
      <c r="BD64" s="65"/>
      <c r="BE64" s="65"/>
      <c r="BF64" s="65"/>
      <c r="BG64" s="65"/>
      <c r="BH64" s="65"/>
      <c r="BI64" s="65"/>
      <c r="BJ64" s="65"/>
      <c r="BK64" s="65"/>
      <c r="BL64" s="65"/>
      <c r="BM64" s="65"/>
      <c r="BN64" s="65"/>
      <c r="BO64" s="65"/>
      <c r="BP64" s="65"/>
      <c r="BQ64" s="65"/>
      <c r="BR64" s="65"/>
      <c r="BS64" s="65"/>
      <c r="BT64" s="65"/>
      <c r="BU64" s="65"/>
      <c r="BV64" s="65"/>
      <c r="BW64" s="65"/>
      <c r="BX64" s="65"/>
      <c r="BY64" s="65"/>
      <c r="BZ64" s="66"/>
    </row>
    <row r="65" spans="1:78" s="46" customFormat="1" x14ac:dyDescent="0.2">
      <c r="A65" s="54"/>
      <c r="B65" s="55"/>
      <c r="C65" s="103"/>
      <c r="D65" s="103"/>
      <c r="E65" s="82"/>
      <c r="F65" s="64"/>
      <c r="G65" s="65"/>
      <c r="H65" s="65"/>
      <c r="I65" s="65"/>
      <c r="J65" s="65"/>
      <c r="K65" s="65"/>
      <c r="L65" s="65"/>
      <c r="M65" s="65"/>
      <c r="N65" s="65"/>
      <c r="O65" s="65"/>
      <c r="P65" s="65"/>
      <c r="Q65" s="65"/>
      <c r="R65" s="65"/>
      <c r="S65" s="65"/>
      <c r="T65" s="65"/>
      <c r="U65" s="65"/>
      <c r="V65" s="65"/>
      <c r="W65" s="65"/>
      <c r="X65" s="65"/>
      <c r="Y65" s="65"/>
      <c r="Z65" s="65"/>
      <c r="AA65" s="65"/>
      <c r="AB65" s="65"/>
      <c r="AC65" s="65"/>
      <c r="AD65" s="65"/>
      <c r="AE65" s="65"/>
      <c r="AF65" s="65"/>
      <c r="AG65" s="65"/>
      <c r="AH65" s="65"/>
      <c r="AI65" s="65"/>
      <c r="AJ65" s="65"/>
      <c r="AK65" s="65"/>
      <c r="AL65" s="65"/>
      <c r="AM65" s="65"/>
      <c r="AN65" s="65"/>
      <c r="AO65" s="65"/>
      <c r="AP65" s="65"/>
      <c r="AQ65" s="65"/>
      <c r="AR65" s="65"/>
      <c r="AS65" s="65"/>
      <c r="AT65" s="65"/>
      <c r="AU65" s="65"/>
      <c r="AV65" s="65"/>
      <c r="AW65" s="65"/>
      <c r="AX65" s="65"/>
      <c r="AY65" s="65"/>
      <c r="AZ65" s="65"/>
      <c r="BA65" s="65"/>
      <c r="BB65" s="65"/>
      <c r="BC65" s="65"/>
      <c r="BD65" s="65"/>
      <c r="BE65" s="65"/>
      <c r="BF65" s="65"/>
      <c r="BG65" s="65"/>
      <c r="BH65" s="65"/>
      <c r="BI65" s="65"/>
      <c r="BJ65" s="65"/>
      <c r="BK65" s="65"/>
      <c r="BL65" s="65"/>
      <c r="BM65" s="65"/>
      <c r="BN65" s="65"/>
      <c r="BO65" s="65"/>
      <c r="BP65" s="65"/>
      <c r="BQ65" s="65"/>
      <c r="BR65" s="65"/>
      <c r="BS65" s="65"/>
      <c r="BT65" s="65"/>
      <c r="BU65" s="65"/>
      <c r="BV65" s="65"/>
      <c r="BW65" s="65"/>
      <c r="BX65" s="65"/>
      <c r="BY65" s="65"/>
      <c r="BZ65" s="66"/>
    </row>
    <row r="66" spans="1:78" s="46" customFormat="1" x14ac:dyDescent="0.2">
      <c r="A66" s="147"/>
      <c r="B66" s="55"/>
      <c r="C66" s="103"/>
      <c r="D66" s="103"/>
      <c r="E66" s="82"/>
      <c r="F66" s="64"/>
      <c r="G66" s="65"/>
      <c r="H66" s="65"/>
      <c r="I66" s="65"/>
      <c r="J66" s="65"/>
      <c r="K66" s="65"/>
      <c r="L66" s="65"/>
      <c r="M66" s="65"/>
      <c r="N66" s="65"/>
      <c r="O66" s="65"/>
      <c r="P66" s="65"/>
      <c r="Q66" s="65"/>
      <c r="R66" s="65"/>
      <c r="S66" s="65"/>
      <c r="T66" s="65"/>
      <c r="U66" s="65"/>
      <c r="V66" s="65"/>
      <c r="W66" s="65"/>
      <c r="X66" s="65"/>
      <c r="Y66" s="65"/>
      <c r="Z66" s="65"/>
      <c r="AA66" s="65"/>
      <c r="AB66" s="65"/>
      <c r="AC66" s="65"/>
      <c r="AD66" s="65"/>
      <c r="AE66" s="65"/>
      <c r="AF66" s="65"/>
      <c r="AG66" s="65"/>
      <c r="AH66" s="65"/>
      <c r="AI66" s="65"/>
      <c r="AJ66" s="65"/>
      <c r="AK66" s="65"/>
      <c r="AL66" s="65"/>
      <c r="AM66" s="65"/>
      <c r="AN66" s="65"/>
      <c r="AO66" s="65"/>
      <c r="AP66" s="65"/>
      <c r="AQ66" s="65"/>
      <c r="AR66" s="65"/>
      <c r="AS66" s="65"/>
      <c r="AT66" s="65"/>
      <c r="AU66" s="65"/>
      <c r="AV66" s="65"/>
      <c r="AW66" s="65"/>
      <c r="AX66" s="65"/>
      <c r="AY66" s="65"/>
      <c r="AZ66" s="65"/>
      <c r="BA66" s="65"/>
      <c r="BB66" s="65"/>
      <c r="BC66" s="65"/>
      <c r="BD66" s="65"/>
      <c r="BE66" s="65"/>
      <c r="BF66" s="65"/>
      <c r="BG66" s="65"/>
      <c r="BH66" s="65"/>
      <c r="BI66" s="65"/>
      <c r="BJ66" s="65"/>
      <c r="BK66" s="65"/>
      <c r="BL66" s="65"/>
      <c r="BM66" s="65"/>
      <c r="BN66" s="65"/>
      <c r="BO66" s="65"/>
      <c r="BP66" s="65"/>
      <c r="BQ66" s="65"/>
      <c r="BR66" s="65"/>
      <c r="BS66" s="65"/>
      <c r="BT66" s="65"/>
      <c r="BU66" s="65"/>
      <c r="BV66" s="65"/>
      <c r="BW66" s="65"/>
      <c r="BX66" s="65"/>
      <c r="BY66" s="65"/>
      <c r="BZ66" s="66"/>
    </row>
    <row r="67" spans="1:78" x14ac:dyDescent="0.2">
      <c r="A67" s="67"/>
      <c r="B67" s="55"/>
      <c r="C67" s="103"/>
      <c r="D67" s="103"/>
      <c r="E67" s="82"/>
      <c r="F67" s="64"/>
      <c r="G67" s="65"/>
      <c r="H67" s="65"/>
      <c r="I67" s="65"/>
      <c r="J67" s="65"/>
      <c r="K67" s="65"/>
      <c r="L67" s="65"/>
      <c r="M67" s="65"/>
      <c r="N67" s="65"/>
      <c r="O67" s="65"/>
      <c r="P67" s="65"/>
      <c r="Q67" s="65"/>
      <c r="R67" s="65"/>
      <c r="S67" s="65"/>
      <c r="T67" s="65"/>
      <c r="U67" s="65"/>
      <c r="V67" s="65"/>
      <c r="W67" s="65"/>
      <c r="X67" s="65"/>
      <c r="Y67" s="65"/>
      <c r="Z67" s="65"/>
      <c r="AA67" s="65"/>
      <c r="AB67" s="65"/>
      <c r="AC67" s="65"/>
      <c r="AD67" s="65"/>
      <c r="AE67" s="65"/>
      <c r="AF67" s="65"/>
      <c r="AG67" s="65"/>
      <c r="AH67" s="65"/>
      <c r="AI67" s="65"/>
      <c r="AJ67" s="65"/>
      <c r="AK67" s="65"/>
      <c r="AL67" s="65"/>
      <c r="AM67" s="65"/>
      <c r="AN67" s="65"/>
      <c r="AO67" s="65"/>
      <c r="AP67" s="65"/>
      <c r="AQ67" s="65"/>
      <c r="AR67" s="65"/>
      <c r="AS67" s="65"/>
      <c r="AT67" s="65"/>
      <c r="AU67" s="65"/>
      <c r="AV67" s="65"/>
      <c r="AW67" s="65"/>
      <c r="AX67" s="65"/>
      <c r="AY67" s="65"/>
      <c r="AZ67" s="65"/>
      <c r="BA67" s="65"/>
      <c r="BB67" s="65"/>
      <c r="BC67" s="65"/>
      <c r="BD67" s="65"/>
      <c r="BE67" s="65"/>
      <c r="BF67" s="65"/>
      <c r="BG67" s="65"/>
      <c r="BH67" s="65"/>
      <c r="BI67" s="65"/>
      <c r="BJ67" s="65"/>
      <c r="BK67" s="65"/>
      <c r="BL67" s="65"/>
      <c r="BM67" s="65"/>
      <c r="BN67" s="65"/>
      <c r="BO67" s="65"/>
      <c r="BP67" s="65"/>
      <c r="BQ67" s="65"/>
      <c r="BR67" s="65"/>
      <c r="BS67" s="65"/>
      <c r="BT67" s="65"/>
      <c r="BU67" s="65"/>
      <c r="BV67" s="65"/>
      <c r="BW67" s="65"/>
      <c r="BX67" s="65"/>
      <c r="BY67" s="65"/>
      <c r="BZ67" s="66"/>
    </row>
    <row r="68" spans="1:78" s="46" customFormat="1" x14ac:dyDescent="0.2">
      <c r="A68" s="77"/>
      <c r="B68" s="55"/>
      <c r="C68" s="103"/>
      <c r="D68" s="103"/>
      <c r="E68" s="82"/>
      <c r="F68" s="64"/>
      <c r="G68" s="65"/>
      <c r="H68" s="65"/>
      <c r="I68" s="65"/>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65"/>
      <c r="AI68" s="65"/>
      <c r="AJ68" s="65"/>
      <c r="AK68" s="65"/>
      <c r="AL68" s="65"/>
      <c r="AM68" s="65"/>
      <c r="AN68" s="65"/>
      <c r="AO68" s="65"/>
      <c r="AP68" s="65"/>
      <c r="AQ68" s="65"/>
      <c r="AR68" s="65"/>
      <c r="AS68" s="65"/>
      <c r="AT68" s="65"/>
      <c r="AU68" s="65"/>
      <c r="AV68" s="65"/>
      <c r="AW68" s="65"/>
      <c r="AX68" s="65"/>
      <c r="AY68" s="65"/>
      <c r="AZ68" s="65"/>
      <c r="BA68" s="65"/>
      <c r="BB68" s="65"/>
      <c r="BC68" s="65"/>
      <c r="BD68" s="65"/>
      <c r="BE68" s="65"/>
      <c r="BF68" s="65"/>
      <c r="BG68" s="65"/>
      <c r="BH68" s="65"/>
      <c r="BI68" s="65"/>
      <c r="BJ68" s="65"/>
      <c r="BK68" s="65"/>
      <c r="BL68" s="65"/>
      <c r="BM68" s="65"/>
      <c r="BN68" s="65"/>
      <c r="BO68" s="65"/>
      <c r="BP68" s="65"/>
      <c r="BQ68" s="65"/>
      <c r="BR68" s="65"/>
      <c r="BS68" s="65"/>
      <c r="BT68" s="65"/>
      <c r="BU68" s="65"/>
      <c r="BV68" s="65"/>
      <c r="BW68" s="65"/>
      <c r="BX68" s="65"/>
      <c r="BY68" s="65"/>
      <c r="BZ68" s="66"/>
    </row>
    <row r="69" spans="1:78" x14ac:dyDescent="0.2">
      <c r="A69" s="63"/>
      <c r="B69" s="55"/>
      <c r="C69" s="103"/>
      <c r="D69" s="103"/>
      <c r="E69" s="82"/>
      <c r="F69" s="94"/>
      <c r="G69" s="95"/>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95"/>
      <c r="AL69" s="95"/>
      <c r="AM69" s="95"/>
      <c r="AN69" s="95"/>
      <c r="AO69" s="95"/>
      <c r="AP69" s="95"/>
      <c r="AQ69" s="95"/>
      <c r="AR69" s="95"/>
      <c r="AS69" s="95"/>
      <c r="AT69" s="95"/>
      <c r="AU69" s="95"/>
      <c r="AV69" s="95"/>
      <c r="AW69" s="95"/>
      <c r="AX69" s="95"/>
      <c r="AY69" s="95"/>
      <c r="AZ69" s="95"/>
      <c r="BA69" s="95"/>
      <c r="BB69" s="95"/>
      <c r="BC69" s="95"/>
      <c r="BD69" s="95"/>
      <c r="BE69" s="95"/>
      <c r="BF69" s="95"/>
      <c r="BG69" s="95"/>
      <c r="BH69" s="95"/>
      <c r="BI69" s="95"/>
      <c r="BJ69" s="95"/>
      <c r="BK69" s="95"/>
      <c r="BL69" s="95"/>
      <c r="BM69" s="95"/>
      <c r="BN69" s="95"/>
      <c r="BO69" s="95"/>
      <c r="BP69" s="95"/>
      <c r="BQ69" s="95"/>
      <c r="BR69" s="95"/>
      <c r="BS69" s="95"/>
      <c r="BT69" s="95"/>
      <c r="BU69" s="95"/>
      <c r="BV69" s="95"/>
      <c r="BW69" s="95"/>
      <c r="BX69" s="95"/>
      <c r="BY69" s="95"/>
      <c r="BZ69" s="96"/>
    </row>
    <row r="70" spans="1:78" x14ac:dyDescent="0.2">
      <c r="A70" s="63"/>
      <c r="B70" s="55"/>
      <c r="C70" s="103"/>
      <c r="D70" s="103"/>
      <c r="E70" s="82"/>
      <c r="F70" s="64"/>
      <c r="G70" s="65"/>
      <c r="H70" s="65"/>
      <c r="I70" s="65"/>
      <c r="J70" s="65"/>
      <c r="K70" s="65"/>
      <c r="L70" s="65"/>
      <c r="M70" s="65"/>
      <c r="N70" s="65"/>
      <c r="O70" s="65"/>
      <c r="P70" s="65"/>
      <c r="Q70" s="65"/>
      <c r="R70" s="65"/>
      <c r="S70" s="65"/>
      <c r="T70" s="65"/>
      <c r="U70" s="65"/>
      <c r="V70" s="65"/>
      <c r="W70" s="65"/>
      <c r="X70" s="65"/>
      <c r="Y70" s="65"/>
      <c r="Z70" s="65"/>
      <c r="AA70" s="65"/>
      <c r="AB70" s="65"/>
      <c r="AC70" s="65"/>
      <c r="AD70" s="65"/>
      <c r="AE70" s="65"/>
      <c r="AF70" s="65"/>
      <c r="AG70" s="65"/>
      <c r="AH70" s="65"/>
      <c r="AI70" s="65"/>
      <c r="AJ70" s="65"/>
      <c r="AK70" s="65"/>
      <c r="AL70" s="65"/>
      <c r="AM70" s="65"/>
      <c r="AN70" s="65"/>
      <c r="AO70" s="65"/>
      <c r="AP70" s="65"/>
      <c r="AQ70" s="65"/>
      <c r="AR70" s="65"/>
      <c r="AS70" s="65"/>
      <c r="AT70" s="65"/>
      <c r="AU70" s="65"/>
      <c r="AV70" s="65"/>
      <c r="AW70" s="65"/>
      <c r="AX70" s="65"/>
      <c r="AY70" s="65"/>
      <c r="AZ70" s="65"/>
      <c r="BA70" s="65"/>
      <c r="BB70" s="65"/>
      <c r="BC70" s="65"/>
      <c r="BD70" s="65"/>
      <c r="BE70" s="65"/>
      <c r="BF70" s="65"/>
      <c r="BG70" s="65"/>
      <c r="BH70" s="65"/>
      <c r="BI70" s="65"/>
      <c r="BJ70" s="65"/>
      <c r="BK70" s="65"/>
      <c r="BL70" s="65"/>
      <c r="BM70" s="65"/>
      <c r="BN70" s="65"/>
      <c r="BO70" s="65"/>
      <c r="BP70" s="65"/>
      <c r="BQ70" s="65"/>
      <c r="BR70" s="65"/>
      <c r="BS70" s="65"/>
      <c r="BT70" s="65"/>
      <c r="BU70" s="65"/>
      <c r="BV70" s="65"/>
      <c r="BW70" s="65"/>
      <c r="BX70" s="65"/>
      <c r="BY70" s="65"/>
      <c r="BZ70" s="66"/>
    </row>
    <row r="71" spans="1:78" x14ac:dyDescent="0.2">
      <c r="A71" s="63"/>
      <c r="B71" s="55"/>
      <c r="C71" s="103"/>
      <c r="D71" s="103"/>
      <c r="E71" s="82"/>
      <c r="F71" s="64"/>
      <c r="G71" s="65"/>
      <c r="H71" s="65"/>
      <c r="I71" s="65"/>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65"/>
      <c r="AI71" s="65"/>
      <c r="AJ71" s="65"/>
      <c r="AK71" s="65"/>
      <c r="AL71" s="65"/>
      <c r="AM71" s="65"/>
      <c r="AN71" s="65"/>
      <c r="AO71" s="65"/>
      <c r="AP71" s="65"/>
      <c r="AQ71" s="65"/>
      <c r="AR71" s="65"/>
      <c r="AS71" s="65"/>
      <c r="AT71" s="65"/>
      <c r="AU71" s="65"/>
      <c r="AV71" s="65"/>
      <c r="AW71" s="65"/>
      <c r="AX71" s="65"/>
      <c r="AY71" s="65"/>
      <c r="AZ71" s="65"/>
      <c r="BA71" s="65"/>
      <c r="BB71" s="65"/>
      <c r="BC71" s="65"/>
      <c r="BD71" s="65"/>
      <c r="BE71" s="65"/>
      <c r="BF71" s="65"/>
      <c r="BG71" s="65"/>
      <c r="BH71" s="65"/>
      <c r="BI71" s="65"/>
      <c r="BJ71" s="65"/>
      <c r="BK71" s="65"/>
      <c r="BL71" s="65"/>
      <c r="BM71" s="65"/>
      <c r="BN71" s="65"/>
      <c r="BO71" s="65"/>
      <c r="BP71" s="65"/>
      <c r="BQ71" s="65"/>
      <c r="BR71" s="65"/>
      <c r="BS71" s="65"/>
      <c r="BT71" s="65"/>
      <c r="BU71" s="65"/>
      <c r="BV71" s="65"/>
      <c r="BW71" s="65"/>
      <c r="BX71" s="65"/>
      <c r="BY71" s="65"/>
      <c r="BZ71" s="66"/>
    </row>
    <row r="72" spans="1:78" x14ac:dyDescent="0.2">
      <c r="A72" s="63"/>
      <c r="B72" s="55"/>
      <c r="C72" s="103"/>
      <c r="D72" s="103"/>
      <c r="E72" s="87"/>
      <c r="F72" s="60"/>
      <c r="G72" s="61"/>
      <c r="H72" s="61"/>
      <c r="I72" s="61"/>
      <c r="J72" s="61"/>
      <c r="K72" s="61"/>
      <c r="L72" s="61"/>
      <c r="M72" s="61"/>
      <c r="N72" s="61"/>
      <c r="O72" s="61"/>
      <c r="P72" s="61"/>
      <c r="Q72" s="61"/>
      <c r="R72" s="61"/>
      <c r="S72" s="61"/>
      <c r="T72" s="61"/>
      <c r="U72" s="61"/>
      <c r="V72" s="61"/>
      <c r="W72" s="61"/>
      <c r="X72" s="61"/>
      <c r="Y72" s="61"/>
      <c r="Z72" s="61"/>
      <c r="AA72" s="61"/>
      <c r="AB72" s="61"/>
      <c r="AC72" s="61"/>
      <c r="AD72" s="61"/>
      <c r="AE72" s="61"/>
      <c r="AF72" s="61"/>
      <c r="AG72" s="61"/>
      <c r="AH72" s="65"/>
      <c r="AI72" s="65"/>
      <c r="AJ72" s="65"/>
      <c r="AK72" s="65"/>
      <c r="AL72" s="65"/>
      <c r="AM72" s="65"/>
      <c r="AN72" s="65"/>
      <c r="AO72" s="65"/>
      <c r="AP72" s="65"/>
      <c r="AQ72" s="65"/>
      <c r="AR72" s="65"/>
      <c r="AS72" s="65"/>
      <c r="AT72" s="65"/>
      <c r="AU72" s="65"/>
      <c r="AV72" s="65"/>
      <c r="AW72" s="65"/>
      <c r="AX72" s="65"/>
      <c r="AY72" s="65"/>
      <c r="AZ72" s="65"/>
      <c r="BA72" s="65"/>
      <c r="BB72" s="65"/>
      <c r="BC72" s="65"/>
      <c r="BD72" s="65"/>
      <c r="BE72" s="65"/>
      <c r="BF72" s="65"/>
      <c r="BG72" s="65"/>
      <c r="BH72" s="65"/>
      <c r="BI72" s="65"/>
      <c r="BJ72" s="65"/>
      <c r="BK72" s="65"/>
      <c r="BL72" s="65"/>
      <c r="BM72" s="65"/>
      <c r="BN72" s="65"/>
      <c r="BO72" s="65"/>
      <c r="BP72" s="65"/>
      <c r="BQ72" s="61"/>
      <c r="BR72" s="61"/>
      <c r="BS72" s="61"/>
      <c r="BT72" s="61"/>
      <c r="BU72" s="61"/>
      <c r="BV72" s="61"/>
      <c r="BW72" s="61"/>
      <c r="BX72" s="61"/>
      <c r="BY72" s="61"/>
      <c r="BZ72" s="62"/>
    </row>
    <row r="73" spans="1:78" x14ac:dyDescent="0.2">
      <c r="A73" s="150"/>
      <c r="B73" s="55"/>
      <c r="C73" s="103"/>
      <c r="D73" s="103"/>
      <c r="E73" s="82"/>
      <c r="F73" s="64"/>
      <c r="G73" s="65"/>
      <c r="H73" s="65"/>
      <c r="I73" s="65"/>
      <c r="J73" s="65"/>
      <c r="K73" s="65"/>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c r="AL73" s="65"/>
      <c r="AM73" s="65"/>
      <c r="AN73" s="65"/>
      <c r="AO73" s="65"/>
      <c r="AP73" s="65"/>
      <c r="AQ73" s="65"/>
      <c r="AR73" s="65"/>
      <c r="AS73" s="65"/>
      <c r="AT73" s="65"/>
      <c r="AU73" s="65"/>
      <c r="AV73" s="65"/>
      <c r="AW73" s="65"/>
      <c r="AX73" s="65"/>
      <c r="AY73" s="65"/>
      <c r="AZ73" s="65"/>
      <c r="BA73" s="65"/>
      <c r="BB73" s="65"/>
      <c r="BC73" s="65"/>
      <c r="BD73" s="65"/>
      <c r="BE73" s="65"/>
      <c r="BF73" s="65"/>
      <c r="BG73" s="65"/>
      <c r="BH73" s="65"/>
      <c r="BI73" s="65"/>
      <c r="BJ73" s="65"/>
      <c r="BK73" s="65"/>
      <c r="BL73" s="65"/>
      <c r="BM73" s="65"/>
      <c r="BN73" s="65"/>
      <c r="BO73" s="65"/>
      <c r="BP73" s="65"/>
      <c r="BQ73" s="65"/>
      <c r="BR73" s="65"/>
      <c r="BS73" s="65"/>
      <c r="BT73" s="65"/>
      <c r="BU73" s="65"/>
      <c r="BV73" s="65"/>
      <c r="BW73" s="65"/>
      <c r="BX73" s="65"/>
      <c r="BY73" s="65"/>
      <c r="BZ73" s="66"/>
    </row>
    <row r="74" spans="1:78" x14ac:dyDescent="0.2">
      <c r="A74" s="63"/>
      <c r="B74" s="55"/>
      <c r="C74" s="103"/>
      <c r="D74" s="103"/>
      <c r="E74" s="82"/>
      <c r="F74" s="60"/>
      <c r="G74" s="61"/>
      <c r="H74" s="61"/>
      <c r="I74" s="61"/>
      <c r="J74" s="61"/>
      <c r="K74" s="61"/>
      <c r="L74" s="61"/>
      <c r="M74" s="61"/>
      <c r="N74" s="61"/>
      <c r="O74" s="61"/>
      <c r="P74" s="61"/>
      <c r="Q74" s="61"/>
      <c r="R74" s="61"/>
      <c r="S74" s="61"/>
      <c r="T74" s="61"/>
      <c r="U74" s="61"/>
      <c r="V74" s="61"/>
      <c r="W74" s="61"/>
      <c r="X74" s="61"/>
      <c r="Y74" s="61"/>
      <c r="Z74" s="61"/>
      <c r="AA74" s="61"/>
      <c r="AB74" s="61"/>
      <c r="AC74" s="61"/>
      <c r="AD74" s="61"/>
      <c r="AE74" s="61"/>
      <c r="AF74" s="61"/>
      <c r="AG74" s="61"/>
      <c r="AH74" s="61"/>
      <c r="AI74" s="61"/>
      <c r="AJ74" s="61"/>
      <c r="AK74" s="61"/>
      <c r="AL74" s="61"/>
      <c r="AM74" s="61"/>
      <c r="AN74" s="61"/>
      <c r="AO74" s="61"/>
      <c r="AP74" s="61"/>
      <c r="AQ74" s="61"/>
      <c r="AR74" s="61"/>
      <c r="AS74" s="61"/>
      <c r="AT74" s="61"/>
      <c r="AU74" s="61"/>
      <c r="AV74" s="61"/>
      <c r="AW74" s="61"/>
      <c r="AX74" s="61"/>
      <c r="AY74" s="61"/>
      <c r="AZ74" s="61"/>
      <c r="BA74" s="61"/>
      <c r="BB74" s="61"/>
      <c r="BC74" s="61"/>
      <c r="BD74" s="61"/>
      <c r="BE74" s="61"/>
      <c r="BF74" s="61"/>
      <c r="BG74" s="61"/>
      <c r="BH74" s="61"/>
      <c r="BI74" s="61"/>
      <c r="BJ74" s="61"/>
      <c r="BK74" s="61"/>
      <c r="BL74" s="61"/>
      <c r="BM74" s="61"/>
      <c r="BN74" s="61"/>
      <c r="BO74" s="61"/>
      <c r="BP74" s="61"/>
      <c r="BQ74" s="61"/>
      <c r="BR74" s="61"/>
      <c r="BS74" s="61"/>
      <c r="BT74" s="61"/>
      <c r="BU74" s="61"/>
      <c r="BV74" s="61"/>
      <c r="BW74" s="61"/>
      <c r="BX74" s="61"/>
      <c r="BY74" s="61"/>
      <c r="BZ74" s="62"/>
    </row>
    <row r="75" spans="1:78" x14ac:dyDescent="0.2">
      <c r="A75" s="67"/>
      <c r="B75" s="55"/>
      <c r="C75" s="103"/>
      <c r="D75" s="103"/>
      <c r="E75" s="82"/>
      <c r="F75" s="64"/>
      <c r="G75" s="65"/>
      <c r="H75" s="65"/>
      <c r="I75" s="65"/>
      <c r="J75" s="65"/>
      <c r="K75" s="65"/>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c r="AL75" s="65"/>
      <c r="AM75" s="65"/>
      <c r="AN75" s="65"/>
      <c r="AO75" s="65"/>
      <c r="AP75" s="65"/>
      <c r="AQ75" s="65"/>
      <c r="AR75" s="65"/>
      <c r="AS75" s="65"/>
      <c r="AT75" s="65"/>
      <c r="AU75" s="65"/>
      <c r="AV75" s="65"/>
      <c r="AW75" s="65"/>
      <c r="AX75" s="65"/>
      <c r="AY75" s="65"/>
      <c r="AZ75" s="65"/>
      <c r="BA75" s="65"/>
      <c r="BB75" s="65"/>
      <c r="BC75" s="65"/>
      <c r="BD75" s="65"/>
      <c r="BE75" s="65"/>
      <c r="BF75" s="65"/>
      <c r="BG75" s="65"/>
      <c r="BH75" s="65"/>
      <c r="BI75" s="65"/>
      <c r="BJ75" s="65"/>
      <c r="BK75" s="65"/>
      <c r="BL75" s="65"/>
      <c r="BM75" s="65"/>
      <c r="BN75" s="65"/>
      <c r="BO75" s="65"/>
      <c r="BP75" s="65"/>
      <c r="BQ75" s="65"/>
      <c r="BR75" s="65"/>
      <c r="BS75" s="65"/>
      <c r="BT75" s="65"/>
      <c r="BU75" s="65"/>
      <c r="BV75" s="65"/>
      <c r="BW75" s="65"/>
      <c r="BX75" s="65"/>
      <c r="BY75" s="65"/>
      <c r="BZ75" s="66"/>
    </row>
    <row r="76" spans="1:78" x14ac:dyDescent="0.2">
      <c r="A76" s="67"/>
      <c r="B76" s="55"/>
      <c r="C76" s="103"/>
      <c r="D76" s="103"/>
      <c r="E76" s="82"/>
      <c r="F76" s="64"/>
      <c r="G76" s="65"/>
      <c r="H76" s="65"/>
      <c r="I76" s="65"/>
      <c r="J76" s="65"/>
      <c r="K76" s="65"/>
      <c r="L76" s="65"/>
      <c r="M76" s="65"/>
      <c r="N76" s="65"/>
      <c r="O76" s="65"/>
      <c r="P76" s="65"/>
      <c r="Q76" s="65"/>
      <c r="R76" s="65"/>
      <c r="S76" s="65"/>
      <c r="T76" s="65"/>
      <c r="U76" s="65"/>
      <c r="V76" s="65"/>
      <c r="W76" s="65"/>
      <c r="X76" s="65"/>
      <c r="Y76" s="65"/>
      <c r="Z76" s="65"/>
      <c r="AA76" s="65"/>
      <c r="AB76" s="65"/>
      <c r="AC76" s="65"/>
      <c r="AD76" s="65"/>
      <c r="AE76" s="65"/>
      <c r="AF76" s="65"/>
      <c r="AG76" s="65"/>
      <c r="AH76" s="65"/>
      <c r="AI76" s="65"/>
      <c r="AJ76" s="65"/>
      <c r="AK76" s="65"/>
      <c r="AL76" s="65"/>
      <c r="AM76" s="65"/>
      <c r="AN76" s="65"/>
      <c r="AO76" s="65"/>
      <c r="AP76" s="65"/>
      <c r="AQ76" s="65"/>
      <c r="AR76" s="65"/>
      <c r="AS76" s="65"/>
      <c r="AT76" s="65"/>
      <c r="AU76" s="65"/>
      <c r="AV76" s="65"/>
      <c r="AW76" s="65"/>
      <c r="AX76" s="65"/>
      <c r="AY76" s="65"/>
      <c r="AZ76" s="65"/>
      <c r="BA76" s="65"/>
      <c r="BB76" s="65"/>
      <c r="BC76" s="65"/>
      <c r="BD76" s="65"/>
      <c r="BE76" s="65"/>
      <c r="BF76" s="65"/>
      <c r="BG76" s="65"/>
      <c r="BH76" s="65"/>
      <c r="BI76" s="65"/>
      <c r="BJ76" s="65"/>
      <c r="BK76" s="65"/>
      <c r="BL76" s="65"/>
      <c r="BM76" s="65"/>
      <c r="BN76" s="65"/>
      <c r="BO76" s="65"/>
      <c r="BP76" s="65"/>
      <c r="BQ76" s="65"/>
      <c r="BR76" s="65"/>
      <c r="BS76" s="65"/>
      <c r="BT76" s="65"/>
      <c r="BU76" s="65"/>
      <c r="BV76" s="65"/>
      <c r="BW76" s="65"/>
      <c r="BX76" s="65"/>
      <c r="BY76" s="65"/>
      <c r="BZ76" s="66"/>
    </row>
    <row r="77" spans="1:78" x14ac:dyDescent="0.2">
      <c r="A77" s="67"/>
      <c r="B77" s="55"/>
      <c r="C77" s="103"/>
      <c r="D77" s="103"/>
      <c r="E77" s="82"/>
      <c r="F77" s="64"/>
      <c r="G77" s="65"/>
      <c r="H77" s="65"/>
      <c r="I77" s="65"/>
      <c r="J77" s="65"/>
      <c r="K77" s="65"/>
      <c r="L77" s="65"/>
      <c r="M77" s="65"/>
      <c r="N77" s="65"/>
      <c r="O77" s="65"/>
      <c r="P77" s="65"/>
      <c r="Q77" s="65"/>
      <c r="R77" s="65"/>
      <c r="S77" s="65"/>
      <c r="T77" s="65"/>
      <c r="U77" s="65"/>
      <c r="V77" s="65"/>
      <c r="W77" s="65"/>
      <c r="X77" s="65"/>
      <c r="Y77" s="65"/>
      <c r="Z77" s="65"/>
      <c r="AA77" s="65"/>
      <c r="AB77" s="65"/>
      <c r="AC77" s="65"/>
      <c r="AD77" s="65"/>
      <c r="AE77" s="65"/>
      <c r="AF77" s="65"/>
      <c r="AG77" s="65"/>
      <c r="AH77" s="65"/>
      <c r="AI77" s="65"/>
      <c r="AJ77" s="65"/>
      <c r="AK77" s="65"/>
      <c r="AL77" s="65"/>
      <c r="AM77" s="65"/>
      <c r="AN77" s="65"/>
      <c r="AO77" s="65"/>
      <c r="AP77" s="65"/>
      <c r="AQ77" s="65"/>
      <c r="AR77" s="65"/>
      <c r="AS77" s="65"/>
      <c r="AT77" s="65"/>
      <c r="AU77" s="65"/>
      <c r="AV77" s="65"/>
      <c r="AW77" s="65"/>
      <c r="AX77" s="65"/>
      <c r="AY77" s="65"/>
      <c r="AZ77" s="65"/>
      <c r="BA77" s="65"/>
      <c r="BB77" s="65"/>
      <c r="BC77" s="65"/>
      <c r="BD77" s="65"/>
      <c r="BE77" s="65"/>
      <c r="BF77" s="65"/>
      <c r="BG77" s="65"/>
      <c r="BH77" s="65"/>
      <c r="BI77" s="65"/>
      <c r="BJ77" s="65"/>
      <c r="BK77" s="65"/>
      <c r="BL77" s="65"/>
      <c r="BM77" s="65"/>
      <c r="BN77" s="65"/>
      <c r="BO77" s="65"/>
      <c r="BP77" s="65"/>
      <c r="BQ77" s="65"/>
      <c r="BR77" s="65"/>
      <c r="BS77" s="65"/>
      <c r="BT77" s="65"/>
      <c r="BU77" s="65"/>
      <c r="BV77" s="65"/>
      <c r="BW77" s="65"/>
      <c r="BX77" s="65"/>
      <c r="BY77" s="65"/>
      <c r="BZ77" s="66"/>
    </row>
    <row r="78" spans="1:78" x14ac:dyDescent="0.2">
      <c r="A78" s="63"/>
      <c r="B78" s="55"/>
      <c r="C78" s="103"/>
      <c r="D78" s="103"/>
      <c r="E78" s="82"/>
      <c r="F78" s="64"/>
      <c r="G78" s="65"/>
      <c r="H78" s="65"/>
      <c r="I78" s="65"/>
      <c r="J78" s="65"/>
      <c r="K78" s="65"/>
      <c r="L78" s="65"/>
      <c r="M78" s="65"/>
      <c r="N78" s="65"/>
      <c r="O78" s="65"/>
      <c r="P78" s="65"/>
      <c r="Q78" s="65"/>
      <c r="R78" s="65"/>
      <c r="S78" s="65"/>
      <c r="T78" s="65"/>
      <c r="U78" s="65"/>
      <c r="V78" s="65"/>
      <c r="W78" s="65"/>
      <c r="X78" s="65"/>
      <c r="Y78" s="65"/>
      <c r="Z78" s="65"/>
      <c r="AA78" s="65"/>
      <c r="AB78" s="65"/>
      <c r="AC78" s="65"/>
      <c r="AD78" s="65"/>
      <c r="AE78" s="65"/>
      <c r="AF78" s="65"/>
      <c r="AG78" s="65"/>
      <c r="AH78" s="65"/>
      <c r="AI78" s="65"/>
      <c r="AJ78" s="65"/>
      <c r="AK78" s="65"/>
      <c r="AL78" s="65"/>
      <c r="AM78" s="65"/>
      <c r="AN78" s="65"/>
      <c r="AO78" s="65"/>
      <c r="AP78" s="65"/>
      <c r="AQ78" s="65"/>
      <c r="AR78" s="65"/>
      <c r="AS78" s="65"/>
      <c r="AT78" s="65"/>
      <c r="AU78" s="65"/>
      <c r="AV78" s="65"/>
      <c r="AW78" s="65"/>
      <c r="AX78" s="65"/>
      <c r="AY78" s="65"/>
      <c r="AZ78" s="65"/>
      <c r="BA78" s="65"/>
      <c r="BB78" s="65"/>
      <c r="BC78" s="65"/>
      <c r="BD78" s="65"/>
      <c r="BE78" s="65"/>
      <c r="BF78" s="65"/>
      <c r="BG78" s="65"/>
      <c r="BH78" s="65"/>
      <c r="BI78" s="65"/>
      <c r="BJ78" s="65"/>
      <c r="BK78" s="65"/>
      <c r="BL78" s="65"/>
      <c r="BM78" s="65"/>
      <c r="BN78" s="65"/>
      <c r="BO78" s="65"/>
      <c r="BP78" s="65"/>
      <c r="BQ78" s="65"/>
      <c r="BR78" s="65"/>
      <c r="BS78" s="65"/>
      <c r="BT78" s="65"/>
      <c r="BU78" s="65"/>
      <c r="BV78" s="65"/>
      <c r="BW78" s="65"/>
      <c r="BX78" s="65"/>
      <c r="BY78" s="65"/>
      <c r="BZ78" s="66"/>
    </row>
    <row r="79" spans="1:78" x14ac:dyDescent="0.2">
      <c r="A79" s="67"/>
      <c r="B79" s="55"/>
      <c r="C79" s="103"/>
      <c r="D79" s="103"/>
      <c r="E79" s="82"/>
      <c r="F79" s="64"/>
      <c r="G79" s="65"/>
      <c r="H79" s="65"/>
      <c r="I79" s="65"/>
      <c r="J79" s="65"/>
      <c r="K79" s="65"/>
      <c r="L79" s="65"/>
      <c r="M79" s="65"/>
      <c r="N79" s="65"/>
      <c r="O79" s="65"/>
      <c r="P79" s="65"/>
      <c r="Q79" s="65"/>
      <c r="R79" s="65"/>
      <c r="S79" s="65"/>
      <c r="T79" s="65"/>
      <c r="U79" s="65"/>
      <c r="V79" s="65"/>
      <c r="W79" s="65"/>
      <c r="X79" s="65"/>
      <c r="Y79" s="65"/>
      <c r="Z79" s="65"/>
      <c r="AA79" s="65"/>
      <c r="AB79" s="65"/>
      <c r="AC79" s="65"/>
      <c r="AD79" s="65"/>
      <c r="AE79" s="65"/>
      <c r="AF79" s="65"/>
      <c r="AG79" s="65"/>
      <c r="AH79" s="65"/>
      <c r="AI79" s="65"/>
      <c r="AJ79" s="65"/>
      <c r="AK79" s="65"/>
      <c r="AL79" s="65"/>
      <c r="AM79" s="65"/>
      <c r="AN79" s="65"/>
      <c r="AO79" s="65"/>
      <c r="AP79" s="65"/>
      <c r="AQ79" s="65"/>
      <c r="AR79" s="65"/>
      <c r="AS79" s="65"/>
      <c r="AT79" s="65"/>
      <c r="AU79" s="65"/>
      <c r="AV79" s="65"/>
      <c r="AW79" s="65"/>
      <c r="AX79" s="65"/>
      <c r="AY79" s="65"/>
      <c r="AZ79" s="65"/>
      <c r="BA79" s="65"/>
      <c r="BB79" s="65"/>
      <c r="BC79" s="65"/>
      <c r="BD79" s="65"/>
      <c r="BE79" s="65"/>
      <c r="BF79" s="65"/>
      <c r="BG79" s="65"/>
      <c r="BH79" s="65"/>
      <c r="BI79" s="65"/>
      <c r="BJ79" s="65"/>
      <c r="BK79" s="65"/>
      <c r="BL79" s="65"/>
      <c r="BM79" s="65"/>
      <c r="BN79" s="65"/>
      <c r="BO79" s="65"/>
      <c r="BP79" s="65"/>
      <c r="BQ79" s="65"/>
      <c r="BR79" s="65"/>
      <c r="BS79" s="65"/>
      <c r="BT79" s="65"/>
      <c r="BU79" s="65"/>
      <c r="BV79" s="65"/>
      <c r="BW79" s="65"/>
      <c r="BX79" s="65"/>
      <c r="BY79" s="65"/>
      <c r="BZ79" s="66"/>
    </row>
    <row r="80" spans="1:78" x14ac:dyDescent="0.2">
      <c r="A80" s="67"/>
      <c r="B80" s="55"/>
      <c r="C80" s="103"/>
      <c r="D80" s="103"/>
      <c r="E80" s="82"/>
      <c r="F80" s="64"/>
      <c r="G80" s="65"/>
      <c r="H80" s="65"/>
      <c r="I80" s="65"/>
      <c r="J80" s="65"/>
      <c r="K80" s="65"/>
      <c r="L80" s="65"/>
      <c r="M80" s="65"/>
      <c r="N80" s="65"/>
      <c r="O80" s="65"/>
      <c r="P80" s="65"/>
      <c r="Q80" s="65"/>
      <c r="R80" s="65"/>
      <c r="S80" s="65"/>
      <c r="T80" s="65"/>
      <c r="U80" s="65"/>
      <c r="V80" s="65"/>
      <c r="W80" s="65"/>
      <c r="X80" s="65"/>
      <c r="Y80" s="65"/>
      <c r="Z80" s="65"/>
      <c r="AA80" s="65"/>
      <c r="AB80" s="65"/>
      <c r="AC80" s="65"/>
      <c r="AD80" s="65"/>
      <c r="AE80" s="65"/>
      <c r="AF80" s="65"/>
      <c r="AG80" s="65"/>
      <c r="AH80" s="65"/>
      <c r="AI80" s="65"/>
      <c r="AJ80" s="65"/>
      <c r="AK80" s="65"/>
      <c r="AL80" s="65"/>
      <c r="AM80" s="65"/>
      <c r="AN80" s="65"/>
      <c r="AO80" s="65"/>
      <c r="AP80" s="65"/>
      <c r="AQ80" s="65"/>
      <c r="AR80" s="65"/>
      <c r="AS80" s="65"/>
      <c r="AT80" s="65"/>
      <c r="AU80" s="65"/>
      <c r="AV80" s="65"/>
      <c r="AW80" s="65"/>
      <c r="AX80" s="65"/>
      <c r="AY80" s="65"/>
      <c r="AZ80" s="65"/>
      <c r="BA80" s="65"/>
      <c r="BB80" s="65"/>
      <c r="BC80" s="65"/>
      <c r="BD80" s="65"/>
      <c r="BE80" s="65"/>
      <c r="BF80" s="65"/>
      <c r="BG80" s="65"/>
      <c r="BH80" s="65"/>
      <c r="BI80" s="65"/>
      <c r="BJ80" s="65"/>
      <c r="BK80" s="65"/>
      <c r="BL80" s="65"/>
      <c r="BM80" s="65"/>
      <c r="BN80" s="65"/>
      <c r="BO80" s="65"/>
      <c r="BP80" s="65"/>
      <c r="BQ80" s="65"/>
      <c r="BR80" s="65"/>
      <c r="BS80" s="65"/>
      <c r="BT80" s="65"/>
      <c r="BU80" s="65"/>
      <c r="BV80" s="65"/>
      <c r="BW80" s="65"/>
      <c r="BX80" s="65"/>
      <c r="BY80" s="65"/>
      <c r="BZ80" s="66"/>
    </row>
    <row r="81" spans="1:78" x14ac:dyDescent="0.2">
      <c r="A81" s="67"/>
      <c r="B81" s="55"/>
      <c r="C81" s="103"/>
      <c r="D81" s="103"/>
      <c r="E81" s="82"/>
      <c r="F81" s="64"/>
      <c r="G81" s="65"/>
      <c r="H81" s="65"/>
      <c r="I81" s="65"/>
      <c r="J81" s="65"/>
      <c r="K81" s="65"/>
      <c r="L81" s="65"/>
      <c r="M81" s="65"/>
      <c r="N81" s="65"/>
      <c r="O81" s="65"/>
      <c r="P81" s="65"/>
      <c r="Q81" s="65"/>
      <c r="R81" s="65"/>
      <c r="S81" s="65"/>
      <c r="T81" s="65"/>
      <c r="U81" s="65"/>
      <c r="V81" s="65"/>
      <c r="W81" s="65"/>
      <c r="X81" s="65"/>
      <c r="Y81" s="65"/>
      <c r="Z81" s="65"/>
      <c r="AA81" s="65"/>
      <c r="AB81" s="65"/>
      <c r="AC81" s="65"/>
      <c r="AD81" s="65"/>
      <c r="AE81" s="65"/>
      <c r="AF81" s="65"/>
      <c r="AG81" s="65"/>
      <c r="AH81" s="65"/>
      <c r="AI81" s="65"/>
      <c r="AJ81" s="65"/>
      <c r="AK81" s="65"/>
      <c r="AL81" s="65"/>
      <c r="AM81" s="65"/>
      <c r="AN81" s="65"/>
      <c r="AO81" s="65"/>
      <c r="AP81" s="65"/>
      <c r="AQ81" s="65"/>
      <c r="AR81" s="65"/>
      <c r="AS81" s="65"/>
      <c r="AT81" s="65"/>
      <c r="AU81" s="65"/>
      <c r="AV81" s="65"/>
      <c r="AW81" s="65"/>
      <c r="AX81" s="65"/>
      <c r="AY81" s="65"/>
      <c r="AZ81" s="65"/>
      <c r="BA81" s="65"/>
      <c r="BB81" s="65"/>
      <c r="BC81" s="65"/>
      <c r="BD81" s="65"/>
      <c r="BE81" s="65"/>
      <c r="BF81" s="65"/>
      <c r="BG81" s="65"/>
      <c r="BH81" s="65"/>
      <c r="BI81" s="65"/>
      <c r="BJ81" s="65"/>
      <c r="BK81" s="65"/>
      <c r="BL81" s="65"/>
      <c r="BM81" s="65"/>
      <c r="BN81" s="65"/>
      <c r="BO81" s="65"/>
      <c r="BP81" s="65"/>
      <c r="BQ81" s="65"/>
      <c r="BR81" s="65"/>
      <c r="BS81" s="65"/>
      <c r="BT81" s="65"/>
      <c r="BU81" s="65"/>
      <c r="BV81" s="65"/>
      <c r="BW81" s="65"/>
      <c r="BX81" s="65"/>
      <c r="BY81" s="65"/>
      <c r="BZ81" s="66"/>
    </row>
    <row r="82" spans="1:78" x14ac:dyDescent="0.2">
      <c r="A82" s="63"/>
      <c r="B82" s="55"/>
      <c r="C82" s="103"/>
      <c r="D82" s="103"/>
      <c r="E82" s="82"/>
      <c r="F82" s="64"/>
      <c r="G82" s="65"/>
      <c r="H82" s="65"/>
      <c r="I82" s="65"/>
      <c r="J82" s="65"/>
      <c r="K82" s="65"/>
      <c r="L82" s="65"/>
      <c r="M82" s="65"/>
      <c r="N82" s="65"/>
      <c r="O82" s="65"/>
      <c r="P82" s="65"/>
      <c r="Q82" s="65"/>
      <c r="R82" s="65"/>
      <c r="S82" s="65"/>
      <c r="T82" s="65"/>
      <c r="U82" s="65"/>
      <c r="V82" s="65"/>
      <c r="W82" s="65"/>
      <c r="X82" s="65"/>
      <c r="Y82" s="65"/>
      <c r="Z82" s="65"/>
      <c r="AA82" s="65"/>
      <c r="AB82" s="65"/>
      <c r="AC82" s="65"/>
      <c r="AD82" s="65"/>
      <c r="AE82" s="65"/>
      <c r="AF82" s="65"/>
      <c r="AG82" s="65"/>
      <c r="AH82" s="65"/>
      <c r="AI82" s="65"/>
      <c r="AJ82" s="65"/>
      <c r="AK82" s="65"/>
      <c r="AL82" s="65"/>
      <c r="AM82" s="65"/>
      <c r="AN82" s="65"/>
      <c r="AO82" s="65"/>
      <c r="AP82" s="65"/>
      <c r="AQ82" s="65"/>
      <c r="AR82" s="65"/>
      <c r="AS82" s="65"/>
      <c r="AT82" s="65"/>
      <c r="AU82" s="65"/>
      <c r="AV82" s="65"/>
      <c r="AW82" s="65"/>
      <c r="AX82" s="65"/>
      <c r="AY82" s="65"/>
      <c r="AZ82" s="65"/>
      <c r="BA82" s="65"/>
      <c r="BB82" s="65"/>
      <c r="BC82" s="65"/>
      <c r="BD82" s="65"/>
      <c r="BE82" s="65"/>
      <c r="BF82" s="65"/>
      <c r="BG82" s="65"/>
      <c r="BH82" s="65"/>
      <c r="BI82" s="65"/>
      <c r="BJ82" s="65"/>
      <c r="BK82" s="65"/>
      <c r="BL82" s="65"/>
      <c r="BM82" s="65"/>
      <c r="BN82" s="65"/>
      <c r="BO82" s="65"/>
      <c r="BP82" s="65"/>
      <c r="BQ82" s="65"/>
      <c r="BR82" s="65"/>
      <c r="BS82" s="65"/>
      <c r="BT82" s="65"/>
      <c r="BU82" s="65"/>
      <c r="BV82" s="65"/>
      <c r="BW82" s="65"/>
      <c r="BX82" s="65"/>
      <c r="BY82" s="65"/>
      <c r="BZ82" s="66"/>
    </row>
    <row r="83" spans="1:78" x14ac:dyDescent="0.2">
      <c r="A83" s="63"/>
      <c r="B83" s="55"/>
      <c r="C83" s="103"/>
      <c r="D83" s="103"/>
      <c r="E83" s="82"/>
      <c r="F83" s="64"/>
      <c r="G83" s="65"/>
      <c r="H83" s="65"/>
      <c r="I83" s="65"/>
      <c r="J83" s="65"/>
      <c r="K83" s="65"/>
      <c r="L83" s="65"/>
      <c r="M83" s="65"/>
      <c r="N83" s="65"/>
      <c r="O83" s="65"/>
      <c r="P83" s="65"/>
      <c r="Q83" s="65"/>
      <c r="R83" s="65"/>
      <c r="S83" s="65"/>
      <c r="T83" s="65"/>
      <c r="U83" s="65"/>
      <c r="V83" s="65"/>
      <c r="W83" s="65"/>
      <c r="X83" s="65"/>
      <c r="Y83" s="65"/>
      <c r="Z83" s="65"/>
      <c r="AA83" s="65"/>
      <c r="AB83" s="65"/>
      <c r="AC83" s="65"/>
      <c r="AD83" s="65"/>
      <c r="AE83" s="65"/>
      <c r="AF83" s="65"/>
      <c r="AG83" s="65"/>
      <c r="AH83" s="65"/>
      <c r="AI83" s="65"/>
      <c r="AJ83" s="65"/>
      <c r="AK83" s="65"/>
      <c r="AL83" s="65"/>
      <c r="AM83" s="65"/>
      <c r="AN83" s="65"/>
      <c r="AO83" s="65"/>
      <c r="AP83" s="65"/>
      <c r="AQ83" s="65"/>
      <c r="AR83" s="65"/>
      <c r="AS83" s="65"/>
      <c r="AT83" s="65"/>
      <c r="AU83" s="65"/>
      <c r="AV83" s="65"/>
      <c r="AW83" s="65"/>
      <c r="AX83" s="65"/>
      <c r="AY83" s="65"/>
      <c r="AZ83" s="65"/>
      <c r="BA83" s="65"/>
      <c r="BB83" s="65"/>
      <c r="BC83" s="65"/>
      <c r="BD83" s="65"/>
      <c r="BE83" s="65"/>
      <c r="BF83" s="65"/>
      <c r="BG83" s="65"/>
      <c r="BH83" s="65"/>
      <c r="BI83" s="65"/>
      <c r="BJ83" s="65"/>
      <c r="BK83" s="65"/>
      <c r="BL83" s="65"/>
      <c r="BM83" s="65"/>
      <c r="BN83" s="65"/>
      <c r="BO83" s="65"/>
      <c r="BP83" s="65"/>
      <c r="BQ83" s="65"/>
      <c r="BR83" s="65"/>
      <c r="BS83" s="65"/>
      <c r="BT83" s="65"/>
      <c r="BU83" s="65"/>
      <c r="BV83" s="65"/>
      <c r="BW83" s="65"/>
      <c r="BX83" s="65"/>
      <c r="BY83" s="65"/>
      <c r="BZ83" s="66"/>
    </row>
    <row r="84" spans="1:78" x14ac:dyDescent="0.2">
      <c r="A84" s="63"/>
      <c r="B84" s="55"/>
      <c r="C84" s="103"/>
      <c r="D84" s="103"/>
      <c r="E84" s="86"/>
      <c r="F84" s="64"/>
      <c r="G84" s="65"/>
      <c r="H84" s="65"/>
      <c r="I84" s="65"/>
      <c r="J84" s="65"/>
      <c r="K84" s="65"/>
      <c r="L84" s="65"/>
      <c r="M84" s="65"/>
      <c r="N84" s="65"/>
      <c r="O84" s="65"/>
      <c r="P84" s="65"/>
      <c r="Q84" s="65"/>
      <c r="R84" s="65"/>
      <c r="S84" s="65"/>
      <c r="T84" s="65"/>
      <c r="U84" s="65"/>
      <c r="V84" s="65"/>
      <c r="W84" s="65"/>
      <c r="X84" s="65"/>
      <c r="Y84" s="65"/>
      <c r="Z84" s="65"/>
      <c r="AA84" s="65"/>
      <c r="AB84" s="65"/>
      <c r="AC84" s="65"/>
      <c r="AD84" s="65"/>
      <c r="AE84" s="65"/>
      <c r="AF84" s="65"/>
      <c r="AG84" s="65"/>
      <c r="AH84" s="65"/>
      <c r="AI84" s="65"/>
      <c r="AJ84" s="65"/>
      <c r="AK84" s="65"/>
      <c r="AL84" s="65"/>
      <c r="AM84" s="65"/>
      <c r="AN84" s="65"/>
      <c r="AO84" s="65"/>
      <c r="AP84" s="65"/>
      <c r="AQ84" s="65"/>
      <c r="AR84" s="65"/>
      <c r="AS84" s="65"/>
      <c r="AT84" s="65"/>
      <c r="AU84" s="65"/>
      <c r="AV84" s="65"/>
      <c r="AW84" s="65"/>
      <c r="AX84" s="65"/>
      <c r="AY84" s="65"/>
      <c r="AZ84" s="65"/>
      <c r="BA84" s="65"/>
      <c r="BB84" s="65"/>
      <c r="BC84" s="65"/>
      <c r="BD84" s="65"/>
      <c r="BE84" s="65"/>
      <c r="BF84" s="65"/>
      <c r="BG84" s="65"/>
      <c r="BH84" s="65"/>
      <c r="BI84" s="65"/>
      <c r="BJ84" s="65"/>
      <c r="BK84" s="65"/>
      <c r="BL84" s="65"/>
      <c r="BM84" s="65"/>
      <c r="BN84" s="65"/>
      <c r="BO84" s="65"/>
      <c r="BP84" s="65"/>
      <c r="BQ84" s="65"/>
      <c r="BR84" s="65"/>
      <c r="BS84" s="65"/>
      <c r="BT84" s="65"/>
      <c r="BU84" s="65"/>
      <c r="BV84" s="65"/>
      <c r="BW84" s="65"/>
      <c r="BX84" s="65"/>
      <c r="BY84" s="65"/>
      <c r="BZ84" s="66"/>
    </row>
    <row r="85" spans="1:78" x14ac:dyDescent="0.2">
      <c r="A85" s="63"/>
      <c r="B85" s="55"/>
      <c r="C85" s="103"/>
      <c r="D85" s="103"/>
      <c r="E85" s="82"/>
      <c r="F85" s="94"/>
      <c r="G85" s="95"/>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c r="AK85" s="95"/>
      <c r="AL85" s="95"/>
      <c r="AM85" s="95"/>
      <c r="AN85" s="95"/>
      <c r="AO85" s="95"/>
      <c r="AP85" s="95"/>
      <c r="AQ85" s="95"/>
      <c r="AR85" s="95"/>
      <c r="AS85" s="95"/>
      <c r="AT85" s="95"/>
      <c r="AU85" s="95"/>
      <c r="AV85" s="95"/>
      <c r="AW85" s="95"/>
      <c r="AX85" s="95"/>
      <c r="AY85" s="95"/>
      <c r="AZ85" s="95"/>
      <c r="BA85" s="95"/>
      <c r="BB85" s="95"/>
      <c r="BC85" s="95"/>
      <c r="BD85" s="95"/>
      <c r="BE85" s="95"/>
      <c r="BF85" s="95"/>
      <c r="BG85" s="95"/>
      <c r="BH85" s="95"/>
      <c r="BI85" s="95"/>
      <c r="BJ85" s="95"/>
      <c r="BK85" s="95"/>
      <c r="BL85" s="95"/>
      <c r="BM85" s="95"/>
      <c r="BN85" s="95"/>
      <c r="BO85" s="95"/>
      <c r="BP85" s="95"/>
      <c r="BQ85" s="95"/>
      <c r="BR85" s="95"/>
      <c r="BS85" s="95"/>
      <c r="BT85" s="95"/>
      <c r="BU85" s="95"/>
      <c r="BV85" s="95"/>
      <c r="BW85" s="95"/>
      <c r="BX85" s="95"/>
      <c r="BY85" s="95"/>
      <c r="BZ85" s="96"/>
    </row>
    <row r="86" spans="1:78" x14ac:dyDescent="0.2">
      <c r="A86" s="63"/>
      <c r="B86" s="55"/>
      <c r="C86" s="103"/>
      <c r="D86" s="103"/>
      <c r="E86" s="82"/>
      <c r="F86" s="64"/>
      <c r="G86" s="65"/>
      <c r="H86" s="65"/>
      <c r="I86" s="65"/>
      <c r="J86" s="65"/>
      <c r="K86" s="65"/>
      <c r="L86" s="65"/>
      <c r="M86" s="65"/>
      <c r="N86" s="65"/>
      <c r="O86" s="65"/>
      <c r="P86" s="65"/>
      <c r="Q86" s="65"/>
      <c r="R86" s="65"/>
      <c r="S86" s="65"/>
      <c r="T86" s="65"/>
      <c r="U86" s="65"/>
      <c r="V86" s="65"/>
      <c r="W86" s="65"/>
      <c r="X86" s="65"/>
      <c r="Y86" s="65"/>
      <c r="Z86" s="65"/>
      <c r="AA86" s="65"/>
      <c r="AB86" s="65"/>
      <c r="AC86" s="65"/>
      <c r="AD86" s="65"/>
      <c r="AE86" s="65"/>
      <c r="AF86" s="65"/>
      <c r="AG86" s="65"/>
      <c r="AH86" s="65"/>
      <c r="AI86" s="65"/>
      <c r="AJ86" s="65"/>
      <c r="AK86" s="65"/>
      <c r="AL86" s="65"/>
      <c r="AM86" s="65"/>
      <c r="AN86" s="65"/>
      <c r="AO86" s="65"/>
      <c r="AP86" s="65"/>
      <c r="AQ86" s="65"/>
      <c r="AR86" s="65"/>
      <c r="AS86" s="65"/>
      <c r="AT86" s="65"/>
      <c r="AU86" s="65"/>
      <c r="AV86" s="65"/>
      <c r="AW86" s="65"/>
      <c r="AX86" s="65"/>
      <c r="AY86" s="65"/>
      <c r="AZ86" s="65"/>
      <c r="BA86" s="65"/>
      <c r="BB86" s="65"/>
      <c r="BC86" s="65"/>
      <c r="BD86" s="65"/>
      <c r="BE86" s="65"/>
      <c r="BF86" s="65"/>
      <c r="BG86" s="65"/>
      <c r="BH86" s="65"/>
      <c r="BI86" s="65"/>
      <c r="BJ86" s="65"/>
      <c r="BK86" s="65"/>
      <c r="BL86" s="65"/>
      <c r="BM86" s="65"/>
      <c r="BN86" s="65"/>
      <c r="BO86" s="65"/>
      <c r="BP86" s="65"/>
      <c r="BQ86" s="65"/>
      <c r="BR86" s="65"/>
      <c r="BS86" s="65"/>
      <c r="BT86" s="65"/>
      <c r="BU86" s="65"/>
      <c r="BV86" s="65"/>
      <c r="BW86" s="65"/>
      <c r="BX86" s="65"/>
      <c r="BY86" s="65"/>
      <c r="BZ86" s="66"/>
    </row>
    <row r="87" spans="1:78" x14ac:dyDescent="0.2">
      <c r="A87" s="67"/>
      <c r="B87" s="55"/>
      <c r="C87" s="103"/>
      <c r="D87" s="103"/>
      <c r="E87" s="86"/>
      <c r="F87" s="64"/>
      <c r="G87" s="65"/>
      <c r="H87" s="65"/>
      <c r="I87" s="65"/>
      <c r="J87" s="65"/>
      <c r="K87" s="65"/>
      <c r="L87" s="65"/>
      <c r="M87" s="65"/>
      <c r="N87" s="65"/>
      <c r="O87" s="65"/>
      <c r="P87" s="65"/>
      <c r="Q87" s="65"/>
      <c r="R87" s="65"/>
      <c r="S87" s="65"/>
      <c r="T87" s="65"/>
      <c r="U87" s="65"/>
      <c r="V87" s="65"/>
      <c r="W87" s="65"/>
      <c r="X87" s="65"/>
      <c r="Y87" s="65"/>
      <c r="Z87" s="65"/>
      <c r="AA87" s="65"/>
      <c r="AB87" s="65"/>
      <c r="AC87" s="65"/>
      <c r="AD87" s="65"/>
      <c r="AE87" s="65"/>
      <c r="AF87" s="65"/>
      <c r="AG87" s="65"/>
      <c r="AH87" s="65"/>
      <c r="AI87" s="65"/>
      <c r="AJ87" s="65"/>
      <c r="AK87" s="65"/>
      <c r="AL87" s="65"/>
      <c r="AM87" s="65"/>
      <c r="AN87" s="65"/>
      <c r="AO87" s="65"/>
      <c r="AP87" s="65"/>
      <c r="AQ87" s="65"/>
      <c r="AR87" s="65"/>
      <c r="AS87" s="65"/>
      <c r="AT87" s="65"/>
      <c r="AU87" s="65"/>
      <c r="AV87" s="65"/>
      <c r="AW87" s="65"/>
      <c r="AX87" s="65"/>
      <c r="AY87" s="65"/>
      <c r="AZ87" s="65"/>
      <c r="BA87" s="65"/>
      <c r="BB87" s="65"/>
      <c r="BC87" s="65"/>
      <c r="BD87" s="65"/>
      <c r="BE87" s="65"/>
      <c r="BF87" s="65"/>
      <c r="BG87" s="65"/>
      <c r="BH87" s="65"/>
      <c r="BI87" s="65"/>
      <c r="BJ87" s="65"/>
      <c r="BK87" s="65"/>
      <c r="BL87" s="65"/>
      <c r="BM87" s="65"/>
      <c r="BN87" s="65"/>
      <c r="BO87" s="65"/>
      <c r="BP87" s="65"/>
      <c r="BQ87" s="65"/>
      <c r="BR87" s="65"/>
      <c r="BS87" s="65"/>
      <c r="BT87" s="65"/>
      <c r="BU87" s="65"/>
      <c r="BV87" s="65"/>
      <c r="BW87" s="65"/>
      <c r="BX87" s="65"/>
      <c r="BY87" s="65"/>
      <c r="BZ87" s="66"/>
    </row>
    <row r="88" spans="1:78" x14ac:dyDescent="0.2">
      <c r="A88" s="63"/>
      <c r="B88" s="55"/>
      <c r="C88" s="103"/>
      <c r="D88" s="103"/>
      <c r="E88" s="82"/>
      <c r="F88" s="64"/>
      <c r="G88" s="65"/>
      <c r="H88" s="65"/>
      <c r="I88" s="65"/>
      <c r="J88" s="65"/>
      <c r="K88" s="65"/>
      <c r="L88" s="65"/>
      <c r="M88" s="65"/>
      <c r="N88" s="65"/>
      <c r="O88" s="65"/>
      <c r="P88" s="65"/>
      <c r="Q88" s="65"/>
      <c r="R88" s="65"/>
      <c r="S88" s="65"/>
      <c r="T88" s="65"/>
      <c r="U88" s="65"/>
      <c r="V88" s="65"/>
      <c r="W88" s="65"/>
      <c r="X88" s="65"/>
      <c r="Y88" s="65"/>
      <c r="Z88" s="65"/>
      <c r="AA88" s="65"/>
      <c r="AB88" s="65"/>
      <c r="AC88" s="65"/>
      <c r="AD88" s="65"/>
      <c r="AE88" s="65"/>
      <c r="AF88" s="65"/>
      <c r="AG88" s="65"/>
      <c r="AH88" s="65"/>
      <c r="AI88" s="65"/>
      <c r="AJ88" s="65"/>
      <c r="AK88" s="65"/>
      <c r="AL88" s="65"/>
      <c r="AM88" s="65"/>
      <c r="AN88" s="65"/>
      <c r="AO88" s="65"/>
      <c r="AP88" s="65"/>
      <c r="AQ88" s="65"/>
      <c r="AR88" s="65"/>
      <c r="AS88" s="65"/>
      <c r="AT88" s="65"/>
      <c r="AU88" s="65"/>
      <c r="AV88" s="65"/>
      <c r="AW88" s="65"/>
      <c r="AX88" s="65"/>
      <c r="AY88" s="65"/>
      <c r="AZ88" s="65"/>
      <c r="BA88" s="65"/>
      <c r="BB88" s="65"/>
      <c r="BC88" s="65"/>
      <c r="BD88" s="65"/>
      <c r="BE88" s="65"/>
      <c r="BF88" s="65"/>
      <c r="BG88" s="65"/>
      <c r="BH88" s="65"/>
      <c r="BI88" s="65"/>
      <c r="BJ88" s="65"/>
      <c r="BK88" s="65"/>
      <c r="BL88" s="65"/>
      <c r="BM88" s="65"/>
      <c r="BN88" s="65"/>
      <c r="BO88" s="65"/>
      <c r="BP88" s="65"/>
      <c r="BQ88" s="65"/>
      <c r="BR88" s="65"/>
      <c r="BS88" s="65"/>
      <c r="BT88" s="65"/>
      <c r="BU88" s="65"/>
      <c r="BV88" s="65"/>
      <c r="BW88" s="65"/>
      <c r="BX88" s="65"/>
      <c r="BY88" s="65"/>
      <c r="BZ88" s="66"/>
    </row>
    <row r="89" spans="1:78" x14ac:dyDescent="0.2">
      <c r="A89" s="67"/>
      <c r="B89" s="55"/>
      <c r="C89" s="103"/>
      <c r="D89" s="103"/>
      <c r="E89" s="82"/>
      <c r="F89" s="64"/>
      <c r="G89" s="65"/>
      <c r="H89" s="65"/>
      <c r="I89" s="65"/>
      <c r="J89" s="65"/>
      <c r="K89" s="65"/>
      <c r="L89" s="65"/>
      <c r="M89" s="65"/>
      <c r="N89" s="65"/>
      <c r="O89" s="65"/>
      <c r="P89" s="65"/>
      <c r="Q89" s="65"/>
      <c r="R89" s="65"/>
      <c r="S89" s="65"/>
      <c r="T89" s="65"/>
      <c r="U89" s="65"/>
      <c r="V89" s="65"/>
      <c r="W89" s="65"/>
      <c r="X89" s="65"/>
      <c r="Y89" s="65"/>
      <c r="Z89" s="65"/>
      <c r="AA89" s="65"/>
      <c r="AB89" s="65"/>
      <c r="AC89" s="65"/>
      <c r="AD89" s="65"/>
      <c r="AE89" s="65"/>
      <c r="AF89" s="65"/>
      <c r="AG89" s="65"/>
      <c r="AH89" s="65"/>
      <c r="AI89" s="65"/>
      <c r="AJ89" s="65"/>
      <c r="AK89" s="65"/>
      <c r="AL89" s="65"/>
      <c r="AM89" s="65"/>
      <c r="AN89" s="65"/>
      <c r="AO89" s="65"/>
      <c r="AP89" s="65"/>
      <c r="AQ89" s="65"/>
      <c r="AR89" s="65"/>
      <c r="AS89" s="65"/>
      <c r="AT89" s="65"/>
      <c r="AU89" s="65"/>
      <c r="AV89" s="65"/>
      <c r="AW89" s="65"/>
      <c r="AX89" s="65"/>
      <c r="AY89" s="65"/>
      <c r="AZ89" s="65"/>
      <c r="BA89" s="65"/>
      <c r="BB89" s="65"/>
      <c r="BC89" s="65"/>
      <c r="BD89" s="65"/>
      <c r="BE89" s="65"/>
      <c r="BF89" s="65"/>
      <c r="BG89" s="65"/>
      <c r="BH89" s="65"/>
      <c r="BI89" s="65"/>
      <c r="BJ89" s="65"/>
      <c r="BK89" s="65"/>
      <c r="BL89" s="65"/>
      <c r="BM89" s="65"/>
      <c r="BN89" s="65"/>
      <c r="BO89" s="65"/>
      <c r="BP89" s="65"/>
      <c r="BQ89" s="65"/>
      <c r="BR89" s="65"/>
      <c r="BS89" s="65"/>
      <c r="BT89" s="65"/>
      <c r="BU89" s="65"/>
      <c r="BV89" s="65"/>
      <c r="BW89" s="65"/>
      <c r="BX89" s="65"/>
      <c r="BY89" s="65"/>
      <c r="BZ89" s="66"/>
    </row>
    <row r="90" spans="1:78" x14ac:dyDescent="0.2">
      <c r="A90" s="77"/>
      <c r="B90" s="55"/>
      <c r="C90" s="103"/>
      <c r="D90" s="103"/>
      <c r="E90" s="82"/>
      <c r="F90" s="64"/>
      <c r="G90" s="65"/>
      <c r="H90" s="65"/>
      <c r="I90" s="65"/>
      <c r="J90" s="65"/>
      <c r="K90" s="65"/>
      <c r="L90" s="65"/>
      <c r="M90" s="65"/>
      <c r="N90" s="65"/>
      <c r="O90" s="65"/>
      <c r="P90" s="65"/>
      <c r="Q90" s="65"/>
      <c r="R90" s="65"/>
      <c r="S90" s="65"/>
      <c r="T90" s="65"/>
      <c r="U90" s="65"/>
      <c r="V90" s="65"/>
      <c r="W90" s="65"/>
      <c r="X90" s="65"/>
      <c r="Y90" s="65"/>
      <c r="Z90" s="65"/>
      <c r="AA90" s="65"/>
      <c r="AB90" s="65"/>
      <c r="AC90" s="65"/>
      <c r="AD90" s="65"/>
      <c r="AE90" s="65"/>
      <c r="AF90" s="65"/>
      <c r="AG90" s="65"/>
      <c r="AH90" s="65"/>
      <c r="AI90" s="65"/>
      <c r="AJ90" s="65"/>
      <c r="AK90" s="65"/>
      <c r="AL90" s="65"/>
      <c r="AM90" s="65"/>
      <c r="AN90" s="65"/>
      <c r="AO90" s="65"/>
      <c r="AP90" s="65"/>
      <c r="AQ90" s="65"/>
      <c r="AR90" s="65"/>
      <c r="AS90" s="65"/>
      <c r="AT90" s="65"/>
      <c r="AU90" s="65"/>
      <c r="AV90" s="65"/>
      <c r="AW90" s="65"/>
      <c r="AX90" s="65"/>
      <c r="AY90" s="65"/>
      <c r="AZ90" s="65"/>
      <c r="BA90" s="65"/>
      <c r="BB90" s="65"/>
      <c r="BC90" s="65"/>
      <c r="BD90" s="65"/>
      <c r="BE90" s="65"/>
      <c r="BF90" s="65"/>
      <c r="BG90" s="65"/>
      <c r="BH90" s="65"/>
      <c r="BI90" s="65"/>
      <c r="BJ90" s="65"/>
      <c r="BK90" s="65"/>
      <c r="BL90" s="65"/>
      <c r="BM90" s="65"/>
      <c r="BN90" s="65"/>
      <c r="BO90" s="65"/>
      <c r="BP90" s="65"/>
      <c r="BQ90" s="65"/>
      <c r="BR90" s="65"/>
      <c r="BS90" s="65"/>
      <c r="BT90" s="65"/>
      <c r="BU90" s="65"/>
      <c r="BV90" s="65"/>
      <c r="BW90" s="65"/>
      <c r="BX90" s="65"/>
      <c r="BY90" s="65"/>
      <c r="BZ90" s="66"/>
    </row>
    <row r="91" spans="1:78" x14ac:dyDescent="0.2">
      <c r="A91" s="54"/>
      <c r="B91" s="55"/>
      <c r="C91" s="103"/>
      <c r="D91" s="103"/>
      <c r="E91" s="82"/>
      <c r="F91" s="64"/>
      <c r="G91" s="65"/>
      <c r="H91" s="65"/>
      <c r="I91" s="65"/>
      <c r="J91" s="65"/>
      <c r="K91" s="65"/>
      <c r="L91" s="65"/>
      <c r="M91" s="65"/>
      <c r="N91" s="65"/>
      <c r="O91" s="65"/>
      <c r="P91" s="65"/>
      <c r="Q91" s="65"/>
      <c r="R91" s="65"/>
      <c r="S91" s="65"/>
      <c r="T91" s="65"/>
      <c r="U91" s="65"/>
      <c r="V91" s="65"/>
      <c r="W91" s="65"/>
      <c r="X91" s="65"/>
      <c r="Y91" s="65"/>
      <c r="Z91" s="65"/>
      <c r="AA91" s="65"/>
      <c r="AB91" s="65"/>
      <c r="AC91" s="65"/>
      <c r="AD91" s="65"/>
      <c r="AE91" s="65"/>
      <c r="AF91" s="65"/>
      <c r="AG91" s="65"/>
      <c r="AH91" s="65"/>
      <c r="AI91" s="65"/>
      <c r="AJ91" s="65"/>
      <c r="AK91" s="65"/>
      <c r="AL91" s="65"/>
      <c r="AM91" s="65"/>
      <c r="AN91" s="65"/>
      <c r="AO91" s="65"/>
      <c r="AP91" s="65"/>
      <c r="AQ91" s="65"/>
      <c r="AR91" s="65"/>
      <c r="AS91" s="65"/>
      <c r="AT91" s="65"/>
      <c r="AU91" s="65"/>
      <c r="AV91" s="65"/>
      <c r="AW91" s="65"/>
      <c r="AX91" s="65"/>
      <c r="AY91" s="65"/>
      <c r="AZ91" s="65"/>
      <c r="BA91" s="65"/>
      <c r="BB91" s="65"/>
      <c r="BC91" s="65"/>
      <c r="BD91" s="65"/>
      <c r="BE91" s="65"/>
      <c r="BF91" s="65"/>
      <c r="BG91" s="65"/>
      <c r="BH91" s="65"/>
      <c r="BI91" s="65"/>
      <c r="BJ91" s="65"/>
      <c r="BK91" s="65"/>
      <c r="BL91" s="65"/>
      <c r="BM91" s="65"/>
      <c r="BN91" s="65"/>
      <c r="BO91" s="65"/>
      <c r="BP91" s="65"/>
      <c r="BQ91" s="65"/>
      <c r="BR91" s="65"/>
      <c r="BS91" s="65"/>
      <c r="BT91" s="65"/>
      <c r="BU91" s="65"/>
      <c r="BV91" s="65"/>
      <c r="BW91" s="65"/>
      <c r="BX91" s="65"/>
      <c r="BY91" s="65"/>
      <c r="BZ91" s="66"/>
    </row>
    <row r="92" spans="1:78" x14ac:dyDescent="0.2">
      <c r="A92" s="63"/>
      <c r="B92" s="55"/>
      <c r="C92" s="103"/>
      <c r="D92" s="103"/>
      <c r="E92" s="82"/>
      <c r="F92" s="64"/>
      <c r="G92" s="65"/>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c r="AL92" s="65"/>
      <c r="AM92" s="65"/>
      <c r="AN92" s="65"/>
      <c r="AO92" s="65"/>
      <c r="AP92" s="65"/>
      <c r="AQ92" s="65"/>
      <c r="AR92" s="65"/>
      <c r="AS92" s="65"/>
      <c r="AT92" s="65"/>
      <c r="AU92" s="65"/>
      <c r="AV92" s="65"/>
      <c r="AW92" s="65"/>
      <c r="AX92" s="65"/>
      <c r="AY92" s="65"/>
      <c r="AZ92" s="65"/>
      <c r="BA92" s="65"/>
      <c r="BB92" s="65"/>
      <c r="BC92" s="65"/>
      <c r="BD92" s="65"/>
      <c r="BE92" s="65"/>
      <c r="BF92" s="65"/>
      <c r="BG92" s="65"/>
      <c r="BH92" s="65"/>
      <c r="BI92" s="65"/>
      <c r="BJ92" s="65"/>
      <c r="BK92" s="65"/>
      <c r="BL92" s="65"/>
      <c r="BM92" s="65"/>
      <c r="BN92" s="65"/>
      <c r="BO92" s="65"/>
      <c r="BP92" s="65"/>
      <c r="BQ92" s="65"/>
      <c r="BR92" s="65"/>
      <c r="BS92" s="65"/>
      <c r="BT92" s="65"/>
      <c r="BU92" s="65"/>
      <c r="BV92" s="65"/>
      <c r="BW92" s="65"/>
      <c r="BX92" s="65"/>
      <c r="BY92" s="65"/>
      <c r="BZ92" s="66"/>
    </row>
    <row r="93" spans="1:78" x14ac:dyDescent="0.2">
      <c r="A93" s="63"/>
      <c r="B93" s="55"/>
      <c r="C93" s="103"/>
      <c r="D93" s="103"/>
      <c r="E93" s="82"/>
      <c r="F93" s="64"/>
      <c r="G93" s="65"/>
      <c r="H93" s="65"/>
      <c r="I93" s="65"/>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65"/>
      <c r="AI93" s="65"/>
      <c r="AJ93" s="65"/>
      <c r="AK93" s="65"/>
      <c r="AL93" s="65"/>
      <c r="AM93" s="65"/>
      <c r="AN93" s="65"/>
      <c r="AO93" s="65"/>
      <c r="AP93" s="65"/>
      <c r="AQ93" s="65"/>
      <c r="AR93" s="65"/>
      <c r="AS93" s="65"/>
      <c r="AT93" s="65"/>
      <c r="AU93" s="65"/>
      <c r="AV93" s="65"/>
      <c r="AW93" s="65"/>
      <c r="AX93" s="65"/>
      <c r="AY93" s="65"/>
      <c r="AZ93" s="65"/>
      <c r="BA93" s="65"/>
      <c r="BB93" s="65"/>
      <c r="BC93" s="65"/>
      <c r="BD93" s="65"/>
      <c r="BE93" s="65"/>
      <c r="BF93" s="65"/>
      <c r="BG93" s="65"/>
      <c r="BH93" s="65"/>
      <c r="BI93" s="65"/>
      <c r="BJ93" s="65"/>
      <c r="BK93" s="65"/>
      <c r="BL93" s="65"/>
      <c r="BM93" s="65"/>
      <c r="BN93" s="65"/>
      <c r="BO93" s="65"/>
      <c r="BP93" s="65"/>
      <c r="BQ93" s="65"/>
      <c r="BR93" s="65"/>
      <c r="BS93" s="65"/>
      <c r="BT93" s="65"/>
      <c r="BU93" s="65"/>
      <c r="BV93" s="65"/>
      <c r="BW93" s="65"/>
      <c r="BX93" s="65"/>
      <c r="BY93" s="65"/>
      <c r="BZ93" s="66"/>
    </row>
    <row r="94" spans="1:78" x14ac:dyDescent="0.2">
      <c r="A94" s="63"/>
      <c r="B94" s="55"/>
      <c r="C94" s="103"/>
      <c r="D94" s="103"/>
      <c r="E94" s="82"/>
      <c r="F94" s="64"/>
      <c r="G94" s="65"/>
      <c r="H94" s="65"/>
      <c r="I94" s="65"/>
      <c r="J94" s="65"/>
      <c r="K94" s="65"/>
      <c r="L94" s="65"/>
      <c r="M94" s="65"/>
      <c r="N94" s="65"/>
      <c r="O94" s="65"/>
      <c r="P94" s="65"/>
      <c r="Q94" s="65"/>
      <c r="R94" s="65"/>
      <c r="S94" s="65"/>
      <c r="T94" s="65"/>
      <c r="U94" s="65"/>
      <c r="V94" s="65"/>
      <c r="W94" s="65"/>
      <c r="X94" s="65"/>
      <c r="Y94" s="65"/>
      <c r="Z94" s="65"/>
      <c r="AA94" s="65"/>
      <c r="AB94" s="65"/>
      <c r="AC94" s="65"/>
      <c r="AD94" s="65"/>
      <c r="AE94" s="65"/>
      <c r="AF94" s="65"/>
      <c r="AG94" s="65"/>
      <c r="AH94" s="65"/>
      <c r="AI94" s="65"/>
      <c r="AJ94" s="65"/>
      <c r="AK94" s="65"/>
      <c r="AL94" s="65"/>
      <c r="AM94" s="65"/>
      <c r="AN94" s="65"/>
      <c r="AO94" s="65"/>
      <c r="AP94" s="65"/>
      <c r="AQ94" s="65"/>
      <c r="AR94" s="65"/>
      <c r="AS94" s="65"/>
      <c r="AT94" s="65"/>
      <c r="AU94" s="65"/>
      <c r="AV94" s="65"/>
      <c r="AW94" s="65"/>
      <c r="AX94" s="65"/>
      <c r="AY94" s="65"/>
      <c r="AZ94" s="65"/>
      <c r="BA94" s="65"/>
      <c r="BB94" s="65"/>
      <c r="BC94" s="65"/>
      <c r="BD94" s="65"/>
      <c r="BE94" s="65"/>
      <c r="BF94" s="65"/>
      <c r="BG94" s="65"/>
      <c r="BH94" s="65"/>
      <c r="BI94" s="65"/>
      <c r="BJ94" s="65"/>
      <c r="BK94" s="65"/>
      <c r="BL94" s="65"/>
      <c r="BM94" s="65"/>
      <c r="BN94" s="65"/>
      <c r="BO94" s="65"/>
      <c r="BP94" s="65"/>
      <c r="BQ94" s="65"/>
      <c r="BR94" s="65"/>
      <c r="BS94" s="65"/>
      <c r="BT94" s="65"/>
      <c r="BU94" s="65"/>
      <c r="BV94" s="65"/>
      <c r="BW94" s="65"/>
      <c r="BX94" s="65"/>
      <c r="BY94" s="65"/>
      <c r="BZ94" s="66"/>
    </row>
    <row r="95" spans="1:78" x14ac:dyDescent="0.2">
      <c r="A95" s="63"/>
      <c r="B95" s="55"/>
      <c r="C95" s="103"/>
      <c r="D95" s="103"/>
      <c r="E95" s="82"/>
      <c r="F95" s="64"/>
      <c r="G95" s="65"/>
      <c r="H95" s="65"/>
      <c r="I95" s="65"/>
      <c r="J95" s="65"/>
      <c r="K95" s="65"/>
      <c r="L95" s="65"/>
      <c r="M95" s="65"/>
      <c r="N95" s="65"/>
      <c r="O95" s="65"/>
      <c r="P95" s="65"/>
      <c r="Q95" s="65"/>
      <c r="R95" s="65"/>
      <c r="S95" s="65"/>
      <c r="T95" s="65"/>
      <c r="U95" s="65"/>
      <c r="V95" s="65"/>
      <c r="W95" s="65"/>
      <c r="X95" s="65"/>
      <c r="Y95" s="65"/>
      <c r="Z95" s="65"/>
      <c r="AA95" s="65"/>
      <c r="AB95" s="65"/>
      <c r="AC95" s="65"/>
      <c r="AD95" s="65"/>
      <c r="AE95" s="65"/>
      <c r="AF95" s="65"/>
      <c r="AG95" s="65"/>
      <c r="AH95" s="65"/>
      <c r="AI95" s="65"/>
      <c r="AJ95" s="65"/>
      <c r="AK95" s="65"/>
      <c r="AL95" s="65"/>
      <c r="AM95" s="65"/>
      <c r="AN95" s="65"/>
      <c r="AO95" s="65"/>
      <c r="AP95" s="65"/>
      <c r="AQ95" s="65"/>
      <c r="AR95" s="65"/>
      <c r="AS95" s="65"/>
      <c r="AT95" s="65"/>
      <c r="AU95" s="65"/>
      <c r="AV95" s="65"/>
      <c r="AW95" s="65"/>
      <c r="AX95" s="65"/>
      <c r="AY95" s="65"/>
      <c r="AZ95" s="65"/>
      <c r="BA95" s="65"/>
      <c r="BB95" s="65"/>
      <c r="BC95" s="65"/>
      <c r="BD95" s="65"/>
      <c r="BE95" s="65"/>
      <c r="BF95" s="65"/>
      <c r="BG95" s="65"/>
      <c r="BH95" s="65"/>
      <c r="BI95" s="65"/>
      <c r="BJ95" s="65"/>
      <c r="BK95" s="65"/>
      <c r="BL95" s="65"/>
      <c r="BM95" s="65"/>
      <c r="BN95" s="65"/>
      <c r="BO95" s="65"/>
      <c r="BP95" s="65"/>
      <c r="BQ95" s="65"/>
      <c r="BR95" s="65"/>
      <c r="BS95" s="65"/>
      <c r="BT95" s="65"/>
      <c r="BU95" s="65"/>
      <c r="BV95" s="65"/>
      <c r="BW95" s="65"/>
      <c r="BX95" s="65"/>
      <c r="BY95" s="65"/>
      <c r="BZ95" s="66"/>
    </row>
    <row r="96" spans="1:78" x14ac:dyDescent="0.2">
      <c r="A96" s="63"/>
      <c r="B96" s="55"/>
      <c r="C96" s="103"/>
      <c r="D96" s="103"/>
      <c r="E96" s="82"/>
      <c r="F96" s="64"/>
      <c r="G96" s="65"/>
      <c r="H96" s="65"/>
      <c r="I96" s="65"/>
      <c r="J96" s="65"/>
      <c r="K96" s="65"/>
      <c r="L96" s="65"/>
      <c r="M96" s="65"/>
      <c r="N96" s="65"/>
      <c r="O96" s="65"/>
      <c r="P96" s="65"/>
      <c r="Q96" s="65"/>
      <c r="R96" s="65"/>
      <c r="S96" s="65"/>
      <c r="T96" s="65"/>
      <c r="U96" s="65"/>
      <c r="V96" s="65"/>
      <c r="W96" s="65"/>
      <c r="X96" s="65"/>
      <c r="Y96" s="65"/>
      <c r="Z96" s="65"/>
      <c r="AA96" s="65"/>
      <c r="AB96" s="65"/>
      <c r="AC96" s="65"/>
      <c r="AD96" s="65"/>
      <c r="AE96" s="65"/>
      <c r="AF96" s="65"/>
      <c r="AG96" s="65"/>
      <c r="AH96" s="65"/>
      <c r="AI96" s="65"/>
      <c r="AJ96" s="65"/>
      <c r="AK96" s="65"/>
      <c r="AL96" s="65"/>
      <c r="AM96" s="65"/>
      <c r="AN96" s="65"/>
      <c r="AO96" s="65"/>
      <c r="AP96" s="65"/>
      <c r="AQ96" s="65"/>
      <c r="AR96" s="65"/>
      <c r="AS96" s="65"/>
      <c r="AT96" s="65"/>
      <c r="AU96" s="65"/>
      <c r="AV96" s="65"/>
      <c r="AW96" s="65"/>
      <c r="AX96" s="65"/>
      <c r="AY96" s="65"/>
      <c r="AZ96" s="65"/>
      <c r="BA96" s="65"/>
      <c r="BB96" s="65"/>
      <c r="BC96" s="65"/>
      <c r="BD96" s="65"/>
      <c r="BE96" s="65"/>
      <c r="BF96" s="65"/>
      <c r="BG96" s="65"/>
      <c r="BH96" s="65"/>
      <c r="BI96" s="65"/>
      <c r="BJ96" s="65"/>
      <c r="BK96" s="65"/>
      <c r="BL96" s="65"/>
      <c r="BM96" s="65"/>
      <c r="BN96" s="65"/>
      <c r="BO96" s="65"/>
      <c r="BP96" s="65"/>
      <c r="BQ96" s="65"/>
      <c r="BR96" s="65"/>
      <c r="BS96" s="65"/>
      <c r="BT96" s="65"/>
      <c r="BU96" s="65"/>
      <c r="BV96" s="65"/>
      <c r="BW96" s="65"/>
      <c r="BX96" s="65"/>
      <c r="BY96" s="65"/>
      <c r="BZ96" s="66"/>
    </row>
    <row r="97" spans="1:78" x14ac:dyDescent="0.2">
      <c r="A97" s="63"/>
      <c r="B97" s="55"/>
      <c r="C97" s="103"/>
      <c r="D97" s="103"/>
      <c r="E97" s="82"/>
      <c r="F97" s="64"/>
      <c r="G97" s="65"/>
      <c r="H97" s="65"/>
      <c r="I97" s="65"/>
      <c r="J97" s="65"/>
      <c r="K97" s="65"/>
      <c r="L97" s="65"/>
      <c r="M97" s="65"/>
      <c r="N97" s="65"/>
      <c r="O97" s="65"/>
      <c r="P97" s="65"/>
      <c r="Q97" s="65"/>
      <c r="R97" s="65"/>
      <c r="S97" s="65"/>
      <c r="T97" s="65"/>
      <c r="U97" s="65"/>
      <c r="V97" s="65"/>
      <c r="W97" s="65"/>
      <c r="X97" s="65"/>
      <c r="Y97" s="65"/>
      <c r="Z97" s="65"/>
      <c r="AA97" s="65"/>
      <c r="AB97" s="65"/>
      <c r="AC97" s="65"/>
      <c r="AD97" s="65"/>
      <c r="AE97" s="65"/>
      <c r="AF97" s="65"/>
      <c r="AG97" s="65"/>
      <c r="AH97" s="65"/>
      <c r="AI97" s="65"/>
      <c r="AJ97" s="65"/>
      <c r="AK97" s="65"/>
      <c r="AL97" s="65"/>
      <c r="AM97" s="65"/>
      <c r="AN97" s="65"/>
      <c r="AO97" s="65"/>
      <c r="AP97" s="65"/>
      <c r="AQ97" s="65"/>
      <c r="AR97" s="65"/>
      <c r="AS97" s="65"/>
      <c r="AT97" s="65"/>
      <c r="AU97" s="65"/>
      <c r="AV97" s="65"/>
      <c r="AW97" s="65"/>
      <c r="AX97" s="65"/>
      <c r="AY97" s="65"/>
      <c r="AZ97" s="65"/>
      <c r="BA97" s="65"/>
      <c r="BB97" s="65"/>
      <c r="BC97" s="65"/>
      <c r="BD97" s="65"/>
      <c r="BE97" s="65"/>
      <c r="BF97" s="65"/>
      <c r="BG97" s="65"/>
      <c r="BH97" s="65"/>
      <c r="BI97" s="65"/>
      <c r="BJ97" s="65"/>
      <c r="BK97" s="65"/>
      <c r="BL97" s="65"/>
      <c r="BM97" s="65"/>
      <c r="BN97" s="65"/>
      <c r="BO97" s="65"/>
      <c r="BP97" s="65"/>
      <c r="BQ97" s="65"/>
      <c r="BR97" s="65"/>
      <c r="BS97" s="65"/>
      <c r="BT97" s="65"/>
      <c r="BU97" s="65"/>
      <c r="BV97" s="65"/>
      <c r="BW97" s="65"/>
      <c r="BX97" s="65"/>
      <c r="BY97" s="65"/>
      <c r="BZ97" s="66"/>
    </row>
    <row r="98" spans="1:78" x14ac:dyDescent="0.2">
      <c r="A98" s="63"/>
      <c r="B98" s="55"/>
      <c r="C98" s="103"/>
      <c r="D98" s="103"/>
      <c r="E98" s="146"/>
      <c r="F98" s="60"/>
      <c r="G98" s="61"/>
      <c r="H98" s="61"/>
      <c r="I98" s="61"/>
      <c r="J98" s="61"/>
      <c r="K98" s="61"/>
      <c r="L98" s="61"/>
      <c r="M98" s="61"/>
      <c r="N98" s="61"/>
      <c r="O98" s="61"/>
      <c r="P98" s="61"/>
      <c r="Q98" s="61"/>
      <c r="R98" s="61"/>
      <c r="S98" s="61"/>
      <c r="T98" s="61"/>
      <c r="U98" s="61"/>
      <c r="V98" s="61"/>
      <c r="W98" s="61"/>
      <c r="X98" s="61"/>
      <c r="Y98" s="61"/>
      <c r="Z98" s="61"/>
      <c r="AA98" s="61"/>
      <c r="AB98" s="61"/>
      <c r="AC98" s="61"/>
      <c r="AD98" s="61"/>
      <c r="AE98" s="61"/>
      <c r="AF98" s="61"/>
      <c r="AG98" s="61"/>
      <c r="AH98" s="61"/>
      <c r="AI98" s="61"/>
      <c r="AJ98" s="61"/>
      <c r="AK98" s="61"/>
      <c r="AL98" s="61"/>
      <c r="AM98" s="61"/>
      <c r="AN98" s="61"/>
      <c r="AO98" s="61"/>
      <c r="AP98" s="61"/>
      <c r="AQ98" s="61"/>
      <c r="AR98" s="61"/>
      <c r="AS98" s="61"/>
      <c r="AT98" s="61"/>
      <c r="AU98" s="61"/>
      <c r="AV98" s="61"/>
      <c r="AW98" s="61"/>
      <c r="AX98" s="61"/>
      <c r="AY98" s="61"/>
      <c r="AZ98" s="61"/>
      <c r="BA98" s="61"/>
      <c r="BB98" s="61"/>
      <c r="BC98" s="61"/>
      <c r="BD98" s="61"/>
      <c r="BE98" s="61"/>
      <c r="BF98" s="61"/>
      <c r="BG98" s="61"/>
      <c r="BH98" s="61"/>
      <c r="BI98" s="61"/>
      <c r="BJ98" s="61"/>
      <c r="BK98" s="61"/>
      <c r="BL98" s="61"/>
      <c r="BM98" s="61"/>
      <c r="BN98" s="61"/>
      <c r="BO98" s="61"/>
      <c r="BP98" s="61"/>
      <c r="BQ98" s="61"/>
      <c r="BR98" s="61"/>
      <c r="BS98" s="61"/>
      <c r="BT98" s="61"/>
      <c r="BU98" s="61"/>
      <c r="BV98" s="61"/>
      <c r="BW98" s="61"/>
      <c r="BX98" s="61"/>
      <c r="BY98" s="61"/>
      <c r="BZ98" s="62"/>
    </row>
    <row r="99" spans="1:78" x14ac:dyDescent="0.2">
      <c r="A99" s="67"/>
      <c r="B99" s="55"/>
      <c r="C99" s="103"/>
      <c r="D99" s="103"/>
      <c r="E99" s="82"/>
      <c r="F99" s="64"/>
      <c r="G99" s="65"/>
      <c r="H99" s="65"/>
      <c r="I99" s="65"/>
      <c r="J99" s="65"/>
      <c r="K99" s="65"/>
      <c r="L99" s="65"/>
      <c r="M99" s="65"/>
      <c r="N99" s="65"/>
      <c r="O99" s="65"/>
      <c r="P99" s="65"/>
      <c r="Q99" s="65"/>
      <c r="R99" s="65"/>
      <c r="S99" s="65"/>
      <c r="T99" s="65"/>
      <c r="U99" s="65"/>
      <c r="V99" s="65"/>
      <c r="W99" s="65"/>
      <c r="X99" s="65"/>
      <c r="Y99" s="65"/>
      <c r="Z99" s="65"/>
      <c r="AA99" s="65"/>
      <c r="AB99" s="65"/>
      <c r="AC99" s="65"/>
      <c r="AD99" s="65"/>
      <c r="AE99" s="65"/>
      <c r="AF99" s="65"/>
      <c r="AG99" s="65"/>
      <c r="AH99" s="65"/>
      <c r="AI99" s="65"/>
      <c r="AJ99" s="65"/>
      <c r="AK99" s="65"/>
      <c r="AL99" s="65"/>
      <c r="AM99" s="65"/>
      <c r="AN99" s="65"/>
      <c r="AO99" s="65"/>
      <c r="AP99" s="65"/>
      <c r="AQ99" s="65"/>
      <c r="AR99" s="65"/>
      <c r="AS99" s="65"/>
      <c r="AT99" s="65"/>
      <c r="AU99" s="65"/>
      <c r="AV99" s="65"/>
      <c r="AW99" s="65"/>
      <c r="AX99" s="65"/>
      <c r="AY99" s="65"/>
      <c r="AZ99" s="65"/>
      <c r="BA99" s="65"/>
      <c r="BB99" s="65"/>
      <c r="BC99" s="65"/>
      <c r="BD99" s="65"/>
      <c r="BE99" s="65"/>
      <c r="BF99" s="65"/>
      <c r="BG99" s="65"/>
      <c r="BH99" s="65"/>
      <c r="BI99" s="65"/>
      <c r="BJ99" s="65"/>
      <c r="BK99" s="65"/>
      <c r="BL99" s="65"/>
      <c r="BM99" s="65"/>
      <c r="BN99" s="65"/>
      <c r="BO99" s="65"/>
      <c r="BP99" s="65"/>
      <c r="BQ99" s="65"/>
      <c r="BR99" s="65"/>
      <c r="BS99" s="65"/>
      <c r="BT99" s="65"/>
      <c r="BU99" s="65"/>
      <c r="BV99" s="65"/>
      <c r="BW99" s="65"/>
      <c r="BX99" s="65"/>
      <c r="BY99" s="65"/>
      <c r="BZ99" s="66"/>
    </row>
    <row r="100" spans="1:78" x14ac:dyDescent="0.2">
      <c r="A100" s="149"/>
      <c r="B100" s="55"/>
      <c r="C100" s="103"/>
      <c r="D100" s="103"/>
      <c r="E100" s="82"/>
      <c r="F100" s="64"/>
      <c r="G100" s="65"/>
      <c r="H100" s="65"/>
      <c r="I100" s="65"/>
      <c r="J100" s="65"/>
      <c r="K100" s="65"/>
      <c r="L100" s="65"/>
      <c r="M100" s="65"/>
      <c r="N100" s="65"/>
      <c r="O100" s="65"/>
      <c r="P100" s="65"/>
      <c r="Q100" s="65"/>
      <c r="R100" s="65"/>
      <c r="S100" s="65"/>
      <c r="T100" s="65"/>
      <c r="U100" s="65"/>
      <c r="V100" s="65"/>
      <c r="W100" s="65"/>
      <c r="X100" s="65"/>
      <c r="Y100" s="65"/>
      <c r="Z100" s="65"/>
      <c r="AA100" s="65"/>
      <c r="AB100" s="65"/>
      <c r="AC100" s="65"/>
      <c r="AD100" s="65"/>
      <c r="AE100" s="65"/>
      <c r="AF100" s="65"/>
      <c r="AG100" s="65"/>
      <c r="AH100" s="65"/>
      <c r="AI100" s="65"/>
      <c r="AJ100" s="65"/>
      <c r="AK100" s="65"/>
      <c r="AL100" s="65"/>
      <c r="AM100" s="65"/>
      <c r="AN100" s="65"/>
      <c r="AO100" s="65"/>
      <c r="AP100" s="65"/>
      <c r="AQ100" s="65"/>
      <c r="AR100" s="65"/>
      <c r="AS100" s="65"/>
      <c r="AT100" s="65"/>
      <c r="AU100" s="65"/>
      <c r="AV100" s="65"/>
      <c r="AW100" s="65"/>
      <c r="AX100" s="65"/>
      <c r="AY100" s="65"/>
      <c r="AZ100" s="65"/>
      <c r="BA100" s="65"/>
      <c r="BB100" s="65"/>
      <c r="BC100" s="65"/>
      <c r="BD100" s="65"/>
      <c r="BE100" s="65"/>
      <c r="BF100" s="65"/>
      <c r="BG100" s="65"/>
      <c r="BH100" s="65"/>
      <c r="BI100" s="65"/>
      <c r="BJ100" s="65"/>
      <c r="BK100" s="65"/>
      <c r="BL100" s="65"/>
      <c r="BM100" s="65"/>
      <c r="BN100" s="65"/>
      <c r="BO100" s="65"/>
      <c r="BP100" s="65"/>
      <c r="BQ100" s="65"/>
      <c r="BR100" s="65"/>
      <c r="BS100" s="65"/>
      <c r="BT100" s="65"/>
      <c r="BU100" s="65"/>
      <c r="BV100" s="65"/>
      <c r="BW100" s="65"/>
      <c r="BX100" s="65"/>
      <c r="BY100" s="65"/>
      <c r="BZ100" s="66"/>
    </row>
    <row r="101" spans="1:78" x14ac:dyDescent="0.2">
      <c r="A101" s="84"/>
      <c r="B101" s="55"/>
      <c r="C101" s="103"/>
      <c r="D101" s="103"/>
      <c r="E101" s="82"/>
      <c r="F101" s="64"/>
      <c r="G101" s="65"/>
      <c r="H101" s="65"/>
      <c r="I101" s="65"/>
      <c r="J101" s="65"/>
      <c r="K101" s="65"/>
      <c r="L101" s="65"/>
      <c r="M101" s="65"/>
      <c r="N101" s="65"/>
      <c r="O101" s="65"/>
      <c r="P101" s="65"/>
      <c r="Q101" s="65"/>
      <c r="R101" s="65"/>
      <c r="S101" s="65"/>
      <c r="T101" s="65"/>
      <c r="U101" s="65"/>
      <c r="V101" s="65"/>
      <c r="W101" s="65"/>
      <c r="X101" s="65"/>
      <c r="Y101" s="65"/>
      <c r="Z101" s="65"/>
      <c r="AA101" s="65"/>
      <c r="AB101" s="65"/>
      <c r="AC101" s="65"/>
      <c r="AD101" s="65"/>
      <c r="AE101" s="65"/>
      <c r="AF101" s="65"/>
      <c r="AG101" s="65"/>
      <c r="AH101" s="65"/>
      <c r="AI101" s="65"/>
      <c r="AJ101" s="65"/>
      <c r="AK101" s="65"/>
      <c r="AL101" s="65"/>
      <c r="AM101" s="65"/>
      <c r="AN101" s="65"/>
      <c r="AO101" s="65"/>
      <c r="AP101" s="65"/>
      <c r="AQ101" s="65"/>
      <c r="AR101" s="65"/>
      <c r="AS101" s="65"/>
      <c r="AT101" s="65"/>
      <c r="AU101" s="65"/>
      <c r="AV101" s="65"/>
      <c r="AW101" s="65"/>
      <c r="AX101" s="65"/>
      <c r="AY101" s="65"/>
      <c r="AZ101" s="65"/>
      <c r="BA101" s="65"/>
      <c r="BB101" s="65"/>
      <c r="BC101" s="65"/>
      <c r="BD101" s="65"/>
      <c r="BE101" s="65"/>
      <c r="BF101" s="65"/>
      <c r="BG101" s="65"/>
      <c r="BH101" s="65"/>
      <c r="BI101" s="65"/>
      <c r="BJ101" s="65"/>
      <c r="BK101" s="65"/>
      <c r="BL101" s="65"/>
      <c r="BM101" s="65"/>
      <c r="BN101" s="65"/>
      <c r="BO101" s="65"/>
      <c r="BP101" s="65"/>
      <c r="BQ101" s="65"/>
      <c r="BR101" s="65"/>
      <c r="BS101" s="65"/>
      <c r="BT101" s="65"/>
      <c r="BU101" s="65"/>
      <c r="BV101" s="65"/>
      <c r="BW101" s="65"/>
      <c r="BX101" s="65"/>
      <c r="BY101" s="65"/>
      <c r="BZ101" s="66"/>
    </row>
    <row r="102" spans="1:78" x14ac:dyDescent="0.2">
      <c r="A102" s="84"/>
      <c r="B102" s="55"/>
      <c r="C102" s="103"/>
      <c r="D102" s="103"/>
      <c r="E102" s="82"/>
      <c r="F102" s="64"/>
      <c r="G102" s="65"/>
      <c r="H102" s="65"/>
      <c r="I102" s="65"/>
      <c r="J102" s="65"/>
      <c r="K102" s="65"/>
      <c r="L102" s="65"/>
      <c r="M102" s="65"/>
      <c r="N102" s="65"/>
      <c r="O102" s="65"/>
      <c r="P102" s="65"/>
      <c r="Q102" s="65"/>
      <c r="R102" s="65"/>
      <c r="S102" s="65"/>
      <c r="T102" s="65"/>
      <c r="U102" s="65"/>
      <c r="V102" s="65"/>
      <c r="W102" s="65"/>
      <c r="X102" s="65"/>
      <c r="Y102" s="65"/>
      <c r="Z102" s="65"/>
      <c r="AA102" s="65"/>
      <c r="AB102" s="65"/>
      <c r="AC102" s="65"/>
      <c r="AD102" s="65"/>
      <c r="AE102" s="65"/>
      <c r="AF102" s="65"/>
      <c r="AG102" s="65"/>
      <c r="AH102" s="65"/>
      <c r="AI102" s="65"/>
      <c r="AJ102" s="65"/>
      <c r="AK102" s="65"/>
      <c r="AL102" s="65"/>
      <c r="AM102" s="65"/>
      <c r="AN102" s="65"/>
      <c r="AO102" s="65"/>
      <c r="AP102" s="65"/>
      <c r="AQ102" s="65"/>
      <c r="AR102" s="65"/>
      <c r="AS102" s="65"/>
      <c r="AT102" s="65"/>
      <c r="AU102" s="65"/>
      <c r="AV102" s="65"/>
      <c r="AW102" s="65"/>
      <c r="AX102" s="65"/>
      <c r="AY102" s="65"/>
      <c r="AZ102" s="65"/>
      <c r="BA102" s="65"/>
      <c r="BB102" s="65"/>
      <c r="BC102" s="65"/>
      <c r="BD102" s="65"/>
      <c r="BE102" s="65"/>
      <c r="BF102" s="65"/>
      <c r="BG102" s="65"/>
      <c r="BH102" s="65"/>
      <c r="BI102" s="65"/>
      <c r="BJ102" s="65"/>
      <c r="BK102" s="65"/>
      <c r="BL102" s="65"/>
      <c r="BM102" s="65"/>
      <c r="BN102" s="65"/>
      <c r="BO102" s="65"/>
      <c r="BP102" s="65"/>
      <c r="BQ102" s="65"/>
      <c r="BR102" s="65"/>
      <c r="BS102" s="65"/>
      <c r="BT102" s="65"/>
      <c r="BU102" s="65"/>
      <c r="BV102" s="65"/>
      <c r="BW102" s="65"/>
      <c r="BX102" s="65"/>
      <c r="BY102" s="65"/>
      <c r="BZ102" s="66"/>
    </row>
    <row r="103" spans="1:78" x14ac:dyDescent="0.2">
      <c r="A103" s="84"/>
      <c r="B103" s="55"/>
      <c r="C103" s="103"/>
      <c r="D103" s="103"/>
      <c r="E103" s="82"/>
      <c r="F103" s="64"/>
      <c r="G103" s="65"/>
      <c r="H103" s="65"/>
      <c r="I103" s="65"/>
      <c r="J103" s="65"/>
      <c r="K103" s="65"/>
      <c r="L103" s="65"/>
      <c r="M103" s="65"/>
      <c r="N103" s="65"/>
      <c r="O103" s="65"/>
      <c r="P103" s="65"/>
      <c r="Q103" s="65"/>
      <c r="R103" s="65"/>
      <c r="S103" s="65"/>
      <c r="T103" s="65"/>
      <c r="U103" s="65"/>
      <c r="V103" s="65"/>
      <c r="W103" s="65"/>
      <c r="X103" s="65"/>
      <c r="Y103" s="65"/>
      <c r="Z103" s="65"/>
      <c r="AA103" s="65"/>
      <c r="AB103" s="65"/>
      <c r="AC103" s="65"/>
      <c r="AD103" s="65"/>
      <c r="AE103" s="65"/>
      <c r="AF103" s="65"/>
      <c r="AG103" s="65"/>
      <c r="AH103" s="65"/>
      <c r="AI103" s="65"/>
      <c r="AJ103" s="65"/>
      <c r="AK103" s="65"/>
      <c r="AL103" s="65"/>
      <c r="AM103" s="65"/>
      <c r="AN103" s="65"/>
      <c r="AO103" s="65"/>
      <c r="AP103" s="65"/>
      <c r="AQ103" s="65"/>
      <c r="AR103" s="65"/>
      <c r="AS103" s="65"/>
      <c r="AT103" s="65"/>
      <c r="AU103" s="65"/>
      <c r="AV103" s="65"/>
      <c r="AW103" s="65"/>
      <c r="AX103" s="65"/>
      <c r="AY103" s="65"/>
      <c r="AZ103" s="65"/>
      <c r="BA103" s="65"/>
      <c r="BB103" s="65"/>
      <c r="BC103" s="65"/>
      <c r="BD103" s="65"/>
      <c r="BE103" s="65"/>
      <c r="BF103" s="65"/>
      <c r="BG103" s="65"/>
      <c r="BH103" s="65"/>
      <c r="BI103" s="65"/>
      <c r="BJ103" s="65"/>
      <c r="BK103" s="65"/>
      <c r="BL103" s="65"/>
      <c r="BM103" s="65"/>
      <c r="BN103" s="65"/>
      <c r="BO103" s="65"/>
      <c r="BP103" s="65"/>
      <c r="BQ103" s="65"/>
      <c r="BR103" s="65"/>
      <c r="BS103" s="65"/>
      <c r="BT103" s="65"/>
      <c r="BU103" s="65"/>
      <c r="BV103" s="65"/>
      <c r="BW103" s="65"/>
      <c r="BX103" s="65"/>
      <c r="BY103" s="65"/>
      <c r="BZ103" s="66"/>
    </row>
    <row r="104" spans="1:78" x14ac:dyDescent="0.2">
      <c r="A104" s="63"/>
      <c r="B104" s="55"/>
      <c r="C104" s="103"/>
      <c r="D104" s="103"/>
      <c r="E104" s="82"/>
      <c r="F104" s="64"/>
      <c r="G104" s="65"/>
      <c r="H104" s="65"/>
      <c r="I104" s="65"/>
      <c r="J104" s="65"/>
      <c r="K104" s="65"/>
      <c r="L104" s="65"/>
      <c r="M104" s="65"/>
      <c r="N104" s="65"/>
      <c r="O104" s="65"/>
      <c r="P104" s="65"/>
      <c r="Q104" s="65"/>
      <c r="R104" s="65"/>
      <c r="S104" s="65"/>
      <c r="T104" s="65"/>
      <c r="U104" s="65"/>
      <c r="V104" s="65"/>
      <c r="W104" s="65"/>
      <c r="X104" s="65"/>
      <c r="Y104" s="65"/>
      <c r="Z104" s="65"/>
      <c r="AA104" s="65"/>
      <c r="AB104" s="65"/>
      <c r="AC104" s="65"/>
      <c r="AD104" s="65"/>
      <c r="AE104" s="65"/>
      <c r="AF104" s="65"/>
      <c r="AG104" s="65"/>
      <c r="AH104" s="65"/>
      <c r="AI104" s="65"/>
      <c r="AJ104" s="65"/>
      <c r="AK104" s="65"/>
      <c r="AL104" s="65"/>
      <c r="AM104" s="65"/>
      <c r="AN104" s="65"/>
      <c r="AO104" s="65"/>
      <c r="AP104" s="65"/>
      <c r="AQ104" s="65"/>
      <c r="AR104" s="65"/>
      <c r="AS104" s="65"/>
      <c r="AT104" s="65"/>
      <c r="AU104" s="65"/>
      <c r="AV104" s="65"/>
      <c r="AW104" s="65"/>
      <c r="AX104" s="65"/>
      <c r="AY104" s="65"/>
      <c r="AZ104" s="65"/>
      <c r="BA104" s="65"/>
      <c r="BB104" s="65"/>
      <c r="BC104" s="65"/>
      <c r="BD104" s="65"/>
      <c r="BE104" s="65"/>
      <c r="BF104" s="65"/>
      <c r="BG104" s="65"/>
      <c r="BH104" s="65"/>
      <c r="BI104" s="65"/>
      <c r="BJ104" s="65"/>
      <c r="BK104" s="65"/>
      <c r="BL104" s="65"/>
      <c r="BM104" s="65"/>
      <c r="BN104" s="65"/>
      <c r="BO104" s="65"/>
      <c r="BP104" s="65"/>
      <c r="BQ104" s="65"/>
      <c r="BR104" s="65"/>
      <c r="BS104" s="65"/>
      <c r="BT104" s="65"/>
      <c r="BU104" s="65"/>
      <c r="BV104" s="65"/>
      <c r="BW104" s="65"/>
      <c r="BX104" s="65"/>
      <c r="BY104" s="65"/>
      <c r="BZ104" s="66"/>
    </row>
    <row r="105" spans="1:78" x14ac:dyDescent="0.2">
      <c r="A105" s="63"/>
      <c r="B105" s="55"/>
      <c r="C105" s="103"/>
      <c r="D105" s="103"/>
      <c r="E105" s="82"/>
      <c r="F105" s="64"/>
      <c r="G105" s="65"/>
      <c r="H105" s="65"/>
      <c r="I105" s="65"/>
      <c r="J105" s="65"/>
      <c r="K105" s="65"/>
      <c r="L105" s="65"/>
      <c r="M105" s="65"/>
      <c r="N105" s="65"/>
      <c r="O105" s="65"/>
      <c r="P105" s="65"/>
      <c r="Q105" s="65"/>
      <c r="R105" s="65"/>
      <c r="S105" s="65"/>
      <c r="T105" s="65"/>
      <c r="U105" s="65"/>
      <c r="V105" s="65"/>
      <c r="W105" s="65"/>
      <c r="X105" s="65"/>
      <c r="Y105" s="65"/>
      <c r="Z105" s="65"/>
      <c r="AA105" s="65"/>
      <c r="AB105" s="65"/>
      <c r="AC105" s="65"/>
      <c r="AD105" s="65"/>
      <c r="AE105" s="65"/>
      <c r="AF105" s="65"/>
      <c r="AG105" s="65"/>
      <c r="AH105" s="65"/>
      <c r="AI105" s="65"/>
      <c r="AJ105" s="65"/>
      <c r="AK105" s="65"/>
      <c r="AL105" s="65"/>
      <c r="AM105" s="65"/>
      <c r="AN105" s="65"/>
      <c r="AO105" s="65"/>
      <c r="AP105" s="65"/>
      <c r="AQ105" s="65"/>
      <c r="AR105" s="65"/>
      <c r="AS105" s="65"/>
      <c r="AT105" s="65"/>
      <c r="AU105" s="65"/>
      <c r="AV105" s="65"/>
      <c r="AW105" s="65"/>
      <c r="AX105" s="65"/>
      <c r="AY105" s="65"/>
      <c r="AZ105" s="65"/>
      <c r="BA105" s="65"/>
      <c r="BB105" s="65"/>
      <c r="BC105" s="65"/>
      <c r="BD105" s="65"/>
      <c r="BE105" s="65"/>
      <c r="BF105" s="65"/>
      <c r="BG105" s="65"/>
      <c r="BH105" s="65"/>
      <c r="BI105" s="65"/>
      <c r="BJ105" s="65"/>
      <c r="BK105" s="65"/>
      <c r="BL105" s="65"/>
      <c r="BM105" s="65"/>
      <c r="BN105" s="65"/>
      <c r="BO105" s="65"/>
      <c r="BP105" s="65"/>
      <c r="BQ105" s="65"/>
      <c r="BR105" s="65"/>
      <c r="BS105" s="65"/>
      <c r="BT105" s="65"/>
      <c r="BU105" s="65"/>
      <c r="BV105" s="65"/>
      <c r="BW105" s="65"/>
      <c r="BX105" s="65"/>
      <c r="BY105" s="65"/>
      <c r="BZ105" s="66"/>
    </row>
    <row r="106" spans="1:78" x14ac:dyDescent="0.2">
      <c r="A106" s="67"/>
      <c r="B106" s="55"/>
      <c r="C106" s="103"/>
      <c r="D106" s="103"/>
      <c r="E106" s="82"/>
      <c r="F106" s="64"/>
      <c r="G106" s="65"/>
      <c r="H106" s="6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Y106" s="65"/>
      <c r="AZ106" s="65"/>
      <c r="BA106" s="65"/>
      <c r="BB106" s="65"/>
      <c r="BC106" s="65"/>
      <c r="BD106" s="65"/>
      <c r="BE106" s="65"/>
      <c r="BF106" s="65"/>
      <c r="BG106" s="65"/>
      <c r="BH106" s="65"/>
      <c r="BI106" s="65"/>
      <c r="BJ106" s="65"/>
      <c r="BK106" s="65"/>
      <c r="BL106" s="65"/>
      <c r="BM106" s="65"/>
      <c r="BN106" s="65"/>
      <c r="BO106" s="65"/>
      <c r="BP106" s="65"/>
      <c r="BQ106" s="65"/>
      <c r="BR106" s="65"/>
      <c r="BS106" s="65"/>
      <c r="BT106" s="65"/>
      <c r="BU106" s="65"/>
      <c r="BV106" s="65"/>
      <c r="BW106" s="65"/>
      <c r="BX106" s="65"/>
      <c r="BY106" s="65"/>
      <c r="BZ106" s="66"/>
    </row>
    <row r="107" spans="1:78" x14ac:dyDescent="0.2">
      <c r="A107" s="67"/>
      <c r="B107" s="55"/>
      <c r="C107" s="103"/>
      <c r="D107" s="103"/>
      <c r="E107" s="82"/>
      <c r="F107" s="64"/>
      <c r="G107" s="65"/>
      <c r="H107" s="65"/>
      <c r="I107" s="65"/>
      <c r="J107" s="65"/>
      <c r="K107" s="65"/>
      <c r="L107" s="65"/>
      <c r="M107" s="65"/>
      <c r="N107" s="65"/>
      <c r="O107" s="65"/>
      <c r="P107" s="65"/>
      <c r="Q107" s="65"/>
      <c r="R107" s="65"/>
      <c r="S107" s="65"/>
      <c r="T107" s="65"/>
      <c r="U107" s="65"/>
      <c r="V107" s="65"/>
      <c r="W107" s="65"/>
      <c r="X107" s="65"/>
      <c r="Y107" s="65"/>
      <c r="Z107" s="65"/>
      <c r="AA107" s="65"/>
      <c r="AB107" s="65"/>
      <c r="AC107" s="65"/>
      <c r="AD107" s="65"/>
      <c r="AE107" s="65"/>
      <c r="AF107" s="65"/>
      <c r="AG107" s="65"/>
      <c r="AH107" s="65"/>
      <c r="AI107" s="65"/>
      <c r="AJ107" s="65"/>
      <c r="AK107" s="65"/>
      <c r="AL107" s="65"/>
      <c r="AM107" s="65"/>
      <c r="AN107" s="65"/>
      <c r="AO107" s="65"/>
      <c r="AP107" s="65"/>
      <c r="AQ107" s="65"/>
      <c r="AR107" s="65"/>
      <c r="AS107" s="65"/>
      <c r="AT107" s="65"/>
      <c r="AU107" s="65"/>
      <c r="AV107" s="65"/>
      <c r="AW107" s="65"/>
      <c r="AX107" s="65"/>
      <c r="AY107" s="65"/>
      <c r="AZ107" s="65"/>
      <c r="BA107" s="65"/>
      <c r="BB107" s="65"/>
      <c r="BC107" s="65"/>
      <c r="BD107" s="65"/>
      <c r="BE107" s="65"/>
      <c r="BF107" s="65"/>
      <c r="BG107" s="65"/>
      <c r="BH107" s="65"/>
      <c r="BI107" s="65"/>
      <c r="BJ107" s="65"/>
      <c r="BK107" s="65"/>
      <c r="BL107" s="65"/>
      <c r="BM107" s="65"/>
      <c r="BN107" s="65"/>
      <c r="BO107" s="65"/>
      <c r="BP107" s="65"/>
      <c r="BQ107" s="65"/>
      <c r="BR107" s="65"/>
      <c r="BS107" s="65"/>
      <c r="BT107" s="65"/>
      <c r="BU107" s="65"/>
      <c r="BV107" s="65"/>
      <c r="BW107" s="65"/>
      <c r="BX107" s="65"/>
      <c r="BY107" s="65"/>
      <c r="BZ107" s="66"/>
    </row>
    <row r="108" spans="1:78" x14ac:dyDescent="0.2">
      <c r="A108" s="67"/>
      <c r="B108" s="55"/>
      <c r="C108" s="103"/>
      <c r="D108" s="103"/>
      <c r="E108" s="82"/>
      <c r="F108" s="64"/>
      <c r="G108" s="65"/>
      <c r="H108" s="65"/>
      <c r="I108" s="65"/>
      <c r="J108" s="65"/>
      <c r="K108" s="65"/>
      <c r="L108" s="65"/>
      <c r="M108" s="65"/>
      <c r="N108" s="65"/>
      <c r="O108" s="65"/>
      <c r="P108" s="65"/>
      <c r="Q108" s="65"/>
      <c r="R108" s="65"/>
      <c r="S108" s="65"/>
      <c r="T108" s="65"/>
      <c r="U108" s="65"/>
      <c r="V108" s="65"/>
      <c r="W108" s="65"/>
      <c r="X108" s="65"/>
      <c r="Y108" s="65"/>
      <c r="Z108" s="65"/>
      <c r="AA108" s="65"/>
      <c r="AB108" s="65"/>
      <c r="AC108" s="65"/>
      <c r="AD108" s="65"/>
      <c r="AE108" s="65"/>
      <c r="AF108" s="65"/>
      <c r="AG108" s="65"/>
      <c r="AH108" s="65"/>
      <c r="AI108" s="65"/>
      <c r="AJ108" s="65"/>
      <c r="AK108" s="65"/>
      <c r="AL108" s="65"/>
      <c r="AM108" s="65"/>
      <c r="AN108" s="65"/>
      <c r="AO108" s="65"/>
      <c r="AP108" s="65"/>
      <c r="AQ108" s="65"/>
      <c r="AR108" s="65"/>
      <c r="AS108" s="65"/>
      <c r="AT108" s="65"/>
      <c r="AU108" s="65"/>
      <c r="AV108" s="65"/>
      <c r="AW108" s="65"/>
      <c r="AX108" s="65"/>
      <c r="AY108" s="65"/>
      <c r="AZ108" s="65"/>
      <c r="BA108" s="65"/>
      <c r="BB108" s="65"/>
      <c r="BC108" s="65"/>
      <c r="BD108" s="65"/>
      <c r="BE108" s="65"/>
      <c r="BF108" s="65"/>
      <c r="BG108" s="65"/>
      <c r="BH108" s="65"/>
      <c r="BI108" s="65"/>
      <c r="BJ108" s="65"/>
      <c r="BK108" s="65"/>
      <c r="BL108" s="65"/>
      <c r="BM108" s="65"/>
      <c r="BN108" s="65"/>
      <c r="BO108" s="65"/>
      <c r="BP108" s="65"/>
      <c r="BQ108" s="65"/>
      <c r="BR108" s="65"/>
      <c r="BS108" s="65"/>
      <c r="BT108" s="65"/>
      <c r="BU108" s="65"/>
      <c r="BV108" s="65"/>
      <c r="BW108" s="65"/>
      <c r="BX108" s="65"/>
      <c r="BY108" s="65"/>
      <c r="BZ108" s="66"/>
    </row>
    <row r="109" spans="1:78" x14ac:dyDescent="0.2">
      <c r="A109" s="67"/>
      <c r="B109" s="55"/>
      <c r="C109" s="103"/>
      <c r="D109" s="103"/>
      <c r="E109" s="82"/>
      <c r="F109" s="64"/>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Y109" s="65"/>
      <c r="AZ109" s="65"/>
      <c r="BA109" s="65"/>
      <c r="BB109" s="65"/>
      <c r="BC109" s="65"/>
      <c r="BD109" s="65"/>
      <c r="BE109" s="65"/>
      <c r="BF109" s="65"/>
      <c r="BG109" s="65"/>
      <c r="BH109" s="65"/>
      <c r="BI109" s="65"/>
      <c r="BJ109" s="65"/>
      <c r="BK109" s="65"/>
      <c r="BL109" s="65"/>
      <c r="BM109" s="65"/>
      <c r="BN109" s="65"/>
      <c r="BO109" s="65"/>
      <c r="BP109" s="65"/>
      <c r="BQ109" s="65"/>
      <c r="BR109" s="65"/>
      <c r="BS109" s="65"/>
      <c r="BT109" s="65"/>
      <c r="BU109" s="65"/>
      <c r="BV109" s="65"/>
      <c r="BW109" s="65"/>
      <c r="BX109" s="65"/>
      <c r="BY109" s="65"/>
      <c r="BZ109" s="66"/>
    </row>
    <row r="110" spans="1:78" x14ac:dyDescent="0.2">
      <c r="A110" s="67"/>
      <c r="B110" s="55"/>
      <c r="C110" s="103"/>
      <c r="D110" s="103"/>
      <c r="E110" s="82"/>
      <c r="F110" s="64"/>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c r="AY110" s="65"/>
      <c r="AZ110" s="65"/>
      <c r="BA110" s="65"/>
      <c r="BB110" s="65"/>
      <c r="BC110" s="65"/>
      <c r="BD110" s="65"/>
      <c r="BE110" s="65"/>
      <c r="BF110" s="65"/>
      <c r="BG110" s="65"/>
      <c r="BH110" s="65"/>
      <c r="BI110" s="65"/>
      <c r="BJ110" s="65"/>
      <c r="BK110" s="65"/>
      <c r="BL110" s="65"/>
      <c r="BM110" s="65"/>
      <c r="BN110" s="65"/>
      <c r="BO110" s="65"/>
      <c r="BP110" s="65"/>
      <c r="BQ110" s="65"/>
      <c r="BR110" s="65"/>
      <c r="BS110" s="65"/>
      <c r="BT110" s="65"/>
      <c r="BU110" s="65"/>
      <c r="BV110" s="65"/>
      <c r="BW110" s="65"/>
      <c r="BX110" s="65"/>
      <c r="BY110" s="65"/>
      <c r="BZ110" s="66"/>
    </row>
    <row r="111" spans="1:78" x14ac:dyDescent="0.2">
      <c r="A111" s="67"/>
      <c r="B111" s="55"/>
      <c r="C111" s="103"/>
      <c r="D111" s="103"/>
      <c r="E111" s="82"/>
      <c r="F111" s="64"/>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c r="AY111" s="65"/>
      <c r="AZ111" s="65"/>
      <c r="BA111" s="65"/>
      <c r="BB111" s="65"/>
      <c r="BC111" s="65"/>
      <c r="BD111" s="65"/>
      <c r="BE111" s="65"/>
      <c r="BF111" s="65"/>
      <c r="BG111" s="65"/>
      <c r="BH111" s="65"/>
      <c r="BI111" s="65"/>
      <c r="BJ111" s="65"/>
      <c r="BK111" s="65"/>
      <c r="BL111" s="65"/>
      <c r="BM111" s="65"/>
      <c r="BN111" s="65"/>
      <c r="BO111" s="65"/>
      <c r="BP111" s="65"/>
      <c r="BQ111" s="65"/>
      <c r="BR111" s="65"/>
      <c r="BS111" s="65"/>
      <c r="BT111" s="65"/>
      <c r="BU111" s="65"/>
      <c r="BV111" s="65"/>
      <c r="BW111" s="65"/>
      <c r="BX111" s="65"/>
      <c r="BY111" s="65"/>
      <c r="BZ111" s="66"/>
    </row>
    <row r="112" spans="1:78" x14ac:dyDescent="0.2">
      <c r="A112" s="67"/>
      <c r="B112" s="55"/>
      <c r="C112" s="103"/>
      <c r="D112" s="103"/>
      <c r="E112" s="82"/>
      <c r="F112" s="64"/>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65"/>
      <c r="AI112" s="65"/>
      <c r="AJ112" s="65"/>
      <c r="AK112" s="65"/>
      <c r="AL112" s="65"/>
      <c r="AM112" s="65"/>
      <c r="AN112" s="65"/>
      <c r="AO112" s="65"/>
      <c r="AP112" s="65"/>
      <c r="AQ112" s="65"/>
      <c r="AR112" s="65"/>
      <c r="AS112" s="65"/>
      <c r="AT112" s="65"/>
      <c r="AU112" s="65"/>
      <c r="AV112" s="65"/>
      <c r="AW112" s="65"/>
      <c r="AX112" s="65"/>
      <c r="AY112" s="65"/>
      <c r="AZ112" s="65"/>
      <c r="BA112" s="65"/>
      <c r="BB112" s="65"/>
      <c r="BC112" s="65"/>
      <c r="BD112" s="65"/>
      <c r="BE112" s="65"/>
      <c r="BF112" s="65"/>
      <c r="BG112" s="65"/>
      <c r="BH112" s="65"/>
      <c r="BI112" s="65"/>
      <c r="BJ112" s="65"/>
      <c r="BK112" s="65"/>
      <c r="BL112" s="65"/>
      <c r="BM112" s="65"/>
      <c r="BN112" s="65"/>
      <c r="BO112" s="65"/>
      <c r="BP112" s="65"/>
      <c r="BQ112" s="65"/>
      <c r="BR112" s="65"/>
      <c r="BS112" s="65"/>
      <c r="BT112" s="65"/>
      <c r="BU112" s="65"/>
      <c r="BV112" s="65"/>
      <c r="BW112" s="65"/>
      <c r="BX112" s="65"/>
      <c r="BY112" s="65"/>
      <c r="BZ112" s="66"/>
    </row>
    <row r="113" spans="1:78" x14ac:dyDescent="0.2">
      <c r="A113" s="67"/>
      <c r="B113" s="55"/>
      <c r="C113" s="103"/>
      <c r="D113" s="103"/>
      <c r="E113" s="82"/>
      <c r="F113" s="64"/>
      <c r="G113" s="65"/>
      <c r="H113" s="65"/>
      <c r="I113" s="65"/>
      <c r="J113" s="65"/>
      <c r="K113" s="65"/>
      <c r="L113" s="65"/>
      <c r="M113" s="65"/>
      <c r="N113" s="65"/>
      <c r="O113" s="65"/>
      <c r="P113" s="65"/>
      <c r="Q113" s="65"/>
      <c r="R113" s="65"/>
      <c r="S113" s="65"/>
      <c r="T113" s="65"/>
      <c r="U113" s="65"/>
      <c r="V113" s="65"/>
      <c r="W113" s="65"/>
      <c r="X113" s="65"/>
      <c r="Y113" s="65"/>
      <c r="Z113" s="65"/>
      <c r="AA113" s="65"/>
      <c r="AB113" s="65"/>
      <c r="AC113" s="65"/>
      <c r="AD113" s="65"/>
      <c r="AE113" s="65"/>
      <c r="AF113" s="65"/>
      <c r="AG113" s="65"/>
      <c r="AH113" s="65"/>
      <c r="AI113" s="65"/>
      <c r="AJ113" s="65"/>
      <c r="AK113" s="65"/>
      <c r="AL113" s="65"/>
      <c r="AM113" s="65"/>
      <c r="AN113" s="65"/>
      <c r="AO113" s="65"/>
      <c r="AP113" s="65"/>
      <c r="AQ113" s="65"/>
      <c r="AR113" s="65"/>
      <c r="AS113" s="65"/>
      <c r="AT113" s="65"/>
      <c r="AU113" s="65"/>
      <c r="AV113" s="65"/>
      <c r="AW113" s="65"/>
      <c r="AX113" s="65"/>
      <c r="AY113" s="65"/>
      <c r="AZ113" s="65"/>
      <c r="BA113" s="65"/>
      <c r="BB113" s="65"/>
      <c r="BC113" s="65"/>
      <c r="BD113" s="65"/>
      <c r="BE113" s="65"/>
      <c r="BF113" s="65"/>
      <c r="BG113" s="65"/>
      <c r="BH113" s="65"/>
      <c r="BI113" s="65"/>
      <c r="BJ113" s="65"/>
      <c r="BK113" s="65"/>
      <c r="BL113" s="65"/>
      <c r="BM113" s="65"/>
      <c r="BN113" s="65"/>
      <c r="BO113" s="65"/>
      <c r="BP113" s="65"/>
      <c r="BQ113" s="65"/>
      <c r="BR113" s="65"/>
      <c r="BS113" s="65"/>
      <c r="BT113" s="65"/>
      <c r="BU113" s="65"/>
      <c r="BV113" s="65"/>
      <c r="BW113" s="65"/>
      <c r="BX113" s="65"/>
      <c r="BY113" s="65"/>
      <c r="BZ113" s="66"/>
    </row>
    <row r="114" spans="1:78" x14ac:dyDescent="0.2">
      <c r="A114" s="67"/>
      <c r="B114" s="55"/>
      <c r="C114" s="103"/>
      <c r="D114" s="103"/>
      <c r="E114" s="82"/>
      <c r="F114" s="64"/>
      <c r="G114" s="65"/>
      <c r="H114" s="65"/>
      <c r="I114" s="65"/>
      <c r="J114" s="65"/>
      <c r="K114" s="65"/>
      <c r="L114" s="65"/>
      <c r="M114" s="65"/>
      <c r="N114" s="65"/>
      <c r="O114" s="65"/>
      <c r="P114" s="65"/>
      <c r="Q114" s="65"/>
      <c r="R114" s="65"/>
      <c r="S114" s="65"/>
      <c r="T114" s="65"/>
      <c r="U114" s="65"/>
      <c r="V114" s="65"/>
      <c r="W114" s="65"/>
      <c r="X114" s="65"/>
      <c r="Y114" s="65"/>
      <c r="Z114" s="65"/>
      <c r="AA114" s="65"/>
      <c r="AB114" s="65"/>
      <c r="AC114" s="65"/>
      <c r="AD114" s="65"/>
      <c r="AE114" s="65"/>
      <c r="AF114" s="65"/>
      <c r="AG114" s="65"/>
      <c r="AH114" s="65"/>
      <c r="AI114" s="65"/>
      <c r="AJ114" s="65"/>
      <c r="AK114" s="65"/>
      <c r="AL114" s="65"/>
      <c r="AM114" s="65"/>
      <c r="AN114" s="65"/>
      <c r="AO114" s="65"/>
      <c r="AP114" s="65"/>
      <c r="AQ114" s="65"/>
      <c r="AR114" s="65"/>
      <c r="AS114" s="65"/>
      <c r="AT114" s="65"/>
      <c r="AU114" s="65"/>
      <c r="AV114" s="65"/>
      <c r="AW114" s="65"/>
      <c r="AX114" s="65"/>
      <c r="AY114" s="65"/>
      <c r="AZ114" s="65"/>
      <c r="BA114" s="65"/>
      <c r="BB114" s="65"/>
      <c r="BC114" s="65"/>
      <c r="BD114" s="65"/>
      <c r="BE114" s="65"/>
      <c r="BF114" s="65"/>
      <c r="BG114" s="65"/>
      <c r="BH114" s="65"/>
      <c r="BI114" s="65"/>
      <c r="BJ114" s="65"/>
      <c r="BK114" s="65"/>
      <c r="BL114" s="65"/>
      <c r="BM114" s="65"/>
      <c r="BN114" s="65"/>
      <c r="BO114" s="65"/>
      <c r="BP114" s="65"/>
      <c r="BQ114" s="65"/>
      <c r="BR114" s="65"/>
      <c r="BS114" s="65"/>
      <c r="BT114" s="65"/>
      <c r="BU114" s="65"/>
      <c r="BV114" s="65"/>
      <c r="BW114" s="65"/>
      <c r="BX114" s="65"/>
      <c r="BY114" s="65"/>
      <c r="BZ114" s="66"/>
    </row>
    <row r="115" spans="1:78" x14ac:dyDescent="0.2">
      <c r="A115" s="67"/>
      <c r="B115" s="55"/>
      <c r="C115" s="103"/>
      <c r="D115" s="103"/>
      <c r="E115" s="82"/>
      <c r="F115" s="64"/>
      <c r="G115" s="65"/>
      <c r="H115" s="65"/>
      <c r="I115" s="65"/>
      <c r="J115" s="65"/>
      <c r="K115" s="65"/>
      <c r="L115" s="65"/>
      <c r="M115" s="65"/>
      <c r="N115" s="65"/>
      <c r="O115" s="65"/>
      <c r="P115" s="65"/>
      <c r="Q115" s="65"/>
      <c r="R115" s="65"/>
      <c r="S115" s="65"/>
      <c r="T115" s="65"/>
      <c r="U115" s="65"/>
      <c r="V115" s="65"/>
      <c r="W115" s="65"/>
      <c r="X115" s="65"/>
      <c r="Y115" s="65"/>
      <c r="Z115" s="65"/>
      <c r="AA115" s="65"/>
      <c r="AB115" s="65"/>
      <c r="AC115" s="65"/>
      <c r="AD115" s="65"/>
      <c r="AE115" s="65"/>
      <c r="AF115" s="65"/>
      <c r="AG115" s="65"/>
      <c r="AH115" s="65"/>
      <c r="AI115" s="65"/>
      <c r="AJ115" s="65"/>
      <c r="AK115" s="65"/>
      <c r="AL115" s="65"/>
      <c r="AM115" s="65"/>
      <c r="AN115" s="65"/>
      <c r="AO115" s="65"/>
      <c r="AP115" s="65"/>
      <c r="AQ115" s="65"/>
      <c r="AR115" s="65"/>
      <c r="AS115" s="65"/>
      <c r="AT115" s="65"/>
      <c r="AU115" s="65"/>
      <c r="AV115" s="65"/>
      <c r="AW115" s="65"/>
      <c r="AX115" s="65"/>
      <c r="AY115" s="65"/>
      <c r="AZ115" s="65"/>
      <c r="BA115" s="65"/>
      <c r="BB115" s="65"/>
      <c r="BC115" s="65"/>
      <c r="BD115" s="65"/>
      <c r="BE115" s="65"/>
      <c r="BF115" s="65"/>
      <c r="BG115" s="65"/>
      <c r="BH115" s="65"/>
      <c r="BI115" s="65"/>
      <c r="BJ115" s="65"/>
      <c r="BK115" s="65"/>
      <c r="BL115" s="65"/>
      <c r="BM115" s="65"/>
      <c r="BN115" s="65"/>
      <c r="BO115" s="65"/>
      <c r="BP115" s="65"/>
      <c r="BQ115" s="65"/>
      <c r="BR115" s="65"/>
      <c r="BS115" s="65"/>
      <c r="BT115" s="65"/>
      <c r="BU115" s="65"/>
      <c r="BV115" s="65"/>
      <c r="BW115" s="65"/>
      <c r="BX115" s="65"/>
      <c r="BY115" s="65"/>
      <c r="BZ115" s="66"/>
    </row>
    <row r="116" spans="1:78" x14ac:dyDescent="0.2">
      <c r="A116" s="67"/>
      <c r="B116" s="55"/>
      <c r="C116" s="103"/>
      <c r="D116" s="103"/>
      <c r="E116" s="82"/>
      <c r="F116" s="64"/>
      <c r="G116" s="65"/>
      <c r="H116" s="65"/>
      <c r="I116" s="65"/>
      <c r="J116" s="65"/>
      <c r="K116" s="65"/>
      <c r="L116" s="65"/>
      <c r="M116" s="65"/>
      <c r="N116" s="65"/>
      <c r="O116" s="65"/>
      <c r="P116" s="65"/>
      <c r="Q116" s="65"/>
      <c r="R116" s="65"/>
      <c r="S116" s="65"/>
      <c r="T116" s="65"/>
      <c r="U116" s="65"/>
      <c r="V116" s="65"/>
      <c r="W116" s="65"/>
      <c r="X116" s="65"/>
      <c r="Y116" s="65"/>
      <c r="Z116" s="65"/>
      <c r="AA116" s="65"/>
      <c r="AB116" s="65"/>
      <c r="AC116" s="65"/>
      <c r="AD116" s="65"/>
      <c r="AE116" s="65"/>
      <c r="AF116" s="65"/>
      <c r="AG116" s="65"/>
      <c r="AH116" s="65"/>
      <c r="AI116" s="65"/>
      <c r="AJ116" s="65"/>
      <c r="AK116" s="65"/>
      <c r="AL116" s="65"/>
      <c r="AM116" s="65"/>
      <c r="AN116" s="65"/>
      <c r="AO116" s="65"/>
      <c r="AP116" s="65"/>
      <c r="AQ116" s="65"/>
      <c r="AR116" s="65"/>
      <c r="AS116" s="65"/>
      <c r="AT116" s="65"/>
      <c r="AU116" s="65"/>
      <c r="AV116" s="65"/>
      <c r="AW116" s="65"/>
      <c r="AX116" s="65"/>
      <c r="AY116" s="65"/>
      <c r="AZ116" s="65"/>
      <c r="BA116" s="65"/>
      <c r="BB116" s="65"/>
      <c r="BC116" s="65"/>
      <c r="BD116" s="65"/>
      <c r="BE116" s="65"/>
      <c r="BF116" s="65"/>
      <c r="BG116" s="65"/>
      <c r="BH116" s="65"/>
      <c r="BI116" s="65"/>
      <c r="BJ116" s="65"/>
      <c r="BK116" s="65"/>
      <c r="BL116" s="65"/>
      <c r="BM116" s="65"/>
      <c r="BN116" s="65"/>
      <c r="BO116" s="65"/>
      <c r="BP116" s="65"/>
      <c r="BQ116" s="65"/>
      <c r="BR116" s="65"/>
      <c r="BS116" s="65"/>
      <c r="BT116" s="65"/>
      <c r="BU116" s="65"/>
      <c r="BV116" s="65"/>
      <c r="BW116" s="65"/>
      <c r="BX116" s="65"/>
      <c r="BY116" s="65"/>
      <c r="BZ116" s="66"/>
    </row>
    <row r="117" spans="1:78" x14ac:dyDescent="0.2">
      <c r="A117" s="63"/>
      <c r="B117" s="55"/>
      <c r="C117" s="103"/>
      <c r="D117" s="103"/>
      <c r="E117" s="82"/>
      <c r="F117" s="64"/>
      <c r="G117" s="65"/>
      <c r="H117" s="65"/>
      <c r="I117" s="65"/>
      <c r="J117" s="65"/>
      <c r="K117" s="65"/>
      <c r="L117" s="65"/>
      <c r="M117" s="65"/>
      <c r="N117" s="65"/>
      <c r="O117" s="65"/>
      <c r="P117" s="65"/>
      <c r="Q117" s="65"/>
      <c r="R117" s="65"/>
      <c r="S117" s="65"/>
      <c r="T117" s="65"/>
      <c r="U117" s="65"/>
      <c r="V117" s="65"/>
      <c r="W117" s="65"/>
      <c r="X117" s="65"/>
      <c r="Y117" s="65"/>
      <c r="Z117" s="65"/>
      <c r="AA117" s="65"/>
      <c r="AB117" s="65"/>
      <c r="AC117" s="65"/>
      <c r="AD117" s="65"/>
      <c r="AE117" s="65"/>
      <c r="AF117" s="65"/>
      <c r="AG117" s="65"/>
      <c r="AH117" s="65"/>
      <c r="AI117" s="65"/>
      <c r="AJ117" s="65"/>
      <c r="AK117" s="65"/>
      <c r="AL117" s="65"/>
      <c r="AM117" s="65"/>
      <c r="AN117" s="65"/>
      <c r="AO117" s="65"/>
      <c r="AP117" s="65"/>
      <c r="AQ117" s="65"/>
      <c r="AR117" s="65"/>
      <c r="AS117" s="65"/>
      <c r="AT117" s="65"/>
      <c r="AU117" s="65"/>
      <c r="AV117" s="65"/>
      <c r="AW117" s="65"/>
      <c r="AX117" s="65"/>
      <c r="AY117" s="65"/>
      <c r="AZ117" s="65"/>
      <c r="BA117" s="65"/>
      <c r="BB117" s="65"/>
      <c r="BC117" s="65"/>
      <c r="BD117" s="65"/>
      <c r="BE117" s="65"/>
      <c r="BF117" s="65"/>
      <c r="BG117" s="65"/>
      <c r="BH117" s="65"/>
      <c r="BI117" s="65"/>
      <c r="BJ117" s="65"/>
      <c r="BK117" s="65"/>
      <c r="BL117" s="65"/>
      <c r="BM117" s="65"/>
      <c r="BN117" s="65"/>
      <c r="BO117" s="65"/>
      <c r="BP117" s="65"/>
      <c r="BQ117" s="65"/>
      <c r="BR117" s="65"/>
      <c r="BS117" s="65"/>
      <c r="BT117" s="65"/>
      <c r="BU117" s="65"/>
      <c r="BV117" s="65"/>
      <c r="BW117" s="65"/>
      <c r="BX117" s="65"/>
      <c r="BY117" s="65"/>
      <c r="BZ117" s="66"/>
    </row>
    <row r="118" spans="1:78" x14ac:dyDescent="0.2">
      <c r="A118" s="63"/>
      <c r="B118" s="55"/>
      <c r="C118" s="103"/>
      <c r="D118" s="103"/>
      <c r="E118" s="82"/>
      <c r="F118" s="64"/>
      <c r="G118" s="65"/>
      <c r="H118" s="65"/>
      <c r="I118" s="65"/>
      <c r="J118" s="65"/>
      <c r="K118" s="65"/>
      <c r="L118" s="65"/>
      <c r="M118" s="65"/>
      <c r="N118" s="65"/>
      <c r="O118" s="65"/>
      <c r="P118" s="65"/>
      <c r="Q118" s="65"/>
      <c r="R118" s="65"/>
      <c r="S118" s="65"/>
      <c r="T118" s="65"/>
      <c r="U118" s="65"/>
      <c r="V118" s="65"/>
      <c r="W118" s="65"/>
      <c r="X118" s="65"/>
      <c r="Y118" s="65"/>
      <c r="Z118" s="65"/>
      <c r="AA118" s="65"/>
      <c r="AB118" s="65"/>
      <c r="AC118" s="65"/>
      <c r="AD118" s="65"/>
      <c r="AE118" s="65"/>
      <c r="AF118" s="65"/>
      <c r="AG118" s="65"/>
      <c r="AH118" s="65"/>
      <c r="AI118" s="65"/>
      <c r="AJ118" s="65"/>
      <c r="AK118" s="65"/>
      <c r="AL118" s="65"/>
      <c r="AM118" s="65"/>
      <c r="AN118" s="65"/>
      <c r="AO118" s="65"/>
      <c r="AP118" s="65"/>
      <c r="AQ118" s="65"/>
      <c r="AR118" s="65"/>
      <c r="AS118" s="65"/>
      <c r="AT118" s="65"/>
      <c r="AU118" s="65"/>
      <c r="AV118" s="65"/>
      <c r="AW118" s="65"/>
      <c r="AX118" s="65"/>
      <c r="AY118" s="65"/>
      <c r="AZ118" s="65"/>
      <c r="BA118" s="65"/>
      <c r="BB118" s="65"/>
      <c r="BC118" s="65"/>
      <c r="BD118" s="65"/>
      <c r="BE118" s="65"/>
      <c r="BF118" s="65"/>
      <c r="BG118" s="65"/>
      <c r="BH118" s="65"/>
      <c r="BI118" s="65"/>
      <c r="BJ118" s="65"/>
      <c r="BK118" s="65"/>
      <c r="BL118" s="65"/>
      <c r="BM118" s="65"/>
      <c r="BN118" s="65"/>
      <c r="BO118" s="65"/>
      <c r="BP118" s="65"/>
      <c r="BQ118" s="65"/>
      <c r="BR118" s="65"/>
      <c r="BS118" s="65"/>
      <c r="BT118" s="65"/>
      <c r="BU118" s="65"/>
      <c r="BV118" s="65"/>
      <c r="BW118" s="65"/>
      <c r="BX118" s="65"/>
      <c r="BY118" s="65"/>
      <c r="BZ118" s="66"/>
    </row>
    <row r="119" spans="1:78" x14ac:dyDescent="0.2">
      <c r="A119" s="63"/>
      <c r="B119" s="55"/>
      <c r="C119" s="103"/>
      <c r="D119" s="103"/>
      <c r="E119" s="82"/>
      <c r="F119" s="64"/>
      <c r="G119" s="65"/>
      <c r="H119" s="65"/>
      <c r="I119" s="65"/>
      <c r="J119" s="65"/>
      <c r="K119" s="65"/>
      <c r="L119" s="65"/>
      <c r="M119" s="65"/>
      <c r="N119" s="65"/>
      <c r="O119" s="65"/>
      <c r="P119" s="65"/>
      <c r="Q119" s="65"/>
      <c r="R119" s="65"/>
      <c r="S119" s="65"/>
      <c r="T119" s="65"/>
      <c r="U119" s="65"/>
      <c r="V119" s="65"/>
      <c r="W119" s="65"/>
      <c r="X119" s="65"/>
      <c r="Y119" s="65"/>
      <c r="Z119" s="65"/>
      <c r="AA119" s="65"/>
      <c r="AB119" s="65"/>
      <c r="AC119" s="65"/>
      <c r="AD119" s="65"/>
      <c r="AE119" s="65"/>
      <c r="AF119" s="65"/>
      <c r="AG119" s="65"/>
      <c r="AH119" s="65"/>
      <c r="AI119" s="65"/>
      <c r="AJ119" s="65"/>
      <c r="AK119" s="65"/>
      <c r="AL119" s="65"/>
      <c r="AM119" s="65"/>
      <c r="AN119" s="65"/>
      <c r="AO119" s="65"/>
      <c r="AP119" s="65"/>
      <c r="AQ119" s="65"/>
      <c r="AR119" s="65"/>
      <c r="AS119" s="65"/>
      <c r="AT119" s="65"/>
      <c r="AU119" s="65"/>
      <c r="AV119" s="65"/>
      <c r="AW119" s="65"/>
      <c r="AX119" s="65"/>
      <c r="AY119" s="65"/>
      <c r="AZ119" s="65"/>
      <c r="BA119" s="65"/>
      <c r="BB119" s="65"/>
      <c r="BC119" s="65"/>
      <c r="BD119" s="65"/>
      <c r="BE119" s="65"/>
      <c r="BF119" s="65"/>
      <c r="BG119" s="65"/>
      <c r="BH119" s="65"/>
      <c r="BI119" s="65"/>
      <c r="BJ119" s="65"/>
      <c r="BK119" s="65"/>
      <c r="BL119" s="65"/>
      <c r="BM119" s="65"/>
      <c r="BN119" s="65"/>
      <c r="BO119" s="65"/>
      <c r="BP119" s="65"/>
      <c r="BQ119" s="65"/>
      <c r="BR119" s="65"/>
      <c r="BS119" s="65"/>
      <c r="BT119" s="65"/>
      <c r="BU119" s="65"/>
      <c r="BV119" s="65"/>
      <c r="BW119" s="65"/>
      <c r="BX119" s="65"/>
      <c r="BY119" s="65"/>
      <c r="BZ119" s="66"/>
    </row>
    <row r="120" spans="1:78" x14ac:dyDescent="0.2">
      <c r="A120" s="186"/>
      <c r="B120" s="55"/>
      <c r="C120" s="103"/>
      <c r="D120" s="103"/>
      <c r="E120" s="82"/>
      <c r="F120" s="64"/>
      <c r="G120" s="65"/>
      <c r="H120" s="65"/>
      <c r="I120" s="65"/>
      <c r="J120" s="65"/>
      <c r="K120" s="65"/>
      <c r="L120" s="65"/>
      <c r="M120" s="65"/>
      <c r="N120" s="65"/>
      <c r="O120" s="65"/>
      <c r="P120" s="65"/>
      <c r="Q120" s="65"/>
      <c r="R120" s="65"/>
      <c r="S120" s="65"/>
      <c r="T120" s="65"/>
      <c r="U120" s="65"/>
      <c r="V120" s="65"/>
      <c r="W120" s="65"/>
      <c r="X120" s="65"/>
      <c r="Y120" s="65"/>
      <c r="Z120" s="65"/>
      <c r="AA120" s="65"/>
      <c r="AB120" s="65"/>
      <c r="AC120" s="65"/>
      <c r="AD120" s="65"/>
      <c r="AE120" s="65"/>
      <c r="AF120" s="65"/>
      <c r="AG120" s="65"/>
      <c r="AH120" s="65"/>
      <c r="AI120" s="65"/>
      <c r="AJ120" s="65"/>
      <c r="AK120" s="65"/>
      <c r="AL120" s="65"/>
      <c r="AM120" s="65"/>
      <c r="AN120" s="65"/>
      <c r="AO120" s="65"/>
      <c r="AP120" s="65"/>
      <c r="AQ120" s="65"/>
      <c r="AR120" s="65"/>
      <c r="AS120" s="65"/>
      <c r="AT120" s="65"/>
      <c r="AU120" s="65"/>
      <c r="AV120" s="65"/>
      <c r="AW120" s="65"/>
      <c r="AX120" s="65"/>
      <c r="AY120" s="65"/>
      <c r="AZ120" s="65"/>
      <c r="BA120" s="65"/>
      <c r="BB120" s="65"/>
      <c r="BC120" s="65"/>
      <c r="BD120" s="65"/>
      <c r="BE120" s="65"/>
      <c r="BF120" s="65"/>
      <c r="BG120" s="65"/>
      <c r="BH120" s="65"/>
      <c r="BI120" s="65"/>
      <c r="BJ120" s="65"/>
      <c r="BK120" s="65"/>
      <c r="BL120" s="65"/>
      <c r="BM120" s="65"/>
      <c r="BN120" s="65"/>
      <c r="BO120" s="65"/>
      <c r="BP120" s="65"/>
      <c r="BQ120" s="65"/>
      <c r="BR120" s="65"/>
      <c r="BS120" s="65"/>
      <c r="BT120" s="65"/>
      <c r="BU120" s="65"/>
      <c r="BV120" s="65"/>
      <c r="BW120" s="65"/>
      <c r="BX120" s="65"/>
      <c r="BY120" s="65"/>
      <c r="BZ120" s="66"/>
    </row>
    <row r="121" spans="1:78" x14ac:dyDescent="0.2">
      <c r="A121" s="63"/>
      <c r="B121" s="72"/>
      <c r="C121" s="104"/>
      <c r="D121" s="103"/>
      <c r="E121" s="82"/>
      <c r="F121" s="64"/>
      <c r="G121" s="65"/>
      <c r="H121" s="65"/>
      <c r="I121" s="65"/>
      <c r="J121" s="65"/>
      <c r="K121" s="65"/>
      <c r="L121" s="65"/>
      <c r="M121" s="65"/>
      <c r="N121" s="65"/>
      <c r="O121" s="65"/>
      <c r="P121" s="65"/>
      <c r="Q121" s="65"/>
      <c r="R121" s="65"/>
      <c r="S121" s="65"/>
      <c r="T121" s="65"/>
      <c r="U121" s="65"/>
      <c r="V121" s="65"/>
      <c r="W121" s="65"/>
      <c r="X121" s="65"/>
      <c r="Y121" s="65"/>
      <c r="Z121" s="65"/>
      <c r="AA121" s="65"/>
      <c r="AB121" s="65"/>
      <c r="AC121" s="65"/>
      <c r="AD121" s="65"/>
      <c r="AE121" s="65"/>
      <c r="AF121" s="65"/>
      <c r="AG121" s="65"/>
      <c r="AH121" s="65"/>
      <c r="AI121" s="65"/>
      <c r="AJ121" s="65"/>
      <c r="AK121" s="65"/>
      <c r="AL121" s="65"/>
      <c r="AM121" s="65"/>
      <c r="AN121" s="65"/>
      <c r="AO121" s="65"/>
      <c r="AP121" s="65"/>
      <c r="AQ121" s="65"/>
      <c r="AR121" s="65"/>
      <c r="AS121" s="65"/>
      <c r="AT121" s="65"/>
      <c r="AU121" s="65"/>
      <c r="AV121" s="65"/>
      <c r="AW121" s="65"/>
      <c r="AX121" s="65"/>
      <c r="AY121" s="65"/>
      <c r="AZ121" s="65"/>
      <c r="BA121" s="65"/>
      <c r="BB121" s="65"/>
      <c r="BC121" s="65"/>
      <c r="BD121" s="65"/>
      <c r="BE121" s="65"/>
      <c r="BF121" s="65"/>
      <c r="BG121" s="65"/>
      <c r="BH121" s="65"/>
      <c r="BI121" s="65"/>
      <c r="BJ121" s="65"/>
      <c r="BK121" s="65"/>
      <c r="BL121" s="65"/>
      <c r="BM121" s="65"/>
      <c r="BN121" s="65"/>
      <c r="BO121" s="65"/>
      <c r="BP121" s="65"/>
      <c r="BQ121" s="65"/>
      <c r="BR121" s="65"/>
      <c r="BS121" s="65"/>
      <c r="BT121" s="65"/>
      <c r="BU121" s="65"/>
      <c r="BV121" s="65"/>
      <c r="BW121" s="65"/>
      <c r="BX121" s="65"/>
      <c r="BY121" s="65"/>
      <c r="BZ121" s="66"/>
    </row>
    <row r="122" spans="1:78" x14ac:dyDescent="0.2">
      <c r="A122" s="63"/>
      <c r="B122" s="55"/>
      <c r="C122" s="103"/>
      <c r="D122" s="103"/>
      <c r="E122" s="82"/>
      <c r="F122" s="64"/>
      <c r="G122" s="65"/>
      <c r="H122" s="65"/>
      <c r="I122" s="65"/>
      <c r="J122" s="65"/>
      <c r="K122" s="65"/>
      <c r="L122" s="65"/>
      <c r="M122" s="65"/>
      <c r="N122" s="65"/>
      <c r="O122" s="65"/>
      <c r="P122" s="65"/>
      <c r="Q122" s="65"/>
      <c r="R122" s="65"/>
      <c r="S122" s="65"/>
      <c r="T122" s="65"/>
      <c r="U122" s="65"/>
      <c r="V122" s="65"/>
      <c r="W122" s="65"/>
      <c r="X122" s="65"/>
      <c r="Y122" s="65"/>
      <c r="Z122" s="65"/>
      <c r="AA122" s="65"/>
      <c r="AB122" s="65"/>
      <c r="AC122" s="65"/>
      <c r="AD122" s="65"/>
      <c r="AE122" s="65"/>
      <c r="AF122" s="65"/>
      <c r="AG122" s="65"/>
      <c r="AH122" s="65"/>
      <c r="AI122" s="65"/>
      <c r="AJ122" s="65"/>
      <c r="AK122" s="65"/>
      <c r="AL122" s="65"/>
      <c r="AM122" s="65"/>
      <c r="AN122" s="65"/>
      <c r="AO122" s="65"/>
      <c r="AP122" s="65"/>
      <c r="AQ122" s="65"/>
      <c r="AR122" s="65"/>
      <c r="AS122" s="65"/>
      <c r="AT122" s="65"/>
      <c r="AU122" s="65"/>
      <c r="AV122" s="65"/>
      <c r="AW122" s="65"/>
      <c r="AX122" s="65"/>
      <c r="AY122" s="65"/>
      <c r="AZ122" s="65"/>
      <c r="BA122" s="65"/>
      <c r="BB122" s="65"/>
      <c r="BC122" s="65"/>
      <c r="BD122" s="65"/>
      <c r="BE122" s="65"/>
      <c r="BF122" s="65"/>
      <c r="BG122" s="65"/>
      <c r="BH122" s="65"/>
      <c r="BI122" s="65"/>
      <c r="BJ122" s="65"/>
      <c r="BK122" s="65"/>
      <c r="BL122" s="65"/>
      <c r="BM122" s="65"/>
      <c r="BN122" s="65"/>
      <c r="BO122" s="65"/>
      <c r="BP122" s="65"/>
      <c r="BQ122" s="65"/>
      <c r="BR122" s="65"/>
      <c r="BS122" s="65"/>
      <c r="BT122" s="65"/>
      <c r="BU122" s="65"/>
      <c r="BV122" s="65"/>
      <c r="BW122" s="65"/>
      <c r="BX122" s="65"/>
      <c r="BY122" s="65"/>
      <c r="BZ122" s="66"/>
    </row>
    <row r="123" spans="1:78" x14ac:dyDescent="0.2">
      <c r="A123" s="63"/>
      <c r="B123" s="72"/>
      <c r="C123" s="104"/>
      <c r="D123" s="103"/>
      <c r="E123" s="82"/>
      <c r="F123" s="64"/>
      <c r="G123" s="65"/>
      <c r="H123" s="65"/>
      <c r="I123" s="65"/>
      <c r="J123" s="65"/>
      <c r="K123" s="65"/>
      <c r="L123" s="65"/>
      <c r="M123" s="65"/>
      <c r="N123" s="65"/>
      <c r="O123" s="65"/>
      <c r="P123" s="65"/>
      <c r="Q123" s="65"/>
      <c r="R123" s="65"/>
      <c r="S123" s="65"/>
      <c r="T123" s="65"/>
      <c r="U123" s="65"/>
      <c r="V123" s="65"/>
      <c r="W123" s="65"/>
      <c r="X123" s="65"/>
      <c r="Y123" s="65"/>
      <c r="Z123" s="65"/>
      <c r="AA123" s="65"/>
      <c r="AB123" s="65"/>
      <c r="AC123" s="65"/>
      <c r="AD123" s="65"/>
      <c r="AE123" s="65"/>
      <c r="AF123" s="65"/>
      <c r="AG123" s="65"/>
      <c r="AH123" s="65"/>
      <c r="AI123" s="65"/>
      <c r="AJ123" s="65"/>
      <c r="AK123" s="65"/>
      <c r="AL123" s="65"/>
      <c r="AM123" s="65"/>
      <c r="AN123" s="65"/>
      <c r="AO123" s="65"/>
      <c r="AP123" s="65"/>
      <c r="AQ123" s="65"/>
      <c r="AR123" s="65"/>
      <c r="AS123" s="65"/>
      <c r="AT123" s="65"/>
      <c r="AU123" s="65"/>
      <c r="AV123" s="65"/>
      <c r="AW123" s="65"/>
      <c r="AX123" s="65"/>
      <c r="AY123" s="65"/>
      <c r="AZ123" s="65"/>
      <c r="BA123" s="65"/>
      <c r="BB123" s="65"/>
      <c r="BC123" s="65"/>
      <c r="BD123" s="65"/>
      <c r="BE123" s="65"/>
      <c r="BF123" s="65"/>
      <c r="BG123" s="65"/>
      <c r="BH123" s="65"/>
      <c r="BI123" s="65"/>
      <c r="BJ123" s="65"/>
      <c r="BK123" s="65"/>
      <c r="BL123" s="65"/>
      <c r="BM123" s="65"/>
      <c r="BN123" s="65"/>
      <c r="BO123" s="65"/>
      <c r="BP123" s="65"/>
      <c r="BQ123" s="65"/>
      <c r="BR123" s="65"/>
      <c r="BS123" s="65"/>
      <c r="BT123" s="65"/>
      <c r="BU123" s="65"/>
      <c r="BV123" s="65"/>
      <c r="BW123" s="65"/>
      <c r="BX123" s="65"/>
      <c r="BY123" s="65"/>
      <c r="BZ123" s="66"/>
    </row>
    <row r="124" spans="1:78" x14ac:dyDescent="0.2">
      <c r="A124" s="67"/>
      <c r="B124" s="55"/>
      <c r="C124" s="103"/>
      <c r="D124" s="103"/>
      <c r="E124" s="82"/>
      <c r="F124" s="64"/>
      <c r="G124" s="65"/>
      <c r="H124" s="65"/>
      <c r="I124" s="65"/>
      <c r="J124" s="65"/>
      <c r="K124" s="65"/>
      <c r="L124" s="65"/>
      <c r="M124" s="65"/>
      <c r="N124" s="65"/>
      <c r="O124" s="65"/>
      <c r="P124" s="65"/>
      <c r="Q124" s="65"/>
      <c r="R124" s="65"/>
      <c r="S124" s="65"/>
      <c r="T124" s="65"/>
      <c r="U124" s="65"/>
      <c r="V124" s="65"/>
      <c r="W124" s="65"/>
      <c r="X124" s="65"/>
      <c r="Y124" s="65"/>
      <c r="Z124" s="65"/>
      <c r="AA124" s="65"/>
      <c r="AB124" s="65"/>
      <c r="AC124" s="65"/>
      <c r="AD124" s="65"/>
      <c r="AE124" s="65"/>
      <c r="AF124" s="65"/>
      <c r="AG124" s="65"/>
      <c r="AH124" s="65"/>
      <c r="AI124" s="65"/>
      <c r="AJ124" s="65"/>
      <c r="AK124" s="65"/>
      <c r="AL124" s="65"/>
      <c r="AM124" s="65"/>
      <c r="AN124" s="65"/>
      <c r="AO124" s="65"/>
      <c r="AP124" s="65"/>
      <c r="AQ124" s="65"/>
      <c r="AR124" s="65"/>
      <c r="AS124" s="65"/>
      <c r="AT124" s="65"/>
      <c r="AU124" s="65"/>
      <c r="AV124" s="65"/>
      <c r="AW124" s="65"/>
      <c r="AX124" s="65"/>
      <c r="AY124" s="65"/>
      <c r="AZ124" s="65"/>
      <c r="BA124" s="65"/>
      <c r="BB124" s="65"/>
      <c r="BC124" s="65"/>
      <c r="BD124" s="65"/>
      <c r="BE124" s="65"/>
      <c r="BF124" s="65"/>
      <c r="BG124" s="65"/>
      <c r="BH124" s="65"/>
      <c r="BI124" s="65"/>
      <c r="BJ124" s="65"/>
      <c r="BK124" s="65"/>
      <c r="BL124" s="65"/>
      <c r="BM124" s="65"/>
      <c r="BN124" s="65"/>
      <c r="BO124" s="65"/>
      <c r="BP124" s="65"/>
      <c r="BQ124" s="65"/>
      <c r="BR124" s="65"/>
      <c r="BS124" s="65"/>
      <c r="BT124" s="65"/>
      <c r="BU124" s="65"/>
      <c r="BV124" s="65"/>
      <c r="BW124" s="65"/>
      <c r="BX124" s="65"/>
      <c r="BY124" s="65"/>
      <c r="BZ124" s="66"/>
    </row>
    <row r="125" spans="1:78" x14ac:dyDescent="0.2">
      <c r="A125" s="63"/>
      <c r="B125" s="72"/>
      <c r="C125" s="104"/>
      <c r="D125" s="103"/>
      <c r="E125" s="82"/>
      <c r="F125" s="64"/>
      <c r="G125" s="65"/>
      <c r="H125" s="65"/>
      <c r="I125" s="65"/>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65"/>
      <c r="AG125" s="65"/>
      <c r="AH125" s="65"/>
      <c r="AI125" s="65"/>
      <c r="AJ125" s="65"/>
      <c r="AK125" s="65"/>
      <c r="AL125" s="65"/>
      <c r="AM125" s="65"/>
      <c r="AN125" s="65"/>
      <c r="AO125" s="65"/>
      <c r="AP125" s="65"/>
      <c r="AQ125" s="65"/>
      <c r="AR125" s="65"/>
      <c r="AS125" s="65"/>
      <c r="AT125" s="65"/>
      <c r="AU125" s="65"/>
      <c r="AV125" s="65"/>
      <c r="AW125" s="65"/>
      <c r="AX125" s="65"/>
      <c r="AY125" s="65"/>
      <c r="AZ125" s="65"/>
      <c r="BA125" s="65"/>
      <c r="BB125" s="65"/>
      <c r="BC125" s="65"/>
      <c r="BD125" s="65"/>
      <c r="BE125" s="65"/>
      <c r="BF125" s="65"/>
      <c r="BG125" s="65"/>
      <c r="BH125" s="65"/>
      <c r="BI125" s="65"/>
      <c r="BJ125" s="65"/>
      <c r="BK125" s="65"/>
      <c r="BL125" s="65"/>
      <c r="BM125" s="65"/>
      <c r="BN125" s="65"/>
      <c r="BO125" s="65"/>
      <c r="BP125" s="65"/>
      <c r="BQ125" s="65"/>
      <c r="BR125" s="65"/>
      <c r="BS125" s="65"/>
      <c r="BT125" s="65"/>
      <c r="BU125" s="65"/>
      <c r="BV125" s="65"/>
      <c r="BW125" s="65"/>
      <c r="BX125" s="65"/>
      <c r="BY125" s="65"/>
      <c r="BZ125" s="66"/>
    </row>
    <row r="126" spans="1:78" x14ac:dyDescent="0.2">
      <c r="A126" s="67"/>
      <c r="B126" s="72"/>
      <c r="C126" s="104"/>
      <c r="D126" s="103"/>
      <c r="E126" s="82"/>
      <c r="F126" s="64"/>
      <c r="G126" s="65"/>
      <c r="H126" s="65"/>
      <c r="I126" s="65"/>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65"/>
      <c r="AG126" s="65"/>
      <c r="AH126" s="65"/>
      <c r="AI126" s="65"/>
      <c r="AJ126" s="65"/>
      <c r="AK126" s="65"/>
      <c r="AL126" s="65"/>
      <c r="AM126" s="65"/>
      <c r="AN126" s="65"/>
      <c r="AO126" s="65"/>
      <c r="AP126" s="65"/>
      <c r="AQ126" s="65"/>
      <c r="AR126" s="65"/>
      <c r="AS126" s="65"/>
      <c r="AT126" s="65"/>
      <c r="AU126" s="65"/>
      <c r="AV126" s="65"/>
      <c r="AW126" s="65"/>
      <c r="AX126" s="65"/>
      <c r="AY126" s="65"/>
      <c r="AZ126" s="65"/>
      <c r="BA126" s="65"/>
      <c r="BB126" s="65"/>
      <c r="BC126" s="65"/>
      <c r="BD126" s="65"/>
      <c r="BE126" s="65"/>
      <c r="BF126" s="65"/>
      <c r="BG126" s="65"/>
      <c r="BH126" s="65"/>
      <c r="BI126" s="65"/>
      <c r="BJ126" s="65"/>
      <c r="BK126" s="65"/>
      <c r="BL126" s="65"/>
      <c r="BM126" s="65"/>
      <c r="BN126" s="65"/>
      <c r="BO126" s="65"/>
      <c r="BP126" s="65"/>
      <c r="BQ126" s="65"/>
      <c r="BR126" s="65"/>
      <c r="BS126" s="65"/>
      <c r="BT126" s="65"/>
      <c r="BU126" s="65"/>
      <c r="BV126" s="65"/>
      <c r="BW126" s="65"/>
      <c r="BX126" s="65"/>
      <c r="BY126" s="65"/>
      <c r="BZ126" s="66"/>
    </row>
    <row r="127" spans="1:78" x14ac:dyDescent="0.2">
      <c r="A127" s="67"/>
      <c r="B127" s="55"/>
      <c r="C127" s="103"/>
      <c r="D127" s="103"/>
      <c r="E127" s="82"/>
      <c r="F127" s="64"/>
      <c r="G127" s="65"/>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65"/>
      <c r="AI127" s="65"/>
      <c r="AJ127" s="65"/>
      <c r="AK127" s="65"/>
      <c r="AL127" s="65"/>
      <c r="AM127" s="65"/>
      <c r="AN127" s="65"/>
      <c r="AO127" s="65"/>
      <c r="AP127" s="65"/>
      <c r="AQ127" s="65"/>
      <c r="AR127" s="65"/>
      <c r="AS127" s="65"/>
      <c r="AT127" s="65"/>
      <c r="AU127" s="65"/>
      <c r="AV127" s="65"/>
      <c r="AW127" s="65"/>
      <c r="AX127" s="65"/>
      <c r="AY127" s="65"/>
      <c r="AZ127" s="65"/>
      <c r="BA127" s="65"/>
      <c r="BB127" s="65"/>
      <c r="BC127" s="65"/>
      <c r="BD127" s="65"/>
      <c r="BE127" s="65"/>
      <c r="BF127" s="65"/>
      <c r="BG127" s="65"/>
      <c r="BH127" s="65"/>
      <c r="BI127" s="65"/>
      <c r="BJ127" s="65"/>
      <c r="BK127" s="65"/>
      <c r="BL127" s="65"/>
      <c r="BM127" s="65"/>
      <c r="BN127" s="65"/>
      <c r="BO127" s="65"/>
      <c r="BP127" s="65"/>
      <c r="BQ127" s="65"/>
      <c r="BR127" s="65"/>
      <c r="BS127" s="65"/>
      <c r="BT127" s="65"/>
      <c r="BU127" s="65"/>
      <c r="BV127" s="65"/>
      <c r="BW127" s="65"/>
      <c r="BX127" s="65"/>
      <c r="BY127" s="65"/>
      <c r="BZ127" s="66"/>
    </row>
    <row r="128" spans="1:78" x14ac:dyDescent="0.2">
      <c r="A128" s="67"/>
      <c r="B128" s="55"/>
      <c r="C128" s="103"/>
      <c r="D128" s="103"/>
      <c r="E128" s="82"/>
      <c r="F128" s="64"/>
      <c r="G128" s="65"/>
      <c r="H128" s="65"/>
      <c r="I128" s="65"/>
      <c r="J128" s="65"/>
      <c r="K128" s="65"/>
      <c r="L128" s="65"/>
      <c r="M128" s="65"/>
      <c r="N128" s="65"/>
      <c r="O128" s="65"/>
      <c r="P128" s="65"/>
      <c r="Q128" s="65"/>
      <c r="R128" s="65"/>
      <c r="S128" s="65"/>
      <c r="T128" s="65"/>
      <c r="U128" s="65"/>
      <c r="V128" s="65"/>
      <c r="W128" s="65"/>
      <c r="X128" s="65"/>
      <c r="Y128" s="65"/>
      <c r="Z128" s="65"/>
      <c r="AA128" s="65"/>
      <c r="AB128" s="65"/>
      <c r="AC128" s="65"/>
      <c r="AD128" s="65"/>
      <c r="AE128" s="65"/>
      <c r="AF128" s="65"/>
      <c r="AG128" s="65"/>
      <c r="AH128" s="65"/>
      <c r="AI128" s="65"/>
      <c r="AJ128" s="65"/>
      <c r="AK128" s="65"/>
      <c r="AL128" s="65"/>
      <c r="AM128" s="65"/>
      <c r="AN128" s="65"/>
      <c r="AO128" s="65"/>
      <c r="AP128" s="65"/>
      <c r="AQ128" s="65"/>
      <c r="AR128" s="65"/>
      <c r="AS128" s="65"/>
      <c r="AT128" s="65"/>
      <c r="AU128" s="65"/>
      <c r="AV128" s="65"/>
      <c r="AW128" s="65"/>
      <c r="AX128" s="65"/>
      <c r="AY128" s="65"/>
      <c r="AZ128" s="65"/>
      <c r="BA128" s="65"/>
      <c r="BB128" s="65"/>
      <c r="BC128" s="65"/>
      <c r="BD128" s="65"/>
      <c r="BE128" s="65"/>
      <c r="BF128" s="65"/>
      <c r="BG128" s="65"/>
      <c r="BH128" s="65"/>
      <c r="BI128" s="65"/>
      <c r="BJ128" s="65"/>
      <c r="BK128" s="65"/>
      <c r="BL128" s="65"/>
      <c r="BM128" s="65"/>
      <c r="BN128" s="65"/>
      <c r="BO128" s="65"/>
      <c r="BP128" s="65"/>
      <c r="BQ128" s="65"/>
      <c r="BR128" s="65"/>
      <c r="BS128" s="65"/>
      <c r="BT128" s="65"/>
      <c r="BU128" s="65"/>
      <c r="BV128" s="65"/>
      <c r="BW128" s="65"/>
      <c r="BX128" s="65"/>
      <c r="BY128" s="65"/>
      <c r="BZ128" s="66"/>
    </row>
    <row r="129" spans="1:78" x14ac:dyDescent="0.2">
      <c r="A129" s="63"/>
      <c r="B129" s="55"/>
      <c r="C129" s="103"/>
      <c r="D129" s="103"/>
      <c r="E129" s="82"/>
      <c r="F129" s="64"/>
      <c r="G129" s="65"/>
      <c r="H129" s="65"/>
      <c r="I129" s="65"/>
      <c r="J129" s="65"/>
      <c r="K129" s="65"/>
      <c r="L129" s="65"/>
      <c r="M129" s="65"/>
      <c r="N129" s="65"/>
      <c r="O129" s="65"/>
      <c r="P129" s="65"/>
      <c r="Q129" s="65"/>
      <c r="R129" s="65"/>
      <c r="S129" s="65"/>
      <c r="T129" s="65"/>
      <c r="U129" s="65"/>
      <c r="V129" s="65"/>
      <c r="W129" s="65"/>
      <c r="X129" s="65"/>
      <c r="Y129" s="65"/>
      <c r="Z129" s="65"/>
      <c r="AA129" s="65"/>
      <c r="AB129" s="65"/>
      <c r="AC129" s="65"/>
      <c r="AD129" s="65"/>
      <c r="AE129" s="65"/>
      <c r="AF129" s="65"/>
      <c r="AG129" s="65"/>
      <c r="AH129" s="65"/>
      <c r="AI129" s="65"/>
      <c r="AJ129" s="65"/>
      <c r="AK129" s="65"/>
      <c r="AL129" s="65"/>
      <c r="AM129" s="65"/>
      <c r="AN129" s="65"/>
      <c r="AO129" s="65"/>
      <c r="AP129" s="65"/>
      <c r="AQ129" s="65"/>
      <c r="AR129" s="65"/>
      <c r="AS129" s="65"/>
      <c r="AT129" s="65"/>
      <c r="AU129" s="65"/>
      <c r="AV129" s="65"/>
      <c r="AW129" s="65"/>
      <c r="AX129" s="65"/>
      <c r="AY129" s="65"/>
      <c r="AZ129" s="65"/>
      <c r="BA129" s="65"/>
      <c r="BB129" s="65"/>
      <c r="BC129" s="65"/>
      <c r="BD129" s="65"/>
      <c r="BE129" s="65"/>
      <c r="BF129" s="65"/>
      <c r="BG129" s="65"/>
      <c r="BH129" s="65"/>
      <c r="BI129" s="65"/>
      <c r="BJ129" s="65"/>
      <c r="BK129" s="65"/>
      <c r="BL129" s="65"/>
      <c r="BM129" s="65"/>
      <c r="BN129" s="65"/>
      <c r="BO129" s="65"/>
      <c r="BP129" s="65"/>
      <c r="BQ129" s="65"/>
      <c r="BR129" s="65"/>
      <c r="BS129" s="65"/>
      <c r="BT129" s="65"/>
      <c r="BU129" s="65"/>
      <c r="BV129" s="65"/>
      <c r="BW129" s="65"/>
      <c r="BX129" s="65"/>
      <c r="BY129" s="65"/>
      <c r="BZ129" s="66"/>
    </row>
    <row r="130" spans="1:78" x14ac:dyDescent="0.2">
      <c r="A130" s="63"/>
      <c r="B130" s="55"/>
      <c r="C130" s="103"/>
      <c r="D130" s="103"/>
      <c r="E130" s="82"/>
      <c r="F130" s="94"/>
      <c r="G130" s="95"/>
      <c r="H130" s="95"/>
      <c r="I130" s="95"/>
      <c r="J130" s="95"/>
      <c r="K130" s="95"/>
      <c r="L130" s="95"/>
      <c r="M130" s="95"/>
      <c r="N130" s="95"/>
      <c r="O130" s="95"/>
      <c r="P130" s="95"/>
      <c r="Q130" s="95"/>
      <c r="R130" s="95"/>
      <c r="S130" s="95"/>
      <c r="T130" s="95"/>
      <c r="U130" s="95"/>
      <c r="V130" s="95"/>
      <c r="W130" s="95"/>
      <c r="X130" s="95"/>
      <c r="Y130" s="95"/>
      <c r="Z130" s="95"/>
      <c r="AA130" s="95"/>
      <c r="AB130" s="95"/>
      <c r="AC130" s="95"/>
      <c r="AD130" s="95"/>
      <c r="AE130" s="95"/>
      <c r="AF130" s="95"/>
      <c r="AG130" s="95"/>
      <c r="AH130" s="95"/>
      <c r="AI130" s="95"/>
      <c r="AJ130" s="95"/>
      <c r="AK130" s="95"/>
      <c r="AL130" s="95"/>
      <c r="AM130" s="95"/>
      <c r="AN130" s="95"/>
      <c r="AO130" s="95"/>
      <c r="AP130" s="95"/>
      <c r="AQ130" s="95"/>
      <c r="AR130" s="95"/>
      <c r="AS130" s="95"/>
      <c r="AT130" s="95"/>
      <c r="AU130" s="95"/>
      <c r="AV130" s="95"/>
      <c r="AW130" s="95"/>
      <c r="AX130" s="95"/>
      <c r="AY130" s="95"/>
      <c r="AZ130" s="95"/>
      <c r="BA130" s="95"/>
      <c r="BB130" s="95"/>
      <c r="BC130" s="95"/>
      <c r="BD130" s="95"/>
      <c r="BE130" s="95"/>
      <c r="BF130" s="95"/>
      <c r="BG130" s="95"/>
      <c r="BH130" s="95"/>
      <c r="BI130" s="95"/>
      <c r="BJ130" s="95"/>
      <c r="BK130" s="95"/>
      <c r="BL130" s="95"/>
      <c r="BM130" s="95"/>
      <c r="BN130" s="95"/>
      <c r="BO130" s="95"/>
      <c r="BP130" s="95"/>
      <c r="BQ130" s="95"/>
      <c r="BR130" s="95"/>
      <c r="BS130" s="95"/>
      <c r="BT130" s="95"/>
      <c r="BU130" s="95"/>
      <c r="BV130" s="95"/>
      <c r="BW130" s="95"/>
      <c r="BX130" s="95"/>
      <c r="BY130" s="95"/>
      <c r="BZ130" s="96"/>
    </row>
    <row r="131" spans="1:78" x14ac:dyDescent="0.2">
      <c r="A131" s="63"/>
      <c r="B131" s="55"/>
      <c r="C131" s="103"/>
      <c r="D131" s="103"/>
      <c r="E131" s="82"/>
      <c r="F131" s="94"/>
      <c r="G131" s="95"/>
      <c r="H131" s="95"/>
      <c r="I131" s="95"/>
      <c r="J131" s="95"/>
      <c r="K131" s="95"/>
      <c r="L131" s="95"/>
      <c r="M131" s="95"/>
      <c r="N131" s="95"/>
      <c r="O131" s="95"/>
      <c r="P131" s="95"/>
      <c r="Q131" s="95"/>
      <c r="R131" s="95"/>
      <c r="S131" s="95"/>
      <c r="T131" s="95"/>
      <c r="U131" s="95"/>
      <c r="V131" s="95"/>
      <c r="W131" s="95"/>
      <c r="X131" s="95"/>
      <c r="Y131" s="95"/>
      <c r="Z131" s="95"/>
      <c r="AA131" s="95"/>
      <c r="AB131" s="95"/>
      <c r="AC131" s="95"/>
      <c r="AD131" s="95"/>
      <c r="AE131" s="95"/>
      <c r="AF131" s="95"/>
      <c r="AG131" s="95"/>
      <c r="AH131" s="95"/>
      <c r="AI131" s="95"/>
      <c r="AJ131" s="95"/>
      <c r="AK131" s="95"/>
      <c r="AL131" s="95"/>
      <c r="AM131" s="95"/>
      <c r="AN131" s="95"/>
      <c r="AO131" s="95"/>
      <c r="AP131" s="95"/>
      <c r="AQ131" s="95"/>
      <c r="AR131" s="95"/>
      <c r="AS131" s="95"/>
      <c r="AT131" s="95"/>
      <c r="AU131" s="95"/>
      <c r="AV131" s="95"/>
      <c r="AW131" s="95"/>
      <c r="AX131" s="95"/>
      <c r="AY131" s="95"/>
      <c r="AZ131" s="95"/>
      <c r="BA131" s="95"/>
      <c r="BB131" s="95"/>
      <c r="BC131" s="95"/>
      <c r="BD131" s="95"/>
      <c r="BE131" s="95"/>
      <c r="BF131" s="95"/>
      <c r="BG131" s="95"/>
      <c r="BH131" s="95"/>
      <c r="BI131" s="95"/>
      <c r="BJ131" s="95"/>
      <c r="BK131" s="95"/>
      <c r="BL131" s="95"/>
      <c r="BM131" s="95"/>
      <c r="BN131" s="95"/>
      <c r="BO131" s="95"/>
      <c r="BP131" s="95"/>
      <c r="BQ131" s="95"/>
      <c r="BR131" s="95"/>
      <c r="BS131" s="95"/>
      <c r="BT131" s="95"/>
      <c r="BU131" s="95"/>
      <c r="BV131" s="95"/>
      <c r="BW131" s="95"/>
      <c r="BX131" s="95"/>
      <c r="BY131" s="95"/>
      <c r="BZ131" s="96"/>
    </row>
    <row r="132" spans="1:78" x14ac:dyDescent="0.2">
      <c r="A132" s="63"/>
      <c r="B132" s="55"/>
      <c r="C132" s="103"/>
      <c r="D132" s="103"/>
      <c r="E132" s="82"/>
      <c r="F132" s="94"/>
      <c r="G132" s="95"/>
      <c r="H132" s="95"/>
      <c r="I132" s="95"/>
      <c r="J132" s="95"/>
      <c r="K132" s="95"/>
      <c r="L132" s="95"/>
      <c r="M132" s="95"/>
      <c r="N132" s="95"/>
      <c r="O132" s="95"/>
      <c r="P132" s="95"/>
      <c r="Q132" s="95"/>
      <c r="R132" s="95"/>
      <c r="S132" s="95"/>
      <c r="T132" s="95"/>
      <c r="U132" s="95"/>
      <c r="V132" s="95"/>
      <c r="W132" s="95"/>
      <c r="X132" s="95"/>
      <c r="Y132" s="95"/>
      <c r="Z132" s="95"/>
      <c r="AA132" s="95"/>
      <c r="AB132" s="95"/>
      <c r="AC132" s="95"/>
      <c r="AD132" s="95"/>
      <c r="AE132" s="95"/>
      <c r="AF132" s="95"/>
      <c r="AG132" s="95"/>
      <c r="AH132" s="95"/>
      <c r="AI132" s="95"/>
      <c r="AJ132" s="95"/>
      <c r="AK132" s="95"/>
      <c r="AL132" s="95"/>
      <c r="AM132" s="95"/>
      <c r="AN132" s="95"/>
      <c r="AO132" s="95"/>
      <c r="AP132" s="95"/>
      <c r="AQ132" s="95"/>
      <c r="AR132" s="95"/>
      <c r="AS132" s="95"/>
      <c r="AT132" s="95"/>
      <c r="AU132" s="95"/>
      <c r="AV132" s="95"/>
      <c r="AW132" s="95"/>
      <c r="AX132" s="95"/>
      <c r="AY132" s="95"/>
      <c r="AZ132" s="95"/>
      <c r="BA132" s="95"/>
      <c r="BB132" s="95"/>
      <c r="BC132" s="95"/>
      <c r="BD132" s="95"/>
      <c r="BE132" s="95"/>
      <c r="BF132" s="95"/>
      <c r="BG132" s="95"/>
      <c r="BH132" s="95"/>
      <c r="BI132" s="95"/>
      <c r="BJ132" s="95"/>
      <c r="BK132" s="95"/>
      <c r="BL132" s="95"/>
      <c r="BM132" s="95"/>
      <c r="BN132" s="95"/>
      <c r="BO132" s="95"/>
      <c r="BP132" s="95"/>
      <c r="BQ132" s="95"/>
      <c r="BR132" s="95"/>
      <c r="BS132" s="95"/>
      <c r="BT132" s="95"/>
      <c r="BU132" s="95"/>
      <c r="BV132" s="95"/>
      <c r="BW132" s="95"/>
      <c r="BX132" s="95"/>
      <c r="BY132" s="95"/>
      <c r="BZ132" s="96"/>
    </row>
    <row r="133" spans="1:78" x14ac:dyDescent="0.2">
      <c r="A133" s="63"/>
      <c r="B133" s="55"/>
      <c r="C133" s="103"/>
      <c r="D133" s="103"/>
      <c r="E133" s="82"/>
      <c r="F133" s="94"/>
      <c r="G133" s="95"/>
      <c r="H133" s="95"/>
      <c r="I133" s="95"/>
      <c r="J133" s="95"/>
      <c r="K133" s="95"/>
      <c r="L133" s="95"/>
      <c r="M133" s="95"/>
      <c r="N133" s="95"/>
      <c r="O133" s="95"/>
      <c r="P133" s="95"/>
      <c r="Q133" s="95"/>
      <c r="R133" s="95"/>
      <c r="S133" s="95"/>
      <c r="T133" s="95"/>
      <c r="U133" s="95"/>
      <c r="V133" s="95"/>
      <c r="W133" s="95"/>
      <c r="X133" s="95"/>
      <c r="Y133" s="95"/>
      <c r="Z133" s="95"/>
      <c r="AA133" s="95"/>
      <c r="AB133" s="95"/>
      <c r="AC133" s="95"/>
      <c r="AD133" s="95"/>
      <c r="AE133" s="95"/>
      <c r="AF133" s="95"/>
      <c r="AG133" s="95"/>
      <c r="AH133" s="95"/>
      <c r="AI133" s="95"/>
      <c r="AJ133" s="95"/>
      <c r="AK133" s="95"/>
      <c r="AL133" s="95"/>
      <c r="AM133" s="95"/>
      <c r="AN133" s="95"/>
      <c r="AO133" s="95"/>
      <c r="AP133" s="95"/>
      <c r="AQ133" s="95"/>
      <c r="AR133" s="95"/>
      <c r="AS133" s="95"/>
      <c r="AT133" s="95"/>
      <c r="AU133" s="95"/>
      <c r="AV133" s="95"/>
      <c r="AW133" s="95"/>
      <c r="AX133" s="95"/>
      <c r="AY133" s="95"/>
      <c r="AZ133" s="95"/>
      <c r="BA133" s="95"/>
      <c r="BB133" s="95"/>
      <c r="BC133" s="95"/>
      <c r="BD133" s="95"/>
      <c r="BE133" s="95"/>
      <c r="BF133" s="95"/>
      <c r="BG133" s="95"/>
      <c r="BH133" s="95"/>
      <c r="BI133" s="95"/>
      <c r="BJ133" s="95"/>
      <c r="BK133" s="95"/>
      <c r="BL133" s="95"/>
      <c r="BM133" s="95"/>
      <c r="BN133" s="95"/>
      <c r="BO133" s="95"/>
      <c r="BP133" s="95"/>
      <c r="BQ133" s="95"/>
      <c r="BR133" s="95"/>
      <c r="BS133" s="95"/>
      <c r="BT133" s="95"/>
      <c r="BU133" s="95"/>
      <c r="BV133" s="95"/>
      <c r="BW133" s="95"/>
      <c r="BX133" s="95"/>
      <c r="BY133" s="95"/>
      <c r="BZ133" s="96"/>
    </row>
    <row r="134" spans="1:78" x14ac:dyDescent="0.2">
      <c r="A134" s="63"/>
      <c r="B134" s="55"/>
      <c r="C134" s="103"/>
      <c r="D134" s="103"/>
      <c r="E134" s="82"/>
      <c r="F134" s="94"/>
      <c r="G134" s="95"/>
      <c r="H134" s="95"/>
      <c r="I134" s="95"/>
      <c r="J134" s="95"/>
      <c r="K134" s="95"/>
      <c r="L134" s="95"/>
      <c r="M134" s="95"/>
      <c r="N134" s="95"/>
      <c r="O134" s="95"/>
      <c r="P134" s="95"/>
      <c r="Q134" s="95"/>
      <c r="R134" s="95"/>
      <c r="S134" s="95"/>
      <c r="T134" s="95"/>
      <c r="U134" s="95"/>
      <c r="V134" s="95"/>
      <c r="W134" s="95"/>
      <c r="X134" s="95"/>
      <c r="Y134" s="95"/>
      <c r="Z134" s="95"/>
      <c r="AA134" s="95"/>
      <c r="AB134" s="95"/>
      <c r="AC134" s="95"/>
      <c r="AD134" s="95"/>
      <c r="AE134" s="95"/>
      <c r="AF134" s="95"/>
      <c r="AG134" s="95"/>
      <c r="AH134" s="95"/>
      <c r="AI134" s="95"/>
      <c r="AJ134" s="95"/>
      <c r="AK134" s="95"/>
      <c r="AL134" s="95"/>
      <c r="AM134" s="95"/>
      <c r="AN134" s="95"/>
      <c r="AO134" s="95"/>
      <c r="AP134" s="95"/>
      <c r="AQ134" s="95"/>
      <c r="AR134" s="95"/>
      <c r="AS134" s="95"/>
      <c r="AT134" s="95"/>
      <c r="AU134" s="95"/>
      <c r="AV134" s="95"/>
      <c r="AW134" s="95"/>
      <c r="AX134" s="95"/>
      <c r="AY134" s="95"/>
      <c r="AZ134" s="95"/>
      <c r="BA134" s="95"/>
      <c r="BB134" s="95"/>
      <c r="BC134" s="95"/>
      <c r="BD134" s="95"/>
      <c r="BE134" s="95"/>
      <c r="BF134" s="95"/>
      <c r="BG134" s="95"/>
      <c r="BH134" s="95"/>
      <c r="BI134" s="95"/>
      <c r="BJ134" s="95"/>
      <c r="BK134" s="95"/>
      <c r="BL134" s="95"/>
      <c r="BM134" s="95"/>
      <c r="BN134" s="95"/>
      <c r="BO134" s="95"/>
      <c r="BP134" s="95"/>
      <c r="BQ134" s="95"/>
      <c r="BR134" s="95"/>
      <c r="BS134" s="95"/>
      <c r="BT134" s="95"/>
      <c r="BU134" s="95"/>
      <c r="BV134" s="95"/>
      <c r="BW134" s="95"/>
      <c r="BX134" s="95"/>
      <c r="BY134" s="95"/>
      <c r="BZ134" s="96"/>
    </row>
    <row r="135" spans="1:78" x14ac:dyDescent="0.2">
      <c r="A135" s="63"/>
      <c r="B135" s="55"/>
      <c r="C135" s="103"/>
      <c r="D135" s="103"/>
      <c r="E135" s="82"/>
      <c r="F135" s="94"/>
      <c r="G135" s="95"/>
      <c r="H135" s="95"/>
      <c r="I135" s="95"/>
      <c r="J135" s="95"/>
      <c r="K135" s="95"/>
      <c r="L135" s="95"/>
      <c r="M135" s="95"/>
      <c r="N135" s="95"/>
      <c r="O135" s="95"/>
      <c r="P135" s="95"/>
      <c r="Q135" s="95"/>
      <c r="R135" s="95"/>
      <c r="S135" s="95"/>
      <c r="T135" s="95"/>
      <c r="U135" s="95"/>
      <c r="V135" s="95"/>
      <c r="W135" s="95"/>
      <c r="X135" s="95"/>
      <c r="Y135" s="95"/>
      <c r="Z135" s="95"/>
      <c r="AA135" s="95"/>
      <c r="AB135" s="95"/>
      <c r="AC135" s="95"/>
      <c r="AD135" s="95"/>
      <c r="AE135" s="95"/>
      <c r="AF135" s="95"/>
      <c r="AG135" s="95"/>
      <c r="AH135" s="95"/>
      <c r="AI135" s="95"/>
      <c r="AJ135" s="95"/>
      <c r="AK135" s="95"/>
      <c r="AL135" s="95"/>
      <c r="AM135" s="95"/>
      <c r="AN135" s="95"/>
      <c r="AO135" s="95"/>
      <c r="AP135" s="95"/>
      <c r="AQ135" s="95"/>
      <c r="AR135" s="95"/>
      <c r="AS135" s="95"/>
      <c r="AT135" s="95"/>
      <c r="AU135" s="95"/>
      <c r="AV135" s="95"/>
      <c r="AW135" s="95"/>
      <c r="AX135" s="95"/>
      <c r="AY135" s="95"/>
      <c r="AZ135" s="95"/>
      <c r="BA135" s="95"/>
      <c r="BB135" s="95"/>
      <c r="BC135" s="95"/>
      <c r="BD135" s="95"/>
      <c r="BE135" s="95"/>
      <c r="BF135" s="95"/>
      <c r="BG135" s="95"/>
      <c r="BH135" s="95"/>
      <c r="BI135" s="95"/>
      <c r="BJ135" s="95"/>
      <c r="BK135" s="95"/>
      <c r="BL135" s="95"/>
      <c r="BM135" s="95"/>
      <c r="BN135" s="95"/>
      <c r="BO135" s="95"/>
      <c r="BP135" s="95"/>
      <c r="BQ135" s="95"/>
      <c r="BR135" s="95"/>
      <c r="BS135" s="95"/>
      <c r="BT135" s="95"/>
      <c r="BU135" s="95"/>
      <c r="BV135" s="95"/>
      <c r="BW135" s="95"/>
      <c r="BX135" s="95"/>
      <c r="BY135" s="95"/>
      <c r="BZ135" s="96"/>
    </row>
    <row r="136" spans="1:78" x14ac:dyDescent="0.2">
      <c r="A136" s="63"/>
      <c r="B136" s="55"/>
      <c r="C136" s="103"/>
      <c r="D136" s="103"/>
      <c r="E136" s="82"/>
      <c r="F136" s="64"/>
      <c r="G136" s="65"/>
      <c r="H136" s="65"/>
      <c r="I136" s="65"/>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65"/>
      <c r="AI136" s="65"/>
      <c r="AJ136" s="65"/>
      <c r="AK136" s="65"/>
      <c r="AL136" s="65"/>
      <c r="AM136" s="65"/>
      <c r="AN136" s="65"/>
      <c r="AO136" s="65"/>
      <c r="AP136" s="65"/>
      <c r="AQ136" s="65"/>
      <c r="AR136" s="65"/>
      <c r="AS136" s="65"/>
      <c r="AT136" s="65"/>
      <c r="AU136" s="65"/>
      <c r="AV136" s="65"/>
      <c r="AW136" s="65"/>
      <c r="AX136" s="65"/>
      <c r="AY136" s="65"/>
      <c r="AZ136" s="65"/>
      <c r="BA136" s="65"/>
      <c r="BB136" s="65"/>
      <c r="BC136" s="65"/>
      <c r="BD136" s="65"/>
      <c r="BE136" s="65"/>
      <c r="BF136" s="65"/>
      <c r="BG136" s="65"/>
      <c r="BH136" s="65"/>
      <c r="BI136" s="65"/>
      <c r="BJ136" s="65"/>
      <c r="BK136" s="65"/>
      <c r="BL136" s="65"/>
      <c r="BM136" s="65"/>
      <c r="BN136" s="65"/>
      <c r="BO136" s="65"/>
      <c r="BP136" s="65"/>
      <c r="BQ136" s="65"/>
      <c r="BR136" s="65"/>
      <c r="BS136" s="65"/>
      <c r="BT136" s="65"/>
      <c r="BU136" s="65"/>
      <c r="BV136" s="65"/>
      <c r="BW136" s="65"/>
      <c r="BX136" s="65"/>
      <c r="BY136" s="65"/>
      <c r="BZ136" s="66"/>
    </row>
    <row r="137" spans="1:78" x14ac:dyDescent="0.2">
      <c r="A137" s="63"/>
      <c r="B137" s="55"/>
      <c r="C137" s="103"/>
      <c r="D137" s="103"/>
      <c r="E137" s="82"/>
      <c r="F137" s="64"/>
      <c r="G137" s="65"/>
      <c r="H137" s="65"/>
      <c r="I137" s="65"/>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65"/>
      <c r="AI137" s="65"/>
      <c r="AJ137" s="65"/>
      <c r="AK137" s="65"/>
      <c r="AL137" s="65"/>
      <c r="AM137" s="65"/>
      <c r="AN137" s="65"/>
      <c r="AO137" s="65"/>
      <c r="AP137" s="65"/>
      <c r="AQ137" s="65"/>
      <c r="AR137" s="65"/>
      <c r="AS137" s="65"/>
      <c r="AT137" s="65"/>
      <c r="AU137" s="65"/>
      <c r="AV137" s="65"/>
      <c r="AW137" s="65"/>
      <c r="AX137" s="65"/>
      <c r="AY137" s="65"/>
      <c r="AZ137" s="65"/>
      <c r="BA137" s="65"/>
      <c r="BB137" s="65"/>
      <c r="BC137" s="65"/>
      <c r="BD137" s="65"/>
      <c r="BE137" s="65"/>
      <c r="BF137" s="65"/>
      <c r="BG137" s="65"/>
      <c r="BH137" s="65"/>
      <c r="BI137" s="65"/>
      <c r="BJ137" s="65"/>
      <c r="BK137" s="65"/>
      <c r="BL137" s="65"/>
      <c r="BM137" s="65"/>
      <c r="BN137" s="65"/>
      <c r="BO137" s="65"/>
      <c r="BP137" s="65"/>
      <c r="BQ137" s="65"/>
      <c r="BR137" s="65"/>
      <c r="BS137" s="65"/>
      <c r="BT137" s="65"/>
      <c r="BU137" s="65"/>
      <c r="BV137" s="65"/>
      <c r="BW137" s="65"/>
      <c r="BX137" s="65"/>
      <c r="BY137" s="65"/>
      <c r="BZ137" s="66"/>
    </row>
    <row r="138" spans="1:78" x14ac:dyDescent="0.2">
      <c r="A138" s="63"/>
      <c r="B138" s="55"/>
      <c r="C138" s="103"/>
      <c r="D138" s="103"/>
      <c r="E138" s="82"/>
      <c r="F138" s="94"/>
      <c r="G138" s="95"/>
      <c r="H138" s="95"/>
      <c r="I138" s="95"/>
      <c r="J138" s="95"/>
      <c r="K138" s="95"/>
      <c r="L138" s="95"/>
      <c r="M138" s="95"/>
      <c r="N138" s="95"/>
      <c r="O138" s="95"/>
      <c r="P138" s="95"/>
      <c r="Q138" s="95"/>
      <c r="R138" s="95"/>
      <c r="S138" s="95"/>
      <c r="T138" s="95"/>
      <c r="U138" s="95"/>
      <c r="V138" s="95"/>
      <c r="W138" s="95"/>
      <c r="X138" s="95"/>
      <c r="Y138" s="95"/>
      <c r="Z138" s="95"/>
      <c r="AA138" s="95"/>
      <c r="AB138" s="95"/>
      <c r="AC138" s="95"/>
      <c r="AD138" s="95"/>
      <c r="AE138" s="95"/>
      <c r="AF138" s="95"/>
      <c r="AG138" s="95"/>
      <c r="AH138" s="95"/>
      <c r="AI138" s="95"/>
      <c r="AJ138" s="95"/>
      <c r="AK138" s="95"/>
      <c r="AL138" s="95"/>
      <c r="AM138" s="95"/>
      <c r="AN138" s="95"/>
      <c r="AO138" s="95"/>
      <c r="AP138" s="95"/>
      <c r="AQ138" s="95"/>
      <c r="AR138" s="95"/>
      <c r="AS138" s="95"/>
      <c r="AT138" s="95"/>
      <c r="AU138" s="95"/>
      <c r="AV138" s="95"/>
      <c r="AW138" s="95"/>
      <c r="AX138" s="95"/>
      <c r="AY138" s="95"/>
      <c r="AZ138" s="95"/>
      <c r="BA138" s="95"/>
      <c r="BB138" s="95"/>
      <c r="BC138" s="95"/>
      <c r="BD138" s="95"/>
      <c r="BE138" s="95"/>
      <c r="BF138" s="95"/>
      <c r="BG138" s="95"/>
      <c r="BH138" s="95"/>
      <c r="BI138" s="95"/>
      <c r="BJ138" s="95"/>
      <c r="BK138" s="95"/>
      <c r="BL138" s="95"/>
      <c r="BM138" s="95"/>
      <c r="BN138" s="95"/>
      <c r="BO138" s="95"/>
      <c r="BP138" s="95"/>
      <c r="BQ138" s="95"/>
      <c r="BR138" s="95"/>
      <c r="BS138" s="95"/>
      <c r="BT138" s="95"/>
      <c r="BU138" s="95"/>
      <c r="BV138" s="95"/>
      <c r="BW138" s="95"/>
      <c r="BX138" s="95"/>
      <c r="BY138" s="95"/>
      <c r="BZ138" s="96"/>
    </row>
    <row r="139" spans="1:78" x14ac:dyDescent="0.2">
      <c r="A139" s="63"/>
      <c r="B139" s="55"/>
      <c r="C139" s="103"/>
      <c r="D139" s="103"/>
      <c r="E139" s="82"/>
      <c r="F139" s="94"/>
      <c r="G139" s="95"/>
      <c r="H139" s="95"/>
      <c r="I139" s="95"/>
      <c r="J139" s="95"/>
      <c r="K139" s="95"/>
      <c r="L139" s="95"/>
      <c r="M139" s="95"/>
      <c r="N139" s="95"/>
      <c r="O139" s="95"/>
      <c r="P139" s="95"/>
      <c r="Q139" s="95"/>
      <c r="R139" s="95"/>
      <c r="S139" s="95"/>
      <c r="T139" s="95"/>
      <c r="U139" s="95"/>
      <c r="V139" s="95"/>
      <c r="W139" s="95"/>
      <c r="X139" s="95"/>
      <c r="Y139" s="95"/>
      <c r="Z139" s="95"/>
      <c r="AA139" s="95"/>
      <c r="AB139" s="95"/>
      <c r="AC139" s="95"/>
      <c r="AD139" s="95"/>
      <c r="AE139" s="95"/>
      <c r="AF139" s="95"/>
      <c r="AG139" s="95"/>
      <c r="AH139" s="95"/>
      <c r="AI139" s="95"/>
      <c r="AJ139" s="95"/>
      <c r="AK139" s="95"/>
      <c r="AL139" s="95"/>
      <c r="AM139" s="95"/>
      <c r="AN139" s="95"/>
      <c r="AO139" s="95"/>
      <c r="AP139" s="95"/>
      <c r="AQ139" s="95"/>
      <c r="AR139" s="95"/>
      <c r="AS139" s="95"/>
      <c r="AT139" s="95"/>
      <c r="AU139" s="95"/>
      <c r="AV139" s="95"/>
      <c r="AW139" s="95"/>
      <c r="AX139" s="95"/>
      <c r="AY139" s="95"/>
      <c r="AZ139" s="95"/>
      <c r="BA139" s="95"/>
      <c r="BB139" s="95"/>
      <c r="BC139" s="95"/>
      <c r="BD139" s="95"/>
      <c r="BE139" s="95"/>
      <c r="BF139" s="95"/>
      <c r="BG139" s="95"/>
      <c r="BH139" s="95"/>
      <c r="BI139" s="95"/>
      <c r="BJ139" s="95"/>
      <c r="BK139" s="95"/>
      <c r="BL139" s="95"/>
      <c r="BM139" s="95"/>
      <c r="BN139" s="95"/>
      <c r="BO139" s="95"/>
      <c r="BP139" s="95"/>
      <c r="BQ139" s="95"/>
      <c r="BR139" s="95"/>
      <c r="BS139" s="95"/>
      <c r="BT139" s="95"/>
      <c r="BU139" s="95"/>
      <c r="BV139" s="95"/>
      <c r="BW139" s="95"/>
      <c r="BX139" s="95"/>
      <c r="BY139" s="95"/>
      <c r="BZ139" s="96"/>
    </row>
    <row r="140" spans="1:78" x14ac:dyDescent="0.2">
      <c r="A140" s="63"/>
      <c r="B140" s="55"/>
      <c r="C140" s="103"/>
      <c r="D140" s="103"/>
      <c r="E140" s="82"/>
      <c r="F140" s="94"/>
      <c r="G140" s="95"/>
      <c r="H140" s="95"/>
      <c r="I140" s="95"/>
      <c r="J140" s="95"/>
      <c r="K140" s="95"/>
      <c r="L140" s="95"/>
      <c r="M140" s="95"/>
      <c r="N140" s="95"/>
      <c r="O140" s="95"/>
      <c r="P140" s="95"/>
      <c r="Q140" s="95"/>
      <c r="R140" s="95"/>
      <c r="S140" s="95"/>
      <c r="T140" s="95"/>
      <c r="U140" s="95"/>
      <c r="V140" s="95"/>
      <c r="W140" s="95"/>
      <c r="X140" s="95"/>
      <c r="Y140" s="95"/>
      <c r="Z140" s="95"/>
      <c r="AA140" s="95"/>
      <c r="AB140" s="95"/>
      <c r="AC140" s="95"/>
      <c r="AD140" s="95"/>
      <c r="AE140" s="95"/>
      <c r="AF140" s="95"/>
      <c r="AG140" s="95"/>
      <c r="AH140" s="95"/>
      <c r="AI140" s="95"/>
      <c r="AJ140" s="95"/>
      <c r="AK140" s="95"/>
      <c r="AL140" s="95"/>
      <c r="AM140" s="95"/>
      <c r="AN140" s="95"/>
      <c r="AO140" s="95"/>
      <c r="AP140" s="95"/>
      <c r="AQ140" s="95"/>
      <c r="AR140" s="95"/>
      <c r="AS140" s="95"/>
      <c r="AT140" s="95"/>
      <c r="AU140" s="95"/>
      <c r="AV140" s="95"/>
      <c r="AW140" s="95"/>
      <c r="AX140" s="95"/>
      <c r="AY140" s="95"/>
      <c r="AZ140" s="95"/>
      <c r="BA140" s="95"/>
      <c r="BB140" s="95"/>
      <c r="BC140" s="95"/>
      <c r="BD140" s="95"/>
      <c r="BE140" s="95"/>
      <c r="BF140" s="95"/>
      <c r="BG140" s="95"/>
      <c r="BH140" s="95"/>
      <c r="BI140" s="95"/>
      <c r="BJ140" s="95"/>
      <c r="BK140" s="95"/>
      <c r="BL140" s="95"/>
      <c r="BM140" s="95"/>
      <c r="BN140" s="95"/>
      <c r="BO140" s="95"/>
      <c r="BP140" s="95"/>
      <c r="BQ140" s="95"/>
      <c r="BR140" s="95"/>
      <c r="BS140" s="95"/>
      <c r="BT140" s="95"/>
      <c r="BU140" s="95"/>
      <c r="BV140" s="95"/>
      <c r="BW140" s="95"/>
      <c r="BX140" s="95"/>
      <c r="BY140" s="95"/>
      <c r="BZ140" s="96"/>
    </row>
    <row r="141" spans="1:78" x14ac:dyDescent="0.2">
      <c r="A141" s="63"/>
      <c r="B141" s="55"/>
      <c r="C141" s="103"/>
      <c r="D141" s="103"/>
      <c r="E141" s="82"/>
      <c r="F141" s="94"/>
      <c r="G141" s="95"/>
      <c r="H141" s="95"/>
      <c r="I141" s="95"/>
      <c r="J141" s="95"/>
      <c r="K141" s="95"/>
      <c r="L141" s="95"/>
      <c r="M141" s="95"/>
      <c r="N141" s="95"/>
      <c r="O141" s="95"/>
      <c r="P141" s="95"/>
      <c r="Q141" s="95"/>
      <c r="R141" s="95"/>
      <c r="S141" s="95"/>
      <c r="T141" s="95"/>
      <c r="U141" s="95"/>
      <c r="V141" s="95"/>
      <c r="W141" s="95"/>
      <c r="X141" s="95"/>
      <c r="Y141" s="95"/>
      <c r="Z141" s="95"/>
      <c r="AA141" s="95"/>
      <c r="AB141" s="95"/>
      <c r="AC141" s="95"/>
      <c r="AD141" s="95"/>
      <c r="AE141" s="95"/>
      <c r="AF141" s="95"/>
      <c r="AG141" s="95"/>
      <c r="AH141" s="95"/>
      <c r="AI141" s="95"/>
      <c r="AJ141" s="95"/>
      <c r="AK141" s="95"/>
      <c r="AL141" s="95"/>
      <c r="AM141" s="95"/>
      <c r="AN141" s="95"/>
      <c r="AO141" s="95"/>
      <c r="AP141" s="95"/>
      <c r="AQ141" s="95"/>
      <c r="AR141" s="95"/>
      <c r="AS141" s="95"/>
      <c r="AT141" s="95"/>
      <c r="AU141" s="95"/>
      <c r="AV141" s="95"/>
      <c r="AW141" s="95"/>
      <c r="AX141" s="95"/>
      <c r="AY141" s="95"/>
      <c r="AZ141" s="95"/>
      <c r="BA141" s="95"/>
      <c r="BB141" s="95"/>
      <c r="BC141" s="95"/>
      <c r="BD141" s="95"/>
      <c r="BE141" s="95"/>
      <c r="BF141" s="95"/>
      <c r="BG141" s="95"/>
      <c r="BH141" s="95"/>
      <c r="BI141" s="95"/>
      <c r="BJ141" s="95"/>
      <c r="BK141" s="95"/>
      <c r="BL141" s="95"/>
      <c r="BM141" s="95"/>
      <c r="BN141" s="95"/>
      <c r="BO141" s="95"/>
      <c r="BP141" s="95"/>
      <c r="BQ141" s="95"/>
      <c r="BR141" s="95"/>
      <c r="BS141" s="95"/>
      <c r="BT141" s="95"/>
      <c r="BU141" s="95"/>
      <c r="BV141" s="95"/>
      <c r="BW141" s="95"/>
      <c r="BX141" s="95"/>
      <c r="BY141" s="95"/>
      <c r="BZ141" s="96"/>
    </row>
    <row r="142" spans="1:78" x14ac:dyDescent="0.2">
      <c r="A142" s="63"/>
      <c r="B142" s="55"/>
      <c r="C142" s="103"/>
      <c r="D142" s="103"/>
      <c r="E142" s="82"/>
      <c r="F142" s="94"/>
      <c r="G142" s="95"/>
      <c r="H142" s="95"/>
      <c r="I142" s="95"/>
      <c r="J142" s="95"/>
      <c r="K142" s="95"/>
      <c r="L142" s="95"/>
      <c r="M142" s="95"/>
      <c r="N142" s="95"/>
      <c r="O142" s="95"/>
      <c r="P142" s="95"/>
      <c r="Q142" s="95"/>
      <c r="R142" s="95"/>
      <c r="S142" s="95"/>
      <c r="T142" s="95"/>
      <c r="U142" s="95"/>
      <c r="V142" s="95"/>
      <c r="W142" s="95"/>
      <c r="X142" s="95"/>
      <c r="Y142" s="95"/>
      <c r="Z142" s="95"/>
      <c r="AA142" s="95"/>
      <c r="AB142" s="95"/>
      <c r="AC142" s="95"/>
      <c r="AD142" s="95"/>
      <c r="AE142" s="95"/>
      <c r="AF142" s="95"/>
      <c r="AG142" s="95"/>
      <c r="AH142" s="95"/>
      <c r="AI142" s="95"/>
      <c r="AJ142" s="95"/>
      <c r="AK142" s="95"/>
      <c r="AL142" s="95"/>
      <c r="AM142" s="95"/>
      <c r="AN142" s="95"/>
      <c r="AO142" s="95"/>
      <c r="AP142" s="95"/>
      <c r="AQ142" s="95"/>
      <c r="AR142" s="95"/>
      <c r="AS142" s="95"/>
      <c r="AT142" s="95"/>
      <c r="AU142" s="95"/>
      <c r="AV142" s="95"/>
      <c r="AW142" s="95"/>
      <c r="AX142" s="95"/>
      <c r="AY142" s="95"/>
      <c r="AZ142" s="95"/>
      <c r="BA142" s="95"/>
      <c r="BB142" s="95"/>
      <c r="BC142" s="95"/>
      <c r="BD142" s="95"/>
      <c r="BE142" s="95"/>
      <c r="BF142" s="95"/>
      <c r="BG142" s="95"/>
      <c r="BH142" s="95"/>
      <c r="BI142" s="95"/>
      <c r="BJ142" s="95"/>
      <c r="BK142" s="95"/>
      <c r="BL142" s="95"/>
      <c r="BM142" s="95"/>
      <c r="BN142" s="95"/>
      <c r="BO142" s="95"/>
      <c r="BP142" s="95"/>
      <c r="BQ142" s="95"/>
      <c r="BR142" s="95"/>
      <c r="BS142" s="95"/>
      <c r="BT142" s="95"/>
      <c r="BU142" s="95"/>
      <c r="BV142" s="95"/>
      <c r="BW142" s="95"/>
      <c r="BX142" s="95"/>
      <c r="BY142" s="95"/>
      <c r="BZ142" s="96"/>
    </row>
    <row r="143" spans="1:78" x14ac:dyDescent="0.2">
      <c r="A143" s="63"/>
      <c r="B143" s="55"/>
      <c r="C143" s="103"/>
      <c r="D143" s="103"/>
      <c r="E143" s="82"/>
      <c r="F143" s="94"/>
      <c r="G143" s="95"/>
      <c r="H143" s="95"/>
      <c r="I143" s="95"/>
      <c r="J143" s="95"/>
      <c r="K143" s="95"/>
      <c r="L143" s="95"/>
      <c r="M143" s="95"/>
      <c r="N143" s="95"/>
      <c r="O143" s="95"/>
      <c r="P143" s="95"/>
      <c r="Q143" s="95"/>
      <c r="R143" s="95"/>
      <c r="S143" s="95"/>
      <c r="T143" s="95"/>
      <c r="U143" s="95"/>
      <c r="V143" s="95"/>
      <c r="W143" s="95"/>
      <c r="X143" s="95"/>
      <c r="Y143" s="95"/>
      <c r="Z143" s="95"/>
      <c r="AA143" s="95"/>
      <c r="AB143" s="95"/>
      <c r="AC143" s="95"/>
      <c r="AD143" s="95"/>
      <c r="AE143" s="95"/>
      <c r="AF143" s="95"/>
      <c r="AG143" s="95"/>
      <c r="AH143" s="95"/>
      <c r="AI143" s="95"/>
      <c r="AJ143" s="95"/>
      <c r="AK143" s="95"/>
      <c r="AL143" s="95"/>
      <c r="AM143" s="95"/>
      <c r="AN143" s="95"/>
      <c r="AO143" s="95"/>
      <c r="AP143" s="95"/>
      <c r="AQ143" s="95"/>
      <c r="AR143" s="95"/>
      <c r="AS143" s="95"/>
      <c r="AT143" s="95"/>
      <c r="AU143" s="95"/>
      <c r="AV143" s="95"/>
      <c r="AW143" s="95"/>
      <c r="AX143" s="95"/>
      <c r="AY143" s="95"/>
      <c r="AZ143" s="95"/>
      <c r="BA143" s="95"/>
      <c r="BB143" s="95"/>
      <c r="BC143" s="95"/>
      <c r="BD143" s="95"/>
      <c r="BE143" s="95"/>
      <c r="BF143" s="95"/>
      <c r="BG143" s="95"/>
      <c r="BH143" s="95"/>
      <c r="BI143" s="95"/>
      <c r="BJ143" s="95"/>
      <c r="BK143" s="95"/>
      <c r="BL143" s="95"/>
      <c r="BM143" s="95"/>
      <c r="BN143" s="95"/>
      <c r="BO143" s="95"/>
      <c r="BP143" s="95"/>
      <c r="BQ143" s="95"/>
      <c r="BR143" s="95"/>
      <c r="BS143" s="95"/>
      <c r="BT143" s="95"/>
      <c r="BU143" s="95"/>
      <c r="BV143" s="95"/>
      <c r="BW143" s="95"/>
      <c r="BX143" s="95"/>
      <c r="BY143" s="95"/>
      <c r="BZ143" s="96"/>
    </row>
    <row r="144" spans="1:78" x14ac:dyDescent="0.2">
      <c r="A144" s="63"/>
      <c r="B144" s="55"/>
      <c r="C144" s="103"/>
      <c r="D144" s="103"/>
      <c r="E144" s="82"/>
      <c r="F144" s="94"/>
      <c r="G144" s="95"/>
      <c r="H144" s="95"/>
      <c r="I144" s="95"/>
      <c r="J144" s="95"/>
      <c r="K144" s="95"/>
      <c r="L144" s="95"/>
      <c r="M144" s="95"/>
      <c r="N144" s="95"/>
      <c r="O144" s="95"/>
      <c r="P144" s="95"/>
      <c r="Q144" s="95"/>
      <c r="R144" s="95"/>
      <c r="S144" s="95"/>
      <c r="T144" s="95"/>
      <c r="U144" s="95"/>
      <c r="V144" s="95"/>
      <c r="W144" s="95"/>
      <c r="X144" s="95"/>
      <c r="Y144" s="95"/>
      <c r="Z144" s="95"/>
      <c r="AA144" s="95"/>
      <c r="AB144" s="95"/>
      <c r="AC144" s="95"/>
      <c r="AD144" s="95"/>
      <c r="AE144" s="95"/>
      <c r="AF144" s="95"/>
      <c r="AG144" s="95"/>
      <c r="AH144" s="95"/>
      <c r="AI144" s="95"/>
      <c r="AJ144" s="95"/>
      <c r="AK144" s="95"/>
      <c r="AL144" s="95"/>
      <c r="AM144" s="95"/>
      <c r="AN144" s="95"/>
      <c r="AO144" s="95"/>
      <c r="AP144" s="95"/>
      <c r="AQ144" s="95"/>
      <c r="AR144" s="95"/>
      <c r="AS144" s="95"/>
      <c r="AT144" s="95"/>
      <c r="AU144" s="95"/>
      <c r="AV144" s="95"/>
      <c r="AW144" s="95"/>
      <c r="AX144" s="95"/>
      <c r="AY144" s="95"/>
      <c r="AZ144" s="95"/>
      <c r="BA144" s="95"/>
      <c r="BB144" s="95"/>
      <c r="BC144" s="95"/>
      <c r="BD144" s="95"/>
      <c r="BE144" s="95"/>
      <c r="BF144" s="95"/>
      <c r="BG144" s="95"/>
      <c r="BH144" s="95"/>
      <c r="BI144" s="95"/>
      <c r="BJ144" s="95"/>
      <c r="BK144" s="95"/>
      <c r="BL144" s="95"/>
      <c r="BM144" s="95"/>
      <c r="BN144" s="95"/>
      <c r="BO144" s="95"/>
      <c r="BP144" s="95"/>
      <c r="BQ144" s="95"/>
      <c r="BR144" s="95"/>
      <c r="BS144" s="95"/>
      <c r="BT144" s="95"/>
      <c r="BU144" s="95"/>
      <c r="BV144" s="95"/>
      <c r="BW144" s="95"/>
      <c r="BX144" s="95"/>
      <c r="BY144" s="95"/>
      <c r="BZ144" s="96"/>
    </row>
    <row r="145" spans="1:78" x14ac:dyDescent="0.2">
      <c r="A145" s="63"/>
      <c r="B145" s="55"/>
      <c r="C145" s="103"/>
      <c r="D145" s="103"/>
      <c r="E145" s="82"/>
      <c r="F145" s="94"/>
      <c r="G145" s="95"/>
      <c r="H145" s="95"/>
      <c r="I145" s="95"/>
      <c r="J145" s="95"/>
      <c r="K145" s="95"/>
      <c r="L145" s="95"/>
      <c r="M145" s="95"/>
      <c r="N145" s="95"/>
      <c r="O145" s="95"/>
      <c r="P145" s="95"/>
      <c r="Q145" s="95"/>
      <c r="R145" s="95"/>
      <c r="S145" s="95"/>
      <c r="T145" s="95"/>
      <c r="U145" s="95"/>
      <c r="V145" s="95"/>
      <c r="W145" s="95"/>
      <c r="X145" s="95"/>
      <c r="Y145" s="95"/>
      <c r="Z145" s="95"/>
      <c r="AA145" s="95"/>
      <c r="AB145" s="95"/>
      <c r="AC145" s="95"/>
      <c r="AD145" s="95"/>
      <c r="AE145" s="95"/>
      <c r="AF145" s="95"/>
      <c r="AG145" s="95"/>
      <c r="AH145" s="95"/>
      <c r="AI145" s="95"/>
      <c r="AJ145" s="95"/>
      <c r="AK145" s="95"/>
      <c r="AL145" s="95"/>
      <c r="AM145" s="95"/>
      <c r="AN145" s="95"/>
      <c r="AO145" s="95"/>
      <c r="AP145" s="95"/>
      <c r="AQ145" s="95"/>
      <c r="AR145" s="95"/>
      <c r="AS145" s="95"/>
      <c r="AT145" s="95"/>
      <c r="AU145" s="95"/>
      <c r="AV145" s="95"/>
      <c r="AW145" s="95"/>
      <c r="AX145" s="95"/>
      <c r="AY145" s="95"/>
      <c r="AZ145" s="95"/>
      <c r="BA145" s="95"/>
      <c r="BB145" s="95"/>
      <c r="BC145" s="95"/>
      <c r="BD145" s="95"/>
      <c r="BE145" s="95"/>
      <c r="BF145" s="95"/>
      <c r="BG145" s="95"/>
      <c r="BH145" s="95"/>
      <c r="BI145" s="95"/>
      <c r="BJ145" s="95"/>
      <c r="BK145" s="95"/>
      <c r="BL145" s="95"/>
      <c r="BM145" s="95"/>
      <c r="BN145" s="95"/>
      <c r="BO145" s="95"/>
      <c r="BP145" s="95"/>
      <c r="BQ145" s="95"/>
      <c r="BR145" s="95"/>
      <c r="BS145" s="95"/>
      <c r="BT145" s="95"/>
      <c r="BU145" s="95"/>
      <c r="BV145" s="95"/>
      <c r="BW145" s="95"/>
      <c r="BX145" s="95"/>
      <c r="BY145" s="95"/>
      <c r="BZ145" s="96"/>
    </row>
    <row r="146" spans="1:78" x14ac:dyDescent="0.2">
      <c r="A146" s="63"/>
      <c r="B146" s="55"/>
      <c r="C146" s="103"/>
      <c r="D146" s="103"/>
      <c r="E146" s="82"/>
      <c r="F146" s="94"/>
      <c r="G146" s="95"/>
      <c r="H146" s="95"/>
      <c r="I146" s="95"/>
      <c r="J146" s="95"/>
      <c r="K146" s="95"/>
      <c r="L146" s="95"/>
      <c r="M146" s="95"/>
      <c r="N146" s="95"/>
      <c r="O146" s="95"/>
      <c r="P146" s="95"/>
      <c r="Q146" s="95"/>
      <c r="R146" s="95"/>
      <c r="S146" s="95"/>
      <c r="T146" s="95"/>
      <c r="U146" s="95"/>
      <c r="V146" s="95"/>
      <c r="W146" s="95"/>
      <c r="X146" s="95"/>
      <c r="Y146" s="95"/>
      <c r="Z146" s="95"/>
      <c r="AA146" s="95"/>
      <c r="AB146" s="95"/>
      <c r="AC146" s="95"/>
      <c r="AD146" s="95"/>
      <c r="AE146" s="95"/>
      <c r="AF146" s="95"/>
      <c r="AG146" s="95"/>
      <c r="AH146" s="95"/>
      <c r="AI146" s="95"/>
      <c r="AJ146" s="95"/>
      <c r="AK146" s="95"/>
      <c r="AL146" s="95"/>
      <c r="AM146" s="95"/>
      <c r="AN146" s="95"/>
      <c r="AO146" s="95"/>
      <c r="AP146" s="95"/>
      <c r="AQ146" s="95"/>
      <c r="AR146" s="95"/>
      <c r="AS146" s="95"/>
      <c r="AT146" s="95"/>
      <c r="AU146" s="95"/>
      <c r="AV146" s="95"/>
      <c r="AW146" s="95"/>
      <c r="AX146" s="95"/>
      <c r="AY146" s="95"/>
      <c r="AZ146" s="95"/>
      <c r="BA146" s="95"/>
      <c r="BB146" s="95"/>
      <c r="BC146" s="95"/>
      <c r="BD146" s="95"/>
      <c r="BE146" s="95"/>
      <c r="BF146" s="95"/>
      <c r="BG146" s="95"/>
      <c r="BH146" s="95"/>
      <c r="BI146" s="95"/>
      <c r="BJ146" s="95"/>
      <c r="BK146" s="95"/>
      <c r="BL146" s="95"/>
      <c r="BM146" s="95"/>
      <c r="BN146" s="95"/>
      <c r="BO146" s="95"/>
      <c r="BP146" s="95"/>
      <c r="BQ146" s="95"/>
      <c r="BR146" s="95"/>
      <c r="BS146" s="95"/>
      <c r="BT146" s="95"/>
      <c r="BU146" s="95"/>
      <c r="BV146" s="95"/>
      <c r="BW146" s="95"/>
      <c r="BX146" s="95"/>
      <c r="BY146" s="95"/>
      <c r="BZ146" s="96"/>
    </row>
    <row r="147" spans="1:78" x14ac:dyDescent="0.2">
      <c r="A147" s="63"/>
      <c r="B147" s="55"/>
      <c r="C147" s="103"/>
      <c r="D147" s="103"/>
      <c r="E147" s="82"/>
      <c r="F147" s="94"/>
      <c r="G147" s="95"/>
      <c r="H147" s="95"/>
      <c r="I147" s="95"/>
      <c r="J147" s="95"/>
      <c r="K147" s="95"/>
      <c r="L147" s="95"/>
      <c r="M147" s="95"/>
      <c r="N147" s="95"/>
      <c r="O147" s="95"/>
      <c r="P147" s="95"/>
      <c r="Q147" s="95"/>
      <c r="R147" s="95"/>
      <c r="S147" s="95"/>
      <c r="T147" s="95"/>
      <c r="U147" s="95"/>
      <c r="V147" s="95"/>
      <c r="W147" s="95"/>
      <c r="X147" s="95"/>
      <c r="Y147" s="95"/>
      <c r="Z147" s="95"/>
      <c r="AA147" s="95"/>
      <c r="AB147" s="95"/>
      <c r="AC147" s="95"/>
      <c r="AD147" s="95"/>
      <c r="AE147" s="95"/>
      <c r="AF147" s="95"/>
      <c r="AG147" s="95"/>
      <c r="AH147" s="95"/>
      <c r="AI147" s="95"/>
      <c r="AJ147" s="95"/>
      <c r="AK147" s="95"/>
      <c r="AL147" s="95"/>
      <c r="AM147" s="95"/>
      <c r="AN147" s="95"/>
      <c r="AO147" s="95"/>
      <c r="AP147" s="95"/>
      <c r="AQ147" s="95"/>
      <c r="AR147" s="95"/>
      <c r="AS147" s="95"/>
      <c r="AT147" s="95"/>
      <c r="AU147" s="95"/>
      <c r="AV147" s="95"/>
      <c r="AW147" s="95"/>
      <c r="AX147" s="95"/>
      <c r="AY147" s="95"/>
      <c r="AZ147" s="95"/>
      <c r="BA147" s="95"/>
      <c r="BB147" s="95"/>
      <c r="BC147" s="95"/>
      <c r="BD147" s="95"/>
      <c r="BE147" s="95"/>
      <c r="BF147" s="95"/>
      <c r="BG147" s="95"/>
      <c r="BH147" s="95"/>
      <c r="BI147" s="95"/>
      <c r="BJ147" s="95"/>
      <c r="BK147" s="95"/>
      <c r="BL147" s="95"/>
      <c r="BM147" s="95"/>
      <c r="BN147" s="95"/>
      <c r="BO147" s="95"/>
      <c r="BP147" s="95"/>
      <c r="BQ147" s="95"/>
      <c r="BR147" s="95"/>
      <c r="BS147" s="95"/>
      <c r="BT147" s="95"/>
      <c r="BU147" s="95"/>
      <c r="BV147" s="95"/>
      <c r="BW147" s="95"/>
      <c r="BX147" s="95"/>
      <c r="BY147" s="95"/>
      <c r="BZ147" s="96"/>
    </row>
    <row r="148" spans="1:78" x14ac:dyDescent="0.2">
      <c r="A148" s="63"/>
      <c r="B148" s="55"/>
      <c r="C148" s="103"/>
      <c r="D148" s="103"/>
      <c r="E148" s="82"/>
      <c r="F148" s="94"/>
      <c r="G148" s="95"/>
      <c r="H148" s="95"/>
      <c r="I148" s="95"/>
      <c r="J148" s="95"/>
      <c r="K148" s="95"/>
      <c r="L148" s="95"/>
      <c r="M148" s="95"/>
      <c r="N148" s="95"/>
      <c r="O148" s="95"/>
      <c r="P148" s="95"/>
      <c r="Q148" s="95"/>
      <c r="R148" s="95"/>
      <c r="S148" s="95"/>
      <c r="T148" s="95"/>
      <c r="U148" s="95"/>
      <c r="V148" s="95"/>
      <c r="W148" s="95"/>
      <c r="X148" s="95"/>
      <c r="Y148" s="95"/>
      <c r="Z148" s="95"/>
      <c r="AA148" s="95"/>
      <c r="AB148" s="95"/>
      <c r="AC148" s="95"/>
      <c r="AD148" s="95"/>
      <c r="AE148" s="95"/>
      <c r="AF148" s="95"/>
      <c r="AG148" s="95"/>
      <c r="AH148" s="95"/>
      <c r="AI148" s="95"/>
      <c r="AJ148" s="95"/>
      <c r="AK148" s="95"/>
      <c r="AL148" s="95"/>
      <c r="AM148" s="95"/>
      <c r="AN148" s="95"/>
      <c r="AO148" s="95"/>
      <c r="AP148" s="95"/>
      <c r="AQ148" s="95"/>
      <c r="AR148" s="95"/>
      <c r="AS148" s="95"/>
      <c r="AT148" s="95"/>
      <c r="AU148" s="95"/>
      <c r="AV148" s="95"/>
      <c r="AW148" s="95"/>
      <c r="AX148" s="95"/>
      <c r="AY148" s="95"/>
      <c r="AZ148" s="95"/>
      <c r="BA148" s="95"/>
      <c r="BB148" s="95"/>
      <c r="BC148" s="95"/>
      <c r="BD148" s="95"/>
      <c r="BE148" s="95"/>
      <c r="BF148" s="95"/>
      <c r="BG148" s="95"/>
      <c r="BH148" s="95"/>
      <c r="BI148" s="95"/>
      <c r="BJ148" s="95"/>
      <c r="BK148" s="95"/>
      <c r="BL148" s="95"/>
      <c r="BM148" s="95"/>
      <c r="BN148" s="95"/>
      <c r="BO148" s="95"/>
      <c r="BP148" s="95"/>
      <c r="BQ148" s="95"/>
      <c r="BR148" s="95"/>
      <c r="BS148" s="95"/>
      <c r="BT148" s="95"/>
      <c r="BU148" s="95"/>
      <c r="BV148" s="95"/>
      <c r="BW148" s="95"/>
      <c r="BX148" s="95"/>
      <c r="BY148" s="95"/>
      <c r="BZ148" s="96"/>
    </row>
    <row r="149" spans="1:78" x14ac:dyDescent="0.2">
      <c r="A149" s="63"/>
      <c r="B149" s="55"/>
      <c r="C149" s="103"/>
      <c r="D149" s="103"/>
      <c r="E149" s="82"/>
      <c r="F149" s="94"/>
      <c r="G149" s="95"/>
      <c r="H149" s="95"/>
      <c r="I149" s="95"/>
      <c r="J149" s="95"/>
      <c r="K149" s="95"/>
      <c r="L149" s="95"/>
      <c r="M149" s="95"/>
      <c r="N149" s="95"/>
      <c r="O149" s="95"/>
      <c r="P149" s="95"/>
      <c r="Q149" s="95"/>
      <c r="R149" s="95"/>
      <c r="S149" s="95"/>
      <c r="T149" s="95"/>
      <c r="U149" s="95"/>
      <c r="V149" s="95"/>
      <c r="W149" s="95"/>
      <c r="X149" s="95"/>
      <c r="Y149" s="95"/>
      <c r="Z149" s="95"/>
      <c r="AA149" s="95"/>
      <c r="AB149" s="95"/>
      <c r="AC149" s="95"/>
      <c r="AD149" s="95"/>
      <c r="AE149" s="95"/>
      <c r="AF149" s="95"/>
      <c r="AG149" s="95"/>
      <c r="AH149" s="95"/>
      <c r="AI149" s="95"/>
      <c r="AJ149" s="95"/>
      <c r="AK149" s="95"/>
      <c r="AL149" s="95"/>
      <c r="AM149" s="95"/>
      <c r="AN149" s="95"/>
      <c r="AO149" s="95"/>
      <c r="AP149" s="95"/>
      <c r="AQ149" s="95"/>
      <c r="AR149" s="95"/>
      <c r="AS149" s="95"/>
      <c r="AT149" s="95"/>
      <c r="AU149" s="95"/>
      <c r="AV149" s="95"/>
      <c r="AW149" s="95"/>
      <c r="AX149" s="95"/>
      <c r="AY149" s="95"/>
      <c r="AZ149" s="95"/>
      <c r="BA149" s="95"/>
      <c r="BB149" s="95"/>
      <c r="BC149" s="95"/>
      <c r="BD149" s="95"/>
      <c r="BE149" s="95"/>
      <c r="BF149" s="95"/>
      <c r="BG149" s="95"/>
      <c r="BH149" s="95"/>
      <c r="BI149" s="95"/>
      <c r="BJ149" s="95"/>
      <c r="BK149" s="95"/>
      <c r="BL149" s="95"/>
      <c r="BM149" s="95"/>
      <c r="BN149" s="95"/>
      <c r="BO149" s="95"/>
      <c r="BP149" s="95"/>
      <c r="BQ149" s="95"/>
      <c r="BR149" s="95"/>
      <c r="BS149" s="95"/>
      <c r="BT149" s="95"/>
      <c r="BU149" s="95"/>
      <c r="BV149" s="95"/>
      <c r="BW149" s="95"/>
      <c r="BX149" s="95"/>
      <c r="BY149" s="95"/>
      <c r="BZ149" s="96"/>
    </row>
    <row r="150" spans="1:78" x14ac:dyDescent="0.2">
      <c r="A150" s="63"/>
      <c r="B150" s="55"/>
      <c r="C150" s="103"/>
      <c r="D150" s="103"/>
      <c r="E150" s="82"/>
      <c r="F150" s="94"/>
      <c r="G150" s="95"/>
      <c r="H150" s="95"/>
      <c r="I150" s="95"/>
      <c r="J150" s="95"/>
      <c r="K150" s="95"/>
      <c r="L150" s="95"/>
      <c r="M150" s="95"/>
      <c r="N150" s="95"/>
      <c r="O150" s="95"/>
      <c r="P150" s="95"/>
      <c r="Q150" s="95"/>
      <c r="R150" s="95"/>
      <c r="S150" s="95"/>
      <c r="T150" s="95"/>
      <c r="U150" s="95"/>
      <c r="V150" s="95"/>
      <c r="W150" s="95"/>
      <c r="X150" s="95"/>
      <c r="Y150" s="95"/>
      <c r="Z150" s="95"/>
      <c r="AA150" s="95"/>
      <c r="AB150" s="95"/>
      <c r="AC150" s="95"/>
      <c r="AD150" s="95"/>
      <c r="AE150" s="95"/>
      <c r="AF150" s="95"/>
      <c r="AG150" s="95"/>
      <c r="AH150" s="95"/>
      <c r="AI150" s="95"/>
      <c r="AJ150" s="95"/>
      <c r="AK150" s="95"/>
      <c r="AL150" s="95"/>
      <c r="AM150" s="95"/>
      <c r="AN150" s="95"/>
      <c r="AO150" s="95"/>
      <c r="AP150" s="95"/>
      <c r="AQ150" s="95"/>
      <c r="AR150" s="95"/>
      <c r="AS150" s="95"/>
      <c r="AT150" s="95"/>
      <c r="AU150" s="95"/>
      <c r="AV150" s="95"/>
      <c r="AW150" s="95"/>
      <c r="AX150" s="95"/>
      <c r="AY150" s="95"/>
      <c r="AZ150" s="95"/>
      <c r="BA150" s="95"/>
      <c r="BB150" s="95"/>
      <c r="BC150" s="95"/>
      <c r="BD150" s="95"/>
      <c r="BE150" s="95"/>
      <c r="BF150" s="95"/>
      <c r="BG150" s="95"/>
      <c r="BH150" s="95"/>
      <c r="BI150" s="95"/>
      <c r="BJ150" s="95"/>
      <c r="BK150" s="95"/>
      <c r="BL150" s="95"/>
      <c r="BM150" s="95"/>
      <c r="BN150" s="95"/>
      <c r="BO150" s="95"/>
      <c r="BP150" s="95"/>
      <c r="BQ150" s="95"/>
      <c r="BR150" s="95"/>
      <c r="BS150" s="95"/>
      <c r="BT150" s="95"/>
      <c r="BU150" s="95"/>
      <c r="BV150" s="95"/>
      <c r="BW150" s="95"/>
      <c r="BX150" s="95"/>
      <c r="BY150" s="95"/>
      <c r="BZ150" s="96"/>
    </row>
    <row r="151" spans="1:78" x14ac:dyDescent="0.2">
      <c r="A151" s="63"/>
      <c r="B151" s="55"/>
      <c r="C151" s="103"/>
      <c r="D151" s="103"/>
      <c r="E151" s="82"/>
      <c r="F151" s="94"/>
      <c r="G151" s="95"/>
      <c r="H151" s="95"/>
      <c r="I151" s="95"/>
      <c r="J151" s="95"/>
      <c r="K151" s="95"/>
      <c r="L151" s="95"/>
      <c r="M151" s="95"/>
      <c r="N151" s="95"/>
      <c r="O151" s="95"/>
      <c r="P151" s="95"/>
      <c r="Q151" s="95"/>
      <c r="R151" s="95"/>
      <c r="S151" s="95"/>
      <c r="T151" s="95"/>
      <c r="U151" s="95"/>
      <c r="V151" s="95"/>
      <c r="W151" s="95"/>
      <c r="X151" s="95"/>
      <c r="Y151" s="95"/>
      <c r="Z151" s="95"/>
      <c r="AA151" s="95"/>
      <c r="AB151" s="95"/>
      <c r="AC151" s="95"/>
      <c r="AD151" s="95"/>
      <c r="AE151" s="95"/>
      <c r="AF151" s="95"/>
      <c r="AG151" s="95"/>
      <c r="AH151" s="95"/>
      <c r="AI151" s="95"/>
      <c r="AJ151" s="95"/>
      <c r="AK151" s="95"/>
      <c r="AL151" s="95"/>
      <c r="AM151" s="95"/>
      <c r="AN151" s="95"/>
      <c r="AO151" s="95"/>
      <c r="AP151" s="95"/>
      <c r="AQ151" s="95"/>
      <c r="AR151" s="95"/>
      <c r="AS151" s="95"/>
      <c r="AT151" s="95"/>
      <c r="AU151" s="95"/>
      <c r="AV151" s="95"/>
      <c r="AW151" s="95"/>
      <c r="AX151" s="95"/>
      <c r="AY151" s="95"/>
      <c r="AZ151" s="95"/>
      <c r="BA151" s="95"/>
      <c r="BB151" s="95"/>
      <c r="BC151" s="95"/>
      <c r="BD151" s="95"/>
      <c r="BE151" s="95"/>
      <c r="BF151" s="95"/>
      <c r="BG151" s="95"/>
      <c r="BH151" s="95"/>
      <c r="BI151" s="95"/>
      <c r="BJ151" s="95"/>
      <c r="BK151" s="95"/>
      <c r="BL151" s="95"/>
      <c r="BM151" s="95"/>
      <c r="BN151" s="95"/>
      <c r="BO151" s="95"/>
      <c r="BP151" s="95"/>
      <c r="BQ151" s="95"/>
      <c r="BR151" s="95"/>
      <c r="BS151" s="95"/>
      <c r="BT151" s="95"/>
      <c r="BU151" s="95"/>
      <c r="BV151" s="95"/>
      <c r="BW151" s="95"/>
      <c r="BX151" s="95"/>
      <c r="BY151" s="95"/>
      <c r="BZ151" s="96"/>
    </row>
    <row r="152" spans="1:78" x14ac:dyDescent="0.2">
      <c r="A152" s="63"/>
      <c r="B152" s="55"/>
      <c r="C152" s="103"/>
      <c r="D152" s="103"/>
      <c r="E152" s="82"/>
      <c r="F152" s="94"/>
      <c r="G152" s="95"/>
      <c r="H152" s="95"/>
      <c r="I152" s="95"/>
      <c r="J152" s="95"/>
      <c r="K152" s="95"/>
      <c r="L152" s="95"/>
      <c r="M152" s="95"/>
      <c r="N152" s="95"/>
      <c r="O152" s="95"/>
      <c r="P152" s="95"/>
      <c r="Q152" s="95"/>
      <c r="R152" s="95"/>
      <c r="S152" s="95"/>
      <c r="T152" s="95"/>
      <c r="U152" s="95"/>
      <c r="V152" s="95"/>
      <c r="W152" s="95"/>
      <c r="X152" s="95"/>
      <c r="Y152" s="95"/>
      <c r="Z152" s="95"/>
      <c r="AA152" s="95"/>
      <c r="AB152" s="95"/>
      <c r="AC152" s="95"/>
      <c r="AD152" s="95"/>
      <c r="AE152" s="95"/>
      <c r="AF152" s="95"/>
      <c r="AG152" s="95"/>
      <c r="AH152" s="95"/>
      <c r="AI152" s="95"/>
      <c r="AJ152" s="95"/>
      <c r="AK152" s="95"/>
      <c r="AL152" s="95"/>
      <c r="AM152" s="95"/>
      <c r="AN152" s="95"/>
      <c r="AO152" s="95"/>
      <c r="AP152" s="95"/>
      <c r="AQ152" s="95"/>
      <c r="AR152" s="95"/>
      <c r="AS152" s="95"/>
      <c r="AT152" s="95"/>
      <c r="AU152" s="95"/>
      <c r="AV152" s="95"/>
      <c r="AW152" s="95"/>
      <c r="AX152" s="95"/>
      <c r="AY152" s="95"/>
      <c r="AZ152" s="95"/>
      <c r="BA152" s="95"/>
      <c r="BB152" s="95"/>
      <c r="BC152" s="95"/>
      <c r="BD152" s="95"/>
      <c r="BE152" s="95"/>
      <c r="BF152" s="95"/>
      <c r="BG152" s="95"/>
      <c r="BH152" s="95"/>
      <c r="BI152" s="95"/>
      <c r="BJ152" s="95"/>
      <c r="BK152" s="95"/>
      <c r="BL152" s="95"/>
      <c r="BM152" s="95"/>
      <c r="BN152" s="95"/>
      <c r="BO152" s="95"/>
      <c r="BP152" s="95"/>
      <c r="BQ152" s="95"/>
      <c r="BR152" s="95"/>
      <c r="BS152" s="95"/>
      <c r="BT152" s="95"/>
      <c r="BU152" s="95"/>
      <c r="BV152" s="95"/>
      <c r="BW152" s="95"/>
      <c r="BX152" s="95"/>
      <c r="BY152" s="95"/>
      <c r="BZ152" s="96"/>
    </row>
    <row r="153" spans="1:78" x14ac:dyDescent="0.2">
      <c r="A153" s="63"/>
      <c r="B153" s="55"/>
      <c r="C153" s="103"/>
      <c r="D153" s="103"/>
      <c r="E153" s="82"/>
      <c r="F153" s="94"/>
      <c r="G153" s="95"/>
      <c r="H153" s="95"/>
      <c r="I153" s="95"/>
      <c r="J153" s="95"/>
      <c r="K153" s="95"/>
      <c r="L153" s="95"/>
      <c r="M153" s="95"/>
      <c r="N153" s="95"/>
      <c r="O153" s="95"/>
      <c r="P153" s="95"/>
      <c r="Q153" s="95"/>
      <c r="R153" s="95"/>
      <c r="S153" s="95"/>
      <c r="T153" s="95"/>
      <c r="U153" s="95"/>
      <c r="V153" s="95"/>
      <c r="W153" s="95"/>
      <c r="X153" s="95"/>
      <c r="Y153" s="95"/>
      <c r="Z153" s="95"/>
      <c r="AA153" s="95"/>
      <c r="AB153" s="95"/>
      <c r="AC153" s="95"/>
      <c r="AD153" s="95"/>
      <c r="AE153" s="95"/>
      <c r="AF153" s="95"/>
      <c r="AG153" s="95"/>
      <c r="AH153" s="95"/>
      <c r="AI153" s="95"/>
      <c r="AJ153" s="95"/>
      <c r="AK153" s="95"/>
      <c r="AL153" s="95"/>
      <c r="AM153" s="95"/>
      <c r="AN153" s="95"/>
      <c r="AO153" s="95"/>
      <c r="AP153" s="95"/>
      <c r="AQ153" s="95"/>
      <c r="AR153" s="95"/>
      <c r="AS153" s="95"/>
      <c r="AT153" s="95"/>
      <c r="AU153" s="95"/>
      <c r="AV153" s="95"/>
      <c r="AW153" s="95"/>
      <c r="AX153" s="95"/>
      <c r="AY153" s="95"/>
      <c r="AZ153" s="95"/>
      <c r="BA153" s="95"/>
      <c r="BB153" s="95"/>
      <c r="BC153" s="95"/>
      <c r="BD153" s="95"/>
      <c r="BE153" s="95"/>
      <c r="BF153" s="95"/>
      <c r="BG153" s="95"/>
      <c r="BH153" s="95"/>
      <c r="BI153" s="95"/>
      <c r="BJ153" s="95"/>
      <c r="BK153" s="95"/>
      <c r="BL153" s="95"/>
      <c r="BM153" s="95"/>
      <c r="BN153" s="95"/>
      <c r="BO153" s="95"/>
      <c r="BP153" s="95"/>
      <c r="BQ153" s="95"/>
      <c r="BR153" s="95"/>
      <c r="BS153" s="95"/>
      <c r="BT153" s="95"/>
      <c r="BU153" s="95"/>
      <c r="BV153" s="95"/>
      <c r="BW153" s="95"/>
      <c r="BX153" s="95"/>
      <c r="BY153" s="95"/>
      <c r="BZ153" s="96"/>
    </row>
    <row r="154" spans="1:78" x14ac:dyDescent="0.2">
      <c r="A154" s="63"/>
      <c r="B154" s="55"/>
      <c r="C154" s="103"/>
      <c r="D154" s="103"/>
      <c r="E154" s="82"/>
      <c r="F154" s="94"/>
      <c r="G154" s="95"/>
      <c r="H154" s="95"/>
      <c r="I154" s="95"/>
      <c r="J154" s="95"/>
      <c r="K154" s="95"/>
      <c r="L154" s="95"/>
      <c r="M154" s="95"/>
      <c r="N154" s="95"/>
      <c r="O154" s="95"/>
      <c r="P154" s="95"/>
      <c r="Q154" s="95"/>
      <c r="R154" s="95"/>
      <c r="S154" s="95"/>
      <c r="T154" s="95"/>
      <c r="U154" s="95"/>
      <c r="V154" s="95"/>
      <c r="W154" s="95"/>
      <c r="X154" s="95"/>
      <c r="Y154" s="95"/>
      <c r="Z154" s="95"/>
      <c r="AA154" s="95"/>
      <c r="AB154" s="95"/>
      <c r="AC154" s="95"/>
      <c r="AD154" s="95"/>
      <c r="AE154" s="95"/>
      <c r="AF154" s="95"/>
      <c r="AG154" s="95"/>
      <c r="AH154" s="95"/>
      <c r="AI154" s="95"/>
      <c r="AJ154" s="95"/>
      <c r="AK154" s="95"/>
      <c r="AL154" s="95"/>
      <c r="AM154" s="95"/>
      <c r="AN154" s="95"/>
      <c r="AO154" s="95"/>
      <c r="AP154" s="95"/>
      <c r="AQ154" s="95"/>
      <c r="AR154" s="95"/>
      <c r="AS154" s="95"/>
      <c r="AT154" s="95"/>
      <c r="AU154" s="95"/>
      <c r="AV154" s="95"/>
      <c r="AW154" s="95"/>
      <c r="AX154" s="95"/>
      <c r="AY154" s="95"/>
      <c r="AZ154" s="95"/>
      <c r="BA154" s="95"/>
      <c r="BB154" s="95"/>
      <c r="BC154" s="95"/>
      <c r="BD154" s="95"/>
      <c r="BE154" s="95"/>
      <c r="BF154" s="95"/>
      <c r="BG154" s="95"/>
      <c r="BH154" s="95"/>
      <c r="BI154" s="95"/>
      <c r="BJ154" s="95"/>
      <c r="BK154" s="95"/>
      <c r="BL154" s="95"/>
      <c r="BM154" s="95"/>
      <c r="BN154" s="95"/>
      <c r="BO154" s="95"/>
      <c r="BP154" s="95"/>
      <c r="BQ154" s="95"/>
      <c r="BR154" s="95"/>
      <c r="BS154" s="95"/>
      <c r="BT154" s="95"/>
      <c r="BU154" s="95"/>
      <c r="BV154" s="95"/>
      <c r="BW154" s="95"/>
      <c r="BX154" s="95"/>
      <c r="BY154" s="95"/>
      <c r="BZ154" s="96"/>
    </row>
    <row r="155" spans="1:78" x14ac:dyDescent="0.2">
      <c r="A155" s="63"/>
      <c r="B155" s="55"/>
      <c r="C155" s="103"/>
      <c r="D155" s="103"/>
      <c r="E155" s="82"/>
      <c r="F155" s="94"/>
      <c r="G155" s="95"/>
      <c r="H155" s="95"/>
      <c r="I155" s="95"/>
      <c r="J155" s="95"/>
      <c r="K155" s="95"/>
      <c r="L155" s="95"/>
      <c r="M155" s="95"/>
      <c r="N155" s="95"/>
      <c r="O155" s="95"/>
      <c r="P155" s="95"/>
      <c r="Q155" s="95"/>
      <c r="R155" s="95"/>
      <c r="S155" s="95"/>
      <c r="T155" s="95"/>
      <c r="U155" s="95"/>
      <c r="V155" s="95"/>
      <c r="W155" s="95"/>
      <c r="X155" s="95"/>
      <c r="Y155" s="95"/>
      <c r="Z155" s="95"/>
      <c r="AA155" s="95"/>
      <c r="AB155" s="95"/>
      <c r="AC155" s="95"/>
      <c r="AD155" s="95"/>
      <c r="AE155" s="95"/>
      <c r="AF155" s="95"/>
      <c r="AG155" s="95"/>
      <c r="AH155" s="95"/>
      <c r="AI155" s="95"/>
      <c r="AJ155" s="95"/>
      <c r="AK155" s="95"/>
      <c r="AL155" s="95"/>
      <c r="AM155" s="95"/>
      <c r="AN155" s="95"/>
      <c r="AO155" s="95"/>
      <c r="AP155" s="95"/>
      <c r="AQ155" s="95"/>
      <c r="AR155" s="95"/>
      <c r="AS155" s="95"/>
      <c r="AT155" s="95"/>
      <c r="AU155" s="95"/>
      <c r="AV155" s="95"/>
      <c r="AW155" s="95"/>
      <c r="AX155" s="95"/>
      <c r="AY155" s="95"/>
      <c r="AZ155" s="95"/>
      <c r="BA155" s="95"/>
      <c r="BB155" s="95"/>
      <c r="BC155" s="95"/>
      <c r="BD155" s="95"/>
      <c r="BE155" s="95"/>
      <c r="BF155" s="95"/>
      <c r="BG155" s="95"/>
      <c r="BH155" s="95"/>
      <c r="BI155" s="95"/>
      <c r="BJ155" s="95"/>
      <c r="BK155" s="95"/>
      <c r="BL155" s="95"/>
      <c r="BM155" s="95"/>
      <c r="BN155" s="95"/>
      <c r="BO155" s="95"/>
      <c r="BP155" s="95"/>
      <c r="BQ155" s="95"/>
      <c r="BR155" s="95"/>
      <c r="BS155" s="95"/>
      <c r="BT155" s="95"/>
      <c r="BU155" s="95"/>
      <c r="BV155" s="95"/>
      <c r="BW155" s="95"/>
      <c r="BX155" s="95"/>
      <c r="BY155" s="95"/>
      <c r="BZ155" s="96"/>
    </row>
    <row r="156" spans="1:78" x14ac:dyDescent="0.2">
      <c r="A156" s="63"/>
      <c r="B156" s="55"/>
      <c r="C156" s="103"/>
      <c r="D156" s="103"/>
      <c r="E156" s="82"/>
      <c r="F156" s="94"/>
      <c r="G156" s="95"/>
      <c r="H156" s="95"/>
      <c r="I156" s="95"/>
      <c r="J156" s="95"/>
      <c r="K156" s="95"/>
      <c r="L156" s="95"/>
      <c r="M156" s="95"/>
      <c r="N156" s="95"/>
      <c r="O156" s="95"/>
      <c r="P156" s="95"/>
      <c r="Q156" s="95"/>
      <c r="R156" s="95"/>
      <c r="S156" s="95"/>
      <c r="T156" s="95"/>
      <c r="U156" s="95"/>
      <c r="V156" s="95"/>
      <c r="W156" s="95"/>
      <c r="X156" s="95"/>
      <c r="Y156" s="95"/>
      <c r="Z156" s="95"/>
      <c r="AA156" s="95"/>
      <c r="AB156" s="95"/>
      <c r="AC156" s="95"/>
      <c r="AD156" s="95"/>
      <c r="AE156" s="95"/>
      <c r="AF156" s="95"/>
      <c r="AG156" s="95"/>
      <c r="AH156" s="95"/>
      <c r="AI156" s="95"/>
      <c r="AJ156" s="95"/>
      <c r="AK156" s="95"/>
      <c r="AL156" s="95"/>
      <c r="AM156" s="95"/>
      <c r="AN156" s="95"/>
      <c r="AO156" s="95"/>
      <c r="AP156" s="95"/>
      <c r="AQ156" s="95"/>
      <c r="AR156" s="95"/>
      <c r="AS156" s="95"/>
      <c r="AT156" s="95"/>
      <c r="AU156" s="95"/>
      <c r="AV156" s="95"/>
      <c r="AW156" s="95"/>
      <c r="AX156" s="95"/>
      <c r="AY156" s="95"/>
      <c r="AZ156" s="95"/>
      <c r="BA156" s="95"/>
      <c r="BB156" s="95"/>
      <c r="BC156" s="95"/>
      <c r="BD156" s="95"/>
      <c r="BE156" s="95"/>
      <c r="BF156" s="95"/>
      <c r="BG156" s="95"/>
      <c r="BH156" s="95"/>
      <c r="BI156" s="95"/>
      <c r="BJ156" s="95"/>
      <c r="BK156" s="95"/>
      <c r="BL156" s="95"/>
      <c r="BM156" s="95"/>
      <c r="BN156" s="95"/>
      <c r="BO156" s="95"/>
      <c r="BP156" s="95"/>
      <c r="BQ156" s="95"/>
      <c r="BR156" s="95"/>
      <c r="BS156" s="95"/>
      <c r="BT156" s="95"/>
      <c r="BU156" s="95"/>
      <c r="BV156" s="95"/>
      <c r="BW156" s="95"/>
      <c r="BX156" s="95"/>
      <c r="BY156" s="95"/>
      <c r="BZ156" s="96"/>
    </row>
    <row r="157" spans="1:78" x14ac:dyDescent="0.2">
      <c r="A157" s="63"/>
      <c r="B157" s="55"/>
      <c r="C157" s="103"/>
      <c r="D157" s="103"/>
      <c r="E157" s="82"/>
      <c r="F157" s="94"/>
      <c r="G157" s="95"/>
      <c r="H157" s="95"/>
      <c r="I157" s="95"/>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95"/>
      <c r="AI157" s="95"/>
      <c r="AJ157" s="95"/>
      <c r="AK157" s="95"/>
      <c r="AL157" s="95"/>
      <c r="AM157" s="95"/>
      <c r="AN157" s="95"/>
      <c r="AO157" s="95"/>
      <c r="AP157" s="95"/>
      <c r="AQ157" s="95"/>
      <c r="AR157" s="95"/>
      <c r="AS157" s="95"/>
      <c r="AT157" s="95"/>
      <c r="AU157" s="95"/>
      <c r="AV157" s="95"/>
      <c r="AW157" s="95"/>
      <c r="AX157" s="95"/>
      <c r="AY157" s="95"/>
      <c r="AZ157" s="95"/>
      <c r="BA157" s="95"/>
      <c r="BB157" s="95"/>
      <c r="BC157" s="95"/>
      <c r="BD157" s="95"/>
      <c r="BE157" s="95"/>
      <c r="BF157" s="95"/>
      <c r="BG157" s="95"/>
      <c r="BH157" s="95"/>
      <c r="BI157" s="95"/>
      <c r="BJ157" s="95"/>
      <c r="BK157" s="95"/>
      <c r="BL157" s="95"/>
      <c r="BM157" s="95"/>
      <c r="BN157" s="95"/>
      <c r="BO157" s="95"/>
      <c r="BP157" s="95"/>
      <c r="BQ157" s="95"/>
      <c r="BR157" s="95"/>
      <c r="BS157" s="95"/>
      <c r="BT157" s="95"/>
      <c r="BU157" s="95"/>
      <c r="BV157" s="95"/>
      <c r="BW157" s="95"/>
      <c r="BX157" s="95"/>
      <c r="BY157" s="95"/>
      <c r="BZ157" s="96"/>
    </row>
    <row r="158" spans="1:78" x14ac:dyDescent="0.2">
      <c r="A158" s="63"/>
      <c r="B158" s="55"/>
      <c r="C158" s="103"/>
      <c r="D158" s="103"/>
      <c r="E158" s="82"/>
      <c r="F158" s="94"/>
      <c r="G158" s="95"/>
      <c r="H158" s="95"/>
      <c r="I158" s="95"/>
      <c r="J158" s="95"/>
      <c r="K158" s="95"/>
      <c r="L158" s="95"/>
      <c r="M158" s="95"/>
      <c r="N158" s="95"/>
      <c r="O158" s="95"/>
      <c r="P158" s="95"/>
      <c r="Q158" s="95"/>
      <c r="R158" s="95"/>
      <c r="S158" s="95"/>
      <c r="T158" s="95"/>
      <c r="U158" s="95"/>
      <c r="V158" s="95"/>
      <c r="W158" s="95"/>
      <c r="X158" s="95"/>
      <c r="Y158" s="95"/>
      <c r="Z158" s="95"/>
      <c r="AA158" s="95"/>
      <c r="AB158" s="95"/>
      <c r="AC158" s="95"/>
      <c r="AD158" s="95"/>
      <c r="AE158" s="95"/>
      <c r="AF158" s="95"/>
      <c r="AG158" s="95"/>
      <c r="AH158" s="95"/>
      <c r="AI158" s="95"/>
      <c r="AJ158" s="95"/>
      <c r="AK158" s="95"/>
      <c r="AL158" s="95"/>
      <c r="AM158" s="95"/>
      <c r="AN158" s="95"/>
      <c r="AO158" s="95"/>
      <c r="AP158" s="95"/>
      <c r="AQ158" s="95"/>
      <c r="AR158" s="95"/>
      <c r="AS158" s="95"/>
      <c r="AT158" s="95"/>
      <c r="AU158" s="95"/>
      <c r="AV158" s="95"/>
      <c r="AW158" s="95"/>
      <c r="AX158" s="95"/>
      <c r="AY158" s="95"/>
      <c r="AZ158" s="95"/>
      <c r="BA158" s="95"/>
      <c r="BB158" s="95"/>
      <c r="BC158" s="95"/>
      <c r="BD158" s="95"/>
      <c r="BE158" s="95"/>
      <c r="BF158" s="95"/>
      <c r="BG158" s="95"/>
      <c r="BH158" s="95"/>
      <c r="BI158" s="95"/>
      <c r="BJ158" s="95"/>
      <c r="BK158" s="95"/>
      <c r="BL158" s="95"/>
      <c r="BM158" s="95"/>
      <c r="BN158" s="95"/>
      <c r="BO158" s="95"/>
      <c r="BP158" s="95"/>
      <c r="BQ158" s="95"/>
      <c r="BR158" s="95"/>
      <c r="BS158" s="95"/>
      <c r="BT158" s="95"/>
      <c r="BU158" s="95"/>
      <c r="BV158" s="95"/>
      <c r="BW158" s="95"/>
      <c r="BX158" s="95"/>
      <c r="BY158" s="95"/>
      <c r="BZ158" s="96"/>
    </row>
    <row r="159" spans="1:78" x14ac:dyDescent="0.2">
      <c r="A159" s="63"/>
      <c r="B159" s="55"/>
      <c r="C159" s="103"/>
      <c r="D159" s="103"/>
      <c r="E159" s="82"/>
      <c r="F159" s="94"/>
      <c r="G159" s="95"/>
      <c r="H159" s="95"/>
      <c r="I159" s="95"/>
      <c r="J159" s="95"/>
      <c r="K159" s="95"/>
      <c r="L159" s="95"/>
      <c r="M159" s="95"/>
      <c r="N159" s="95"/>
      <c r="O159" s="95"/>
      <c r="P159" s="95"/>
      <c r="Q159" s="95"/>
      <c r="R159" s="95"/>
      <c r="S159" s="95"/>
      <c r="T159" s="95"/>
      <c r="U159" s="95"/>
      <c r="V159" s="95"/>
      <c r="W159" s="95"/>
      <c r="X159" s="95"/>
      <c r="Y159" s="95"/>
      <c r="Z159" s="95"/>
      <c r="AA159" s="95"/>
      <c r="AB159" s="95"/>
      <c r="AC159" s="95"/>
      <c r="AD159" s="95"/>
      <c r="AE159" s="95"/>
      <c r="AF159" s="95"/>
      <c r="AG159" s="95"/>
      <c r="AH159" s="95"/>
      <c r="AI159" s="95"/>
      <c r="AJ159" s="95"/>
      <c r="AK159" s="95"/>
      <c r="AL159" s="95"/>
      <c r="AM159" s="95"/>
      <c r="AN159" s="95"/>
      <c r="AO159" s="95"/>
      <c r="AP159" s="95"/>
      <c r="AQ159" s="95"/>
      <c r="AR159" s="95"/>
      <c r="AS159" s="95"/>
      <c r="AT159" s="95"/>
      <c r="AU159" s="95"/>
      <c r="AV159" s="95"/>
      <c r="AW159" s="95"/>
      <c r="AX159" s="95"/>
      <c r="AY159" s="95"/>
      <c r="AZ159" s="95"/>
      <c r="BA159" s="95"/>
      <c r="BB159" s="95"/>
      <c r="BC159" s="95"/>
      <c r="BD159" s="95"/>
      <c r="BE159" s="95"/>
      <c r="BF159" s="95"/>
      <c r="BG159" s="95"/>
      <c r="BH159" s="95"/>
      <c r="BI159" s="95"/>
      <c r="BJ159" s="95"/>
      <c r="BK159" s="95"/>
      <c r="BL159" s="95"/>
      <c r="BM159" s="95"/>
      <c r="BN159" s="95"/>
      <c r="BO159" s="95"/>
      <c r="BP159" s="95"/>
      <c r="BQ159" s="95"/>
      <c r="BR159" s="95"/>
      <c r="BS159" s="95"/>
      <c r="BT159" s="95"/>
      <c r="BU159" s="95"/>
      <c r="BV159" s="95"/>
      <c r="BW159" s="95"/>
      <c r="BX159" s="95"/>
      <c r="BY159" s="95"/>
      <c r="BZ159" s="96"/>
    </row>
    <row r="160" spans="1:78" x14ac:dyDescent="0.2">
      <c r="A160" s="63"/>
      <c r="B160" s="55"/>
      <c r="C160" s="103"/>
      <c r="D160" s="103"/>
      <c r="E160" s="82"/>
      <c r="F160" s="94"/>
      <c r="G160" s="95"/>
      <c r="H160" s="95"/>
      <c r="I160" s="95"/>
      <c r="J160" s="95"/>
      <c r="K160" s="95"/>
      <c r="L160" s="95"/>
      <c r="M160" s="95"/>
      <c r="N160" s="95"/>
      <c r="O160" s="95"/>
      <c r="P160" s="95"/>
      <c r="Q160" s="95"/>
      <c r="R160" s="95"/>
      <c r="S160" s="95"/>
      <c r="T160" s="95"/>
      <c r="U160" s="95"/>
      <c r="V160" s="95"/>
      <c r="W160" s="95"/>
      <c r="X160" s="95"/>
      <c r="Y160" s="95"/>
      <c r="Z160" s="95"/>
      <c r="AA160" s="95"/>
      <c r="AB160" s="95"/>
      <c r="AC160" s="95"/>
      <c r="AD160" s="95"/>
      <c r="AE160" s="95"/>
      <c r="AF160" s="95"/>
      <c r="AG160" s="95"/>
      <c r="AH160" s="95"/>
      <c r="AI160" s="95"/>
      <c r="AJ160" s="95"/>
      <c r="AK160" s="95"/>
      <c r="AL160" s="95"/>
      <c r="AM160" s="95"/>
      <c r="AN160" s="95"/>
      <c r="AO160" s="95"/>
      <c r="AP160" s="95"/>
      <c r="AQ160" s="95"/>
      <c r="AR160" s="95"/>
      <c r="AS160" s="95"/>
      <c r="AT160" s="95"/>
      <c r="AU160" s="95"/>
      <c r="AV160" s="95"/>
      <c r="AW160" s="95"/>
      <c r="AX160" s="95"/>
      <c r="AY160" s="95"/>
      <c r="AZ160" s="95"/>
      <c r="BA160" s="95"/>
      <c r="BB160" s="95"/>
      <c r="BC160" s="95"/>
      <c r="BD160" s="95"/>
      <c r="BE160" s="95"/>
      <c r="BF160" s="95"/>
      <c r="BG160" s="95"/>
      <c r="BH160" s="95"/>
      <c r="BI160" s="95"/>
      <c r="BJ160" s="95"/>
      <c r="BK160" s="95"/>
      <c r="BL160" s="95"/>
      <c r="BM160" s="95"/>
      <c r="BN160" s="95"/>
      <c r="BO160" s="95"/>
      <c r="BP160" s="95"/>
      <c r="BQ160" s="95"/>
      <c r="BR160" s="95"/>
      <c r="BS160" s="95"/>
      <c r="BT160" s="95"/>
      <c r="BU160" s="95"/>
      <c r="BV160" s="95"/>
      <c r="BW160" s="95"/>
      <c r="BX160" s="95"/>
      <c r="BY160" s="95"/>
      <c r="BZ160" s="96"/>
    </row>
    <row r="161" spans="1:78" x14ac:dyDescent="0.2">
      <c r="A161" s="63"/>
      <c r="B161" s="55"/>
      <c r="C161" s="103"/>
      <c r="D161" s="103"/>
      <c r="E161" s="82"/>
      <c r="F161" s="94"/>
      <c r="G161" s="95"/>
      <c r="H161" s="95"/>
      <c r="I161" s="95"/>
      <c r="J161" s="95"/>
      <c r="K161" s="95"/>
      <c r="L161" s="95"/>
      <c r="M161" s="95"/>
      <c r="N161" s="95"/>
      <c r="O161" s="95"/>
      <c r="P161" s="95"/>
      <c r="Q161" s="95"/>
      <c r="R161" s="95"/>
      <c r="S161" s="95"/>
      <c r="T161" s="95"/>
      <c r="U161" s="95"/>
      <c r="V161" s="95"/>
      <c r="W161" s="95"/>
      <c r="X161" s="95"/>
      <c r="Y161" s="95"/>
      <c r="Z161" s="95"/>
      <c r="AA161" s="95"/>
      <c r="AB161" s="95"/>
      <c r="AC161" s="95"/>
      <c r="AD161" s="95"/>
      <c r="AE161" s="95"/>
      <c r="AF161" s="95"/>
      <c r="AG161" s="95"/>
      <c r="AH161" s="95"/>
      <c r="AI161" s="95"/>
      <c r="AJ161" s="95"/>
      <c r="AK161" s="95"/>
      <c r="AL161" s="95"/>
      <c r="AM161" s="95"/>
      <c r="AN161" s="95"/>
      <c r="AO161" s="95"/>
      <c r="AP161" s="95"/>
      <c r="AQ161" s="95"/>
      <c r="AR161" s="95"/>
      <c r="AS161" s="95"/>
      <c r="AT161" s="95"/>
      <c r="AU161" s="95"/>
      <c r="AV161" s="95"/>
      <c r="AW161" s="95"/>
      <c r="AX161" s="95"/>
      <c r="AY161" s="95"/>
      <c r="AZ161" s="95"/>
      <c r="BA161" s="95"/>
      <c r="BB161" s="95"/>
      <c r="BC161" s="95"/>
      <c r="BD161" s="95"/>
      <c r="BE161" s="95"/>
      <c r="BF161" s="95"/>
      <c r="BG161" s="95"/>
      <c r="BH161" s="95"/>
      <c r="BI161" s="95"/>
      <c r="BJ161" s="95"/>
      <c r="BK161" s="95"/>
      <c r="BL161" s="95"/>
      <c r="BM161" s="95"/>
      <c r="BN161" s="95"/>
      <c r="BO161" s="95"/>
      <c r="BP161" s="95"/>
      <c r="BQ161" s="95"/>
      <c r="BR161" s="95"/>
      <c r="BS161" s="95"/>
      <c r="BT161" s="95"/>
      <c r="BU161" s="95"/>
      <c r="BV161" s="95"/>
      <c r="BW161" s="95"/>
      <c r="BX161" s="95"/>
      <c r="BY161" s="95"/>
      <c r="BZ161" s="96"/>
    </row>
    <row r="162" spans="1:78" x14ac:dyDescent="0.2">
      <c r="A162" s="63"/>
      <c r="B162" s="55"/>
      <c r="C162" s="103"/>
      <c r="D162" s="103"/>
      <c r="E162" s="82"/>
      <c r="F162" s="94"/>
      <c r="G162" s="95"/>
      <c r="H162" s="95"/>
      <c r="I162" s="95"/>
      <c r="J162" s="95"/>
      <c r="K162" s="95"/>
      <c r="L162" s="95"/>
      <c r="M162" s="95"/>
      <c r="N162" s="95"/>
      <c r="O162" s="95"/>
      <c r="P162" s="95"/>
      <c r="Q162" s="95"/>
      <c r="R162" s="95"/>
      <c r="S162" s="95"/>
      <c r="T162" s="95"/>
      <c r="U162" s="95"/>
      <c r="V162" s="95"/>
      <c r="W162" s="95"/>
      <c r="X162" s="95"/>
      <c r="Y162" s="95"/>
      <c r="Z162" s="95"/>
      <c r="AA162" s="95"/>
      <c r="AB162" s="95"/>
      <c r="AC162" s="95"/>
      <c r="AD162" s="95"/>
      <c r="AE162" s="95"/>
      <c r="AF162" s="95"/>
      <c r="AG162" s="95"/>
      <c r="AH162" s="95"/>
      <c r="AI162" s="95"/>
      <c r="AJ162" s="95"/>
      <c r="AK162" s="95"/>
      <c r="AL162" s="95"/>
      <c r="AM162" s="95"/>
      <c r="AN162" s="95"/>
      <c r="AO162" s="95"/>
      <c r="AP162" s="95"/>
      <c r="AQ162" s="95"/>
      <c r="AR162" s="95"/>
      <c r="AS162" s="95"/>
      <c r="AT162" s="95"/>
      <c r="AU162" s="95"/>
      <c r="AV162" s="95"/>
      <c r="AW162" s="95"/>
      <c r="AX162" s="95"/>
      <c r="AY162" s="95"/>
      <c r="AZ162" s="95"/>
      <c r="BA162" s="95"/>
      <c r="BB162" s="95"/>
      <c r="BC162" s="95"/>
      <c r="BD162" s="95"/>
      <c r="BE162" s="95"/>
      <c r="BF162" s="95"/>
      <c r="BG162" s="95"/>
      <c r="BH162" s="95"/>
      <c r="BI162" s="95"/>
      <c r="BJ162" s="95"/>
      <c r="BK162" s="95"/>
      <c r="BL162" s="95"/>
      <c r="BM162" s="95"/>
      <c r="BN162" s="95"/>
      <c r="BO162" s="95"/>
      <c r="BP162" s="95"/>
      <c r="BQ162" s="95"/>
      <c r="BR162" s="95"/>
      <c r="BS162" s="95"/>
      <c r="BT162" s="95"/>
      <c r="BU162" s="95"/>
      <c r="BV162" s="95"/>
      <c r="BW162" s="95"/>
      <c r="BX162" s="95"/>
      <c r="BY162" s="95"/>
      <c r="BZ162" s="96"/>
    </row>
    <row r="163" spans="1:78" x14ac:dyDescent="0.2">
      <c r="A163" s="63"/>
      <c r="B163" s="55"/>
      <c r="C163" s="103"/>
      <c r="D163" s="103"/>
      <c r="E163" s="82"/>
      <c r="F163" s="94"/>
      <c r="G163" s="95"/>
      <c r="H163" s="95"/>
      <c r="I163" s="95"/>
      <c r="J163" s="95"/>
      <c r="K163" s="95"/>
      <c r="L163" s="95"/>
      <c r="M163" s="95"/>
      <c r="N163" s="95"/>
      <c r="O163" s="95"/>
      <c r="P163" s="95"/>
      <c r="Q163" s="95"/>
      <c r="R163" s="95"/>
      <c r="S163" s="95"/>
      <c r="T163" s="95"/>
      <c r="U163" s="95"/>
      <c r="V163" s="95"/>
      <c r="W163" s="95"/>
      <c r="X163" s="95"/>
      <c r="Y163" s="95"/>
      <c r="Z163" s="95"/>
      <c r="AA163" s="95"/>
      <c r="AB163" s="95"/>
      <c r="AC163" s="95"/>
      <c r="AD163" s="95"/>
      <c r="AE163" s="95"/>
      <c r="AF163" s="95"/>
      <c r="AG163" s="95"/>
      <c r="AH163" s="95"/>
      <c r="AI163" s="95"/>
      <c r="AJ163" s="95"/>
      <c r="AK163" s="95"/>
      <c r="AL163" s="95"/>
      <c r="AM163" s="95"/>
      <c r="AN163" s="95"/>
      <c r="AO163" s="95"/>
      <c r="AP163" s="95"/>
      <c r="AQ163" s="95"/>
      <c r="AR163" s="95"/>
      <c r="AS163" s="95"/>
      <c r="AT163" s="95"/>
      <c r="AU163" s="95"/>
      <c r="AV163" s="95"/>
      <c r="AW163" s="95"/>
      <c r="AX163" s="95"/>
      <c r="AY163" s="95"/>
      <c r="AZ163" s="95"/>
      <c r="BA163" s="95"/>
      <c r="BB163" s="95"/>
      <c r="BC163" s="95"/>
      <c r="BD163" s="95"/>
      <c r="BE163" s="95"/>
      <c r="BF163" s="95"/>
      <c r="BG163" s="95"/>
      <c r="BH163" s="95"/>
      <c r="BI163" s="95"/>
      <c r="BJ163" s="95"/>
      <c r="BK163" s="95"/>
      <c r="BL163" s="95"/>
      <c r="BM163" s="95"/>
      <c r="BN163" s="95"/>
      <c r="BO163" s="95"/>
      <c r="BP163" s="95"/>
      <c r="BQ163" s="95"/>
      <c r="BR163" s="95"/>
      <c r="BS163" s="95"/>
      <c r="BT163" s="95"/>
      <c r="BU163" s="95"/>
      <c r="BV163" s="95"/>
      <c r="BW163" s="95"/>
      <c r="BX163" s="95"/>
      <c r="BY163" s="95"/>
      <c r="BZ163" s="96"/>
    </row>
    <row r="164" spans="1:78" x14ac:dyDescent="0.2">
      <c r="A164" s="63"/>
      <c r="B164" s="55"/>
      <c r="C164" s="103"/>
      <c r="D164" s="103"/>
      <c r="E164" s="82"/>
      <c r="F164" s="94"/>
      <c r="G164" s="95"/>
      <c r="H164" s="95"/>
      <c r="I164" s="95"/>
      <c r="J164" s="95"/>
      <c r="K164" s="95"/>
      <c r="L164" s="95"/>
      <c r="M164" s="95"/>
      <c r="N164" s="95"/>
      <c r="O164" s="95"/>
      <c r="P164" s="95"/>
      <c r="Q164" s="95"/>
      <c r="R164" s="95"/>
      <c r="S164" s="95"/>
      <c r="T164" s="95"/>
      <c r="U164" s="95"/>
      <c r="V164" s="95"/>
      <c r="W164" s="95"/>
      <c r="X164" s="95"/>
      <c r="Y164" s="95"/>
      <c r="Z164" s="95"/>
      <c r="AA164" s="95"/>
      <c r="AB164" s="95"/>
      <c r="AC164" s="95"/>
      <c r="AD164" s="95"/>
      <c r="AE164" s="95"/>
      <c r="AF164" s="95"/>
      <c r="AG164" s="95"/>
      <c r="AH164" s="95"/>
      <c r="AI164" s="95"/>
      <c r="AJ164" s="95"/>
      <c r="AK164" s="95"/>
      <c r="AL164" s="95"/>
      <c r="AM164" s="95"/>
      <c r="AN164" s="95"/>
      <c r="AO164" s="95"/>
      <c r="AP164" s="95"/>
      <c r="AQ164" s="95"/>
      <c r="AR164" s="95"/>
      <c r="AS164" s="95"/>
      <c r="AT164" s="95"/>
      <c r="AU164" s="95"/>
      <c r="AV164" s="95"/>
      <c r="AW164" s="95"/>
      <c r="AX164" s="95"/>
      <c r="AY164" s="95"/>
      <c r="AZ164" s="95"/>
      <c r="BA164" s="95"/>
      <c r="BB164" s="95"/>
      <c r="BC164" s="95"/>
      <c r="BD164" s="95"/>
      <c r="BE164" s="95"/>
      <c r="BF164" s="95"/>
      <c r="BG164" s="95"/>
      <c r="BH164" s="95"/>
      <c r="BI164" s="95"/>
      <c r="BJ164" s="95"/>
      <c r="BK164" s="95"/>
      <c r="BL164" s="95"/>
      <c r="BM164" s="95"/>
      <c r="BN164" s="95"/>
      <c r="BO164" s="95"/>
      <c r="BP164" s="95"/>
      <c r="BQ164" s="95"/>
      <c r="BR164" s="95"/>
      <c r="BS164" s="95"/>
      <c r="BT164" s="95"/>
      <c r="BU164" s="95"/>
      <c r="BV164" s="95"/>
      <c r="BW164" s="95"/>
      <c r="BX164" s="95"/>
      <c r="BY164" s="95"/>
      <c r="BZ164" s="96"/>
    </row>
    <row r="165" spans="1:78" x14ac:dyDescent="0.2">
      <c r="A165" s="63"/>
      <c r="B165" s="55"/>
      <c r="C165" s="103"/>
      <c r="D165" s="103"/>
      <c r="E165" s="82"/>
      <c r="F165" s="94"/>
      <c r="G165" s="95"/>
      <c r="H165" s="95"/>
      <c r="I165" s="95"/>
      <c r="J165" s="95"/>
      <c r="K165" s="95"/>
      <c r="L165" s="95"/>
      <c r="M165" s="95"/>
      <c r="N165" s="95"/>
      <c r="O165" s="95"/>
      <c r="P165" s="95"/>
      <c r="Q165" s="95"/>
      <c r="R165" s="95"/>
      <c r="S165" s="95"/>
      <c r="T165" s="95"/>
      <c r="U165" s="95"/>
      <c r="V165" s="95"/>
      <c r="W165" s="95"/>
      <c r="X165" s="95"/>
      <c r="Y165" s="95"/>
      <c r="Z165" s="95"/>
      <c r="AA165" s="95"/>
      <c r="AB165" s="95"/>
      <c r="AC165" s="95"/>
      <c r="AD165" s="95"/>
      <c r="AE165" s="95"/>
      <c r="AF165" s="95"/>
      <c r="AG165" s="95"/>
      <c r="AH165" s="95"/>
      <c r="AI165" s="95"/>
      <c r="AJ165" s="95"/>
      <c r="AK165" s="95"/>
      <c r="AL165" s="95"/>
      <c r="AM165" s="95"/>
      <c r="AN165" s="95"/>
      <c r="AO165" s="95"/>
      <c r="AP165" s="95"/>
      <c r="AQ165" s="95"/>
      <c r="AR165" s="95"/>
      <c r="AS165" s="95"/>
      <c r="AT165" s="95"/>
      <c r="AU165" s="95"/>
      <c r="AV165" s="95"/>
      <c r="AW165" s="95"/>
      <c r="AX165" s="95"/>
      <c r="AY165" s="95"/>
      <c r="AZ165" s="95"/>
      <c r="BA165" s="95"/>
      <c r="BB165" s="95"/>
      <c r="BC165" s="95"/>
      <c r="BD165" s="95"/>
      <c r="BE165" s="95"/>
      <c r="BF165" s="95"/>
      <c r="BG165" s="95"/>
      <c r="BH165" s="95"/>
      <c r="BI165" s="95"/>
      <c r="BJ165" s="95"/>
      <c r="BK165" s="95"/>
      <c r="BL165" s="95"/>
      <c r="BM165" s="95"/>
      <c r="BN165" s="95"/>
      <c r="BO165" s="95"/>
      <c r="BP165" s="95"/>
      <c r="BQ165" s="95"/>
      <c r="BR165" s="95"/>
      <c r="BS165" s="95"/>
      <c r="BT165" s="95"/>
      <c r="BU165" s="95"/>
      <c r="BV165" s="95"/>
      <c r="BW165" s="95"/>
      <c r="BX165" s="95"/>
      <c r="BY165" s="95"/>
      <c r="BZ165" s="96"/>
    </row>
    <row r="166" spans="1:78" x14ac:dyDescent="0.2">
      <c r="A166" s="63"/>
      <c r="B166" s="55"/>
      <c r="C166" s="103"/>
      <c r="D166" s="103"/>
      <c r="E166" s="82"/>
      <c r="F166" s="94"/>
      <c r="G166" s="95"/>
      <c r="H166" s="95"/>
      <c r="I166" s="95"/>
      <c r="J166" s="95"/>
      <c r="K166" s="95"/>
      <c r="L166" s="95"/>
      <c r="M166" s="95"/>
      <c r="N166" s="95"/>
      <c r="O166" s="95"/>
      <c r="P166" s="95"/>
      <c r="Q166" s="95"/>
      <c r="R166" s="95"/>
      <c r="S166" s="95"/>
      <c r="T166" s="95"/>
      <c r="U166" s="95"/>
      <c r="V166" s="95"/>
      <c r="W166" s="95"/>
      <c r="X166" s="95"/>
      <c r="Y166" s="95"/>
      <c r="Z166" s="95"/>
      <c r="AA166" s="95"/>
      <c r="AB166" s="95"/>
      <c r="AC166" s="95"/>
      <c r="AD166" s="95"/>
      <c r="AE166" s="95"/>
      <c r="AF166" s="95"/>
      <c r="AG166" s="95"/>
      <c r="AH166" s="95"/>
      <c r="AI166" s="95"/>
      <c r="AJ166" s="95"/>
      <c r="AK166" s="95"/>
      <c r="AL166" s="95"/>
      <c r="AM166" s="95"/>
      <c r="AN166" s="95"/>
      <c r="AO166" s="95"/>
      <c r="AP166" s="95"/>
      <c r="AQ166" s="95"/>
      <c r="AR166" s="95"/>
      <c r="AS166" s="95"/>
      <c r="AT166" s="95"/>
      <c r="AU166" s="95"/>
      <c r="AV166" s="95"/>
      <c r="AW166" s="95"/>
      <c r="AX166" s="95"/>
      <c r="AY166" s="95"/>
      <c r="AZ166" s="95"/>
      <c r="BA166" s="95"/>
      <c r="BB166" s="95"/>
      <c r="BC166" s="95"/>
      <c r="BD166" s="95"/>
      <c r="BE166" s="95"/>
      <c r="BF166" s="95"/>
      <c r="BG166" s="95"/>
      <c r="BH166" s="95"/>
      <c r="BI166" s="95"/>
      <c r="BJ166" s="95"/>
      <c r="BK166" s="95"/>
      <c r="BL166" s="95"/>
      <c r="BM166" s="95"/>
      <c r="BN166" s="95"/>
      <c r="BO166" s="95"/>
      <c r="BP166" s="95"/>
      <c r="BQ166" s="95"/>
      <c r="BR166" s="95"/>
      <c r="BS166" s="95"/>
      <c r="BT166" s="95"/>
      <c r="BU166" s="95"/>
      <c r="BV166" s="95"/>
      <c r="BW166" s="95"/>
      <c r="BX166" s="95"/>
      <c r="BY166" s="95"/>
      <c r="BZ166" s="96"/>
    </row>
    <row r="167" spans="1:78" x14ac:dyDescent="0.2">
      <c r="A167" s="63"/>
      <c r="B167" s="55"/>
      <c r="C167" s="103"/>
      <c r="D167" s="103"/>
      <c r="E167" s="82"/>
      <c r="F167" s="94"/>
      <c r="G167" s="95"/>
      <c r="H167" s="95"/>
      <c r="I167" s="95"/>
      <c r="J167" s="95"/>
      <c r="K167" s="95"/>
      <c r="L167" s="95"/>
      <c r="M167" s="95"/>
      <c r="N167" s="95"/>
      <c r="O167" s="95"/>
      <c r="P167" s="95"/>
      <c r="Q167" s="95"/>
      <c r="R167" s="95"/>
      <c r="S167" s="95"/>
      <c r="T167" s="95"/>
      <c r="U167" s="95"/>
      <c r="V167" s="95"/>
      <c r="W167" s="95"/>
      <c r="X167" s="95"/>
      <c r="Y167" s="95"/>
      <c r="Z167" s="95"/>
      <c r="AA167" s="95"/>
      <c r="AB167" s="95"/>
      <c r="AC167" s="95"/>
      <c r="AD167" s="95"/>
      <c r="AE167" s="95"/>
      <c r="AF167" s="95"/>
      <c r="AG167" s="95"/>
      <c r="AH167" s="95"/>
      <c r="AI167" s="95"/>
      <c r="AJ167" s="95"/>
      <c r="AK167" s="95"/>
      <c r="AL167" s="95"/>
      <c r="AM167" s="95"/>
      <c r="AN167" s="95"/>
      <c r="AO167" s="95"/>
      <c r="AP167" s="95"/>
      <c r="AQ167" s="95"/>
      <c r="AR167" s="95"/>
      <c r="AS167" s="95"/>
      <c r="AT167" s="95"/>
      <c r="AU167" s="95"/>
      <c r="AV167" s="95"/>
      <c r="AW167" s="95"/>
      <c r="AX167" s="95"/>
      <c r="AY167" s="95"/>
      <c r="AZ167" s="95"/>
      <c r="BA167" s="95"/>
      <c r="BB167" s="95"/>
      <c r="BC167" s="95"/>
      <c r="BD167" s="95"/>
      <c r="BE167" s="95"/>
      <c r="BF167" s="95"/>
      <c r="BG167" s="95"/>
      <c r="BH167" s="95"/>
      <c r="BI167" s="95"/>
      <c r="BJ167" s="95"/>
      <c r="BK167" s="95"/>
      <c r="BL167" s="95"/>
      <c r="BM167" s="95"/>
      <c r="BN167" s="95"/>
      <c r="BO167" s="95"/>
      <c r="BP167" s="95"/>
      <c r="BQ167" s="95"/>
      <c r="BR167" s="95"/>
      <c r="BS167" s="95"/>
      <c r="BT167" s="95"/>
      <c r="BU167" s="95"/>
      <c r="BV167" s="95"/>
      <c r="BW167" s="95"/>
      <c r="BX167" s="95"/>
      <c r="BY167" s="95"/>
      <c r="BZ167" s="96"/>
    </row>
    <row r="168" spans="1:78" x14ac:dyDescent="0.2">
      <c r="A168" s="63"/>
      <c r="B168" s="55"/>
      <c r="C168" s="103"/>
      <c r="D168" s="103"/>
      <c r="E168" s="82"/>
      <c r="F168" s="94"/>
      <c r="G168" s="95"/>
      <c r="H168" s="95"/>
      <c r="I168" s="95"/>
      <c r="J168" s="95"/>
      <c r="K168" s="95"/>
      <c r="L168" s="95"/>
      <c r="M168" s="95"/>
      <c r="N168" s="95"/>
      <c r="O168" s="95"/>
      <c r="P168" s="95"/>
      <c r="Q168" s="95"/>
      <c r="R168" s="95"/>
      <c r="S168" s="95"/>
      <c r="T168" s="95"/>
      <c r="U168" s="95"/>
      <c r="V168" s="95"/>
      <c r="W168" s="95"/>
      <c r="X168" s="95"/>
      <c r="Y168" s="95"/>
      <c r="Z168" s="95"/>
      <c r="AA168" s="95"/>
      <c r="AB168" s="95"/>
      <c r="AC168" s="95"/>
      <c r="AD168" s="95"/>
      <c r="AE168" s="95"/>
      <c r="AF168" s="95"/>
      <c r="AG168" s="95"/>
      <c r="AH168" s="95"/>
      <c r="AI168" s="95"/>
      <c r="AJ168" s="95"/>
      <c r="AK168" s="95"/>
      <c r="AL168" s="95"/>
      <c r="AM168" s="95"/>
      <c r="AN168" s="95"/>
      <c r="AO168" s="95"/>
      <c r="AP168" s="95"/>
      <c r="AQ168" s="95"/>
      <c r="AR168" s="95"/>
      <c r="AS168" s="95"/>
      <c r="AT168" s="95"/>
      <c r="AU168" s="95"/>
      <c r="AV168" s="95"/>
      <c r="AW168" s="95"/>
      <c r="AX168" s="95"/>
      <c r="AY168" s="95"/>
      <c r="AZ168" s="95"/>
      <c r="BA168" s="95"/>
      <c r="BB168" s="95"/>
      <c r="BC168" s="95"/>
      <c r="BD168" s="95"/>
      <c r="BE168" s="95"/>
      <c r="BF168" s="95"/>
      <c r="BG168" s="95"/>
      <c r="BH168" s="95"/>
      <c r="BI168" s="95"/>
      <c r="BJ168" s="95"/>
      <c r="BK168" s="95"/>
      <c r="BL168" s="95"/>
      <c r="BM168" s="95"/>
      <c r="BN168" s="95"/>
      <c r="BO168" s="95"/>
      <c r="BP168" s="95"/>
      <c r="BQ168" s="95"/>
      <c r="BR168" s="95"/>
      <c r="BS168" s="95"/>
      <c r="BT168" s="95"/>
      <c r="BU168" s="95"/>
      <c r="BV168" s="95"/>
      <c r="BW168" s="95"/>
      <c r="BX168" s="95"/>
      <c r="BY168" s="95"/>
      <c r="BZ168" s="96"/>
    </row>
    <row r="169" spans="1:78" x14ac:dyDescent="0.2">
      <c r="A169" s="63"/>
      <c r="B169" s="55"/>
      <c r="C169" s="103"/>
      <c r="D169" s="103"/>
      <c r="E169" s="82"/>
      <c r="F169" s="94"/>
      <c r="G169" s="95"/>
      <c r="H169" s="95"/>
      <c r="I169" s="95"/>
      <c r="J169" s="95"/>
      <c r="K169" s="95"/>
      <c r="L169" s="95"/>
      <c r="M169" s="95"/>
      <c r="N169" s="95"/>
      <c r="O169" s="95"/>
      <c r="P169" s="95"/>
      <c r="Q169" s="95"/>
      <c r="R169" s="95"/>
      <c r="S169" s="95"/>
      <c r="T169" s="95"/>
      <c r="U169" s="95"/>
      <c r="V169" s="95"/>
      <c r="W169" s="95"/>
      <c r="X169" s="95"/>
      <c r="Y169" s="95"/>
      <c r="Z169" s="95"/>
      <c r="AA169" s="95"/>
      <c r="AB169" s="95"/>
      <c r="AC169" s="95"/>
      <c r="AD169" s="95"/>
      <c r="AE169" s="95"/>
      <c r="AF169" s="95"/>
      <c r="AG169" s="95"/>
      <c r="AH169" s="95"/>
      <c r="AI169" s="95"/>
      <c r="AJ169" s="95"/>
      <c r="AK169" s="95"/>
      <c r="AL169" s="95"/>
      <c r="AM169" s="95"/>
      <c r="AN169" s="95"/>
      <c r="AO169" s="95"/>
      <c r="AP169" s="95"/>
      <c r="AQ169" s="95"/>
      <c r="AR169" s="95"/>
      <c r="AS169" s="95"/>
      <c r="AT169" s="95"/>
      <c r="AU169" s="95"/>
      <c r="AV169" s="95"/>
      <c r="AW169" s="95"/>
      <c r="AX169" s="95"/>
      <c r="AY169" s="95"/>
      <c r="AZ169" s="95"/>
      <c r="BA169" s="95"/>
      <c r="BB169" s="95"/>
      <c r="BC169" s="95"/>
      <c r="BD169" s="95"/>
      <c r="BE169" s="95"/>
      <c r="BF169" s="95"/>
      <c r="BG169" s="95"/>
      <c r="BH169" s="95"/>
      <c r="BI169" s="95"/>
      <c r="BJ169" s="95"/>
      <c r="BK169" s="95"/>
      <c r="BL169" s="95"/>
      <c r="BM169" s="95"/>
      <c r="BN169" s="95"/>
      <c r="BO169" s="95"/>
      <c r="BP169" s="95"/>
      <c r="BQ169" s="95"/>
      <c r="BR169" s="95"/>
      <c r="BS169" s="95"/>
      <c r="BT169" s="95"/>
      <c r="BU169" s="95"/>
      <c r="BV169" s="95"/>
      <c r="BW169" s="95"/>
      <c r="BX169" s="95"/>
      <c r="BY169" s="95"/>
      <c r="BZ169" s="96"/>
    </row>
    <row r="170" spans="1:78" x14ac:dyDescent="0.2">
      <c r="A170" s="63"/>
      <c r="B170" s="55"/>
      <c r="C170" s="103"/>
      <c r="D170" s="103"/>
      <c r="E170" s="82"/>
      <c r="F170" s="94"/>
      <c r="G170" s="95"/>
      <c r="H170" s="95"/>
      <c r="I170" s="95"/>
      <c r="J170" s="95"/>
      <c r="K170" s="95"/>
      <c r="L170" s="95"/>
      <c r="M170" s="95"/>
      <c r="N170" s="95"/>
      <c r="O170" s="95"/>
      <c r="P170" s="95"/>
      <c r="Q170" s="95"/>
      <c r="R170" s="95"/>
      <c r="S170" s="95"/>
      <c r="T170" s="95"/>
      <c r="U170" s="95"/>
      <c r="V170" s="95"/>
      <c r="W170" s="95"/>
      <c r="X170" s="95"/>
      <c r="Y170" s="95"/>
      <c r="Z170" s="95"/>
      <c r="AA170" s="95"/>
      <c r="AB170" s="95"/>
      <c r="AC170" s="95"/>
      <c r="AD170" s="95"/>
      <c r="AE170" s="95"/>
      <c r="AF170" s="95"/>
      <c r="AG170" s="95"/>
      <c r="AH170" s="95"/>
      <c r="AI170" s="95"/>
      <c r="AJ170" s="95"/>
      <c r="AK170" s="95"/>
      <c r="AL170" s="95"/>
      <c r="AM170" s="95"/>
      <c r="AN170" s="95"/>
      <c r="AO170" s="95"/>
      <c r="AP170" s="95"/>
      <c r="AQ170" s="95"/>
      <c r="AR170" s="95"/>
      <c r="AS170" s="95"/>
      <c r="AT170" s="95"/>
      <c r="AU170" s="95"/>
      <c r="AV170" s="95"/>
      <c r="AW170" s="95"/>
      <c r="AX170" s="95"/>
      <c r="AY170" s="95"/>
      <c r="AZ170" s="95"/>
      <c r="BA170" s="95"/>
      <c r="BB170" s="95"/>
      <c r="BC170" s="95"/>
      <c r="BD170" s="95"/>
      <c r="BE170" s="95"/>
      <c r="BF170" s="95"/>
      <c r="BG170" s="95"/>
      <c r="BH170" s="95"/>
      <c r="BI170" s="95"/>
      <c r="BJ170" s="95"/>
      <c r="BK170" s="95"/>
      <c r="BL170" s="95"/>
      <c r="BM170" s="95"/>
      <c r="BN170" s="95"/>
      <c r="BO170" s="95"/>
      <c r="BP170" s="95"/>
      <c r="BQ170" s="95"/>
      <c r="BR170" s="95"/>
      <c r="BS170" s="95"/>
      <c r="BT170" s="95"/>
      <c r="BU170" s="95"/>
      <c r="BV170" s="95"/>
      <c r="BW170" s="95"/>
      <c r="BX170" s="95"/>
      <c r="BY170" s="95"/>
      <c r="BZ170" s="96"/>
    </row>
    <row r="171" spans="1:78" x14ac:dyDescent="0.2">
      <c r="A171" s="63"/>
      <c r="B171" s="55"/>
      <c r="C171" s="103"/>
      <c r="D171" s="103"/>
      <c r="E171" s="82"/>
      <c r="F171" s="94"/>
      <c r="G171" s="95"/>
      <c r="H171" s="95"/>
      <c r="I171" s="95"/>
      <c r="J171" s="95"/>
      <c r="K171" s="95"/>
      <c r="L171" s="95"/>
      <c r="M171" s="95"/>
      <c r="N171" s="95"/>
      <c r="O171" s="95"/>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5"/>
      <c r="AO171" s="95"/>
      <c r="AP171" s="95"/>
      <c r="AQ171" s="95"/>
      <c r="AR171" s="95"/>
      <c r="AS171" s="95"/>
      <c r="AT171" s="95"/>
      <c r="AU171" s="95"/>
      <c r="AV171" s="95"/>
      <c r="AW171" s="95"/>
      <c r="AX171" s="95"/>
      <c r="AY171" s="95"/>
      <c r="AZ171" s="95"/>
      <c r="BA171" s="95"/>
      <c r="BB171" s="95"/>
      <c r="BC171" s="95"/>
      <c r="BD171" s="95"/>
      <c r="BE171" s="95"/>
      <c r="BF171" s="95"/>
      <c r="BG171" s="95"/>
      <c r="BH171" s="95"/>
      <c r="BI171" s="95"/>
      <c r="BJ171" s="95"/>
      <c r="BK171" s="95"/>
      <c r="BL171" s="95"/>
      <c r="BM171" s="95"/>
      <c r="BN171" s="95"/>
      <c r="BO171" s="95"/>
      <c r="BP171" s="95"/>
      <c r="BQ171" s="95"/>
      <c r="BR171" s="95"/>
      <c r="BS171" s="95"/>
      <c r="BT171" s="95"/>
      <c r="BU171" s="95"/>
      <c r="BV171" s="95"/>
      <c r="BW171" s="95"/>
      <c r="BX171" s="95"/>
      <c r="BY171" s="95"/>
      <c r="BZ171" s="96"/>
    </row>
    <row r="172" spans="1:78" x14ac:dyDescent="0.2">
      <c r="A172" s="63"/>
      <c r="B172" s="55"/>
      <c r="C172" s="103"/>
      <c r="D172" s="103"/>
      <c r="E172" s="82"/>
      <c r="F172" s="94"/>
      <c r="G172" s="95"/>
      <c r="H172" s="95"/>
      <c r="I172" s="95"/>
      <c r="J172" s="95"/>
      <c r="K172" s="95"/>
      <c r="L172" s="95"/>
      <c r="M172" s="95"/>
      <c r="N172" s="95"/>
      <c r="O172" s="95"/>
      <c r="P172" s="95"/>
      <c r="Q172" s="95"/>
      <c r="R172" s="95"/>
      <c r="S172" s="95"/>
      <c r="T172" s="95"/>
      <c r="U172" s="95"/>
      <c r="V172" s="95"/>
      <c r="W172" s="95"/>
      <c r="X172" s="95"/>
      <c r="Y172" s="95"/>
      <c r="Z172" s="95"/>
      <c r="AA172" s="95"/>
      <c r="AB172" s="95"/>
      <c r="AC172" s="95"/>
      <c r="AD172" s="95"/>
      <c r="AE172" s="95"/>
      <c r="AF172" s="95"/>
      <c r="AG172" s="95"/>
      <c r="AH172" s="95"/>
      <c r="AI172" s="95"/>
      <c r="AJ172" s="95"/>
      <c r="AK172" s="95"/>
      <c r="AL172" s="95"/>
      <c r="AM172" s="95"/>
      <c r="AN172" s="95"/>
      <c r="AO172" s="95"/>
      <c r="AP172" s="95"/>
      <c r="AQ172" s="95"/>
      <c r="AR172" s="95"/>
      <c r="AS172" s="95"/>
      <c r="AT172" s="95"/>
      <c r="AU172" s="95"/>
      <c r="AV172" s="95"/>
      <c r="AW172" s="95"/>
      <c r="AX172" s="95"/>
      <c r="AY172" s="95"/>
      <c r="AZ172" s="95"/>
      <c r="BA172" s="95"/>
      <c r="BB172" s="95"/>
      <c r="BC172" s="95"/>
      <c r="BD172" s="95"/>
      <c r="BE172" s="95"/>
      <c r="BF172" s="95"/>
      <c r="BG172" s="95"/>
      <c r="BH172" s="95"/>
      <c r="BI172" s="95"/>
      <c r="BJ172" s="95"/>
      <c r="BK172" s="95"/>
      <c r="BL172" s="95"/>
      <c r="BM172" s="95"/>
      <c r="BN172" s="95"/>
      <c r="BO172" s="95"/>
      <c r="BP172" s="95"/>
      <c r="BQ172" s="95"/>
      <c r="BR172" s="95"/>
      <c r="BS172" s="95"/>
      <c r="BT172" s="95"/>
      <c r="BU172" s="95"/>
      <c r="BV172" s="95"/>
      <c r="BW172" s="95"/>
      <c r="BX172" s="95"/>
      <c r="BY172" s="95"/>
      <c r="BZ172" s="96"/>
    </row>
    <row r="173" spans="1:78" x14ac:dyDescent="0.2">
      <c r="A173" s="63"/>
      <c r="B173" s="55"/>
      <c r="C173" s="103"/>
      <c r="D173" s="103"/>
      <c r="E173" s="82"/>
      <c r="F173" s="94"/>
      <c r="G173" s="95"/>
      <c r="H173" s="95"/>
      <c r="I173" s="95"/>
      <c r="J173" s="95"/>
      <c r="K173" s="95"/>
      <c r="L173" s="95"/>
      <c r="M173" s="95"/>
      <c r="N173" s="95"/>
      <c r="O173" s="95"/>
      <c r="P173" s="95"/>
      <c r="Q173" s="95"/>
      <c r="R173" s="95"/>
      <c r="S173" s="95"/>
      <c r="T173" s="95"/>
      <c r="U173" s="95"/>
      <c r="V173" s="95"/>
      <c r="W173" s="95"/>
      <c r="X173" s="95"/>
      <c r="Y173" s="95"/>
      <c r="Z173" s="95"/>
      <c r="AA173" s="95"/>
      <c r="AB173" s="95"/>
      <c r="AC173" s="95"/>
      <c r="AD173" s="95"/>
      <c r="AE173" s="95"/>
      <c r="AF173" s="95"/>
      <c r="AG173" s="95"/>
      <c r="AH173" s="95"/>
      <c r="AI173" s="95"/>
      <c r="AJ173" s="95"/>
      <c r="AK173" s="95"/>
      <c r="AL173" s="95"/>
      <c r="AM173" s="95"/>
      <c r="AN173" s="95"/>
      <c r="AO173" s="95"/>
      <c r="AP173" s="95"/>
      <c r="AQ173" s="95"/>
      <c r="AR173" s="95"/>
      <c r="AS173" s="95"/>
      <c r="AT173" s="95"/>
      <c r="AU173" s="95"/>
      <c r="AV173" s="95"/>
      <c r="AW173" s="95"/>
      <c r="AX173" s="95"/>
      <c r="AY173" s="95"/>
      <c r="AZ173" s="95"/>
      <c r="BA173" s="95"/>
      <c r="BB173" s="95"/>
      <c r="BC173" s="95"/>
      <c r="BD173" s="95"/>
      <c r="BE173" s="95"/>
      <c r="BF173" s="95"/>
      <c r="BG173" s="95"/>
      <c r="BH173" s="95"/>
      <c r="BI173" s="95"/>
      <c r="BJ173" s="95"/>
      <c r="BK173" s="95"/>
      <c r="BL173" s="95"/>
      <c r="BM173" s="95"/>
      <c r="BN173" s="95"/>
      <c r="BO173" s="95"/>
      <c r="BP173" s="95"/>
      <c r="BQ173" s="95"/>
      <c r="BR173" s="95"/>
      <c r="BS173" s="95"/>
      <c r="BT173" s="95"/>
      <c r="BU173" s="95"/>
      <c r="BV173" s="95"/>
      <c r="BW173" s="95"/>
      <c r="BX173" s="95"/>
      <c r="BY173" s="95"/>
      <c r="BZ173" s="96"/>
    </row>
    <row r="174" spans="1:78" x14ac:dyDescent="0.2">
      <c r="A174" s="63"/>
      <c r="B174" s="55"/>
      <c r="C174" s="103"/>
      <c r="D174" s="103"/>
      <c r="E174" s="82"/>
      <c r="F174" s="94"/>
      <c r="G174" s="95"/>
      <c r="H174" s="95"/>
      <c r="I174" s="95"/>
      <c r="J174" s="95"/>
      <c r="K174" s="95"/>
      <c r="L174" s="95"/>
      <c r="M174" s="95"/>
      <c r="N174" s="95"/>
      <c r="O174" s="95"/>
      <c r="P174" s="95"/>
      <c r="Q174" s="95"/>
      <c r="R174" s="95"/>
      <c r="S174" s="95"/>
      <c r="T174" s="95"/>
      <c r="U174" s="95"/>
      <c r="V174" s="95"/>
      <c r="W174" s="95"/>
      <c r="X174" s="95"/>
      <c r="Y174" s="95"/>
      <c r="Z174" s="95"/>
      <c r="AA174" s="95"/>
      <c r="AB174" s="95"/>
      <c r="AC174" s="95"/>
      <c r="AD174" s="95"/>
      <c r="AE174" s="95"/>
      <c r="AF174" s="95"/>
      <c r="AG174" s="95"/>
      <c r="AH174" s="95"/>
      <c r="AI174" s="95"/>
      <c r="AJ174" s="95"/>
      <c r="AK174" s="95"/>
      <c r="AL174" s="95"/>
      <c r="AM174" s="95"/>
      <c r="AN174" s="95"/>
      <c r="AO174" s="95"/>
      <c r="AP174" s="95"/>
      <c r="AQ174" s="95"/>
      <c r="AR174" s="95"/>
      <c r="AS174" s="95"/>
      <c r="AT174" s="95"/>
      <c r="AU174" s="95"/>
      <c r="AV174" s="95"/>
      <c r="AW174" s="95"/>
      <c r="AX174" s="95"/>
      <c r="AY174" s="95"/>
      <c r="AZ174" s="95"/>
      <c r="BA174" s="95"/>
      <c r="BB174" s="95"/>
      <c r="BC174" s="95"/>
      <c r="BD174" s="95"/>
      <c r="BE174" s="95"/>
      <c r="BF174" s="95"/>
      <c r="BG174" s="95"/>
      <c r="BH174" s="95"/>
      <c r="BI174" s="95"/>
      <c r="BJ174" s="95"/>
      <c r="BK174" s="95"/>
      <c r="BL174" s="95"/>
      <c r="BM174" s="95"/>
      <c r="BN174" s="95"/>
      <c r="BO174" s="95"/>
      <c r="BP174" s="95"/>
      <c r="BQ174" s="95"/>
      <c r="BR174" s="95"/>
      <c r="BS174" s="95"/>
      <c r="BT174" s="95"/>
      <c r="BU174" s="95"/>
      <c r="BV174" s="95"/>
      <c r="BW174" s="95"/>
      <c r="BX174" s="95"/>
      <c r="BY174" s="95"/>
      <c r="BZ174" s="96"/>
    </row>
    <row r="175" spans="1:78" x14ac:dyDescent="0.2">
      <c r="A175" s="63"/>
      <c r="B175" s="55"/>
      <c r="C175" s="103"/>
      <c r="D175" s="103"/>
      <c r="E175" s="82"/>
      <c r="F175" s="94"/>
      <c r="G175" s="95"/>
      <c r="H175" s="95"/>
      <c r="I175" s="95"/>
      <c r="J175" s="95"/>
      <c r="K175" s="95"/>
      <c r="L175" s="95"/>
      <c r="M175" s="95"/>
      <c r="N175" s="95"/>
      <c r="O175" s="95"/>
      <c r="P175" s="95"/>
      <c r="Q175" s="95"/>
      <c r="R175" s="95"/>
      <c r="S175" s="95"/>
      <c r="T175" s="95"/>
      <c r="U175" s="95"/>
      <c r="V175" s="95"/>
      <c r="W175" s="95"/>
      <c r="X175" s="95"/>
      <c r="Y175" s="95"/>
      <c r="Z175" s="95"/>
      <c r="AA175" s="95"/>
      <c r="AB175" s="95"/>
      <c r="AC175" s="95"/>
      <c r="AD175" s="95"/>
      <c r="AE175" s="95"/>
      <c r="AF175" s="95"/>
      <c r="AG175" s="95"/>
      <c r="AH175" s="95"/>
      <c r="AI175" s="95"/>
      <c r="AJ175" s="95"/>
      <c r="AK175" s="95"/>
      <c r="AL175" s="95"/>
      <c r="AM175" s="95"/>
      <c r="AN175" s="95"/>
      <c r="AO175" s="95"/>
      <c r="AP175" s="95"/>
      <c r="AQ175" s="95"/>
      <c r="AR175" s="95"/>
      <c r="AS175" s="95"/>
      <c r="AT175" s="95"/>
      <c r="AU175" s="95"/>
      <c r="AV175" s="95"/>
      <c r="AW175" s="95"/>
      <c r="AX175" s="95"/>
      <c r="AY175" s="95"/>
      <c r="AZ175" s="95"/>
      <c r="BA175" s="95"/>
      <c r="BB175" s="95"/>
      <c r="BC175" s="95"/>
      <c r="BD175" s="95"/>
      <c r="BE175" s="95"/>
      <c r="BF175" s="95"/>
      <c r="BG175" s="95"/>
      <c r="BH175" s="95"/>
      <c r="BI175" s="95"/>
      <c r="BJ175" s="95"/>
      <c r="BK175" s="95"/>
      <c r="BL175" s="95"/>
      <c r="BM175" s="95"/>
      <c r="BN175" s="95"/>
      <c r="BO175" s="95"/>
      <c r="BP175" s="95"/>
      <c r="BQ175" s="95"/>
      <c r="BR175" s="95"/>
      <c r="BS175" s="95"/>
      <c r="BT175" s="95"/>
      <c r="BU175" s="95"/>
      <c r="BV175" s="95"/>
      <c r="BW175" s="95"/>
      <c r="BX175" s="95"/>
      <c r="BY175" s="95"/>
      <c r="BZ175" s="96"/>
    </row>
    <row r="176" spans="1:78" x14ac:dyDescent="0.2">
      <c r="A176" s="63"/>
      <c r="B176" s="55"/>
      <c r="C176" s="103"/>
      <c r="D176" s="103"/>
      <c r="E176" s="82"/>
      <c r="F176" s="94"/>
      <c r="G176" s="95"/>
      <c r="H176" s="95"/>
      <c r="I176" s="95"/>
      <c r="J176" s="95"/>
      <c r="K176" s="95"/>
      <c r="L176" s="95"/>
      <c r="M176" s="95"/>
      <c r="N176" s="95"/>
      <c r="O176" s="95"/>
      <c r="P176" s="95"/>
      <c r="Q176" s="95"/>
      <c r="R176" s="95"/>
      <c r="S176" s="95"/>
      <c r="T176" s="95"/>
      <c r="U176" s="95"/>
      <c r="V176" s="95"/>
      <c r="W176" s="95"/>
      <c r="X176" s="95"/>
      <c r="Y176" s="95"/>
      <c r="Z176" s="95"/>
      <c r="AA176" s="95"/>
      <c r="AB176" s="95"/>
      <c r="AC176" s="95"/>
      <c r="AD176" s="95"/>
      <c r="AE176" s="95"/>
      <c r="AF176" s="95"/>
      <c r="AG176" s="95"/>
      <c r="AH176" s="95"/>
      <c r="AI176" s="95"/>
      <c r="AJ176" s="95"/>
      <c r="AK176" s="95"/>
      <c r="AL176" s="95"/>
      <c r="AM176" s="95"/>
      <c r="AN176" s="95"/>
      <c r="AO176" s="95"/>
      <c r="AP176" s="95"/>
      <c r="AQ176" s="95"/>
      <c r="AR176" s="95"/>
      <c r="AS176" s="95"/>
      <c r="AT176" s="95"/>
      <c r="AU176" s="95"/>
      <c r="AV176" s="95"/>
      <c r="AW176" s="95"/>
      <c r="AX176" s="95"/>
      <c r="AY176" s="95"/>
      <c r="AZ176" s="95"/>
      <c r="BA176" s="95"/>
      <c r="BB176" s="95"/>
      <c r="BC176" s="95"/>
      <c r="BD176" s="95"/>
      <c r="BE176" s="95"/>
      <c r="BF176" s="95"/>
      <c r="BG176" s="95"/>
      <c r="BH176" s="95"/>
      <c r="BI176" s="95"/>
      <c r="BJ176" s="95"/>
      <c r="BK176" s="95"/>
      <c r="BL176" s="95"/>
      <c r="BM176" s="95"/>
      <c r="BN176" s="95"/>
      <c r="BO176" s="95"/>
      <c r="BP176" s="95"/>
      <c r="BQ176" s="95"/>
      <c r="BR176" s="95"/>
      <c r="BS176" s="95"/>
      <c r="BT176" s="95"/>
      <c r="BU176" s="95"/>
      <c r="BV176" s="95"/>
      <c r="BW176" s="95"/>
      <c r="BX176" s="95"/>
      <c r="BY176" s="95"/>
      <c r="BZ176" s="96"/>
    </row>
    <row r="177" spans="1:78" x14ac:dyDescent="0.2">
      <c r="A177" s="63"/>
      <c r="B177" s="55"/>
      <c r="C177" s="103"/>
      <c r="D177" s="103"/>
      <c r="E177" s="82"/>
      <c r="F177" s="94"/>
      <c r="G177" s="95"/>
      <c r="H177" s="95"/>
      <c r="I177" s="95"/>
      <c r="J177" s="95"/>
      <c r="K177" s="95"/>
      <c r="L177" s="95"/>
      <c r="M177" s="95"/>
      <c r="N177" s="95"/>
      <c r="O177" s="95"/>
      <c r="P177" s="95"/>
      <c r="Q177" s="95"/>
      <c r="R177" s="95"/>
      <c r="S177" s="95"/>
      <c r="T177" s="95"/>
      <c r="U177" s="95"/>
      <c r="V177" s="95"/>
      <c r="W177" s="95"/>
      <c r="X177" s="95"/>
      <c r="Y177" s="95"/>
      <c r="Z177" s="95"/>
      <c r="AA177" s="95"/>
      <c r="AB177" s="95"/>
      <c r="AC177" s="95"/>
      <c r="AD177" s="95"/>
      <c r="AE177" s="95"/>
      <c r="AF177" s="95"/>
      <c r="AG177" s="95"/>
      <c r="AH177" s="95"/>
      <c r="AI177" s="95"/>
      <c r="AJ177" s="95"/>
      <c r="AK177" s="95"/>
      <c r="AL177" s="95"/>
      <c r="AM177" s="95"/>
      <c r="AN177" s="95"/>
      <c r="AO177" s="95"/>
      <c r="AP177" s="95"/>
      <c r="AQ177" s="95"/>
      <c r="AR177" s="95"/>
      <c r="AS177" s="95"/>
      <c r="AT177" s="95"/>
      <c r="AU177" s="95"/>
      <c r="AV177" s="95"/>
      <c r="AW177" s="95"/>
      <c r="AX177" s="95"/>
      <c r="AY177" s="95"/>
      <c r="AZ177" s="95"/>
      <c r="BA177" s="95"/>
      <c r="BB177" s="95"/>
      <c r="BC177" s="95"/>
      <c r="BD177" s="95"/>
      <c r="BE177" s="95"/>
      <c r="BF177" s="95"/>
      <c r="BG177" s="95"/>
      <c r="BH177" s="95"/>
      <c r="BI177" s="95"/>
      <c r="BJ177" s="95"/>
      <c r="BK177" s="95"/>
      <c r="BL177" s="95"/>
      <c r="BM177" s="95"/>
      <c r="BN177" s="95"/>
      <c r="BO177" s="95"/>
      <c r="BP177" s="95"/>
      <c r="BQ177" s="95"/>
      <c r="BR177" s="95"/>
      <c r="BS177" s="95"/>
      <c r="BT177" s="95"/>
      <c r="BU177" s="95"/>
      <c r="BV177" s="95"/>
      <c r="BW177" s="95"/>
      <c r="BX177" s="95"/>
      <c r="BY177" s="95"/>
      <c r="BZ177" s="96"/>
    </row>
    <row r="178" spans="1:78" x14ac:dyDescent="0.2">
      <c r="A178" s="63"/>
      <c r="B178" s="55"/>
      <c r="C178" s="103"/>
      <c r="D178" s="103"/>
      <c r="E178" s="82"/>
      <c r="F178" s="64"/>
      <c r="G178" s="65"/>
      <c r="H178" s="65"/>
      <c r="I178" s="65"/>
      <c r="J178" s="65"/>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c r="AQ178" s="65"/>
      <c r="AR178" s="65"/>
      <c r="AS178" s="65"/>
      <c r="AT178" s="65"/>
      <c r="AU178" s="65"/>
      <c r="AV178" s="65"/>
      <c r="AW178" s="65"/>
      <c r="AX178" s="65"/>
      <c r="AY178" s="65"/>
      <c r="AZ178" s="65"/>
      <c r="BA178" s="65"/>
      <c r="BB178" s="65"/>
      <c r="BC178" s="65"/>
      <c r="BD178" s="65"/>
      <c r="BE178" s="65"/>
      <c r="BF178" s="65"/>
      <c r="BG178" s="65"/>
      <c r="BH178" s="65"/>
      <c r="BI178" s="65"/>
      <c r="BJ178" s="65"/>
      <c r="BK178" s="65"/>
      <c r="BL178" s="65"/>
      <c r="BM178" s="65"/>
      <c r="BN178" s="65"/>
      <c r="BO178" s="65"/>
      <c r="BP178" s="65"/>
      <c r="BQ178" s="65"/>
      <c r="BR178" s="65"/>
      <c r="BS178" s="65"/>
      <c r="BT178" s="65"/>
      <c r="BU178" s="65"/>
      <c r="BV178" s="65"/>
      <c r="BW178" s="65"/>
      <c r="BX178" s="65"/>
      <c r="BY178" s="65"/>
      <c r="BZ178" s="66"/>
    </row>
    <row r="179" spans="1:78" x14ac:dyDescent="0.2">
      <c r="A179" s="67"/>
      <c r="B179" s="55"/>
      <c r="C179" s="103"/>
      <c r="D179" s="103"/>
      <c r="E179" s="82"/>
      <c r="F179" s="64"/>
      <c r="G179" s="65"/>
      <c r="H179" s="65"/>
      <c r="I179" s="65"/>
      <c r="J179" s="65"/>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c r="AQ179" s="65"/>
      <c r="AR179" s="65"/>
      <c r="AS179" s="65"/>
      <c r="AT179" s="65"/>
      <c r="AU179" s="65"/>
      <c r="AV179" s="65"/>
      <c r="AW179" s="65"/>
      <c r="AX179" s="65"/>
      <c r="AY179" s="65"/>
      <c r="AZ179" s="65"/>
      <c r="BA179" s="65"/>
      <c r="BB179" s="65"/>
      <c r="BC179" s="65"/>
      <c r="BD179" s="65"/>
      <c r="BE179" s="65"/>
      <c r="BF179" s="65"/>
      <c r="BG179" s="65"/>
      <c r="BH179" s="65"/>
      <c r="BI179" s="65"/>
      <c r="BJ179" s="65"/>
      <c r="BK179" s="65"/>
      <c r="BL179" s="65"/>
      <c r="BM179" s="65"/>
      <c r="BN179" s="65"/>
      <c r="BO179" s="65"/>
      <c r="BP179" s="65"/>
      <c r="BQ179" s="65"/>
      <c r="BR179" s="65"/>
      <c r="BS179" s="65"/>
      <c r="BT179" s="65"/>
      <c r="BU179" s="65"/>
      <c r="BV179" s="65"/>
      <c r="BW179" s="65"/>
      <c r="BX179" s="65"/>
      <c r="BY179" s="65"/>
      <c r="BZ179" s="66"/>
    </row>
    <row r="180" spans="1:78" x14ac:dyDescent="0.2">
      <c r="A180" s="63"/>
      <c r="B180" s="55"/>
      <c r="C180" s="103"/>
      <c r="D180" s="103"/>
      <c r="E180" s="82"/>
      <c r="F180" s="94"/>
      <c r="G180" s="95"/>
      <c r="H180" s="95"/>
      <c r="I180" s="95"/>
      <c r="J180" s="95"/>
      <c r="K180" s="95"/>
      <c r="L180" s="95"/>
      <c r="M180" s="95"/>
      <c r="N180" s="95"/>
      <c r="O180" s="95"/>
      <c r="P180" s="95"/>
      <c r="Q180" s="95"/>
      <c r="R180" s="95"/>
      <c r="S180" s="95"/>
      <c r="T180" s="95"/>
      <c r="U180" s="95"/>
      <c r="V180" s="95"/>
      <c r="W180" s="95"/>
      <c r="X180" s="95"/>
      <c r="Y180" s="95"/>
      <c r="Z180" s="95"/>
      <c r="AA180" s="95"/>
      <c r="AB180" s="95"/>
      <c r="AC180" s="95"/>
      <c r="AD180" s="95"/>
      <c r="AE180" s="95"/>
      <c r="AF180" s="95"/>
      <c r="AG180" s="95"/>
      <c r="AH180" s="95"/>
      <c r="AI180" s="95"/>
      <c r="AJ180" s="95"/>
      <c r="AK180" s="95"/>
      <c r="AL180" s="95"/>
      <c r="AM180" s="95"/>
      <c r="AN180" s="95"/>
      <c r="AO180" s="95"/>
      <c r="AP180" s="95"/>
      <c r="AQ180" s="95"/>
      <c r="AR180" s="95"/>
      <c r="AS180" s="95"/>
      <c r="AT180" s="95"/>
      <c r="AU180" s="95"/>
      <c r="AV180" s="95"/>
      <c r="AW180" s="95"/>
      <c r="AX180" s="95"/>
      <c r="AY180" s="95"/>
      <c r="AZ180" s="95"/>
      <c r="BA180" s="95"/>
      <c r="BB180" s="95"/>
      <c r="BC180" s="95"/>
      <c r="BD180" s="95"/>
      <c r="BE180" s="95"/>
      <c r="BF180" s="95"/>
      <c r="BG180" s="95"/>
      <c r="BH180" s="95"/>
      <c r="BI180" s="95"/>
      <c r="BJ180" s="95"/>
      <c r="BK180" s="95"/>
      <c r="BL180" s="95"/>
      <c r="BM180" s="95"/>
      <c r="BN180" s="95"/>
      <c r="BO180" s="95"/>
      <c r="BP180" s="95"/>
      <c r="BQ180" s="95"/>
      <c r="BR180" s="95"/>
      <c r="BS180" s="95"/>
      <c r="BT180" s="95"/>
      <c r="BU180" s="95"/>
      <c r="BV180" s="95"/>
      <c r="BW180" s="95"/>
      <c r="BX180" s="95"/>
      <c r="BY180" s="95"/>
      <c r="BZ180" s="96"/>
    </row>
    <row r="181" spans="1:78" x14ac:dyDescent="0.2">
      <c r="A181" s="63"/>
      <c r="B181" s="55"/>
      <c r="C181" s="103"/>
      <c r="D181" s="103"/>
      <c r="E181" s="82"/>
      <c r="F181" s="94"/>
      <c r="G181" s="95"/>
      <c r="H181" s="95"/>
      <c r="I181" s="95"/>
      <c r="J181" s="95"/>
      <c r="K181" s="95"/>
      <c r="L181" s="95"/>
      <c r="M181" s="95"/>
      <c r="N181" s="95"/>
      <c r="O181" s="95"/>
      <c r="P181" s="95"/>
      <c r="Q181" s="95"/>
      <c r="R181" s="95"/>
      <c r="S181" s="95"/>
      <c r="T181" s="95"/>
      <c r="U181" s="95"/>
      <c r="V181" s="95"/>
      <c r="W181" s="95"/>
      <c r="X181" s="95"/>
      <c r="Y181" s="95"/>
      <c r="Z181" s="95"/>
      <c r="AA181" s="95"/>
      <c r="AB181" s="95"/>
      <c r="AC181" s="95"/>
      <c r="AD181" s="95"/>
      <c r="AE181" s="95"/>
      <c r="AF181" s="95"/>
      <c r="AG181" s="95"/>
      <c r="AH181" s="95"/>
      <c r="AI181" s="95"/>
      <c r="AJ181" s="95"/>
      <c r="AK181" s="95"/>
      <c r="AL181" s="95"/>
      <c r="AM181" s="95"/>
      <c r="AN181" s="95"/>
      <c r="AO181" s="95"/>
      <c r="AP181" s="95"/>
      <c r="AQ181" s="95"/>
      <c r="AR181" s="95"/>
      <c r="AS181" s="95"/>
      <c r="AT181" s="95"/>
      <c r="AU181" s="95"/>
      <c r="AV181" s="95"/>
      <c r="AW181" s="95"/>
      <c r="AX181" s="95"/>
      <c r="AY181" s="95"/>
      <c r="AZ181" s="95"/>
      <c r="BA181" s="95"/>
      <c r="BB181" s="95"/>
      <c r="BC181" s="95"/>
      <c r="BD181" s="95"/>
      <c r="BE181" s="95"/>
      <c r="BF181" s="95"/>
      <c r="BG181" s="95"/>
      <c r="BH181" s="95"/>
      <c r="BI181" s="95"/>
      <c r="BJ181" s="95"/>
      <c r="BK181" s="95"/>
      <c r="BL181" s="95"/>
      <c r="BM181" s="95"/>
      <c r="BN181" s="95"/>
      <c r="BO181" s="95"/>
      <c r="BP181" s="95"/>
      <c r="BQ181" s="95"/>
      <c r="BR181" s="95"/>
      <c r="BS181" s="95"/>
      <c r="BT181" s="95"/>
      <c r="BU181" s="95"/>
      <c r="BV181" s="95"/>
      <c r="BW181" s="95"/>
      <c r="BX181" s="95"/>
      <c r="BY181" s="95"/>
      <c r="BZ181" s="96"/>
    </row>
    <row r="182" spans="1:78" x14ac:dyDescent="0.2">
      <c r="A182" s="63"/>
      <c r="B182" s="55"/>
      <c r="C182" s="103"/>
      <c r="D182" s="103"/>
      <c r="E182" s="82"/>
      <c r="F182" s="64"/>
      <c r="G182" s="65"/>
      <c r="H182" s="65"/>
      <c r="I182" s="65"/>
      <c r="J182" s="65"/>
      <c r="K182" s="65"/>
      <c r="L182" s="65"/>
      <c r="M182" s="65"/>
      <c r="N182" s="65"/>
      <c r="O182" s="65"/>
      <c r="P182" s="65"/>
      <c r="Q182" s="65"/>
      <c r="R182" s="65"/>
      <c r="S182" s="65"/>
      <c r="T182" s="65"/>
      <c r="U182" s="65"/>
      <c r="V182" s="65"/>
      <c r="W182" s="65"/>
      <c r="X182" s="65"/>
      <c r="Y182" s="65"/>
      <c r="Z182" s="65"/>
      <c r="AA182" s="65"/>
      <c r="AB182" s="65"/>
      <c r="AC182" s="65"/>
      <c r="AD182" s="65"/>
      <c r="AE182" s="65"/>
      <c r="AF182" s="65"/>
      <c r="AG182" s="65"/>
      <c r="AH182" s="65"/>
      <c r="AI182" s="65"/>
      <c r="AJ182" s="65"/>
      <c r="AK182" s="65"/>
      <c r="AL182" s="65"/>
      <c r="AM182" s="65"/>
      <c r="AN182" s="65"/>
      <c r="AO182" s="65"/>
      <c r="AP182" s="65"/>
      <c r="AQ182" s="65"/>
      <c r="AR182" s="65"/>
      <c r="AS182" s="65"/>
      <c r="AT182" s="65"/>
      <c r="AU182" s="65"/>
      <c r="AV182" s="65"/>
      <c r="AW182" s="65"/>
      <c r="AX182" s="65"/>
      <c r="AY182" s="65"/>
      <c r="AZ182" s="65"/>
      <c r="BA182" s="65"/>
      <c r="BB182" s="65"/>
      <c r="BC182" s="65"/>
      <c r="BD182" s="65"/>
      <c r="BE182" s="65"/>
      <c r="BF182" s="65"/>
      <c r="BG182" s="65"/>
      <c r="BH182" s="65"/>
      <c r="BI182" s="65"/>
      <c r="BJ182" s="65"/>
      <c r="BK182" s="65"/>
      <c r="BL182" s="65"/>
      <c r="BM182" s="65"/>
      <c r="BN182" s="65"/>
      <c r="BO182" s="65"/>
      <c r="BP182" s="65"/>
      <c r="BQ182" s="65"/>
      <c r="BR182" s="65"/>
      <c r="BS182" s="65"/>
      <c r="BT182" s="65"/>
      <c r="BU182" s="65"/>
      <c r="BV182" s="65"/>
      <c r="BW182" s="65"/>
      <c r="BX182" s="65"/>
      <c r="BY182" s="65"/>
      <c r="BZ182" s="66"/>
    </row>
    <row r="183" spans="1:78" x14ac:dyDescent="0.2">
      <c r="A183" s="63"/>
      <c r="B183" s="55"/>
      <c r="C183" s="103"/>
      <c r="D183" s="103"/>
      <c r="E183" s="82"/>
      <c r="F183" s="64"/>
      <c r="G183" s="65"/>
      <c r="H183" s="65"/>
      <c r="I183" s="65"/>
      <c r="J183" s="65"/>
      <c r="K183" s="65"/>
      <c r="L183" s="65"/>
      <c r="M183" s="65"/>
      <c r="N183" s="65"/>
      <c r="O183" s="65"/>
      <c r="P183" s="65"/>
      <c r="Q183" s="65"/>
      <c r="R183" s="65"/>
      <c r="S183" s="65"/>
      <c r="T183" s="65"/>
      <c r="U183" s="65"/>
      <c r="V183" s="65"/>
      <c r="W183" s="65"/>
      <c r="X183" s="65"/>
      <c r="Y183" s="65"/>
      <c r="Z183" s="65"/>
      <c r="AA183" s="65"/>
      <c r="AB183" s="65"/>
      <c r="AC183" s="65"/>
      <c r="AD183" s="65"/>
      <c r="AE183" s="65"/>
      <c r="AF183" s="65"/>
      <c r="AG183" s="65"/>
      <c r="AH183" s="65"/>
      <c r="AI183" s="65"/>
      <c r="AJ183" s="65"/>
      <c r="AK183" s="65"/>
      <c r="AL183" s="65"/>
      <c r="AM183" s="65"/>
      <c r="AN183" s="65"/>
      <c r="AO183" s="65"/>
      <c r="AP183" s="65"/>
      <c r="AQ183" s="65"/>
      <c r="AR183" s="65"/>
      <c r="AS183" s="65"/>
      <c r="AT183" s="65"/>
      <c r="AU183" s="65"/>
      <c r="AV183" s="65"/>
      <c r="AW183" s="65"/>
      <c r="AX183" s="65"/>
      <c r="AY183" s="65"/>
      <c r="AZ183" s="65"/>
      <c r="BA183" s="65"/>
      <c r="BB183" s="65"/>
      <c r="BC183" s="65"/>
      <c r="BD183" s="65"/>
      <c r="BE183" s="65"/>
      <c r="BF183" s="65"/>
      <c r="BG183" s="65"/>
      <c r="BH183" s="65"/>
      <c r="BI183" s="65"/>
      <c r="BJ183" s="65"/>
      <c r="BK183" s="65"/>
      <c r="BL183" s="65"/>
      <c r="BM183" s="65"/>
      <c r="BN183" s="65"/>
      <c r="BO183" s="65"/>
      <c r="BP183" s="65"/>
      <c r="BQ183" s="65"/>
      <c r="BR183" s="65"/>
      <c r="BS183" s="65"/>
      <c r="BT183" s="65"/>
      <c r="BU183" s="65"/>
      <c r="BV183" s="65"/>
      <c r="BW183" s="65"/>
      <c r="BX183" s="65"/>
      <c r="BY183" s="65"/>
      <c r="BZ183" s="66"/>
    </row>
    <row r="184" spans="1:78" x14ac:dyDescent="0.2">
      <c r="A184" s="63"/>
      <c r="B184" s="55"/>
      <c r="C184" s="103"/>
      <c r="D184" s="103"/>
      <c r="E184" s="82"/>
      <c r="F184" s="94"/>
      <c r="G184" s="95"/>
      <c r="H184" s="95"/>
      <c r="I184" s="95"/>
      <c r="J184" s="95"/>
      <c r="K184" s="95"/>
      <c r="L184" s="95"/>
      <c r="M184" s="95"/>
      <c r="N184" s="95"/>
      <c r="O184" s="95"/>
      <c r="P184" s="95"/>
      <c r="Q184" s="95"/>
      <c r="R184" s="95"/>
      <c r="S184" s="95"/>
      <c r="T184" s="95"/>
      <c r="U184" s="95"/>
      <c r="V184" s="95"/>
      <c r="W184" s="95"/>
      <c r="X184" s="95"/>
      <c r="Y184" s="95"/>
      <c r="Z184" s="95"/>
      <c r="AA184" s="95"/>
      <c r="AB184" s="95"/>
      <c r="AC184" s="95"/>
      <c r="AD184" s="95"/>
      <c r="AE184" s="95"/>
      <c r="AF184" s="95"/>
      <c r="AG184" s="95"/>
      <c r="AH184" s="95"/>
      <c r="AI184" s="95"/>
      <c r="AJ184" s="95"/>
      <c r="AK184" s="95"/>
      <c r="AL184" s="95"/>
      <c r="AM184" s="95"/>
      <c r="AN184" s="95"/>
      <c r="AO184" s="95"/>
      <c r="AP184" s="95"/>
      <c r="AQ184" s="95"/>
      <c r="AR184" s="95"/>
      <c r="AS184" s="95"/>
      <c r="AT184" s="95"/>
      <c r="AU184" s="95"/>
      <c r="AV184" s="95"/>
      <c r="AW184" s="95"/>
      <c r="AX184" s="95"/>
      <c r="AY184" s="95"/>
      <c r="AZ184" s="95"/>
      <c r="BA184" s="95"/>
      <c r="BB184" s="95"/>
      <c r="BC184" s="95"/>
      <c r="BD184" s="95"/>
      <c r="BE184" s="95"/>
      <c r="BF184" s="95"/>
      <c r="BG184" s="95"/>
      <c r="BH184" s="95"/>
      <c r="BI184" s="95"/>
      <c r="BJ184" s="95"/>
      <c r="BK184" s="95"/>
      <c r="BL184" s="95"/>
      <c r="BM184" s="95"/>
      <c r="BN184" s="95"/>
      <c r="BO184" s="95"/>
      <c r="BP184" s="95"/>
      <c r="BQ184" s="95"/>
      <c r="BR184" s="95"/>
      <c r="BS184" s="95"/>
      <c r="BT184" s="95"/>
      <c r="BU184" s="95"/>
      <c r="BV184" s="95"/>
      <c r="BW184" s="95"/>
      <c r="BX184" s="95"/>
      <c r="BY184" s="95"/>
      <c r="BZ184" s="96"/>
    </row>
    <row r="185" spans="1:78" x14ac:dyDescent="0.2">
      <c r="A185" s="63"/>
      <c r="B185" s="55"/>
      <c r="C185" s="103"/>
      <c r="D185" s="103"/>
      <c r="E185" s="82"/>
      <c r="F185" s="94"/>
      <c r="G185" s="95"/>
      <c r="H185" s="95"/>
      <c r="I185" s="95"/>
      <c r="J185" s="95"/>
      <c r="K185" s="95"/>
      <c r="L185" s="95"/>
      <c r="M185" s="95"/>
      <c r="N185" s="95"/>
      <c r="O185" s="95"/>
      <c r="P185" s="95"/>
      <c r="Q185" s="95"/>
      <c r="R185" s="95"/>
      <c r="S185" s="95"/>
      <c r="T185" s="95"/>
      <c r="U185" s="95"/>
      <c r="V185" s="95"/>
      <c r="W185" s="95"/>
      <c r="X185" s="95"/>
      <c r="Y185" s="95"/>
      <c r="Z185" s="95"/>
      <c r="AA185" s="95"/>
      <c r="AB185" s="95"/>
      <c r="AC185" s="95"/>
      <c r="AD185" s="95"/>
      <c r="AE185" s="95"/>
      <c r="AF185" s="95"/>
      <c r="AG185" s="95"/>
      <c r="AH185" s="95"/>
      <c r="AI185" s="95"/>
      <c r="AJ185" s="95"/>
      <c r="AK185" s="95"/>
      <c r="AL185" s="95"/>
      <c r="AM185" s="95"/>
      <c r="AN185" s="95"/>
      <c r="AO185" s="95"/>
      <c r="AP185" s="95"/>
      <c r="AQ185" s="95"/>
      <c r="AR185" s="95"/>
      <c r="AS185" s="95"/>
      <c r="AT185" s="95"/>
      <c r="AU185" s="95"/>
      <c r="AV185" s="95"/>
      <c r="AW185" s="95"/>
      <c r="AX185" s="95"/>
      <c r="AY185" s="95"/>
      <c r="AZ185" s="95"/>
      <c r="BA185" s="95"/>
      <c r="BB185" s="95"/>
      <c r="BC185" s="95"/>
      <c r="BD185" s="95"/>
      <c r="BE185" s="95"/>
      <c r="BF185" s="95"/>
      <c r="BG185" s="95"/>
      <c r="BH185" s="95"/>
      <c r="BI185" s="95"/>
      <c r="BJ185" s="95"/>
      <c r="BK185" s="95"/>
      <c r="BL185" s="95"/>
      <c r="BM185" s="95"/>
      <c r="BN185" s="95"/>
      <c r="BO185" s="95"/>
      <c r="BP185" s="95"/>
      <c r="BQ185" s="95"/>
      <c r="BR185" s="95"/>
      <c r="BS185" s="95"/>
      <c r="BT185" s="95"/>
      <c r="BU185" s="95"/>
      <c r="BV185" s="95"/>
      <c r="BW185" s="95"/>
      <c r="BX185" s="95"/>
      <c r="BY185" s="95"/>
      <c r="BZ185" s="96"/>
    </row>
    <row r="186" spans="1:78" x14ac:dyDescent="0.2">
      <c r="A186" s="63"/>
      <c r="B186" s="55"/>
      <c r="C186" s="103"/>
      <c r="D186" s="103"/>
      <c r="E186" s="82"/>
      <c r="F186" s="94"/>
      <c r="G186" s="95"/>
      <c r="H186" s="95"/>
      <c r="I186" s="95"/>
      <c r="J186" s="95"/>
      <c r="K186" s="95"/>
      <c r="L186" s="95"/>
      <c r="M186" s="95"/>
      <c r="N186" s="95"/>
      <c r="O186" s="95"/>
      <c r="P186" s="95"/>
      <c r="Q186" s="95"/>
      <c r="R186" s="95"/>
      <c r="S186" s="95"/>
      <c r="T186" s="95"/>
      <c r="U186" s="95"/>
      <c r="V186" s="95"/>
      <c r="W186" s="95"/>
      <c r="X186" s="95"/>
      <c r="Y186" s="95"/>
      <c r="Z186" s="95"/>
      <c r="AA186" s="95"/>
      <c r="AB186" s="95"/>
      <c r="AC186" s="95"/>
      <c r="AD186" s="95"/>
      <c r="AE186" s="95"/>
      <c r="AF186" s="95"/>
      <c r="AG186" s="95"/>
      <c r="AH186" s="95"/>
      <c r="AI186" s="95"/>
      <c r="AJ186" s="95"/>
      <c r="AK186" s="95"/>
      <c r="AL186" s="95"/>
      <c r="AM186" s="95"/>
      <c r="AN186" s="95"/>
      <c r="AO186" s="95"/>
      <c r="AP186" s="95"/>
      <c r="AQ186" s="95"/>
      <c r="AR186" s="95"/>
      <c r="AS186" s="95"/>
      <c r="AT186" s="95"/>
      <c r="AU186" s="95"/>
      <c r="AV186" s="95"/>
      <c r="AW186" s="95"/>
      <c r="AX186" s="95"/>
      <c r="AY186" s="95"/>
      <c r="AZ186" s="95"/>
      <c r="BA186" s="95"/>
      <c r="BB186" s="95"/>
      <c r="BC186" s="95"/>
      <c r="BD186" s="95"/>
      <c r="BE186" s="95"/>
      <c r="BF186" s="95"/>
      <c r="BG186" s="95"/>
      <c r="BH186" s="95"/>
      <c r="BI186" s="95"/>
      <c r="BJ186" s="95"/>
      <c r="BK186" s="95"/>
      <c r="BL186" s="95"/>
      <c r="BM186" s="95"/>
      <c r="BN186" s="95"/>
      <c r="BO186" s="95"/>
      <c r="BP186" s="95"/>
      <c r="BQ186" s="95"/>
      <c r="BR186" s="95"/>
      <c r="BS186" s="95"/>
      <c r="BT186" s="95"/>
      <c r="BU186" s="95"/>
      <c r="BV186" s="95"/>
      <c r="BW186" s="95"/>
      <c r="BX186" s="95"/>
      <c r="BY186" s="95"/>
      <c r="BZ186" s="96"/>
    </row>
    <row r="187" spans="1:78" ht="13.5" thickBot="1" x14ac:dyDescent="0.25">
      <c r="A187" s="63"/>
      <c r="B187" s="55"/>
      <c r="C187" s="103"/>
      <c r="D187" s="103"/>
      <c r="E187" s="82"/>
      <c r="F187" s="97"/>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c r="BD187" s="98"/>
      <c r="BE187" s="98"/>
      <c r="BF187" s="98"/>
      <c r="BG187" s="98"/>
      <c r="BH187" s="98"/>
      <c r="BI187" s="98"/>
      <c r="BJ187" s="98"/>
      <c r="BK187" s="98"/>
      <c r="BL187" s="98"/>
      <c r="BM187" s="98"/>
      <c r="BN187" s="98"/>
      <c r="BO187" s="98"/>
      <c r="BP187" s="98"/>
      <c r="BQ187" s="98"/>
      <c r="BR187" s="98"/>
      <c r="BS187" s="98"/>
      <c r="BT187" s="98"/>
      <c r="BU187" s="98"/>
      <c r="BV187" s="98"/>
      <c r="BW187" s="98"/>
      <c r="BX187" s="98"/>
      <c r="BY187" s="98"/>
      <c r="BZ187" s="99"/>
    </row>
  </sheetData>
  <autoFilter ref="F4:BZ187"/>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97" bestFit="1" customWidth="1"/>
    <col min="2" max="2" width="20.42578125" style="197" customWidth="1"/>
    <col min="3" max="3" width="17" style="198" bestFit="1" customWidth="1"/>
    <col min="4" max="4" width="18.85546875" style="199" customWidth="1"/>
    <col min="5" max="5" width="19.7109375" style="199" customWidth="1"/>
    <col min="6" max="6" width="17.140625" style="200" customWidth="1"/>
    <col min="7" max="7" width="18.5703125" style="201" customWidth="1"/>
    <col min="8" max="8" width="14.85546875" style="200" bestFit="1" customWidth="1"/>
    <col min="9" max="9" width="15.7109375" style="200" bestFit="1" customWidth="1"/>
    <col min="10" max="10" width="22.28515625" style="200" customWidth="1"/>
    <col min="11" max="16384" width="9.140625" style="192"/>
  </cols>
  <sheetData>
    <row r="1" spans="1:10" ht="29.25" customHeight="1" thickBot="1" x14ac:dyDescent="0.25">
      <c r="A1" s="353" t="str">
        <f>'Change Log'!A1:D1</f>
        <v>MtrCurr - Rev9</v>
      </c>
      <c r="B1" s="354"/>
      <c r="C1" s="354"/>
      <c r="D1" s="354"/>
      <c r="E1" s="354"/>
      <c r="F1" s="354"/>
      <c r="G1" s="354"/>
      <c r="H1" s="354"/>
      <c r="I1" s="354"/>
      <c r="J1" s="354"/>
    </row>
    <row r="2" spans="1:10" ht="13.5" thickBot="1" x14ac:dyDescent="0.25">
      <c r="A2" s="355" t="s">
        <v>99</v>
      </c>
      <c r="B2" s="345"/>
      <c r="C2" s="346"/>
      <c r="D2" s="346"/>
      <c r="E2" s="193"/>
      <c r="F2" s="350" t="s">
        <v>86</v>
      </c>
      <c r="G2" s="356"/>
      <c r="H2" s="356"/>
      <c r="I2" s="356"/>
      <c r="J2" s="357"/>
    </row>
    <row r="3" spans="1:10" ht="22.5" customHeight="1" thickBot="1" x14ac:dyDescent="0.25">
      <c r="A3" s="202"/>
      <c r="B3" s="202"/>
      <c r="C3" s="203"/>
      <c r="D3" s="204"/>
      <c r="E3" s="204"/>
      <c r="F3" s="205"/>
      <c r="G3" s="358" t="s">
        <v>85</v>
      </c>
      <c r="H3" s="359"/>
      <c r="I3" s="206"/>
      <c r="J3" s="205"/>
    </row>
    <row r="4" spans="1:10" ht="101.25" customHeight="1" thickBot="1" x14ac:dyDescent="0.25">
      <c r="A4" s="204" t="s">
        <v>57</v>
      </c>
      <c r="B4" s="204" t="s">
        <v>147</v>
      </c>
      <c r="C4" s="204" t="s">
        <v>58</v>
      </c>
      <c r="D4" s="204" t="s">
        <v>158</v>
      </c>
      <c r="E4" s="204" t="s">
        <v>159</v>
      </c>
      <c r="F4" s="204" t="s">
        <v>101</v>
      </c>
      <c r="G4" s="204" t="s">
        <v>54</v>
      </c>
      <c r="H4" s="207" t="s">
        <v>55</v>
      </c>
      <c r="I4" s="204" t="s">
        <v>53</v>
      </c>
      <c r="J4" s="204" t="s">
        <v>92</v>
      </c>
    </row>
    <row r="5" spans="1:10" ht="12.75" customHeight="1" x14ac:dyDescent="0.2">
      <c r="A5" s="208"/>
      <c r="B5" s="208"/>
      <c r="C5" s="209"/>
      <c r="D5" s="210"/>
      <c r="E5" s="210"/>
      <c r="F5" s="210"/>
      <c r="G5" s="208"/>
      <c r="H5" s="208"/>
      <c r="I5" s="210"/>
      <c r="J5" s="210"/>
    </row>
    <row r="6" spans="1:10" x14ac:dyDescent="0.2">
      <c r="A6" s="209"/>
      <c r="B6" s="209"/>
      <c r="C6" s="209"/>
      <c r="D6" s="211"/>
      <c r="E6" s="211"/>
      <c r="F6" s="211"/>
      <c r="G6" s="209"/>
      <c r="H6" s="209"/>
      <c r="I6" s="211"/>
      <c r="J6" s="211"/>
    </row>
    <row r="7" spans="1:10" x14ac:dyDescent="0.2">
      <c r="A7" s="209"/>
      <c r="B7" s="209"/>
      <c r="C7" s="209"/>
      <c r="D7" s="211"/>
      <c r="E7" s="211"/>
      <c r="F7" s="210"/>
      <c r="G7" s="209"/>
      <c r="H7" s="209"/>
      <c r="I7" s="211"/>
      <c r="J7" s="211"/>
    </row>
    <row r="8" spans="1:10" x14ac:dyDescent="0.2">
      <c r="A8" s="209"/>
      <c r="B8" s="209"/>
      <c r="C8" s="209"/>
      <c r="D8" s="211"/>
      <c r="E8" s="211"/>
      <c r="F8" s="210"/>
      <c r="G8" s="209"/>
      <c r="H8" s="209"/>
      <c r="I8" s="211"/>
      <c r="J8" s="211"/>
    </row>
    <row r="9" spans="1:10" x14ac:dyDescent="0.2">
      <c r="A9" s="209"/>
      <c r="B9" s="209"/>
      <c r="C9" s="209"/>
      <c r="D9" s="211"/>
      <c r="E9" s="211"/>
      <c r="F9" s="211"/>
      <c r="G9" s="209"/>
      <c r="H9" s="209"/>
      <c r="I9" s="211"/>
      <c r="J9" s="211"/>
    </row>
    <row r="10" spans="1:10" x14ac:dyDescent="0.2">
      <c r="A10" s="209"/>
      <c r="B10" s="209"/>
      <c r="C10" s="209"/>
      <c r="D10" s="211"/>
      <c r="E10" s="211"/>
      <c r="F10" s="210"/>
      <c r="G10" s="209"/>
      <c r="H10" s="209"/>
      <c r="I10" s="211"/>
      <c r="J10" s="211"/>
    </row>
    <row r="11" spans="1:10" ht="12.75" customHeight="1" x14ac:dyDescent="0.2">
      <c r="A11" s="208"/>
      <c r="B11" s="208"/>
      <c r="C11" s="209"/>
      <c r="D11" s="211"/>
      <c r="E11" s="210"/>
      <c r="F11" s="210"/>
      <c r="G11" s="208"/>
      <c r="H11" s="208"/>
      <c r="I11" s="210"/>
      <c r="J11" s="210"/>
    </row>
    <row r="12" spans="1:10" ht="12.75" customHeight="1" x14ac:dyDescent="0.2">
      <c r="A12" s="209"/>
      <c r="B12" s="209"/>
      <c r="C12" s="209"/>
      <c r="D12" s="211"/>
      <c r="E12" s="211"/>
      <c r="F12" s="211"/>
      <c r="G12" s="209"/>
      <c r="H12" s="209"/>
      <c r="I12" s="211"/>
      <c r="J12" s="211"/>
    </row>
    <row r="13" spans="1:10" ht="12.75" customHeight="1" x14ac:dyDescent="0.2">
      <c r="A13" s="209"/>
      <c r="B13" s="209"/>
      <c r="C13" s="209"/>
      <c r="D13" s="211"/>
      <c r="E13" s="211"/>
      <c r="F13" s="210"/>
      <c r="G13" s="209"/>
      <c r="H13" s="209"/>
      <c r="I13" s="211"/>
      <c r="J13" s="211"/>
    </row>
    <row r="14" spans="1:10" x14ac:dyDescent="0.2">
      <c r="A14" s="209"/>
      <c r="B14" s="209"/>
      <c r="C14" s="209"/>
      <c r="D14" s="211"/>
      <c r="E14" s="211"/>
      <c r="F14" s="210"/>
      <c r="G14" s="209"/>
      <c r="H14" s="209"/>
      <c r="I14" s="211"/>
      <c r="J14" s="211"/>
    </row>
    <row r="15" spans="1:10" x14ac:dyDescent="0.2">
      <c r="A15" s="209"/>
      <c r="B15" s="209"/>
      <c r="C15" s="209"/>
      <c r="D15" s="211"/>
      <c r="E15" s="211"/>
      <c r="F15" s="211"/>
      <c r="G15" s="209"/>
      <c r="H15" s="209"/>
      <c r="I15" s="211"/>
      <c r="J15" s="211"/>
    </row>
    <row r="16" spans="1:10" x14ac:dyDescent="0.2">
      <c r="A16" s="209"/>
      <c r="B16" s="209"/>
      <c r="C16" s="209"/>
      <c r="D16" s="211"/>
      <c r="E16" s="211"/>
      <c r="F16" s="210"/>
      <c r="G16" s="209"/>
      <c r="H16" s="209"/>
      <c r="I16" s="211"/>
      <c r="J16" s="211"/>
    </row>
    <row r="17" spans="1:10" ht="12.75" customHeight="1" x14ac:dyDescent="0.2">
      <c r="A17" s="209"/>
      <c r="B17" s="209"/>
      <c r="C17" s="209"/>
      <c r="D17" s="211"/>
      <c r="E17" s="211"/>
      <c r="F17" s="210"/>
      <c r="G17" s="209"/>
      <c r="H17" s="209"/>
      <c r="I17" s="211"/>
      <c r="J17" s="211"/>
    </row>
    <row r="18" spans="1:10" ht="12.75" customHeight="1" x14ac:dyDescent="0.2">
      <c r="A18" s="209"/>
      <c r="B18" s="209"/>
      <c r="C18" s="209"/>
      <c r="D18" s="211"/>
      <c r="E18" s="211"/>
      <c r="F18" s="211"/>
      <c r="G18" s="209"/>
      <c r="H18" s="209"/>
      <c r="I18" s="211"/>
      <c r="J18" s="211"/>
    </row>
    <row r="19" spans="1:10" x14ac:dyDescent="0.2">
      <c r="A19" s="209"/>
      <c r="B19" s="209"/>
      <c r="C19" s="209"/>
      <c r="D19" s="211"/>
      <c r="E19" s="211"/>
      <c r="F19" s="210"/>
      <c r="G19" s="209"/>
      <c r="H19" s="209"/>
      <c r="I19" s="211"/>
      <c r="J19" s="211"/>
    </row>
    <row r="20" spans="1:10" x14ac:dyDescent="0.2">
      <c r="A20" s="209"/>
      <c r="B20" s="209"/>
      <c r="C20" s="209"/>
      <c r="D20" s="211"/>
      <c r="E20" s="211"/>
      <c r="F20" s="210"/>
      <c r="G20" s="209"/>
      <c r="H20" s="209"/>
      <c r="I20" s="211"/>
      <c r="J20" s="211"/>
    </row>
    <row r="21" spans="1:10" x14ac:dyDescent="0.2">
      <c r="A21" s="209"/>
      <c r="B21" s="209"/>
      <c r="C21" s="209"/>
      <c r="D21" s="211"/>
      <c r="E21" s="211"/>
      <c r="F21" s="211"/>
      <c r="G21" s="209"/>
      <c r="H21" s="209"/>
      <c r="I21" s="211"/>
      <c r="J21" s="211"/>
    </row>
    <row r="22" spans="1:10" ht="12.75" customHeight="1" x14ac:dyDescent="0.2">
      <c r="A22" s="209"/>
      <c r="B22" s="209"/>
      <c r="C22" s="209"/>
      <c r="D22" s="211"/>
      <c r="E22" s="211"/>
      <c r="F22" s="210"/>
      <c r="G22" s="209"/>
      <c r="H22" s="209"/>
      <c r="I22" s="211"/>
      <c r="J22" s="211"/>
    </row>
    <row r="23" spans="1:10" ht="12.75" customHeight="1" x14ac:dyDescent="0.2">
      <c r="A23" s="209"/>
      <c r="B23" s="209"/>
      <c r="C23" s="209"/>
      <c r="D23" s="211"/>
      <c r="E23" s="211"/>
      <c r="F23" s="210"/>
      <c r="G23" s="209"/>
      <c r="H23" s="209"/>
      <c r="I23" s="211"/>
      <c r="J23" s="211"/>
    </row>
    <row r="24" spans="1:10" x14ac:dyDescent="0.2">
      <c r="A24" s="209"/>
      <c r="B24" s="209"/>
      <c r="C24" s="209"/>
      <c r="D24" s="211"/>
      <c r="E24" s="211"/>
      <c r="F24" s="211"/>
      <c r="G24" s="209"/>
      <c r="H24" s="209"/>
      <c r="I24" s="211"/>
      <c r="J24" s="211"/>
    </row>
    <row r="25" spans="1:10" ht="12.75" customHeight="1" x14ac:dyDescent="0.2">
      <c r="A25" s="209"/>
      <c r="B25" s="209"/>
      <c r="C25" s="209"/>
      <c r="D25" s="211"/>
      <c r="E25" s="211"/>
      <c r="F25" s="210"/>
      <c r="G25" s="209"/>
      <c r="H25" s="209"/>
      <c r="I25" s="211"/>
      <c r="J25" s="211"/>
    </row>
    <row r="26" spans="1:10" ht="12.75" customHeight="1" x14ac:dyDescent="0.2">
      <c r="A26" s="209"/>
      <c r="B26" s="209"/>
      <c r="C26" s="209"/>
      <c r="D26" s="211"/>
      <c r="E26" s="211"/>
      <c r="F26" s="210"/>
      <c r="G26" s="209"/>
      <c r="H26" s="209"/>
      <c r="I26" s="211"/>
      <c r="J26" s="211"/>
    </row>
    <row r="27" spans="1:10" x14ac:dyDescent="0.2">
      <c r="A27" s="209"/>
      <c r="B27" s="209"/>
      <c r="C27" s="209"/>
      <c r="D27" s="211"/>
      <c r="E27" s="211"/>
      <c r="F27" s="211"/>
      <c r="G27" s="209"/>
      <c r="H27" s="209"/>
      <c r="I27" s="211"/>
      <c r="J27" s="211"/>
    </row>
    <row r="28" spans="1:10" x14ac:dyDescent="0.2">
      <c r="A28" s="209"/>
      <c r="B28" s="209"/>
      <c r="C28" s="209"/>
      <c r="D28" s="211"/>
      <c r="E28" s="211"/>
      <c r="F28" s="210"/>
      <c r="G28" s="209"/>
      <c r="H28" s="209"/>
      <c r="I28" s="211"/>
      <c r="J28" s="211"/>
    </row>
    <row r="29" spans="1:10" x14ac:dyDescent="0.2">
      <c r="A29" s="209"/>
      <c r="B29" s="209"/>
      <c r="C29" s="209"/>
      <c r="D29" s="211"/>
      <c r="E29" s="211"/>
      <c r="F29" s="210"/>
      <c r="G29" s="209"/>
      <c r="H29" s="209"/>
      <c r="I29" s="211"/>
      <c r="J29" s="211"/>
    </row>
    <row r="30" spans="1:10" x14ac:dyDescent="0.2">
      <c r="A30" s="209"/>
      <c r="B30" s="209"/>
      <c r="C30" s="209"/>
      <c r="D30" s="211"/>
      <c r="E30" s="211"/>
      <c r="F30" s="211"/>
      <c r="G30" s="209"/>
      <c r="H30" s="209"/>
      <c r="I30" s="211"/>
      <c r="J30" s="211"/>
    </row>
    <row r="31" spans="1:10" x14ac:dyDescent="0.2">
      <c r="A31" s="209"/>
      <c r="B31" s="209"/>
      <c r="C31" s="209"/>
      <c r="D31" s="211"/>
      <c r="E31" s="211"/>
      <c r="F31" s="210"/>
      <c r="G31" s="209"/>
      <c r="H31" s="209"/>
      <c r="I31" s="211"/>
      <c r="J31" s="211"/>
    </row>
    <row r="32" spans="1:10" x14ac:dyDescent="0.2">
      <c r="A32" s="209"/>
      <c r="B32" s="209"/>
      <c r="C32" s="209"/>
      <c r="D32" s="211"/>
      <c r="E32" s="211"/>
      <c r="F32" s="210"/>
      <c r="G32" s="209"/>
      <c r="H32" s="209"/>
      <c r="I32" s="211"/>
      <c r="J32" s="211"/>
    </row>
    <row r="33" spans="1:10" x14ac:dyDescent="0.2">
      <c r="A33" s="209"/>
      <c r="B33" s="209"/>
      <c r="C33" s="209"/>
      <c r="D33" s="211"/>
      <c r="E33" s="211"/>
      <c r="F33" s="211"/>
      <c r="G33" s="209"/>
      <c r="H33" s="209"/>
      <c r="I33" s="211"/>
      <c r="J33" s="211"/>
    </row>
    <row r="34" spans="1:10" ht="12.75" customHeight="1" x14ac:dyDescent="0.2">
      <c r="A34" s="209"/>
      <c r="B34" s="209"/>
      <c r="C34" s="209"/>
      <c r="D34" s="211"/>
      <c r="E34" s="211"/>
      <c r="F34" s="210"/>
      <c r="G34" s="209"/>
      <c r="H34" s="209"/>
      <c r="I34" s="211"/>
      <c r="J34" s="211"/>
    </row>
    <row r="35" spans="1:10" x14ac:dyDescent="0.2">
      <c r="A35" s="209"/>
      <c r="B35" s="209"/>
      <c r="C35" s="209"/>
      <c r="D35" s="211"/>
      <c r="E35" s="211"/>
      <c r="F35" s="210"/>
      <c r="G35" s="209"/>
      <c r="H35" s="209"/>
      <c r="I35" s="211"/>
      <c r="J35" s="211"/>
    </row>
    <row r="36" spans="1:10" x14ac:dyDescent="0.2">
      <c r="A36" s="209"/>
      <c r="B36" s="209"/>
      <c r="C36" s="209"/>
      <c r="D36" s="211"/>
      <c r="E36" s="211"/>
      <c r="F36" s="211"/>
      <c r="G36" s="209"/>
      <c r="H36" s="209"/>
      <c r="I36" s="211"/>
      <c r="J36" s="211"/>
    </row>
    <row r="37" spans="1:10" x14ac:dyDescent="0.2">
      <c r="A37" s="209"/>
      <c r="B37" s="209"/>
      <c r="C37" s="209"/>
      <c r="D37" s="211"/>
      <c r="E37" s="211"/>
      <c r="F37" s="210"/>
      <c r="G37" s="209"/>
      <c r="H37" s="209"/>
      <c r="I37" s="211"/>
      <c r="J37" s="211"/>
    </row>
    <row r="38" spans="1:10" x14ac:dyDescent="0.2">
      <c r="A38" s="209"/>
      <c r="B38" s="209"/>
      <c r="C38" s="209"/>
      <c r="D38" s="211"/>
      <c r="E38" s="211"/>
      <c r="F38" s="210"/>
      <c r="G38" s="209"/>
      <c r="H38" s="209"/>
      <c r="I38" s="211"/>
      <c r="J38" s="211"/>
    </row>
    <row r="39" spans="1:10" x14ac:dyDescent="0.2">
      <c r="A39" s="209"/>
      <c r="B39" s="209"/>
      <c r="C39" s="209"/>
      <c r="D39" s="211"/>
      <c r="E39" s="211"/>
      <c r="F39" s="211"/>
      <c r="G39" s="209"/>
      <c r="H39" s="209"/>
      <c r="I39" s="211"/>
      <c r="J39" s="211"/>
    </row>
    <row r="40" spans="1:10" x14ac:dyDescent="0.2">
      <c r="A40" s="209"/>
      <c r="B40" s="209"/>
      <c r="C40" s="209"/>
      <c r="D40" s="211"/>
      <c r="E40" s="211"/>
      <c r="F40" s="210"/>
      <c r="G40" s="209"/>
      <c r="H40" s="209"/>
      <c r="I40" s="211"/>
      <c r="J40" s="211"/>
    </row>
    <row r="41" spans="1:10" ht="12.75" customHeight="1" x14ac:dyDescent="0.2">
      <c r="A41" s="209"/>
      <c r="B41" s="209"/>
      <c r="C41" s="209"/>
      <c r="D41" s="211"/>
      <c r="E41" s="211"/>
      <c r="F41" s="210"/>
      <c r="G41" s="209"/>
      <c r="H41" s="209"/>
      <c r="I41" s="211"/>
      <c r="J41" s="211"/>
    </row>
    <row r="42" spans="1:10" ht="12.75" customHeight="1" x14ac:dyDescent="0.2">
      <c r="A42" s="209"/>
      <c r="B42" s="209"/>
      <c r="C42" s="209"/>
      <c r="D42" s="211"/>
      <c r="E42" s="211"/>
      <c r="F42" s="211"/>
      <c r="G42" s="209"/>
      <c r="H42" s="209"/>
      <c r="I42" s="211"/>
      <c r="J42" s="211"/>
    </row>
    <row r="43" spans="1:10" ht="12.75" customHeight="1" x14ac:dyDescent="0.2">
      <c r="A43" s="209"/>
      <c r="B43" s="209"/>
      <c r="C43" s="209"/>
      <c r="D43" s="211"/>
      <c r="E43" s="211"/>
      <c r="F43" s="210"/>
      <c r="G43" s="209"/>
      <c r="H43" s="209"/>
      <c r="I43" s="211"/>
      <c r="J43" s="211"/>
    </row>
    <row r="44" spans="1:10" ht="12.75" customHeight="1" x14ac:dyDescent="0.2">
      <c r="A44" s="209"/>
      <c r="B44" s="209"/>
      <c r="C44" s="209"/>
      <c r="D44" s="211"/>
      <c r="E44" s="211"/>
      <c r="F44" s="210"/>
      <c r="G44" s="209"/>
      <c r="H44" s="209"/>
      <c r="I44" s="211"/>
      <c r="J44" s="211"/>
    </row>
    <row r="45" spans="1:10" ht="12.75" customHeight="1" x14ac:dyDescent="0.2">
      <c r="A45" s="209"/>
      <c r="B45" s="209"/>
      <c r="C45" s="209"/>
      <c r="D45" s="211"/>
      <c r="E45" s="211"/>
      <c r="F45" s="211"/>
      <c r="G45" s="209"/>
      <c r="H45" s="209"/>
      <c r="I45" s="211"/>
      <c r="J45" s="211"/>
    </row>
    <row r="46" spans="1:10" x14ac:dyDescent="0.2">
      <c r="A46" s="209"/>
      <c r="B46" s="209"/>
      <c r="C46" s="209"/>
      <c r="D46" s="211"/>
      <c r="E46" s="211"/>
      <c r="F46" s="210"/>
      <c r="G46" s="209"/>
      <c r="H46" s="209"/>
      <c r="I46" s="211"/>
      <c r="J46" s="211"/>
    </row>
    <row r="47" spans="1:10" x14ac:dyDescent="0.2">
      <c r="A47" s="209"/>
      <c r="B47" s="209"/>
      <c r="C47" s="209"/>
      <c r="D47" s="211"/>
      <c r="E47" s="211"/>
      <c r="F47" s="210"/>
      <c r="G47" s="209"/>
      <c r="H47" s="209"/>
      <c r="I47" s="211"/>
      <c r="J47" s="211"/>
    </row>
    <row r="48" spans="1:10" x14ac:dyDescent="0.2">
      <c r="A48" s="209"/>
      <c r="B48" s="209"/>
      <c r="C48" s="209"/>
      <c r="D48" s="211"/>
      <c r="E48" s="211"/>
      <c r="F48" s="211"/>
      <c r="G48" s="209"/>
      <c r="H48" s="209"/>
      <c r="I48" s="211"/>
      <c r="J48" s="211"/>
    </row>
    <row r="49" spans="1:10" x14ac:dyDescent="0.2">
      <c r="A49" s="209"/>
      <c r="B49" s="209"/>
      <c r="C49" s="209"/>
      <c r="D49" s="211"/>
      <c r="E49" s="211"/>
      <c r="F49" s="210"/>
      <c r="G49" s="209"/>
      <c r="H49" s="209"/>
      <c r="I49" s="211"/>
      <c r="J49" s="211"/>
    </row>
    <row r="50" spans="1:10" x14ac:dyDescent="0.2">
      <c r="A50" s="209"/>
      <c r="B50" s="209"/>
      <c r="C50" s="209"/>
      <c r="D50" s="211"/>
      <c r="E50" s="211"/>
      <c r="F50" s="210"/>
      <c r="G50" s="209"/>
      <c r="H50" s="209"/>
      <c r="I50" s="211"/>
      <c r="J50" s="211"/>
    </row>
    <row r="51" spans="1:10" x14ac:dyDescent="0.2">
      <c r="A51" s="209"/>
      <c r="B51" s="209"/>
      <c r="C51" s="209"/>
      <c r="D51" s="211"/>
      <c r="E51" s="211"/>
      <c r="F51" s="211"/>
      <c r="G51" s="209"/>
      <c r="H51" s="209"/>
      <c r="I51" s="211"/>
      <c r="J51" s="211"/>
    </row>
    <row r="52" spans="1:10" x14ac:dyDescent="0.2">
      <c r="A52" s="209"/>
      <c r="B52" s="209"/>
      <c r="C52" s="209"/>
      <c r="D52" s="211"/>
      <c r="E52" s="211"/>
      <c r="F52" s="210"/>
      <c r="G52" s="209"/>
      <c r="H52" s="209"/>
      <c r="I52" s="211"/>
      <c r="J52" s="211"/>
    </row>
    <row r="53" spans="1:10" x14ac:dyDescent="0.2">
      <c r="A53" s="209"/>
      <c r="B53" s="209"/>
      <c r="C53" s="209"/>
      <c r="D53" s="211"/>
      <c r="E53" s="211"/>
      <c r="F53" s="210"/>
      <c r="G53" s="209"/>
      <c r="H53" s="209"/>
      <c r="I53" s="211"/>
      <c r="J53" s="211"/>
    </row>
    <row r="54" spans="1:10" x14ac:dyDescent="0.2">
      <c r="A54" s="209"/>
      <c r="B54" s="209"/>
      <c r="C54" s="209"/>
      <c r="D54" s="211"/>
      <c r="E54" s="211"/>
      <c r="F54" s="211"/>
      <c r="G54" s="209"/>
      <c r="H54" s="209"/>
      <c r="I54" s="211"/>
      <c r="J54" s="211"/>
    </row>
    <row r="55" spans="1:10" ht="12.75" customHeight="1" x14ac:dyDescent="0.2">
      <c r="A55" s="209"/>
      <c r="B55" s="209"/>
      <c r="C55" s="209"/>
      <c r="D55" s="211"/>
      <c r="E55" s="211"/>
      <c r="F55" s="210"/>
      <c r="G55" s="209"/>
      <c r="H55" s="209"/>
      <c r="I55" s="211"/>
      <c r="J55" s="211"/>
    </row>
    <row r="56" spans="1:10" ht="12.75" customHeight="1" x14ac:dyDescent="0.2">
      <c r="A56" s="209"/>
      <c r="B56" s="209"/>
      <c r="C56" s="209"/>
      <c r="D56" s="211"/>
      <c r="E56" s="211"/>
      <c r="F56" s="210"/>
      <c r="G56" s="209"/>
      <c r="H56" s="209"/>
      <c r="I56" s="211"/>
      <c r="J56" s="211"/>
    </row>
    <row r="57" spans="1:10" ht="12.75" customHeight="1" x14ac:dyDescent="0.2">
      <c r="A57" s="209"/>
      <c r="B57" s="209"/>
      <c r="C57" s="209"/>
      <c r="D57" s="211"/>
      <c r="E57" s="211"/>
      <c r="F57" s="211"/>
      <c r="G57" s="209"/>
      <c r="H57" s="209"/>
      <c r="I57" s="211"/>
      <c r="J57" s="211"/>
    </row>
    <row r="58" spans="1:10" ht="12.75" customHeight="1" x14ac:dyDescent="0.2">
      <c r="A58" s="209"/>
      <c r="B58" s="209"/>
      <c r="C58" s="209"/>
      <c r="D58" s="211"/>
      <c r="E58" s="211"/>
      <c r="F58" s="210"/>
      <c r="G58" s="209"/>
      <c r="H58" s="209"/>
      <c r="I58" s="211"/>
      <c r="J58" s="211"/>
    </row>
    <row r="59" spans="1:10" ht="12.75" customHeight="1" x14ac:dyDescent="0.2">
      <c r="A59" s="209"/>
      <c r="B59" s="209"/>
      <c r="C59" s="209"/>
      <c r="D59" s="211"/>
      <c r="E59" s="211"/>
      <c r="F59" s="210"/>
      <c r="G59" s="209"/>
      <c r="H59" s="209"/>
      <c r="I59" s="211"/>
      <c r="J59" s="211"/>
    </row>
    <row r="60" spans="1:10" ht="12.75" customHeight="1" x14ac:dyDescent="0.2">
      <c r="A60" s="209"/>
      <c r="B60" s="209"/>
      <c r="C60" s="209"/>
      <c r="D60" s="211"/>
      <c r="E60" s="211"/>
      <c r="F60" s="211"/>
      <c r="G60" s="209"/>
      <c r="H60" s="209"/>
      <c r="I60" s="211"/>
      <c r="J60" s="211"/>
    </row>
    <row r="61" spans="1:10" ht="12.75" customHeight="1" x14ac:dyDescent="0.2">
      <c r="A61" s="209"/>
      <c r="B61" s="209"/>
      <c r="C61" s="209"/>
      <c r="D61" s="211"/>
      <c r="E61" s="211"/>
      <c r="F61" s="210"/>
      <c r="G61" s="209"/>
      <c r="H61" s="209"/>
      <c r="I61" s="211"/>
      <c r="J61" s="211"/>
    </row>
    <row r="62" spans="1:10" ht="12.75" customHeight="1" x14ac:dyDescent="0.2">
      <c r="A62" s="209"/>
      <c r="B62" s="209"/>
      <c r="C62" s="209"/>
      <c r="D62" s="211"/>
      <c r="E62" s="211"/>
      <c r="F62" s="210"/>
      <c r="G62" s="209"/>
      <c r="H62" s="209"/>
      <c r="I62" s="211"/>
      <c r="J62" s="211"/>
    </row>
    <row r="63" spans="1:10" ht="12.75" customHeight="1" x14ac:dyDescent="0.2">
      <c r="A63" s="209"/>
      <c r="B63" s="209"/>
      <c r="C63" s="209"/>
      <c r="D63" s="211"/>
      <c r="E63" s="211"/>
      <c r="F63" s="211"/>
      <c r="G63" s="209"/>
      <c r="H63" s="209"/>
      <c r="I63" s="211"/>
      <c r="J63" s="211"/>
    </row>
    <row r="64" spans="1:10" ht="12.75" customHeight="1" x14ac:dyDescent="0.2">
      <c r="A64" s="209"/>
      <c r="B64" s="209"/>
      <c r="C64" s="209"/>
      <c r="D64" s="211"/>
      <c r="E64" s="211"/>
      <c r="F64" s="210"/>
      <c r="G64" s="209"/>
      <c r="H64" s="209"/>
      <c r="I64" s="211"/>
      <c r="J64" s="211"/>
    </row>
    <row r="65" spans="1:10" x14ac:dyDescent="0.2">
      <c r="A65" s="209"/>
      <c r="B65" s="209"/>
      <c r="C65" s="209"/>
      <c r="D65" s="211"/>
      <c r="E65" s="211"/>
      <c r="F65" s="210"/>
      <c r="G65" s="209"/>
      <c r="H65" s="209"/>
      <c r="I65" s="211"/>
      <c r="J65" s="211"/>
    </row>
    <row r="66" spans="1:10" ht="12.75" customHeight="1" x14ac:dyDescent="0.2">
      <c r="A66" s="209"/>
      <c r="B66" s="209"/>
      <c r="C66" s="209"/>
      <c r="D66" s="211"/>
      <c r="E66" s="211"/>
      <c r="F66" s="211"/>
      <c r="G66" s="209"/>
      <c r="H66" s="209"/>
      <c r="I66" s="211"/>
      <c r="J66" s="211"/>
    </row>
    <row r="67" spans="1:10" ht="12.75" customHeight="1" x14ac:dyDescent="0.2">
      <c r="A67" s="209"/>
      <c r="B67" s="209"/>
      <c r="C67" s="209"/>
      <c r="D67" s="211"/>
      <c r="E67" s="211"/>
      <c r="F67" s="210"/>
      <c r="G67" s="209"/>
      <c r="H67" s="209"/>
      <c r="I67" s="211"/>
      <c r="J67" s="211"/>
    </row>
    <row r="68" spans="1:10" x14ac:dyDescent="0.2">
      <c r="A68" s="209"/>
      <c r="B68" s="209"/>
      <c r="C68" s="209"/>
      <c r="D68" s="211"/>
      <c r="E68" s="211"/>
      <c r="F68" s="210"/>
      <c r="G68" s="209"/>
      <c r="H68" s="209"/>
      <c r="I68" s="211"/>
      <c r="J68" s="211"/>
    </row>
    <row r="69" spans="1:10" x14ac:dyDescent="0.2">
      <c r="A69" s="209"/>
      <c r="B69" s="209"/>
      <c r="C69" s="209"/>
      <c r="D69" s="211"/>
      <c r="E69" s="211"/>
      <c r="F69" s="211"/>
      <c r="G69" s="209"/>
      <c r="H69" s="209"/>
      <c r="I69" s="211"/>
      <c r="J69" s="211"/>
    </row>
    <row r="70" spans="1:10" x14ac:dyDescent="0.2">
      <c r="A70" s="209"/>
      <c r="B70" s="209"/>
      <c r="C70" s="209"/>
      <c r="D70" s="211"/>
      <c r="E70" s="211"/>
      <c r="F70" s="210"/>
      <c r="G70" s="209"/>
      <c r="H70" s="209"/>
      <c r="I70" s="211"/>
      <c r="J70" s="211"/>
    </row>
    <row r="71" spans="1:10" ht="12.75" customHeight="1" x14ac:dyDescent="0.2">
      <c r="A71" s="209"/>
      <c r="B71" s="209"/>
      <c r="C71" s="209"/>
      <c r="D71" s="211"/>
      <c r="E71" s="211"/>
      <c r="F71" s="210"/>
      <c r="G71" s="209"/>
      <c r="H71" s="209"/>
      <c r="I71" s="211"/>
      <c r="J71" s="211"/>
    </row>
    <row r="72" spans="1:10" x14ac:dyDescent="0.2">
      <c r="A72" s="209"/>
      <c r="B72" s="209"/>
      <c r="C72" s="209"/>
      <c r="D72" s="211"/>
      <c r="E72" s="211"/>
      <c r="F72" s="211"/>
      <c r="G72" s="209"/>
      <c r="H72" s="209"/>
      <c r="I72" s="211"/>
      <c r="J72" s="211"/>
    </row>
    <row r="73" spans="1:10" x14ac:dyDescent="0.2">
      <c r="A73" s="209"/>
      <c r="B73" s="209"/>
      <c r="C73" s="209"/>
      <c r="D73" s="211"/>
      <c r="E73" s="211"/>
      <c r="F73" s="210"/>
      <c r="G73" s="209"/>
      <c r="H73" s="209"/>
      <c r="I73" s="211"/>
      <c r="J73" s="211"/>
    </row>
    <row r="74" spans="1:10" x14ac:dyDescent="0.2">
      <c r="A74" s="209"/>
      <c r="B74" s="209"/>
      <c r="C74" s="209"/>
      <c r="D74" s="211"/>
      <c r="E74" s="211"/>
      <c r="F74" s="210"/>
      <c r="G74" s="209"/>
      <c r="H74" s="209"/>
      <c r="I74" s="211"/>
      <c r="J74" s="211"/>
    </row>
    <row r="75" spans="1:10" ht="12.75" customHeight="1" x14ac:dyDescent="0.2">
      <c r="A75" s="209"/>
      <c r="B75" s="209"/>
      <c r="C75" s="209"/>
      <c r="D75" s="211"/>
      <c r="E75" s="211"/>
      <c r="F75" s="211"/>
      <c r="G75" s="209"/>
      <c r="H75" s="209"/>
      <c r="I75" s="211"/>
      <c r="J75" s="211"/>
    </row>
    <row r="76" spans="1:10" x14ac:dyDescent="0.2">
      <c r="A76" s="209"/>
      <c r="B76" s="209"/>
      <c r="C76" s="209"/>
      <c r="D76" s="211"/>
      <c r="E76" s="211"/>
      <c r="F76" s="210"/>
      <c r="G76" s="209"/>
      <c r="H76" s="209"/>
      <c r="I76" s="211"/>
      <c r="J76" s="211"/>
    </row>
    <row r="77" spans="1:10" x14ac:dyDescent="0.2">
      <c r="A77" s="209"/>
      <c r="B77" s="209"/>
      <c r="C77" s="209"/>
      <c r="D77" s="211"/>
      <c r="E77" s="211"/>
      <c r="F77" s="210"/>
      <c r="G77" s="209"/>
      <c r="H77" s="209"/>
      <c r="I77" s="211"/>
      <c r="J77" s="211"/>
    </row>
    <row r="78" spans="1:10" ht="12.75" customHeight="1" x14ac:dyDescent="0.2">
      <c r="A78" s="209"/>
      <c r="B78" s="209"/>
      <c r="C78" s="209"/>
      <c r="D78" s="211"/>
      <c r="E78" s="211"/>
      <c r="F78" s="211"/>
      <c r="G78" s="209"/>
      <c r="H78" s="209"/>
      <c r="I78" s="211"/>
      <c r="J78" s="211"/>
    </row>
    <row r="79" spans="1:10" ht="12.75" customHeight="1" x14ac:dyDescent="0.2">
      <c r="A79" s="209"/>
      <c r="B79" s="209"/>
      <c r="C79" s="209"/>
      <c r="D79" s="211"/>
      <c r="E79" s="211"/>
      <c r="F79" s="210"/>
      <c r="G79" s="209"/>
      <c r="H79" s="209"/>
      <c r="I79" s="211"/>
      <c r="J79" s="211"/>
    </row>
    <row r="80" spans="1:10" ht="12.75" customHeight="1" x14ac:dyDescent="0.2">
      <c r="A80" s="209"/>
      <c r="B80" s="209"/>
      <c r="C80" s="209"/>
      <c r="D80" s="211"/>
      <c r="E80" s="211"/>
      <c r="F80" s="210"/>
      <c r="G80" s="209"/>
      <c r="H80" s="209"/>
      <c r="I80" s="211"/>
      <c r="J80" s="211"/>
    </row>
    <row r="81" spans="1:10" ht="12.75" customHeight="1" x14ac:dyDescent="0.2">
      <c r="A81" s="209"/>
      <c r="B81" s="209"/>
      <c r="C81" s="209"/>
      <c r="D81" s="211"/>
      <c r="E81" s="211"/>
      <c r="F81" s="211"/>
      <c r="G81" s="209"/>
      <c r="H81" s="209"/>
      <c r="I81" s="211"/>
      <c r="J81" s="211"/>
    </row>
    <row r="82" spans="1:10" ht="12.75" customHeight="1" x14ac:dyDescent="0.2">
      <c r="A82" s="209"/>
      <c r="B82" s="209"/>
      <c r="C82" s="209"/>
      <c r="D82" s="211"/>
      <c r="E82" s="211"/>
      <c r="F82" s="210"/>
      <c r="G82" s="209"/>
      <c r="H82" s="209"/>
      <c r="I82" s="211"/>
      <c r="J82" s="211"/>
    </row>
    <row r="83" spans="1:10" ht="12.75" customHeight="1" x14ac:dyDescent="0.2">
      <c r="A83" s="209"/>
      <c r="B83" s="209"/>
      <c r="C83" s="209"/>
      <c r="D83" s="211"/>
      <c r="E83" s="211"/>
      <c r="F83" s="210"/>
      <c r="G83" s="209"/>
      <c r="H83" s="209"/>
      <c r="I83" s="211"/>
      <c r="J83" s="211"/>
    </row>
    <row r="84" spans="1:10" x14ac:dyDescent="0.2">
      <c r="A84" s="209"/>
      <c r="B84" s="209"/>
      <c r="C84" s="209"/>
      <c r="D84" s="211"/>
      <c r="E84" s="211"/>
      <c r="F84" s="211"/>
      <c r="G84" s="209"/>
      <c r="H84" s="209"/>
      <c r="I84" s="211"/>
      <c r="J84" s="211"/>
    </row>
    <row r="85" spans="1:10" x14ac:dyDescent="0.2">
      <c r="A85" s="209"/>
      <c r="B85" s="209"/>
      <c r="C85" s="209"/>
      <c r="D85" s="211"/>
      <c r="E85" s="211"/>
      <c r="F85" s="210"/>
      <c r="G85" s="209"/>
      <c r="H85" s="209"/>
      <c r="I85" s="211"/>
      <c r="J85" s="211"/>
    </row>
    <row r="86" spans="1:10" x14ac:dyDescent="0.2">
      <c r="A86" s="209"/>
      <c r="B86" s="209"/>
      <c r="C86" s="209"/>
      <c r="D86" s="211"/>
      <c r="E86" s="211"/>
      <c r="F86" s="210"/>
      <c r="G86" s="209"/>
      <c r="H86" s="209"/>
      <c r="I86" s="211"/>
      <c r="J86" s="211"/>
    </row>
    <row r="87" spans="1:10" x14ac:dyDescent="0.2">
      <c r="A87" s="209"/>
      <c r="B87" s="209"/>
      <c r="C87" s="209"/>
      <c r="D87" s="211"/>
      <c r="E87" s="211"/>
      <c r="F87" s="211"/>
      <c r="G87" s="209"/>
      <c r="H87" s="209"/>
      <c r="I87" s="211"/>
      <c r="J87" s="211"/>
    </row>
    <row r="88" spans="1:10" x14ac:dyDescent="0.2">
      <c r="A88" s="209"/>
      <c r="B88" s="209"/>
      <c r="C88" s="209"/>
      <c r="D88" s="211"/>
      <c r="E88" s="211"/>
      <c r="F88" s="210"/>
      <c r="G88" s="209"/>
      <c r="H88" s="209"/>
      <c r="I88" s="211"/>
      <c r="J88" s="211"/>
    </row>
    <row r="89" spans="1:10" ht="12.75" customHeight="1" x14ac:dyDescent="0.2">
      <c r="A89" s="209"/>
      <c r="B89" s="209"/>
      <c r="C89" s="209"/>
      <c r="D89" s="211"/>
      <c r="E89" s="211"/>
      <c r="F89" s="210"/>
      <c r="G89" s="209"/>
      <c r="H89" s="209"/>
      <c r="I89" s="211"/>
      <c r="J89" s="211"/>
    </row>
    <row r="90" spans="1:10" ht="12.75" customHeight="1" x14ac:dyDescent="0.2">
      <c r="A90" s="209"/>
      <c r="B90" s="209"/>
      <c r="C90" s="209"/>
      <c r="D90" s="211"/>
      <c r="E90" s="211"/>
      <c r="F90" s="211"/>
      <c r="G90" s="209"/>
      <c r="H90" s="209"/>
      <c r="I90" s="211"/>
      <c r="J90" s="211"/>
    </row>
    <row r="91" spans="1:10" x14ac:dyDescent="0.2">
      <c r="A91" s="209"/>
      <c r="B91" s="209"/>
      <c r="C91" s="209"/>
      <c r="D91" s="211"/>
      <c r="E91" s="211"/>
      <c r="F91" s="210"/>
      <c r="G91" s="209"/>
      <c r="H91" s="209"/>
      <c r="I91" s="211"/>
      <c r="J91" s="211"/>
    </row>
    <row r="92" spans="1:10" x14ac:dyDescent="0.2">
      <c r="A92" s="209"/>
      <c r="B92" s="209"/>
      <c r="C92" s="209"/>
      <c r="D92" s="211"/>
      <c r="E92" s="211"/>
      <c r="F92" s="210"/>
      <c r="G92" s="209"/>
      <c r="H92" s="209"/>
      <c r="I92" s="211"/>
      <c r="J92" s="211"/>
    </row>
    <row r="93" spans="1:10" x14ac:dyDescent="0.2">
      <c r="A93" s="209"/>
      <c r="B93" s="209"/>
      <c r="C93" s="209"/>
      <c r="D93" s="211"/>
      <c r="E93" s="211"/>
      <c r="F93" s="211"/>
      <c r="G93" s="209"/>
      <c r="H93" s="209"/>
      <c r="I93" s="211"/>
      <c r="J93" s="211"/>
    </row>
    <row r="94" spans="1:10" x14ac:dyDescent="0.2">
      <c r="A94" s="209"/>
      <c r="B94" s="209"/>
      <c r="C94" s="209"/>
      <c r="D94" s="211"/>
      <c r="E94" s="211"/>
      <c r="F94" s="210"/>
      <c r="G94" s="209"/>
      <c r="H94" s="209"/>
      <c r="I94" s="211"/>
      <c r="J94" s="211"/>
    </row>
    <row r="95" spans="1:10" ht="12.75" customHeight="1" x14ac:dyDescent="0.2">
      <c r="A95" s="209"/>
      <c r="B95" s="209"/>
      <c r="C95" s="209"/>
      <c r="D95" s="211"/>
      <c r="E95" s="211"/>
      <c r="F95" s="210"/>
      <c r="G95" s="209"/>
      <c r="H95" s="209"/>
      <c r="I95" s="211"/>
      <c r="J95" s="211"/>
    </row>
    <row r="96" spans="1:10" ht="12.75" customHeight="1" x14ac:dyDescent="0.2">
      <c r="A96" s="209"/>
      <c r="B96" s="209"/>
      <c r="C96" s="209"/>
      <c r="D96" s="211"/>
      <c r="E96" s="211"/>
      <c r="F96" s="211"/>
      <c r="G96" s="209"/>
      <c r="H96" s="209"/>
      <c r="I96" s="211"/>
      <c r="J96" s="211"/>
    </row>
    <row r="97" spans="1:10" ht="12.75" customHeight="1" x14ac:dyDescent="0.2">
      <c r="A97" s="209"/>
      <c r="B97" s="209"/>
      <c r="C97" s="209"/>
      <c r="D97" s="211"/>
      <c r="E97" s="211"/>
      <c r="F97" s="210"/>
      <c r="G97" s="209"/>
      <c r="H97" s="209"/>
      <c r="I97" s="211"/>
      <c r="J97" s="211"/>
    </row>
    <row r="98" spans="1:10" ht="12.75" customHeight="1" x14ac:dyDescent="0.2">
      <c r="A98" s="209"/>
      <c r="B98" s="209"/>
      <c r="C98" s="209"/>
      <c r="D98" s="211"/>
      <c r="E98" s="211"/>
      <c r="F98" s="210"/>
      <c r="G98" s="209"/>
      <c r="H98" s="209"/>
      <c r="I98" s="211"/>
      <c r="J98" s="211"/>
    </row>
    <row r="99" spans="1:10" ht="12.75" customHeight="1" x14ac:dyDescent="0.2">
      <c r="A99" s="209"/>
      <c r="B99" s="209"/>
      <c r="C99" s="209"/>
      <c r="D99" s="211"/>
      <c r="E99" s="211"/>
      <c r="F99" s="211"/>
      <c r="G99" s="209"/>
      <c r="H99" s="209"/>
      <c r="I99" s="211"/>
      <c r="J99" s="211"/>
    </row>
    <row r="100" spans="1:10" ht="12.75" customHeight="1" x14ac:dyDescent="0.2">
      <c r="A100" s="209"/>
      <c r="B100" s="209"/>
      <c r="C100" s="209"/>
      <c r="D100" s="211"/>
      <c r="E100" s="211"/>
      <c r="F100" s="210"/>
      <c r="G100" s="209"/>
      <c r="H100" s="209"/>
      <c r="I100" s="211"/>
      <c r="J100" s="211"/>
    </row>
    <row r="101" spans="1:10" x14ac:dyDescent="0.2">
      <c r="A101" s="209"/>
      <c r="B101" s="209"/>
      <c r="C101" s="209"/>
      <c r="D101" s="211"/>
      <c r="E101" s="211"/>
      <c r="F101" s="210"/>
      <c r="G101" s="209"/>
      <c r="H101" s="209"/>
      <c r="I101" s="211"/>
      <c r="J101" s="211"/>
    </row>
    <row r="102" spans="1:10" x14ac:dyDescent="0.2">
      <c r="A102" s="209"/>
      <c r="B102" s="209"/>
      <c r="C102" s="209"/>
      <c r="D102" s="211"/>
      <c r="E102" s="211"/>
      <c r="F102" s="211"/>
      <c r="G102" s="209"/>
      <c r="H102" s="209"/>
      <c r="I102" s="211"/>
      <c r="J102" s="211"/>
    </row>
    <row r="103" spans="1:10" ht="12.75" customHeight="1" x14ac:dyDescent="0.2">
      <c r="A103" s="209"/>
      <c r="B103" s="209"/>
      <c r="C103" s="209"/>
      <c r="D103" s="211"/>
      <c r="E103" s="211"/>
      <c r="F103" s="210"/>
      <c r="G103" s="209"/>
      <c r="H103" s="209"/>
      <c r="I103" s="211"/>
      <c r="J103" s="211"/>
    </row>
    <row r="104" spans="1:10" ht="12.75" customHeight="1" x14ac:dyDescent="0.2">
      <c r="A104" s="209"/>
      <c r="B104" s="209"/>
      <c r="C104" s="209"/>
      <c r="D104" s="211"/>
      <c r="E104" s="211"/>
      <c r="F104" s="210"/>
      <c r="G104" s="209"/>
      <c r="H104" s="209"/>
      <c r="I104" s="211"/>
      <c r="J104" s="211"/>
    </row>
    <row r="105" spans="1:10" s="212" customFormat="1" ht="12.75" customHeight="1" x14ac:dyDescent="0.2">
      <c r="A105" s="209"/>
      <c r="B105" s="209"/>
      <c r="C105" s="209"/>
      <c r="D105" s="211"/>
      <c r="E105" s="211"/>
      <c r="F105" s="211"/>
      <c r="G105" s="209"/>
      <c r="H105" s="209"/>
      <c r="I105" s="211"/>
      <c r="J105" s="211"/>
    </row>
    <row r="106" spans="1:10" s="213" customFormat="1" ht="12.75" customHeight="1" x14ac:dyDescent="0.2">
      <c r="A106" s="209"/>
      <c r="B106" s="209"/>
      <c r="C106" s="209"/>
      <c r="D106" s="211"/>
      <c r="E106" s="211"/>
      <c r="F106" s="210"/>
      <c r="G106" s="209"/>
      <c r="H106" s="209"/>
      <c r="I106" s="211"/>
      <c r="J106" s="211"/>
    </row>
    <row r="107" spans="1:10" s="212" customFormat="1" ht="12.75" customHeight="1" x14ac:dyDescent="0.2">
      <c r="A107" s="209"/>
      <c r="B107" s="209"/>
      <c r="C107" s="209"/>
      <c r="D107" s="211"/>
      <c r="E107" s="211"/>
      <c r="F107" s="210"/>
      <c r="G107" s="209"/>
      <c r="H107" s="209"/>
      <c r="I107" s="211"/>
      <c r="J107" s="211"/>
    </row>
    <row r="108" spans="1:10" ht="12.75" customHeight="1" x14ac:dyDescent="0.2">
      <c r="A108" s="209"/>
      <c r="B108" s="209"/>
      <c r="C108" s="209"/>
      <c r="D108" s="211"/>
      <c r="E108" s="211"/>
      <c r="F108" s="211"/>
      <c r="G108" s="209"/>
      <c r="H108" s="209"/>
      <c r="I108" s="211"/>
      <c r="J108" s="211"/>
    </row>
    <row r="109" spans="1:10" ht="12.75" customHeight="1" x14ac:dyDescent="0.2">
      <c r="A109" s="209"/>
      <c r="B109" s="209"/>
      <c r="C109" s="209"/>
      <c r="D109" s="211"/>
      <c r="E109" s="211"/>
      <c r="F109" s="210"/>
      <c r="G109" s="209"/>
      <c r="H109" s="209"/>
      <c r="I109" s="211"/>
      <c r="J109" s="211"/>
    </row>
    <row r="110" spans="1:10" x14ac:dyDescent="0.2">
      <c r="A110" s="209"/>
      <c r="B110" s="209"/>
      <c r="C110" s="209"/>
      <c r="D110" s="211"/>
      <c r="E110" s="211"/>
      <c r="F110" s="210"/>
      <c r="G110" s="209"/>
      <c r="H110" s="209"/>
      <c r="I110" s="211"/>
      <c r="J110" s="211"/>
    </row>
    <row r="111" spans="1:10" x14ac:dyDescent="0.2">
      <c r="A111" s="209"/>
      <c r="B111" s="209"/>
      <c r="C111" s="209"/>
      <c r="D111" s="211"/>
      <c r="E111" s="211"/>
      <c r="F111" s="211"/>
      <c r="G111" s="209"/>
      <c r="H111" s="209"/>
      <c r="I111" s="211"/>
      <c r="J111" s="211"/>
    </row>
    <row r="112" spans="1:10" x14ac:dyDescent="0.2">
      <c r="A112" s="209"/>
      <c r="B112" s="209"/>
      <c r="C112" s="209"/>
      <c r="D112" s="211"/>
      <c r="E112" s="211"/>
      <c r="F112" s="210"/>
      <c r="G112" s="209"/>
      <c r="H112" s="209"/>
      <c r="I112" s="211"/>
      <c r="J112" s="211"/>
    </row>
    <row r="113" spans="1:10" x14ac:dyDescent="0.2">
      <c r="A113" s="209"/>
      <c r="B113" s="209"/>
      <c r="C113" s="209"/>
      <c r="D113" s="211"/>
      <c r="E113" s="211"/>
      <c r="F113" s="210"/>
      <c r="G113" s="209"/>
      <c r="H113" s="209"/>
      <c r="I113" s="211"/>
      <c r="J113" s="211"/>
    </row>
    <row r="114" spans="1:10" ht="12.75" customHeight="1" x14ac:dyDescent="0.2">
      <c r="A114" s="209"/>
      <c r="B114" s="209"/>
      <c r="C114" s="209"/>
      <c r="D114" s="211"/>
      <c r="E114" s="211"/>
      <c r="F114" s="211"/>
      <c r="G114" s="209"/>
      <c r="H114" s="209"/>
      <c r="I114" s="211"/>
      <c r="J114" s="211"/>
    </row>
    <row r="115" spans="1:10" x14ac:dyDescent="0.2">
      <c r="A115" s="209"/>
      <c r="B115" s="209"/>
      <c r="C115" s="209"/>
      <c r="D115" s="211"/>
      <c r="E115" s="211"/>
      <c r="F115" s="210"/>
      <c r="G115" s="209"/>
      <c r="H115" s="209"/>
      <c r="I115" s="211"/>
      <c r="J115" s="211"/>
    </row>
    <row r="116" spans="1:10" ht="12.75" customHeight="1" x14ac:dyDescent="0.2">
      <c r="A116" s="209"/>
      <c r="B116" s="209"/>
      <c r="C116" s="209"/>
      <c r="D116" s="211"/>
      <c r="E116" s="211"/>
      <c r="F116" s="210"/>
      <c r="G116" s="209"/>
      <c r="H116" s="209"/>
      <c r="I116" s="211"/>
      <c r="J116" s="211"/>
    </row>
    <row r="117" spans="1:10" x14ac:dyDescent="0.2">
      <c r="A117" s="209"/>
      <c r="B117" s="209"/>
      <c r="C117" s="209"/>
      <c r="D117" s="211"/>
      <c r="E117" s="211"/>
      <c r="F117" s="211"/>
      <c r="G117" s="209"/>
      <c r="H117" s="209"/>
      <c r="I117" s="211"/>
      <c r="J117" s="211"/>
    </row>
    <row r="118" spans="1:10" x14ac:dyDescent="0.2">
      <c r="A118" s="209"/>
      <c r="B118" s="209"/>
      <c r="C118" s="209"/>
      <c r="D118" s="211"/>
      <c r="E118" s="211"/>
      <c r="F118" s="210"/>
      <c r="G118" s="209"/>
      <c r="H118" s="209"/>
      <c r="I118" s="211"/>
      <c r="J118" s="211"/>
    </row>
    <row r="119" spans="1:10" x14ac:dyDescent="0.2">
      <c r="A119" s="209"/>
      <c r="B119" s="209"/>
      <c r="C119" s="209"/>
      <c r="D119" s="211"/>
      <c r="E119" s="211"/>
      <c r="F119" s="210"/>
      <c r="G119" s="209"/>
      <c r="H119" s="209"/>
      <c r="I119" s="211"/>
      <c r="J119" s="211"/>
    </row>
    <row r="120" spans="1:10" x14ac:dyDescent="0.2">
      <c r="A120" s="209"/>
      <c r="B120" s="209"/>
      <c r="C120" s="209"/>
      <c r="D120" s="211"/>
      <c r="E120" s="211"/>
      <c r="F120" s="211"/>
      <c r="G120" s="209"/>
      <c r="H120" s="209"/>
      <c r="I120" s="211"/>
      <c r="J120" s="211"/>
    </row>
    <row r="121" spans="1:10" ht="12.75" customHeight="1" x14ac:dyDescent="0.2">
      <c r="A121" s="209"/>
      <c r="B121" s="209"/>
      <c r="C121" s="209"/>
      <c r="D121" s="211"/>
      <c r="E121" s="211"/>
      <c r="F121" s="210"/>
      <c r="G121" s="209"/>
      <c r="H121" s="209"/>
      <c r="I121" s="211"/>
      <c r="J121" s="211"/>
    </row>
    <row r="122" spans="1:10" x14ac:dyDescent="0.2">
      <c r="A122" s="209"/>
      <c r="B122" s="209"/>
      <c r="C122" s="209"/>
      <c r="D122" s="211"/>
      <c r="E122" s="211"/>
      <c r="F122" s="210"/>
      <c r="G122" s="209"/>
      <c r="H122" s="209"/>
      <c r="I122" s="211"/>
      <c r="J122" s="211"/>
    </row>
    <row r="123" spans="1:10" x14ac:dyDescent="0.2">
      <c r="A123" s="209"/>
      <c r="B123" s="209"/>
      <c r="C123" s="209"/>
      <c r="D123" s="211"/>
      <c r="E123" s="211"/>
      <c r="F123" s="211"/>
      <c r="G123" s="209"/>
      <c r="H123" s="209"/>
      <c r="I123" s="211"/>
      <c r="J123" s="211"/>
    </row>
    <row r="124" spans="1:10" x14ac:dyDescent="0.2">
      <c r="A124" s="209"/>
      <c r="B124" s="209"/>
      <c r="C124" s="209"/>
      <c r="D124" s="211"/>
      <c r="E124" s="211"/>
      <c r="F124" s="210"/>
      <c r="G124" s="209"/>
      <c r="H124" s="209"/>
      <c r="I124" s="211"/>
      <c r="J124" s="211"/>
    </row>
    <row r="125" spans="1:10" x14ac:dyDescent="0.2">
      <c r="A125" s="209"/>
      <c r="B125" s="209"/>
      <c r="C125" s="209"/>
      <c r="D125" s="211"/>
      <c r="E125" s="211"/>
      <c r="F125" s="210"/>
      <c r="G125" s="209"/>
      <c r="H125" s="209"/>
      <c r="I125" s="211"/>
      <c r="J125" s="211"/>
    </row>
    <row r="126" spans="1:10" ht="12.75" customHeight="1" x14ac:dyDescent="0.2">
      <c r="A126" s="209"/>
      <c r="B126" s="209"/>
      <c r="C126" s="209"/>
      <c r="D126" s="211"/>
      <c r="E126" s="211"/>
      <c r="F126" s="211"/>
      <c r="G126" s="209"/>
      <c r="H126" s="209"/>
      <c r="I126" s="211"/>
      <c r="J126" s="211"/>
    </row>
    <row r="127" spans="1:10" x14ac:dyDescent="0.2">
      <c r="A127" s="209"/>
      <c r="B127" s="209"/>
      <c r="C127" s="209"/>
      <c r="D127" s="211"/>
      <c r="E127" s="211"/>
      <c r="F127" s="210"/>
      <c r="G127" s="209"/>
      <c r="H127" s="209"/>
      <c r="I127" s="211"/>
      <c r="J127" s="211"/>
    </row>
    <row r="128" spans="1:10" x14ac:dyDescent="0.2">
      <c r="A128" s="209"/>
      <c r="B128" s="209"/>
      <c r="C128" s="209"/>
      <c r="D128" s="211"/>
      <c r="E128" s="211"/>
      <c r="F128" s="210"/>
      <c r="G128" s="209"/>
      <c r="H128" s="209"/>
      <c r="I128" s="211"/>
      <c r="J128" s="211"/>
    </row>
    <row r="129" spans="1:10" ht="12.75" customHeight="1" x14ac:dyDescent="0.2">
      <c r="A129" s="209"/>
      <c r="B129" s="209"/>
      <c r="C129" s="209"/>
      <c r="D129" s="211"/>
      <c r="E129" s="211"/>
      <c r="F129" s="211"/>
      <c r="G129" s="209"/>
      <c r="H129" s="209"/>
      <c r="I129" s="211"/>
      <c r="J129" s="211"/>
    </row>
    <row r="130" spans="1:10" x14ac:dyDescent="0.2">
      <c r="A130" s="209"/>
      <c r="B130" s="209"/>
      <c r="C130" s="209"/>
      <c r="D130" s="211"/>
      <c r="E130" s="211"/>
      <c r="F130" s="210"/>
      <c r="G130" s="209"/>
      <c r="H130" s="209"/>
      <c r="I130" s="211"/>
      <c r="J130" s="211"/>
    </row>
    <row r="131" spans="1:10" x14ac:dyDescent="0.2">
      <c r="A131" s="209"/>
      <c r="B131" s="209"/>
      <c r="C131" s="209"/>
      <c r="D131" s="211"/>
      <c r="E131" s="211"/>
      <c r="F131" s="210"/>
      <c r="G131" s="209"/>
      <c r="H131" s="209"/>
      <c r="I131" s="211"/>
      <c r="J131" s="211"/>
    </row>
    <row r="132" spans="1:10" x14ac:dyDescent="0.2">
      <c r="A132" s="209"/>
      <c r="B132" s="209"/>
      <c r="C132" s="209"/>
      <c r="D132" s="211"/>
      <c r="E132" s="211"/>
      <c r="F132" s="211"/>
      <c r="G132" s="209"/>
      <c r="H132" s="209"/>
      <c r="I132" s="211"/>
      <c r="J132" s="211"/>
    </row>
    <row r="133" spans="1:10" x14ac:dyDescent="0.2">
      <c r="A133" s="209"/>
      <c r="B133" s="209"/>
      <c r="C133" s="209"/>
      <c r="D133" s="211"/>
      <c r="E133" s="211"/>
      <c r="F133" s="210"/>
      <c r="G133" s="209"/>
      <c r="H133" s="209"/>
      <c r="I133" s="211"/>
      <c r="J133" s="211"/>
    </row>
    <row r="134" spans="1:10" ht="12.75" customHeight="1" x14ac:dyDescent="0.2">
      <c r="A134" s="209"/>
      <c r="B134" s="209"/>
      <c r="C134" s="209"/>
      <c r="D134" s="211"/>
      <c r="E134" s="211"/>
      <c r="F134" s="210"/>
      <c r="G134" s="209"/>
      <c r="H134" s="209"/>
      <c r="I134" s="211"/>
      <c r="J134" s="211"/>
    </row>
    <row r="135" spans="1:10" ht="12.75" customHeight="1" x14ac:dyDescent="0.2">
      <c r="A135" s="209"/>
      <c r="B135" s="209"/>
      <c r="C135" s="209"/>
      <c r="D135" s="211"/>
      <c r="E135" s="211"/>
      <c r="F135" s="211"/>
      <c r="G135" s="209"/>
      <c r="H135" s="209"/>
      <c r="I135" s="211"/>
      <c r="J135" s="211"/>
    </row>
    <row r="136" spans="1:10" ht="12.75" customHeight="1" x14ac:dyDescent="0.2">
      <c r="A136" s="209"/>
      <c r="B136" s="209"/>
      <c r="C136" s="209"/>
      <c r="D136" s="211"/>
      <c r="E136" s="211"/>
      <c r="F136" s="210"/>
      <c r="G136" s="209"/>
      <c r="H136" s="209"/>
      <c r="I136" s="211"/>
      <c r="J136" s="211"/>
    </row>
    <row r="137" spans="1:10" ht="12.75" customHeight="1" x14ac:dyDescent="0.2">
      <c r="A137" s="209"/>
      <c r="B137" s="209"/>
      <c r="C137" s="209"/>
      <c r="D137" s="211"/>
      <c r="E137" s="211"/>
      <c r="F137" s="210"/>
      <c r="G137" s="209"/>
      <c r="H137" s="209"/>
      <c r="I137" s="211"/>
      <c r="J137" s="211"/>
    </row>
    <row r="138" spans="1:10" ht="12.75" customHeight="1" x14ac:dyDescent="0.2">
      <c r="A138" s="209"/>
      <c r="B138" s="209"/>
      <c r="C138" s="209"/>
      <c r="D138" s="211"/>
      <c r="E138" s="211"/>
      <c r="F138" s="211"/>
      <c r="G138" s="209"/>
      <c r="H138" s="209"/>
      <c r="I138" s="211"/>
      <c r="J138" s="211"/>
    </row>
    <row r="139" spans="1:10" ht="12.75" customHeight="1" x14ac:dyDescent="0.2">
      <c r="A139" s="209"/>
      <c r="B139" s="209"/>
      <c r="C139" s="209"/>
      <c r="D139" s="211"/>
      <c r="E139" s="211"/>
      <c r="F139" s="210"/>
      <c r="G139" s="209"/>
      <c r="H139" s="209"/>
      <c r="I139" s="211"/>
      <c r="J139" s="211"/>
    </row>
    <row r="140" spans="1:10" ht="12.75" customHeight="1" x14ac:dyDescent="0.2">
      <c r="A140" s="209"/>
      <c r="B140" s="209"/>
      <c r="C140" s="209"/>
      <c r="D140" s="211"/>
      <c r="E140" s="211"/>
      <c r="F140" s="210"/>
      <c r="G140" s="209"/>
      <c r="H140" s="209"/>
      <c r="I140" s="211"/>
      <c r="J140" s="211"/>
    </row>
    <row r="141" spans="1:10" ht="12.75" customHeight="1" x14ac:dyDescent="0.2">
      <c r="A141" s="209"/>
      <c r="B141" s="209"/>
      <c r="C141" s="209"/>
      <c r="D141" s="211"/>
      <c r="E141" s="211"/>
      <c r="F141" s="211"/>
      <c r="G141" s="209"/>
      <c r="H141" s="209"/>
      <c r="I141" s="211"/>
      <c r="J141" s="211"/>
    </row>
    <row r="142" spans="1:10" ht="12.75" customHeight="1" x14ac:dyDescent="0.2">
      <c r="A142" s="209"/>
      <c r="B142" s="209"/>
      <c r="C142" s="209"/>
      <c r="D142" s="211"/>
      <c r="E142" s="211"/>
      <c r="F142" s="210"/>
      <c r="G142" s="209"/>
      <c r="H142" s="209"/>
      <c r="I142" s="211"/>
      <c r="J142" s="211"/>
    </row>
    <row r="143" spans="1:10" ht="12.75" customHeight="1" x14ac:dyDescent="0.2">
      <c r="A143" s="209"/>
      <c r="B143" s="209"/>
      <c r="C143" s="209"/>
      <c r="D143" s="211"/>
      <c r="E143" s="211"/>
      <c r="F143" s="210"/>
      <c r="G143" s="209"/>
      <c r="H143" s="209"/>
      <c r="I143" s="211"/>
      <c r="J143" s="211"/>
    </row>
    <row r="144" spans="1:10" ht="12.75" customHeight="1" x14ac:dyDescent="0.2">
      <c r="A144" s="209"/>
      <c r="B144" s="209"/>
      <c r="C144" s="209"/>
      <c r="D144" s="211"/>
      <c r="E144" s="211"/>
      <c r="F144" s="211"/>
      <c r="G144" s="209"/>
      <c r="H144" s="209"/>
      <c r="I144" s="211"/>
      <c r="J144" s="211"/>
    </row>
    <row r="145" spans="1:10" ht="12.75" customHeight="1" x14ac:dyDescent="0.2">
      <c r="A145" s="209"/>
      <c r="B145" s="209"/>
      <c r="C145" s="209"/>
      <c r="D145" s="211"/>
      <c r="E145" s="211"/>
      <c r="F145" s="210"/>
      <c r="G145" s="209"/>
      <c r="H145" s="209"/>
      <c r="I145" s="211"/>
      <c r="J145" s="211"/>
    </row>
    <row r="146" spans="1:10" ht="12.75" customHeight="1" x14ac:dyDescent="0.2">
      <c r="A146" s="209"/>
      <c r="B146" s="209"/>
      <c r="C146" s="209"/>
      <c r="D146" s="211"/>
      <c r="E146" s="211"/>
      <c r="F146" s="210"/>
      <c r="G146" s="209"/>
      <c r="H146" s="209"/>
      <c r="I146" s="211"/>
      <c r="J146" s="211"/>
    </row>
    <row r="147" spans="1:10" ht="12.75" customHeight="1" x14ac:dyDescent="0.2">
      <c r="A147" s="209"/>
      <c r="B147" s="209"/>
      <c r="C147" s="209"/>
      <c r="D147" s="211"/>
      <c r="E147" s="211"/>
      <c r="F147" s="211"/>
      <c r="G147" s="209"/>
      <c r="H147" s="209"/>
      <c r="I147" s="211"/>
      <c r="J147" s="211"/>
    </row>
    <row r="148" spans="1:10" ht="12.75" customHeight="1" x14ac:dyDescent="0.2">
      <c r="A148" s="209"/>
      <c r="B148" s="209"/>
      <c r="C148" s="209"/>
      <c r="D148" s="211"/>
      <c r="E148" s="211"/>
      <c r="F148" s="210"/>
      <c r="G148" s="209"/>
      <c r="H148" s="209"/>
      <c r="I148" s="211"/>
      <c r="J148" s="211"/>
    </row>
    <row r="149" spans="1:10" ht="12.75" customHeight="1" x14ac:dyDescent="0.2">
      <c r="A149" s="209"/>
      <c r="B149" s="209"/>
      <c r="C149" s="209"/>
      <c r="D149" s="211"/>
      <c r="E149" s="211"/>
      <c r="F149" s="210"/>
      <c r="G149" s="209"/>
      <c r="H149" s="209"/>
      <c r="I149" s="211"/>
      <c r="J149" s="211"/>
    </row>
    <row r="150" spans="1:10" ht="12.75" customHeight="1" x14ac:dyDescent="0.2">
      <c r="A150" s="209"/>
      <c r="B150" s="209"/>
      <c r="C150" s="209"/>
      <c r="D150" s="211"/>
      <c r="E150" s="211"/>
      <c r="F150" s="211"/>
      <c r="G150" s="209"/>
      <c r="H150" s="209"/>
      <c r="I150" s="211"/>
      <c r="J150" s="211"/>
    </row>
    <row r="151" spans="1:10" ht="12.75" customHeight="1" x14ac:dyDescent="0.2">
      <c r="A151" s="209"/>
      <c r="B151" s="209"/>
      <c r="C151" s="209"/>
      <c r="D151" s="211"/>
      <c r="E151" s="211"/>
      <c r="F151" s="210"/>
      <c r="G151" s="209"/>
      <c r="H151" s="209"/>
      <c r="I151" s="211"/>
      <c r="J151" s="211"/>
    </row>
    <row r="152" spans="1:10" ht="12.75" customHeight="1" x14ac:dyDescent="0.2">
      <c r="A152" s="209"/>
      <c r="B152" s="209"/>
      <c r="C152" s="209"/>
      <c r="D152" s="211"/>
      <c r="E152" s="211"/>
      <c r="F152" s="210"/>
      <c r="G152" s="209"/>
      <c r="H152" s="209"/>
      <c r="I152" s="211"/>
      <c r="J152" s="211"/>
    </row>
    <row r="153" spans="1:10" ht="12.75" customHeight="1" x14ac:dyDescent="0.2">
      <c r="A153" s="209"/>
      <c r="B153" s="209"/>
      <c r="C153" s="209"/>
      <c r="D153" s="211"/>
      <c r="E153" s="211"/>
      <c r="F153" s="211"/>
      <c r="G153" s="209"/>
      <c r="H153" s="209"/>
      <c r="I153" s="211"/>
      <c r="J153" s="211"/>
    </row>
    <row r="154" spans="1:10" ht="12.75" customHeight="1" x14ac:dyDescent="0.2">
      <c r="A154" s="209"/>
      <c r="B154" s="209"/>
      <c r="C154" s="209"/>
      <c r="D154" s="211"/>
      <c r="E154" s="211"/>
      <c r="F154" s="210"/>
      <c r="G154" s="209"/>
      <c r="H154" s="209"/>
      <c r="I154" s="211"/>
      <c r="J154" s="211"/>
    </row>
    <row r="155" spans="1:10" ht="12.75" customHeight="1" x14ac:dyDescent="0.2">
      <c r="A155" s="209"/>
      <c r="B155" s="209"/>
      <c r="C155" s="209"/>
      <c r="D155" s="211"/>
      <c r="E155" s="211"/>
      <c r="F155" s="210"/>
      <c r="G155" s="209"/>
      <c r="H155" s="209"/>
      <c r="I155" s="211"/>
      <c r="J155" s="211"/>
    </row>
    <row r="156" spans="1:10" ht="12.75" customHeight="1" x14ac:dyDescent="0.2">
      <c r="A156" s="209"/>
      <c r="B156" s="209"/>
      <c r="C156" s="209"/>
      <c r="D156" s="211"/>
      <c r="E156" s="211"/>
      <c r="F156" s="211"/>
      <c r="G156" s="209"/>
      <c r="H156" s="209"/>
      <c r="I156" s="211"/>
      <c r="J156" s="211"/>
    </row>
    <row r="157" spans="1:10" ht="12.75" customHeight="1" x14ac:dyDescent="0.2">
      <c r="A157" s="209"/>
      <c r="B157" s="209"/>
      <c r="C157" s="209"/>
      <c r="D157" s="211"/>
      <c r="E157" s="211"/>
      <c r="F157" s="210"/>
      <c r="G157" s="209"/>
      <c r="H157" s="209"/>
      <c r="I157" s="211"/>
      <c r="J157" s="211"/>
    </row>
    <row r="158" spans="1:10" ht="12.75" customHeight="1" x14ac:dyDescent="0.2">
      <c r="A158" s="209"/>
      <c r="B158" s="209"/>
      <c r="C158" s="209"/>
      <c r="D158" s="211"/>
      <c r="E158" s="211"/>
      <c r="F158" s="210"/>
      <c r="G158" s="209"/>
      <c r="H158" s="209"/>
      <c r="I158" s="211"/>
      <c r="J158" s="211"/>
    </row>
    <row r="159" spans="1:10" ht="12.75" customHeight="1" x14ac:dyDescent="0.2">
      <c r="A159" s="209"/>
      <c r="B159" s="209"/>
      <c r="C159" s="209"/>
      <c r="D159" s="211"/>
      <c r="E159" s="211"/>
      <c r="F159" s="211"/>
      <c r="G159" s="209"/>
      <c r="H159" s="209"/>
      <c r="I159" s="211"/>
      <c r="J159" s="211"/>
    </row>
    <row r="160" spans="1:10" ht="12.75" customHeight="1" x14ac:dyDescent="0.2">
      <c r="A160" s="209"/>
      <c r="B160" s="209"/>
      <c r="C160" s="209"/>
      <c r="D160" s="211"/>
      <c r="E160" s="211"/>
      <c r="F160" s="210"/>
      <c r="G160" s="209"/>
      <c r="H160" s="209"/>
      <c r="I160" s="211"/>
      <c r="J160" s="211"/>
    </row>
    <row r="161" spans="1:10" ht="12.75" customHeight="1" x14ac:dyDescent="0.2">
      <c r="A161" s="209"/>
      <c r="B161" s="209"/>
      <c r="C161" s="209"/>
      <c r="D161" s="211"/>
      <c r="E161" s="211"/>
      <c r="F161" s="210"/>
      <c r="G161" s="209"/>
      <c r="H161" s="209"/>
      <c r="I161" s="211"/>
      <c r="J161" s="211"/>
    </row>
    <row r="162" spans="1:10" ht="12.75" customHeight="1" x14ac:dyDescent="0.2">
      <c r="A162" s="209"/>
      <c r="B162" s="209"/>
      <c r="C162" s="209"/>
      <c r="D162" s="211"/>
      <c r="E162" s="211"/>
      <c r="F162" s="211"/>
      <c r="G162" s="209"/>
      <c r="H162" s="209"/>
      <c r="I162" s="211"/>
      <c r="J162" s="211"/>
    </row>
    <row r="163" spans="1:10" ht="12.75" customHeight="1" x14ac:dyDescent="0.2">
      <c r="A163" s="209"/>
      <c r="B163" s="209"/>
      <c r="C163" s="209"/>
      <c r="D163" s="211"/>
      <c r="E163" s="211"/>
      <c r="F163" s="210"/>
      <c r="G163" s="209"/>
      <c r="H163" s="209"/>
      <c r="I163" s="211"/>
      <c r="J163" s="211"/>
    </row>
    <row r="164" spans="1:10" ht="12.75" customHeight="1" x14ac:dyDescent="0.2">
      <c r="A164" s="209"/>
      <c r="B164" s="209"/>
      <c r="C164" s="209"/>
      <c r="D164" s="211"/>
      <c r="E164" s="211"/>
      <c r="F164" s="210"/>
      <c r="G164" s="209"/>
      <c r="H164" s="209"/>
      <c r="I164" s="211"/>
      <c r="J164" s="211"/>
    </row>
    <row r="165" spans="1:10" ht="12.75" customHeight="1" x14ac:dyDescent="0.2">
      <c r="A165" s="209"/>
      <c r="B165" s="209"/>
      <c r="C165" s="209"/>
      <c r="D165" s="211"/>
      <c r="E165" s="211"/>
      <c r="F165" s="211"/>
      <c r="G165" s="209"/>
      <c r="H165" s="209"/>
      <c r="I165" s="211"/>
      <c r="J165" s="211"/>
    </row>
    <row r="166" spans="1:10" ht="12.75" customHeight="1" x14ac:dyDescent="0.2">
      <c r="A166" s="209"/>
      <c r="B166" s="209"/>
      <c r="C166" s="209"/>
      <c r="D166" s="211"/>
      <c r="E166" s="211"/>
      <c r="F166" s="210"/>
      <c r="G166" s="209"/>
      <c r="H166" s="209"/>
      <c r="I166" s="211"/>
      <c r="J166" s="211"/>
    </row>
    <row r="167" spans="1:10" ht="12.75" customHeight="1" x14ac:dyDescent="0.2">
      <c r="A167" s="209"/>
      <c r="B167" s="209"/>
      <c r="C167" s="209"/>
      <c r="D167" s="211"/>
      <c r="E167" s="211"/>
      <c r="F167" s="210"/>
      <c r="G167" s="209"/>
      <c r="H167" s="209"/>
      <c r="I167" s="211"/>
      <c r="J167" s="211"/>
    </row>
    <row r="168" spans="1:10" ht="12.75" customHeight="1" x14ac:dyDescent="0.2">
      <c r="A168" s="209"/>
      <c r="B168" s="209"/>
      <c r="C168" s="209"/>
      <c r="D168" s="211"/>
      <c r="E168" s="211"/>
      <c r="F168" s="211"/>
      <c r="G168" s="209"/>
      <c r="H168" s="209"/>
      <c r="I168" s="211"/>
      <c r="J168" s="211"/>
    </row>
    <row r="169" spans="1:10" ht="12.75" customHeight="1" x14ac:dyDescent="0.2">
      <c r="A169" s="209"/>
      <c r="B169" s="209"/>
      <c r="C169" s="209"/>
      <c r="D169" s="211"/>
      <c r="E169" s="211"/>
      <c r="F169" s="210"/>
      <c r="G169" s="209"/>
      <c r="H169" s="209"/>
      <c r="I169" s="211"/>
      <c r="J169" s="211"/>
    </row>
    <row r="170" spans="1:10" ht="12.75" customHeight="1" x14ac:dyDescent="0.2">
      <c r="A170" s="209"/>
      <c r="B170" s="209"/>
      <c r="C170" s="209"/>
      <c r="D170" s="211"/>
      <c r="E170" s="211"/>
      <c r="F170" s="210"/>
      <c r="G170" s="209"/>
      <c r="H170" s="209"/>
      <c r="I170" s="211"/>
      <c r="J170" s="211"/>
    </row>
    <row r="171" spans="1:10" ht="12.75" customHeight="1" x14ac:dyDescent="0.2">
      <c r="A171" s="209"/>
      <c r="B171" s="209"/>
      <c r="C171" s="209"/>
      <c r="D171" s="211"/>
      <c r="E171" s="211"/>
      <c r="F171" s="211"/>
      <c r="G171" s="209"/>
      <c r="H171" s="209"/>
      <c r="I171" s="211"/>
      <c r="J171" s="211"/>
    </row>
    <row r="172" spans="1:10" ht="12.75" customHeight="1" x14ac:dyDescent="0.2">
      <c r="A172" s="209"/>
      <c r="B172" s="209"/>
      <c r="C172" s="209"/>
      <c r="D172" s="211"/>
      <c r="E172" s="211"/>
      <c r="F172" s="210"/>
      <c r="G172" s="209"/>
      <c r="H172" s="209"/>
      <c r="I172" s="211"/>
      <c r="J172" s="211"/>
    </row>
    <row r="173" spans="1:10" ht="12.75" customHeight="1" x14ac:dyDescent="0.2">
      <c r="A173" s="209"/>
      <c r="B173" s="209"/>
      <c r="C173" s="209"/>
      <c r="D173" s="211"/>
      <c r="E173" s="211"/>
      <c r="F173" s="210"/>
      <c r="G173" s="209"/>
      <c r="H173" s="209"/>
      <c r="I173" s="211"/>
      <c r="J173" s="211"/>
    </row>
    <row r="174" spans="1:10" ht="12.75" customHeight="1" x14ac:dyDescent="0.2">
      <c r="A174" s="209"/>
      <c r="B174" s="209"/>
      <c r="C174" s="209"/>
      <c r="D174" s="211"/>
      <c r="E174" s="211"/>
      <c r="F174" s="211"/>
      <c r="G174" s="209"/>
      <c r="H174" s="209"/>
      <c r="I174" s="211"/>
      <c r="J174" s="211"/>
    </row>
    <row r="175" spans="1:10" ht="12.75" customHeight="1" x14ac:dyDescent="0.2">
      <c r="A175" s="209"/>
      <c r="B175" s="209"/>
      <c r="C175" s="209"/>
      <c r="D175" s="211"/>
      <c r="E175" s="211"/>
      <c r="F175" s="210"/>
      <c r="G175" s="209"/>
      <c r="H175" s="209"/>
      <c r="I175" s="211"/>
      <c r="J175" s="211"/>
    </row>
    <row r="176" spans="1:10" ht="12.75" customHeight="1" x14ac:dyDescent="0.2">
      <c r="A176" s="209"/>
      <c r="B176" s="209"/>
      <c r="C176" s="209"/>
      <c r="D176" s="211"/>
      <c r="E176" s="211"/>
      <c r="F176" s="210"/>
      <c r="G176" s="209"/>
      <c r="H176" s="209"/>
      <c r="I176" s="211"/>
      <c r="J176" s="211"/>
    </row>
    <row r="177" spans="1:10" ht="12.75" customHeight="1" x14ac:dyDescent="0.2">
      <c r="A177" s="209"/>
      <c r="B177" s="209"/>
      <c r="C177" s="209"/>
      <c r="D177" s="211"/>
      <c r="E177" s="211"/>
      <c r="F177" s="211"/>
      <c r="G177" s="209"/>
      <c r="H177" s="209"/>
      <c r="I177" s="211"/>
      <c r="J177" s="211"/>
    </row>
    <row r="178" spans="1:10" ht="12.75" customHeight="1" x14ac:dyDescent="0.2">
      <c r="A178" s="209"/>
      <c r="B178" s="209"/>
      <c r="C178" s="209"/>
      <c r="D178" s="211"/>
      <c r="E178" s="211"/>
      <c r="F178" s="210"/>
      <c r="G178" s="209"/>
      <c r="H178" s="209"/>
      <c r="I178" s="211"/>
      <c r="J178" s="211"/>
    </row>
    <row r="179" spans="1:10" ht="12.75" customHeight="1" x14ac:dyDescent="0.2">
      <c r="A179" s="209"/>
      <c r="B179" s="209"/>
      <c r="C179" s="209"/>
      <c r="D179" s="211"/>
      <c r="E179" s="211"/>
      <c r="F179" s="210"/>
      <c r="G179" s="209"/>
      <c r="H179" s="209"/>
      <c r="I179" s="211"/>
      <c r="J179" s="211"/>
    </row>
    <row r="180" spans="1:10" ht="12.75" customHeight="1" x14ac:dyDescent="0.2">
      <c r="A180" s="209"/>
      <c r="B180" s="209"/>
      <c r="C180" s="209"/>
      <c r="D180" s="211"/>
      <c r="E180" s="211"/>
      <c r="F180" s="211"/>
      <c r="G180" s="209"/>
      <c r="H180" s="209"/>
      <c r="I180" s="211"/>
      <c r="J180" s="211"/>
    </row>
    <row r="181" spans="1:10" ht="12.75" customHeight="1" x14ac:dyDescent="0.2">
      <c r="A181" s="209"/>
      <c r="B181" s="209"/>
      <c r="C181" s="209"/>
      <c r="D181" s="211"/>
      <c r="E181" s="211"/>
      <c r="F181" s="210"/>
      <c r="G181" s="209"/>
      <c r="H181" s="209"/>
      <c r="I181" s="211"/>
      <c r="J181" s="211"/>
    </row>
    <row r="182" spans="1:10" ht="12.75" customHeight="1" x14ac:dyDescent="0.2">
      <c r="A182" s="209"/>
      <c r="B182" s="209"/>
      <c r="C182" s="209"/>
      <c r="D182" s="211"/>
      <c r="E182" s="211"/>
      <c r="F182" s="210"/>
      <c r="G182" s="209"/>
      <c r="H182" s="209"/>
      <c r="I182" s="211"/>
      <c r="J182" s="211"/>
    </row>
    <row r="183" spans="1:10" ht="12.75" customHeight="1" x14ac:dyDescent="0.2">
      <c r="A183" s="209"/>
      <c r="B183" s="209"/>
      <c r="C183" s="209"/>
      <c r="D183" s="211"/>
      <c r="E183" s="211"/>
      <c r="F183" s="211"/>
      <c r="G183" s="209"/>
      <c r="H183" s="209"/>
      <c r="I183" s="211"/>
      <c r="J183" s="211"/>
    </row>
    <row r="184" spans="1:10" ht="12.75" customHeight="1" x14ac:dyDescent="0.2">
      <c r="A184" s="209"/>
      <c r="B184" s="209"/>
      <c r="C184" s="209"/>
      <c r="D184" s="211"/>
      <c r="E184" s="211"/>
      <c r="F184" s="210"/>
      <c r="G184" s="209"/>
      <c r="H184" s="209"/>
      <c r="I184" s="211"/>
      <c r="J184" s="211"/>
    </row>
    <row r="185" spans="1:10" ht="12.75" customHeight="1" x14ac:dyDescent="0.2">
      <c r="A185" s="209"/>
      <c r="B185" s="209"/>
      <c r="C185" s="209"/>
      <c r="D185" s="211"/>
      <c r="E185" s="211"/>
      <c r="F185" s="210"/>
      <c r="G185" s="209"/>
      <c r="H185" s="209"/>
      <c r="I185" s="211"/>
      <c r="J185" s="211"/>
    </row>
    <row r="186" spans="1:10" ht="12.75" customHeight="1" x14ac:dyDescent="0.2">
      <c r="A186" s="209"/>
      <c r="B186" s="209"/>
      <c r="C186" s="209"/>
      <c r="D186" s="211"/>
      <c r="E186" s="211"/>
      <c r="F186" s="211"/>
      <c r="G186" s="209"/>
      <c r="H186" s="209"/>
      <c r="I186" s="211"/>
      <c r="J186" s="211"/>
    </row>
    <row r="187" spans="1:10" ht="12.75" customHeight="1" x14ac:dyDescent="0.2">
      <c r="A187" s="209"/>
      <c r="B187" s="209"/>
      <c r="C187" s="209"/>
      <c r="D187" s="211"/>
      <c r="E187" s="211"/>
      <c r="F187" s="210"/>
      <c r="G187" s="209"/>
      <c r="H187" s="209"/>
      <c r="I187" s="211"/>
      <c r="J187" s="211"/>
    </row>
    <row r="188" spans="1:10" ht="12.75" customHeight="1" x14ac:dyDescent="0.2">
      <c r="A188" s="209"/>
      <c r="B188" s="209"/>
      <c r="C188" s="209"/>
      <c r="D188" s="211"/>
      <c r="E188" s="211"/>
      <c r="F188" s="210"/>
      <c r="G188" s="209"/>
      <c r="H188" s="209"/>
      <c r="I188" s="211"/>
      <c r="J188" s="211"/>
    </row>
    <row r="189" spans="1:10" ht="12.75" customHeight="1" x14ac:dyDescent="0.2">
      <c r="A189" s="209"/>
      <c r="B189" s="209"/>
      <c r="C189" s="209"/>
      <c r="D189" s="211"/>
      <c r="E189" s="211"/>
      <c r="F189" s="211"/>
      <c r="G189" s="209"/>
      <c r="H189" s="209"/>
      <c r="I189" s="211"/>
      <c r="J189" s="211"/>
    </row>
    <row r="190" spans="1:10" ht="12.75" customHeight="1" x14ac:dyDescent="0.2">
      <c r="A190" s="209"/>
      <c r="B190" s="209"/>
      <c r="C190" s="209"/>
      <c r="D190" s="211"/>
      <c r="E190" s="211"/>
      <c r="F190" s="210"/>
      <c r="G190" s="209"/>
      <c r="H190" s="209"/>
      <c r="I190" s="211"/>
      <c r="J190" s="211"/>
    </row>
    <row r="191" spans="1:10" ht="12.75" customHeight="1" x14ac:dyDescent="0.2">
      <c r="A191" s="209"/>
      <c r="B191" s="209"/>
      <c r="C191" s="209"/>
      <c r="D191" s="211"/>
      <c r="E191" s="211"/>
      <c r="F191" s="210"/>
      <c r="G191" s="209"/>
      <c r="H191" s="209"/>
      <c r="I191" s="211"/>
      <c r="J191" s="211"/>
    </row>
    <row r="192" spans="1:10" ht="12.75" customHeight="1" x14ac:dyDescent="0.2">
      <c r="A192" s="209"/>
      <c r="B192" s="209"/>
      <c r="C192" s="209"/>
      <c r="D192" s="211"/>
      <c r="E192" s="211"/>
      <c r="F192" s="211"/>
      <c r="G192" s="209"/>
      <c r="H192" s="209"/>
      <c r="I192" s="211"/>
      <c r="J192" s="211"/>
    </row>
    <row r="193" spans="1:10" ht="12.75" customHeight="1" x14ac:dyDescent="0.2">
      <c r="A193" s="209"/>
      <c r="B193" s="209"/>
      <c r="C193" s="209"/>
      <c r="D193" s="211"/>
      <c r="E193" s="211"/>
      <c r="F193" s="210"/>
      <c r="G193" s="209"/>
      <c r="H193" s="209"/>
      <c r="I193" s="211"/>
      <c r="J193" s="211"/>
    </row>
    <row r="194" spans="1:10" ht="12.75" customHeight="1" x14ac:dyDescent="0.2">
      <c r="A194" s="209"/>
      <c r="B194" s="209"/>
      <c r="C194" s="209"/>
      <c r="D194" s="211"/>
      <c r="E194" s="211"/>
      <c r="F194" s="210"/>
      <c r="G194" s="209"/>
      <c r="H194" s="209"/>
      <c r="I194" s="211"/>
      <c r="J194" s="211"/>
    </row>
    <row r="195" spans="1:10" ht="12.75" customHeight="1" x14ac:dyDescent="0.2">
      <c r="A195" s="209"/>
      <c r="B195" s="209"/>
      <c r="C195" s="209"/>
      <c r="D195" s="211"/>
      <c r="E195" s="211"/>
      <c r="F195" s="211"/>
      <c r="G195" s="209"/>
      <c r="H195" s="209"/>
      <c r="I195" s="211"/>
      <c r="J195" s="211"/>
    </row>
    <row r="196" spans="1:10" ht="12.75" customHeight="1" x14ac:dyDescent="0.2">
      <c r="A196" s="209"/>
      <c r="B196" s="209"/>
      <c r="C196" s="209"/>
      <c r="D196" s="211"/>
      <c r="E196" s="211"/>
      <c r="F196" s="210"/>
      <c r="G196" s="209"/>
      <c r="H196" s="209"/>
      <c r="I196" s="211"/>
      <c r="J196" s="211"/>
    </row>
    <row r="197" spans="1:10" ht="12.75" customHeight="1" x14ac:dyDescent="0.2">
      <c r="A197" s="209"/>
      <c r="B197" s="209"/>
      <c r="C197" s="209"/>
      <c r="D197" s="211"/>
      <c r="E197" s="211"/>
      <c r="F197" s="210"/>
      <c r="G197" s="209"/>
      <c r="H197" s="209"/>
      <c r="I197" s="211"/>
      <c r="J197" s="211"/>
    </row>
    <row r="198" spans="1:10" ht="12.75" customHeight="1" x14ac:dyDescent="0.2">
      <c r="A198" s="209"/>
      <c r="B198" s="209"/>
      <c r="C198" s="209"/>
      <c r="D198" s="211"/>
      <c r="E198" s="211"/>
      <c r="F198" s="211"/>
      <c r="G198" s="209"/>
      <c r="H198" s="209"/>
      <c r="I198" s="211"/>
      <c r="J198" s="211"/>
    </row>
    <row r="199" spans="1:10" ht="12.75" customHeight="1" x14ac:dyDescent="0.2">
      <c r="A199" s="209"/>
      <c r="B199" s="209"/>
      <c r="C199" s="209"/>
      <c r="D199" s="211"/>
      <c r="E199" s="211"/>
      <c r="F199" s="210"/>
      <c r="G199" s="209"/>
      <c r="H199" s="209"/>
      <c r="I199" s="211"/>
      <c r="J199" s="211"/>
    </row>
    <row r="200" spans="1:10" ht="12.75" customHeight="1" x14ac:dyDescent="0.2">
      <c r="A200" s="209"/>
      <c r="B200" s="209"/>
      <c r="C200" s="209"/>
      <c r="D200" s="211"/>
      <c r="E200" s="211"/>
      <c r="F200" s="210"/>
      <c r="G200" s="209"/>
      <c r="H200" s="209"/>
      <c r="I200" s="211"/>
      <c r="J200" s="211"/>
    </row>
    <row r="201" spans="1:10" ht="12.75" customHeight="1" x14ac:dyDescent="0.2">
      <c r="A201" s="209"/>
      <c r="B201" s="209"/>
      <c r="C201" s="209"/>
      <c r="D201" s="211"/>
      <c r="E201" s="211"/>
      <c r="F201" s="211"/>
      <c r="G201" s="209"/>
      <c r="H201" s="209"/>
      <c r="I201" s="211"/>
      <c r="J201" s="211"/>
    </row>
    <row r="202" spans="1:10" ht="12.75" customHeight="1" x14ac:dyDescent="0.2">
      <c r="A202" s="209"/>
      <c r="B202" s="209"/>
      <c r="C202" s="209"/>
      <c r="D202" s="211"/>
      <c r="E202" s="211"/>
      <c r="F202" s="210"/>
      <c r="G202" s="209"/>
      <c r="H202" s="209"/>
      <c r="I202" s="211"/>
      <c r="J202" s="211"/>
    </row>
    <row r="203" spans="1:10" ht="12.75" customHeight="1" x14ac:dyDescent="0.2">
      <c r="A203" s="209"/>
      <c r="B203" s="209"/>
      <c r="C203" s="209"/>
      <c r="D203" s="211"/>
      <c r="E203" s="211"/>
      <c r="F203" s="210"/>
      <c r="G203" s="209"/>
      <c r="H203" s="209"/>
      <c r="I203" s="211"/>
      <c r="J203" s="211"/>
    </row>
    <row r="204" spans="1:10" ht="12.75" customHeight="1" x14ac:dyDescent="0.2">
      <c r="A204" s="209"/>
      <c r="B204" s="209"/>
      <c r="C204" s="209"/>
      <c r="D204" s="211"/>
      <c r="E204" s="211"/>
      <c r="F204" s="211"/>
      <c r="G204" s="209"/>
      <c r="H204" s="209"/>
      <c r="I204" s="211"/>
      <c r="J204" s="211"/>
    </row>
    <row r="205" spans="1:10" ht="12.75" customHeight="1" x14ac:dyDescent="0.2">
      <c r="A205" s="209"/>
      <c r="B205" s="209"/>
      <c r="C205" s="209"/>
      <c r="D205" s="211"/>
      <c r="E205" s="211"/>
      <c r="F205" s="210"/>
      <c r="G205" s="209"/>
      <c r="H205" s="209"/>
      <c r="I205" s="211"/>
      <c r="J205" s="211"/>
    </row>
    <row r="206" spans="1:10" ht="12.75" customHeight="1" x14ac:dyDescent="0.2">
      <c r="A206" s="209"/>
      <c r="B206" s="209"/>
      <c r="C206" s="209"/>
      <c r="D206" s="211"/>
      <c r="E206" s="211"/>
      <c r="F206" s="210"/>
      <c r="G206" s="209"/>
      <c r="H206" s="209"/>
      <c r="I206" s="211"/>
      <c r="J206" s="211"/>
    </row>
    <row r="207" spans="1:10" ht="12.75" customHeight="1" x14ac:dyDescent="0.2">
      <c r="A207" s="209"/>
      <c r="B207" s="209"/>
      <c r="C207" s="209"/>
      <c r="D207" s="211"/>
      <c r="E207" s="211"/>
      <c r="F207" s="211"/>
      <c r="G207" s="209"/>
      <c r="H207" s="209"/>
      <c r="I207" s="211"/>
      <c r="J207" s="211"/>
    </row>
    <row r="208" spans="1:10" ht="12.75" customHeight="1" x14ac:dyDescent="0.2">
      <c r="A208" s="209"/>
      <c r="B208" s="209"/>
      <c r="C208" s="209"/>
      <c r="D208" s="211"/>
      <c r="E208" s="211"/>
      <c r="F208" s="210"/>
      <c r="G208" s="209"/>
      <c r="H208" s="209"/>
      <c r="I208" s="211"/>
      <c r="J208" s="211"/>
    </row>
    <row r="209" spans="1:10" ht="12.75" customHeight="1" x14ac:dyDescent="0.2">
      <c r="A209" s="209"/>
      <c r="B209" s="209"/>
      <c r="C209" s="209"/>
      <c r="D209" s="211"/>
      <c r="E209" s="211"/>
      <c r="F209" s="210"/>
      <c r="G209" s="209"/>
      <c r="H209" s="209"/>
      <c r="I209" s="211"/>
      <c r="J209" s="211"/>
    </row>
    <row r="210" spans="1:10" ht="12.75" customHeight="1" x14ac:dyDescent="0.2">
      <c r="A210" s="209"/>
      <c r="B210" s="209"/>
      <c r="C210" s="209"/>
      <c r="D210" s="211"/>
      <c r="E210" s="211"/>
      <c r="F210" s="211"/>
      <c r="G210" s="209"/>
      <c r="H210" s="209"/>
      <c r="I210" s="211"/>
      <c r="J210" s="211"/>
    </row>
    <row r="211" spans="1:10" ht="12.75" customHeight="1" x14ac:dyDescent="0.2">
      <c r="A211" s="209"/>
      <c r="B211" s="209"/>
      <c r="C211" s="209"/>
      <c r="D211" s="211"/>
      <c r="E211" s="211"/>
      <c r="F211" s="210"/>
      <c r="G211" s="209"/>
      <c r="H211" s="209"/>
      <c r="I211" s="211"/>
      <c r="J211" s="211"/>
    </row>
    <row r="212" spans="1:10" ht="12.75" customHeight="1" x14ac:dyDescent="0.2">
      <c r="A212" s="209"/>
      <c r="B212" s="209"/>
      <c r="C212" s="209"/>
      <c r="D212" s="211"/>
      <c r="E212" s="211"/>
      <c r="F212" s="210"/>
      <c r="G212" s="209"/>
      <c r="H212" s="209"/>
      <c r="I212" s="211"/>
      <c r="J212" s="211"/>
    </row>
    <row r="213" spans="1:10" ht="12.75" customHeight="1" x14ac:dyDescent="0.2">
      <c r="A213" s="209"/>
      <c r="B213" s="209"/>
      <c r="C213" s="209"/>
      <c r="D213" s="211"/>
      <c r="E213" s="211"/>
      <c r="F213" s="211"/>
      <c r="G213" s="209"/>
      <c r="H213" s="209"/>
      <c r="I213" s="211"/>
      <c r="J213" s="211"/>
    </row>
    <row r="214" spans="1:10" ht="12.75" customHeight="1" x14ac:dyDescent="0.2">
      <c r="A214" s="209"/>
      <c r="B214" s="209"/>
      <c r="C214" s="209"/>
      <c r="D214" s="211"/>
      <c r="E214" s="211"/>
      <c r="F214" s="210"/>
      <c r="G214" s="209"/>
      <c r="H214" s="209"/>
      <c r="I214" s="211"/>
      <c r="J214" s="211"/>
    </row>
    <row r="215" spans="1:10" ht="12.75" customHeight="1" x14ac:dyDescent="0.2">
      <c r="A215" s="209"/>
      <c r="B215" s="209"/>
      <c r="C215" s="209"/>
      <c r="D215" s="211"/>
      <c r="E215" s="211"/>
      <c r="F215" s="210"/>
      <c r="G215" s="209"/>
      <c r="H215" s="209"/>
      <c r="I215" s="211"/>
      <c r="J215" s="211"/>
    </row>
    <row r="216" spans="1:10" ht="12.75" customHeight="1" x14ac:dyDescent="0.2">
      <c r="A216" s="209"/>
      <c r="B216" s="209"/>
      <c r="C216" s="209"/>
      <c r="D216" s="211"/>
      <c r="E216" s="211"/>
      <c r="F216" s="211"/>
      <c r="G216" s="209"/>
      <c r="H216" s="209"/>
      <c r="I216" s="211"/>
      <c r="J216" s="211"/>
    </row>
    <row r="217" spans="1:10" ht="12.75" customHeight="1" x14ac:dyDescent="0.2">
      <c r="A217" s="209"/>
      <c r="B217" s="209"/>
      <c r="C217" s="209"/>
      <c r="D217" s="211"/>
      <c r="E217" s="211"/>
      <c r="F217" s="210"/>
      <c r="G217" s="209"/>
      <c r="H217" s="209"/>
      <c r="I217" s="211"/>
      <c r="J217" s="211"/>
    </row>
    <row r="218" spans="1:10" ht="12.75" customHeight="1" x14ac:dyDescent="0.2">
      <c r="A218" s="209"/>
      <c r="B218" s="209"/>
      <c r="C218" s="209"/>
      <c r="D218" s="211"/>
      <c r="E218" s="211"/>
      <c r="F218" s="210"/>
      <c r="G218" s="209"/>
      <c r="H218" s="209"/>
      <c r="I218" s="211"/>
      <c r="J218" s="211"/>
    </row>
    <row r="219" spans="1:10" ht="12.75" customHeight="1" x14ac:dyDescent="0.2">
      <c r="A219" s="209"/>
      <c r="B219" s="209"/>
      <c r="C219" s="209"/>
      <c r="D219" s="211"/>
      <c r="E219" s="211"/>
      <c r="F219" s="211"/>
      <c r="G219" s="209"/>
      <c r="H219" s="209"/>
      <c r="I219" s="211"/>
      <c r="J219" s="211"/>
    </row>
    <row r="220" spans="1:10" ht="12.75" customHeight="1" x14ac:dyDescent="0.2">
      <c r="A220" s="209"/>
      <c r="B220" s="209"/>
      <c r="C220" s="209"/>
      <c r="D220" s="211"/>
      <c r="E220" s="211"/>
      <c r="F220" s="210"/>
      <c r="G220" s="209"/>
      <c r="H220" s="209"/>
      <c r="I220" s="211"/>
      <c r="J220" s="211"/>
    </row>
    <row r="221" spans="1:10" ht="12.75" customHeight="1" x14ac:dyDescent="0.2">
      <c r="A221" s="209"/>
      <c r="B221" s="209"/>
      <c r="C221" s="209"/>
      <c r="D221" s="211"/>
      <c r="E221" s="211"/>
      <c r="F221" s="210"/>
      <c r="G221" s="209"/>
      <c r="H221" s="209"/>
      <c r="I221" s="211"/>
      <c r="J221" s="211"/>
    </row>
    <row r="222" spans="1:10" ht="12.75" customHeight="1" x14ac:dyDescent="0.2">
      <c r="A222" s="209"/>
      <c r="B222" s="209"/>
      <c r="C222" s="209"/>
      <c r="D222" s="211"/>
      <c r="E222" s="211"/>
      <c r="F222" s="211"/>
      <c r="G222" s="209"/>
      <c r="H222" s="209"/>
      <c r="I222" s="211"/>
      <c r="J222" s="211"/>
    </row>
    <row r="223" spans="1:10" ht="12.75" customHeight="1" x14ac:dyDescent="0.2">
      <c r="A223" s="209"/>
      <c r="B223" s="209"/>
      <c r="C223" s="209"/>
      <c r="D223" s="211"/>
      <c r="E223" s="211"/>
      <c r="F223" s="210"/>
      <c r="G223" s="209"/>
      <c r="H223" s="209"/>
      <c r="I223" s="211"/>
      <c r="J223" s="211"/>
    </row>
    <row r="224" spans="1:10" ht="12.75" customHeight="1" x14ac:dyDescent="0.2">
      <c r="A224" s="209"/>
      <c r="B224" s="209"/>
      <c r="C224" s="209"/>
      <c r="D224" s="211"/>
      <c r="E224" s="211"/>
      <c r="F224" s="210"/>
      <c r="G224" s="209"/>
      <c r="H224" s="209"/>
      <c r="I224" s="211"/>
      <c r="J224" s="211"/>
    </row>
    <row r="225" spans="1:10" ht="12.75" customHeight="1" x14ac:dyDescent="0.2">
      <c r="A225" s="209"/>
      <c r="B225" s="209"/>
      <c r="C225" s="209"/>
      <c r="D225" s="211"/>
      <c r="E225" s="211"/>
      <c r="F225" s="211"/>
      <c r="G225" s="209"/>
      <c r="H225" s="209"/>
      <c r="I225" s="211"/>
      <c r="J225" s="211"/>
    </row>
    <row r="226" spans="1:10" ht="12.75" customHeight="1" x14ac:dyDescent="0.2">
      <c r="A226" s="209"/>
      <c r="B226" s="209"/>
      <c r="C226" s="209"/>
      <c r="D226" s="211"/>
      <c r="E226" s="211"/>
      <c r="F226" s="210"/>
      <c r="G226" s="209"/>
      <c r="H226" s="209"/>
      <c r="I226" s="211"/>
      <c r="J226" s="211"/>
    </row>
    <row r="227" spans="1:10" ht="12.75" customHeight="1" x14ac:dyDescent="0.2">
      <c r="A227" s="209"/>
      <c r="B227" s="209"/>
      <c r="C227" s="209"/>
      <c r="D227" s="211"/>
      <c r="E227" s="211"/>
      <c r="F227" s="210"/>
      <c r="G227" s="209"/>
      <c r="H227" s="209"/>
      <c r="I227" s="211"/>
      <c r="J227" s="211"/>
    </row>
    <row r="228" spans="1:10" ht="12.75" customHeight="1" x14ac:dyDescent="0.2">
      <c r="A228" s="209"/>
      <c r="B228" s="209"/>
      <c r="C228" s="209"/>
      <c r="D228" s="211"/>
      <c r="E228" s="211"/>
      <c r="F228" s="211"/>
      <c r="G228" s="209"/>
      <c r="H228" s="209"/>
      <c r="I228" s="211"/>
      <c r="J228" s="211"/>
    </row>
    <row r="229" spans="1:10" ht="12.75" customHeight="1" x14ac:dyDescent="0.2">
      <c r="A229" s="209"/>
      <c r="B229" s="209"/>
      <c r="C229" s="209"/>
      <c r="D229" s="211"/>
      <c r="E229" s="211"/>
      <c r="F229" s="210"/>
      <c r="G229" s="209"/>
      <c r="H229" s="209"/>
      <c r="I229" s="211"/>
      <c r="J229" s="211"/>
    </row>
    <row r="230" spans="1:10" ht="12.75" customHeight="1" x14ac:dyDescent="0.2">
      <c r="A230" s="209"/>
      <c r="B230" s="209"/>
      <c r="C230" s="209"/>
      <c r="D230" s="211"/>
      <c r="E230" s="211"/>
      <c r="F230" s="210"/>
      <c r="G230" s="209"/>
      <c r="H230" s="209"/>
      <c r="I230" s="211"/>
      <c r="J230" s="211"/>
    </row>
    <row r="231" spans="1:10" ht="12.75" customHeight="1" x14ac:dyDescent="0.2">
      <c r="A231" s="209"/>
      <c r="B231" s="209"/>
      <c r="C231" s="209"/>
      <c r="D231" s="211"/>
      <c r="E231" s="211"/>
      <c r="F231" s="211"/>
      <c r="G231" s="209"/>
      <c r="H231" s="209"/>
      <c r="I231" s="211"/>
      <c r="J231" s="211"/>
    </row>
    <row r="232" spans="1:10" ht="12.75" customHeight="1" x14ac:dyDescent="0.2">
      <c r="A232" s="209"/>
      <c r="B232" s="209"/>
      <c r="C232" s="209"/>
      <c r="D232" s="211"/>
      <c r="E232" s="211"/>
      <c r="F232" s="210"/>
      <c r="G232" s="209"/>
      <c r="H232" s="209"/>
      <c r="I232" s="211"/>
      <c r="J232" s="211"/>
    </row>
    <row r="233" spans="1:10" ht="12.75" customHeight="1" x14ac:dyDescent="0.2">
      <c r="A233" s="209"/>
      <c r="B233" s="209"/>
      <c r="C233" s="209"/>
      <c r="D233" s="211"/>
      <c r="E233" s="211"/>
      <c r="F233" s="210"/>
      <c r="G233" s="209"/>
      <c r="H233" s="209"/>
      <c r="I233" s="211"/>
      <c r="J233" s="211"/>
    </row>
    <row r="234" spans="1:10" ht="12.75" customHeight="1" x14ac:dyDescent="0.2">
      <c r="A234" s="209"/>
      <c r="B234" s="209"/>
      <c r="C234" s="209"/>
      <c r="D234" s="211"/>
      <c r="E234" s="211"/>
      <c r="F234" s="211"/>
      <c r="G234" s="209"/>
      <c r="H234" s="209"/>
      <c r="I234" s="211"/>
      <c r="J234" s="211"/>
    </row>
    <row r="235" spans="1:10" ht="12.75" customHeight="1" x14ac:dyDescent="0.2">
      <c r="A235" s="209"/>
      <c r="B235" s="209"/>
      <c r="C235" s="209"/>
      <c r="D235" s="211"/>
      <c r="E235" s="211"/>
      <c r="F235" s="210"/>
      <c r="G235" s="209"/>
      <c r="H235" s="209"/>
      <c r="I235" s="211"/>
      <c r="J235" s="211"/>
    </row>
    <row r="236" spans="1:10" ht="12.75" customHeight="1" x14ac:dyDescent="0.2">
      <c r="A236" s="209"/>
      <c r="B236" s="209"/>
      <c r="C236" s="209"/>
      <c r="D236" s="211"/>
      <c r="E236" s="211"/>
      <c r="F236" s="210"/>
      <c r="G236" s="209"/>
      <c r="H236" s="209"/>
      <c r="I236" s="211"/>
      <c r="J236" s="211"/>
    </row>
    <row r="237" spans="1:10" ht="12.75" customHeight="1" x14ac:dyDescent="0.2">
      <c r="A237" s="209"/>
      <c r="B237" s="209"/>
      <c r="C237" s="209"/>
      <c r="D237" s="211"/>
      <c r="E237" s="211"/>
      <c r="F237" s="211"/>
      <c r="G237" s="209"/>
      <c r="H237" s="209"/>
      <c r="I237" s="211"/>
      <c r="J237" s="211"/>
    </row>
    <row r="238" spans="1:10" ht="12.75" customHeight="1" x14ac:dyDescent="0.2">
      <c r="A238" s="209"/>
      <c r="B238" s="209"/>
      <c r="C238" s="209"/>
      <c r="D238" s="211"/>
      <c r="E238" s="211"/>
      <c r="F238" s="210"/>
      <c r="G238" s="209"/>
      <c r="H238" s="209"/>
      <c r="I238" s="211"/>
      <c r="J238" s="211"/>
    </row>
    <row r="239" spans="1:10" ht="12.75" customHeight="1" x14ac:dyDescent="0.2">
      <c r="A239" s="209"/>
      <c r="B239" s="209"/>
      <c r="C239" s="209"/>
      <c r="D239" s="211"/>
      <c r="E239" s="211"/>
      <c r="F239" s="210"/>
      <c r="G239" s="209"/>
      <c r="H239" s="209"/>
      <c r="I239" s="211"/>
      <c r="J239" s="211"/>
    </row>
    <row r="240" spans="1:10" ht="12.75" customHeight="1" x14ac:dyDescent="0.2">
      <c r="A240" s="209"/>
      <c r="B240" s="209"/>
      <c r="C240" s="209"/>
      <c r="D240" s="211"/>
      <c r="E240" s="211"/>
      <c r="F240" s="211"/>
      <c r="G240" s="209"/>
      <c r="H240" s="209"/>
      <c r="I240" s="211"/>
      <c r="J240" s="211"/>
    </row>
    <row r="241" spans="1:10" ht="12.75" customHeight="1" x14ac:dyDescent="0.2">
      <c r="A241" s="209"/>
      <c r="B241" s="209"/>
      <c r="C241" s="209"/>
      <c r="D241" s="211"/>
      <c r="E241" s="211"/>
      <c r="F241" s="210"/>
      <c r="G241" s="209"/>
      <c r="H241" s="209"/>
      <c r="I241" s="211"/>
      <c r="J241" s="211"/>
    </row>
    <row r="242" spans="1:10" ht="12.75" customHeight="1" x14ac:dyDescent="0.2">
      <c r="A242" s="209"/>
      <c r="B242" s="209"/>
      <c r="C242" s="209"/>
      <c r="D242" s="211"/>
      <c r="E242" s="211"/>
      <c r="F242" s="210"/>
      <c r="G242" s="209"/>
      <c r="H242" s="209"/>
      <c r="I242" s="211"/>
      <c r="J242" s="211"/>
    </row>
    <row r="243" spans="1:10" ht="12.75" customHeight="1" x14ac:dyDescent="0.2">
      <c r="A243" s="209"/>
      <c r="B243" s="209"/>
      <c r="C243" s="209"/>
      <c r="D243" s="211"/>
      <c r="E243" s="211"/>
      <c r="F243" s="211"/>
      <c r="G243" s="209"/>
      <c r="H243" s="209"/>
      <c r="I243" s="211"/>
      <c r="J243" s="211"/>
    </row>
    <row r="244" spans="1:10" ht="12.75" customHeight="1" x14ac:dyDescent="0.2">
      <c r="A244" s="209"/>
      <c r="B244" s="209"/>
      <c r="C244" s="209"/>
      <c r="D244" s="211"/>
      <c r="E244" s="211"/>
      <c r="F244" s="210"/>
      <c r="G244" s="209"/>
      <c r="H244" s="209"/>
      <c r="I244" s="211"/>
      <c r="J244" s="211"/>
    </row>
    <row r="245" spans="1:10" ht="12.75" customHeight="1" x14ac:dyDescent="0.2">
      <c r="A245" s="209"/>
      <c r="B245" s="209"/>
      <c r="C245" s="209"/>
      <c r="D245" s="211"/>
      <c r="E245" s="211"/>
      <c r="F245" s="210"/>
      <c r="G245" s="209"/>
      <c r="H245" s="209"/>
      <c r="I245" s="211"/>
      <c r="J245" s="211"/>
    </row>
    <row r="246" spans="1:10" ht="12.75" customHeight="1" x14ac:dyDescent="0.2">
      <c r="A246" s="209"/>
      <c r="B246" s="209"/>
      <c r="C246" s="209"/>
      <c r="D246" s="211"/>
      <c r="E246" s="211"/>
      <c r="F246" s="211"/>
      <c r="G246" s="209"/>
      <c r="H246" s="209"/>
      <c r="I246" s="211"/>
      <c r="J246" s="211"/>
    </row>
    <row r="247" spans="1:10" ht="12.75" customHeight="1" x14ac:dyDescent="0.2">
      <c r="A247" s="209"/>
      <c r="B247" s="209"/>
      <c r="C247" s="209"/>
      <c r="D247" s="211"/>
      <c r="E247" s="211"/>
      <c r="F247" s="210"/>
      <c r="G247" s="209"/>
      <c r="H247" s="209"/>
      <c r="I247" s="211"/>
      <c r="J247" s="211"/>
    </row>
    <row r="248" spans="1:10" ht="12.75" customHeight="1" x14ac:dyDescent="0.2">
      <c r="A248" s="209"/>
      <c r="B248" s="209"/>
      <c r="C248" s="209"/>
      <c r="D248" s="211"/>
      <c r="E248" s="211"/>
      <c r="F248" s="210"/>
      <c r="G248" s="209"/>
      <c r="H248" s="209"/>
      <c r="I248" s="211"/>
      <c r="J248" s="211"/>
    </row>
    <row r="249" spans="1:10" ht="12.75" customHeight="1" x14ac:dyDescent="0.2">
      <c r="A249" s="209"/>
      <c r="B249" s="209"/>
      <c r="C249" s="209"/>
      <c r="D249" s="211"/>
      <c r="E249" s="211"/>
      <c r="F249" s="211"/>
      <c r="G249" s="209"/>
      <c r="H249" s="209"/>
      <c r="I249" s="211"/>
      <c r="J249" s="211"/>
    </row>
    <row r="250" spans="1:10" ht="12.75" customHeight="1" x14ac:dyDescent="0.2">
      <c r="A250" s="209"/>
      <c r="B250" s="209"/>
      <c r="C250" s="209"/>
      <c r="D250" s="211"/>
      <c r="E250" s="211"/>
      <c r="F250" s="210"/>
      <c r="G250" s="209"/>
      <c r="H250" s="209"/>
      <c r="I250" s="211"/>
      <c r="J250" s="211"/>
    </row>
    <row r="251" spans="1:10" ht="12.75" customHeight="1" x14ac:dyDescent="0.2">
      <c r="A251" s="209"/>
      <c r="B251" s="209"/>
      <c r="C251" s="209"/>
      <c r="D251" s="211"/>
      <c r="E251" s="211"/>
      <c r="F251" s="210"/>
      <c r="G251" s="209"/>
      <c r="H251" s="209"/>
      <c r="I251" s="211"/>
      <c r="J251" s="211"/>
    </row>
    <row r="252" spans="1:10" ht="12.75" customHeight="1" x14ac:dyDescent="0.2">
      <c r="A252" s="209"/>
      <c r="B252" s="209"/>
      <c r="C252" s="209"/>
      <c r="D252" s="211"/>
      <c r="E252" s="211"/>
      <c r="F252" s="211"/>
      <c r="G252" s="209"/>
      <c r="H252" s="209"/>
      <c r="I252" s="211"/>
      <c r="J252" s="211"/>
    </row>
    <row r="253" spans="1:10" ht="12.75" customHeight="1" x14ac:dyDescent="0.2">
      <c r="A253" s="209"/>
      <c r="B253" s="209"/>
      <c r="C253" s="209"/>
      <c r="D253" s="211"/>
      <c r="E253" s="211"/>
      <c r="F253" s="210"/>
      <c r="G253" s="209"/>
      <c r="H253" s="209"/>
      <c r="I253" s="211"/>
      <c r="J253" s="211"/>
    </row>
    <row r="254" spans="1:10" ht="12.75" customHeight="1" x14ac:dyDescent="0.2">
      <c r="A254" s="209"/>
      <c r="B254" s="209"/>
      <c r="C254" s="209"/>
      <c r="D254" s="211"/>
      <c r="E254" s="211"/>
      <c r="F254" s="210"/>
      <c r="G254" s="209"/>
      <c r="H254" s="209"/>
      <c r="I254" s="211"/>
      <c r="J254" s="211"/>
    </row>
    <row r="255" spans="1:10" ht="12.75" customHeight="1" x14ac:dyDescent="0.2">
      <c r="A255" s="209"/>
      <c r="B255" s="209"/>
      <c r="C255" s="209"/>
      <c r="D255" s="211"/>
      <c r="E255" s="211"/>
      <c r="F255" s="211"/>
      <c r="G255" s="209"/>
      <c r="H255" s="209"/>
      <c r="I255" s="211"/>
      <c r="J255" s="211"/>
    </row>
    <row r="256" spans="1:10" ht="12.75" customHeight="1" x14ac:dyDescent="0.2">
      <c r="A256" s="209"/>
      <c r="B256" s="209"/>
      <c r="C256" s="209"/>
      <c r="D256" s="211"/>
      <c r="E256" s="211"/>
      <c r="F256" s="210"/>
      <c r="G256" s="209"/>
      <c r="H256" s="209"/>
      <c r="I256" s="211"/>
      <c r="J256" s="211"/>
    </row>
    <row r="257" spans="1:10" ht="12.75" customHeight="1" x14ac:dyDescent="0.2">
      <c r="A257" s="209"/>
      <c r="B257" s="209"/>
      <c r="C257" s="209"/>
      <c r="D257" s="211"/>
      <c r="E257" s="211"/>
      <c r="F257" s="210"/>
      <c r="G257" s="209"/>
      <c r="H257" s="209"/>
      <c r="I257" s="211"/>
      <c r="J257" s="211"/>
    </row>
    <row r="258" spans="1:10" ht="12.75" customHeight="1" x14ac:dyDescent="0.2">
      <c r="A258" s="209"/>
      <c r="B258" s="209"/>
      <c r="C258" s="209"/>
      <c r="D258" s="211"/>
      <c r="E258" s="211"/>
      <c r="F258" s="211"/>
      <c r="G258" s="209"/>
      <c r="H258" s="209"/>
      <c r="I258" s="211"/>
      <c r="J258" s="211"/>
    </row>
    <row r="259" spans="1:10" ht="12.75" customHeight="1" x14ac:dyDescent="0.2">
      <c r="A259" s="209"/>
      <c r="B259" s="209"/>
      <c r="C259" s="209"/>
      <c r="D259" s="211"/>
      <c r="E259" s="211"/>
      <c r="F259" s="210"/>
      <c r="G259" s="209"/>
      <c r="H259" s="209"/>
      <c r="I259" s="211"/>
      <c r="J259" s="211"/>
    </row>
    <row r="260" spans="1:10" ht="12.75" customHeight="1" x14ac:dyDescent="0.2">
      <c r="A260" s="209"/>
      <c r="B260" s="209"/>
      <c r="C260" s="209"/>
      <c r="D260" s="211"/>
      <c r="E260" s="211"/>
      <c r="F260" s="210"/>
      <c r="G260" s="209"/>
      <c r="H260" s="209"/>
      <c r="I260" s="211"/>
      <c r="J260" s="211"/>
    </row>
    <row r="261" spans="1:10" ht="12.75" customHeight="1" x14ac:dyDescent="0.2">
      <c r="A261" s="209"/>
      <c r="B261" s="209"/>
      <c r="C261" s="209"/>
      <c r="D261" s="211"/>
      <c r="E261" s="211"/>
      <c r="F261" s="211"/>
      <c r="G261" s="209"/>
      <c r="H261" s="209"/>
      <c r="I261" s="211"/>
      <c r="J261" s="211"/>
    </row>
    <row r="262" spans="1:10" ht="12.75" customHeight="1" x14ac:dyDescent="0.2">
      <c r="A262" s="209"/>
      <c r="B262" s="209"/>
      <c r="C262" s="209"/>
      <c r="D262" s="211"/>
      <c r="E262" s="211"/>
      <c r="F262" s="210"/>
      <c r="G262" s="209"/>
      <c r="H262" s="209"/>
      <c r="I262" s="211"/>
      <c r="J262" s="211"/>
    </row>
    <row r="263" spans="1:10" ht="12.75" customHeight="1" x14ac:dyDescent="0.2">
      <c r="A263" s="209"/>
      <c r="B263" s="209"/>
      <c r="C263" s="209"/>
      <c r="D263" s="211"/>
      <c r="E263" s="211"/>
      <c r="F263" s="210"/>
      <c r="G263" s="209"/>
      <c r="H263" s="209"/>
      <c r="I263" s="211"/>
      <c r="J263" s="211"/>
    </row>
    <row r="264" spans="1:10" ht="12.75" customHeight="1" x14ac:dyDescent="0.2">
      <c r="A264" s="209"/>
      <c r="B264" s="209"/>
      <c r="C264" s="209"/>
      <c r="D264" s="211"/>
      <c r="E264" s="211"/>
      <c r="F264" s="211"/>
      <c r="G264" s="209"/>
      <c r="H264" s="209"/>
      <c r="I264" s="211"/>
      <c r="J264" s="211"/>
    </row>
    <row r="265" spans="1:10" ht="12.75" customHeight="1" x14ac:dyDescent="0.2">
      <c r="A265" s="209"/>
      <c r="B265" s="209"/>
      <c r="C265" s="209"/>
      <c r="D265" s="211"/>
      <c r="E265" s="211"/>
      <c r="F265" s="210"/>
      <c r="G265" s="209"/>
      <c r="H265" s="209"/>
      <c r="I265" s="211"/>
      <c r="J265" s="211"/>
    </row>
    <row r="266" spans="1:10" ht="12.75" customHeight="1" x14ac:dyDescent="0.2">
      <c r="A266" s="209"/>
      <c r="B266" s="209"/>
      <c r="C266" s="209"/>
      <c r="D266" s="211"/>
      <c r="E266" s="211"/>
      <c r="F266" s="210"/>
      <c r="G266" s="209"/>
      <c r="H266" s="209"/>
      <c r="I266" s="211"/>
      <c r="J266" s="211"/>
    </row>
    <row r="267" spans="1:10" ht="12.75" customHeight="1" x14ac:dyDescent="0.2">
      <c r="A267" s="209"/>
      <c r="B267" s="209"/>
      <c r="C267" s="209"/>
      <c r="D267" s="211"/>
      <c r="E267" s="211"/>
      <c r="F267" s="211"/>
      <c r="G267" s="209"/>
      <c r="H267" s="209"/>
      <c r="I267" s="211"/>
      <c r="J267" s="211"/>
    </row>
    <row r="268" spans="1:10" ht="12.75" customHeight="1" x14ac:dyDescent="0.2">
      <c r="A268" s="209"/>
      <c r="B268" s="209"/>
      <c r="C268" s="209"/>
      <c r="D268" s="211"/>
      <c r="E268" s="211"/>
      <c r="F268" s="210"/>
      <c r="G268" s="209"/>
      <c r="H268" s="209"/>
      <c r="I268" s="211"/>
      <c r="J268" s="211"/>
    </row>
    <row r="269" spans="1:10" ht="12.75" customHeight="1" x14ac:dyDescent="0.2">
      <c r="A269" s="209"/>
      <c r="B269" s="209"/>
      <c r="C269" s="209"/>
      <c r="D269" s="211"/>
      <c r="E269" s="211"/>
      <c r="F269" s="210"/>
      <c r="G269" s="209"/>
      <c r="H269" s="209"/>
      <c r="I269" s="211"/>
      <c r="J269" s="211"/>
    </row>
    <row r="270" spans="1:10" ht="12.75" customHeight="1" x14ac:dyDescent="0.2">
      <c r="A270" s="209"/>
      <c r="B270" s="209"/>
      <c r="C270" s="209"/>
      <c r="D270" s="211"/>
      <c r="E270" s="211"/>
      <c r="F270" s="211"/>
      <c r="G270" s="209"/>
      <c r="H270" s="209"/>
      <c r="I270" s="211"/>
      <c r="J270" s="211"/>
    </row>
    <row r="271" spans="1:10" ht="12.75" customHeight="1" x14ac:dyDescent="0.2">
      <c r="A271" s="209"/>
      <c r="B271" s="209"/>
      <c r="C271" s="209"/>
      <c r="D271" s="211"/>
      <c r="E271" s="211"/>
      <c r="F271" s="210"/>
      <c r="G271" s="209"/>
      <c r="H271" s="209"/>
      <c r="I271" s="211"/>
      <c r="J271" s="211"/>
    </row>
    <row r="272" spans="1:10" ht="12.75" customHeight="1" x14ac:dyDescent="0.2">
      <c r="A272" s="209"/>
      <c r="B272" s="209"/>
      <c r="C272" s="209"/>
      <c r="D272" s="211"/>
      <c r="E272" s="211"/>
      <c r="F272" s="210"/>
      <c r="G272" s="209"/>
      <c r="H272" s="209"/>
      <c r="I272" s="211"/>
      <c r="J272" s="211"/>
    </row>
    <row r="273" spans="1:10" ht="12.75" customHeight="1" x14ac:dyDescent="0.2">
      <c r="A273" s="209"/>
      <c r="B273" s="209"/>
      <c r="C273" s="209"/>
      <c r="D273" s="211"/>
      <c r="E273" s="211"/>
      <c r="F273" s="211"/>
      <c r="G273" s="209"/>
      <c r="H273" s="209"/>
      <c r="I273" s="211"/>
      <c r="J273" s="211"/>
    </row>
    <row r="274" spans="1:10" ht="12.75" customHeight="1" x14ac:dyDescent="0.2">
      <c r="A274" s="209"/>
      <c r="B274" s="209"/>
      <c r="C274" s="209"/>
      <c r="D274" s="211"/>
      <c r="E274" s="211"/>
      <c r="F274" s="210"/>
      <c r="G274" s="209"/>
      <c r="H274" s="209"/>
      <c r="I274" s="211"/>
      <c r="J274" s="211"/>
    </row>
    <row r="275" spans="1:10" ht="12.75" customHeight="1" x14ac:dyDescent="0.2">
      <c r="A275" s="209"/>
      <c r="B275" s="209"/>
      <c r="C275" s="209"/>
      <c r="D275" s="211"/>
      <c r="E275" s="211"/>
      <c r="F275" s="210"/>
      <c r="G275" s="209"/>
      <c r="H275" s="209"/>
      <c r="I275" s="211"/>
      <c r="J275" s="211"/>
    </row>
    <row r="276" spans="1:10" ht="12.75" customHeight="1" x14ac:dyDescent="0.2">
      <c r="A276" s="209"/>
      <c r="B276" s="209"/>
      <c r="C276" s="209"/>
      <c r="D276" s="211"/>
      <c r="E276" s="211"/>
      <c r="F276" s="211"/>
      <c r="G276" s="209"/>
      <c r="H276" s="209"/>
      <c r="I276" s="211"/>
      <c r="J276" s="211"/>
    </row>
    <row r="277" spans="1:10" ht="12.75" customHeight="1" x14ac:dyDescent="0.2">
      <c r="A277" s="209"/>
      <c r="B277" s="209"/>
      <c r="C277" s="209"/>
      <c r="D277" s="211"/>
      <c r="E277" s="211"/>
      <c r="F277" s="210"/>
      <c r="G277" s="209"/>
      <c r="H277" s="209"/>
      <c r="I277" s="211"/>
      <c r="J277" s="211"/>
    </row>
    <row r="278" spans="1:10" ht="12.75" customHeight="1" x14ac:dyDescent="0.2">
      <c r="A278" s="209"/>
      <c r="B278" s="209"/>
      <c r="C278" s="209"/>
      <c r="D278" s="211"/>
      <c r="E278" s="211"/>
      <c r="F278" s="210"/>
      <c r="G278" s="209"/>
      <c r="H278" s="209"/>
      <c r="I278" s="211"/>
      <c r="J278" s="211"/>
    </row>
    <row r="279" spans="1:10" ht="12.75" customHeight="1" x14ac:dyDescent="0.2">
      <c r="A279" s="209"/>
      <c r="B279" s="209"/>
      <c r="C279" s="209"/>
      <c r="D279" s="211"/>
      <c r="E279" s="211"/>
      <c r="F279" s="211"/>
      <c r="G279" s="209"/>
      <c r="H279" s="209"/>
      <c r="I279" s="211"/>
      <c r="J279" s="211"/>
    </row>
    <row r="280" spans="1:10" ht="12.75" customHeight="1" x14ac:dyDescent="0.2">
      <c r="A280" s="209"/>
      <c r="B280" s="209"/>
      <c r="C280" s="209"/>
      <c r="D280" s="211"/>
      <c r="E280" s="211"/>
      <c r="F280" s="210"/>
      <c r="G280" s="209"/>
      <c r="H280" s="209"/>
      <c r="I280" s="211"/>
      <c r="J280" s="211"/>
    </row>
    <row r="281" spans="1:10" ht="12.75" customHeight="1" x14ac:dyDescent="0.2">
      <c r="A281" s="209"/>
      <c r="B281" s="209"/>
      <c r="C281" s="209"/>
      <c r="D281" s="211"/>
      <c r="E281" s="211"/>
      <c r="F281" s="210"/>
      <c r="G281" s="209"/>
      <c r="H281" s="209"/>
      <c r="I281" s="211"/>
      <c r="J281" s="211"/>
    </row>
    <row r="282" spans="1:10" ht="12.75" customHeight="1" x14ac:dyDescent="0.2">
      <c r="A282" s="209"/>
      <c r="B282" s="209"/>
      <c r="C282" s="209"/>
      <c r="D282" s="211"/>
      <c r="E282" s="211"/>
      <c r="F282" s="211"/>
      <c r="G282" s="209"/>
      <c r="H282" s="209"/>
      <c r="I282" s="211"/>
      <c r="J282" s="211"/>
    </row>
    <row r="283" spans="1:10" ht="12.75" customHeight="1" x14ac:dyDescent="0.2">
      <c r="A283" s="209"/>
      <c r="B283" s="209"/>
      <c r="C283" s="209"/>
      <c r="D283" s="211"/>
      <c r="E283" s="211"/>
      <c r="F283" s="210"/>
      <c r="G283" s="209"/>
      <c r="H283" s="209"/>
      <c r="I283" s="211"/>
      <c r="J283" s="211"/>
    </row>
    <row r="284" spans="1:10" ht="12.75" customHeight="1" x14ac:dyDescent="0.2">
      <c r="A284" s="209"/>
      <c r="B284" s="209"/>
      <c r="C284" s="209"/>
      <c r="D284" s="211"/>
      <c r="E284" s="211"/>
      <c r="F284" s="210"/>
      <c r="G284" s="209"/>
      <c r="H284" s="209"/>
      <c r="I284" s="211"/>
      <c r="J284" s="211"/>
    </row>
    <row r="285" spans="1:10" ht="12.75" customHeight="1" x14ac:dyDescent="0.2">
      <c r="A285" s="209"/>
      <c r="B285" s="209"/>
      <c r="C285" s="209"/>
      <c r="D285" s="211"/>
      <c r="E285" s="211"/>
      <c r="F285" s="211"/>
      <c r="G285" s="209"/>
      <c r="H285" s="209"/>
      <c r="I285" s="211"/>
      <c r="J285" s="211"/>
    </row>
    <row r="286" spans="1:10" ht="12.75" customHeight="1" x14ac:dyDescent="0.2">
      <c r="A286" s="209"/>
      <c r="B286" s="209"/>
      <c r="C286" s="209"/>
      <c r="D286" s="211"/>
      <c r="E286" s="211"/>
      <c r="F286" s="210"/>
      <c r="G286" s="209"/>
      <c r="H286" s="209"/>
      <c r="I286" s="211"/>
      <c r="J286" s="211"/>
    </row>
    <row r="287" spans="1:10" ht="12.75" customHeight="1" x14ac:dyDescent="0.2">
      <c r="A287" s="209"/>
      <c r="B287" s="209"/>
      <c r="C287" s="209"/>
      <c r="D287" s="211"/>
      <c r="E287" s="211"/>
      <c r="F287" s="210"/>
      <c r="G287" s="209"/>
      <c r="H287" s="209"/>
      <c r="I287" s="211"/>
      <c r="J287" s="211"/>
    </row>
    <row r="288" spans="1:10" ht="12.75" customHeight="1" x14ac:dyDescent="0.2">
      <c r="A288" s="209"/>
      <c r="B288" s="209"/>
      <c r="C288" s="209"/>
      <c r="D288" s="211"/>
      <c r="E288" s="211"/>
      <c r="F288" s="211"/>
      <c r="G288" s="209"/>
      <c r="H288" s="209"/>
      <c r="I288" s="211"/>
      <c r="J288" s="211"/>
    </row>
    <row r="289" spans="1:10" ht="12.75" customHeight="1" x14ac:dyDescent="0.2">
      <c r="A289" s="209"/>
      <c r="B289" s="209"/>
      <c r="C289" s="209"/>
      <c r="D289" s="211"/>
      <c r="E289" s="211"/>
      <c r="F289" s="210"/>
      <c r="G289" s="209"/>
      <c r="H289" s="209"/>
      <c r="I289" s="211"/>
      <c r="J289" s="211"/>
    </row>
    <row r="290" spans="1:10" ht="12.75" customHeight="1" x14ac:dyDescent="0.2">
      <c r="A290" s="209"/>
      <c r="B290" s="209"/>
      <c r="C290" s="209"/>
      <c r="D290" s="211"/>
      <c r="E290" s="211"/>
      <c r="F290" s="210"/>
      <c r="G290" s="209"/>
      <c r="H290" s="209"/>
      <c r="I290" s="211"/>
      <c r="J290" s="211"/>
    </row>
    <row r="291" spans="1:10" ht="12.75" customHeight="1" x14ac:dyDescent="0.2">
      <c r="A291" s="209"/>
      <c r="B291" s="209"/>
      <c r="C291" s="209"/>
      <c r="D291" s="211"/>
      <c r="E291" s="211"/>
      <c r="F291" s="211"/>
      <c r="G291" s="209"/>
      <c r="H291" s="209"/>
      <c r="I291" s="211"/>
      <c r="J291" s="211"/>
    </row>
    <row r="292" spans="1:10" ht="12.75" customHeight="1" x14ac:dyDescent="0.2">
      <c r="A292" s="209"/>
      <c r="B292" s="209"/>
      <c r="C292" s="209"/>
      <c r="D292" s="211"/>
      <c r="E292" s="211"/>
      <c r="F292" s="210"/>
      <c r="G292" s="209"/>
      <c r="H292" s="209"/>
      <c r="I292" s="211"/>
      <c r="J292" s="211"/>
    </row>
    <row r="293" spans="1:10" ht="12.75" customHeight="1" x14ac:dyDescent="0.2">
      <c r="A293" s="209"/>
      <c r="B293" s="209"/>
      <c r="C293" s="209"/>
      <c r="D293" s="211"/>
      <c r="E293" s="211"/>
      <c r="F293" s="210"/>
      <c r="G293" s="209"/>
      <c r="H293" s="209"/>
      <c r="I293" s="211"/>
      <c r="J293" s="211"/>
    </row>
    <row r="294" spans="1:10" ht="12.75" customHeight="1" x14ac:dyDescent="0.2">
      <c r="A294" s="209"/>
      <c r="B294" s="209"/>
      <c r="C294" s="209"/>
      <c r="D294" s="211"/>
      <c r="E294" s="211"/>
      <c r="F294" s="211"/>
      <c r="G294" s="209"/>
      <c r="H294" s="209"/>
      <c r="I294" s="211"/>
      <c r="J294" s="211"/>
    </row>
    <row r="295" spans="1:10" ht="12.75" customHeight="1" x14ac:dyDescent="0.2">
      <c r="A295" s="209"/>
      <c r="B295" s="209"/>
      <c r="C295" s="209"/>
      <c r="D295" s="211"/>
      <c r="E295" s="211"/>
      <c r="F295" s="210"/>
      <c r="G295" s="209"/>
      <c r="H295" s="209"/>
      <c r="I295" s="211"/>
      <c r="J295" s="211"/>
    </row>
    <row r="296" spans="1:10" ht="12.75" customHeight="1" x14ac:dyDescent="0.2">
      <c r="A296" s="209"/>
      <c r="B296" s="209"/>
      <c r="C296" s="209"/>
      <c r="D296" s="211"/>
      <c r="E296" s="211"/>
      <c r="F296" s="210"/>
      <c r="G296" s="209"/>
      <c r="H296" s="209"/>
      <c r="I296" s="211"/>
      <c r="J296" s="211"/>
    </row>
    <row r="297" spans="1:10" ht="12.75" customHeight="1" x14ac:dyDescent="0.2">
      <c r="A297" s="209"/>
      <c r="B297" s="209"/>
      <c r="C297" s="209"/>
      <c r="D297" s="211"/>
      <c r="E297" s="211"/>
      <c r="F297" s="211"/>
      <c r="G297" s="209"/>
      <c r="H297" s="209"/>
      <c r="I297" s="211"/>
      <c r="J297" s="211"/>
    </row>
    <row r="298" spans="1:10" ht="12.75" customHeight="1" x14ac:dyDescent="0.2">
      <c r="A298" s="209"/>
      <c r="B298" s="209"/>
      <c r="C298" s="209"/>
      <c r="D298" s="211"/>
      <c r="E298" s="211"/>
      <c r="F298" s="210"/>
      <c r="G298" s="209"/>
      <c r="H298" s="209"/>
      <c r="I298" s="211"/>
      <c r="J298" s="211"/>
    </row>
    <row r="299" spans="1:10" ht="12.75" customHeight="1" x14ac:dyDescent="0.2">
      <c r="A299" s="209"/>
      <c r="B299" s="209"/>
      <c r="C299" s="209"/>
      <c r="D299" s="211"/>
      <c r="E299" s="211"/>
      <c r="F299" s="210"/>
      <c r="G299" s="209"/>
      <c r="H299" s="209"/>
      <c r="I299" s="211"/>
      <c r="J299" s="211"/>
    </row>
    <row r="300" spans="1:10" ht="12.75" customHeight="1" x14ac:dyDescent="0.2">
      <c r="A300" s="209"/>
      <c r="B300" s="209"/>
      <c r="C300" s="209"/>
      <c r="D300" s="211"/>
      <c r="E300" s="211"/>
      <c r="F300" s="211"/>
      <c r="G300" s="209"/>
      <c r="H300" s="209"/>
      <c r="I300" s="211"/>
      <c r="J300" s="211"/>
    </row>
    <row r="301" spans="1:10" ht="12.75" customHeight="1" x14ac:dyDescent="0.2">
      <c r="A301" s="209"/>
      <c r="B301" s="209"/>
      <c r="C301" s="209"/>
      <c r="D301" s="211"/>
      <c r="E301" s="211"/>
      <c r="F301" s="210"/>
      <c r="G301" s="209"/>
      <c r="H301" s="209"/>
      <c r="I301" s="211"/>
      <c r="J301" s="211"/>
    </row>
    <row r="302" spans="1:10" ht="12.75" customHeight="1" x14ac:dyDescent="0.2">
      <c r="A302" s="209"/>
      <c r="B302" s="209"/>
      <c r="C302" s="209"/>
      <c r="D302" s="211"/>
      <c r="E302" s="211"/>
      <c r="F302" s="210"/>
      <c r="G302" s="209"/>
      <c r="H302" s="209"/>
      <c r="I302" s="211"/>
      <c r="J302" s="211"/>
    </row>
    <row r="303" spans="1:10" ht="12.75" customHeight="1" x14ac:dyDescent="0.2">
      <c r="A303" s="209"/>
      <c r="B303" s="209"/>
      <c r="C303" s="209"/>
      <c r="D303" s="211"/>
      <c r="E303" s="211"/>
      <c r="F303" s="211"/>
      <c r="G303" s="209"/>
      <c r="H303" s="209"/>
      <c r="I303" s="211"/>
      <c r="J303" s="211"/>
    </row>
    <row r="304" spans="1:10" ht="12.75" customHeight="1" x14ac:dyDescent="0.2">
      <c r="A304" s="209"/>
      <c r="B304" s="209"/>
      <c r="C304" s="209"/>
      <c r="D304" s="211"/>
      <c r="E304" s="211"/>
      <c r="F304" s="210"/>
      <c r="G304" s="209"/>
      <c r="H304" s="209"/>
      <c r="I304" s="211"/>
      <c r="J304" s="211"/>
    </row>
    <row r="305" spans="1:10" ht="12.75" customHeight="1" x14ac:dyDescent="0.2">
      <c r="A305" s="209"/>
      <c r="B305" s="209"/>
      <c r="C305" s="209"/>
      <c r="D305" s="211"/>
      <c r="E305" s="211"/>
      <c r="F305" s="210"/>
      <c r="G305" s="209"/>
      <c r="H305" s="209"/>
      <c r="I305" s="211"/>
      <c r="J305" s="211"/>
    </row>
    <row r="306" spans="1:10" ht="12.75" customHeight="1" x14ac:dyDescent="0.2">
      <c r="A306" s="209"/>
      <c r="B306" s="209"/>
      <c r="C306" s="209"/>
      <c r="D306" s="211"/>
      <c r="E306" s="211"/>
      <c r="F306" s="211"/>
      <c r="G306" s="209"/>
      <c r="H306" s="209"/>
      <c r="I306" s="211"/>
      <c r="J306" s="211"/>
    </row>
    <row r="307" spans="1:10" ht="12.75" customHeight="1" x14ac:dyDescent="0.2">
      <c r="A307" s="209"/>
      <c r="B307" s="209"/>
      <c r="C307" s="209"/>
      <c r="D307" s="211"/>
      <c r="E307" s="211"/>
      <c r="F307" s="210"/>
      <c r="G307" s="209"/>
      <c r="H307" s="209"/>
      <c r="I307" s="211"/>
      <c r="J307" s="211"/>
    </row>
    <row r="308" spans="1:10" ht="12.75" customHeight="1" x14ac:dyDescent="0.2">
      <c r="A308" s="209"/>
      <c r="B308" s="209"/>
      <c r="C308" s="209"/>
      <c r="D308" s="211"/>
      <c r="E308" s="211"/>
      <c r="F308" s="210"/>
      <c r="G308" s="209"/>
      <c r="H308" s="209"/>
      <c r="I308" s="211"/>
      <c r="J308" s="211"/>
    </row>
    <row r="309" spans="1:10" ht="12.75" customHeight="1" x14ac:dyDescent="0.2">
      <c r="A309" s="209"/>
      <c r="B309" s="209"/>
      <c r="C309" s="209"/>
      <c r="D309" s="211"/>
      <c r="E309" s="211"/>
      <c r="F309" s="211"/>
      <c r="G309" s="209"/>
      <c r="H309" s="209"/>
      <c r="I309" s="211"/>
      <c r="J309" s="211"/>
    </row>
    <row r="310" spans="1:10" ht="12.75" customHeight="1" x14ac:dyDescent="0.2">
      <c r="A310" s="209"/>
      <c r="B310" s="209"/>
      <c r="C310" s="209"/>
      <c r="D310" s="211"/>
      <c r="E310" s="211"/>
      <c r="F310" s="210"/>
      <c r="G310" s="209"/>
      <c r="H310" s="209"/>
      <c r="I310" s="211"/>
      <c r="J310" s="211"/>
    </row>
    <row r="311" spans="1:10" ht="12.75" customHeight="1" x14ac:dyDescent="0.2">
      <c r="A311" s="209"/>
      <c r="B311" s="209"/>
      <c r="C311" s="209"/>
      <c r="D311" s="211"/>
      <c r="E311" s="211"/>
      <c r="F311" s="210"/>
      <c r="G311" s="209"/>
      <c r="H311" s="209"/>
      <c r="I311" s="211"/>
      <c r="J311" s="211"/>
    </row>
    <row r="312" spans="1:10" ht="12.75" customHeight="1" x14ac:dyDescent="0.2">
      <c r="A312" s="209"/>
      <c r="B312" s="209"/>
      <c r="C312" s="209"/>
      <c r="D312" s="211"/>
      <c r="E312" s="211"/>
      <c r="F312" s="211"/>
      <c r="G312" s="209"/>
      <c r="H312" s="209"/>
      <c r="I312" s="211"/>
      <c r="J312" s="211"/>
    </row>
    <row r="313" spans="1:10" ht="12.75" customHeight="1" x14ac:dyDescent="0.2">
      <c r="A313" s="209"/>
      <c r="B313" s="209"/>
      <c r="C313" s="209"/>
      <c r="D313" s="211"/>
      <c r="E313" s="211"/>
      <c r="F313" s="210"/>
      <c r="G313" s="209"/>
      <c r="H313" s="209"/>
      <c r="I313" s="211"/>
      <c r="J313" s="211"/>
    </row>
    <row r="314" spans="1:10" ht="12.75" customHeight="1" x14ac:dyDescent="0.2">
      <c r="A314" s="209"/>
      <c r="B314" s="209"/>
      <c r="C314" s="209"/>
      <c r="D314" s="211"/>
      <c r="E314" s="211"/>
      <c r="F314" s="210"/>
      <c r="G314" s="209"/>
      <c r="H314" s="209"/>
      <c r="I314" s="211"/>
      <c r="J314" s="211"/>
    </row>
    <row r="315" spans="1:10" ht="12.75" customHeight="1" x14ac:dyDescent="0.2">
      <c r="A315" s="209"/>
      <c r="B315" s="209"/>
      <c r="C315" s="209"/>
      <c r="D315" s="211"/>
      <c r="E315" s="211"/>
      <c r="F315" s="211"/>
      <c r="G315" s="209"/>
      <c r="H315" s="209"/>
      <c r="I315" s="211"/>
      <c r="J315" s="211"/>
    </row>
    <row r="316" spans="1:10" x14ac:dyDescent="0.2">
      <c r="A316" s="209"/>
      <c r="B316" s="209"/>
      <c r="C316" s="209"/>
      <c r="D316" s="211"/>
      <c r="E316" s="211"/>
      <c r="F316" s="210"/>
      <c r="G316" s="209"/>
      <c r="H316" s="209"/>
      <c r="I316" s="211"/>
      <c r="J316" s="211"/>
    </row>
    <row r="317" spans="1:10" x14ac:dyDescent="0.2">
      <c r="A317" s="209"/>
      <c r="B317" s="209"/>
      <c r="C317" s="209"/>
      <c r="D317" s="211"/>
      <c r="E317" s="211"/>
      <c r="F317" s="210"/>
      <c r="G317" s="209"/>
      <c r="H317" s="209"/>
      <c r="I317" s="211"/>
      <c r="J317" s="211"/>
    </row>
    <row r="318" spans="1:10" x14ac:dyDescent="0.2">
      <c r="A318" s="209"/>
      <c r="B318" s="209"/>
      <c r="C318" s="209"/>
      <c r="D318" s="211"/>
      <c r="E318" s="211"/>
      <c r="F318" s="211"/>
      <c r="G318" s="209"/>
      <c r="H318" s="209"/>
      <c r="I318" s="211"/>
      <c r="J318" s="211"/>
    </row>
    <row r="319" spans="1:10" x14ac:dyDescent="0.2">
      <c r="A319" s="209"/>
      <c r="B319" s="209"/>
      <c r="C319" s="209"/>
      <c r="D319" s="211"/>
      <c r="E319" s="211"/>
      <c r="F319" s="210"/>
      <c r="G319" s="209"/>
      <c r="H319" s="209"/>
      <c r="I319" s="211"/>
      <c r="J319" s="211"/>
    </row>
    <row r="320" spans="1:10" x14ac:dyDescent="0.2">
      <c r="A320" s="209"/>
      <c r="B320" s="209"/>
      <c r="C320" s="209"/>
      <c r="D320" s="211"/>
      <c r="E320" s="211"/>
      <c r="F320" s="210"/>
      <c r="G320" s="209"/>
      <c r="H320" s="209"/>
      <c r="I320" s="211"/>
      <c r="J320" s="211"/>
    </row>
    <row r="321" spans="1:10" ht="12.75" customHeight="1" x14ac:dyDescent="0.2">
      <c r="A321" s="209"/>
      <c r="B321" s="209"/>
      <c r="C321" s="209"/>
      <c r="D321" s="211"/>
      <c r="E321" s="211"/>
      <c r="F321" s="211"/>
      <c r="G321" s="209"/>
      <c r="H321" s="209"/>
      <c r="I321" s="211"/>
      <c r="J321" s="211"/>
    </row>
    <row r="322" spans="1:10" ht="12.75" customHeight="1" x14ac:dyDescent="0.2">
      <c r="A322" s="209"/>
      <c r="B322" s="209"/>
      <c r="C322" s="209"/>
      <c r="D322" s="211"/>
      <c r="E322" s="211"/>
      <c r="F322" s="210"/>
      <c r="G322" s="209"/>
      <c r="H322" s="209"/>
      <c r="I322" s="211"/>
      <c r="J322" s="211"/>
    </row>
    <row r="323" spans="1:10" x14ac:dyDescent="0.2">
      <c r="A323" s="209"/>
      <c r="B323" s="209"/>
      <c r="C323" s="209"/>
      <c r="D323" s="211"/>
      <c r="E323" s="211"/>
      <c r="F323" s="210"/>
      <c r="G323" s="209"/>
      <c r="H323" s="209"/>
      <c r="I323" s="211"/>
      <c r="J323" s="211"/>
    </row>
    <row r="324" spans="1:10" x14ac:dyDescent="0.2">
      <c r="A324" s="209"/>
      <c r="B324" s="209"/>
      <c r="C324" s="209"/>
      <c r="D324" s="211"/>
      <c r="E324" s="211"/>
      <c r="F324" s="211"/>
      <c r="G324" s="209"/>
      <c r="H324" s="209"/>
      <c r="I324" s="211"/>
      <c r="J324" s="211"/>
    </row>
    <row r="325" spans="1:10" x14ac:dyDescent="0.2">
      <c r="A325" s="209"/>
      <c r="B325" s="209"/>
      <c r="C325" s="209"/>
      <c r="D325" s="211"/>
      <c r="E325" s="211"/>
      <c r="F325" s="210"/>
      <c r="G325" s="209"/>
      <c r="H325" s="209"/>
      <c r="I325" s="211"/>
      <c r="J325" s="211"/>
    </row>
    <row r="326" spans="1:10" x14ac:dyDescent="0.2">
      <c r="A326" s="209"/>
      <c r="B326" s="209"/>
      <c r="C326" s="209"/>
      <c r="D326" s="211"/>
      <c r="E326" s="211"/>
      <c r="F326" s="210"/>
      <c r="G326" s="209"/>
      <c r="H326" s="209"/>
      <c r="I326" s="211"/>
      <c r="J326" s="211"/>
    </row>
    <row r="327" spans="1:10" x14ac:dyDescent="0.2">
      <c r="A327" s="209"/>
      <c r="B327" s="209"/>
      <c r="C327" s="209"/>
      <c r="D327" s="211"/>
      <c r="E327" s="211"/>
      <c r="F327" s="211"/>
      <c r="G327" s="209"/>
      <c r="H327" s="209"/>
      <c r="I327" s="211"/>
      <c r="J327" s="211"/>
    </row>
    <row r="328" spans="1:10" ht="12.75" customHeight="1" x14ac:dyDescent="0.2">
      <c r="A328" s="209"/>
      <c r="B328" s="209"/>
      <c r="C328" s="209"/>
      <c r="D328" s="211"/>
      <c r="E328" s="211"/>
      <c r="F328" s="210"/>
      <c r="G328" s="209"/>
      <c r="H328" s="209"/>
      <c r="I328" s="211"/>
      <c r="J328" s="211"/>
    </row>
    <row r="329" spans="1:10" ht="12.75" customHeight="1" x14ac:dyDescent="0.2">
      <c r="A329" s="209"/>
      <c r="B329" s="209"/>
      <c r="C329" s="209"/>
      <c r="D329" s="211"/>
      <c r="E329" s="211"/>
      <c r="F329" s="210"/>
      <c r="G329" s="209"/>
      <c r="H329" s="209"/>
      <c r="I329" s="211"/>
      <c r="J329" s="211"/>
    </row>
    <row r="330" spans="1:10" x14ac:dyDescent="0.2">
      <c r="A330" s="209"/>
      <c r="B330" s="209"/>
      <c r="C330" s="209"/>
      <c r="D330" s="211"/>
      <c r="E330" s="211"/>
      <c r="F330" s="211"/>
      <c r="G330" s="209"/>
      <c r="H330" s="209"/>
      <c r="I330" s="211"/>
      <c r="J330" s="211"/>
    </row>
    <row r="331" spans="1:10" x14ac:dyDescent="0.2">
      <c r="A331" s="209"/>
      <c r="B331" s="209"/>
      <c r="C331" s="209"/>
      <c r="D331" s="211"/>
      <c r="E331" s="211"/>
      <c r="F331" s="210"/>
      <c r="G331" s="209"/>
      <c r="H331" s="209"/>
      <c r="I331" s="211"/>
      <c r="J331" s="211"/>
    </row>
    <row r="332" spans="1:10" x14ac:dyDescent="0.2">
      <c r="A332" s="209"/>
      <c r="B332" s="209"/>
      <c r="C332" s="209"/>
      <c r="D332" s="211"/>
      <c r="E332" s="211"/>
      <c r="F332" s="210"/>
      <c r="G332" s="209"/>
      <c r="H332" s="209"/>
      <c r="I332" s="211"/>
      <c r="J332" s="211"/>
    </row>
    <row r="333" spans="1:10" x14ac:dyDescent="0.2">
      <c r="A333" s="209"/>
      <c r="B333" s="209"/>
      <c r="C333" s="209"/>
      <c r="D333" s="211"/>
      <c r="E333" s="211"/>
      <c r="F333" s="211"/>
      <c r="G333" s="209"/>
      <c r="H333" s="209"/>
      <c r="I333" s="211"/>
      <c r="J333" s="211"/>
    </row>
    <row r="334" spans="1:10" x14ac:dyDescent="0.2">
      <c r="A334" s="209"/>
      <c r="B334" s="209"/>
      <c r="C334" s="209"/>
      <c r="D334" s="211"/>
      <c r="E334" s="211"/>
      <c r="F334" s="210"/>
      <c r="G334" s="209"/>
      <c r="H334" s="209"/>
      <c r="I334" s="211"/>
      <c r="J334" s="211"/>
    </row>
    <row r="335" spans="1:10" ht="12.75" customHeight="1" x14ac:dyDescent="0.2">
      <c r="A335" s="209"/>
      <c r="B335" s="209"/>
      <c r="C335" s="209"/>
      <c r="D335" s="211"/>
      <c r="E335" s="211"/>
      <c r="F335" s="210"/>
      <c r="G335" s="209"/>
      <c r="H335" s="209"/>
      <c r="I335" s="211"/>
      <c r="J335" s="211"/>
    </row>
    <row r="336" spans="1:10" ht="12.75" customHeight="1" x14ac:dyDescent="0.2">
      <c r="A336" s="209"/>
      <c r="B336" s="209"/>
      <c r="C336" s="209"/>
      <c r="D336" s="211"/>
      <c r="E336" s="211"/>
      <c r="F336" s="211"/>
      <c r="G336" s="209"/>
      <c r="H336" s="209"/>
      <c r="I336" s="211"/>
      <c r="J336" s="211"/>
    </row>
    <row r="337" spans="1:10" x14ac:dyDescent="0.2">
      <c r="A337" s="209"/>
      <c r="B337" s="209"/>
      <c r="C337" s="209"/>
      <c r="D337" s="211"/>
      <c r="E337" s="211"/>
      <c r="F337" s="210"/>
      <c r="G337" s="209"/>
      <c r="H337" s="209"/>
      <c r="I337" s="211"/>
      <c r="J337" s="211"/>
    </row>
    <row r="338" spans="1:10" x14ac:dyDescent="0.2">
      <c r="A338" s="209"/>
      <c r="B338" s="209"/>
      <c r="C338" s="209"/>
      <c r="D338" s="211"/>
      <c r="E338" s="211"/>
      <c r="F338" s="210"/>
      <c r="G338" s="209"/>
      <c r="H338" s="209"/>
      <c r="I338" s="211"/>
      <c r="J338" s="211"/>
    </row>
    <row r="339" spans="1:10" x14ac:dyDescent="0.2">
      <c r="A339" s="209"/>
      <c r="B339" s="209"/>
      <c r="C339" s="209"/>
      <c r="D339" s="211"/>
      <c r="E339" s="211"/>
      <c r="F339" s="211"/>
      <c r="G339" s="209"/>
      <c r="H339" s="209"/>
      <c r="I339" s="211"/>
      <c r="J339" s="211"/>
    </row>
    <row r="340" spans="1:10" x14ac:dyDescent="0.2">
      <c r="A340" s="209"/>
      <c r="B340" s="209"/>
      <c r="C340" s="209"/>
      <c r="D340" s="211"/>
      <c r="E340" s="211"/>
      <c r="F340" s="210"/>
      <c r="G340" s="209"/>
      <c r="H340" s="209"/>
      <c r="I340" s="211"/>
      <c r="J340" s="211"/>
    </row>
    <row r="341" spans="1:10" x14ac:dyDescent="0.2">
      <c r="A341" s="209"/>
      <c r="B341" s="209"/>
      <c r="C341" s="209"/>
      <c r="D341" s="211"/>
      <c r="E341" s="211"/>
      <c r="F341" s="210"/>
      <c r="G341" s="209"/>
      <c r="H341" s="209"/>
      <c r="I341" s="211"/>
      <c r="J341" s="211"/>
    </row>
    <row r="342" spans="1:10" ht="12.75" customHeight="1" x14ac:dyDescent="0.2">
      <c r="A342" s="209"/>
      <c r="B342" s="209"/>
      <c r="C342" s="209"/>
      <c r="D342" s="211"/>
      <c r="E342" s="211"/>
      <c r="F342" s="211"/>
      <c r="G342" s="209"/>
      <c r="H342" s="209"/>
      <c r="I342" s="211"/>
      <c r="J342" s="211"/>
    </row>
    <row r="343" spans="1:10" ht="12.75" customHeight="1" x14ac:dyDescent="0.2">
      <c r="A343" s="209"/>
      <c r="B343" s="209"/>
      <c r="C343" s="209"/>
      <c r="D343" s="211"/>
      <c r="E343" s="211"/>
      <c r="F343" s="210"/>
      <c r="G343" s="209"/>
      <c r="H343" s="209"/>
      <c r="I343" s="211"/>
      <c r="J343" s="211"/>
    </row>
    <row r="344" spans="1:10" x14ac:dyDescent="0.2">
      <c r="A344" s="209"/>
      <c r="B344" s="209"/>
      <c r="C344" s="209"/>
      <c r="D344" s="211"/>
      <c r="E344" s="211"/>
      <c r="F344" s="210"/>
      <c r="G344" s="209"/>
      <c r="H344" s="209"/>
      <c r="I344" s="211"/>
      <c r="J344" s="211"/>
    </row>
    <row r="345" spans="1:10" x14ac:dyDescent="0.2">
      <c r="A345" s="209"/>
      <c r="B345" s="209"/>
      <c r="C345" s="209"/>
      <c r="D345" s="211"/>
      <c r="E345" s="211"/>
      <c r="F345" s="211"/>
      <c r="G345" s="209"/>
      <c r="H345" s="209"/>
      <c r="I345" s="211"/>
      <c r="J345" s="211"/>
    </row>
    <row r="346" spans="1:10" x14ac:dyDescent="0.2">
      <c r="A346" s="209"/>
      <c r="B346" s="209"/>
      <c r="C346" s="209"/>
      <c r="D346" s="211"/>
      <c r="E346" s="211"/>
      <c r="F346" s="210"/>
      <c r="G346" s="209"/>
      <c r="H346" s="209"/>
      <c r="I346" s="211"/>
      <c r="J346" s="211"/>
    </row>
    <row r="347" spans="1:10" x14ac:dyDescent="0.2">
      <c r="A347" s="209"/>
      <c r="B347" s="209"/>
      <c r="C347" s="209"/>
      <c r="D347" s="211"/>
      <c r="E347" s="211"/>
      <c r="F347" s="210"/>
      <c r="G347" s="209"/>
      <c r="H347" s="209"/>
      <c r="I347" s="211"/>
      <c r="J347" s="211"/>
    </row>
    <row r="348" spans="1:10" x14ac:dyDescent="0.2">
      <c r="A348" s="209"/>
      <c r="B348" s="209"/>
      <c r="C348" s="209"/>
      <c r="D348" s="211"/>
      <c r="E348" s="211"/>
      <c r="F348" s="211"/>
      <c r="G348" s="209"/>
      <c r="H348" s="209"/>
      <c r="I348" s="211"/>
      <c r="J348" s="211"/>
    </row>
    <row r="349" spans="1:10" ht="12.75" customHeight="1" x14ac:dyDescent="0.2">
      <c r="A349" s="209"/>
      <c r="B349" s="209"/>
      <c r="C349" s="209"/>
      <c r="D349" s="211"/>
      <c r="E349" s="211"/>
      <c r="F349" s="210"/>
      <c r="G349" s="209"/>
      <c r="H349" s="209"/>
      <c r="I349" s="211"/>
      <c r="J349" s="211"/>
    </row>
    <row r="350" spans="1:10" ht="12.75" customHeight="1" x14ac:dyDescent="0.2">
      <c r="A350" s="209"/>
      <c r="B350" s="209"/>
      <c r="C350" s="209"/>
      <c r="D350" s="211"/>
      <c r="E350" s="211"/>
      <c r="F350" s="210"/>
      <c r="G350" s="209"/>
      <c r="H350" s="209"/>
      <c r="I350" s="211"/>
      <c r="J350" s="211"/>
    </row>
    <row r="351" spans="1:10" x14ac:dyDescent="0.2">
      <c r="A351" s="209"/>
      <c r="B351" s="209"/>
      <c r="C351" s="209"/>
      <c r="D351" s="211"/>
      <c r="E351" s="211"/>
      <c r="F351" s="211"/>
      <c r="G351" s="209"/>
      <c r="H351" s="209"/>
      <c r="I351" s="211"/>
      <c r="J351" s="211"/>
    </row>
    <row r="352" spans="1:10" x14ac:dyDescent="0.2">
      <c r="A352" s="209"/>
      <c r="B352" s="209"/>
      <c r="C352" s="209"/>
      <c r="D352" s="211"/>
      <c r="E352" s="211"/>
      <c r="F352" s="210"/>
      <c r="G352" s="209"/>
      <c r="H352" s="209"/>
      <c r="I352" s="211"/>
      <c r="J352" s="211"/>
    </row>
    <row r="353" spans="1:10" x14ac:dyDescent="0.2">
      <c r="A353" s="209"/>
      <c r="B353" s="209"/>
      <c r="C353" s="209"/>
      <c r="D353" s="211"/>
      <c r="E353" s="211"/>
      <c r="F353" s="210"/>
      <c r="G353" s="209"/>
      <c r="H353" s="209"/>
      <c r="I353" s="211"/>
      <c r="J353" s="211"/>
    </row>
    <row r="354" spans="1:10" x14ac:dyDescent="0.2">
      <c r="A354" s="209"/>
      <c r="B354" s="209"/>
      <c r="C354" s="209"/>
      <c r="D354" s="211"/>
      <c r="E354" s="211"/>
      <c r="F354" s="211"/>
      <c r="G354" s="209"/>
      <c r="H354" s="209"/>
      <c r="I354" s="211"/>
      <c r="J354" s="211"/>
    </row>
    <row r="355" spans="1:10" x14ac:dyDescent="0.2">
      <c r="A355" s="209"/>
      <c r="B355" s="209"/>
      <c r="C355" s="209"/>
      <c r="D355" s="211"/>
      <c r="E355" s="211"/>
      <c r="F355" s="210"/>
      <c r="G355" s="209"/>
      <c r="H355" s="209"/>
      <c r="I355" s="211"/>
      <c r="J355" s="211"/>
    </row>
    <row r="356" spans="1:10" ht="12.75" customHeight="1" x14ac:dyDescent="0.2">
      <c r="A356" s="209"/>
      <c r="B356" s="209"/>
      <c r="C356" s="209"/>
      <c r="D356" s="211"/>
      <c r="E356" s="211"/>
      <c r="F356" s="210"/>
      <c r="G356" s="209"/>
      <c r="H356" s="209"/>
      <c r="I356" s="211"/>
      <c r="J356" s="211"/>
    </row>
    <row r="357" spans="1:10" ht="12.75" customHeight="1" x14ac:dyDescent="0.2">
      <c r="A357" s="209"/>
      <c r="B357" s="209"/>
      <c r="C357" s="209"/>
      <c r="D357" s="211"/>
      <c r="E357" s="211"/>
      <c r="F357" s="211"/>
      <c r="G357" s="209"/>
      <c r="H357" s="209"/>
      <c r="I357" s="211"/>
      <c r="J357" s="211"/>
    </row>
    <row r="358" spans="1:10" x14ac:dyDescent="0.2">
      <c r="A358" s="209"/>
      <c r="B358" s="209"/>
      <c r="C358" s="209"/>
      <c r="D358" s="211"/>
      <c r="E358" s="211"/>
      <c r="F358" s="210"/>
      <c r="G358" s="209"/>
      <c r="H358" s="209"/>
      <c r="I358" s="211"/>
      <c r="J358" s="211"/>
    </row>
    <row r="359" spans="1:10" x14ac:dyDescent="0.2">
      <c r="A359" s="209"/>
      <c r="B359" s="209"/>
      <c r="C359" s="209"/>
      <c r="D359" s="211"/>
      <c r="E359" s="211"/>
      <c r="F359" s="210"/>
      <c r="G359" s="209"/>
      <c r="H359" s="209"/>
      <c r="I359" s="211"/>
      <c r="J359" s="211"/>
    </row>
    <row r="360" spans="1:10" x14ac:dyDescent="0.2">
      <c r="A360" s="209"/>
      <c r="B360" s="209"/>
      <c r="C360" s="209"/>
      <c r="D360" s="211"/>
      <c r="E360" s="211"/>
      <c r="F360" s="211"/>
      <c r="G360" s="209"/>
      <c r="H360" s="209"/>
      <c r="I360" s="211"/>
      <c r="J360" s="211"/>
    </row>
    <row r="361" spans="1:10" x14ac:dyDescent="0.2">
      <c r="A361" s="209"/>
      <c r="B361" s="209"/>
      <c r="C361" s="209"/>
      <c r="D361" s="211"/>
      <c r="E361" s="211"/>
      <c r="F361" s="210"/>
      <c r="G361" s="209"/>
      <c r="H361" s="209"/>
      <c r="I361" s="211"/>
      <c r="J361" s="211"/>
    </row>
    <row r="362" spans="1:10" x14ac:dyDescent="0.2">
      <c r="A362" s="209"/>
      <c r="B362" s="209"/>
      <c r="C362" s="209"/>
      <c r="D362" s="211"/>
      <c r="E362" s="211"/>
      <c r="F362" s="210"/>
      <c r="G362" s="209"/>
      <c r="H362" s="209"/>
      <c r="I362" s="211"/>
      <c r="J362" s="211"/>
    </row>
    <row r="363" spans="1:10" ht="12.75" customHeight="1" x14ac:dyDescent="0.2">
      <c r="A363" s="209"/>
      <c r="B363" s="209"/>
      <c r="C363" s="209"/>
      <c r="D363" s="211"/>
      <c r="E363" s="211"/>
      <c r="F363" s="211"/>
      <c r="G363" s="209"/>
      <c r="H363" s="209"/>
      <c r="I363" s="211"/>
      <c r="J363" s="211"/>
    </row>
    <row r="364" spans="1:10" ht="12.75" customHeight="1" x14ac:dyDescent="0.2">
      <c r="A364" s="209"/>
      <c r="B364" s="209"/>
      <c r="C364" s="209"/>
      <c r="D364" s="211"/>
      <c r="E364" s="211"/>
      <c r="F364" s="210"/>
      <c r="G364" s="209"/>
      <c r="H364" s="209"/>
      <c r="I364" s="211"/>
      <c r="J364" s="211"/>
    </row>
    <row r="365" spans="1:10" x14ac:dyDescent="0.2">
      <c r="A365" s="209"/>
      <c r="B365" s="209"/>
      <c r="C365" s="209"/>
      <c r="D365" s="211"/>
      <c r="E365" s="211"/>
      <c r="F365" s="210"/>
      <c r="G365" s="209"/>
      <c r="H365" s="209"/>
      <c r="I365" s="211"/>
      <c r="J365" s="211"/>
    </row>
    <row r="366" spans="1:10" x14ac:dyDescent="0.2">
      <c r="A366" s="209"/>
      <c r="B366" s="209"/>
      <c r="C366" s="209"/>
      <c r="D366" s="211"/>
      <c r="E366" s="211"/>
      <c r="F366" s="211"/>
      <c r="G366" s="209"/>
      <c r="H366" s="209"/>
      <c r="I366" s="211"/>
      <c r="J366" s="211"/>
    </row>
    <row r="367" spans="1:10" x14ac:dyDescent="0.2">
      <c r="A367" s="209"/>
      <c r="B367" s="209"/>
      <c r="C367" s="209"/>
      <c r="D367" s="211"/>
      <c r="E367" s="211"/>
      <c r="F367" s="210"/>
      <c r="G367" s="209"/>
      <c r="H367" s="209"/>
      <c r="I367" s="211"/>
      <c r="J367" s="211"/>
    </row>
    <row r="368" spans="1:10" x14ac:dyDescent="0.2">
      <c r="A368" s="209"/>
      <c r="B368" s="209"/>
      <c r="C368" s="209"/>
      <c r="D368" s="211"/>
      <c r="E368" s="211"/>
      <c r="F368" s="210"/>
      <c r="G368" s="209"/>
      <c r="H368" s="209"/>
      <c r="I368" s="211"/>
      <c r="J368" s="211"/>
    </row>
    <row r="369" spans="1:10" x14ac:dyDescent="0.2">
      <c r="A369" s="209"/>
      <c r="B369" s="209"/>
      <c r="C369" s="209"/>
      <c r="D369" s="211"/>
      <c r="E369" s="211"/>
      <c r="F369" s="211"/>
      <c r="G369" s="209"/>
      <c r="H369" s="209"/>
      <c r="I369" s="211"/>
      <c r="J369" s="211"/>
    </row>
    <row r="370" spans="1:10" ht="12.75" customHeight="1" x14ac:dyDescent="0.2">
      <c r="A370" s="209"/>
      <c r="B370" s="209"/>
      <c r="C370" s="209"/>
      <c r="D370" s="211"/>
      <c r="E370" s="211"/>
      <c r="F370" s="210"/>
      <c r="G370" s="209"/>
      <c r="H370" s="209"/>
      <c r="I370" s="211"/>
      <c r="J370" s="211"/>
    </row>
    <row r="371" spans="1:10" ht="12.75" customHeight="1" x14ac:dyDescent="0.2">
      <c r="A371" s="209"/>
      <c r="B371" s="209"/>
      <c r="C371" s="209"/>
      <c r="D371" s="211"/>
      <c r="E371" s="211"/>
      <c r="F371" s="210"/>
      <c r="G371" s="209"/>
      <c r="H371" s="209"/>
      <c r="I371" s="211"/>
      <c r="J371" s="211"/>
    </row>
    <row r="372" spans="1:10" x14ac:dyDescent="0.2">
      <c r="A372" s="209"/>
      <c r="B372" s="209"/>
      <c r="C372" s="209"/>
      <c r="D372" s="211"/>
      <c r="E372" s="211"/>
      <c r="F372" s="211"/>
      <c r="G372" s="209"/>
      <c r="H372" s="209"/>
      <c r="I372" s="211"/>
      <c r="J372" s="211"/>
    </row>
    <row r="373" spans="1:10" x14ac:dyDescent="0.2">
      <c r="A373" s="209"/>
      <c r="B373" s="209"/>
      <c r="C373" s="209"/>
      <c r="D373" s="211"/>
      <c r="E373" s="211"/>
      <c r="F373" s="210"/>
      <c r="G373" s="209"/>
      <c r="H373" s="209"/>
      <c r="I373" s="211"/>
      <c r="J373" s="211"/>
    </row>
    <row r="374" spans="1:10" x14ac:dyDescent="0.2">
      <c r="A374" s="209"/>
      <c r="B374" s="209"/>
      <c r="C374" s="209"/>
      <c r="D374" s="211"/>
      <c r="E374" s="211"/>
      <c r="F374" s="210"/>
      <c r="G374" s="209"/>
      <c r="H374" s="209"/>
      <c r="I374" s="211"/>
      <c r="J374" s="211"/>
    </row>
    <row r="375" spans="1:10" x14ac:dyDescent="0.2">
      <c r="A375" s="209"/>
      <c r="B375" s="209"/>
      <c r="C375" s="209"/>
      <c r="D375" s="211"/>
      <c r="E375" s="211"/>
      <c r="F375" s="211"/>
      <c r="G375" s="209"/>
      <c r="H375" s="209"/>
      <c r="I375" s="211"/>
      <c r="J375" s="211"/>
    </row>
    <row r="376" spans="1:10" x14ac:dyDescent="0.2">
      <c r="A376" s="209"/>
      <c r="B376" s="209"/>
      <c r="C376" s="209"/>
      <c r="D376" s="211"/>
      <c r="E376" s="211"/>
      <c r="F376" s="210"/>
      <c r="G376" s="209"/>
      <c r="H376" s="209"/>
      <c r="I376" s="211"/>
      <c r="J376" s="211"/>
    </row>
    <row r="377" spans="1:10" ht="12.75" customHeight="1" x14ac:dyDescent="0.2">
      <c r="A377" s="209"/>
      <c r="B377" s="209"/>
      <c r="C377" s="209"/>
      <c r="D377" s="211"/>
      <c r="E377" s="211"/>
      <c r="F377" s="210"/>
      <c r="G377" s="209"/>
      <c r="H377" s="209"/>
      <c r="I377" s="211"/>
      <c r="J377" s="211"/>
    </row>
    <row r="378" spans="1:10" ht="12.75" customHeight="1" x14ac:dyDescent="0.2">
      <c r="A378" s="209"/>
      <c r="B378" s="209"/>
      <c r="C378" s="209"/>
      <c r="D378" s="211"/>
      <c r="E378" s="211"/>
      <c r="F378" s="211"/>
      <c r="G378" s="209"/>
      <c r="H378" s="209"/>
      <c r="I378" s="211"/>
      <c r="J378" s="211"/>
    </row>
    <row r="379" spans="1:10" x14ac:dyDescent="0.2">
      <c r="A379" s="209"/>
      <c r="B379" s="209"/>
      <c r="C379" s="209"/>
      <c r="D379" s="211"/>
      <c r="E379" s="211"/>
      <c r="F379" s="210"/>
      <c r="G379" s="209"/>
      <c r="H379" s="209"/>
      <c r="I379" s="211"/>
      <c r="J379" s="211"/>
    </row>
    <row r="380" spans="1:10" x14ac:dyDescent="0.2">
      <c r="A380" s="209"/>
      <c r="B380" s="209"/>
      <c r="C380" s="209"/>
      <c r="D380" s="211"/>
      <c r="E380" s="211"/>
      <c r="F380" s="210"/>
      <c r="G380" s="209"/>
      <c r="H380" s="209"/>
      <c r="I380" s="211"/>
      <c r="J380" s="211"/>
    </row>
    <row r="381" spans="1:10" x14ac:dyDescent="0.2">
      <c r="A381" s="209"/>
      <c r="B381" s="209"/>
      <c r="C381" s="209"/>
      <c r="D381" s="211"/>
      <c r="E381" s="211"/>
      <c r="F381" s="211"/>
      <c r="G381" s="209"/>
      <c r="H381" s="209"/>
      <c r="I381" s="211"/>
      <c r="J381" s="211"/>
    </row>
    <row r="382" spans="1:10" x14ac:dyDescent="0.2">
      <c r="A382" s="209"/>
      <c r="B382" s="209"/>
      <c r="C382" s="209"/>
      <c r="D382" s="211"/>
      <c r="E382" s="211"/>
      <c r="F382" s="210"/>
      <c r="G382" s="209"/>
      <c r="H382" s="209"/>
      <c r="I382" s="211"/>
      <c r="J382" s="211"/>
    </row>
    <row r="383" spans="1:10" x14ac:dyDescent="0.2">
      <c r="A383" s="209"/>
      <c r="B383" s="209"/>
      <c r="C383" s="209"/>
      <c r="D383" s="211"/>
      <c r="E383" s="211"/>
      <c r="F383" s="210"/>
      <c r="G383" s="209"/>
      <c r="H383" s="209"/>
      <c r="I383" s="211"/>
      <c r="J383" s="211"/>
    </row>
    <row r="384" spans="1:10" ht="12.75" customHeight="1" x14ac:dyDescent="0.2">
      <c r="A384" s="209"/>
      <c r="B384" s="209"/>
      <c r="C384" s="209"/>
      <c r="D384" s="211"/>
      <c r="E384" s="211"/>
      <c r="F384" s="211"/>
      <c r="G384" s="209"/>
      <c r="H384" s="209"/>
      <c r="I384" s="211"/>
      <c r="J384" s="211"/>
    </row>
    <row r="385" spans="1:10" ht="12.75" customHeight="1" x14ac:dyDescent="0.2">
      <c r="A385" s="209"/>
      <c r="B385" s="209"/>
      <c r="C385" s="209"/>
      <c r="D385" s="211"/>
      <c r="E385" s="211"/>
      <c r="F385" s="210"/>
      <c r="G385" s="209"/>
      <c r="H385" s="209"/>
      <c r="I385" s="211"/>
      <c r="J385" s="211"/>
    </row>
    <row r="386" spans="1:10" x14ac:dyDescent="0.2">
      <c r="A386" s="209"/>
      <c r="B386" s="209"/>
      <c r="C386" s="209"/>
      <c r="D386" s="211"/>
      <c r="E386" s="211"/>
      <c r="F386" s="210"/>
      <c r="G386" s="209"/>
      <c r="H386" s="209"/>
      <c r="I386" s="211"/>
      <c r="J386" s="211"/>
    </row>
    <row r="387" spans="1:10" x14ac:dyDescent="0.2">
      <c r="A387" s="209"/>
      <c r="B387" s="209"/>
      <c r="C387" s="209"/>
      <c r="D387" s="211"/>
      <c r="E387" s="211"/>
      <c r="F387" s="211"/>
      <c r="G387" s="209"/>
      <c r="H387" s="209"/>
      <c r="I387" s="211"/>
      <c r="J387" s="211"/>
    </row>
    <row r="388" spans="1:10" x14ac:dyDescent="0.2">
      <c r="A388" s="209"/>
      <c r="B388" s="209"/>
      <c r="C388" s="209"/>
      <c r="D388" s="211"/>
      <c r="E388" s="211"/>
      <c r="F388" s="210"/>
      <c r="G388" s="209"/>
      <c r="H388" s="209"/>
      <c r="I388" s="211"/>
      <c r="J388" s="211"/>
    </row>
    <row r="389" spans="1:10" x14ac:dyDescent="0.2">
      <c r="A389" s="209"/>
      <c r="B389" s="209"/>
      <c r="C389" s="209"/>
      <c r="D389" s="211"/>
      <c r="E389" s="211"/>
      <c r="F389" s="210"/>
      <c r="G389" s="209"/>
      <c r="H389" s="209"/>
      <c r="I389" s="211"/>
      <c r="J389" s="211"/>
    </row>
    <row r="390" spans="1:10" x14ac:dyDescent="0.2">
      <c r="A390" s="209"/>
      <c r="B390" s="209"/>
      <c r="C390" s="209"/>
      <c r="D390" s="211"/>
      <c r="E390" s="211"/>
      <c r="F390" s="211"/>
      <c r="G390" s="209"/>
      <c r="H390" s="209"/>
      <c r="I390" s="211"/>
      <c r="J390" s="211"/>
    </row>
    <row r="391" spans="1:10" ht="12.75" customHeight="1" x14ac:dyDescent="0.2">
      <c r="A391" s="209"/>
      <c r="B391" s="209"/>
      <c r="C391" s="209"/>
      <c r="D391" s="211"/>
      <c r="E391" s="211"/>
      <c r="F391" s="210"/>
      <c r="G391" s="209"/>
      <c r="H391" s="209"/>
      <c r="I391" s="211"/>
      <c r="J391" s="211"/>
    </row>
    <row r="392" spans="1:10" ht="12.75" customHeight="1" x14ac:dyDescent="0.2">
      <c r="A392" s="209"/>
      <c r="B392" s="209"/>
      <c r="C392" s="209"/>
      <c r="D392" s="211"/>
      <c r="E392" s="211"/>
      <c r="F392" s="210"/>
      <c r="G392" s="209"/>
      <c r="H392" s="209"/>
      <c r="I392" s="211"/>
      <c r="J392" s="211"/>
    </row>
    <row r="393" spans="1:10" x14ac:dyDescent="0.2">
      <c r="A393" s="209"/>
      <c r="B393" s="209"/>
      <c r="C393" s="209"/>
      <c r="D393" s="211"/>
      <c r="E393" s="211"/>
      <c r="F393" s="211"/>
      <c r="G393" s="209"/>
      <c r="H393" s="209"/>
      <c r="I393" s="211"/>
      <c r="J393" s="211"/>
    </row>
    <row r="394" spans="1:10" x14ac:dyDescent="0.2">
      <c r="A394" s="209"/>
      <c r="B394" s="209"/>
      <c r="C394" s="209"/>
      <c r="D394" s="211"/>
      <c r="E394" s="211"/>
      <c r="F394" s="210"/>
      <c r="G394" s="209"/>
      <c r="H394" s="209"/>
      <c r="I394" s="211"/>
      <c r="J394" s="211"/>
    </row>
    <row r="395" spans="1:10" x14ac:dyDescent="0.2">
      <c r="A395" s="209"/>
      <c r="B395" s="209"/>
      <c r="C395" s="209"/>
      <c r="D395" s="211"/>
      <c r="E395" s="211"/>
      <c r="F395" s="210"/>
      <c r="G395" s="209"/>
      <c r="H395" s="209"/>
      <c r="I395" s="211"/>
      <c r="J395" s="211"/>
    </row>
    <row r="396" spans="1:10" x14ac:dyDescent="0.2">
      <c r="A396" s="209"/>
      <c r="B396" s="209"/>
      <c r="C396" s="209"/>
      <c r="D396" s="211"/>
      <c r="E396" s="211"/>
      <c r="F396" s="211"/>
      <c r="G396" s="209"/>
      <c r="H396" s="209"/>
      <c r="I396" s="211"/>
      <c r="J396" s="211"/>
    </row>
    <row r="397" spans="1:10" x14ac:dyDescent="0.2">
      <c r="A397" s="209"/>
      <c r="B397" s="209"/>
      <c r="C397" s="209"/>
      <c r="D397" s="211"/>
      <c r="E397" s="211"/>
      <c r="F397" s="210"/>
      <c r="G397" s="209"/>
      <c r="H397" s="209"/>
      <c r="I397" s="211"/>
      <c r="J397" s="211"/>
    </row>
    <row r="398" spans="1:10" ht="12.75" customHeight="1" x14ac:dyDescent="0.2">
      <c r="A398" s="209"/>
      <c r="B398" s="209"/>
      <c r="C398" s="209"/>
      <c r="D398" s="211"/>
      <c r="E398" s="211"/>
      <c r="F398" s="210"/>
      <c r="G398" s="209"/>
      <c r="H398" s="209"/>
      <c r="I398" s="211"/>
      <c r="J398" s="211"/>
    </row>
    <row r="399" spans="1:10" ht="12.75" customHeight="1" x14ac:dyDescent="0.2">
      <c r="A399" s="209"/>
      <c r="B399" s="209"/>
      <c r="C399" s="209"/>
      <c r="D399" s="211"/>
      <c r="E399" s="211"/>
      <c r="F399" s="211"/>
      <c r="G399" s="209"/>
      <c r="H399" s="209"/>
      <c r="I399" s="211"/>
      <c r="J399" s="211"/>
    </row>
    <row r="400" spans="1:10" x14ac:dyDescent="0.2">
      <c r="A400" s="209"/>
      <c r="B400" s="209"/>
      <c r="C400" s="209"/>
      <c r="D400" s="211"/>
      <c r="E400" s="211"/>
      <c r="F400" s="210"/>
      <c r="G400" s="209"/>
      <c r="H400" s="209"/>
      <c r="I400" s="211"/>
      <c r="J400" s="211"/>
    </row>
    <row r="401" spans="1:10" x14ac:dyDescent="0.2">
      <c r="A401" s="209"/>
      <c r="B401" s="209"/>
      <c r="C401" s="209"/>
      <c r="D401" s="211"/>
      <c r="E401" s="211"/>
      <c r="F401" s="210"/>
      <c r="G401" s="209"/>
      <c r="H401" s="209"/>
      <c r="I401" s="211"/>
      <c r="J401" s="211"/>
    </row>
    <row r="402" spans="1:10" x14ac:dyDescent="0.2">
      <c r="A402" s="209"/>
      <c r="B402" s="209"/>
      <c r="C402" s="209"/>
      <c r="D402" s="211"/>
      <c r="E402" s="211"/>
      <c r="F402" s="211"/>
      <c r="G402" s="209"/>
      <c r="H402" s="209"/>
      <c r="I402" s="211"/>
      <c r="J402" s="211"/>
    </row>
    <row r="403" spans="1:10" x14ac:dyDescent="0.2">
      <c r="A403" s="209"/>
      <c r="B403" s="209"/>
      <c r="C403" s="209"/>
      <c r="D403" s="211"/>
      <c r="E403" s="211"/>
      <c r="F403" s="210"/>
      <c r="G403" s="209"/>
      <c r="H403" s="209"/>
      <c r="I403" s="211"/>
      <c r="J403" s="211"/>
    </row>
    <row r="404" spans="1:10" x14ac:dyDescent="0.2">
      <c r="A404" s="209"/>
      <c r="B404" s="209"/>
      <c r="C404" s="209"/>
      <c r="D404" s="211"/>
      <c r="E404" s="211"/>
      <c r="F404" s="210"/>
      <c r="G404" s="209"/>
      <c r="H404" s="209"/>
      <c r="I404" s="211"/>
      <c r="J404" s="211"/>
    </row>
    <row r="405" spans="1:10" ht="12.75" customHeight="1" x14ac:dyDescent="0.2">
      <c r="A405" s="209"/>
      <c r="B405" s="209"/>
      <c r="C405" s="209"/>
      <c r="D405" s="211"/>
      <c r="E405" s="211"/>
      <c r="F405" s="211"/>
      <c r="G405" s="209"/>
      <c r="H405" s="209"/>
      <c r="I405" s="211"/>
      <c r="J405" s="211"/>
    </row>
    <row r="406" spans="1:10" ht="12.75" customHeight="1" x14ac:dyDescent="0.2">
      <c r="A406" s="209"/>
      <c r="B406" s="209"/>
      <c r="C406" s="209"/>
      <c r="D406" s="211"/>
      <c r="E406" s="211"/>
      <c r="F406" s="210"/>
      <c r="G406" s="209"/>
      <c r="H406" s="209"/>
      <c r="I406" s="211"/>
      <c r="J406" s="211"/>
    </row>
    <row r="407" spans="1:10" x14ac:dyDescent="0.2">
      <c r="A407" s="209"/>
      <c r="B407" s="209"/>
      <c r="C407" s="209"/>
      <c r="D407" s="211"/>
      <c r="E407" s="211"/>
      <c r="F407" s="210"/>
      <c r="G407" s="209"/>
      <c r="H407" s="209"/>
      <c r="I407" s="211"/>
      <c r="J407" s="211"/>
    </row>
    <row r="408" spans="1:10" x14ac:dyDescent="0.2">
      <c r="A408" s="209"/>
      <c r="B408" s="209"/>
      <c r="C408" s="209"/>
      <c r="D408" s="211"/>
      <c r="E408" s="211"/>
      <c r="F408" s="211"/>
      <c r="G408" s="209"/>
      <c r="H408" s="209"/>
      <c r="I408" s="211"/>
      <c r="J408" s="211"/>
    </row>
    <row r="409" spans="1:10" x14ac:dyDescent="0.2">
      <c r="A409" s="209"/>
      <c r="B409" s="209"/>
      <c r="C409" s="209"/>
      <c r="D409" s="211"/>
      <c r="E409" s="211"/>
      <c r="F409" s="210"/>
      <c r="G409" s="209"/>
      <c r="H409" s="209"/>
      <c r="I409" s="211"/>
      <c r="J409" s="211"/>
    </row>
    <row r="410" spans="1:10" x14ac:dyDescent="0.2">
      <c r="A410" s="209"/>
      <c r="B410" s="209"/>
      <c r="C410" s="209"/>
      <c r="D410" s="211"/>
      <c r="E410" s="211"/>
      <c r="F410" s="210"/>
      <c r="G410" s="209"/>
      <c r="H410" s="209"/>
      <c r="I410" s="211"/>
      <c r="J410" s="211"/>
    </row>
    <row r="411" spans="1:10" x14ac:dyDescent="0.2">
      <c r="A411" s="209"/>
      <c r="B411" s="209"/>
      <c r="C411" s="209"/>
      <c r="D411" s="211"/>
      <c r="E411" s="211"/>
      <c r="F411" s="211"/>
      <c r="G411" s="209"/>
      <c r="H411" s="209"/>
      <c r="I411" s="211"/>
      <c r="J411" s="211"/>
    </row>
    <row r="412" spans="1:10" ht="12.75" customHeight="1" x14ac:dyDescent="0.2">
      <c r="A412" s="209"/>
      <c r="B412" s="209"/>
      <c r="C412" s="209"/>
      <c r="D412" s="211"/>
      <c r="E412" s="211"/>
      <c r="F412" s="210"/>
      <c r="G412" s="209"/>
      <c r="H412" s="209"/>
      <c r="I412" s="211"/>
      <c r="J412" s="211"/>
    </row>
    <row r="413" spans="1:10" ht="12.75" customHeight="1" x14ac:dyDescent="0.2">
      <c r="A413" s="209"/>
      <c r="B413" s="209"/>
      <c r="C413" s="209"/>
      <c r="D413" s="211"/>
      <c r="E413" s="211"/>
      <c r="F413" s="210"/>
      <c r="G413" s="209"/>
      <c r="H413" s="209"/>
      <c r="I413" s="211"/>
      <c r="J413" s="211"/>
    </row>
    <row r="414" spans="1:10" x14ac:dyDescent="0.2">
      <c r="A414" s="209"/>
      <c r="B414" s="209"/>
      <c r="C414" s="209"/>
      <c r="D414" s="211"/>
      <c r="E414" s="211"/>
      <c r="F414" s="211"/>
      <c r="G414" s="209"/>
      <c r="H414" s="209"/>
      <c r="I414" s="211"/>
      <c r="J414" s="211"/>
    </row>
    <row r="415" spans="1:10" x14ac:dyDescent="0.2">
      <c r="A415" s="209"/>
      <c r="B415" s="209"/>
      <c r="C415" s="209"/>
      <c r="D415" s="211"/>
      <c r="E415" s="211"/>
      <c r="F415" s="210"/>
      <c r="G415" s="209"/>
      <c r="H415" s="209"/>
      <c r="I415" s="211"/>
      <c r="J415" s="211"/>
    </row>
    <row r="416" spans="1:10" x14ac:dyDescent="0.2">
      <c r="A416" s="209"/>
      <c r="B416" s="209"/>
      <c r="C416" s="209"/>
      <c r="D416" s="211"/>
      <c r="E416" s="211"/>
      <c r="F416" s="210"/>
      <c r="G416" s="209"/>
      <c r="H416" s="209"/>
      <c r="I416" s="211"/>
      <c r="J416" s="211"/>
    </row>
    <row r="417" spans="1:10" x14ac:dyDescent="0.2">
      <c r="A417" s="209"/>
      <c r="B417" s="209"/>
      <c r="C417" s="209"/>
      <c r="D417" s="211"/>
      <c r="E417" s="211"/>
      <c r="F417" s="211"/>
      <c r="G417" s="209"/>
      <c r="H417" s="209"/>
      <c r="I417" s="211"/>
      <c r="J417" s="211"/>
    </row>
    <row r="418" spans="1:10" x14ac:dyDescent="0.2">
      <c r="A418" s="209"/>
      <c r="B418" s="209"/>
      <c r="C418" s="209"/>
      <c r="D418" s="211"/>
      <c r="E418" s="211"/>
      <c r="F418" s="210"/>
      <c r="G418" s="209"/>
      <c r="H418" s="209"/>
      <c r="I418" s="211"/>
      <c r="J418" s="211"/>
    </row>
    <row r="419" spans="1:10" ht="12.75" customHeight="1" x14ac:dyDescent="0.2">
      <c r="A419" s="209"/>
      <c r="B419" s="209"/>
      <c r="C419" s="209"/>
      <c r="D419" s="211"/>
      <c r="E419" s="211"/>
      <c r="F419" s="210"/>
      <c r="G419" s="209"/>
      <c r="H419" s="209"/>
      <c r="I419" s="211"/>
      <c r="J419" s="211"/>
    </row>
    <row r="420" spans="1:10" ht="12.75" customHeight="1" x14ac:dyDescent="0.2">
      <c r="A420" s="209"/>
      <c r="B420" s="209"/>
      <c r="C420" s="209"/>
      <c r="D420" s="211"/>
      <c r="E420" s="211"/>
      <c r="F420" s="211"/>
      <c r="G420" s="209"/>
      <c r="H420" s="209"/>
      <c r="I420" s="211"/>
      <c r="J420" s="211"/>
    </row>
    <row r="421" spans="1:10" x14ac:dyDescent="0.2">
      <c r="A421" s="209"/>
      <c r="B421" s="209"/>
      <c r="C421" s="209"/>
      <c r="D421" s="211"/>
      <c r="E421" s="211"/>
      <c r="F421" s="210"/>
      <c r="G421" s="209"/>
      <c r="H421" s="209"/>
      <c r="I421" s="211"/>
      <c r="J421" s="211"/>
    </row>
    <row r="422" spans="1:10" x14ac:dyDescent="0.2">
      <c r="A422" s="209"/>
      <c r="B422" s="209"/>
      <c r="C422" s="209"/>
      <c r="D422" s="211"/>
      <c r="E422" s="211"/>
      <c r="F422" s="210"/>
      <c r="G422" s="209"/>
      <c r="H422" s="209"/>
      <c r="I422" s="211"/>
      <c r="J422" s="211"/>
    </row>
    <row r="423" spans="1:10" x14ac:dyDescent="0.2">
      <c r="A423" s="209"/>
      <c r="B423" s="209"/>
      <c r="C423" s="209"/>
      <c r="D423" s="211"/>
      <c r="E423" s="211"/>
      <c r="F423" s="211"/>
      <c r="G423" s="209"/>
      <c r="H423" s="209"/>
      <c r="I423" s="211"/>
      <c r="J423" s="211"/>
    </row>
    <row r="424" spans="1:10" x14ac:dyDescent="0.2">
      <c r="A424" s="209"/>
      <c r="B424" s="209"/>
      <c r="C424" s="209"/>
      <c r="D424" s="211"/>
      <c r="E424" s="211"/>
      <c r="F424" s="210"/>
      <c r="G424" s="209"/>
      <c r="H424" s="209"/>
      <c r="I424" s="211"/>
      <c r="J424" s="211"/>
    </row>
    <row r="425" spans="1:10" x14ac:dyDescent="0.2">
      <c r="A425" s="209"/>
      <c r="B425" s="209"/>
      <c r="C425" s="209"/>
      <c r="D425" s="211"/>
      <c r="E425" s="211"/>
      <c r="F425" s="210"/>
      <c r="G425" s="209"/>
      <c r="H425" s="209"/>
      <c r="I425" s="211"/>
      <c r="J425" s="211"/>
    </row>
    <row r="426" spans="1:10" ht="12.75" customHeight="1" x14ac:dyDescent="0.2">
      <c r="A426" s="209"/>
      <c r="B426" s="209"/>
      <c r="C426" s="209"/>
      <c r="D426" s="211"/>
      <c r="E426" s="211"/>
      <c r="F426" s="211"/>
      <c r="G426" s="209"/>
      <c r="H426" s="209"/>
      <c r="I426" s="211"/>
      <c r="J426" s="211"/>
    </row>
    <row r="427" spans="1:10" ht="12.75" customHeight="1" x14ac:dyDescent="0.2">
      <c r="A427" s="209"/>
      <c r="B427" s="209"/>
      <c r="C427" s="209"/>
      <c r="D427" s="211"/>
      <c r="E427" s="211"/>
      <c r="F427" s="210"/>
      <c r="G427" s="209"/>
      <c r="H427" s="209"/>
      <c r="I427" s="211"/>
      <c r="J427" s="211"/>
    </row>
    <row r="428" spans="1:10" x14ac:dyDescent="0.2">
      <c r="A428" s="209"/>
      <c r="B428" s="209"/>
      <c r="C428" s="209"/>
      <c r="D428" s="211"/>
      <c r="E428" s="211"/>
      <c r="F428" s="210"/>
      <c r="G428" s="209"/>
      <c r="H428" s="209"/>
      <c r="I428" s="211"/>
      <c r="J428" s="211"/>
    </row>
    <row r="429" spans="1:10" x14ac:dyDescent="0.2">
      <c r="A429" s="209"/>
      <c r="B429" s="209"/>
      <c r="C429" s="209"/>
      <c r="D429" s="211"/>
      <c r="E429" s="211"/>
      <c r="F429" s="211"/>
      <c r="G429" s="209"/>
      <c r="H429" s="209"/>
      <c r="I429" s="211"/>
      <c r="J429" s="211"/>
    </row>
    <row r="430" spans="1:10" x14ac:dyDescent="0.2">
      <c r="A430" s="209"/>
      <c r="B430" s="209"/>
      <c r="C430" s="209"/>
      <c r="D430" s="211"/>
      <c r="E430" s="211"/>
      <c r="F430" s="210"/>
      <c r="G430" s="209"/>
      <c r="H430" s="209"/>
      <c r="I430" s="211"/>
      <c r="J430" s="211"/>
    </row>
    <row r="431" spans="1:10" x14ac:dyDescent="0.2">
      <c r="A431" s="209"/>
      <c r="B431" s="209"/>
      <c r="C431" s="209"/>
      <c r="D431" s="211"/>
      <c r="E431" s="211"/>
      <c r="F431" s="210"/>
      <c r="G431" s="209"/>
      <c r="H431" s="209"/>
      <c r="I431" s="211"/>
      <c r="J431" s="211"/>
    </row>
    <row r="432" spans="1:10" x14ac:dyDescent="0.2">
      <c r="A432" s="209"/>
      <c r="B432" s="209"/>
      <c r="C432" s="209"/>
      <c r="D432" s="211"/>
      <c r="E432" s="211"/>
      <c r="F432" s="211"/>
      <c r="G432" s="209"/>
      <c r="H432" s="209"/>
      <c r="I432" s="211"/>
      <c r="J432" s="211"/>
    </row>
    <row r="433" spans="1:10" ht="12.75" customHeight="1" x14ac:dyDescent="0.2">
      <c r="A433" s="209"/>
      <c r="B433" s="209"/>
      <c r="C433" s="209"/>
      <c r="D433" s="211"/>
      <c r="E433" s="211"/>
      <c r="F433" s="210"/>
      <c r="G433" s="209"/>
      <c r="H433" s="209"/>
      <c r="I433" s="211"/>
      <c r="J433" s="211"/>
    </row>
    <row r="434" spans="1:10" ht="12.75" customHeight="1" x14ac:dyDescent="0.2">
      <c r="A434" s="209"/>
      <c r="B434" s="209"/>
      <c r="C434" s="209"/>
      <c r="D434" s="211"/>
      <c r="E434" s="211"/>
      <c r="F434" s="210"/>
      <c r="G434" s="209"/>
      <c r="H434" s="209"/>
      <c r="I434" s="211"/>
      <c r="J434" s="211"/>
    </row>
    <row r="435" spans="1:10" x14ac:dyDescent="0.2">
      <c r="A435" s="209"/>
      <c r="B435" s="209"/>
      <c r="C435" s="209"/>
      <c r="D435" s="211"/>
      <c r="E435" s="211"/>
      <c r="F435" s="211"/>
      <c r="G435" s="209"/>
      <c r="H435" s="209"/>
      <c r="I435" s="211"/>
      <c r="J435" s="211"/>
    </row>
    <row r="436" spans="1:10" x14ac:dyDescent="0.2">
      <c r="A436" s="209"/>
      <c r="B436" s="209"/>
      <c r="C436" s="209"/>
      <c r="D436" s="211"/>
      <c r="E436" s="211"/>
      <c r="F436" s="210"/>
      <c r="G436" s="209"/>
      <c r="H436" s="209"/>
      <c r="I436" s="211"/>
      <c r="J436" s="211"/>
    </row>
    <row r="437" spans="1:10" x14ac:dyDescent="0.2">
      <c r="A437" s="209"/>
      <c r="B437" s="209"/>
      <c r="C437" s="209"/>
      <c r="D437" s="211"/>
      <c r="E437" s="211"/>
      <c r="F437" s="210"/>
      <c r="G437" s="209"/>
      <c r="H437" s="209"/>
      <c r="I437" s="211"/>
      <c r="J437" s="211"/>
    </row>
    <row r="438" spans="1:10" x14ac:dyDescent="0.2">
      <c r="A438" s="209"/>
      <c r="B438" s="209"/>
      <c r="C438" s="209"/>
      <c r="D438" s="211"/>
      <c r="E438" s="211"/>
      <c r="F438" s="211"/>
      <c r="G438" s="209"/>
      <c r="H438" s="209"/>
      <c r="I438" s="211"/>
      <c r="J438" s="211"/>
    </row>
    <row r="439" spans="1:10" x14ac:dyDescent="0.2">
      <c r="A439" s="209"/>
      <c r="B439" s="209"/>
      <c r="C439" s="209"/>
      <c r="D439" s="211"/>
      <c r="E439" s="211"/>
      <c r="F439" s="210"/>
      <c r="G439" s="209"/>
      <c r="H439" s="209"/>
      <c r="I439" s="211"/>
      <c r="J439" s="211"/>
    </row>
    <row r="440" spans="1:10" ht="12.75" customHeight="1" x14ac:dyDescent="0.2">
      <c r="A440" s="209"/>
      <c r="B440" s="209"/>
      <c r="C440" s="209"/>
      <c r="D440" s="211"/>
      <c r="E440" s="211"/>
      <c r="F440" s="210"/>
      <c r="G440" s="209"/>
      <c r="H440" s="209"/>
      <c r="I440" s="211"/>
      <c r="J440" s="211"/>
    </row>
    <row r="441" spans="1:10" ht="12.75" customHeight="1" x14ac:dyDescent="0.2">
      <c r="A441" s="209"/>
      <c r="B441" s="209"/>
      <c r="C441" s="209"/>
      <c r="D441" s="211"/>
      <c r="E441" s="211"/>
      <c r="F441" s="211"/>
      <c r="G441" s="209"/>
      <c r="H441" s="209"/>
      <c r="I441" s="211"/>
      <c r="J441" s="211"/>
    </row>
    <row r="442" spans="1:10" x14ac:dyDescent="0.2">
      <c r="A442" s="209"/>
      <c r="B442" s="209"/>
      <c r="C442" s="209"/>
      <c r="D442" s="211"/>
      <c r="E442" s="211"/>
      <c r="F442" s="210"/>
      <c r="G442" s="209"/>
      <c r="H442" s="209"/>
      <c r="I442" s="211"/>
      <c r="J442" s="211"/>
    </row>
    <row r="443" spans="1:10" x14ac:dyDescent="0.2">
      <c r="A443" s="209"/>
      <c r="B443" s="209"/>
      <c r="C443" s="209"/>
      <c r="D443" s="211"/>
      <c r="E443" s="211"/>
      <c r="F443" s="210"/>
      <c r="G443" s="209"/>
      <c r="H443" s="209"/>
      <c r="I443" s="211"/>
      <c r="J443" s="211"/>
    </row>
    <row r="444" spans="1:10" x14ac:dyDescent="0.2">
      <c r="A444" s="209"/>
      <c r="B444" s="209"/>
      <c r="C444" s="209"/>
      <c r="D444" s="211"/>
      <c r="E444" s="211"/>
      <c r="F444" s="211"/>
      <c r="G444" s="209"/>
      <c r="H444" s="209"/>
      <c r="I444" s="211"/>
      <c r="J444" s="211"/>
    </row>
    <row r="445" spans="1:10" x14ac:dyDescent="0.2">
      <c r="A445" s="209"/>
      <c r="B445" s="209"/>
      <c r="C445" s="209"/>
      <c r="D445" s="211"/>
      <c r="E445" s="211"/>
      <c r="F445" s="210"/>
      <c r="G445" s="209"/>
      <c r="H445" s="209"/>
      <c r="I445" s="211"/>
      <c r="J445" s="211"/>
    </row>
    <row r="446" spans="1:10" x14ac:dyDescent="0.2">
      <c r="A446" s="209"/>
      <c r="B446" s="209"/>
      <c r="C446" s="209"/>
      <c r="D446" s="211"/>
      <c r="E446" s="211"/>
      <c r="F446" s="210"/>
      <c r="G446" s="209"/>
      <c r="H446" s="209"/>
      <c r="I446" s="211"/>
      <c r="J446" s="211"/>
    </row>
    <row r="447" spans="1:10" ht="12.75" customHeight="1" x14ac:dyDescent="0.2">
      <c r="A447" s="209"/>
      <c r="B447" s="209"/>
      <c r="C447" s="209"/>
      <c r="D447" s="211"/>
      <c r="E447" s="211"/>
      <c r="F447" s="211"/>
      <c r="G447" s="209"/>
      <c r="H447" s="209"/>
      <c r="I447" s="211"/>
      <c r="J447" s="211"/>
    </row>
    <row r="448" spans="1:10" ht="12.75" customHeight="1" x14ac:dyDescent="0.2">
      <c r="A448" s="209"/>
      <c r="B448" s="209"/>
      <c r="C448" s="209"/>
      <c r="D448" s="211"/>
      <c r="E448" s="211"/>
      <c r="F448" s="210"/>
      <c r="G448" s="209"/>
      <c r="H448" s="209"/>
      <c r="I448" s="211"/>
      <c r="J448" s="211"/>
    </row>
    <row r="449" spans="1:10" x14ac:dyDescent="0.2">
      <c r="A449" s="209"/>
      <c r="B449" s="209"/>
      <c r="C449" s="209"/>
      <c r="D449" s="211"/>
      <c r="E449" s="211"/>
      <c r="F449" s="210"/>
      <c r="G449" s="209"/>
      <c r="H449" s="209"/>
      <c r="I449" s="211"/>
      <c r="J449" s="211"/>
    </row>
    <row r="450" spans="1:10" x14ac:dyDescent="0.2">
      <c r="A450" s="209"/>
      <c r="B450" s="209"/>
      <c r="C450" s="209"/>
      <c r="D450" s="211"/>
      <c r="E450" s="211"/>
      <c r="F450" s="211"/>
      <c r="G450" s="209"/>
      <c r="H450" s="209"/>
      <c r="I450" s="211"/>
      <c r="J450" s="211"/>
    </row>
    <row r="451" spans="1:10" x14ac:dyDescent="0.2">
      <c r="A451" s="209"/>
      <c r="B451" s="209"/>
      <c r="C451" s="209"/>
      <c r="D451" s="211"/>
      <c r="E451" s="211"/>
      <c r="F451" s="210"/>
      <c r="G451" s="209"/>
      <c r="H451" s="209"/>
      <c r="I451" s="211"/>
      <c r="J451" s="211"/>
    </row>
    <row r="452" spans="1:10" x14ac:dyDescent="0.2">
      <c r="A452" s="209"/>
      <c r="B452" s="209"/>
      <c r="C452" s="209"/>
      <c r="D452" s="211"/>
      <c r="E452" s="211"/>
      <c r="F452" s="210"/>
      <c r="G452" s="209"/>
      <c r="H452" s="209"/>
      <c r="I452" s="211"/>
      <c r="J452" s="211"/>
    </row>
    <row r="453" spans="1:10" x14ac:dyDescent="0.2">
      <c r="A453" s="209"/>
      <c r="B453" s="209"/>
      <c r="C453" s="209"/>
      <c r="D453" s="211"/>
      <c r="E453" s="211"/>
      <c r="F453" s="211"/>
      <c r="G453" s="209"/>
      <c r="H453" s="209"/>
      <c r="I453" s="211"/>
      <c r="J453" s="211"/>
    </row>
    <row r="454" spans="1:10" ht="12.75" customHeight="1" x14ac:dyDescent="0.2">
      <c r="A454" s="209"/>
      <c r="B454" s="209"/>
      <c r="C454" s="209"/>
      <c r="D454" s="211"/>
      <c r="E454" s="211"/>
      <c r="F454" s="210"/>
      <c r="G454" s="209"/>
      <c r="H454" s="209"/>
      <c r="I454" s="211"/>
      <c r="J454" s="211"/>
    </row>
    <row r="455" spans="1:10" ht="12.75" customHeight="1" x14ac:dyDescent="0.2">
      <c r="A455" s="209"/>
      <c r="B455" s="209"/>
      <c r="C455" s="209"/>
      <c r="D455" s="211"/>
      <c r="E455" s="211"/>
      <c r="F455" s="210"/>
      <c r="G455" s="209"/>
      <c r="H455" s="209"/>
      <c r="I455" s="211"/>
      <c r="J455" s="211"/>
    </row>
    <row r="456" spans="1:10" x14ac:dyDescent="0.2">
      <c r="A456" s="209"/>
      <c r="B456" s="209"/>
      <c r="C456" s="209"/>
      <c r="D456" s="211"/>
      <c r="E456" s="211"/>
      <c r="F456" s="211"/>
      <c r="G456" s="209"/>
      <c r="H456" s="209"/>
      <c r="I456" s="211"/>
      <c r="J456" s="211"/>
    </row>
    <row r="457" spans="1:10" x14ac:dyDescent="0.2">
      <c r="A457" s="209"/>
      <c r="B457" s="209"/>
      <c r="C457" s="209"/>
      <c r="D457" s="211"/>
      <c r="E457" s="211"/>
      <c r="F457" s="210"/>
      <c r="G457" s="209"/>
      <c r="H457" s="209"/>
      <c r="I457" s="211"/>
      <c r="J457" s="211"/>
    </row>
    <row r="458" spans="1:10" x14ac:dyDescent="0.2">
      <c r="A458" s="209"/>
      <c r="B458" s="209"/>
      <c r="C458" s="209"/>
      <c r="D458" s="211"/>
      <c r="E458" s="211"/>
      <c r="F458" s="210"/>
      <c r="G458" s="209"/>
      <c r="H458" s="209"/>
      <c r="I458" s="211"/>
      <c r="J458" s="211"/>
    </row>
    <row r="459" spans="1:10" x14ac:dyDescent="0.2">
      <c r="A459" s="209"/>
      <c r="B459" s="209"/>
      <c r="C459" s="209"/>
      <c r="D459" s="211"/>
      <c r="E459" s="211"/>
      <c r="F459" s="211"/>
      <c r="G459" s="209"/>
      <c r="H459" s="209"/>
      <c r="I459" s="211"/>
      <c r="J459" s="211"/>
    </row>
    <row r="460" spans="1:10" x14ac:dyDescent="0.2">
      <c r="A460" s="209"/>
      <c r="B460" s="209"/>
      <c r="C460" s="209"/>
      <c r="D460" s="211"/>
      <c r="E460" s="211"/>
      <c r="F460" s="210"/>
      <c r="G460" s="209"/>
      <c r="H460" s="209"/>
      <c r="I460" s="211"/>
      <c r="J460" s="211"/>
    </row>
    <row r="461" spans="1:10" ht="12.75" customHeight="1" x14ac:dyDescent="0.2">
      <c r="A461" s="209"/>
      <c r="B461" s="209"/>
      <c r="C461" s="209"/>
      <c r="D461" s="211"/>
      <c r="E461" s="211"/>
      <c r="F461" s="210"/>
      <c r="G461" s="209"/>
      <c r="H461" s="209"/>
      <c r="I461" s="211"/>
      <c r="J461" s="211"/>
    </row>
    <row r="462" spans="1:10" ht="12.75" customHeight="1" x14ac:dyDescent="0.2">
      <c r="A462" s="209"/>
      <c r="B462" s="209"/>
      <c r="C462" s="209"/>
      <c r="D462" s="211"/>
      <c r="E462" s="211"/>
      <c r="F462" s="211"/>
      <c r="G462" s="209"/>
      <c r="H462" s="209"/>
      <c r="I462" s="211"/>
      <c r="J462" s="211"/>
    </row>
    <row r="463" spans="1:10" x14ac:dyDescent="0.2">
      <c r="A463" s="209"/>
      <c r="B463" s="209"/>
      <c r="C463" s="209"/>
      <c r="D463" s="211"/>
      <c r="E463" s="211"/>
      <c r="F463" s="210"/>
      <c r="G463" s="209"/>
      <c r="H463" s="209"/>
      <c r="I463" s="211"/>
      <c r="J463" s="211"/>
    </row>
    <row r="464" spans="1:10" x14ac:dyDescent="0.2">
      <c r="A464" s="209"/>
      <c r="B464" s="209"/>
      <c r="C464" s="209"/>
      <c r="D464" s="211"/>
      <c r="E464" s="211"/>
      <c r="F464" s="210"/>
      <c r="G464" s="209"/>
      <c r="H464" s="209"/>
      <c r="I464" s="211"/>
      <c r="J464" s="211"/>
    </row>
    <row r="465" spans="1:10" x14ac:dyDescent="0.2">
      <c r="A465" s="209"/>
      <c r="B465" s="209"/>
      <c r="C465" s="209"/>
      <c r="D465" s="211"/>
      <c r="E465" s="211"/>
      <c r="F465" s="211"/>
      <c r="G465" s="209"/>
      <c r="H465" s="209"/>
      <c r="I465" s="211"/>
      <c r="J465" s="211"/>
    </row>
    <row r="466" spans="1:10" x14ac:dyDescent="0.2">
      <c r="A466" s="209"/>
      <c r="B466" s="209"/>
      <c r="C466" s="209"/>
      <c r="D466" s="211"/>
      <c r="E466" s="211"/>
      <c r="F466" s="210"/>
      <c r="G466" s="209"/>
      <c r="H466" s="209"/>
      <c r="I466" s="211"/>
      <c r="J466" s="211"/>
    </row>
    <row r="467" spans="1:10" x14ac:dyDescent="0.2">
      <c r="A467" s="209"/>
      <c r="B467" s="209"/>
      <c r="C467" s="209"/>
      <c r="D467" s="211"/>
      <c r="E467" s="211"/>
      <c r="F467" s="210"/>
      <c r="G467" s="209"/>
      <c r="H467" s="209"/>
      <c r="I467" s="211"/>
      <c r="J467" s="211"/>
    </row>
    <row r="468" spans="1:10" ht="12.75" customHeight="1" x14ac:dyDescent="0.2">
      <c r="A468" s="209"/>
      <c r="B468" s="209"/>
      <c r="C468" s="209"/>
      <c r="D468" s="211"/>
      <c r="E468" s="211"/>
      <c r="F468" s="211"/>
      <c r="G468" s="209"/>
      <c r="H468" s="209"/>
      <c r="I468" s="211"/>
      <c r="J468" s="211"/>
    </row>
    <row r="469" spans="1:10" ht="12.75" customHeight="1" x14ac:dyDescent="0.2">
      <c r="A469" s="209"/>
      <c r="B469" s="209"/>
      <c r="C469" s="209"/>
      <c r="D469" s="211"/>
      <c r="E469" s="211"/>
      <c r="F469" s="210"/>
      <c r="G469" s="209"/>
      <c r="H469" s="209"/>
      <c r="I469" s="211"/>
      <c r="J469" s="211"/>
    </row>
    <row r="470" spans="1:10" x14ac:dyDescent="0.2">
      <c r="A470" s="209"/>
      <c r="B470" s="209"/>
      <c r="C470" s="209"/>
      <c r="D470" s="211"/>
      <c r="E470" s="211"/>
      <c r="F470" s="210"/>
      <c r="G470" s="209"/>
      <c r="H470" s="209"/>
      <c r="I470" s="211"/>
      <c r="J470" s="211"/>
    </row>
    <row r="471" spans="1:10" x14ac:dyDescent="0.2">
      <c r="A471" s="209"/>
      <c r="B471" s="209"/>
      <c r="C471" s="209"/>
      <c r="D471" s="211"/>
      <c r="E471" s="211"/>
      <c r="F471" s="211"/>
      <c r="G471" s="209"/>
      <c r="H471" s="209"/>
      <c r="I471" s="211"/>
      <c r="J471" s="211"/>
    </row>
    <row r="472" spans="1:10" x14ac:dyDescent="0.2">
      <c r="A472" s="209"/>
      <c r="B472" s="209"/>
      <c r="C472" s="209"/>
      <c r="D472" s="211"/>
      <c r="E472" s="211"/>
      <c r="F472" s="210"/>
      <c r="G472" s="209"/>
      <c r="H472" s="209"/>
      <c r="I472" s="211"/>
      <c r="J472" s="211"/>
    </row>
    <row r="473" spans="1:10" x14ac:dyDescent="0.2">
      <c r="A473" s="209"/>
      <c r="B473" s="209"/>
      <c r="C473" s="209"/>
      <c r="D473" s="211"/>
      <c r="E473" s="211"/>
      <c r="F473" s="210"/>
      <c r="G473" s="209"/>
      <c r="H473" s="209"/>
      <c r="I473" s="211"/>
      <c r="J473" s="211"/>
    </row>
    <row r="474" spans="1:10" x14ac:dyDescent="0.2">
      <c r="A474" s="209"/>
      <c r="B474" s="209"/>
      <c r="C474" s="209"/>
      <c r="D474" s="211"/>
      <c r="E474" s="211"/>
      <c r="F474" s="211"/>
      <c r="G474" s="209"/>
      <c r="H474" s="209"/>
      <c r="I474" s="211"/>
      <c r="J474" s="211"/>
    </row>
    <row r="475" spans="1:10" ht="12.75" customHeight="1" x14ac:dyDescent="0.2">
      <c r="A475" s="209"/>
      <c r="B475" s="209"/>
      <c r="C475" s="209"/>
      <c r="D475" s="211"/>
      <c r="E475" s="211"/>
      <c r="F475" s="210"/>
      <c r="G475" s="209"/>
      <c r="H475" s="209"/>
      <c r="I475" s="211"/>
      <c r="J475" s="211"/>
    </row>
    <row r="476" spans="1:10" ht="12.75" customHeight="1" x14ac:dyDescent="0.2">
      <c r="A476" s="209"/>
      <c r="B476" s="209"/>
      <c r="C476" s="209"/>
      <c r="D476" s="211"/>
      <c r="E476" s="211"/>
      <c r="F476" s="210"/>
      <c r="G476" s="209"/>
      <c r="H476" s="209"/>
      <c r="I476" s="211"/>
      <c r="J476" s="211"/>
    </row>
    <row r="477" spans="1:10" x14ac:dyDescent="0.2">
      <c r="A477" s="209"/>
      <c r="B477" s="209"/>
      <c r="C477" s="209"/>
      <c r="D477" s="211"/>
      <c r="E477" s="211"/>
      <c r="F477" s="211"/>
      <c r="G477" s="209"/>
      <c r="H477" s="209"/>
      <c r="I477" s="211"/>
      <c r="J477" s="211"/>
    </row>
    <row r="478" spans="1:10" x14ac:dyDescent="0.2">
      <c r="A478" s="209"/>
      <c r="B478" s="209"/>
      <c r="C478" s="209"/>
      <c r="D478" s="211"/>
      <c r="E478" s="211"/>
      <c r="F478" s="210"/>
      <c r="G478" s="209"/>
      <c r="H478" s="209"/>
      <c r="I478" s="211"/>
      <c r="J478" s="211"/>
    </row>
    <row r="479" spans="1:10" x14ac:dyDescent="0.2">
      <c r="A479" s="209"/>
      <c r="B479" s="209"/>
      <c r="C479" s="209"/>
      <c r="D479" s="211"/>
      <c r="E479" s="211"/>
      <c r="F479" s="210"/>
      <c r="G479" s="209"/>
      <c r="H479" s="209"/>
      <c r="I479" s="211"/>
      <c r="J479" s="211"/>
    </row>
    <row r="480" spans="1:10" x14ac:dyDescent="0.2">
      <c r="A480" s="209"/>
      <c r="B480" s="209"/>
      <c r="C480" s="209"/>
      <c r="D480" s="211"/>
      <c r="E480" s="211"/>
      <c r="F480" s="211"/>
      <c r="G480" s="209"/>
      <c r="H480" s="209"/>
      <c r="I480" s="211"/>
      <c r="J480" s="211"/>
    </row>
    <row r="481" spans="1:10" x14ac:dyDescent="0.2">
      <c r="A481" s="209"/>
      <c r="B481" s="209"/>
      <c r="C481" s="209"/>
      <c r="D481" s="211"/>
      <c r="E481" s="211"/>
      <c r="F481" s="210"/>
      <c r="G481" s="209"/>
      <c r="H481" s="209"/>
      <c r="I481" s="211"/>
      <c r="J481" s="211"/>
    </row>
    <row r="482" spans="1:10" ht="12.75" customHeight="1" x14ac:dyDescent="0.2">
      <c r="A482" s="209"/>
      <c r="B482" s="209"/>
      <c r="C482" s="209"/>
      <c r="D482" s="211"/>
      <c r="E482" s="211"/>
      <c r="F482" s="210"/>
      <c r="G482" s="209"/>
      <c r="H482" s="209"/>
      <c r="I482" s="211"/>
      <c r="J482" s="211"/>
    </row>
    <row r="483" spans="1:10" ht="12.75" customHeight="1" x14ac:dyDescent="0.2">
      <c r="A483" s="209"/>
      <c r="B483" s="209"/>
      <c r="C483" s="209"/>
      <c r="D483" s="211"/>
      <c r="E483" s="211"/>
      <c r="F483" s="211"/>
      <c r="G483" s="209"/>
      <c r="H483" s="209"/>
      <c r="I483" s="211"/>
      <c r="J483" s="211"/>
    </row>
    <row r="484" spans="1:10" ht="12.75" customHeight="1" x14ac:dyDescent="0.2">
      <c r="A484" s="209"/>
      <c r="B484" s="209"/>
      <c r="C484" s="209"/>
      <c r="D484" s="211"/>
      <c r="E484" s="211"/>
      <c r="F484" s="210"/>
      <c r="G484" s="209"/>
      <c r="H484" s="209"/>
      <c r="I484" s="211"/>
      <c r="J484" s="211"/>
    </row>
    <row r="485" spans="1:10" x14ac:dyDescent="0.2">
      <c r="A485" s="209"/>
      <c r="B485" s="209"/>
      <c r="C485" s="209"/>
      <c r="D485" s="211"/>
      <c r="E485" s="211"/>
      <c r="F485" s="210"/>
      <c r="G485" s="209"/>
      <c r="H485" s="209"/>
      <c r="I485" s="211"/>
      <c r="J485" s="211"/>
    </row>
    <row r="486" spans="1:10" ht="12.75" customHeight="1" x14ac:dyDescent="0.2">
      <c r="A486" s="209"/>
      <c r="B486" s="209"/>
      <c r="C486" s="209"/>
      <c r="D486" s="211"/>
      <c r="E486" s="211"/>
      <c r="F486" s="211"/>
      <c r="G486" s="209"/>
      <c r="H486" s="209"/>
      <c r="I486" s="211"/>
      <c r="J486" s="211"/>
    </row>
    <row r="487" spans="1:10" x14ac:dyDescent="0.2">
      <c r="A487" s="209"/>
      <c r="B487" s="209"/>
      <c r="C487" s="209"/>
      <c r="D487" s="211"/>
      <c r="E487" s="211"/>
      <c r="F487" s="210"/>
      <c r="G487" s="209"/>
      <c r="H487" s="209"/>
      <c r="I487" s="211"/>
      <c r="J487" s="211"/>
    </row>
    <row r="488" spans="1:10" ht="12.75" customHeight="1" x14ac:dyDescent="0.2">
      <c r="A488" s="209"/>
      <c r="B488" s="209"/>
      <c r="C488" s="209"/>
      <c r="D488" s="211"/>
      <c r="E488" s="211"/>
      <c r="F488" s="210"/>
      <c r="G488" s="209"/>
      <c r="H488" s="209"/>
      <c r="I488" s="211"/>
      <c r="J488" s="211"/>
    </row>
    <row r="489" spans="1:10" x14ac:dyDescent="0.2">
      <c r="A489" s="209"/>
      <c r="B489" s="209"/>
      <c r="C489" s="209"/>
      <c r="D489" s="211"/>
      <c r="E489" s="211"/>
      <c r="F489" s="211"/>
      <c r="G489" s="209"/>
      <c r="H489" s="209"/>
      <c r="I489" s="211"/>
      <c r="J489" s="211"/>
    </row>
    <row r="490" spans="1:10" x14ac:dyDescent="0.2">
      <c r="A490" s="209"/>
      <c r="B490" s="209"/>
      <c r="C490" s="209"/>
      <c r="D490" s="211"/>
      <c r="E490" s="211"/>
      <c r="F490" s="210"/>
      <c r="G490" s="209"/>
      <c r="H490" s="209"/>
      <c r="I490" s="211"/>
      <c r="J490" s="211"/>
    </row>
    <row r="491" spans="1:10" ht="12.75" customHeight="1" x14ac:dyDescent="0.2">
      <c r="A491" s="209"/>
      <c r="B491" s="209"/>
      <c r="C491" s="209"/>
      <c r="D491" s="211"/>
      <c r="E491" s="211"/>
      <c r="F491" s="210"/>
      <c r="G491" s="209"/>
      <c r="H491" s="209"/>
      <c r="I491" s="211"/>
      <c r="J491" s="211"/>
    </row>
    <row r="492" spans="1:10" x14ac:dyDescent="0.2">
      <c r="A492" s="209"/>
      <c r="B492" s="209"/>
      <c r="C492" s="209"/>
      <c r="D492" s="211"/>
      <c r="E492" s="211"/>
      <c r="F492" s="211"/>
      <c r="G492" s="209"/>
      <c r="H492" s="209"/>
      <c r="I492" s="211"/>
      <c r="J492" s="211"/>
    </row>
    <row r="493" spans="1:10" x14ac:dyDescent="0.2">
      <c r="A493" s="209"/>
      <c r="B493" s="209"/>
      <c r="C493" s="209"/>
      <c r="D493" s="211"/>
      <c r="E493" s="211"/>
      <c r="F493" s="210"/>
      <c r="G493" s="209"/>
      <c r="H493" s="209"/>
      <c r="I493" s="211"/>
      <c r="J493" s="211"/>
    </row>
    <row r="494" spans="1:10" x14ac:dyDescent="0.2">
      <c r="A494" s="209"/>
      <c r="B494" s="209"/>
      <c r="C494" s="209"/>
      <c r="D494" s="211"/>
      <c r="E494" s="211"/>
      <c r="F494" s="210"/>
      <c r="G494" s="209"/>
      <c r="H494" s="209"/>
      <c r="I494" s="211"/>
      <c r="J494" s="211"/>
    </row>
    <row r="495" spans="1:10" x14ac:dyDescent="0.2">
      <c r="A495" s="209"/>
      <c r="B495" s="209"/>
      <c r="C495" s="209"/>
      <c r="D495" s="211"/>
      <c r="E495" s="211"/>
      <c r="F495" s="211"/>
      <c r="G495" s="209"/>
      <c r="H495" s="209"/>
      <c r="I495" s="211"/>
      <c r="J495" s="211"/>
    </row>
    <row r="496" spans="1:10" ht="12.75" customHeight="1" x14ac:dyDescent="0.2">
      <c r="A496" s="209"/>
      <c r="B496" s="209"/>
      <c r="C496" s="209"/>
      <c r="D496" s="211"/>
      <c r="E496" s="211"/>
      <c r="F496" s="210"/>
      <c r="G496" s="209"/>
      <c r="H496" s="209"/>
      <c r="I496" s="211"/>
      <c r="J496" s="211"/>
    </row>
    <row r="497" spans="1:10" ht="12.75" customHeight="1" x14ac:dyDescent="0.2">
      <c r="A497" s="209"/>
      <c r="B497" s="209"/>
      <c r="C497" s="209"/>
      <c r="D497" s="211"/>
      <c r="E497" s="211"/>
      <c r="F497" s="210"/>
      <c r="G497" s="209"/>
      <c r="H497" s="209"/>
      <c r="I497" s="211"/>
      <c r="J497" s="211"/>
    </row>
    <row r="498" spans="1:10" x14ac:dyDescent="0.2">
      <c r="A498" s="209"/>
      <c r="B498" s="209"/>
      <c r="C498" s="209"/>
      <c r="D498" s="211"/>
      <c r="E498" s="211"/>
      <c r="F498" s="211"/>
      <c r="G498" s="209"/>
      <c r="H498" s="209"/>
      <c r="I498" s="211"/>
      <c r="J498" s="211"/>
    </row>
    <row r="499" spans="1:10" x14ac:dyDescent="0.2">
      <c r="A499" s="209"/>
      <c r="B499" s="209"/>
      <c r="C499" s="209"/>
      <c r="D499" s="211"/>
      <c r="E499" s="211"/>
      <c r="F499" s="210"/>
      <c r="G499" s="209"/>
      <c r="H499" s="209"/>
      <c r="I499" s="211"/>
      <c r="J499" s="211"/>
    </row>
    <row r="500" spans="1:10" x14ac:dyDescent="0.2">
      <c r="A500" s="209"/>
      <c r="B500" s="209"/>
      <c r="C500" s="209"/>
      <c r="D500" s="211"/>
      <c r="E500" s="211"/>
      <c r="F500" s="210"/>
      <c r="G500" s="209"/>
      <c r="H500" s="209"/>
      <c r="I500" s="211"/>
      <c r="J500" s="211"/>
    </row>
    <row r="501" spans="1:10" x14ac:dyDescent="0.2">
      <c r="A501" s="209"/>
      <c r="B501" s="209"/>
      <c r="C501" s="209"/>
      <c r="D501" s="211"/>
      <c r="E501" s="211"/>
      <c r="F501" s="211"/>
      <c r="G501" s="209"/>
      <c r="H501" s="209"/>
      <c r="I501" s="211"/>
      <c r="J501" s="211"/>
    </row>
    <row r="502" spans="1:10" x14ac:dyDescent="0.2">
      <c r="A502" s="209"/>
      <c r="B502" s="209"/>
      <c r="C502" s="209"/>
      <c r="D502" s="211"/>
      <c r="E502" s="211"/>
      <c r="F502" s="210"/>
      <c r="G502" s="209"/>
      <c r="H502" s="209"/>
      <c r="I502" s="211"/>
      <c r="J502" s="211"/>
    </row>
    <row r="503" spans="1:10" x14ac:dyDescent="0.2">
      <c r="A503" s="209"/>
      <c r="B503" s="209"/>
      <c r="C503" s="209"/>
      <c r="D503" s="211"/>
      <c r="E503" s="211"/>
      <c r="F503" s="210"/>
      <c r="G503" s="209"/>
      <c r="H503" s="209"/>
      <c r="I503" s="211"/>
      <c r="J503" s="211"/>
    </row>
    <row r="504" spans="1:10" x14ac:dyDescent="0.2">
      <c r="A504" s="209"/>
      <c r="B504" s="209"/>
      <c r="C504" s="209"/>
      <c r="D504" s="211"/>
      <c r="E504" s="211"/>
      <c r="F504" s="211"/>
      <c r="G504" s="209"/>
      <c r="H504" s="209"/>
      <c r="I504" s="211"/>
      <c r="J504" s="211"/>
    </row>
    <row r="505" spans="1:10" x14ac:dyDescent="0.2">
      <c r="A505" s="209"/>
      <c r="B505" s="209"/>
      <c r="C505" s="209"/>
      <c r="D505" s="211"/>
      <c r="E505" s="211"/>
      <c r="F505" s="210"/>
      <c r="G505" s="209"/>
      <c r="H505" s="209"/>
      <c r="I505" s="211"/>
      <c r="J505" s="211"/>
    </row>
    <row r="506" spans="1:10" x14ac:dyDescent="0.2">
      <c r="A506" s="209"/>
      <c r="B506" s="209"/>
      <c r="C506" s="209"/>
      <c r="D506" s="211"/>
      <c r="E506" s="211"/>
      <c r="F506" s="210"/>
      <c r="G506" s="209"/>
      <c r="H506" s="209"/>
      <c r="I506" s="211"/>
      <c r="J506" s="211"/>
    </row>
    <row r="507" spans="1:10" x14ac:dyDescent="0.2">
      <c r="A507" s="209"/>
      <c r="B507" s="209"/>
      <c r="C507" s="209"/>
      <c r="D507" s="211"/>
      <c r="E507" s="211"/>
      <c r="F507" s="211"/>
      <c r="G507" s="209"/>
      <c r="H507" s="209"/>
      <c r="I507" s="211"/>
      <c r="J507" s="211"/>
    </row>
    <row r="508" spans="1:10" x14ac:dyDescent="0.2">
      <c r="A508" s="209"/>
      <c r="B508" s="209"/>
      <c r="C508" s="209"/>
      <c r="D508" s="211"/>
      <c r="E508" s="211"/>
      <c r="F508" s="210"/>
      <c r="G508" s="209"/>
      <c r="H508" s="209"/>
      <c r="I508" s="211"/>
      <c r="J508" s="211"/>
    </row>
    <row r="509" spans="1:10" x14ac:dyDescent="0.2">
      <c r="A509" s="209"/>
      <c r="B509" s="209"/>
      <c r="C509" s="209"/>
      <c r="D509" s="211"/>
      <c r="E509" s="211"/>
      <c r="F509" s="210"/>
      <c r="G509" s="209"/>
      <c r="H509" s="209"/>
      <c r="I509" s="211"/>
      <c r="J509" s="211"/>
    </row>
    <row r="510" spans="1:10" x14ac:dyDescent="0.2">
      <c r="A510" s="209"/>
      <c r="B510" s="209"/>
      <c r="C510" s="209"/>
      <c r="D510" s="211"/>
      <c r="E510" s="211"/>
      <c r="F510" s="211"/>
      <c r="G510" s="209"/>
      <c r="H510" s="209"/>
      <c r="I510" s="211"/>
      <c r="J510" s="211"/>
    </row>
    <row r="511" spans="1:10" x14ac:dyDescent="0.2">
      <c r="A511" s="209"/>
      <c r="B511" s="209"/>
      <c r="C511" s="209"/>
      <c r="D511" s="211"/>
      <c r="E511" s="211"/>
      <c r="F511" s="210"/>
      <c r="G511" s="209"/>
      <c r="H511" s="209"/>
      <c r="I511" s="211"/>
      <c r="J511" s="211"/>
    </row>
    <row r="512" spans="1:10" x14ac:dyDescent="0.2">
      <c r="A512" s="209"/>
      <c r="B512" s="209"/>
      <c r="C512" s="209"/>
      <c r="D512" s="211"/>
      <c r="E512" s="211"/>
      <c r="F512" s="210"/>
      <c r="G512" s="209"/>
      <c r="H512" s="209"/>
      <c r="I512" s="211"/>
      <c r="J512" s="211"/>
    </row>
    <row r="513" spans="1:10" x14ac:dyDescent="0.2">
      <c r="A513" s="209"/>
      <c r="B513" s="209"/>
      <c r="C513" s="209"/>
      <c r="D513" s="211"/>
      <c r="E513" s="211"/>
      <c r="F513" s="211"/>
      <c r="G513" s="209"/>
      <c r="H513" s="209"/>
      <c r="I513" s="211"/>
      <c r="J513" s="211"/>
    </row>
    <row r="514" spans="1:10" x14ac:dyDescent="0.2">
      <c r="A514" s="209"/>
      <c r="B514" s="209"/>
      <c r="C514" s="209"/>
      <c r="D514" s="211"/>
      <c r="E514" s="211"/>
      <c r="F514" s="210"/>
      <c r="G514" s="209"/>
      <c r="H514" s="209"/>
      <c r="I514" s="211"/>
      <c r="J514" s="211"/>
    </row>
    <row r="515" spans="1:10" x14ac:dyDescent="0.2">
      <c r="A515" s="209"/>
      <c r="B515" s="209"/>
      <c r="C515" s="209"/>
      <c r="D515" s="211"/>
      <c r="E515" s="211"/>
      <c r="F515" s="211"/>
      <c r="G515" s="209"/>
      <c r="H515" s="209"/>
      <c r="I515" s="211"/>
      <c r="J515" s="211"/>
    </row>
    <row r="516" spans="1:10" x14ac:dyDescent="0.2">
      <c r="A516" s="209"/>
      <c r="B516" s="209"/>
      <c r="C516" s="209"/>
      <c r="D516" s="211"/>
      <c r="E516" s="211"/>
      <c r="F516" s="210"/>
      <c r="G516" s="209"/>
      <c r="H516" s="209"/>
      <c r="I516" s="211"/>
      <c r="J516" s="211"/>
    </row>
    <row r="517" spans="1:10" x14ac:dyDescent="0.2">
      <c r="A517" s="209"/>
      <c r="B517" s="209"/>
      <c r="C517" s="209"/>
      <c r="D517" s="211"/>
      <c r="E517" s="211"/>
      <c r="F517" s="211"/>
      <c r="G517" s="209"/>
      <c r="H517" s="209"/>
      <c r="I517" s="211"/>
      <c r="J517" s="211"/>
    </row>
    <row r="518" spans="1:10" x14ac:dyDescent="0.2">
      <c r="A518" s="209"/>
      <c r="B518" s="209"/>
      <c r="C518" s="209"/>
      <c r="D518" s="211"/>
      <c r="E518" s="211"/>
      <c r="F518" s="210"/>
      <c r="G518" s="209"/>
      <c r="H518" s="209"/>
      <c r="I518" s="211"/>
      <c r="J518" s="211"/>
    </row>
    <row r="519" spans="1:10" x14ac:dyDescent="0.2">
      <c r="A519" s="209"/>
      <c r="B519" s="209"/>
      <c r="C519" s="209"/>
      <c r="D519" s="211"/>
      <c r="E519" s="211"/>
      <c r="F519" s="211"/>
      <c r="G519" s="209"/>
      <c r="H519" s="209"/>
      <c r="I519" s="211"/>
      <c r="J519" s="211"/>
    </row>
    <row r="520" spans="1:10" x14ac:dyDescent="0.2">
      <c r="A520" s="209"/>
      <c r="B520" s="209"/>
      <c r="C520" s="209"/>
      <c r="D520" s="211"/>
      <c r="E520" s="211"/>
      <c r="F520" s="210"/>
      <c r="G520" s="209"/>
      <c r="H520" s="209"/>
      <c r="I520" s="211"/>
      <c r="J520" s="211"/>
    </row>
    <row r="521" spans="1:10" x14ac:dyDescent="0.2">
      <c r="A521" s="209"/>
      <c r="B521" s="209"/>
      <c r="C521" s="209"/>
      <c r="D521" s="211"/>
      <c r="E521" s="211"/>
      <c r="F521" s="211"/>
      <c r="G521" s="209"/>
      <c r="H521" s="209"/>
      <c r="I521" s="211"/>
      <c r="J521" s="211"/>
    </row>
    <row r="522" spans="1:10" x14ac:dyDescent="0.2">
      <c r="A522" s="209"/>
      <c r="B522" s="209"/>
      <c r="C522" s="209"/>
      <c r="D522" s="211"/>
      <c r="E522" s="211"/>
      <c r="F522" s="210"/>
      <c r="G522" s="209"/>
      <c r="H522" s="209"/>
      <c r="I522" s="211"/>
      <c r="J522" s="211"/>
    </row>
    <row r="523" spans="1:10" x14ac:dyDescent="0.2">
      <c r="A523" s="209"/>
      <c r="B523" s="209"/>
      <c r="C523" s="209"/>
      <c r="D523" s="211"/>
      <c r="E523" s="211"/>
      <c r="F523" s="211"/>
      <c r="G523" s="209"/>
      <c r="H523" s="209"/>
      <c r="I523" s="211"/>
      <c r="J523" s="211"/>
    </row>
    <row r="524" spans="1:10" x14ac:dyDescent="0.2">
      <c r="A524" s="209"/>
      <c r="B524" s="209"/>
      <c r="C524" s="209"/>
      <c r="D524" s="211"/>
      <c r="E524" s="211"/>
      <c r="F524" s="210"/>
      <c r="G524" s="209"/>
      <c r="H524" s="209"/>
      <c r="I524" s="211"/>
      <c r="J524" s="211"/>
    </row>
    <row r="525" spans="1:10" x14ac:dyDescent="0.2">
      <c r="A525" s="209"/>
      <c r="B525" s="209"/>
      <c r="C525" s="209"/>
      <c r="D525" s="211"/>
      <c r="E525" s="211"/>
      <c r="F525" s="211"/>
      <c r="G525" s="209"/>
      <c r="H525" s="209"/>
      <c r="I525" s="211"/>
      <c r="J525" s="211"/>
    </row>
    <row r="526" spans="1:10" x14ac:dyDescent="0.2">
      <c r="A526" s="209"/>
      <c r="B526" s="209"/>
      <c r="C526" s="209"/>
      <c r="D526" s="211"/>
      <c r="E526" s="211"/>
      <c r="F526" s="210"/>
      <c r="G526" s="209"/>
      <c r="H526" s="209"/>
      <c r="I526" s="211"/>
      <c r="J526" s="211"/>
    </row>
    <row r="527" spans="1:10" x14ac:dyDescent="0.2">
      <c r="A527" s="209"/>
      <c r="B527" s="209"/>
      <c r="C527" s="209"/>
      <c r="D527" s="211"/>
      <c r="E527" s="211"/>
      <c r="F527" s="211"/>
      <c r="G527" s="209"/>
      <c r="H527" s="209"/>
      <c r="I527" s="211"/>
      <c r="J527" s="211"/>
    </row>
    <row r="528" spans="1:10" x14ac:dyDescent="0.2">
      <c r="A528" s="209"/>
      <c r="B528" s="209"/>
      <c r="C528" s="209"/>
      <c r="D528" s="211"/>
      <c r="E528" s="211"/>
      <c r="F528" s="210"/>
      <c r="G528" s="209"/>
      <c r="H528" s="209"/>
      <c r="I528" s="211"/>
      <c r="J528" s="211"/>
    </row>
    <row r="529" spans="1:10" x14ac:dyDescent="0.2">
      <c r="A529" s="209"/>
      <c r="B529" s="209"/>
      <c r="C529" s="209"/>
      <c r="D529" s="211"/>
      <c r="E529" s="211"/>
      <c r="F529" s="211"/>
      <c r="G529" s="209"/>
      <c r="H529" s="209"/>
      <c r="I529" s="211"/>
      <c r="J529" s="211"/>
    </row>
    <row r="530" spans="1:10" x14ac:dyDescent="0.2">
      <c r="A530" s="209"/>
      <c r="B530" s="209"/>
      <c r="C530" s="209"/>
      <c r="D530" s="211"/>
      <c r="E530" s="211"/>
      <c r="F530" s="210"/>
      <c r="G530" s="209"/>
      <c r="H530" s="209"/>
      <c r="I530" s="211"/>
      <c r="J530" s="211"/>
    </row>
    <row r="531" spans="1:10" x14ac:dyDescent="0.2">
      <c r="A531" s="209"/>
      <c r="B531" s="209"/>
      <c r="C531" s="209"/>
      <c r="D531" s="211"/>
      <c r="E531" s="211"/>
      <c r="F531" s="211"/>
      <c r="G531" s="209"/>
      <c r="H531" s="209"/>
      <c r="I531" s="211"/>
      <c r="J531" s="211"/>
    </row>
    <row r="532" spans="1:10" x14ac:dyDescent="0.2">
      <c r="A532" s="209"/>
      <c r="B532" s="209"/>
      <c r="C532" s="209"/>
      <c r="D532" s="211"/>
      <c r="E532" s="211"/>
      <c r="F532" s="210"/>
      <c r="G532" s="209"/>
      <c r="H532" s="209"/>
      <c r="I532" s="211"/>
      <c r="J532" s="211"/>
    </row>
    <row r="533" spans="1:10" x14ac:dyDescent="0.2">
      <c r="A533" s="209"/>
      <c r="B533" s="209"/>
      <c r="C533" s="209"/>
      <c r="D533" s="211"/>
      <c r="E533" s="211"/>
      <c r="F533" s="211"/>
      <c r="G533" s="209"/>
      <c r="H533" s="209"/>
      <c r="I533" s="211"/>
      <c r="J533" s="211"/>
    </row>
    <row r="534" spans="1:10" x14ac:dyDescent="0.2">
      <c r="A534" s="209"/>
      <c r="B534" s="209"/>
      <c r="C534" s="209"/>
      <c r="D534" s="211"/>
      <c r="E534" s="211"/>
      <c r="F534" s="210"/>
      <c r="G534" s="209"/>
      <c r="H534" s="209"/>
      <c r="I534" s="211"/>
      <c r="J534" s="211"/>
    </row>
    <row r="535" spans="1:10" x14ac:dyDescent="0.2">
      <c r="A535" s="209"/>
      <c r="B535" s="209"/>
      <c r="C535" s="209"/>
      <c r="D535" s="211"/>
      <c r="E535" s="211"/>
      <c r="F535" s="211"/>
      <c r="G535" s="209"/>
      <c r="H535" s="209"/>
      <c r="I535" s="211"/>
      <c r="J535" s="211"/>
    </row>
    <row r="536" spans="1:10" x14ac:dyDescent="0.2">
      <c r="A536" s="209"/>
      <c r="B536" s="209"/>
      <c r="C536" s="209"/>
      <c r="D536" s="211"/>
      <c r="E536" s="211"/>
      <c r="F536" s="210"/>
      <c r="G536" s="209"/>
      <c r="H536" s="209"/>
      <c r="I536" s="211"/>
      <c r="J536" s="211"/>
    </row>
    <row r="537" spans="1:10" x14ac:dyDescent="0.2">
      <c r="A537" s="209"/>
      <c r="B537" s="209"/>
      <c r="C537" s="209"/>
      <c r="D537" s="211"/>
      <c r="E537" s="211"/>
      <c r="F537" s="211"/>
      <c r="G537" s="209"/>
      <c r="H537" s="209"/>
      <c r="I537" s="211"/>
      <c r="J537" s="211"/>
    </row>
    <row r="538" spans="1:10" x14ac:dyDescent="0.2">
      <c r="A538" s="209"/>
      <c r="B538" s="209"/>
      <c r="C538" s="209"/>
      <c r="D538" s="211"/>
      <c r="E538" s="211"/>
      <c r="F538" s="210"/>
      <c r="G538" s="209"/>
      <c r="H538" s="209"/>
      <c r="I538" s="211"/>
      <c r="J538" s="211"/>
    </row>
    <row r="539" spans="1:10" x14ac:dyDescent="0.2">
      <c r="A539" s="209"/>
      <c r="B539" s="209"/>
      <c r="C539" s="209"/>
      <c r="D539" s="211"/>
      <c r="E539" s="211"/>
      <c r="F539" s="211"/>
      <c r="G539" s="209"/>
      <c r="H539" s="209"/>
      <c r="I539" s="211"/>
      <c r="J539" s="211"/>
    </row>
    <row r="540" spans="1:10" x14ac:dyDescent="0.2">
      <c r="A540" s="209"/>
      <c r="B540" s="209"/>
      <c r="C540" s="209"/>
      <c r="D540" s="211"/>
      <c r="E540" s="211"/>
      <c r="F540" s="210"/>
      <c r="G540" s="209"/>
      <c r="H540" s="209"/>
      <c r="I540" s="211"/>
      <c r="J540" s="211"/>
    </row>
    <row r="541" spans="1:10" x14ac:dyDescent="0.2">
      <c r="A541" s="209"/>
      <c r="B541" s="209"/>
      <c r="C541" s="209"/>
      <c r="D541" s="211"/>
      <c r="E541" s="211"/>
      <c r="F541" s="211"/>
      <c r="G541" s="209"/>
      <c r="H541" s="209"/>
      <c r="I541" s="211"/>
      <c r="J541" s="211"/>
    </row>
    <row r="542" spans="1:10" x14ac:dyDescent="0.2">
      <c r="A542" s="209"/>
      <c r="B542" s="209"/>
      <c r="C542" s="209"/>
      <c r="D542" s="211"/>
      <c r="E542" s="211"/>
      <c r="F542" s="210"/>
      <c r="G542" s="209"/>
      <c r="H542" s="209"/>
      <c r="I542" s="211"/>
      <c r="J542" s="211"/>
    </row>
    <row r="543" spans="1:10" ht="12.75" customHeight="1" x14ac:dyDescent="0.2">
      <c r="A543" s="209"/>
      <c r="B543" s="209"/>
      <c r="C543" s="209"/>
      <c r="D543" s="211"/>
      <c r="E543" s="211"/>
      <c r="F543" s="211"/>
      <c r="G543" s="209"/>
      <c r="H543" s="209"/>
      <c r="I543" s="211"/>
      <c r="J543" s="211"/>
    </row>
    <row r="566" spans="1:10" x14ac:dyDescent="0.2">
      <c r="A566" s="214"/>
      <c r="B566" s="214"/>
      <c r="C566" s="215"/>
      <c r="D566" s="196"/>
      <c r="E566" s="196"/>
      <c r="F566" s="216"/>
      <c r="G566" s="216"/>
      <c r="H566" s="216"/>
      <c r="I566" s="216"/>
      <c r="J566" s="216"/>
    </row>
    <row r="567" spans="1:10" x14ac:dyDescent="0.2">
      <c r="A567" s="214"/>
      <c r="B567" s="214"/>
      <c r="C567" s="215"/>
      <c r="D567" s="196"/>
      <c r="E567" s="196"/>
      <c r="F567" s="216"/>
      <c r="G567" s="216"/>
      <c r="H567" s="216"/>
      <c r="I567" s="216"/>
      <c r="J567" s="216"/>
    </row>
    <row r="568" spans="1:10" x14ac:dyDescent="0.2">
      <c r="A568" s="214"/>
      <c r="B568" s="214"/>
      <c r="C568" s="215"/>
      <c r="D568" s="196"/>
      <c r="E568" s="196"/>
      <c r="F568" s="216"/>
      <c r="G568" s="216"/>
      <c r="H568" s="216"/>
      <c r="I568" s="216"/>
      <c r="J568" s="216"/>
    </row>
    <row r="569" spans="1:10" x14ac:dyDescent="0.2">
      <c r="A569" s="214"/>
      <c r="B569" s="214"/>
      <c r="C569" s="215"/>
      <c r="D569" s="196"/>
      <c r="E569" s="196"/>
      <c r="F569" s="216"/>
      <c r="G569" s="216"/>
      <c r="H569" s="216"/>
      <c r="I569" s="216"/>
      <c r="J569" s="216"/>
    </row>
    <row r="570" spans="1:10" x14ac:dyDescent="0.2">
      <c r="A570" s="214"/>
      <c r="B570" s="214"/>
      <c r="C570" s="215"/>
      <c r="D570" s="196"/>
      <c r="E570" s="196"/>
      <c r="F570" s="216"/>
      <c r="G570" s="216"/>
      <c r="H570" s="216"/>
      <c r="I570" s="216"/>
      <c r="J570" s="216"/>
    </row>
    <row r="571" spans="1:10" x14ac:dyDescent="0.2">
      <c r="A571" s="214"/>
      <c r="B571" s="214"/>
      <c r="C571" s="215"/>
      <c r="D571" s="196"/>
      <c r="E571" s="196"/>
      <c r="F571" s="216"/>
      <c r="G571" s="216"/>
      <c r="H571" s="216"/>
      <c r="I571" s="216"/>
      <c r="J571" s="216"/>
    </row>
    <row r="572" spans="1:10" x14ac:dyDescent="0.2">
      <c r="A572" s="214"/>
      <c r="B572" s="214"/>
      <c r="C572" s="215"/>
      <c r="D572" s="196"/>
      <c r="E572" s="196"/>
      <c r="F572" s="216"/>
      <c r="G572" s="216"/>
      <c r="H572" s="216"/>
      <c r="I572" s="216"/>
      <c r="J572" s="216"/>
    </row>
    <row r="573" spans="1:10" x14ac:dyDescent="0.2">
      <c r="A573" s="214"/>
      <c r="B573" s="214"/>
      <c r="C573" s="215"/>
      <c r="D573" s="196"/>
      <c r="E573" s="196"/>
      <c r="F573" s="216"/>
      <c r="G573" s="216"/>
      <c r="H573" s="216"/>
      <c r="I573" s="216"/>
      <c r="J573" s="216"/>
    </row>
    <row r="574" spans="1:10" x14ac:dyDescent="0.2">
      <c r="A574" s="214"/>
      <c r="B574" s="214"/>
      <c r="C574" s="215"/>
      <c r="D574" s="196"/>
      <c r="E574" s="196"/>
      <c r="F574" s="216"/>
      <c r="G574" s="216"/>
      <c r="H574" s="216"/>
      <c r="I574" s="216"/>
      <c r="J574" s="216"/>
    </row>
    <row r="575" spans="1:10" x14ac:dyDescent="0.2">
      <c r="A575" s="214"/>
      <c r="B575" s="214"/>
      <c r="C575" s="215"/>
      <c r="D575" s="196"/>
      <c r="E575" s="196"/>
      <c r="F575" s="216"/>
      <c r="G575" s="216"/>
      <c r="H575" s="216"/>
      <c r="I575" s="216"/>
      <c r="J575" s="216"/>
    </row>
    <row r="576" spans="1:10" x14ac:dyDescent="0.2">
      <c r="A576" s="214"/>
      <c r="B576" s="214"/>
      <c r="C576" s="215"/>
      <c r="D576" s="196"/>
      <c r="E576" s="196"/>
      <c r="F576" s="216"/>
      <c r="G576" s="216"/>
      <c r="H576" s="216"/>
      <c r="I576" s="216"/>
      <c r="J576" s="216"/>
    </row>
    <row r="577" spans="1:10" x14ac:dyDescent="0.2">
      <c r="A577" s="215"/>
      <c r="B577" s="215"/>
      <c r="C577" s="217"/>
      <c r="D577" s="218"/>
      <c r="E577" s="218"/>
      <c r="F577" s="219"/>
      <c r="G577" s="220"/>
      <c r="H577" s="219"/>
      <c r="I577" s="219"/>
      <c r="J577" s="219"/>
    </row>
    <row r="578" spans="1:10" x14ac:dyDescent="0.2">
      <c r="A578" s="215"/>
      <c r="B578" s="215"/>
      <c r="C578" s="217"/>
      <c r="D578" s="218"/>
      <c r="E578" s="218"/>
      <c r="F578" s="219"/>
      <c r="G578" s="220"/>
      <c r="H578" s="219"/>
      <c r="I578" s="219"/>
      <c r="J578" s="219"/>
    </row>
    <row r="579" spans="1:10" x14ac:dyDescent="0.2">
      <c r="A579" s="215"/>
      <c r="B579" s="215"/>
      <c r="C579" s="217"/>
      <c r="D579" s="218"/>
      <c r="E579" s="218"/>
      <c r="F579" s="219"/>
      <c r="G579" s="220"/>
      <c r="H579" s="219"/>
      <c r="I579" s="219"/>
      <c r="J579" s="219"/>
    </row>
    <row r="580" spans="1:10" x14ac:dyDescent="0.2">
      <c r="A580" s="215"/>
      <c r="B580" s="215"/>
      <c r="C580" s="217"/>
      <c r="D580" s="218"/>
      <c r="E580" s="218"/>
      <c r="F580" s="219"/>
      <c r="G580" s="220"/>
      <c r="H580" s="219"/>
      <c r="I580" s="219"/>
      <c r="J580" s="219"/>
    </row>
    <row r="581" spans="1:10" x14ac:dyDescent="0.2">
      <c r="A581" s="215"/>
      <c r="B581" s="215"/>
      <c r="C581" s="217"/>
      <c r="D581" s="218"/>
      <c r="E581" s="218"/>
      <c r="F581" s="219"/>
      <c r="G581" s="220"/>
      <c r="H581" s="219"/>
      <c r="I581" s="219"/>
      <c r="J581" s="219"/>
    </row>
    <row r="582" spans="1:10" x14ac:dyDescent="0.2">
      <c r="A582" s="215"/>
      <c r="B582" s="215"/>
      <c r="C582" s="217"/>
      <c r="D582" s="218"/>
      <c r="E582" s="218"/>
      <c r="F582" s="219"/>
      <c r="G582" s="220"/>
      <c r="H582" s="219"/>
      <c r="I582" s="219"/>
      <c r="J582" s="219"/>
    </row>
    <row r="583" spans="1:10" x14ac:dyDescent="0.2">
      <c r="A583" s="215"/>
      <c r="B583" s="215"/>
      <c r="C583" s="217"/>
      <c r="D583" s="218"/>
      <c r="E583" s="218"/>
      <c r="F583" s="219"/>
      <c r="G583" s="220"/>
      <c r="H583" s="219"/>
      <c r="I583" s="219"/>
      <c r="J583" s="219"/>
    </row>
    <row r="584" spans="1:10" x14ac:dyDescent="0.2">
      <c r="A584" s="215"/>
      <c r="B584" s="215"/>
      <c r="C584" s="217"/>
      <c r="D584" s="218"/>
      <c r="E584" s="218"/>
      <c r="F584" s="219"/>
      <c r="G584" s="220"/>
      <c r="H584" s="219"/>
      <c r="I584" s="219"/>
      <c r="J584" s="219"/>
    </row>
    <row r="585" spans="1:10" x14ac:dyDescent="0.2">
      <c r="A585" s="215"/>
      <c r="B585" s="215"/>
      <c r="C585" s="217"/>
      <c r="D585" s="218"/>
      <c r="E585" s="218"/>
      <c r="F585" s="219"/>
      <c r="G585" s="220"/>
      <c r="H585" s="219"/>
      <c r="I585" s="219"/>
      <c r="J585" s="219"/>
    </row>
    <row r="586" spans="1:10" x14ac:dyDescent="0.2">
      <c r="A586" s="215"/>
      <c r="B586" s="215"/>
      <c r="C586" s="217"/>
      <c r="D586" s="218"/>
      <c r="E586" s="218"/>
      <c r="F586" s="219"/>
      <c r="G586" s="220"/>
      <c r="H586" s="219"/>
      <c r="I586" s="219"/>
      <c r="J586" s="219"/>
    </row>
    <row r="587" spans="1:10" x14ac:dyDescent="0.2">
      <c r="A587" s="215"/>
      <c r="B587" s="215"/>
      <c r="C587" s="217"/>
      <c r="D587" s="218"/>
      <c r="E587" s="218"/>
      <c r="F587" s="219"/>
      <c r="G587" s="220"/>
      <c r="H587" s="219"/>
      <c r="I587" s="219"/>
      <c r="J587" s="219"/>
    </row>
    <row r="588" spans="1:10" x14ac:dyDescent="0.2">
      <c r="A588" s="215"/>
      <c r="B588" s="215"/>
      <c r="C588" s="217"/>
      <c r="D588" s="218"/>
      <c r="E588" s="218"/>
      <c r="F588" s="219"/>
      <c r="G588" s="220"/>
      <c r="H588" s="219"/>
      <c r="I588" s="219"/>
      <c r="J588" s="219"/>
    </row>
    <row r="589" spans="1:10" x14ac:dyDescent="0.2">
      <c r="B589" s="221"/>
    </row>
    <row r="590" spans="1:10" x14ac:dyDescent="0.2">
      <c r="B590" s="221"/>
    </row>
    <row r="591" spans="1:10" x14ac:dyDescent="0.2">
      <c r="B591" s="221"/>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5" bestFit="1" customWidth="1"/>
    <col min="3" max="3" width="37" style="7" bestFit="1" customWidth="1"/>
    <col min="4" max="4" width="5.7109375" style="6" hidden="1" customWidth="1"/>
    <col min="5" max="5" width="29.85546875" bestFit="1" customWidth="1"/>
    <col min="6" max="6" width="26.5703125" bestFit="1" customWidth="1"/>
  </cols>
  <sheetData>
    <row r="1" spans="1:6" ht="26.25" thickBot="1" x14ac:dyDescent="0.25">
      <c r="A1" s="22" t="s">
        <v>16</v>
      </c>
      <c r="B1" s="23" t="s">
        <v>17</v>
      </c>
      <c r="C1" s="24" t="s">
        <v>18</v>
      </c>
      <c r="D1" s="25" t="s">
        <v>146</v>
      </c>
      <c r="E1" s="26" t="s">
        <v>19</v>
      </c>
      <c r="F1" s="27" t="s">
        <v>20</v>
      </c>
    </row>
    <row r="2" spans="1:6" x14ac:dyDescent="0.2">
      <c r="A2" s="183"/>
      <c r="B2" s="18"/>
      <c r="C2" s="19"/>
      <c r="D2" s="184"/>
      <c r="E2" s="20"/>
      <c r="F2" s="21"/>
    </row>
    <row r="3" spans="1:6" x14ac:dyDescent="0.2">
      <c r="A3" s="181"/>
      <c r="B3" s="4"/>
      <c r="C3" s="9"/>
      <c r="D3" s="11"/>
      <c r="E3" s="8"/>
      <c r="F3" s="12"/>
    </row>
    <row r="4" spans="1:6" x14ac:dyDescent="0.2">
      <c r="A4" s="181"/>
      <c r="B4" s="4"/>
      <c r="C4" s="9"/>
      <c r="D4" s="11"/>
      <c r="E4" s="8"/>
      <c r="F4" s="12"/>
    </row>
    <row r="5" spans="1:6" x14ac:dyDescent="0.2">
      <c r="A5" s="181"/>
      <c r="B5" s="4"/>
      <c r="C5" s="9"/>
      <c r="D5" s="11"/>
      <c r="E5" s="8"/>
      <c r="F5" s="12"/>
    </row>
    <row r="6" spans="1:6" x14ac:dyDescent="0.2">
      <c r="A6" s="181"/>
      <c r="B6" s="4"/>
      <c r="C6" s="9"/>
      <c r="D6" s="11"/>
      <c r="E6" s="8"/>
      <c r="F6" s="12"/>
    </row>
    <row r="7" spans="1:6" x14ac:dyDescent="0.2">
      <c r="A7" s="181"/>
      <c r="B7" s="4"/>
      <c r="C7" s="9"/>
      <c r="D7" s="11"/>
      <c r="E7" s="8"/>
      <c r="F7" s="12"/>
    </row>
    <row r="8" spans="1:6" x14ac:dyDescent="0.2">
      <c r="A8" s="181"/>
      <c r="B8" s="4"/>
      <c r="C8" s="9"/>
      <c r="D8" s="11"/>
      <c r="E8" s="8"/>
      <c r="F8" s="12"/>
    </row>
    <row r="9" spans="1:6" x14ac:dyDescent="0.2">
      <c r="A9" s="181"/>
      <c r="B9" s="4"/>
      <c r="C9" s="9"/>
      <c r="D9" s="11"/>
      <c r="E9" s="8"/>
      <c r="F9" s="12"/>
    </row>
    <row r="10" spans="1:6" x14ac:dyDescent="0.2">
      <c r="A10" s="181"/>
      <c r="B10" s="4"/>
      <c r="C10" s="9"/>
      <c r="D10" s="11"/>
      <c r="E10" s="8"/>
      <c r="F10" s="12"/>
    </row>
    <row r="11" spans="1:6" x14ac:dyDescent="0.2">
      <c r="A11" s="181"/>
      <c r="B11" s="4"/>
      <c r="C11" s="9"/>
      <c r="D11" s="11"/>
      <c r="E11" s="8"/>
      <c r="F11" s="12"/>
    </row>
    <row r="12" spans="1:6" x14ac:dyDescent="0.2">
      <c r="A12" s="181"/>
      <c r="B12" s="4"/>
      <c r="C12" s="9"/>
      <c r="D12" s="11"/>
      <c r="E12" s="8"/>
      <c r="F12" s="12"/>
    </row>
    <row r="13" spans="1:6" x14ac:dyDescent="0.2">
      <c r="A13" s="181"/>
      <c r="B13" s="4"/>
      <c r="C13" s="9"/>
      <c r="D13" s="11"/>
      <c r="E13" s="8"/>
      <c r="F13" s="12"/>
    </row>
    <row r="14" spans="1:6" x14ac:dyDescent="0.2">
      <c r="A14" s="181"/>
      <c r="B14" s="4"/>
      <c r="C14" s="9"/>
      <c r="D14" s="10"/>
      <c r="E14" s="8"/>
      <c r="F14" s="12"/>
    </row>
    <row r="15" spans="1:6" x14ac:dyDescent="0.2">
      <c r="A15" s="181"/>
      <c r="B15" s="4"/>
      <c r="C15" s="9"/>
      <c r="D15" s="11"/>
      <c r="E15" s="8"/>
      <c r="F15" s="12"/>
    </row>
    <row r="16" spans="1:6" x14ac:dyDescent="0.2">
      <c r="A16" s="181"/>
      <c r="B16" s="4"/>
      <c r="C16" s="9"/>
      <c r="D16" s="11"/>
      <c r="E16" s="8"/>
      <c r="F16" s="12"/>
    </row>
    <row r="17" spans="1:6" x14ac:dyDescent="0.2">
      <c r="A17" s="181"/>
      <c r="B17" s="4"/>
      <c r="C17" s="9"/>
      <c r="D17" s="11"/>
      <c r="E17" s="8"/>
      <c r="F17" s="12"/>
    </row>
    <row r="18" spans="1:6" x14ac:dyDescent="0.2">
      <c r="A18" s="181"/>
      <c r="B18" s="4"/>
      <c r="C18" s="9"/>
      <c r="D18" s="11"/>
      <c r="E18" s="8"/>
      <c r="F18" s="12"/>
    </row>
    <row r="19" spans="1:6" x14ac:dyDescent="0.2">
      <c r="A19" s="181"/>
      <c r="B19" s="4"/>
      <c r="C19" s="9"/>
      <c r="D19" s="11"/>
      <c r="E19" s="8"/>
      <c r="F19" s="12"/>
    </row>
    <row r="20" spans="1:6" x14ac:dyDescent="0.2">
      <c r="A20" s="181"/>
      <c r="B20" s="4"/>
      <c r="C20" s="9"/>
      <c r="D20" s="11"/>
      <c r="E20" s="8"/>
      <c r="F20" s="12"/>
    </row>
    <row r="21" spans="1:6" x14ac:dyDescent="0.2">
      <c r="A21" s="181"/>
      <c r="B21" s="4"/>
      <c r="C21" s="9"/>
      <c r="D21" s="11"/>
      <c r="E21" s="8"/>
      <c r="F21" s="12"/>
    </row>
    <row r="22" spans="1:6" x14ac:dyDescent="0.2">
      <c r="A22" s="181"/>
      <c r="B22" s="4"/>
      <c r="C22" s="9"/>
      <c r="D22" s="11"/>
      <c r="E22" s="8"/>
      <c r="F22" s="12"/>
    </row>
    <row r="23" spans="1:6" x14ac:dyDescent="0.2">
      <c r="A23" s="181"/>
      <c r="B23" s="4"/>
      <c r="C23" s="9"/>
      <c r="D23" s="11"/>
      <c r="E23" s="8"/>
      <c r="F23" s="12"/>
    </row>
    <row r="24" spans="1:6" x14ac:dyDescent="0.2">
      <c r="A24" s="181"/>
      <c r="B24" s="4"/>
      <c r="C24" s="9"/>
      <c r="D24" s="11"/>
      <c r="E24" s="8"/>
      <c r="F24" s="12"/>
    </row>
    <row r="25" spans="1:6" x14ac:dyDescent="0.2">
      <c r="A25" s="181"/>
      <c r="B25" s="4"/>
      <c r="C25" s="9"/>
      <c r="D25" s="11"/>
      <c r="E25" s="8"/>
      <c r="F25" s="12"/>
    </row>
    <row r="26" spans="1:6" x14ac:dyDescent="0.2">
      <c r="A26" s="181"/>
      <c r="B26" s="4"/>
      <c r="C26" s="9"/>
      <c r="D26" s="11"/>
      <c r="E26" s="8"/>
      <c r="F26" s="12"/>
    </row>
    <row r="27" spans="1:6" x14ac:dyDescent="0.2">
      <c r="A27" s="181"/>
      <c r="B27" s="4"/>
      <c r="C27" s="9"/>
      <c r="D27" s="11"/>
      <c r="E27" s="8"/>
      <c r="F27" s="12"/>
    </row>
    <row r="28" spans="1:6" x14ac:dyDescent="0.2">
      <c r="A28" s="181"/>
      <c r="B28" s="4"/>
      <c r="C28" s="9"/>
      <c r="D28" s="11"/>
      <c r="E28" s="8"/>
      <c r="F28" s="12"/>
    </row>
    <row r="29" spans="1:6" x14ac:dyDescent="0.2">
      <c r="A29" s="181"/>
      <c r="B29" s="4"/>
      <c r="C29" s="9"/>
      <c r="D29" s="11"/>
      <c r="E29" s="8"/>
      <c r="F29" s="12"/>
    </row>
    <row r="30" spans="1:6" x14ac:dyDescent="0.2">
      <c r="A30" s="181"/>
      <c r="B30" s="4"/>
      <c r="C30" s="9"/>
      <c r="D30" s="10"/>
      <c r="E30" s="8"/>
      <c r="F30" s="12"/>
    </row>
    <row r="31" spans="1:6" x14ac:dyDescent="0.2">
      <c r="A31" s="181"/>
      <c r="B31" s="4"/>
      <c r="C31" s="9"/>
      <c r="D31" s="11"/>
      <c r="E31" s="8"/>
      <c r="F31" s="12"/>
    </row>
    <row r="32" spans="1:6" x14ac:dyDescent="0.2">
      <c r="A32" s="181"/>
      <c r="B32" s="4"/>
      <c r="C32" s="9"/>
      <c r="D32" s="11"/>
      <c r="E32" s="8"/>
      <c r="F32" s="12"/>
    </row>
    <row r="33" spans="1:6" x14ac:dyDescent="0.2">
      <c r="A33" s="181"/>
      <c r="B33" s="4"/>
      <c r="C33" s="9"/>
      <c r="D33" s="11"/>
      <c r="E33" s="8"/>
      <c r="F33" s="12"/>
    </row>
    <row r="34" spans="1:6" x14ac:dyDescent="0.2">
      <c r="A34" s="181"/>
      <c r="B34" s="4"/>
      <c r="C34" s="9"/>
      <c r="D34" s="11"/>
      <c r="E34" s="8"/>
      <c r="F34" s="12"/>
    </row>
    <row r="35" spans="1:6" x14ac:dyDescent="0.2">
      <c r="A35" s="181"/>
      <c r="B35" s="4"/>
      <c r="C35" s="9"/>
      <c r="D35" s="11"/>
      <c r="E35" s="8"/>
      <c r="F35" s="12"/>
    </row>
    <row r="36" spans="1:6" x14ac:dyDescent="0.2">
      <c r="A36" s="181"/>
      <c r="B36" s="4"/>
      <c r="C36" s="9"/>
      <c r="D36" s="11"/>
      <c r="E36" s="8"/>
      <c r="F36" s="12"/>
    </row>
    <row r="37" spans="1:6" x14ac:dyDescent="0.2">
      <c r="A37" s="181"/>
      <c r="B37" s="4"/>
      <c r="C37" s="9"/>
      <c r="D37" s="11"/>
      <c r="E37" s="8"/>
      <c r="F37" s="28"/>
    </row>
    <row r="38" spans="1:6" x14ac:dyDescent="0.2">
      <c r="A38" s="181"/>
      <c r="B38" s="4"/>
      <c r="C38" s="9"/>
      <c r="D38" s="11"/>
      <c r="E38" s="8"/>
      <c r="F38" s="12"/>
    </row>
    <row r="39" spans="1:6" x14ac:dyDescent="0.2">
      <c r="A39" s="181"/>
      <c r="B39" s="4"/>
      <c r="C39" s="9"/>
      <c r="D39" s="11"/>
      <c r="E39" s="8"/>
      <c r="F39" s="12"/>
    </row>
    <row r="40" spans="1:6" x14ac:dyDescent="0.2">
      <c r="A40" s="181"/>
      <c r="B40" s="4"/>
      <c r="C40" s="9"/>
      <c r="D40" s="11"/>
      <c r="E40" s="8"/>
      <c r="F40" s="12"/>
    </row>
    <row r="41" spans="1:6" x14ac:dyDescent="0.2">
      <c r="A41" s="181"/>
      <c r="B41" s="4"/>
      <c r="C41" s="9"/>
      <c r="D41" s="11"/>
      <c r="E41" s="8"/>
      <c r="F41" s="12"/>
    </row>
    <row r="42" spans="1:6" x14ac:dyDescent="0.2">
      <c r="A42" s="181"/>
      <c r="B42" s="4"/>
      <c r="C42" s="9"/>
      <c r="D42" s="11"/>
      <c r="E42" s="8"/>
      <c r="F42" s="12"/>
    </row>
    <row r="43" spans="1:6" x14ac:dyDescent="0.2">
      <c r="A43" s="181"/>
      <c r="B43" s="4"/>
      <c r="C43" s="9"/>
      <c r="D43" s="11"/>
      <c r="E43" s="8"/>
      <c r="F43" s="12"/>
    </row>
    <row r="44" spans="1:6" x14ac:dyDescent="0.2">
      <c r="A44" s="181"/>
      <c r="B44" s="4"/>
      <c r="C44" s="9"/>
      <c r="D44" s="11"/>
      <c r="E44" s="8"/>
      <c r="F44" s="12"/>
    </row>
    <row r="45" spans="1:6" x14ac:dyDescent="0.2">
      <c r="A45" s="181"/>
      <c r="B45" s="4"/>
      <c r="C45" s="9"/>
      <c r="D45" s="11"/>
      <c r="E45" s="8"/>
      <c r="F45" s="12"/>
    </row>
    <row r="46" spans="1:6" x14ac:dyDescent="0.2">
      <c r="A46" s="181"/>
      <c r="B46" s="4"/>
      <c r="C46" s="9"/>
      <c r="D46" s="11"/>
      <c r="E46" s="8"/>
      <c r="F46" s="12"/>
    </row>
    <row r="47" spans="1:6" x14ac:dyDescent="0.2">
      <c r="A47" s="181"/>
      <c r="B47" s="4"/>
      <c r="C47" s="9"/>
      <c r="D47" s="11"/>
      <c r="E47" s="8"/>
      <c r="F47" s="12"/>
    </row>
    <row r="48" spans="1:6" x14ac:dyDescent="0.2">
      <c r="A48" s="181"/>
      <c r="B48" s="4"/>
      <c r="C48" s="9"/>
      <c r="D48" s="11"/>
      <c r="E48" s="8"/>
      <c r="F48" s="12"/>
    </row>
    <row r="49" spans="1:6" x14ac:dyDescent="0.2">
      <c r="A49" s="181"/>
      <c r="B49" s="4"/>
      <c r="C49" s="9"/>
      <c r="D49" s="11"/>
      <c r="E49" s="8"/>
      <c r="F49" s="28"/>
    </row>
    <row r="50" spans="1:6" x14ac:dyDescent="0.2">
      <c r="A50" s="181"/>
      <c r="B50" s="4"/>
      <c r="C50" s="9"/>
      <c r="D50" s="11"/>
      <c r="E50" s="8"/>
      <c r="F50" s="12"/>
    </row>
    <row r="51" spans="1:6" x14ac:dyDescent="0.2">
      <c r="A51" s="181"/>
      <c r="B51" s="4"/>
      <c r="C51" s="9"/>
      <c r="D51" s="11"/>
      <c r="E51" s="8"/>
      <c r="F51" s="12"/>
    </row>
    <row r="52" spans="1:6" x14ac:dyDescent="0.2">
      <c r="A52" s="181"/>
      <c r="B52" s="4"/>
      <c r="C52" s="9"/>
      <c r="D52" s="11"/>
      <c r="E52" s="8"/>
      <c r="F52" s="12"/>
    </row>
    <row r="53" spans="1:6" x14ac:dyDescent="0.2">
      <c r="A53" s="181"/>
      <c r="B53" s="4"/>
      <c r="C53" s="9"/>
      <c r="D53" s="11"/>
      <c r="E53" s="8"/>
      <c r="F53" s="12"/>
    </row>
    <row r="54" spans="1:6" x14ac:dyDescent="0.2">
      <c r="A54" s="181"/>
      <c r="B54" s="4"/>
      <c r="C54" s="9"/>
      <c r="D54" s="11"/>
      <c r="E54" s="8"/>
      <c r="F54" s="12"/>
    </row>
    <row r="55" spans="1:6" x14ac:dyDescent="0.2">
      <c r="A55" s="181"/>
      <c r="B55" s="4"/>
      <c r="C55" s="9"/>
      <c r="D55" s="11"/>
      <c r="E55" s="8"/>
      <c r="F55" s="12"/>
    </row>
    <row r="56" spans="1:6" x14ac:dyDescent="0.2">
      <c r="A56" s="181"/>
      <c r="B56" s="4"/>
      <c r="C56" s="9"/>
      <c r="D56" s="11"/>
      <c r="E56" s="8"/>
      <c r="F56" s="12"/>
    </row>
    <row r="57" spans="1:6" x14ac:dyDescent="0.2">
      <c r="A57" s="181"/>
      <c r="B57" s="4"/>
      <c r="C57" s="9"/>
      <c r="D57" s="11"/>
      <c r="E57" s="8"/>
      <c r="F57" s="12"/>
    </row>
    <row r="58" spans="1:6" x14ac:dyDescent="0.2">
      <c r="A58" s="181"/>
      <c r="B58" s="4"/>
      <c r="C58" s="9"/>
      <c r="D58" s="11"/>
      <c r="E58" s="8"/>
      <c r="F58" s="12"/>
    </row>
    <row r="59" spans="1:6" x14ac:dyDescent="0.2">
      <c r="A59" s="181"/>
      <c r="B59" s="4"/>
      <c r="C59" s="9"/>
      <c r="D59" s="11"/>
      <c r="E59" s="8"/>
      <c r="F59" s="12"/>
    </row>
    <row r="60" spans="1:6" x14ac:dyDescent="0.2">
      <c r="A60" s="181"/>
      <c r="B60" s="4"/>
      <c r="C60" s="9"/>
      <c r="D60" s="11"/>
      <c r="E60" s="8"/>
      <c r="F60" s="12"/>
    </row>
    <row r="61" spans="1:6" x14ac:dyDescent="0.2">
      <c r="A61" s="181"/>
      <c r="B61" s="4"/>
      <c r="C61" s="9"/>
      <c r="D61" s="11"/>
      <c r="E61" s="8"/>
      <c r="F61" s="12"/>
    </row>
    <row r="62" spans="1:6" x14ac:dyDescent="0.2">
      <c r="A62" s="181"/>
      <c r="B62" s="4"/>
      <c r="C62" s="9"/>
      <c r="D62" s="11"/>
      <c r="E62" s="8"/>
      <c r="F62" s="12"/>
    </row>
    <row r="63" spans="1:6" x14ac:dyDescent="0.2">
      <c r="A63" s="181"/>
      <c r="B63" s="4"/>
      <c r="C63" s="9"/>
      <c r="D63" s="11"/>
      <c r="E63" s="8"/>
      <c r="F63" s="12"/>
    </row>
    <row r="64" spans="1:6" x14ac:dyDescent="0.2">
      <c r="A64" s="181"/>
      <c r="B64" s="4"/>
      <c r="C64" s="9"/>
      <c r="D64" s="11"/>
      <c r="E64" s="8"/>
      <c r="F64" s="12"/>
    </row>
    <row r="65" spans="1:6" x14ac:dyDescent="0.2">
      <c r="A65" s="181"/>
      <c r="B65" s="4"/>
      <c r="C65" s="9"/>
      <c r="D65" s="11"/>
      <c r="E65" s="8"/>
      <c r="F65" s="12"/>
    </row>
    <row r="66" spans="1:6" x14ac:dyDescent="0.2">
      <c r="A66" s="181"/>
      <c r="B66" s="4"/>
      <c r="C66" s="9"/>
      <c r="D66" s="11"/>
      <c r="E66" s="8"/>
      <c r="F66" s="12"/>
    </row>
    <row r="67" spans="1:6" x14ac:dyDescent="0.2">
      <c r="A67" s="181"/>
      <c r="B67" s="4"/>
      <c r="C67" s="9"/>
      <c r="D67" s="11"/>
      <c r="E67" s="8"/>
      <c r="F67" s="12"/>
    </row>
    <row r="68" spans="1:6" x14ac:dyDescent="0.2">
      <c r="A68" s="181"/>
      <c r="B68" s="4"/>
      <c r="C68" s="9"/>
      <c r="D68" s="11"/>
      <c r="E68" s="8"/>
      <c r="F68" s="12"/>
    </row>
    <row r="69" spans="1:6" x14ac:dyDescent="0.2">
      <c r="A69" s="181"/>
      <c r="B69" s="4"/>
      <c r="C69" s="9"/>
      <c r="D69" s="11"/>
      <c r="E69" s="8"/>
      <c r="F69" s="12"/>
    </row>
    <row r="70" spans="1:6" x14ac:dyDescent="0.2">
      <c r="A70" s="181"/>
      <c r="B70" s="4"/>
      <c r="C70" s="9"/>
      <c r="D70" s="11"/>
      <c r="E70" s="8"/>
      <c r="F70" s="12"/>
    </row>
    <row r="71" spans="1:6" x14ac:dyDescent="0.2">
      <c r="A71" s="181"/>
      <c r="B71" s="4"/>
      <c r="C71" s="9"/>
      <c r="D71" s="11"/>
      <c r="E71" s="8"/>
      <c r="F71" s="12"/>
    </row>
    <row r="72" spans="1:6" x14ac:dyDescent="0.2">
      <c r="A72" s="181"/>
      <c r="B72" s="4"/>
      <c r="C72" s="9"/>
      <c r="D72" s="11"/>
      <c r="E72" s="8"/>
      <c r="F72" s="12"/>
    </row>
    <row r="73" spans="1:6" ht="13.5" thickBot="1" x14ac:dyDescent="0.25">
      <c r="A73" s="182"/>
      <c r="B73" s="13"/>
      <c r="C73" s="14"/>
      <c r="D73" s="15"/>
      <c r="E73" s="16"/>
      <c r="F73" s="17"/>
    </row>
    <row r="74" spans="1:6" x14ac:dyDescent="0.2">
      <c r="A74" s="185"/>
      <c r="B74" s="178"/>
      <c r="C74" s="179"/>
      <c r="D74" s="180"/>
      <c r="E74" s="177"/>
      <c r="F74" s="177"/>
    </row>
    <row r="75" spans="1:6" x14ac:dyDescent="0.2">
      <c r="A75" s="177"/>
      <c r="B75" s="178"/>
      <c r="C75" s="179"/>
      <c r="D75" s="180"/>
      <c r="E75" s="177"/>
      <c r="F75" s="177"/>
    </row>
    <row r="76" spans="1:6" x14ac:dyDescent="0.2">
      <c r="A76" s="177"/>
      <c r="B76" s="178"/>
      <c r="C76" s="179"/>
      <c r="D76" s="180"/>
      <c r="E76" s="177"/>
      <c r="F76" s="177"/>
    </row>
    <row r="77" spans="1:6" x14ac:dyDescent="0.2">
      <c r="A77" s="177"/>
      <c r="B77" s="178"/>
      <c r="C77" s="179"/>
      <c r="D77" s="180"/>
      <c r="E77" s="177"/>
      <c r="F77" s="177"/>
    </row>
    <row r="78" spans="1:6" x14ac:dyDescent="0.2">
      <c r="A78" s="177"/>
      <c r="B78" s="178"/>
      <c r="C78" s="179"/>
      <c r="D78" s="180"/>
      <c r="E78" s="177"/>
      <c r="F78" s="177"/>
    </row>
    <row r="79" spans="1:6" x14ac:dyDescent="0.2">
      <c r="A79" s="177"/>
      <c r="B79" s="178"/>
      <c r="C79" s="179"/>
      <c r="D79" s="180"/>
      <c r="E79" s="177"/>
      <c r="F79" s="177"/>
    </row>
    <row r="80" spans="1:6" x14ac:dyDescent="0.2">
      <c r="A80" s="177"/>
      <c r="B80" s="178"/>
      <c r="C80" s="179"/>
      <c r="D80" s="180"/>
      <c r="E80" s="177"/>
      <c r="F80" s="177"/>
    </row>
    <row r="81" spans="1:6" x14ac:dyDescent="0.2">
      <c r="A81" s="177"/>
      <c r="B81" s="178"/>
      <c r="C81" s="179"/>
      <c r="D81" s="180"/>
      <c r="E81" s="177"/>
      <c r="F81" s="177"/>
    </row>
    <row r="82" spans="1:6" x14ac:dyDescent="0.2">
      <c r="A82" s="177"/>
      <c r="B82" s="178"/>
      <c r="C82" s="179"/>
      <c r="D82" s="180"/>
      <c r="E82" s="177"/>
      <c r="F82" s="177"/>
    </row>
    <row r="83" spans="1:6" x14ac:dyDescent="0.2">
      <c r="A83" s="177"/>
      <c r="B83" s="178"/>
      <c r="C83" s="179"/>
      <c r="D83" s="180"/>
      <c r="E83" s="177"/>
      <c r="F83" s="177"/>
    </row>
    <row r="84" spans="1:6" x14ac:dyDescent="0.2">
      <c r="A84" s="177"/>
      <c r="B84" s="178"/>
      <c r="C84" s="179"/>
      <c r="D84" s="180"/>
      <c r="E84" s="177"/>
      <c r="F84" s="177"/>
    </row>
    <row r="85" spans="1:6" x14ac:dyDescent="0.2">
      <c r="A85" s="177"/>
      <c r="B85" s="178"/>
      <c r="C85" s="179"/>
      <c r="D85" s="180"/>
      <c r="E85" s="177"/>
      <c r="F85" s="177"/>
    </row>
    <row r="86" spans="1:6" x14ac:dyDescent="0.2">
      <c r="A86" s="177"/>
      <c r="B86" s="178"/>
      <c r="C86" s="179"/>
      <c r="D86" s="180"/>
      <c r="E86" s="177"/>
      <c r="F86" s="177"/>
    </row>
    <row r="87" spans="1:6" x14ac:dyDescent="0.2">
      <c r="A87" s="177"/>
      <c r="B87" s="178"/>
      <c r="C87" s="179"/>
      <c r="D87" s="180"/>
      <c r="E87" s="177"/>
      <c r="F87" s="177"/>
    </row>
    <row r="88" spans="1:6" x14ac:dyDescent="0.2">
      <c r="A88" s="177"/>
      <c r="B88" s="178"/>
      <c r="C88" s="179"/>
      <c r="D88" s="180"/>
      <c r="E88" s="177"/>
      <c r="F88" s="177"/>
    </row>
    <row r="89" spans="1:6" x14ac:dyDescent="0.2">
      <c r="A89" s="177"/>
      <c r="B89" s="178"/>
      <c r="C89" s="179"/>
      <c r="D89" s="180"/>
      <c r="E89" s="177"/>
      <c r="F89" s="177"/>
    </row>
    <row r="90" spans="1:6" x14ac:dyDescent="0.2">
      <c r="A90" s="177"/>
      <c r="B90" s="178"/>
      <c r="C90" s="179"/>
      <c r="D90" s="180"/>
      <c r="E90" s="177"/>
      <c r="F90" s="177"/>
    </row>
    <row r="91" spans="1:6" x14ac:dyDescent="0.2">
      <c r="A91" s="177"/>
      <c r="B91" s="178"/>
      <c r="C91" s="179"/>
      <c r="D91" s="180"/>
      <c r="E91" s="177"/>
      <c r="F91" s="177"/>
    </row>
    <row r="92" spans="1:6" x14ac:dyDescent="0.2">
      <c r="A92" s="177"/>
      <c r="B92" s="178"/>
      <c r="C92" s="179"/>
      <c r="D92" s="180"/>
      <c r="E92" s="177"/>
      <c r="F92" s="177"/>
    </row>
    <row r="93" spans="1:6" x14ac:dyDescent="0.2">
      <c r="A93" s="177"/>
      <c r="B93" s="178"/>
      <c r="C93" s="179"/>
      <c r="D93" s="180"/>
      <c r="E93" s="177"/>
      <c r="F93" s="177"/>
    </row>
    <row r="94" spans="1:6" x14ac:dyDescent="0.2">
      <c r="A94" s="177"/>
      <c r="B94" s="178"/>
      <c r="C94" s="179"/>
      <c r="D94" s="180"/>
      <c r="E94" s="177"/>
      <c r="F94" s="177"/>
    </row>
    <row r="95" spans="1:6" x14ac:dyDescent="0.2">
      <c r="A95" s="177"/>
      <c r="B95" s="178"/>
      <c r="C95" s="179"/>
      <c r="D95" s="180"/>
      <c r="E95" s="177"/>
      <c r="F95" s="177"/>
    </row>
    <row r="96" spans="1:6" x14ac:dyDescent="0.2">
      <c r="A96" s="177"/>
      <c r="B96" s="178"/>
      <c r="C96" s="179"/>
      <c r="D96" s="180"/>
      <c r="E96" s="177"/>
      <c r="F96" s="177"/>
    </row>
    <row r="97" spans="1:6" x14ac:dyDescent="0.2">
      <c r="A97" s="177"/>
      <c r="B97" s="178"/>
      <c r="C97" s="179"/>
      <c r="D97" s="180"/>
      <c r="E97" s="177"/>
      <c r="F97" s="177"/>
    </row>
    <row r="98" spans="1:6" x14ac:dyDescent="0.2">
      <c r="A98" s="177"/>
      <c r="B98" s="178"/>
      <c r="C98" s="179"/>
      <c r="D98" s="180"/>
      <c r="E98" s="177"/>
      <c r="F98" s="177"/>
    </row>
    <row r="99" spans="1:6" x14ac:dyDescent="0.2">
      <c r="A99" s="177"/>
      <c r="B99" s="178"/>
      <c r="C99" s="179"/>
      <c r="D99" s="180"/>
      <c r="E99" s="177"/>
      <c r="F99" s="177"/>
    </row>
    <row r="100" spans="1:6" x14ac:dyDescent="0.2">
      <c r="A100" s="177"/>
      <c r="B100" s="178"/>
      <c r="C100" s="179"/>
      <c r="D100" s="180"/>
      <c r="E100" s="177"/>
      <c r="F100" s="177"/>
    </row>
    <row r="101" spans="1:6" x14ac:dyDescent="0.2">
      <c r="A101" s="177"/>
      <c r="B101" s="178"/>
      <c r="C101" s="179"/>
      <c r="D101" s="180"/>
      <c r="E101" s="177"/>
      <c r="F101" s="177"/>
    </row>
    <row r="102" spans="1:6" x14ac:dyDescent="0.2">
      <c r="A102" s="177"/>
      <c r="B102" s="178"/>
      <c r="C102" s="179"/>
      <c r="D102" s="180"/>
      <c r="E102" s="177"/>
      <c r="F102" s="177"/>
    </row>
    <row r="103" spans="1:6" x14ac:dyDescent="0.2">
      <c r="A103" s="177"/>
      <c r="B103" s="178"/>
      <c r="C103" s="179"/>
      <c r="D103" s="180"/>
      <c r="E103" s="177"/>
      <c r="F103" s="177"/>
    </row>
    <row r="104" spans="1:6" x14ac:dyDescent="0.2">
      <c r="A104" s="177"/>
      <c r="B104" s="178"/>
      <c r="C104" s="179"/>
      <c r="D104" s="180"/>
      <c r="E104" s="177"/>
      <c r="F104" s="177"/>
    </row>
    <row r="105" spans="1:6" x14ac:dyDescent="0.2">
      <c r="A105" s="177"/>
      <c r="B105" s="178"/>
      <c r="C105" s="179"/>
      <c r="D105" s="180"/>
      <c r="E105" s="177"/>
      <c r="F105" s="177"/>
    </row>
    <row r="106" spans="1:6" x14ac:dyDescent="0.2">
      <c r="A106" s="177"/>
      <c r="B106" s="178"/>
      <c r="C106" s="179"/>
      <c r="D106" s="180"/>
      <c r="E106" s="177"/>
      <c r="F106" s="177"/>
    </row>
    <row r="107" spans="1:6" x14ac:dyDescent="0.2">
      <c r="A107" s="177"/>
      <c r="B107" s="178"/>
      <c r="C107" s="179"/>
      <c r="D107" s="180"/>
      <c r="E107" s="177"/>
      <c r="F107" s="177"/>
    </row>
    <row r="108" spans="1:6" x14ac:dyDescent="0.2">
      <c r="A108" s="177"/>
      <c r="B108" s="178"/>
      <c r="C108" s="179"/>
      <c r="D108" s="180"/>
      <c r="E108" s="177"/>
      <c r="F108" s="177"/>
    </row>
    <row r="109" spans="1:6" x14ac:dyDescent="0.2">
      <c r="A109" s="177"/>
      <c r="B109" s="178"/>
      <c r="C109" s="179"/>
      <c r="D109" s="180"/>
      <c r="E109" s="177"/>
      <c r="F109" s="177"/>
    </row>
    <row r="110" spans="1:6" x14ac:dyDescent="0.2">
      <c r="A110" s="177"/>
      <c r="B110" s="178"/>
      <c r="C110" s="179"/>
      <c r="D110" s="180"/>
      <c r="E110" s="177"/>
      <c r="F110" s="177"/>
    </row>
    <row r="111" spans="1:6" x14ac:dyDescent="0.2">
      <c r="A111" s="177"/>
      <c r="B111" s="178"/>
      <c r="C111" s="179"/>
      <c r="D111" s="180"/>
      <c r="E111" s="177"/>
      <c r="F111" s="177"/>
    </row>
    <row r="112" spans="1:6" x14ac:dyDescent="0.2">
      <c r="A112" s="177"/>
      <c r="B112" s="178"/>
      <c r="C112" s="179"/>
      <c r="D112" s="180"/>
      <c r="E112" s="177"/>
      <c r="F112" s="177"/>
    </row>
    <row r="113" spans="1:6" x14ac:dyDescent="0.2">
      <c r="A113" s="177"/>
      <c r="B113" s="178"/>
      <c r="C113" s="179"/>
      <c r="D113" s="180"/>
      <c r="E113" s="177"/>
      <c r="F113" s="177"/>
    </row>
    <row r="114" spans="1:6" x14ac:dyDescent="0.2">
      <c r="A114" s="177"/>
      <c r="B114" s="178"/>
      <c r="C114" s="179"/>
      <c r="D114" s="180"/>
      <c r="E114" s="177"/>
      <c r="F114" s="177"/>
    </row>
    <row r="115" spans="1:6" x14ac:dyDescent="0.2">
      <c r="A115" s="177"/>
      <c r="B115" s="178"/>
      <c r="C115" s="179"/>
      <c r="D115" s="180"/>
      <c r="E115" s="177"/>
      <c r="F115" s="177"/>
    </row>
    <row r="116" spans="1:6" x14ac:dyDescent="0.2">
      <c r="A116" s="177"/>
      <c r="B116" s="178"/>
      <c r="C116" s="179"/>
      <c r="D116" s="180"/>
      <c r="E116" s="177"/>
      <c r="F116" s="177"/>
    </row>
    <row r="117" spans="1:6" x14ac:dyDescent="0.2">
      <c r="A117" s="177"/>
      <c r="B117" s="178"/>
      <c r="C117" s="179"/>
      <c r="D117" s="180"/>
      <c r="E117" s="177"/>
      <c r="F117" s="177"/>
    </row>
    <row r="118" spans="1:6" x14ac:dyDescent="0.2">
      <c r="A118" s="177"/>
      <c r="B118" s="178"/>
      <c r="C118" s="179"/>
      <c r="D118" s="180"/>
      <c r="E118" s="177"/>
      <c r="F118" s="177"/>
    </row>
    <row r="119" spans="1:6" x14ac:dyDescent="0.2">
      <c r="A119" s="177"/>
      <c r="B119" s="178"/>
      <c r="C119" s="179"/>
      <c r="D119" s="180"/>
      <c r="E119" s="177"/>
      <c r="F119" s="177"/>
    </row>
    <row r="120" spans="1:6" x14ac:dyDescent="0.2">
      <c r="A120" s="177"/>
      <c r="B120" s="178"/>
      <c r="C120" s="179"/>
      <c r="D120" s="180"/>
      <c r="E120" s="177"/>
      <c r="F120" s="177"/>
    </row>
    <row r="121" spans="1:6" x14ac:dyDescent="0.2">
      <c r="A121" s="177"/>
      <c r="B121" s="178"/>
      <c r="C121" s="179"/>
      <c r="D121" s="180"/>
      <c r="E121" s="177"/>
      <c r="F121" s="177"/>
    </row>
    <row r="122" spans="1:6" x14ac:dyDescent="0.2">
      <c r="A122" s="177"/>
      <c r="B122" s="178"/>
      <c r="C122" s="179"/>
      <c r="D122" s="180"/>
      <c r="E122" s="177"/>
      <c r="F122" s="177"/>
    </row>
    <row r="123" spans="1:6" x14ac:dyDescent="0.2">
      <c r="A123" s="177"/>
      <c r="B123" s="178"/>
      <c r="C123" s="179"/>
      <c r="D123" s="180"/>
      <c r="E123" s="177"/>
      <c r="F123" s="177"/>
    </row>
    <row r="124" spans="1:6" x14ac:dyDescent="0.2">
      <c r="A124" s="177"/>
      <c r="B124" s="178"/>
      <c r="C124" s="179"/>
      <c r="D124" s="180"/>
      <c r="E124" s="177"/>
      <c r="F124" s="177"/>
    </row>
    <row r="125" spans="1:6" x14ac:dyDescent="0.2">
      <c r="A125" s="177"/>
      <c r="B125" s="178"/>
      <c r="C125" s="179"/>
      <c r="D125" s="180"/>
      <c r="E125" s="177"/>
      <c r="F125" s="177"/>
    </row>
    <row r="126" spans="1:6" x14ac:dyDescent="0.2">
      <c r="A126" s="177"/>
      <c r="B126" s="178"/>
      <c r="C126" s="179"/>
      <c r="D126" s="180"/>
      <c r="E126" s="177"/>
      <c r="F126" s="177"/>
    </row>
    <row r="127" spans="1:6" x14ac:dyDescent="0.2">
      <c r="A127" s="177"/>
      <c r="B127" s="178"/>
      <c r="C127" s="179"/>
      <c r="D127" s="180"/>
      <c r="E127" s="177"/>
      <c r="F127" s="177"/>
    </row>
    <row r="128" spans="1:6" x14ac:dyDescent="0.2">
      <c r="A128" s="177"/>
      <c r="B128" s="178"/>
      <c r="C128" s="179"/>
      <c r="D128" s="180"/>
      <c r="E128" s="177"/>
      <c r="F128" s="177"/>
    </row>
    <row r="129" spans="1:6" x14ac:dyDescent="0.2">
      <c r="A129" s="177"/>
      <c r="B129" s="178"/>
      <c r="C129" s="179"/>
      <c r="D129" s="180"/>
      <c r="E129" s="177"/>
      <c r="F129" s="177"/>
    </row>
    <row r="130" spans="1:6" x14ac:dyDescent="0.2">
      <c r="A130" s="177"/>
      <c r="B130" s="178"/>
      <c r="C130" s="179"/>
      <c r="D130" s="180"/>
      <c r="E130" s="177"/>
      <c r="F130" s="177"/>
    </row>
    <row r="131" spans="1:6" x14ac:dyDescent="0.2">
      <c r="A131" s="177"/>
      <c r="B131" s="178"/>
      <c r="C131" s="179"/>
      <c r="D131" s="180"/>
      <c r="E131" s="177"/>
      <c r="F131" s="177"/>
    </row>
    <row r="132" spans="1:6" x14ac:dyDescent="0.2">
      <c r="A132" s="177"/>
      <c r="B132" s="178"/>
      <c r="C132" s="179"/>
      <c r="D132" s="180"/>
      <c r="E132" s="177"/>
      <c r="F132" s="177"/>
    </row>
    <row r="133" spans="1:6" x14ac:dyDescent="0.2">
      <c r="A133" s="177"/>
      <c r="B133" s="178"/>
      <c r="C133" s="179"/>
      <c r="D133" s="180"/>
      <c r="E133" s="177"/>
      <c r="F133" s="177"/>
    </row>
    <row r="134" spans="1:6" x14ac:dyDescent="0.2">
      <c r="A134" s="177"/>
      <c r="B134" s="178"/>
      <c r="C134" s="179"/>
      <c r="D134" s="180"/>
      <c r="E134" s="177"/>
      <c r="F134" s="177"/>
    </row>
    <row r="135" spans="1:6" x14ac:dyDescent="0.2">
      <c r="A135" s="177"/>
      <c r="B135" s="178"/>
      <c r="C135" s="179"/>
      <c r="D135" s="180"/>
      <c r="E135" s="177"/>
      <c r="F135" s="177"/>
    </row>
    <row r="136" spans="1:6" x14ac:dyDescent="0.2">
      <c r="A136" s="177"/>
      <c r="B136" s="178"/>
      <c r="C136" s="179"/>
      <c r="D136" s="180"/>
      <c r="E136" s="177"/>
      <c r="F136" s="177"/>
    </row>
    <row r="137" spans="1:6" x14ac:dyDescent="0.2">
      <c r="A137" s="177"/>
      <c r="B137" s="178"/>
      <c r="C137" s="179"/>
      <c r="D137" s="180"/>
      <c r="E137" s="177"/>
      <c r="F137" s="177"/>
    </row>
    <row r="138" spans="1:6" x14ac:dyDescent="0.2">
      <c r="A138" s="177"/>
      <c r="B138" s="178"/>
      <c r="C138" s="179"/>
      <c r="D138" s="180"/>
      <c r="E138" s="177"/>
      <c r="F138" s="177"/>
    </row>
    <row r="139" spans="1:6" x14ac:dyDescent="0.2">
      <c r="A139" s="177"/>
      <c r="B139" s="178"/>
      <c r="C139" s="179"/>
      <c r="D139" s="180"/>
      <c r="E139" s="177"/>
      <c r="F139" s="177"/>
    </row>
    <row r="140" spans="1:6" x14ac:dyDescent="0.2">
      <c r="A140" s="177"/>
      <c r="B140" s="178"/>
      <c r="C140" s="179"/>
      <c r="D140" s="180"/>
      <c r="E140" s="177"/>
      <c r="F140" s="177"/>
    </row>
    <row r="141" spans="1:6" x14ac:dyDescent="0.2">
      <c r="A141" s="177"/>
      <c r="B141" s="178"/>
      <c r="C141" s="179"/>
      <c r="D141" s="180"/>
      <c r="E141" s="177"/>
      <c r="F141" s="177"/>
    </row>
    <row r="142" spans="1:6" x14ac:dyDescent="0.2">
      <c r="A142" s="177"/>
      <c r="B142" s="178"/>
      <c r="C142" s="179"/>
      <c r="D142" s="180"/>
      <c r="E142" s="177"/>
      <c r="F142" s="177"/>
    </row>
    <row r="143" spans="1:6" x14ac:dyDescent="0.2">
      <c r="A143" s="177"/>
      <c r="B143" s="178"/>
      <c r="C143" s="179"/>
      <c r="D143" s="180"/>
      <c r="E143" s="177"/>
      <c r="F143" s="177"/>
    </row>
    <row r="144" spans="1:6" x14ac:dyDescent="0.2">
      <c r="A144" s="177"/>
      <c r="B144" s="178"/>
      <c r="C144" s="179"/>
      <c r="D144" s="180"/>
      <c r="E144" s="177"/>
      <c r="F144" s="177"/>
    </row>
    <row r="145" spans="1:6" x14ac:dyDescent="0.2">
      <c r="A145" s="177"/>
      <c r="B145" s="178"/>
      <c r="C145" s="179"/>
      <c r="D145" s="180"/>
      <c r="E145" s="177"/>
      <c r="F145" s="177"/>
    </row>
    <row r="146" spans="1:6" x14ac:dyDescent="0.2">
      <c r="A146" s="177"/>
      <c r="B146" s="178"/>
      <c r="C146" s="179"/>
      <c r="D146" s="180"/>
      <c r="E146" s="177"/>
      <c r="F146" s="177"/>
    </row>
    <row r="147" spans="1:6" x14ac:dyDescent="0.2">
      <c r="A147" s="177"/>
      <c r="B147" s="178"/>
      <c r="C147" s="179"/>
      <c r="D147" s="180"/>
      <c r="E147" s="177"/>
      <c r="F147" s="177"/>
    </row>
    <row r="148" spans="1:6" x14ac:dyDescent="0.2">
      <c r="A148" s="177"/>
      <c r="B148" s="178"/>
      <c r="C148" s="179"/>
      <c r="D148" s="180"/>
      <c r="E148" s="177"/>
      <c r="F148" s="177"/>
    </row>
    <row r="149" spans="1:6" x14ac:dyDescent="0.2">
      <c r="A149" s="177"/>
      <c r="B149" s="178"/>
      <c r="C149" s="179"/>
      <c r="D149" s="180"/>
      <c r="E149" s="177"/>
      <c r="F149" s="177"/>
    </row>
    <row r="150" spans="1:6" x14ac:dyDescent="0.2">
      <c r="A150" s="177"/>
      <c r="B150" s="178"/>
      <c r="C150" s="179"/>
      <c r="D150" s="180"/>
      <c r="E150" s="177"/>
      <c r="F150" s="177"/>
    </row>
    <row r="151" spans="1:6" x14ac:dyDescent="0.2">
      <c r="A151" s="177"/>
      <c r="B151" s="178"/>
      <c r="C151" s="179"/>
      <c r="D151" s="180"/>
      <c r="E151" s="177"/>
      <c r="F151" s="177"/>
    </row>
    <row r="152" spans="1:6" x14ac:dyDescent="0.2">
      <c r="A152" s="177"/>
      <c r="B152" s="178"/>
      <c r="C152" s="179"/>
      <c r="D152" s="180"/>
      <c r="E152" s="177"/>
      <c r="F152" s="177"/>
    </row>
    <row r="153" spans="1:6" x14ac:dyDescent="0.2">
      <c r="A153" s="177"/>
      <c r="B153" s="178"/>
      <c r="C153" s="179"/>
      <c r="D153" s="180"/>
      <c r="E153" s="177"/>
      <c r="F153" s="177"/>
    </row>
    <row r="154" spans="1:6" x14ac:dyDescent="0.2">
      <c r="A154" s="177"/>
      <c r="B154" s="178"/>
      <c r="C154" s="179"/>
      <c r="D154" s="180"/>
      <c r="E154" s="177"/>
      <c r="F154" s="177"/>
    </row>
    <row r="155" spans="1:6" x14ac:dyDescent="0.2">
      <c r="A155" s="177"/>
      <c r="B155" s="178"/>
      <c r="C155" s="179"/>
      <c r="D155" s="180"/>
      <c r="E155" s="177"/>
      <c r="F155" s="177"/>
    </row>
    <row r="156" spans="1:6" x14ac:dyDescent="0.2">
      <c r="A156" s="177"/>
      <c r="B156" s="178"/>
      <c r="C156" s="179"/>
      <c r="D156" s="180"/>
      <c r="E156" s="177"/>
      <c r="F156" s="177"/>
    </row>
    <row r="157" spans="1:6" x14ac:dyDescent="0.2">
      <c r="A157" s="177"/>
      <c r="B157" s="178"/>
      <c r="C157" s="179"/>
      <c r="D157" s="180"/>
      <c r="E157" s="177"/>
      <c r="F157" s="177"/>
    </row>
    <row r="158" spans="1:6" x14ac:dyDescent="0.2">
      <c r="A158" s="177"/>
      <c r="B158" s="178"/>
      <c r="C158" s="179"/>
      <c r="D158" s="180"/>
      <c r="E158" s="177"/>
      <c r="F158" s="177"/>
    </row>
    <row r="159" spans="1:6" x14ac:dyDescent="0.2">
      <c r="A159" s="177"/>
      <c r="B159" s="178"/>
      <c r="C159" s="179"/>
      <c r="D159" s="180"/>
      <c r="E159" s="177"/>
      <c r="F159" s="177"/>
    </row>
    <row r="160" spans="1:6" x14ac:dyDescent="0.2">
      <c r="A160" s="177"/>
      <c r="B160" s="178"/>
      <c r="C160" s="179"/>
      <c r="D160" s="180"/>
      <c r="E160" s="177"/>
      <c r="F160" s="177"/>
    </row>
    <row r="161" spans="1:6" x14ac:dyDescent="0.2">
      <c r="A161" s="177"/>
      <c r="B161" s="178"/>
      <c r="C161" s="179"/>
      <c r="D161" s="180"/>
      <c r="E161" s="177"/>
      <c r="F161" s="177"/>
    </row>
    <row r="162" spans="1:6" x14ac:dyDescent="0.2">
      <c r="A162" s="177"/>
      <c r="B162" s="178"/>
      <c r="C162" s="179"/>
      <c r="D162" s="180"/>
      <c r="E162" s="177"/>
      <c r="F162" s="177"/>
    </row>
    <row r="163" spans="1:6" x14ac:dyDescent="0.2">
      <c r="A163" s="177"/>
      <c r="B163" s="178"/>
      <c r="C163" s="179"/>
      <c r="D163" s="180"/>
      <c r="E163" s="177"/>
      <c r="F163" s="177"/>
    </row>
    <row r="164" spans="1:6" x14ac:dyDescent="0.2">
      <c r="A164" s="177"/>
      <c r="B164" s="178"/>
      <c r="C164" s="179"/>
      <c r="D164" s="180"/>
      <c r="E164" s="177"/>
      <c r="F164" s="177"/>
    </row>
    <row r="165" spans="1:6" x14ac:dyDescent="0.2">
      <c r="A165" s="177"/>
      <c r="B165" s="178"/>
      <c r="C165" s="179"/>
      <c r="D165" s="180"/>
      <c r="E165" s="177"/>
      <c r="F165" s="177"/>
    </row>
    <row r="166" spans="1:6" x14ac:dyDescent="0.2">
      <c r="A166" s="177"/>
      <c r="B166" s="178"/>
      <c r="C166" s="179"/>
      <c r="D166" s="180"/>
      <c r="E166" s="177"/>
      <c r="F166" s="177"/>
    </row>
    <row r="167" spans="1:6" x14ac:dyDescent="0.2">
      <c r="A167" s="177"/>
      <c r="B167" s="178"/>
      <c r="C167" s="179"/>
      <c r="D167" s="180"/>
      <c r="E167" s="177"/>
      <c r="F167" s="177"/>
    </row>
    <row r="168" spans="1:6" x14ac:dyDescent="0.2">
      <c r="A168" s="177"/>
      <c r="B168" s="178"/>
      <c r="C168" s="179"/>
      <c r="D168" s="180"/>
      <c r="E168" s="177"/>
      <c r="F168" s="177"/>
    </row>
    <row r="169" spans="1:6" x14ac:dyDescent="0.2">
      <c r="A169" s="177"/>
      <c r="B169" s="178"/>
      <c r="C169" s="179"/>
      <c r="D169" s="180"/>
      <c r="E169" s="177"/>
      <c r="F169" s="177"/>
    </row>
    <row r="170" spans="1:6" x14ac:dyDescent="0.2">
      <c r="A170" s="177"/>
      <c r="B170" s="178"/>
      <c r="C170" s="179"/>
      <c r="D170" s="180"/>
      <c r="E170" s="177"/>
      <c r="F170" s="177"/>
    </row>
    <row r="171" spans="1:6" x14ac:dyDescent="0.2">
      <c r="A171" s="177"/>
      <c r="B171" s="178"/>
      <c r="C171" s="179"/>
      <c r="D171" s="180"/>
      <c r="E171" s="177"/>
      <c r="F171" s="177"/>
    </row>
    <row r="172" spans="1:6" x14ac:dyDescent="0.2">
      <c r="A172" s="177"/>
      <c r="B172" s="178"/>
      <c r="C172" s="179"/>
      <c r="D172" s="180"/>
      <c r="E172" s="177"/>
      <c r="F172" s="177"/>
    </row>
    <row r="173" spans="1:6" x14ac:dyDescent="0.2">
      <c r="A173" s="177"/>
      <c r="B173" s="178"/>
      <c r="C173" s="179"/>
      <c r="D173" s="180"/>
      <c r="E173" s="177"/>
      <c r="F173" s="177"/>
    </row>
    <row r="174" spans="1:6" x14ac:dyDescent="0.2">
      <c r="A174" s="177"/>
      <c r="B174" s="178"/>
      <c r="C174" s="179"/>
      <c r="D174" s="180"/>
      <c r="E174" s="177"/>
      <c r="F174" s="177"/>
    </row>
    <row r="175" spans="1:6" x14ac:dyDescent="0.2">
      <c r="A175" s="177"/>
      <c r="B175" s="178"/>
      <c r="C175" s="179"/>
      <c r="D175" s="180"/>
      <c r="E175" s="177"/>
      <c r="F175" s="177"/>
    </row>
    <row r="176" spans="1:6" x14ac:dyDescent="0.2">
      <c r="A176" s="177"/>
      <c r="B176" s="178"/>
      <c r="C176" s="179"/>
      <c r="D176" s="180"/>
      <c r="E176" s="177"/>
      <c r="F176" s="177"/>
    </row>
    <row r="177" spans="1:6" x14ac:dyDescent="0.2">
      <c r="A177" s="177"/>
      <c r="B177" s="178"/>
      <c r="C177" s="179"/>
      <c r="D177" s="180"/>
      <c r="E177" s="177"/>
      <c r="F177" s="177"/>
    </row>
    <row r="178" spans="1:6" x14ac:dyDescent="0.2">
      <c r="A178" s="177"/>
      <c r="B178" s="178"/>
      <c r="C178" s="179"/>
      <c r="D178" s="180"/>
      <c r="E178" s="177"/>
      <c r="F178" s="177"/>
    </row>
    <row r="179" spans="1:6" x14ac:dyDescent="0.2">
      <c r="A179" s="177"/>
      <c r="B179" s="178"/>
      <c r="C179" s="179"/>
      <c r="D179" s="180"/>
      <c r="E179" s="177"/>
      <c r="F179" s="177"/>
    </row>
    <row r="180" spans="1:6" x14ac:dyDescent="0.2">
      <c r="A180" s="177"/>
      <c r="B180" s="178"/>
      <c r="C180" s="179"/>
      <c r="D180" s="180"/>
      <c r="E180" s="177"/>
      <c r="F180" s="177"/>
    </row>
    <row r="181" spans="1:6" x14ac:dyDescent="0.2">
      <c r="A181" s="177"/>
      <c r="B181" s="178"/>
      <c r="C181" s="179"/>
      <c r="D181" s="180"/>
      <c r="E181" s="177"/>
      <c r="F181" s="177"/>
    </row>
    <row r="182" spans="1:6" x14ac:dyDescent="0.2">
      <c r="A182" s="177"/>
      <c r="B182" s="178"/>
      <c r="C182" s="179"/>
      <c r="D182" s="180"/>
      <c r="E182" s="177"/>
      <c r="F182" s="177"/>
    </row>
    <row r="183" spans="1:6" x14ac:dyDescent="0.2">
      <c r="A183" s="177"/>
      <c r="B183" s="178"/>
      <c r="C183" s="179"/>
      <c r="D183" s="180"/>
      <c r="E183" s="177"/>
      <c r="F183" s="177"/>
    </row>
    <row r="184" spans="1:6" x14ac:dyDescent="0.2">
      <c r="A184" s="177"/>
      <c r="B184" s="178"/>
      <c r="C184" s="179"/>
      <c r="D184" s="180"/>
      <c r="E184" s="177"/>
      <c r="F184" s="177"/>
    </row>
    <row r="185" spans="1:6" x14ac:dyDescent="0.2">
      <c r="A185" s="177"/>
      <c r="B185" s="178"/>
      <c r="C185" s="179"/>
      <c r="D185" s="180"/>
      <c r="E185" s="177"/>
      <c r="F185" s="177"/>
    </row>
    <row r="186" spans="1:6" x14ac:dyDescent="0.2">
      <c r="A186" s="177"/>
      <c r="B186" s="178"/>
      <c r="C186" s="179"/>
      <c r="D186" s="180"/>
      <c r="E186" s="177"/>
      <c r="F186" s="177"/>
    </row>
    <row r="187" spans="1:6" x14ac:dyDescent="0.2">
      <c r="A187" s="177"/>
      <c r="B187" s="178"/>
      <c r="C187" s="179"/>
      <c r="D187" s="180"/>
      <c r="E187" s="177"/>
      <c r="F187" s="177"/>
    </row>
    <row r="188" spans="1:6" x14ac:dyDescent="0.2">
      <c r="A188" s="177"/>
      <c r="B188" s="178"/>
      <c r="C188" s="179"/>
      <c r="D188" s="180"/>
      <c r="E188" s="177"/>
      <c r="F188" s="177"/>
    </row>
    <row r="189" spans="1:6" x14ac:dyDescent="0.2">
      <c r="A189" s="177"/>
      <c r="B189" s="178"/>
      <c r="C189" s="179"/>
      <c r="D189" s="180"/>
      <c r="E189" s="177"/>
      <c r="F189" s="177"/>
    </row>
    <row r="190" spans="1:6" x14ac:dyDescent="0.2">
      <c r="A190" s="177"/>
      <c r="B190" s="178"/>
      <c r="C190" s="179"/>
      <c r="D190" s="180"/>
      <c r="E190" s="177"/>
      <c r="F190" s="177"/>
    </row>
    <row r="191" spans="1:6" x14ac:dyDescent="0.2">
      <c r="A191" s="177"/>
      <c r="B191" s="178"/>
      <c r="C191" s="179"/>
      <c r="D191" s="180"/>
      <c r="E191" s="177"/>
      <c r="F191" s="177"/>
    </row>
    <row r="192" spans="1:6" x14ac:dyDescent="0.2">
      <c r="A192" s="177"/>
      <c r="B192" s="178"/>
      <c r="C192" s="179"/>
      <c r="D192" s="180"/>
      <c r="E192" s="177"/>
      <c r="F192" s="177"/>
    </row>
    <row r="193" spans="1:6" x14ac:dyDescent="0.2">
      <c r="A193" s="177"/>
      <c r="B193" s="178"/>
      <c r="C193" s="179"/>
      <c r="D193" s="180"/>
      <c r="E193" s="177"/>
      <c r="F193" s="177"/>
    </row>
    <row r="194" spans="1:6" x14ac:dyDescent="0.2">
      <c r="A194" s="177"/>
      <c r="B194" s="178"/>
      <c r="C194" s="179"/>
      <c r="D194" s="180"/>
      <c r="E194" s="177"/>
      <c r="F194" s="177"/>
    </row>
    <row r="195" spans="1:6" x14ac:dyDescent="0.2">
      <c r="A195" s="177"/>
      <c r="B195" s="178"/>
      <c r="C195" s="179"/>
      <c r="D195" s="180"/>
      <c r="E195" s="177"/>
      <c r="F195" s="177"/>
    </row>
    <row r="196" spans="1:6" x14ac:dyDescent="0.2">
      <c r="A196" s="177"/>
      <c r="B196" s="178"/>
      <c r="C196" s="179"/>
      <c r="D196" s="180"/>
      <c r="E196" s="177"/>
      <c r="F196" s="177"/>
    </row>
    <row r="197" spans="1:6" x14ac:dyDescent="0.2">
      <c r="A197" s="177"/>
      <c r="B197" s="178"/>
      <c r="C197" s="179"/>
      <c r="D197" s="180"/>
      <c r="E197" s="177"/>
      <c r="F197" s="177"/>
    </row>
    <row r="198" spans="1:6" x14ac:dyDescent="0.2">
      <c r="A198" s="177"/>
      <c r="B198" s="178"/>
      <c r="C198" s="179"/>
      <c r="D198" s="180"/>
      <c r="E198" s="177"/>
      <c r="F198" s="177"/>
    </row>
    <row r="199" spans="1:6" x14ac:dyDescent="0.2">
      <c r="A199" s="177"/>
      <c r="B199" s="178"/>
      <c r="C199" s="179"/>
      <c r="D199" s="180"/>
      <c r="E199" s="177"/>
      <c r="F199" s="177"/>
    </row>
    <row r="200" spans="1:6" x14ac:dyDescent="0.2">
      <c r="A200" s="177"/>
      <c r="B200" s="178"/>
      <c r="C200" s="179"/>
      <c r="D200" s="180"/>
      <c r="E200" s="177"/>
      <c r="F200" s="177"/>
    </row>
    <row r="201" spans="1:6" x14ac:dyDescent="0.2">
      <c r="A201" s="177"/>
      <c r="B201" s="178"/>
      <c r="C201" s="179"/>
      <c r="D201" s="180"/>
      <c r="E201" s="177"/>
      <c r="F201" s="177"/>
    </row>
    <row r="202" spans="1:6" x14ac:dyDescent="0.2">
      <c r="A202" s="177"/>
      <c r="B202" s="178"/>
      <c r="C202" s="179"/>
      <c r="D202" s="180"/>
      <c r="E202" s="177"/>
      <c r="F202" s="177"/>
    </row>
    <row r="203" spans="1:6" x14ac:dyDescent="0.2">
      <c r="A203" s="177"/>
      <c r="B203" s="178"/>
      <c r="C203" s="179"/>
      <c r="D203" s="180"/>
      <c r="E203" s="177"/>
      <c r="F203" s="177"/>
    </row>
    <row r="204" spans="1:6" x14ac:dyDescent="0.2">
      <c r="A204" s="177"/>
      <c r="B204" s="178"/>
      <c r="C204" s="179"/>
      <c r="D204" s="180"/>
      <c r="E204" s="177"/>
      <c r="F204" s="177"/>
    </row>
    <row r="205" spans="1:6" x14ac:dyDescent="0.2">
      <c r="A205" s="177"/>
      <c r="B205" s="178"/>
      <c r="C205" s="179"/>
      <c r="D205" s="180"/>
      <c r="E205" s="177"/>
      <c r="F205" s="177"/>
    </row>
    <row r="206" spans="1:6" x14ac:dyDescent="0.2">
      <c r="A206" s="177"/>
      <c r="B206" s="178"/>
      <c r="C206" s="179"/>
      <c r="D206" s="180"/>
      <c r="E206" s="177"/>
      <c r="F206" s="177"/>
    </row>
    <row r="207" spans="1:6" x14ac:dyDescent="0.2">
      <c r="A207" s="177"/>
      <c r="B207" s="178"/>
      <c r="C207" s="179"/>
      <c r="D207" s="180"/>
      <c r="E207" s="177"/>
      <c r="F207" s="177"/>
    </row>
    <row r="208" spans="1:6" x14ac:dyDescent="0.2">
      <c r="A208" s="177"/>
      <c r="B208" s="178"/>
      <c r="C208" s="179"/>
      <c r="D208" s="180"/>
      <c r="E208" s="177"/>
      <c r="F208" s="177"/>
    </row>
    <row r="209" spans="1:6" x14ac:dyDescent="0.2">
      <c r="A209" s="177"/>
      <c r="B209" s="178"/>
      <c r="C209" s="179"/>
      <c r="D209" s="180"/>
      <c r="E209" s="177"/>
      <c r="F209" s="177"/>
    </row>
    <row r="210" spans="1:6" x14ac:dyDescent="0.2">
      <c r="A210" s="177"/>
      <c r="B210" s="178"/>
      <c r="C210" s="179"/>
      <c r="D210" s="180"/>
      <c r="E210" s="177"/>
      <c r="F210" s="177"/>
    </row>
    <row r="211" spans="1:6" x14ac:dyDescent="0.2">
      <c r="A211" s="177"/>
      <c r="B211" s="178"/>
      <c r="C211" s="179"/>
      <c r="D211" s="180"/>
      <c r="E211" s="177"/>
      <c r="F211" s="177"/>
    </row>
    <row r="212" spans="1:6" x14ac:dyDescent="0.2">
      <c r="A212" s="177"/>
      <c r="B212" s="178"/>
      <c r="C212" s="179"/>
      <c r="D212" s="180"/>
      <c r="E212" s="177"/>
      <c r="F212" s="177"/>
    </row>
    <row r="213" spans="1:6" x14ac:dyDescent="0.2">
      <c r="A213" s="177"/>
      <c r="B213" s="178"/>
      <c r="C213" s="179"/>
      <c r="D213" s="180"/>
      <c r="E213" s="177"/>
      <c r="F213" s="177"/>
    </row>
    <row r="214" spans="1:6" x14ac:dyDescent="0.2">
      <c r="A214" s="177"/>
      <c r="B214" s="178"/>
      <c r="C214" s="179"/>
      <c r="D214" s="180"/>
      <c r="E214" s="177"/>
      <c r="F214" s="177"/>
    </row>
    <row r="215" spans="1:6" x14ac:dyDescent="0.2">
      <c r="A215" s="177"/>
      <c r="B215" s="178"/>
      <c r="C215" s="179"/>
      <c r="D215" s="180"/>
      <c r="E215" s="177"/>
      <c r="F215" s="177"/>
    </row>
    <row r="216" spans="1:6" x14ac:dyDescent="0.2">
      <c r="A216" s="177"/>
      <c r="B216" s="178"/>
      <c r="C216" s="179"/>
      <c r="D216" s="180"/>
      <c r="E216" s="177"/>
      <c r="F216" s="177"/>
    </row>
    <row r="217" spans="1:6" x14ac:dyDescent="0.2">
      <c r="A217" s="177"/>
      <c r="B217" s="178"/>
      <c r="C217" s="179"/>
      <c r="D217" s="180"/>
      <c r="E217" s="177"/>
      <c r="F217" s="177"/>
    </row>
    <row r="218" spans="1:6" x14ac:dyDescent="0.2">
      <c r="A218" s="177"/>
      <c r="B218" s="178"/>
      <c r="C218" s="179"/>
      <c r="D218" s="180"/>
      <c r="E218" s="177"/>
      <c r="F218" s="177"/>
    </row>
    <row r="219" spans="1:6" x14ac:dyDescent="0.2">
      <c r="A219" s="177"/>
      <c r="B219" s="178"/>
      <c r="C219" s="179"/>
      <c r="D219" s="180"/>
      <c r="E219" s="177"/>
      <c r="F219" s="177"/>
    </row>
    <row r="220" spans="1:6" x14ac:dyDescent="0.2">
      <c r="A220" s="177"/>
      <c r="B220" s="178"/>
      <c r="C220" s="179"/>
      <c r="D220" s="180"/>
      <c r="E220" s="177"/>
      <c r="F220" s="177"/>
    </row>
    <row r="221" spans="1:6" x14ac:dyDescent="0.2">
      <c r="A221" s="177"/>
      <c r="B221" s="178"/>
      <c r="C221" s="179"/>
      <c r="D221" s="180"/>
      <c r="E221" s="177"/>
      <c r="F221" s="177"/>
    </row>
    <row r="222" spans="1:6" x14ac:dyDescent="0.2">
      <c r="A222" s="177"/>
      <c r="B222" s="178"/>
      <c r="C222" s="179"/>
      <c r="D222" s="180"/>
      <c r="E222" s="177"/>
      <c r="F222" s="177"/>
    </row>
    <row r="223" spans="1:6" x14ac:dyDescent="0.2">
      <c r="A223" s="177"/>
      <c r="B223" s="178"/>
      <c r="C223" s="179"/>
      <c r="D223" s="180"/>
      <c r="E223" s="177"/>
      <c r="F223" s="177"/>
    </row>
    <row r="224" spans="1:6" x14ac:dyDescent="0.2">
      <c r="A224" s="177"/>
      <c r="B224" s="178"/>
      <c r="C224" s="179"/>
      <c r="D224" s="180"/>
      <c r="E224" s="177"/>
      <c r="F224" s="177"/>
    </row>
    <row r="225" spans="1:6" x14ac:dyDescent="0.2">
      <c r="A225" s="177"/>
      <c r="B225" s="178"/>
      <c r="C225" s="179"/>
      <c r="D225" s="180"/>
      <c r="E225" s="177"/>
      <c r="F225" s="177"/>
    </row>
    <row r="226" spans="1:6" x14ac:dyDescent="0.2">
      <c r="A226" s="177"/>
      <c r="B226" s="178"/>
      <c r="C226" s="179"/>
      <c r="D226" s="180"/>
      <c r="E226" s="177"/>
      <c r="F226" s="177"/>
    </row>
    <row r="227" spans="1:6" x14ac:dyDescent="0.2">
      <c r="A227" s="177"/>
      <c r="B227" s="178"/>
      <c r="C227" s="179"/>
      <c r="D227" s="180"/>
      <c r="E227" s="177"/>
      <c r="F227" s="177"/>
    </row>
    <row r="228" spans="1:6" x14ac:dyDescent="0.2">
      <c r="A228" s="177"/>
      <c r="B228" s="178"/>
      <c r="C228" s="179"/>
      <c r="D228" s="180"/>
      <c r="E228" s="177"/>
      <c r="F228" s="177"/>
    </row>
    <row r="229" spans="1:6" x14ac:dyDescent="0.2">
      <c r="A229" s="177"/>
      <c r="B229" s="178"/>
      <c r="C229" s="179"/>
      <c r="D229" s="180"/>
      <c r="E229" s="177"/>
      <c r="F229" s="177"/>
    </row>
    <row r="230" spans="1:6" x14ac:dyDescent="0.2">
      <c r="A230" s="177"/>
      <c r="B230" s="178"/>
      <c r="C230" s="179"/>
      <c r="D230" s="180"/>
      <c r="E230" s="177"/>
      <c r="F230" s="177"/>
    </row>
    <row r="231" spans="1:6" x14ac:dyDescent="0.2">
      <c r="A231" s="177"/>
      <c r="B231" s="178"/>
      <c r="C231" s="179"/>
      <c r="D231" s="180"/>
      <c r="E231" s="177"/>
      <c r="F231" s="177"/>
    </row>
    <row r="232" spans="1:6" x14ac:dyDescent="0.2">
      <c r="A232" s="177"/>
      <c r="B232" s="178"/>
      <c r="C232" s="179"/>
      <c r="D232" s="180"/>
      <c r="E232" s="177"/>
      <c r="F232" s="177"/>
    </row>
    <row r="233" spans="1:6" x14ac:dyDescent="0.2">
      <c r="A233" s="177"/>
      <c r="B233" s="178"/>
      <c r="C233" s="179"/>
      <c r="D233" s="180"/>
      <c r="E233" s="177"/>
      <c r="F233" s="177"/>
    </row>
    <row r="234" spans="1:6" x14ac:dyDescent="0.2">
      <c r="A234" s="177"/>
      <c r="B234" s="178"/>
      <c r="C234" s="179"/>
      <c r="D234" s="180"/>
      <c r="E234" s="177"/>
      <c r="F234" s="177"/>
    </row>
    <row r="235" spans="1:6" x14ac:dyDescent="0.2">
      <c r="A235" s="177"/>
      <c r="B235" s="178"/>
      <c r="C235" s="179"/>
      <c r="D235" s="180"/>
      <c r="E235" s="177"/>
      <c r="F235" s="177"/>
    </row>
    <row r="236" spans="1:6" x14ac:dyDescent="0.2">
      <c r="A236" s="177"/>
      <c r="B236" s="178"/>
      <c r="C236" s="179"/>
      <c r="D236" s="180"/>
      <c r="E236" s="177"/>
      <c r="F236" s="177"/>
    </row>
    <row r="237" spans="1:6" x14ac:dyDescent="0.2">
      <c r="A237" s="177"/>
      <c r="B237" s="178"/>
      <c r="C237" s="179"/>
      <c r="D237" s="180"/>
      <c r="E237" s="177"/>
      <c r="F237" s="177"/>
    </row>
    <row r="238" spans="1:6" x14ac:dyDescent="0.2">
      <c r="A238" s="177"/>
      <c r="B238" s="178"/>
      <c r="C238" s="179"/>
      <c r="D238" s="180"/>
      <c r="E238" s="177"/>
      <c r="F238" s="177"/>
    </row>
    <row r="239" spans="1:6" x14ac:dyDescent="0.2">
      <c r="A239" s="177"/>
      <c r="B239" s="178"/>
      <c r="C239" s="179"/>
      <c r="D239" s="180"/>
      <c r="E239" s="177"/>
      <c r="F239" s="177"/>
    </row>
    <row r="240" spans="1:6" x14ac:dyDescent="0.2">
      <c r="A240" s="177"/>
      <c r="B240" s="178"/>
      <c r="C240" s="179"/>
      <c r="D240" s="180"/>
      <c r="E240" s="177"/>
      <c r="F240" s="177"/>
    </row>
    <row r="241" spans="1:6" x14ac:dyDescent="0.2">
      <c r="A241" s="177"/>
      <c r="B241" s="178"/>
      <c r="C241" s="179"/>
      <c r="D241" s="180"/>
      <c r="E241" s="177"/>
      <c r="F241" s="177"/>
    </row>
    <row r="242" spans="1:6" x14ac:dyDescent="0.2">
      <c r="A242" s="177"/>
      <c r="B242" s="178"/>
      <c r="C242" s="179"/>
      <c r="D242" s="180"/>
      <c r="E242" s="177"/>
      <c r="F242" s="177"/>
    </row>
    <row r="243" spans="1:6" x14ac:dyDescent="0.2">
      <c r="A243" s="177"/>
      <c r="B243" s="178"/>
      <c r="C243" s="179"/>
      <c r="D243" s="180"/>
      <c r="E243" s="177"/>
      <c r="F243" s="177"/>
    </row>
    <row r="244" spans="1:6" x14ac:dyDescent="0.2">
      <c r="A244" s="177"/>
      <c r="B244" s="178"/>
      <c r="C244" s="179"/>
      <c r="D244" s="180"/>
      <c r="E244" s="177"/>
      <c r="F244" s="177"/>
    </row>
    <row r="245" spans="1:6" x14ac:dyDescent="0.2">
      <c r="A245" s="177"/>
      <c r="B245" s="178"/>
      <c r="C245" s="179"/>
      <c r="D245" s="180"/>
      <c r="E245" s="177"/>
      <c r="F245" s="177"/>
    </row>
    <row r="246" spans="1:6" x14ac:dyDescent="0.2">
      <c r="A246" s="177"/>
      <c r="B246" s="178"/>
      <c r="C246" s="179"/>
      <c r="D246" s="180"/>
      <c r="E246" s="177"/>
      <c r="F246" s="177"/>
    </row>
    <row r="247" spans="1:6" x14ac:dyDescent="0.2">
      <c r="A247" s="177"/>
      <c r="B247" s="178"/>
      <c r="C247" s="179"/>
      <c r="D247" s="180"/>
      <c r="E247" s="177"/>
      <c r="F247" s="177"/>
    </row>
    <row r="248" spans="1:6" x14ac:dyDescent="0.2">
      <c r="A248" s="177"/>
      <c r="B248" s="178"/>
      <c r="C248" s="179"/>
      <c r="D248" s="180"/>
      <c r="E248" s="177"/>
      <c r="F248" s="177"/>
    </row>
    <row r="249" spans="1:6" x14ac:dyDescent="0.2">
      <c r="A249" s="177"/>
      <c r="B249" s="178"/>
      <c r="C249" s="179"/>
      <c r="D249" s="180"/>
      <c r="E249" s="177"/>
      <c r="F249" s="177"/>
    </row>
    <row r="250" spans="1:6" x14ac:dyDescent="0.2">
      <c r="A250" s="177"/>
      <c r="B250" s="178"/>
      <c r="C250" s="179"/>
      <c r="D250" s="180"/>
      <c r="E250" s="177"/>
      <c r="F250" s="177"/>
    </row>
    <row r="251" spans="1:6" x14ac:dyDescent="0.2">
      <c r="A251" s="177"/>
      <c r="B251" s="178"/>
      <c r="C251" s="179"/>
      <c r="D251" s="180"/>
      <c r="E251" s="177"/>
      <c r="F251" s="177"/>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0"/>
  <sheetViews>
    <sheetView topLeftCell="A31" workbookViewId="0">
      <selection activeCell="C3" sqref="C3:E3"/>
    </sheetView>
  </sheetViews>
  <sheetFormatPr defaultRowHeight="12.75" x14ac:dyDescent="0.2"/>
  <cols>
    <col min="1" max="1" width="2.7109375" style="160" customWidth="1"/>
    <col min="2" max="2" width="10.5703125" style="169" customWidth="1"/>
    <col min="3" max="3" width="50.7109375" style="169" customWidth="1"/>
    <col min="4" max="5" width="25.7109375" style="169" customWidth="1"/>
    <col min="6" max="6" width="0.85546875" style="160" customWidth="1"/>
    <col min="7" max="7" width="2.7109375" style="160" customWidth="1"/>
    <col min="8" max="16384" width="9.140625" style="160"/>
  </cols>
  <sheetData>
    <row r="1" spans="1:7" x14ac:dyDescent="0.2">
      <c r="A1" s="241" t="s">
        <v>169</v>
      </c>
      <c r="B1" s="153" t="s">
        <v>9</v>
      </c>
      <c r="C1" s="153"/>
      <c r="D1" s="153"/>
      <c r="E1" s="153"/>
      <c r="F1" s="152"/>
      <c r="G1" s="152"/>
    </row>
    <row r="2" spans="1:7" ht="6" customHeight="1" x14ac:dyDescent="0.2">
      <c r="A2" s="152"/>
      <c r="B2" s="153"/>
      <c r="C2" s="153"/>
      <c r="D2" s="153"/>
      <c r="E2" s="153"/>
      <c r="F2" s="152"/>
      <c r="G2" s="152"/>
    </row>
    <row r="3" spans="1:7" x14ac:dyDescent="0.2">
      <c r="A3" s="152"/>
      <c r="B3" s="153" t="s">
        <v>6</v>
      </c>
      <c r="C3" s="362" t="s">
        <v>1</v>
      </c>
      <c r="D3" s="362"/>
      <c r="E3" s="362"/>
      <c r="F3" s="152"/>
      <c r="G3" s="152"/>
    </row>
    <row r="4" spans="1:7" ht="6" customHeight="1" x14ac:dyDescent="0.2">
      <c r="A4" s="152"/>
      <c r="B4" s="153"/>
      <c r="C4" s="153"/>
      <c r="D4" s="153"/>
      <c r="E4" s="153"/>
      <c r="F4" s="152"/>
      <c r="G4" s="152"/>
    </row>
    <row r="5" spans="1:7" ht="27" customHeight="1" x14ac:dyDescent="0.2">
      <c r="A5" s="152"/>
      <c r="B5" s="153" t="s">
        <v>7</v>
      </c>
      <c r="C5" s="363" t="s">
        <v>2</v>
      </c>
      <c r="D5" s="362"/>
      <c r="E5" s="362"/>
      <c r="F5" s="152"/>
      <c r="G5" s="152"/>
    </row>
    <row r="6" spans="1:7" x14ac:dyDescent="0.2">
      <c r="A6" s="152"/>
      <c r="B6" s="153"/>
      <c r="C6" s="153"/>
      <c r="D6" s="153"/>
      <c r="E6" s="153"/>
      <c r="F6" s="152"/>
      <c r="G6" s="152"/>
    </row>
    <row r="7" spans="1:7" x14ac:dyDescent="0.2">
      <c r="A7" s="156"/>
      <c r="B7" s="157" t="s">
        <v>4</v>
      </c>
      <c r="C7" s="157"/>
      <c r="D7" s="157"/>
      <c r="E7" s="157"/>
      <c r="F7" s="156"/>
      <c r="G7" s="156"/>
    </row>
    <row r="8" spans="1:7" ht="6" customHeight="1" x14ac:dyDescent="0.2">
      <c r="A8" s="156"/>
      <c r="B8" s="157"/>
      <c r="C8" s="157"/>
      <c r="D8" s="157"/>
      <c r="E8" s="157"/>
      <c r="F8" s="156"/>
      <c r="G8" s="156"/>
    </row>
    <row r="9" spans="1:7" x14ac:dyDescent="0.2">
      <c r="A9" s="156"/>
      <c r="B9" s="157" t="s">
        <v>6</v>
      </c>
      <c r="C9" s="362" t="s">
        <v>1</v>
      </c>
      <c r="D9" s="362"/>
      <c r="E9" s="362"/>
      <c r="F9" s="156"/>
      <c r="G9" s="156"/>
    </row>
    <row r="10" spans="1:7" ht="6" customHeight="1" x14ac:dyDescent="0.2">
      <c r="A10" s="156"/>
      <c r="B10" s="157"/>
      <c r="C10" s="157"/>
      <c r="D10" s="157"/>
      <c r="E10" s="157"/>
      <c r="F10" s="156"/>
      <c r="G10" s="156"/>
    </row>
    <row r="11" spans="1:7" ht="26.25" customHeight="1" x14ac:dyDescent="0.2">
      <c r="A11" s="156"/>
      <c r="B11" s="157" t="s">
        <v>7</v>
      </c>
      <c r="C11" s="363" t="s">
        <v>2</v>
      </c>
      <c r="D11" s="362"/>
      <c r="E11" s="362"/>
      <c r="F11" s="156"/>
      <c r="G11" s="156"/>
    </row>
    <row r="12" spans="1:7" x14ac:dyDescent="0.2">
      <c r="A12" s="156"/>
      <c r="B12" s="157"/>
      <c r="C12" s="157"/>
      <c r="D12" s="157"/>
      <c r="E12" s="157"/>
      <c r="F12" s="156"/>
      <c r="G12" s="156"/>
    </row>
    <row r="13" spans="1:7" x14ac:dyDescent="0.2">
      <c r="A13" s="158"/>
      <c r="B13" s="159" t="s">
        <v>5</v>
      </c>
      <c r="C13" s="159"/>
      <c r="D13" s="159"/>
      <c r="E13" s="159"/>
      <c r="F13" s="158"/>
      <c r="G13" s="158"/>
    </row>
    <row r="14" spans="1:7" ht="6" customHeight="1" x14ac:dyDescent="0.2">
      <c r="A14" s="158"/>
      <c r="B14" s="159"/>
      <c r="C14" s="159"/>
      <c r="D14" s="159"/>
      <c r="E14" s="159"/>
      <c r="F14" s="158"/>
      <c r="G14" s="158"/>
    </row>
    <row r="15" spans="1:7" x14ac:dyDescent="0.2">
      <c r="A15" s="158"/>
      <c r="B15" s="159" t="s">
        <v>6</v>
      </c>
      <c r="C15" s="362" t="s">
        <v>143</v>
      </c>
      <c r="D15" s="362"/>
      <c r="E15" s="362"/>
      <c r="F15" s="158"/>
      <c r="G15" s="158"/>
    </row>
    <row r="16" spans="1:7" x14ac:dyDescent="0.2">
      <c r="A16" s="158"/>
      <c r="B16" s="159"/>
      <c r="C16" s="159"/>
      <c r="D16" s="159"/>
      <c r="E16" s="159"/>
      <c r="F16" s="158"/>
      <c r="G16" s="158"/>
    </row>
    <row r="17" spans="1:7" x14ac:dyDescent="0.2">
      <c r="A17" s="154"/>
      <c r="B17" s="155" t="s">
        <v>3</v>
      </c>
      <c r="C17" s="155"/>
      <c r="D17" s="155"/>
      <c r="E17" s="155"/>
      <c r="F17" s="154"/>
      <c r="G17" s="154"/>
    </row>
    <row r="18" spans="1:7" ht="6" customHeight="1" x14ac:dyDescent="0.2">
      <c r="A18" s="154"/>
      <c r="B18" s="155"/>
      <c r="C18" s="155"/>
      <c r="D18" s="155"/>
      <c r="E18" s="155"/>
      <c r="F18" s="154"/>
      <c r="G18" s="154"/>
    </row>
    <row r="19" spans="1:7" x14ac:dyDescent="0.2">
      <c r="A19" s="154"/>
      <c r="B19" s="155" t="s">
        <v>170</v>
      </c>
      <c r="C19" s="170"/>
      <c r="D19" s="155"/>
      <c r="E19" s="155"/>
      <c r="F19" s="154"/>
      <c r="G19" s="154"/>
    </row>
    <row r="20" spans="1:7" ht="6" customHeight="1" x14ac:dyDescent="0.2">
      <c r="A20" s="154"/>
      <c r="B20" s="155"/>
      <c r="C20" s="155"/>
      <c r="D20" s="155"/>
      <c r="E20" s="155"/>
      <c r="F20" s="154"/>
      <c r="G20" s="154"/>
    </row>
    <row r="21" spans="1:7" ht="6" customHeight="1" x14ac:dyDescent="0.2">
      <c r="A21" s="154"/>
      <c r="B21" s="168"/>
      <c r="C21" s="172"/>
      <c r="D21" s="172"/>
      <c r="E21" s="172"/>
      <c r="F21" s="166"/>
      <c r="G21" s="154"/>
    </row>
    <row r="22" spans="1:7" x14ac:dyDescent="0.2">
      <c r="A22" s="154"/>
      <c r="B22" s="162" t="s">
        <v>8</v>
      </c>
      <c r="C22" s="171" t="s">
        <v>84</v>
      </c>
      <c r="D22" s="242" t="s">
        <v>171</v>
      </c>
      <c r="E22" s="171"/>
      <c r="F22" s="161"/>
      <c r="G22" s="154"/>
    </row>
    <row r="23" spans="1:7" ht="6" customHeight="1" x14ac:dyDescent="0.2">
      <c r="A23" s="154"/>
      <c r="B23" s="162"/>
      <c r="C23" s="164"/>
      <c r="D23" s="164"/>
      <c r="E23" s="164"/>
      <c r="F23" s="161"/>
      <c r="G23" s="154"/>
    </row>
    <row r="24" spans="1:7" x14ac:dyDescent="0.2">
      <c r="A24" s="154"/>
      <c r="B24" s="162" t="s">
        <v>6</v>
      </c>
      <c r="C24" s="360" t="s">
        <v>172</v>
      </c>
      <c r="D24" s="360"/>
      <c r="E24" s="360"/>
      <c r="F24" s="161"/>
      <c r="G24" s="154"/>
    </row>
    <row r="25" spans="1:7" ht="6" customHeight="1" x14ac:dyDescent="0.2">
      <c r="A25" s="154"/>
      <c r="B25" s="162"/>
      <c r="C25" s="164"/>
      <c r="D25" s="164"/>
      <c r="E25" s="164"/>
      <c r="F25" s="161"/>
      <c r="G25" s="154"/>
    </row>
    <row r="26" spans="1:7" ht="27" customHeight="1" x14ac:dyDescent="0.2">
      <c r="A26" s="154"/>
      <c r="B26" s="162" t="s">
        <v>7</v>
      </c>
      <c r="C26" s="361" t="s">
        <v>173</v>
      </c>
      <c r="D26" s="360"/>
      <c r="E26" s="360"/>
      <c r="F26" s="161"/>
      <c r="G26" s="154"/>
    </row>
    <row r="27" spans="1:7" ht="6" customHeight="1" x14ac:dyDescent="0.2">
      <c r="A27" s="154"/>
      <c r="B27" s="162"/>
      <c r="C27" s="164"/>
      <c r="D27" s="164"/>
      <c r="E27" s="164"/>
      <c r="F27" s="161"/>
      <c r="G27" s="154"/>
    </row>
    <row r="28" spans="1:7" x14ac:dyDescent="0.2">
      <c r="A28" s="154"/>
      <c r="B28" s="162" t="s">
        <v>116</v>
      </c>
      <c r="C28" s="360" t="s">
        <v>174</v>
      </c>
      <c r="D28" s="360"/>
      <c r="E28" s="360"/>
      <c r="F28" s="161"/>
      <c r="G28" s="154"/>
    </row>
    <row r="29" spans="1:7" ht="6" customHeight="1" x14ac:dyDescent="0.2">
      <c r="A29" s="154"/>
      <c r="B29" s="163"/>
      <c r="C29" s="165"/>
      <c r="D29" s="165"/>
      <c r="E29" s="165"/>
      <c r="F29" s="167"/>
      <c r="G29" s="154"/>
    </row>
    <row r="30" spans="1:7" ht="6" customHeight="1" x14ac:dyDescent="0.2">
      <c r="A30" s="154"/>
      <c r="B30" s="155"/>
      <c r="C30" s="155"/>
      <c r="D30" s="155"/>
      <c r="E30" s="155"/>
      <c r="F30" s="154"/>
      <c r="G30" s="154"/>
    </row>
    <row r="31" spans="1:7" ht="6" customHeight="1" x14ac:dyDescent="0.2">
      <c r="A31" s="154"/>
      <c r="B31" s="168"/>
      <c r="C31" s="172"/>
      <c r="D31" s="172"/>
      <c r="E31" s="172"/>
      <c r="F31" s="166"/>
      <c r="G31" s="154"/>
    </row>
    <row r="32" spans="1:7" x14ac:dyDescent="0.2">
      <c r="A32" s="154"/>
      <c r="B32" s="162" t="s">
        <v>8</v>
      </c>
      <c r="C32" s="171" t="s">
        <v>82</v>
      </c>
      <c r="D32" s="242" t="s">
        <v>171</v>
      </c>
      <c r="E32" s="171"/>
      <c r="F32" s="161"/>
      <c r="G32" s="154"/>
    </row>
    <row r="33" spans="1:7" ht="6" customHeight="1" x14ac:dyDescent="0.2">
      <c r="A33" s="154"/>
      <c r="B33" s="162"/>
      <c r="C33" s="164"/>
      <c r="D33" s="164"/>
      <c r="E33" s="164"/>
      <c r="F33" s="161"/>
      <c r="G33" s="154"/>
    </row>
    <row r="34" spans="1:7" ht="80.25" customHeight="1" x14ac:dyDescent="0.2">
      <c r="A34" s="154"/>
      <c r="B34" s="162" t="s">
        <v>6</v>
      </c>
      <c r="C34" s="361" t="s">
        <v>144</v>
      </c>
      <c r="D34" s="360"/>
      <c r="E34" s="360"/>
      <c r="F34" s="161"/>
      <c r="G34" s="154"/>
    </row>
    <row r="35" spans="1:7" ht="6" customHeight="1" x14ac:dyDescent="0.2">
      <c r="A35" s="154"/>
      <c r="B35" s="162"/>
      <c r="C35" s="164"/>
      <c r="D35" s="164"/>
      <c r="E35" s="164"/>
      <c r="F35" s="161"/>
      <c r="G35" s="154"/>
    </row>
    <row r="36" spans="1:7" x14ac:dyDescent="0.2">
      <c r="A36" s="154"/>
      <c r="B36" s="162" t="s">
        <v>7</v>
      </c>
      <c r="C36" s="360"/>
      <c r="D36" s="360"/>
      <c r="E36" s="360"/>
      <c r="F36" s="161"/>
      <c r="G36" s="154"/>
    </row>
    <row r="37" spans="1:7" ht="6" customHeight="1" x14ac:dyDescent="0.2">
      <c r="A37" s="154"/>
      <c r="B37" s="162"/>
      <c r="C37" s="164"/>
      <c r="D37" s="164"/>
      <c r="E37" s="164"/>
      <c r="F37" s="161"/>
      <c r="G37" s="154"/>
    </row>
    <row r="38" spans="1:7" ht="81" customHeight="1" x14ac:dyDescent="0.2">
      <c r="A38" s="154"/>
      <c r="B38" s="162" t="s">
        <v>116</v>
      </c>
      <c r="C38" s="361" t="s">
        <v>117</v>
      </c>
      <c r="D38" s="360"/>
      <c r="E38" s="360"/>
      <c r="F38" s="161"/>
      <c r="G38" s="154"/>
    </row>
    <row r="39" spans="1:7" ht="6" customHeight="1" x14ac:dyDescent="0.2">
      <c r="A39" s="154"/>
      <c r="B39" s="163"/>
      <c r="C39" s="165"/>
      <c r="D39" s="165"/>
      <c r="E39" s="165"/>
      <c r="F39" s="167"/>
      <c r="G39" s="154"/>
    </row>
    <row r="40" spans="1:7" ht="6" customHeight="1" x14ac:dyDescent="0.2">
      <c r="A40" s="154"/>
      <c r="B40" s="155"/>
      <c r="C40" s="155"/>
      <c r="D40" s="155"/>
      <c r="E40" s="155"/>
      <c r="F40" s="154"/>
      <c r="G40" s="154"/>
    </row>
    <row r="41" spans="1:7" ht="6" customHeight="1" x14ac:dyDescent="0.2">
      <c r="A41" s="154"/>
      <c r="B41" s="168"/>
      <c r="C41" s="172"/>
      <c r="D41" s="172"/>
      <c r="E41" s="172"/>
      <c r="F41" s="166"/>
      <c r="G41" s="154"/>
    </row>
    <row r="42" spans="1:7" x14ac:dyDescent="0.2">
      <c r="A42" s="154"/>
      <c r="B42" s="162" t="s">
        <v>8</v>
      </c>
      <c r="C42" s="171" t="s">
        <v>0</v>
      </c>
      <c r="D42" s="242" t="s">
        <v>171</v>
      </c>
      <c r="E42" s="171"/>
      <c r="F42" s="161"/>
      <c r="G42" s="154"/>
    </row>
    <row r="43" spans="1:7" ht="6" customHeight="1" x14ac:dyDescent="0.2">
      <c r="A43" s="154"/>
      <c r="B43" s="162"/>
      <c r="C43" s="164"/>
      <c r="D43" s="164"/>
      <c r="E43" s="164"/>
      <c r="F43" s="161"/>
      <c r="G43" s="154"/>
    </row>
    <row r="44" spans="1:7" ht="80.25" customHeight="1" x14ac:dyDescent="0.2">
      <c r="A44" s="154"/>
      <c r="B44" s="162" t="s">
        <v>6</v>
      </c>
      <c r="C44" s="361" t="s">
        <v>145</v>
      </c>
      <c r="D44" s="360"/>
      <c r="E44" s="360"/>
      <c r="F44" s="161"/>
      <c r="G44" s="154"/>
    </row>
    <row r="45" spans="1:7" ht="6" customHeight="1" x14ac:dyDescent="0.2">
      <c r="A45" s="154"/>
      <c r="B45" s="162"/>
      <c r="C45" s="164"/>
      <c r="D45" s="164"/>
      <c r="E45" s="164"/>
      <c r="F45" s="161"/>
      <c r="G45" s="154"/>
    </row>
    <row r="46" spans="1:7" x14ac:dyDescent="0.2">
      <c r="A46" s="154"/>
      <c r="B46" s="162" t="s">
        <v>7</v>
      </c>
      <c r="C46" s="360"/>
      <c r="D46" s="360"/>
      <c r="E46" s="360"/>
      <c r="F46" s="161"/>
      <c r="G46" s="154"/>
    </row>
    <row r="47" spans="1:7" ht="6" customHeight="1" x14ac:dyDescent="0.2">
      <c r="A47" s="154"/>
      <c r="B47" s="162"/>
      <c r="C47" s="164"/>
      <c r="D47" s="164"/>
      <c r="E47" s="164"/>
      <c r="F47" s="161"/>
      <c r="G47" s="154"/>
    </row>
    <row r="48" spans="1:7" ht="78" customHeight="1" x14ac:dyDescent="0.2">
      <c r="A48" s="154"/>
      <c r="B48" s="162" t="s">
        <v>116</v>
      </c>
      <c r="C48" s="361" t="s">
        <v>118</v>
      </c>
      <c r="D48" s="360"/>
      <c r="E48" s="360"/>
      <c r="F48" s="161"/>
      <c r="G48" s="154"/>
    </row>
    <row r="49" spans="1:7" ht="6" customHeight="1" x14ac:dyDescent="0.2">
      <c r="A49" s="154"/>
      <c r="B49" s="163"/>
      <c r="C49" s="165"/>
      <c r="D49" s="165"/>
      <c r="E49" s="165"/>
      <c r="F49" s="167"/>
      <c r="G49" s="154"/>
    </row>
    <row r="50" spans="1:7" ht="6" customHeight="1" x14ac:dyDescent="0.2">
      <c r="A50" s="154"/>
      <c r="B50" s="155"/>
      <c r="C50" s="155"/>
      <c r="D50" s="155"/>
      <c r="E50" s="155"/>
      <c r="F50" s="154"/>
      <c r="G50" s="154"/>
    </row>
  </sheetData>
  <mergeCells count="14">
    <mergeCell ref="C3:E3"/>
    <mergeCell ref="C5:E5"/>
    <mergeCell ref="C9:E9"/>
    <mergeCell ref="C11:E11"/>
    <mergeCell ref="C15:E15"/>
    <mergeCell ref="C24:E24"/>
    <mergeCell ref="C46:E46"/>
    <mergeCell ref="C48:E48"/>
    <mergeCell ref="C26:E26"/>
    <mergeCell ref="C28:E28"/>
    <mergeCell ref="C34:E34"/>
    <mergeCell ref="C36:E36"/>
    <mergeCell ref="C38:E38"/>
    <mergeCell ref="C44:E44"/>
  </mergeCells>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heetViews>
  <sheetFormatPr defaultRowHeight="12.75" x14ac:dyDescent="0.2"/>
  <cols>
    <col min="2" max="2" width="11.28515625" bestFit="1" customWidth="1"/>
    <col min="3" max="3" width="22.140625" bestFit="1" customWidth="1"/>
    <col min="4" max="4" width="66.85546875" customWidth="1"/>
  </cols>
  <sheetData>
    <row r="1" spans="2:4" ht="15.75" x14ac:dyDescent="0.25">
      <c r="B1" s="91" t="s">
        <v>134</v>
      </c>
      <c r="C1" s="91" t="s">
        <v>133</v>
      </c>
      <c r="D1" s="91" t="s">
        <v>135</v>
      </c>
    </row>
    <row r="2" spans="2:4" ht="15.75" x14ac:dyDescent="0.2">
      <c r="B2" s="92" t="s">
        <v>131</v>
      </c>
      <c r="C2" s="92" t="s">
        <v>136</v>
      </c>
      <c r="D2" s="93" t="s">
        <v>79</v>
      </c>
    </row>
    <row r="3" spans="2:4" ht="15.75" x14ac:dyDescent="0.2">
      <c r="B3" s="92"/>
      <c r="C3" s="92"/>
      <c r="D3" s="93"/>
    </row>
    <row r="4" spans="2:4" ht="47.25" x14ac:dyDescent="0.2">
      <c r="B4" s="92"/>
      <c r="C4" s="92" t="s">
        <v>138</v>
      </c>
      <c r="D4" s="93" t="s">
        <v>139</v>
      </c>
    </row>
    <row r="5" spans="2:4" ht="31.5" x14ac:dyDescent="0.2">
      <c r="B5" s="92"/>
      <c r="C5" s="92" t="s">
        <v>137</v>
      </c>
      <c r="D5" s="93" t="s">
        <v>132</v>
      </c>
    </row>
    <row r="6" spans="2:4" ht="31.5" x14ac:dyDescent="0.2">
      <c r="B6" s="92"/>
      <c r="C6" s="92" t="s">
        <v>140</v>
      </c>
      <c r="D6" s="93" t="s">
        <v>112</v>
      </c>
    </row>
  </sheetData>
  <autoFilter ref="B1:D2"/>
  <phoneticPr fontId="0" type="noConversion"/>
  <pageMargins left="0.75" right="0.75" top="1" bottom="1" header="0.5" footer="0.5"/>
  <pageSetup orientation="portrait"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Global Data Dictionary</vt:lpstr>
      <vt:lpstr>Variable Dictionary</vt:lpstr>
      <vt:lpstr>Calibration Dictionary</vt:lpstr>
      <vt:lpstr>Global Constants</vt:lpstr>
      <vt:lpstr>NVM</vt:lpstr>
      <vt:lpstr>Layered Module List</vt:lpstr>
      <vt:lpstr>Template</vt:lpstr>
      <vt:lpstr>Help</vt:lpstr>
      <vt:lpstr>'Global Constants'!DataFlow</vt:lpstr>
      <vt:lpstr>'Global Data Dictionary'!DataFlow</vt:lpstr>
      <vt:lpstr>DataFlow</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Owen Tosh (nzx5jd)</dc:creator>
  <cp:lastModifiedBy>Sengottaiyan, Selva</cp:lastModifiedBy>
  <cp:lastPrinted>2008-07-30T16:56:41Z</cp:lastPrinted>
  <dcterms:created xsi:type="dcterms:W3CDTF">1996-10-14T23:33:28Z</dcterms:created>
  <dcterms:modified xsi:type="dcterms:W3CDTF">2014-06-27T16:11:13Z</dcterms:modified>
</cp:coreProperties>
</file>