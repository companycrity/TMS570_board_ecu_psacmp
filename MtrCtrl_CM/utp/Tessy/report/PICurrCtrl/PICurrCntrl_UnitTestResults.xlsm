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2625" yWindow="-285" windowWidth="14805" windowHeight="8010"/>
  </bookViews>
  <sheets>
    <sheet name="Unit Test Information" sheetId="2" r:id="rId1"/>
    <sheet name="Embedded Files" sheetId="57" r:id="rId2"/>
    <sheet name="Module Definitions" sheetId="3" r:id="rId3"/>
    <sheet name="Variable Range" sheetId="4" state="hidden" r:id="rId4"/>
    <sheet name="PICurrCntrl_Per1" sheetId="11" r:id="rId5"/>
    <sheet name="PICurrCntrl_Per1() M" sheetId="12" r:id="rId6"/>
    <sheet name="PICurrCntrl_Per1() R" sheetId="14" r:id="rId7"/>
    <sheet name="PICurrCntrl_Per1() P" sheetId="13" r:id="rId8"/>
    <sheet name="PICurrCntrl_Init" sheetId="5" r:id="rId9"/>
    <sheet name="PICurrCntrl_Init() R" sheetId="10" r:id="rId10"/>
    <sheet name="CalLowPassFiltBilinearTerm" sheetId="19" r:id="rId11"/>
    <sheet name="CalLowPassFiltBilinearTerm() R" sheetId="21" r:id="rId12"/>
    <sheet name="CalLowPassFiltBilinearOut" sheetId="22" r:id="rId13"/>
    <sheet name="CalLowPassFiltBilinearOut() R" sheetId="23" r:id="rId14"/>
    <sheet name="LoaMtgtnSclFac" sheetId="32" r:id="rId15"/>
    <sheet name="LoaMtgtnSclFac() M" sheetId="50" r:id="rId16"/>
    <sheet name="LoaMtgtnSclFac() P" sheetId="47" r:id="rId17"/>
    <sheet name="LoaMtgtnSclFac() R" sheetId="33" r:id="rId18"/>
    <sheet name="IntegralStateVarNonOperState" sheetId="40" r:id="rId19"/>
    <sheet name="IntegralStateVarNonOperState( M" sheetId="54" r:id="rId20"/>
    <sheet name="IntegralStateVarNonOperState( P" sheetId="53" r:id="rId21"/>
    <sheet name="IntegralStateVarNonOperState( R" sheetId="41" r:id="rId22"/>
    <sheet name="CalLowPassFiltVecuOut" sheetId="42" r:id="rId23"/>
    <sheet name="CalLowPassFiltVecuOut() M" sheetId="56" r:id="rId24"/>
    <sheet name="CalLowPassFiltVecuOut() P" sheetId="55" r:id="rId25"/>
    <sheet name="CalLowPassFiltVecuOut() R" sheetId="44" r:id="rId26"/>
    <sheet name="Clarification Sheet" sheetId="27" r:id="rId27"/>
    <sheet name="Coverage Analysis Sheet" sheetId="28" r:id="rId28"/>
    <sheet name="Metrics Sheet" sheetId="29" r:id="rId29"/>
  </sheets>
  <functionGroups builtInGroupCount="18"/>
  <definedNames>
    <definedName name="StubFunctionNameList">'Module Definitions'!$K$12:$K$15</definedName>
    <definedName name="TestFunctionNameList">'Module Definitions'!$B$12:$B$20</definedName>
    <definedName name="VariableNameList">'Module Definitions'!$G$13:$G$121</definedName>
  </definedNames>
  <calcPr calcId="152511"/>
</workbook>
</file>

<file path=xl/calcChain.xml><?xml version="1.0" encoding="utf-8"?>
<calcChain xmlns="http://schemas.openxmlformats.org/spreadsheetml/2006/main">
  <c r="B1" i="28" l="1"/>
</calcChain>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<sst xmlns="http://schemas.openxmlformats.org/spreadsheetml/2006/main" count="9913" uniqueCount="2072">
  <si>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</si>
  <si>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</si>
  <si>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</si>
  <si>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</si>
  <si>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</si>
  <si>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</si>
  <si>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</si>
  <si>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</si>
  <si>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</si>
  <si>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</si>
  <si>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</si>
  <si>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</si>
  <si>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</si>
  <si>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</si>
  <si>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</si>
  <si>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</si>
  <si>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</si>
  <si>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</si>
  <si>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</si>
  <si>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</si>
  <si>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</si>
  <si>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</si>
  <si>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</si>
  <si>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</si>
  <si>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</si>
  <si>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</si>
  <si>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</si>
  <si>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</si>
  <si>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</si>
  <si>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</si>
  <si>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</si>
  <si>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</si>
  <si>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</si>
  <si>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</si>
  <si>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</si>
  <si>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</si>
  <si>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</si>
  <si>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</si>
  <si>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</si>
  <si>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</si>
  <si>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</si>
  <si>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</si>
  <si>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</si>
  <si>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</si>
  <si>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</si>
  <si>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</si>
  <si>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</si>
  <si>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</si>
  <si>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</si>
  <si>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</si>
  <si>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</si>
  <si>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</si>
  <si>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Ap_PICurrCntrl.c</t>
  </si>
  <si>
    <t>PICurrentContrl.doc</t>
  </si>
  <si>
    <t>Level 2</t>
  </si>
  <si>
    <t>TMS570_4.9.5</t>
  </si>
  <si>
    <t>PICurrCntrl_Init</t>
  </si>
  <si>
    <t>void</t>
  </si>
  <si>
    <t>(void)</t>
  </si>
  <si>
    <t>Excel Macro</t>
  </si>
  <si>
    <t>PICurrCntrl_MtrCurrDaxSatFluxRatio_Uls_M_f32</t>
  </si>
  <si>
    <t>M</t>
  </si>
  <si>
    <t>float</t>
  </si>
  <si>
    <t>PICurrCntrl_MtrCurrQaxSatFluxRatio_Uls_M_f32</t>
  </si>
  <si>
    <t>Rte_Call_PICurrCntrl_Per2_CP0_CheckpointReached</t>
  </si>
  <si>
    <t>EstKe_VpRadpS_f32</t>
  </si>
  <si>
    <t>G</t>
  </si>
  <si>
    <t>EstR_Ohm_f32</t>
  </si>
  <si>
    <t>MRFMtrVel_MtrRadpS_f32</t>
  </si>
  <si>
    <t>CorrMtrPosElec_Rev_f32</t>
  </si>
  <si>
    <t>MtrCurrDaxRef_Amp_f32</t>
  </si>
  <si>
    <t>MtrVoltDax_Volt_M_f32[2]</t>
  </si>
  <si>
    <t>MtrVoltQax_Volt_M_f32[2]</t>
  </si>
  <si>
    <t>MtrCurrQaxFinalRef_Amp_M_f32[2]</t>
  </si>
  <si>
    <t>Rte_Call_PICurrCntrl_Per2_CP1_CheckpointReached</t>
  </si>
  <si>
    <t>SlowDataAccessBufIndex_Cnt_M_u16</t>
  </si>
  <si>
    <t>PICurrCntrl_DervLambdaQax_Volt_D_f32</t>
  </si>
  <si>
    <t>PICurrCntrl_DervLambdaDax_Volt_D_f32</t>
  </si>
  <si>
    <t>DervLambdaAlphaDiag_Volt_f32</t>
  </si>
  <si>
    <t>DervLambdaBetaDiag_Volt_f32</t>
  </si>
  <si>
    <t>B</t>
  </si>
  <si>
    <t>Vector Number</t>
  </si>
  <si>
    <t>Vector Description</t>
  </si>
  <si>
    <t>O/P</t>
  </si>
  <si>
    <t>Expected
O/P</t>
  </si>
  <si>
    <t>P/F</t>
  </si>
  <si>
    <t>Perf. Metrics</t>
  </si>
  <si>
    <t>CPU Cycles</t>
  </si>
  <si>
    <t>Comments</t>
  </si>
  <si>
    <t>--</t>
  </si>
  <si>
    <t>TS</t>
  </si>
  <si>
    <t>I/P</t>
  </si>
  <si>
    <t>Func Stub
Counter</t>
  </si>
  <si>
    <t>Expected
Stub Cnt</t>
  </si>
  <si>
    <t>All Min</t>
  </si>
  <si>
    <t>All Max</t>
  </si>
  <si>
    <t>31,31</t>
  </si>
  <si>
    <t>-31,-31</t>
  </si>
  <si>
    <t>0,0</t>
  </si>
  <si>
    <t>220, 220</t>
  </si>
  <si>
    <t>SlowDataAccessBufIndex_Cnt_M_u16 = Min</t>
  </si>
  <si>
    <t>SlowDataAccessBufIndex_Cnt_M_u16 = Max</t>
  </si>
  <si>
    <t>PICurrCntrl_Per1</t>
  </si>
  <si>
    <t>MtrCurrQaxRef_Amp_M_f32[2]</t>
  </si>
  <si>
    <t>MtrCurrQaxFinalRef_Amp_f32</t>
  </si>
  <si>
    <t>TableSize_2_m</t>
  </si>
  <si>
    <t>P</t>
  </si>
  <si>
    <t>MtrCurrDaxRef_Amp_M_f32[2]</t>
  </si>
  <si>
    <t>MtrDaxVoltage_Volt_f32</t>
  </si>
  <si>
    <t>MtrCtrl_MtrDaxIntegralGain_Ohm_M_f32[2]</t>
  </si>
  <si>
    <t>MtrQaxVoltage_Volt_f32</t>
  </si>
  <si>
    <t>MtrCtrl_MtrDaxPropotionalGain_Ohm_M_f32[2]</t>
  </si>
  <si>
    <t>ModIdx_Uls_u16p16</t>
  </si>
  <si>
    <t>MtrCtrl_MtrQaxIntegralGain_Ohm_M_f32[2]</t>
  </si>
  <si>
    <t>PhaseAdvanceFinal_Rev_u0p16</t>
  </si>
  <si>
    <t>MtrCtrl_MtrQaxPropotionalGain_Ohm_M_f32[2]</t>
  </si>
  <si>
    <t>CommOffset_Cnt_u16</t>
  </si>
  <si>
    <t>MtrPosComputationDelay_Rad_M_f32[2]</t>
  </si>
  <si>
    <t>MtrCurrDaxPrevIntg_Volt_M_f32</t>
  </si>
  <si>
    <t>MtrCtrl_MtrVoltDaxFF_Volt_M_f32[2]</t>
  </si>
  <si>
    <t>MtrCtrl_MtrVoltQaxFF_Volt_M_f32[2]</t>
  </si>
  <si>
    <t>MtrCurrQaxPrevIntg_Volt_M_f32</t>
  </si>
  <si>
    <t>MtrCtrl_MtrDampTermDax_Ohm_M_f32[2]</t>
  </si>
  <si>
    <t>MtrCtrl_MtrDampTermQax_Ohm_M_f32[2]</t>
  </si>
  <si>
    <t>MtrCtrl_MtrImpedDax_Ohm_M_f32[2]</t>
  </si>
  <si>
    <t>PICurrCntrl_CurrSensFailSclFac_Uls_M_f32</t>
  </si>
  <si>
    <t>MtrCtrl_MtrImpedQax_Ohm_M_f32[2]</t>
  </si>
  <si>
    <t>PICurrCntrl_InverterFailSclFac_Uls_M_f32</t>
  </si>
  <si>
    <t>MtrCtrl_MtrCurrDaxMaxVal_Amp_M_f32[2]</t>
  </si>
  <si>
    <t>MtrCurrQaxRpl_Amp_M_f32[2]</t>
  </si>
  <si>
    <t>MtrCurrQaxCog_Amp_M_f32</t>
  </si>
  <si>
    <t>k_MtrCtrlFeedbackControlDisable_Cnt_lgc</t>
  </si>
  <si>
    <t>k_MtrCtrlCurrLoopSecOrTranFcEnable_Cnt_lgc</t>
  </si>
  <si>
    <t>k_CLOAFdbackSignalSclFacSlew_UlspS_f32</t>
  </si>
  <si>
    <t>k_ILOAFdbackSignalSclFacSlew_UlspS_f32</t>
  </si>
  <si>
    <t>k_deadtimeVScale_Uls_f32</t>
  </si>
  <si>
    <t>k_MtrCurrQaxRefModifDsb_Cnt_lgc</t>
  </si>
  <si>
    <t>MtrCurrQax_Amp_f32</t>
  </si>
  <si>
    <t>MtrCurrDax_Amp_f32</t>
  </si>
  <si>
    <t>Vecu_Volt_f32</t>
  </si>
  <si>
    <t>ModIdxSrlComSvcDft_Cnt_lgc</t>
  </si>
  <si>
    <t>SysState_Cnt_Enum</t>
  </si>
  <si>
    <t>FastDataAccessBufIndex_Cnt_M_u16</t>
  </si>
  <si>
    <t>MotCurrLoaMtgtnEn_Cnt_lgc</t>
  </si>
  <si>
    <t>IvtrLoaMtgtnEn_Cnt_lgc</t>
  </si>
  <si>
    <t>t_CommOffsetTblX_Uls_u3p13[2]</t>
  </si>
  <si>
    <t>t_CommOffsetTblY_Cnt_u16[2]</t>
  </si>
  <si>
    <t>k_MtrCtrlVirualResDax_Ohm_f32</t>
  </si>
  <si>
    <t>k_MtrCtrlVirualResQax_Ohm_f32</t>
  </si>
  <si>
    <t>k_VoltSatDaxPolyCoeff_Uls_f32</t>
  </si>
  <si>
    <t>k_VoltSatQaxPolyCoeff_Uls_f32</t>
  </si>
  <si>
    <t>MtrCurrOffComOffset_Cnt_u16</t>
  </si>
  <si>
    <t>Func Stub
Return Val</t>
  </si>
  <si>
    <t>37.455, -2.845</t>
  </si>
  <si>
    <t>0.065, 1.227</t>
  </si>
  <si>
    <t>537.233, 67.984</t>
  </si>
  <si>
    <t>0.703, 1.752</t>
  </si>
  <si>
    <t>462.437, -685.196</t>
  </si>
  <si>
    <t>30.693, 0.22</t>
  </si>
  <si>
    <t>3.455, -19.183</t>
  </si>
  <si>
    <t>0.115, 0.058</t>
  </si>
  <si>
    <t>0.032, 0.087</t>
  </si>
  <si>
    <t>0.055, 0.11</t>
  </si>
  <si>
    <t>0.027, 0.092</t>
  </si>
  <si>
    <t>205.821, -206.792</t>
  </si>
  <si>
    <t>160.044, 165.242</t>
  </si>
  <si>
    <t>177, 340</t>
  </si>
  <si>
    <t>94.315, 37.496</t>
  </si>
  <si>
    <t>0.824, 0.424</t>
  </si>
  <si>
    <t>-284.23, 346.426</t>
  </si>
  <si>
    <t>0.009, 1.625</t>
  </si>
  <si>
    <t>351.605, 882.086</t>
  </si>
  <si>
    <t>-24.665, 18.83</t>
  </si>
  <si>
    <t>26.472, 6.1</t>
  </si>
  <si>
    <t>0.049, 0.114</t>
  </si>
  <si>
    <t>0.108, 0.082</t>
  </si>
  <si>
    <t>0.071, 0.007</t>
  </si>
  <si>
    <t>0.124, 0.079</t>
  </si>
  <si>
    <t>-69.094, 161.973</t>
  </si>
  <si>
    <t>-65.19, -216.972</t>
  </si>
  <si>
    <t>790, 931</t>
  </si>
  <si>
    <t>-220, -220</t>
  </si>
  <si>
    <t>-1024, -1024</t>
  </si>
  <si>
    <t>0.005,0.005</t>
  </si>
  <si>
    <t>-31</t>
  </si>
  <si>
    <t>2,2</t>
  </si>
  <si>
    <t>1024, 1024</t>
  </si>
  <si>
    <t>0.12565,0.12565</t>
  </si>
  <si>
    <t>1,1</t>
  </si>
  <si>
    <t>2000, 2000</t>
  </si>
  <si>
    <t>31, 31</t>
  </si>
  <si>
    <t>67.49, 119.721</t>
  </si>
  <si>
    <t>1.434, 0.706</t>
  </si>
  <si>
    <t>362.112, 65.126</t>
  </si>
  <si>
    <t>0.357, 0.652</t>
  </si>
  <si>
    <t>-894.13, -888.996</t>
  </si>
  <si>
    <t>-29.989, 29.243</t>
  </si>
  <si>
    <t>-29.711, 3.619</t>
  </si>
  <si>
    <t>0.043, 0.114</t>
  </si>
  <si>
    <t>0.061, 0.058</t>
  </si>
  <si>
    <t>0.064, 0.021</t>
  </si>
  <si>
    <t>0.104, 0.063</t>
  </si>
  <si>
    <t>-212.633, -205.085</t>
  </si>
  <si>
    <t>-82.298, 46.818</t>
  </si>
  <si>
    <t>1099, 1672</t>
  </si>
  <si>
    <t>0.349, 0.93</t>
  </si>
  <si>
    <t>923.773, 220.952</t>
  </si>
  <si>
    <t>1.126, 1.6</t>
  </si>
  <si>
    <t>-994.464, -659.201</t>
  </si>
  <si>
    <t>22.575, 22.897</t>
  </si>
  <si>
    <t>-8.795, 27.505</t>
  </si>
  <si>
    <t>0.076, 0.024</t>
  </si>
  <si>
    <t>0.012, 0.071</t>
  </si>
  <si>
    <t>0.043, 0.033</t>
  </si>
  <si>
    <t>0.008, 0.019</t>
  </si>
  <si>
    <t>-91.442, 133.693</t>
  </si>
  <si>
    <t>31.587, -186.396</t>
  </si>
  <si>
    <t>0.13, 0.181</t>
  </si>
  <si>
    <t>45, 1687</t>
  </si>
  <si>
    <t>All_Min</t>
  </si>
  <si>
    <t>All_Max</t>
  </si>
  <si>
    <t>MtrCurrQaxRef_Amp_M_f32[2] = Min</t>
  </si>
  <si>
    <t>MtrCurrQaxRef_Amp_M_f32[2] = Max</t>
  </si>
  <si>
    <t>MtrCurrQaxRef_Amp_M_f32[2] = Neg</t>
  </si>
  <si>
    <t>-115.697, -141.417</t>
  </si>
  <si>
    <t>212.456, 89.862</t>
  </si>
  <si>
    <t>0.912, 1.712</t>
  </si>
  <si>
    <t>355.987, -300.081</t>
  </si>
  <si>
    <t>0.086, 0.036</t>
  </si>
  <si>
    <t>363.007, 428.06</t>
  </si>
  <si>
    <t>25.008, 19.244</t>
  </si>
  <si>
    <t>14.459, -5.13</t>
  </si>
  <si>
    <t>0.119, 0.082</t>
  </si>
  <si>
    <t>0.048, 0.093</t>
  </si>
  <si>
    <t>0.094, 0.075</t>
  </si>
  <si>
    <t>0.033, 0.014</t>
  </si>
  <si>
    <t>-132.813, -9.143</t>
  </si>
  <si>
    <t>-146.723, -121.943</t>
  </si>
  <si>
    <t>59, 1827</t>
  </si>
  <si>
    <t>MtrCurrQaxRef_Amp_M_f32[2] = Pos</t>
  </si>
  <si>
    <t>140.47, 93.579</t>
  </si>
  <si>
    <t>-108.124, 178.639</t>
  </si>
  <si>
    <t>1.402, 0.233</t>
  </si>
  <si>
    <t>115.645, 546.738</t>
  </si>
  <si>
    <t>1.897, 1.374</t>
  </si>
  <si>
    <t>-766.186, -58.208</t>
  </si>
  <si>
    <t>-20.043, 7.439</t>
  </si>
  <si>
    <t>-7.313, 3.053</t>
  </si>
  <si>
    <t>0.027, 0.015</t>
  </si>
  <si>
    <t>0.068, 0.063</t>
  </si>
  <si>
    <t>0.016, 0.094</t>
  </si>
  <si>
    <t>0.087, 0.033</t>
  </si>
  <si>
    <t>-146.174, -213.335</t>
  </si>
  <si>
    <t>-208.288, -27.984</t>
  </si>
  <si>
    <t>222, 974</t>
  </si>
  <si>
    <t>MtrCurrDaxRef_Amp_M_f32[2]= Min</t>
  </si>
  <si>
    <t>MtrCurrDaxRef_Amp_M_f32[2] = Max</t>
  </si>
  <si>
    <t>0.168, 1.621</t>
  </si>
  <si>
    <t>720.525, -487.845</t>
  </si>
  <si>
    <t>1.605, 1.335</t>
  </si>
  <si>
    <t>-418.749, 590.754</t>
  </si>
  <si>
    <t>-11.332, -5.407</t>
  </si>
  <si>
    <t>-22.346, -17.817</t>
  </si>
  <si>
    <t>0.114, 0.039</t>
  </si>
  <si>
    <t>0.018, 0.046</t>
  </si>
  <si>
    <t>0.096, 0.103</t>
  </si>
  <si>
    <t>0.075, 0.065</t>
  </si>
  <si>
    <t>171.486, 163.787</t>
  </si>
  <si>
    <t>-133.947, 75.702</t>
  </si>
  <si>
    <t>0.541, 0.702</t>
  </si>
  <si>
    <t>132, 216</t>
  </si>
  <si>
    <t>1.203, 0.354</t>
  </si>
  <si>
    <t>868.213, 949.69</t>
  </si>
  <si>
    <t>0.32, 0.255</t>
  </si>
  <si>
    <t>-236.619, -663.225</t>
  </si>
  <si>
    <t>-15.815, -9.852</t>
  </si>
  <si>
    <t>-23.448, -24.926</t>
  </si>
  <si>
    <t>0.119, 0.066</t>
  </si>
  <si>
    <t>0.011, 0.08</t>
  </si>
  <si>
    <t>0.112, 0.093</t>
  </si>
  <si>
    <t>0.058, 0.104</t>
  </si>
  <si>
    <t>106.073, -112.455</t>
  </si>
  <si>
    <t>209.052, -124.994</t>
  </si>
  <si>
    <t>120, 597</t>
  </si>
  <si>
    <t>MtrCurrDaxRef_Amp_M_f32[2] = Neg</t>
  </si>
  <si>
    <t>1.886, 1.316</t>
  </si>
  <si>
    <t>417.909, -364.772</t>
  </si>
  <si>
    <t>0.368, 0.432</t>
  </si>
  <si>
    <t>-959.4, -873.33</t>
  </si>
  <si>
    <t>-28.719, -12.045</t>
  </si>
  <si>
    <t>0.077, 0.103</t>
  </si>
  <si>
    <t>0.053, 0.023</t>
  </si>
  <si>
    <t>0.125, 0.01</t>
  </si>
  <si>
    <t>0.073, 0.045</t>
  </si>
  <si>
    <t>24.613, -20.94</t>
  </si>
  <si>
    <t>-200.556, -98.445</t>
  </si>
  <si>
    <t>118, 769</t>
  </si>
  <si>
    <t>MtrCurrDaxRef_Amp_M_f32[2] = Pos</t>
  </si>
  <si>
    <t>0.509, 1.291</t>
  </si>
  <si>
    <t>-447.415, -391.991</t>
  </si>
  <si>
    <t>0.213, 0.442</t>
  </si>
  <si>
    <t>451.035, 847.624</t>
  </si>
  <si>
    <t>-19.468, -24.331</t>
  </si>
  <si>
    <t>0.097, 0.048</t>
  </si>
  <si>
    <t>0.122, 0.124</t>
  </si>
  <si>
    <t>0.114, 0.086</t>
  </si>
  <si>
    <t>0.104, 0.006</t>
  </si>
  <si>
    <t>-166.035, 183.065</t>
  </si>
  <si>
    <t>0.154, 0.651</t>
  </si>
  <si>
    <t>311, 1141</t>
  </si>
  <si>
    <t>MtrCtrl_MtrDaxIntegralGain_Ohm_M_f32[2]= Min</t>
  </si>
  <si>
    <t>-213.027, -66.723</t>
  </si>
  <si>
    <t>248.749, 78.508</t>
  </si>
  <si>
    <t>0.155, 0.059</t>
  </si>
  <si>
    <t>853.911, -267.251</t>
  </si>
  <si>
    <t>0.056, 0.121</t>
  </si>
  <si>
    <t>0.077, 0.03</t>
  </si>
  <si>
    <t>0.096, 0.011</t>
  </si>
  <si>
    <t>0.02, 0.088</t>
  </si>
  <si>
    <t>140.289, 178.236</t>
  </si>
  <si>
    <t>1102, 1272</t>
  </si>
  <si>
    <t>MtrCtrl_MtrDaxIntegralGain_Ohm_M_f32[2] = Max</t>
  </si>
  <si>
    <t>-813.039, 76.768</t>
  </si>
  <si>
    <t>1.912, 1.33</t>
  </si>
  <si>
    <t>572.698, -525.994</t>
  </si>
  <si>
    <t>0.064, 0.087</t>
  </si>
  <si>
    <t>0.102, 0.043</t>
  </si>
  <si>
    <t>0.007, 0.084</t>
  </si>
  <si>
    <t>0.019, 0.075</t>
  </si>
  <si>
    <t>91.885, 182.261</t>
  </si>
  <si>
    <t>0.593, 0.88</t>
  </si>
  <si>
    <t>1186, 1407</t>
  </si>
  <si>
    <t>MtrCtrl_MtrDaxIntegralGain_Ohm_M_f32[2]  = Pos</t>
  </si>
  <si>
    <t>MtrCtrl_MtrDaxPropotionalGain_Ohm_M_f32[2]= Min</t>
  </si>
  <si>
    <t>0.5, 0.824</t>
  </si>
  <si>
    <t>0.286, 1.415</t>
  </si>
  <si>
    <t>-730.362, -412.899</t>
  </si>
  <si>
    <t>0.037, 0.038</t>
  </si>
  <si>
    <t>0.055, 0.085</t>
  </si>
  <si>
    <t>0.07, 0.013</t>
  </si>
  <si>
    <t>0.097, 0.016</t>
  </si>
  <si>
    <t>-216.922, -184.924</t>
  </si>
  <si>
    <t>1124, 1178</t>
  </si>
  <si>
    <t>MtrCtrl_MtrDaxPropotionalGain_Ohm_M_f32[2] = Max</t>
  </si>
  <si>
    <t>1.159, 0.762</t>
  </si>
  <si>
    <t>1.877, 0.649</t>
  </si>
  <si>
    <t>-603.162, -712.994</t>
  </si>
  <si>
    <t>0.114, 0.006</t>
  </si>
  <si>
    <t>0.071, 0.057</t>
  </si>
  <si>
    <t>0.097, 0.027</t>
  </si>
  <si>
    <t>0.121, 0.091</t>
  </si>
  <si>
    <t>0.185, 0.718</t>
  </si>
  <si>
    <t>1.251, 0.802</t>
  </si>
  <si>
    <t>0.414, 1.667</t>
  </si>
  <si>
    <t>158.017, -944.587</t>
  </si>
  <si>
    <t>0.076, 0.072</t>
  </si>
  <si>
    <t>0.117, 0.086</t>
  </si>
  <si>
    <t>0.053, 0.094</t>
  </si>
  <si>
    <t>0.055, 0.049</t>
  </si>
  <si>
    <t>0.145, 0.858</t>
  </si>
  <si>
    <t>422, 1383</t>
  </si>
  <si>
    <t>MtrCtrl_MtrDaxPropotionalGain_Ohm_M_f32[2] = Neg</t>
  </si>
  <si>
    <t>0.46, 1.107</t>
  </si>
  <si>
    <t>-980.568, -630.098</t>
  </si>
  <si>
    <t>764.938, -605.708</t>
  </si>
  <si>
    <t>0.013, 0.076</t>
  </si>
  <si>
    <t>0.061, 0.099</t>
  </si>
  <si>
    <t>0.017, 0.041</t>
  </si>
  <si>
    <t>0.035, 0.12</t>
  </si>
  <si>
    <t>267, 723</t>
  </si>
  <si>
    <t>MtrCtrl_MtrDaxPropotionalGain_Ohm_M_f32[2] = Pos</t>
  </si>
  <si>
    <t>0.075, 1.622</t>
  </si>
  <si>
    <t>376.327, 721.965</t>
  </si>
  <si>
    <t>0.558, 0.484</t>
  </si>
  <si>
    <t>614.892, 1012.169</t>
  </si>
  <si>
    <t>15.547, -22.839</t>
  </si>
  <si>
    <t>0.087, 0.007</t>
  </si>
  <si>
    <t>0.123, 0.113</t>
  </si>
  <si>
    <t>0.107, 0.011</t>
  </si>
  <si>
    <t>0.052, 0.008</t>
  </si>
  <si>
    <t>0.211, 0.399</t>
  </si>
  <si>
    <t>502, 707</t>
  </si>
  <si>
    <t>MtrCtrl_MtrQaxIntegralGain_Ohm_M_f32[2]= Min</t>
  </si>
  <si>
    <t>-229.301, -277.625</t>
  </si>
  <si>
    <t>MtrCtrl_MtrQaxIntegralGain_Ohm_M_f32[2] = Pos</t>
  </si>
  <si>
    <t>MtrCtrl_MtrQaxPropotionalGain_Ohm_M_f32[2]= Min</t>
  </si>
  <si>
    <t>-76.877, -153.239</t>
  </si>
  <si>
    <t>1.722, 1.823</t>
  </si>
  <si>
    <t>888.948, -292.007</t>
  </si>
  <si>
    <t>1.937, 0.085</t>
  </si>
  <si>
    <t>9.62, 26.8</t>
  </si>
  <si>
    <t>0.031, 0.033</t>
  </si>
  <si>
    <t>0.012, 0.056</t>
  </si>
  <si>
    <t>0.051, 0.062</t>
  </si>
  <si>
    <t>15, 40</t>
  </si>
  <si>
    <t>MtrCtrl_MtrQaxPropotionalGain_Ohm_M_f32[2] = Max</t>
  </si>
  <si>
    <t>191.369, 107.137</t>
  </si>
  <si>
    <t>1.348, 1.111</t>
  </si>
  <si>
    <t>-942.772, -380.852</t>
  </si>
  <si>
    <t>1.35, 0.749</t>
  </si>
  <si>
    <t>2.618, -1.043</t>
  </si>
  <si>
    <t>-29.353, 27.304</t>
  </si>
  <si>
    <t>0.058, 0.05</t>
  </si>
  <si>
    <t>0.094, 0.088</t>
  </si>
  <si>
    <t>157, 712</t>
  </si>
  <si>
    <t>-147.343, 127.972</t>
  </si>
  <si>
    <t>0.266, 1.084</t>
  </si>
  <si>
    <t>-150.299, -165.235</t>
  </si>
  <si>
    <t>1.912, 0.564</t>
  </si>
  <si>
    <t>-6.068, -7.832</t>
  </si>
  <si>
    <t>0.098, 0.085</t>
  </si>
  <si>
    <t>0.065, 0.1</t>
  </si>
  <si>
    <t>-105.246, 41.629</t>
  </si>
  <si>
    <t>0.166, 0.701</t>
  </si>
  <si>
    <t>1436, 1891</t>
  </si>
  <si>
    <t>MtrCtrl_MtrQaxPropotionalGain_Ohm_M_f32[2] = Neg</t>
  </si>
  <si>
    <t>6.189, 83.054</t>
  </si>
  <si>
    <t>1.153, 1.693</t>
  </si>
  <si>
    <t>-43.257, -508.92</t>
  </si>
  <si>
    <t>0.364, 1.659</t>
  </si>
  <si>
    <t>-185.073, -920.172</t>
  </si>
  <si>
    <t>-22.019, 13.271</t>
  </si>
  <si>
    <t>0.021, 0.066</t>
  </si>
  <si>
    <t>0.055, 0.098</t>
  </si>
  <si>
    <t>155, 873</t>
  </si>
  <si>
    <t>MtrCtrl_MtrQaxPropotionalGain_Ohm_M_f32[2] = Pos</t>
  </si>
  <si>
    <t>-218.035, 11.637</t>
  </si>
  <si>
    <t>1.751, 0.247</t>
  </si>
  <si>
    <t>292.063, 884.253</t>
  </si>
  <si>
    <t>0.74, 0.891</t>
  </si>
  <si>
    <t>260.9, 994.273</t>
  </si>
  <si>
    <t>-8.324, -26.554</t>
  </si>
  <si>
    <t>0.072, 0.029</t>
  </si>
  <si>
    <t>0.28, 0.78</t>
  </si>
  <si>
    <t>11, 125</t>
  </si>
  <si>
    <t>MtrPosComputationDelay_Rad_M_f32[2]= Min</t>
  </si>
  <si>
    <t>185.073, -920.172</t>
  </si>
  <si>
    <t>MtrPosComputationDelay_Rad_M_f32[2] = Max</t>
  </si>
  <si>
    <t>-260.9, -994.273</t>
  </si>
  <si>
    <t>0.899, 1.235</t>
  </si>
  <si>
    <t>-113.671, -827.208</t>
  </si>
  <si>
    <t>1.531, 1.805</t>
  </si>
  <si>
    <t>-277.386, -517.233</t>
  </si>
  <si>
    <t>3.873, 19.273</t>
  </si>
  <si>
    <t>1326, 1829</t>
  </si>
  <si>
    <t>MtrPosComputationDelay_Rad_M_f32[2] = Neg</t>
  </si>
  <si>
    <t>0.436, 0.894</t>
  </si>
  <si>
    <t>497.349, -685.573</t>
  </si>
  <si>
    <t>1.683, 0.077</t>
  </si>
  <si>
    <t>-594.545, 215.456</t>
  </si>
  <si>
    <t>-30.138, 0.92</t>
  </si>
  <si>
    <t>695, 1480</t>
  </si>
  <si>
    <t>MtrPosComputationDelay_Rad_M_f32[2] = Pos</t>
  </si>
  <si>
    <t>1.664, 1.542</t>
  </si>
  <si>
    <t>133.104, 671.512</t>
  </si>
  <si>
    <t>0.107, 0.104</t>
  </si>
  <si>
    <t>831.671, 382.883</t>
  </si>
  <si>
    <t>-26.508, 4.361</t>
  </si>
  <si>
    <t>0.123, 0.118</t>
  </si>
  <si>
    <t>0.197, 0.795</t>
  </si>
  <si>
    <t>170, 1069</t>
  </si>
  <si>
    <t>MtrCtrl_MtrVoltDaxFF_Volt_M_f32[2]= Min</t>
  </si>
  <si>
    <t>0.048, 1.148</t>
  </si>
  <si>
    <t>-987.179, -952.342</t>
  </si>
  <si>
    <t>1.409, 1.563</t>
  </si>
  <si>
    <t>-247.073, -40.618</t>
  </si>
  <si>
    <t>0.14, 0.5</t>
  </si>
  <si>
    <t>189, 988</t>
  </si>
  <si>
    <t>MtrCtrl_MtrVoltDaxFF_Volt_M_f32[2] = Max</t>
  </si>
  <si>
    <t>0.589, 1.73</t>
  </si>
  <si>
    <t>-655.849, -834.401</t>
  </si>
  <si>
    <t>0.72, 1.654</t>
  </si>
  <si>
    <t>868.789, -349.798</t>
  </si>
  <si>
    <t>1218, 1360</t>
  </si>
  <si>
    <t>0.5, 0.473</t>
  </si>
  <si>
    <t>-143.399, -302.69</t>
  </si>
  <si>
    <t>0.387, 1.847</t>
  </si>
  <si>
    <t>-611.047, 804.909</t>
  </si>
  <si>
    <t>1130, 1422</t>
  </si>
  <si>
    <t>MtrCtrl_MtrVoltDaxFF_Volt_M_f32[2] = Neg</t>
  </si>
  <si>
    <t>1.534, 0.58</t>
  </si>
  <si>
    <t>-341.976, -806.23</t>
  </si>
  <si>
    <t>0.657, 0.386</t>
  </si>
  <si>
    <t>268.286, -542.145</t>
  </si>
  <si>
    <t>-15.196, -2.837</t>
  </si>
  <si>
    <t>0.124, 0.279</t>
  </si>
  <si>
    <t>110, 537</t>
  </si>
  <si>
    <t>MtrCtrl_MtrVoltDaxFF_Volt_M_f32[2] = Pos</t>
  </si>
  <si>
    <t>1.93, 1.7</t>
  </si>
  <si>
    <t>524.476, -993.447</t>
  </si>
  <si>
    <t>0.714, 0.041</t>
  </si>
  <si>
    <t>-823.801, -751.585</t>
  </si>
  <si>
    <t>4.93, 14.681</t>
  </si>
  <si>
    <t>100, 429</t>
  </si>
  <si>
    <t>MtrCtrl_MtrVoltQaxFF_Volt_M_f32[2]= Min</t>
  </si>
  <si>
    <t>1.809, 1.643</t>
  </si>
  <si>
    <t>-495.541, -831.385</t>
  </si>
  <si>
    <t>1.717, 1.625</t>
  </si>
  <si>
    <t>799.595, 445.729</t>
  </si>
  <si>
    <t>30.951, -20.616</t>
  </si>
  <si>
    <t>718, 721</t>
  </si>
  <si>
    <t>MtrCtrl_MtrVoltQaxFF_Volt_M_f32[2] = Max</t>
  </si>
  <si>
    <t>1.109, 0.993</t>
  </si>
  <si>
    <t>-192.371, 695.664</t>
  </si>
  <si>
    <t>0.611, 1.846</t>
  </si>
  <si>
    <t>875.08, -275.668</t>
  </si>
  <si>
    <t>29.055, -17.678</t>
  </si>
  <si>
    <t>1020, 1562</t>
  </si>
  <si>
    <t>1.112, 1.021</t>
  </si>
  <si>
    <t>210.968, -929.856</t>
  </si>
  <si>
    <t>1.402, 0.079</t>
  </si>
  <si>
    <t>203.302, 608.874</t>
  </si>
  <si>
    <t>1020, 1034</t>
  </si>
  <si>
    <t>MtrCtrl_MtrVoltQaxFF_Volt_M_f32[2] = Neg</t>
  </si>
  <si>
    <t>0.803, 1.563</t>
  </si>
  <si>
    <t>-946.3, -752.831</t>
  </si>
  <si>
    <t>0.945, 1.273</t>
  </si>
  <si>
    <t>-629.994, 916.688</t>
  </si>
  <si>
    <t>-15.93, -19.789</t>
  </si>
  <si>
    <t>136, 593</t>
  </si>
  <si>
    <t>MtrCtrl_MtrVoltQaxFF_Volt_M_f32[2] = Pos</t>
  </si>
  <si>
    <t>0.925, 1.287</t>
  </si>
  <si>
    <t>-467.541, 559.556</t>
  </si>
  <si>
    <t>1.531, 0.622</t>
  </si>
  <si>
    <t>363.422, -896.712</t>
  </si>
  <si>
    <t>18.89, 6.028</t>
  </si>
  <si>
    <t>0.008, 0.099</t>
  </si>
  <si>
    <t>0.013, 0.097</t>
  </si>
  <si>
    <t>0.025, 0.5</t>
  </si>
  <si>
    <t>34, 96</t>
  </si>
  <si>
    <t>MtrCtrl_MtrDampTermDax_Ohm_M_f32[2]= Min</t>
  </si>
  <si>
    <t>0.869, 1.846</t>
  </si>
  <si>
    <t>181.75, 166.714</t>
  </si>
  <si>
    <t>1.985, 0.288</t>
  </si>
  <si>
    <t>-837.337, -656.465</t>
  </si>
  <si>
    <t>-8.161, 24.631</t>
  </si>
  <si>
    <t>0.094, 0.071</t>
  </si>
  <si>
    <t>109, 367</t>
  </si>
  <si>
    <t>MtrCtrl_MtrDampTermDax_Ohm_M_f32[2] = Max</t>
  </si>
  <si>
    <t>1.802, 0.741</t>
  </si>
  <si>
    <t>-489.436, 938.341</t>
  </si>
  <si>
    <t>1.109, 0.48</t>
  </si>
  <si>
    <t>916.997, 1002.977</t>
  </si>
  <si>
    <t>15.196, -2.837</t>
  </si>
  <si>
    <t>663, 905</t>
  </si>
  <si>
    <t>MtrCtrl_MtrDampTermDax_Ohm_M_f32[2] = Pos</t>
  </si>
  <si>
    <t>138.595, -157.388</t>
  </si>
  <si>
    <t>1.579, 0.408</t>
  </si>
  <si>
    <t>-297.562, 435.532</t>
  </si>
  <si>
    <t>0.878, 0.248</t>
  </si>
  <si>
    <t>791.3, -595.506</t>
  </si>
  <si>
    <t>10.062, 10.741</t>
  </si>
  <si>
    <t>-4.93, 14.681</t>
  </si>
  <si>
    <t>1052, 1891</t>
  </si>
  <si>
    <t>MtrCtrl_MtrDampTermQax_Ohm_M_f32[2] = Min</t>
  </si>
  <si>
    <t>-100.283, -120.248</t>
  </si>
  <si>
    <t>0.27, 1.891</t>
  </si>
  <si>
    <t>898.599, 416.613</t>
  </si>
  <si>
    <t>0.08, 0.699</t>
  </si>
  <si>
    <t>378.189, 157.612</t>
  </si>
  <si>
    <t>26.995, 7.135</t>
  </si>
  <si>
    <t>0.117, 0.02</t>
  </si>
  <si>
    <t>1077, 1690</t>
  </si>
  <si>
    <t>MtrCtrl_MtrDampTermQax_Ohm_M_f32[2] = Max</t>
  </si>
  <si>
    <t>-68.676, -96.776</t>
  </si>
  <si>
    <t>1.706, 0.759</t>
  </si>
  <si>
    <t>-535.288, -568.218</t>
  </si>
  <si>
    <t>0.624, 1.85</t>
  </si>
  <si>
    <t>-327.624, 577.964</t>
  </si>
  <si>
    <t>21.027, -7.533</t>
  </si>
  <si>
    <t>0.056, 0.047</t>
  </si>
  <si>
    <t>161, 1743</t>
  </si>
  <si>
    <t>MtrCtrl_MtrDampTermQax_Ohm_M_f32[2] = Pos</t>
  </si>
  <si>
    <t>-139.907, 115.814</t>
  </si>
  <si>
    <t>1.829, 1.393</t>
  </si>
  <si>
    <t>-515.535, -508.975</t>
  </si>
  <si>
    <t>1.954, 0.512</t>
  </si>
  <si>
    <t>305.283, -513.95</t>
  </si>
  <si>
    <t>-14.939, -24.393</t>
  </si>
  <si>
    <t>578, 1247</t>
  </si>
  <si>
    <t>MtrCtrl_MtrImpedDax_Ohm_M_f32[2]= Min</t>
  </si>
  <si>
    <t>0.545, 0.884</t>
  </si>
  <si>
    <t>-366.04, -870.555</t>
  </si>
  <si>
    <t>0.691, 0.344</t>
  </si>
  <si>
    <t>592.877, 559.13</t>
  </si>
  <si>
    <t>5.681, 2.066</t>
  </si>
  <si>
    <t>128, 452</t>
  </si>
  <si>
    <t>MtrCtrl_MtrImpedDax_Ohm_M_f32[2] = Max</t>
  </si>
  <si>
    <t>1.179, 1.464</t>
  </si>
  <si>
    <t>-613.749, -825.029</t>
  </si>
  <si>
    <t>0.202, 0.885</t>
  </si>
  <si>
    <t>635.66, -88.571</t>
  </si>
  <si>
    <t>19.613, -29.318</t>
  </si>
  <si>
    <t>1282, 1346</t>
  </si>
  <si>
    <t>MtrCtrl_MtrImpedDax_Ohm_M_f32[2] = Pos</t>
  </si>
  <si>
    <t>1.671, 0.986</t>
  </si>
  <si>
    <t>129.369, -141.129</t>
  </si>
  <si>
    <t>0.111, 1.834</t>
  </si>
  <si>
    <t>972.747, 150.2</t>
  </si>
  <si>
    <t>28.102, 0.381</t>
  </si>
  <si>
    <t>0.066, 0.012</t>
  </si>
  <si>
    <t>554, 778</t>
  </si>
  <si>
    <t>MtrCtrl_MtrImpedQax_Ohm_M_f32[2] = Min</t>
  </si>
  <si>
    <t>1.507, 1.65</t>
  </si>
  <si>
    <t>491.182, 987.454</t>
  </si>
  <si>
    <t>1.821, 0.996</t>
  </si>
  <si>
    <t>-73.254, -688.902</t>
  </si>
  <si>
    <t>4.643, -11.707</t>
  </si>
  <si>
    <t>1044, 1978</t>
  </si>
  <si>
    <t>MtrCtrl_MtrImpedQax_Ohm_M_f32[2] = Max</t>
  </si>
  <si>
    <t>1.812, 1.928</t>
  </si>
  <si>
    <t>-519.975, -32.977</t>
  </si>
  <si>
    <t>0.952, 1.885</t>
  </si>
  <si>
    <t>-957.803, 641.666</t>
  </si>
  <si>
    <t>25.982, -23.048</t>
  </si>
  <si>
    <t>153, 914</t>
  </si>
  <si>
    <t>MtrCtrl_MtrImpedQax_Ohm_M_f32[2] = Pos</t>
  </si>
  <si>
    <t>0.683, 1.867</t>
  </si>
  <si>
    <t>-334.099, 800.173</t>
  </si>
  <si>
    <t>1.78, 1.857</t>
  </si>
  <si>
    <t>130.879, -255.672</t>
  </si>
  <si>
    <t>14.939, -29.406</t>
  </si>
  <si>
    <t>125, 898</t>
  </si>
  <si>
    <t>MtrCtrl_MtrCurrDaxMaxVal_Amp_M_f32[2]= Min</t>
  </si>
  <si>
    <t>1.264, 1.942</t>
  </si>
  <si>
    <t>-771.768, 61.427</t>
  </si>
  <si>
    <t>0.658, 1.649</t>
  </si>
  <si>
    <t>-279.015, -333.038</t>
  </si>
  <si>
    <t>-17.696, -27.854</t>
  </si>
  <si>
    <t>940, 1216</t>
  </si>
  <si>
    <t>MtrCtrl_MtrCurrDaxMaxVal_Amp_M_f32[2] = Max</t>
  </si>
  <si>
    <t>1.199, 1.528</t>
  </si>
  <si>
    <t>-96.766, -485.934</t>
  </si>
  <si>
    <t>1.8, 0.798</t>
  </si>
  <si>
    <t>839.792, -829.577</t>
  </si>
  <si>
    <t>-11.94, 29.174</t>
  </si>
  <si>
    <t>980, 1528</t>
  </si>
  <si>
    <t>1.106, 1.445</t>
  </si>
  <si>
    <t>308.303, -313.467</t>
  </si>
  <si>
    <t>1.804, 0.768</t>
  </si>
  <si>
    <t>-984.033, -670.601</t>
  </si>
  <si>
    <t>-12.816, -15.017</t>
  </si>
  <si>
    <t>556, 934</t>
  </si>
  <si>
    <t>MtrCtrl_MtrCurrDaxMaxVal_Amp_M_f32[2] = Neg</t>
  </si>
  <si>
    <t>0.98, 0.497</t>
  </si>
  <si>
    <t>550.754, -584.436</t>
  </si>
  <si>
    <t>1.457, 1.788</t>
  </si>
  <si>
    <t>966.107, 858.828</t>
  </si>
  <si>
    <t>27.938, 8.503</t>
  </si>
  <si>
    <t>39, 93</t>
  </si>
  <si>
    <t>MtrCtrl_MtrCurrDaxMaxVal_Amp_M_f32[2] = Pos</t>
  </si>
  <si>
    <t>1.939, 1.795</t>
  </si>
  <si>
    <t>-876.19, 798.229</t>
  </si>
  <si>
    <t>0.93, 0.875</t>
  </si>
  <si>
    <t>737.641, -190.211</t>
  </si>
  <si>
    <t>-9.62, -0.206</t>
  </si>
  <si>
    <t>1896, 1952</t>
  </si>
  <si>
    <t>1.071, 1.279</t>
  </si>
  <si>
    <t>650.622, 557.584</t>
  </si>
  <si>
    <t>1.799, 0.624</t>
  </si>
  <si>
    <t>-125.525, 839.142</t>
  </si>
  <si>
    <t>-12.215, 0.874</t>
  </si>
  <si>
    <t>0.113, 0.125</t>
  </si>
  <si>
    <t>730, 1388</t>
  </si>
  <si>
    <t>1.753, 0.113</t>
  </si>
  <si>
    <t>524.81, -986.284</t>
  </si>
  <si>
    <t>1.029, 0.546</t>
  </si>
  <si>
    <t>613.836, 556.355</t>
  </si>
  <si>
    <t>22.181, -11.015</t>
  </si>
  <si>
    <t>0.085, 0.113</t>
  </si>
  <si>
    <t>24, 47</t>
  </si>
  <si>
    <t>0.412, 1.523</t>
  </si>
  <si>
    <t>-834.686, -788.219</t>
  </si>
  <si>
    <t>0.085, 1.509</t>
  </si>
  <si>
    <t>881.109, 1005.225</t>
  </si>
  <si>
    <t>-23.609, -14.04</t>
  </si>
  <si>
    <t>0.042, 0.028</t>
  </si>
  <si>
    <t>310, 1418</t>
  </si>
  <si>
    <t>1.307, 1.855</t>
  </si>
  <si>
    <t>620.015, 715.487</t>
  </si>
  <si>
    <t>0.988, 0.429</t>
  </si>
  <si>
    <t>811.825, -796.758</t>
  </si>
  <si>
    <t>-21.196, -4.781</t>
  </si>
  <si>
    <t>0.099, 0.017</t>
  </si>
  <si>
    <t>1257, 1842</t>
  </si>
  <si>
    <t>0.526, 1.531</t>
  </si>
  <si>
    <t>555.134, 919.028</t>
  </si>
  <si>
    <t>0.662, 1.316</t>
  </si>
  <si>
    <t>-876.907, -215.744</t>
  </si>
  <si>
    <t>-22.713, -20.45</t>
  </si>
  <si>
    <t>0.056, 0.013</t>
  </si>
  <si>
    <t>181, 812</t>
  </si>
  <si>
    <t>MtrCurrQaxCog_Amp_M_f32= Min</t>
  </si>
  <si>
    <t>1.441, 1.269</t>
  </si>
  <si>
    <t>-818.776, -274.429</t>
  </si>
  <si>
    <t>0.261, 0.976</t>
  </si>
  <si>
    <t>-737.581, 408.726</t>
  </si>
  <si>
    <t>18.238, 27.391</t>
  </si>
  <si>
    <t>0.036, 0.075</t>
  </si>
  <si>
    <t>174, 589</t>
  </si>
  <si>
    <t>MtrCurrQaxCog_Amp_M_f32 = Max</t>
  </si>
  <si>
    <t>0.166, 1.685</t>
  </si>
  <si>
    <t>41.17, 456.949</t>
  </si>
  <si>
    <t>1.577, 0.831</t>
  </si>
  <si>
    <t>-771.508, 920.503</t>
  </si>
  <si>
    <t>-17.269, 15.22</t>
  </si>
  <si>
    <t>0.011, 0.039</t>
  </si>
  <si>
    <t>0.01, 0.08</t>
  </si>
  <si>
    <t>158, 544</t>
  </si>
  <si>
    <t>0.599, 1.004</t>
  </si>
  <si>
    <t>324.986, -932.652</t>
  </si>
  <si>
    <t>0.529, 1.039</t>
  </si>
  <si>
    <t>139.416, -482.338</t>
  </si>
  <si>
    <t>-4.917, -13.936</t>
  </si>
  <si>
    <t>0.016, 0.123</t>
  </si>
  <si>
    <t>0.075, 0.071</t>
  </si>
  <si>
    <t>565, 1207</t>
  </si>
  <si>
    <t>MtrCurrQaxCog_Amp_M_f32 = Pos</t>
  </si>
  <si>
    <t>0.169, 0.235</t>
  </si>
  <si>
    <t>643.937, -774.808</t>
  </si>
  <si>
    <t>1.344, 1.003</t>
  </si>
  <si>
    <t>144.896, 675.44</t>
  </si>
  <si>
    <t>-10.644, -11.84</t>
  </si>
  <si>
    <t>0.076, 0.05</t>
  </si>
  <si>
    <t>0.113, 0.077</t>
  </si>
  <si>
    <t>164, 921</t>
  </si>
  <si>
    <t>MtrCurrQaxCog_Amp_M_f32 = Neg</t>
  </si>
  <si>
    <t>1.418, 0.275</t>
  </si>
  <si>
    <t>747.852, -144.074</t>
  </si>
  <si>
    <t>1.059, 0.106</t>
  </si>
  <si>
    <t>675.772, 1006.7</t>
  </si>
  <si>
    <t>-12.725, -6.001</t>
  </si>
  <si>
    <t>0.065, 0.092</t>
  </si>
  <si>
    <t>0.08, 0.009</t>
  </si>
  <si>
    <t>12, 15</t>
  </si>
  <si>
    <t>PICurrCntrl_MtrCurrQaxSatFluxRatio_Uls_M_f32 = Min</t>
  </si>
  <si>
    <t>1.144, 1.589</t>
  </si>
  <si>
    <t>734.923, 615.339</t>
  </si>
  <si>
    <t>0.217, 0.522</t>
  </si>
  <si>
    <t>-153.945, -664.444</t>
  </si>
  <si>
    <t>0.78, -18.312</t>
  </si>
  <si>
    <t>0.023, 0.08</t>
  </si>
  <si>
    <t>0.123, 0.046</t>
  </si>
  <si>
    <t>557, 678</t>
  </si>
  <si>
    <t>PICurrCntrl_MtrCurrQaxSatFluxRatio_Uls_M_f32 = Max</t>
  </si>
  <si>
    <t>1.89, 1.331</t>
  </si>
  <si>
    <t>-329.475, -304.36</t>
  </si>
  <si>
    <t>0.384, 0.621</t>
  </si>
  <si>
    <t>794.978, -414.115</t>
  </si>
  <si>
    <t>-7.041, -21.355</t>
  </si>
  <si>
    <t>0.11, 0.054</t>
  </si>
  <si>
    <t>0.034, 0.105</t>
  </si>
  <si>
    <t>268, 1844</t>
  </si>
  <si>
    <t>1.039, 1.27</t>
  </si>
  <si>
    <t>964.854, -233.382</t>
  </si>
  <si>
    <t>0.766, 1.431</t>
  </si>
  <si>
    <t>887.063, 250.691</t>
  </si>
  <si>
    <t>6.247, 3.825</t>
  </si>
  <si>
    <t>0.041, 0.105</t>
  </si>
  <si>
    <t>0.095, 0.018</t>
  </si>
  <si>
    <t>135, 1455</t>
  </si>
  <si>
    <t>PICurrCntrl_MtrCurrDaxSatFluxRatio_Uls_M_f32 = Min</t>
  </si>
  <si>
    <t>0.968, 1.126</t>
  </si>
  <si>
    <t>-115.79, 183.575</t>
  </si>
  <si>
    <t>1.628, 1.669</t>
  </si>
  <si>
    <t>-689.699, 753.629</t>
  </si>
  <si>
    <t>18.128, -29.33</t>
  </si>
  <si>
    <t>0.042, 0.123</t>
  </si>
  <si>
    <t>0.094, 0.028</t>
  </si>
  <si>
    <t>434, 1438</t>
  </si>
  <si>
    <t>PICurrCntrl_MtrCurrDaxSatFluxRatio_Uls_M_f32 = Max</t>
  </si>
  <si>
    <t>0.938, 1.987</t>
  </si>
  <si>
    <t>-751.673, 758.985</t>
  </si>
  <si>
    <t>1.872, 1.868</t>
  </si>
  <si>
    <t>881.539, 971.435</t>
  </si>
  <si>
    <t>-1.93, 0.432</t>
  </si>
  <si>
    <t>0.116, 0.116</t>
  </si>
  <si>
    <t>1756, 1670</t>
  </si>
  <si>
    <t>1.682, 1.488</t>
  </si>
  <si>
    <t>-133.52, -739.294</t>
  </si>
  <si>
    <t>0.337, 0.965</t>
  </si>
  <si>
    <t>481.321, 577.323</t>
  </si>
  <si>
    <t>-8.499, 13.139</t>
  </si>
  <si>
    <t>589, 1202</t>
  </si>
  <si>
    <t>MtrCurrQaxPrevIntg_Volt_M_f32 = Min</t>
  </si>
  <si>
    <t>1.047, 0.332</t>
  </si>
  <si>
    <t>965.181, 180.692</t>
  </si>
  <si>
    <t>1.889, 0.803</t>
  </si>
  <si>
    <t>-940.226, -976.195</t>
  </si>
  <si>
    <t>-17.107, 15.939</t>
  </si>
  <si>
    <t>1165, 1651</t>
  </si>
  <si>
    <t>MtrCurrQaxPrevIntg_Volt_M_f32 = Max</t>
  </si>
  <si>
    <t>1.415, 0.849</t>
  </si>
  <si>
    <t>-824.467, 454.67</t>
  </si>
  <si>
    <t>0.197, 1.954</t>
  </si>
  <si>
    <t>-729.622, 640.6</t>
  </si>
  <si>
    <t>0.909, 21.025</t>
  </si>
  <si>
    <t>297, 1110</t>
  </si>
  <si>
    <t>0.896, 1.768</t>
  </si>
  <si>
    <t>-286.585, 831.651</t>
  </si>
  <si>
    <t>0.633, 0.928</t>
  </si>
  <si>
    <t>-140.283, 380.562</t>
  </si>
  <si>
    <t>-28.242, 12.616</t>
  </si>
  <si>
    <t>23, 212</t>
  </si>
  <si>
    <t>MtrCurrQaxPrevIntg_Volt_M_f32 = Pos</t>
  </si>
  <si>
    <t>1.206, 1.907</t>
  </si>
  <si>
    <t>-304.573, 299.335</t>
  </si>
  <si>
    <t>1.854, 1.4</t>
  </si>
  <si>
    <t>778.853, -658.844</t>
  </si>
  <si>
    <t>18.638, -23.187</t>
  </si>
  <si>
    <t>-9.609, 26.326</t>
  </si>
  <si>
    <t>237, 383</t>
  </si>
  <si>
    <t>MtrCurrQaxPrevIntg_Volt_M_f32 = Neg</t>
  </si>
  <si>
    <t>0.881, 1.547</t>
  </si>
  <si>
    <t>-747.279, -161.846</t>
  </si>
  <si>
    <t>0.051, 0.836</t>
  </si>
  <si>
    <t>1011.371, 886.408</t>
  </si>
  <si>
    <t>-8.619, -13.156</t>
  </si>
  <si>
    <t>23.452, -14.234</t>
  </si>
  <si>
    <t>71, 676</t>
  </si>
  <si>
    <t>MtrCurrDaxPrevIntg_Volt_M_f32 = Min</t>
  </si>
  <si>
    <t>1.703, 1.44</t>
  </si>
  <si>
    <t>317.348, -582.065</t>
  </si>
  <si>
    <t>1.213, 1.164</t>
  </si>
  <si>
    <t>72.697, -560.29</t>
  </si>
  <si>
    <t>-27.067, 28.107</t>
  </si>
  <si>
    <t>26.32, 18.017</t>
  </si>
  <si>
    <t>912, 1211</t>
  </si>
  <si>
    <t>MtrCurrDaxPrevIntg_Volt_M_f32 = Max</t>
  </si>
  <si>
    <t>0.175, 0.271</t>
  </si>
  <si>
    <t>317.493, 653.376</t>
  </si>
  <si>
    <t>1.891, 1.175</t>
  </si>
  <si>
    <t>345.561, 325.128</t>
  </si>
  <si>
    <t>-24.052, -25.325</t>
  </si>
  <si>
    <t>-8.353, -29.759</t>
  </si>
  <si>
    <t>49, 735</t>
  </si>
  <si>
    <t>1.267, 0.082</t>
  </si>
  <si>
    <t>-645.428, 733.925</t>
  </si>
  <si>
    <t>1.039, 1.528</t>
  </si>
  <si>
    <t>643.855, 55.969</t>
  </si>
  <si>
    <t>-7.667, 2.614</t>
  </si>
  <si>
    <t>-29.396, -1.94</t>
  </si>
  <si>
    <t>63, 327</t>
  </si>
  <si>
    <t>MtrCurrDaxPrevIntg_Volt_M_f32 = Pos</t>
  </si>
  <si>
    <t>0.582, 0.197</t>
  </si>
  <si>
    <t>847.18, -586.309</t>
  </si>
  <si>
    <t>0.352, 1.831</t>
  </si>
  <si>
    <t>808.514, 75.05</t>
  </si>
  <si>
    <t>-3.595, -28.421</t>
  </si>
  <si>
    <t>889, 1543</t>
  </si>
  <si>
    <t>MtrCurrDaxPrevIntg_Volt_M_f32 = Neg</t>
  </si>
  <si>
    <t>0.24, 0.129</t>
  </si>
  <si>
    <t>-873.2, -251.833</t>
  </si>
  <si>
    <t>1.693, 0.764</t>
  </si>
  <si>
    <t>-639.519, 659.557</t>
  </si>
  <si>
    <t>-25.377, 21.388</t>
  </si>
  <si>
    <t>771, 1636</t>
  </si>
  <si>
    <t>1.253, 0.061</t>
  </si>
  <si>
    <t>-237.227, 186.412</t>
  </si>
  <si>
    <t>1.617, 1.866</t>
  </si>
  <si>
    <t>896.211, -75.536</t>
  </si>
  <si>
    <t>-16.302, 8.551</t>
  </si>
  <si>
    <t>365, 1530</t>
  </si>
  <si>
    <t>1.1, 1.161</t>
  </si>
  <si>
    <t>600.401, -510.458</t>
  </si>
  <si>
    <t>0.71, 1.37</t>
  </si>
  <si>
    <t>-807.602, -536.444</t>
  </si>
  <si>
    <t>-0.736, -13.616</t>
  </si>
  <si>
    <t>163, 1236</t>
  </si>
  <si>
    <t>1.093, 1.82</t>
  </si>
  <si>
    <t>2.95, -590.849</t>
  </si>
  <si>
    <t>0.217, 0.447</t>
  </si>
  <si>
    <t>20.619, -802.845</t>
  </si>
  <si>
    <t>-4.56, -20.833</t>
  </si>
  <si>
    <t>1081, 1779</t>
  </si>
  <si>
    <t>k_MtrCtrlCurrLoopSecOrTranFcEnable_Cnt_lgc = 1</t>
  </si>
  <si>
    <t>1.474, 1.902</t>
  </si>
  <si>
    <t>-146.214, -942.195</t>
  </si>
  <si>
    <t>1.49, 0.96</t>
  </si>
  <si>
    <t>-53.863, 75.702</t>
  </si>
  <si>
    <t>1.526, -2.684</t>
  </si>
  <si>
    <t>-30.217, 19.205</t>
  </si>
  <si>
    <t>76, 211</t>
  </si>
  <si>
    <t>k_CLOAFdbackSignalSclFacSlew_UlspS_f32 = Min</t>
  </si>
  <si>
    <t>0.558, 1.505</t>
  </si>
  <si>
    <t>-763.603, 830.864</t>
  </si>
  <si>
    <t>0.081, 0.355</t>
  </si>
  <si>
    <t>657.155, -284.455</t>
  </si>
  <si>
    <t>22.764, 9.543</t>
  </si>
  <si>
    <t>363, 989</t>
  </si>
  <si>
    <t>k_CLOAFdbackSignalSclFacSlew_UlspS_f32= Max</t>
  </si>
  <si>
    <t>1.04, 1.82</t>
  </si>
  <si>
    <t>-632.612, -39.875</t>
  </si>
  <si>
    <t>0.466, 1.621</t>
  </si>
  <si>
    <t>-201.291, -817.749</t>
  </si>
  <si>
    <t>-14.694, -25.693</t>
  </si>
  <si>
    <t>341, 370</t>
  </si>
  <si>
    <t>k_CLOAFdbackSignalSclFacSlew_UlspS_f32 = Pos</t>
  </si>
  <si>
    <t>1.495, 0.399</t>
  </si>
  <si>
    <t>184.224, -915.817</t>
  </si>
  <si>
    <t>1.581, 0.776</t>
  </si>
  <si>
    <t>-189.42, 896.188</t>
  </si>
  <si>
    <t>PICurrCntrl_CurrSensFailSclFac_Uls_M_f32 = Min</t>
  </si>
  <si>
    <t>0.561, 1.213</t>
  </si>
  <si>
    <t>907.228, -851.888</t>
  </si>
  <si>
    <t>0.093, 0.468</t>
  </si>
  <si>
    <t>-286.428, 784.337</t>
  </si>
  <si>
    <t>156, 1570</t>
  </si>
  <si>
    <t>PICurrCntrl_CurrSensFailSclFac_Uls_M_f32 = Max</t>
  </si>
  <si>
    <t>0.841, 1.248</t>
  </si>
  <si>
    <t>-552.15, -568.895</t>
  </si>
  <si>
    <t>0.921, 0.174</t>
  </si>
  <si>
    <t>1018.715, -471.222</t>
  </si>
  <si>
    <t>1.701, 0.288</t>
  </si>
  <si>
    <t>-1014.574, 639.96</t>
  </si>
  <si>
    <t>1.422, 0.613</t>
  </si>
  <si>
    <t>-811.013, -317.717</t>
  </si>
  <si>
    <t>165, 651</t>
  </si>
  <si>
    <t>k_ILOAFdbackSignalSclFacSlew_UlspS_f32 = Min</t>
  </si>
  <si>
    <t>1.74, 0.391</t>
  </si>
  <si>
    <t>382.879, -891.598</t>
  </si>
  <si>
    <t>0.207, 0.146</t>
  </si>
  <si>
    <t>-192.986, 708.689</t>
  </si>
  <si>
    <t>k_ILOAFdbackSignalSclFacSlew_UlspS_f32 = Max</t>
  </si>
  <si>
    <t>1.155, 1.718</t>
  </si>
  <si>
    <t>953.321, -556.945</t>
  </si>
  <si>
    <t>1.342, 0.076</t>
  </si>
  <si>
    <t>41.555, 935.856</t>
  </si>
  <si>
    <t>623, 1212</t>
  </si>
  <si>
    <t>k_ILOAFdbackSignalSclFacSlew_UlspS_f32 = Pos</t>
  </si>
  <si>
    <t>0.335, 1.61</t>
  </si>
  <si>
    <t>676.015, 949.322</t>
  </si>
  <si>
    <t>0.521, 1.657</t>
  </si>
  <si>
    <t>40.166, 649.921</t>
  </si>
  <si>
    <t>PICurrCntrl_InverterFailSclFac_Uls_M_f32 = Min</t>
  </si>
  <si>
    <t>671, 876</t>
  </si>
  <si>
    <t>PICurrCntrl_InverterFailSclFac_Uls_M_f32 = Max</t>
  </si>
  <si>
    <t>1.737, 0.397</t>
  </si>
  <si>
    <t>692.313, 147.146</t>
  </si>
  <si>
    <t>1.297, 0.026</t>
  </si>
  <si>
    <t>381.019, -514.217</t>
  </si>
  <si>
    <t>0.878, 1.294</t>
  </si>
  <si>
    <t>-295.479, -442.688</t>
  </si>
  <si>
    <t>0.896, 1.917</t>
  </si>
  <si>
    <t>1015.309, -261.23</t>
  </si>
  <si>
    <t>k_deadtimeVScale_Uls_f32 = Min</t>
  </si>
  <si>
    <t>1.765, 0.987</t>
  </si>
  <si>
    <t>-48.453, -844.021</t>
  </si>
  <si>
    <t>1.226, 1.581</t>
  </si>
  <si>
    <t>17.727, -203.524</t>
  </si>
  <si>
    <t>1.081, 0.267</t>
  </si>
  <si>
    <t>484.063, 62.82</t>
  </si>
  <si>
    <t>1.408, 1.179</t>
  </si>
  <si>
    <t>623.001, -937.359</t>
  </si>
  <si>
    <t>k_deadtimeVScale_Uls_f32 = Pos</t>
  </si>
  <si>
    <t>1.425, 1.644</t>
  </si>
  <si>
    <t>980.662, 771.225</t>
  </si>
  <si>
    <t>1.262, 1.756</t>
  </si>
  <si>
    <t>424.487, 866.412</t>
  </si>
  <si>
    <t>0.248, 0.373</t>
  </si>
  <si>
    <t>875.137, -484.885</t>
  </si>
  <si>
    <t>1.297, 0.267</t>
  </si>
  <si>
    <t>-49.785, 739.115</t>
  </si>
  <si>
    <t>0.475, 0.837</t>
  </si>
  <si>
    <t>673.797, -165.349</t>
  </si>
  <si>
    <t>0.015, 1.888</t>
  </si>
  <si>
    <t>-32.899, 814.53</t>
  </si>
  <si>
    <t>MtrCurrQax_Amp_f32 = Min</t>
  </si>
  <si>
    <t>1.225, 1.886</t>
  </si>
  <si>
    <t>800.21, -622.848</t>
  </si>
  <si>
    <t>1.827, 1.746</t>
  </si>
  <si>
    <t>-301.071, 368.853</t>
  </si>
  <si>
    <t>1237, 383</t>
  </si>
  <si>
    <t>MtrCurrQax_Amp_f32 = Max</t>
  </si>
  <si>
    <t>1.623, 1.233</t>
  </si>
  <si>
    <t>810.853, -988.493</t>
  </si>
  <si>
    <t>0.263, 0.325</t>
  </si>
  <si>
    <t>-344.361, 396.108</t>
  </si>
  <si>
    <t>0.859, 0.911</t>
  </si>
  <si>
    <t>-309.057, -788.815</t>
  </si>
  <si>
    <t>1.004, 1.434</t>
  </si>
  <si>
    <t>-19.741, -1021.156</t>
  </si>
  <si>
    <t>MtrCurrQax_Amp_f32 = Pos</t>
  </si>
  <si>
    <t>0.624, 1.058</t>
  </si>
  <si>
    <t>609.603, -912.517</t>
  </si>
  <si>
    <t>1.476, 0.802</t>
  </si>
  <si>
    <t>-292.942, 762.052</t>
  </si>
  <si>
    <t>MtrCurrQax_Amp_f32 = Neg</t>
  </si>
  <si>
    <t>0.591, 0.013</t>
  </si>
  <si>
    <t>248.215, -29.219</t>
  </si>
  <si>
    <t>1.463, 1.039</t>
  </si>
  <si>
    <t>126.672, -963.363</t>
  </si>
  <si>
    <t>MtrCurrDax_Amp_f32 = Min</t>
  </si>
  <si>
    <t>0.071, 1.724</t>
  </si>
  <si>
    <t>376.216, -802.426</t>
  </si>
  <si>
    <t>1.603, 1.424</t>
  </si>
  <si>
    <t>18.614, -320.816</t>
  </si>
  <si>
    <t>MtrCurrDax_Amp_f32 = Max</t>
  </si>
  <si>
    <t>0.898, 1.306</t>
  </si>
  <si>
    <t>806.749, -34.049</t>
  </si>
  <si>
    <t>0.221, 0.49</t>
  </si>
  <si>
    <t>737.367, 253.418</t>
  </si>
  <si>
    <t>-2.943, 0.898</t>
  </si>
  <si>
    <t>1.655, 1.889</t>
  </si>
  <si>
    <t>392.08, 734.912</t>
  </si>
  <si>
    <t>0.08, 1.224</t>
  </si>
  <si>
    <t>-333.981, -661.781</t>
  </si>
  <si>
    <t>-3.618, -4.934</t>
  </si>
  <si>
    <t>MtrCurrDax_Amp_f32 = Pos</t>
  </si>
  <si>
    <t>0.704, 0.13</t>
  </si>
  <si>
    <t>-685.018, -140.974</t>
  </si>
  <si>
    <t>1.244, 1.839</t>
  </si>
  <si>
    <t>584.665, 935.218</t>
  </si>
  <si>
    <t>6.091, 3.836</t>
  </si>
  <si>
    <t>MtrCurrDax_Amp_f32 = Neg</t>
  </si>
  <si>
    <t>0.132, 1.051</t>
  </si>
  <si>
    <t>781.679, 1013.597</t>
  </si>
  <si>
    <t>0.495, 1.11</t>
  </si>
  <si>
    <t>-786.576, 755.477</t>
  </si>
  <si>
    <t>4.468, 2.64</t>
  </si>
  <si>
    <t>1.771, 0.314</t>
  </si>
  <si>
    <t>4.22, 387.277</t>
  </si>
  <si>
    <t>1.258, 1.364</t>
  </si>
  <si>
    <t>860.962, -245.58</t>
  </si>
  <si>
    <t>4.705, -2.867</t>
  </si>
  <si>
    <t>0.975, 1.696</t>
  </si>
  <si>
    <t>585.619, -791.551</t>
  </si>
  <si>
    <t>0.457, 0.693</t>
  </si>
  <si>
    <t>1016.779, 915.792</t>
  </si>
  <si>
    <t>-2.351, -1.333</t>
  </si>
  <si>
    <t>0.534, 0.232</t>
  </si>
  <si>
    <t>322.947, 998.634</t>
  </si>
  <si>
    <t>0.869, 1.706</t>
  </si>
  <si>
    <t>53.645, -178.399</t>
  </si>
  <si>
    <t>3.418, 3.542</t>
  </si>
  <si>
    <t>ModIdxSrlComSvcDft_Cnt_lgc = Min</t>
  </si>
  <si>
    <t>0.318, 1.532</t>
  </si>
  <si>
    <t>-952.17, -35.319</t>
  </si>
  <si>
    <t>0.015, 0.44</t>
  </si>
  <si>
    <t>-452.992, 297.122</t>
  </si>
  <si>
    <t>-5.512, 3.427</t>
  </si>
  <si>
    <t>ModIdxSrlComSvcDft_Cnt_lgc = Max</t>
  </si>
  <si>
    <t>0.507, 1.54</t>
  </si>
  <si>
    <t>330.046, -179.259</t>
  </si>
  <si>
    <t>0.23, 1.538</t>
  </si>
  <si>
    <t>-818.87, 353.451</t>
  </si>
  <si>
    <t>2.397, 2.738</t>
  </si>
  <si>
    <t>0.822, 1.42</t>
  </si>
  <si>
    <t>-292.27, -754.055</t>
  </si>
  <si>
    <t>0.872, 1.22</t>
  </si>
  <si>
    <t>688.347, -854.249</t>
  </si>
  <si>
    <t>-1.566, 1.214</t>
  </si>
  <si>
    <t>1.908, 1.085</t>
  </si>
  <si>
    <t>-899.771, 697.859</t>
  </si>
  <si>
    <t>1.484, 0.526</t>
  </si>
  <si>
    <t>-99.262, 138.542</t>
  </si>
  <si>
    <t>1.403, -4.984</t>
  </si>
  <si>
    <t>1.98, 1.097</t>
  </si>
  <si>
    <t>-313.263, 882.631</t>
  </si>
  <si>
    <t>0.958, 0.437</t>
  </si>
  <si>
    <t>89.804, 673.749</t>
  </si>
  <si>
    <t>-2.704, -2.668</t>
  </si>
  <si>
    <t>1.243, 1.988</t>
  </si>
  <si>
    <t>-222.715, 849.534</t>
  </si>
  <si>
    <t>0.585, 0.638</t>
  </si>
  <si>
    <t>-338.394, 815.108</t>
  </si>
  <si>
    <t>4.244, 1.443</t>
  </si>
  <si>
    <t>1.764, 1.993</t>
  </si>
  <si>
    <t>176.422, -310.208</t>
  </si>
  <si>
    <t>1.712, 1.6</t>
  </si>
  <si>
    <t>392.344, 136.852</t>
  </si>
  <si>
    <t>5.39, 2.176</t>
  </si>
  <si>
    <t>FastDataAccessBufIndex_Cnt_M_u16 = Min</t>
  </si>
  <si>
    <t>1.289, 0.706</t>
  </si>
  <si>
    <t>383.354, -411.455</t>
  </si>
  <si>
    <t>0.433, 0.113</t>
  </si>
  <si>
    <t>39.011, -717.33</t>
  </si>
  <si>
    <t>-0.196, -0.303</t>
  </si>
  <si>
    <t>FastDataAccessBufIndex_Cnt_M_u16 = Max</t>
  </si>
  <si>
    <t>0.01, 0.111</t>
  </si>
  <si>
    <t>757.447, -505.597</t>
  </si>
  <si>
    <t>1.738, 1.727</t>
  </si>
  <si>
    <t>841.114, 815.678</t>
  </si>
  <si>
    <t>-4.369, -4.839</t>
  </si>
  <si>
    <t>MotCurrLoaMtgtnEn_Cnt_lgc = Min</t>
  </si>
  <si>
    <t>0.03, 0.186</t>
  </si>
  <si>
    <t>161.148, 308.806</t>
  </si>
  <si>
    <t>1.439, 1.874</t>
  </si>
  <si>
    <t>259.894, 103.217</t>
  </si>
  <si>
    <t>-5.469, -3.093</t>
  </si>
  <si>
    <t>MotCurrLoaMtgtnEn_Cnt_lgc = Max</t>
  </si>
  <si>
    <t>1.942, 1.006</t>
  </si>
  <si>
    <t>-80.977, -53.539</t>
  </si>
  <si>
    <t>0.353, 1.358</t>
  </si>
  <si>
    <t>-261.626, -882.955</t>
  </si>
  <si>
    <t>2.975, 0.487</t>
  </si>
  <si>
    <t>IvtrLoaMtgtnEn_Cnt_lgc = Min</t>
  </si>
  <si>
    <t>1.201, 0.342</t>
  </si>
  <si>
    <t>808.779, -903.747</t>
  </si>
  <si>
    <t>0.102, 0.838</t>
  </si>
  <si>
    <t>827.307, 398.522</t>
  </si>
  <si>
    <t>4.708, -2.685</t>
  </si>
  <si>
    <t>IvtrLoaMtgtnEn_Cnt_lgc = Max</t>
  </si>
  <si>
    <t>1.296, 1.258</t>
  </si>
  <si>
    <t>-261.468, -308.463</t>
  </si>
  <si>
    <t>1.096, 0.614</t>
  </si>
  <si>
    <t>-333.243, 115.544</t>
  </si>
  <si>
    <t>0.157, -5.011</t>
  </si>
  <si>
    <t>1.518, 1.483</t>
  </si>
  <si>
    <t>-99.17, -632.385</t>
  </si>
  <si>
    <t>0.074, 0.167</t>
  </si>
  <si>
    <t>-1003.842, 15.331</t>
  </si>
  <si>
    <t>-2.157, 4.677</t>
  </si>
  <si>
    <t>0.676, 1.146</t>
  </si>
  <si>
    <t>63.882, -0.995</t>
  </si>
  <si>
    <t>0.639, 0.104</t>
  </si>
  <si>
    <t>-406.305, -469.422</t>
  </si>
  <si>
    <t>2.37, 2.67</t>
  </si>
  <si>
    <t>t_CommOffsetTblX_Uls_u3p13[2] = Min</t>
  </si>
  <si>
    <t>1.338, 0.482</t>
  </si>
  <si>
    <t>406.85, 57.323</t>
  </si>
  <si>
    <t>0.81, 0.185</t>
  </si>
  <si>
    <t>222.291, 1002.881</t>
  </si>
  <si>
    <t>2.684, 5.814</t>
  </si>
  <si>
    <t>t_CommOffsetTblX_Uls_u3p13[2] = Max</t>
  </si>
  <si>
    <t>1.103, 0.992</t>
  </si>
  <si>
    <t>841.303, -775.062</t>
  </si>
  <si>
    <t>1.252, 1.245</t>
  </si>
  <si>
    <t>582.953, 578.157</t>
  </si>
  <si>
    <t>2.869, 0.84</t>
  </si>
  <si>
    <t>t_CommOffsetTblX_Uls_u3p13[2] = Pos</t>
  </si>
  <si>
    <t>1.627, 0.414</t>
  </si>
  <si>
    <t>-64.433, 243.455</t>
  </si>
  <si>
    <t>1.947, 0.409</t>
  </si>
  <si>
    <t>648.445, -828.104</t>
  </si>
  <si>
    <t>5.215, 0.55</t>
  </si>
  <si>
    <t>t_CommOffsetTblY_Cnt_u16[2] = Min</t>
  </si>
  <si>
    <t>1.028, 0.828</t>
  </si>
  <si>
    <t>670.815, -276.029</t>
  </si>
  <si>
    <t>0.136, 0.862</t>
  </si>
  <si>
    <t>360.989, 26.395</t>
  </si>
  <si>
    <t>-1.469, -5.43</t>
  </si>
  <si>
    <t>t_CommOffsetTblY_Cnt_u16[2] = Max</t>
  </si>
  <si>
    <t>1.759, 1.458</t>
  </si>
  <si>
    <t>-948.984, -975.934</t>
  </si>
  <si>
    <t>0.261, 0.754</t>
  </si>
  <si>
    <t>-227.466, -453.338</t>
  </si>
  <si>
    <t>-0.345, 0.468</t>
  </si>
  <si>
    <t>t_CommOffsetTblY_Cnt_u16[2] = Pos</t>
  </si>
  <si>
    <t>1.364, 1.949</t>
  </si>
  <si>
    <t>-232.372, -761.936</t>
  </si>
  <si>
    <t>1.658, 0.304</t>
  </si>
  <si>
    <t>-174.84, 903.403</t>
  </si>
  <si>
    <t>-2.488, 0.001</t>
  </si>
  <si>
    <t>0.345, 1.98</t>
  </si>
  <si>
    <t>-475.019, -121.873</t>
  </si>
  <si>
    <t>0.633, 1.5</t>
  </si>
  <si>
    <t>-892.642, -451.738</t>
  </si>
  <si>
    <t>-5.502, 4.211</t>
  </si>
  <si>
    <t>k_MtrCtrlVirualResDax_Ohm_f32 = Max</t>
  </si>
  <si>
    <t>0.409, 1.166</t>
  </si>
  <si>
    <t>967.463, -285.222</t>
  </si>
  <si>
    <t>0.306, 0.233</t>
  </si>
  <si>
    <t>-121.924, 483.273</t>
  </si>
  <si>
    <t>-3.167, 3.096</t>
  </si>
  <si>
    <t>k_MtrCtrlVirualResDax_Ohm_f32 = Pos</t>
  </si>
  <si>
    <t>0.939, 1.367</t>
  </si>
  <si>
    <t>826.951, -163.622</t>
  </si>
  <si>
    <t>1.261, 1.603</t>
  </si>
  <si>
    <t>-401.146, -278.5</t>
  </si>
  <si>
    <t>3.425, -0.836</t>
  </si>
  <si>
    <t>0.528, 0.269</t>
  </si>
  <si>
    <t>-311.075, -305.57</t>
  </si>
  <si>
    <t>1.129, 0.557</t>
  </si>
  <si>
    <t>354.155, 556.525</t>
  </si>
  <si>
    <t>5.143, 0.454</t>
  </si>
  <si>
    <t>k_MtrCtrlVirualResQax_Ohm_f32 = Max</t>
  </si>
  <si>
    <t>0.76, 0.097</t>
  </si>
  <si>
    <t>979.523, 987.511</t>
  </si>
  <si>
    <t>1.107, 0.654</t>
  </si>
  <si>
    <t>-420.447, 525.913</t>
  </si>
  <si>
    <t>-2.029, -1.177</t>
  </si>
  <si>
    <t>k_MtrCtrlVirualResQax_Ohm_f32 = Pos</t>
  </si>
  <si>
    <t>1.991, 1.046</t>
  </si>
  <si>
    <t>-57.728, 352.1</t>
  </si>
  <si>
    <t>0.634, 1.127</t>
  </si>
  <si>
    <t>-489.911, -1007.611</t>
  </si>
  <si>
    <t>-5.355, 1.125</t>
  </si>
  <si>
    <t>k_VoltSatDaxPolyCoeff_Uls_f32 = Min</t>
  </si>
  <si>
    <t>1.794, 0.268</t>
  </si>
  <si>
    <t>1.13, 893.154</t>
  </si>
  <si>
    <t>0.472, 1.034</t>
  </si>
  <si>
    <t>-816.006, -233.62</t>
  </si>
  <si>
    <t>-6.191, 0.512</t>
  </si>
  <si>
    <t>k_VoltSatDaxPolyCoeff_Uls_f32 = Max</t>
  </si>
  <si>
    <t>0.684, 0.979</t>
  </si>
  <si>
    <t>-984.268, 119.455</t>
  </si>
  <si>
    <t>0.567, 1.834</t>
  </si>
  <si>
    <t>762.239, -528.902</t>
  </si>
  <si>
    <t>3.825, 2.338</t>
  </si>
  <si>
    <t>0.905, 0.705</t>
  </si>
  <si>
    <t>-822.044, -449.259</t>
  </si>
  <si>
    <t>0.923, 0.35</t>
  </si>
  <si>
    <t>161.807, 765.386</t>
  </si>
  <si>
    <t>4.696, 2.565</t>
  </si>
  <si>
    <t>k_VoltSatDaxPolyCoeff_Uls_f32 = Neg</t>
  </si>
  <si>
    <t>0.274, 0.47</t>
  </si>
  <si>
    <t>-538.279, -363.736</t>
  </si>
  <si>
    <t>1.361, 0.02</t>
  </si>
  <si>
    <t>-870.234, 991.185</t>
  </si>
  <si>
    <t>4.78, -2.886</t>
  </si>
  <si>
    <t>k_VoltSatDaxPolyCoeff_Uls_f32 = Pos</t>
  </si>
  <si>
    <t>1.648, 0.782</t>
  </si>
  <si>
    <t>-530.372, -420.146</t>
  </si>
  <si>
    <t>1.473, 0.944</t>
  </si>
  <si>
    <t>736.345, 379.116</t>
  </si>
  <si>
    <t>k_VoltSatQaxPolyCoeff_Uls_f32 = Min</t>
  </si>
  <si>
    <t>1.104, 0.256</t>
  </si>
  <si>
    <t>458.355, -1015.387</t>
  </si>
  <si>
    <t>0.777, 1.272</t>
  </si>
  <si>
    <t>309.818, -766.486</t>
  </si>
  <si>
    <t>k_VoltSatQaxPolyCoeff_Uls_f32 = Max</t>
  </si>
  <si>
    <t>0.397, 0.98</t>
  </si>
  <si>
    <t>161.655, -253.688</t>
  </si>
  <si>
    <t>0.057, 0.633</t>
  </si>
  <si>
    <t>-170.535, -25.755</t>
  </si>
  <si>
    <t>2.335, -0.331</t>
  </si>
  <si>
    <t>k_VoltSatQaxPolyCoeff_Uls_f32 = Neg</t>
  </si>
  <si>
    <t>0.49, 0.742</t>
  </si>
  <si>
    <t>-517.109, -593.113</t>
  </si>
  <si>
    <t>1.159, 1.605</t>
  </si>
  <si>
    <t>323.632, -319.569</t>
  </si>
  <si>
    <t>-0.532, 3.19</t>
  </si>
  <si>
    <t>-19.098</t>
  </si>
  <si>
    <t>k_VoltSatQaxPolyCoeff_Uls_f32 = Pos</t>
  </si>
  <si>
    <t>-2.949, 0.006</t>
  </si>
  <si>
    <t>MtrCurrOffComOffset_Cnt_u16 = Min</t>
  </si>
  <si>
    <t>0.142, 0.272</t>
  </si>
  <si>
    <t>243.257, -253.09</t>
  </si>
  <si>
    <t>0.714, 0.871</t>
  </si>
  <si>
    <t>49.863, -366.458</t>
  </si>
  <si>
    <t>MtrCurrOffComOffset_Cnt_u16 = Max</t>
  </si>
  <si>
    <t>1.52, 0.204</t>
  </si>
  <si>
    <t>-569.184, -867</t>
  </si>
  <si>
    <t>0.117, 0.853</t>
  </si>
  <si>
    <t>442.492, -332.345</t>
  </si>
  <si>
    <t>MtrCurrOffComOffset_Cnt_u16 = Pos</t>
  </si>
  <si>
    <t>1.744, 1.961</t>
  </si>
  <si>
    <t>756.675, 76.472</t>
  </si>
  <si>
    <t>0.591, 0.176</t>
  </si>
  <si>
    <t>730.22, -1004.938</t>
  </si>
  <si>
    <t>boolean</t>
  </si>
  <si>
    <t>PICurrCntrl_VoltSatnRatio_Uls_D_f32</t>
  </si>
  <si>
    <t>PICurrCntrl_MtrVoltCmdPreLimit_Volt_D_f32</t>
  </si>
  <si>
    <t>PICurrCntrl_MtrVolt_Volt_D_f32</t>
  </si>
  <si>
    <t>uint8</t>
  </si>
  <si>
    <t>unit16</t>
  </si>
  <si>
    <t>PICurrCntrl_MtrCurrQaxRefModif_Amp_D_f32</t>
  </si>
  <si>
    <t>PICurrCntrl_MtrCurrDaxRefModif_Amp_D_f32</t>
  </si>
  <si>
    <t>MtrCurrQaxError_Amp_D_f32</t>
  </si>
  <si>
    <t>MtrCurrDaxError_Amp_D_f32</t>
  </si>
  <si>
    <t>MtrVoltQaxProp_Volt_D_f32</t>
  </si>
  <si>
    <t>MtrVoltDaxProp_Volt_D_f32</t>
  </si>
  <si>
    <t>MtrVoltQaxDirectFeedback_Volt_D_f32</t>
  </si>
  <si>
    <t>MtrVoltDaxDirectFeedback_Volt_D_f32</t>
  </si>
  <si>
    <t>MtrVoltQaxDamping_Volt_D_f32</t>
  </si>
  <si>
    <t>MtrVoltDaxDamping_Volt_D_f32</t>
  </si>
  <si>
    <t>MtrVoltQaxDecouplingfdb_Volt_D_f32</t>
  </si>
  <si>
    <t>MtrVoltDaxDecouplingfdb_Volt_D_f32</t>
  </si>
  <si>
    <t>PICurrCntrl_MtrVoltQaxPreLimit_Volt_D_f32</t>
  </si>
  <si>
    <t>PICurrCntrl_MtrVoltDaxPreLimit_Volt_D_f32</t>
  </si>
  <si>
    <t>PICurrCntrl_VoltInvSatnRatio_Uls_D_f32</t>
  </si>
  <si>
    <t>u3p13_T</t>
  </si>
  <si>
    <t>PICurrCntrl_Per1() P</t>
  </si>
  <si>
    <t>PICurrCntrl_Per1() M</t>
  </si>
  <si>
    <t>Nexteer_Atan2f</t>
  </si>
  <si>
    <t>PICurrCntrl_MtrVecuFilt_M_str.PrevInput_Uls_f32</t>
  </si>
  <si>
    <t>PICurrCntrl_MtrVecuFilt_M_str.PrevOutput_Uls_f32</t>
  </si>
  <si>
    <t>PICurrCntrl_MtrVecuFilt_M_str.TermN_Uls_f32</t>
  </si>
  <si>
    <t>PICurrCntrl_MtrVecuFilt_M_str.TermD_Uls_f32</t>
  </si>
  <si>
    <t>LowPassFiltBilinear_Str.float</t>
  </si>
  <si>
    <t>Rev:2.7e</t>
  </si>
  <si>
    <t>LowPassFiltBilinear_T_Str.PrevInput_Uls_f32</t>
  </si>
  <si>
    <t>LowPassFiltBilinear_T_Str.PrevOutput_Uls_f32</t>
  </si>
  <si>
    <t>LowPassFiltBilinear_T_Str.TermN_Uls_f32</t>
  </si>
  <si>
    <t>LowPassFiltBilinear_T_Str.TermD_Uls_f32</t>
  </si>
  <si>
    <t>PICurrCntrl_MtrVoltQaxFFFilt_M_str.PrevInput_Uls_f32</t>
  </si>
  <si>
    <t>PICurrCntrl_MtrVoltQaxFFFilt_M_str.PrevOutput_Uls_f32</t>
  </si>
  <si>
    <t>PICurrCntrl_MtrVoltQaxFFFilt_M_str.TermN_Uls_f32</t>
  </si>
  <si>
    <t>PICurrCntrl_MtrVoltQaxFFFilt_M_str.TermD_Uls_f32</t>
  </si>
  <si>
    <t>k_MtrVoltVecuFiltKn_Hz_f32</t>
  </si>
  <si>
    <t>k_PiSamplingTs_Sec_f32</t>
  </si>
  <si>
    <t>k_MtrVoltQaxFiltFFKn_Hz_f32</t>
  </si>
  <si>
    <t>CalLowPassFiltBilinearTerm</t>
  </si>
  <si>
    <t>CalLowPassFiltBilinearOut</t>
  </si>
  <si>
    <t>(float Input_Uls_T_f32)</t>
  </si>
  <si>
    <t>(float Freq_Hz_T_f32, float TimeCons_Sec_T_f32)</t>
  </si>
  <si>
    <t>MtrCtrl_Vecu_Volt_M_f32[2]</t>
  </si>
  <si>
    <t>PICurrCntrl_MtrVoltVecuFilt_Volt_D_f32</t>
  </si>
  <si>
    <t>k_MtrVoltVecuFiltEnable_Cnt_lgc</t>
  </si>
  <si>
    <t>k_MtrVoltQaxFiltFFEnable_Cnt_lgc</t>
  </si>
  <si>
    <t>PICurrCntrl_MtrVoltQaxFFFilt_Volt_D_f32</t>
  </si>
  <si>
    <t>Param</t>
  </si>
  <si>
    <t>Freq_Hz_T_f32</t>
  </si>
  <si>
    <t>TimeCons_Sec_T_f32</t>
  </si>
  <si>
    <t xml:space="preserve">All Min </t>
  </si>
  <si>
    <t>Input_Uls_T_f32</t>
  </si>
  <si>
    <t>Function
Return Val</t>
  </si>
  <si>
    <t>Expected
Return Val</t>
  </si>
  <si>
    <t>Freq_Hz_T_f32=Min</t>
  </si>
  <si>
    <t>Freq_Hz_T_f32=Max</t>
  </si>
  <si>
    <t>Freq_Hz_T_f32=Pos</t>
  </si>
  <si>
    <t>TimeCons_Sec_T_f32=Min</t>
  </si>
  <si>
    <t>TimeCons_Sec_T_f32=Max</t>
  </si>
  <si>
    <t>TimeCons_Sec_T_f32=Pos</t>
  </si>
  <si>
    <t>Input_Uls_T_f32=Min</t>
  </si>
  <si>
    <t>Input_Uls_T_f32=Max</t>
  </si>
  <si>
    <t>Input_Uls_T_f32=Pos</t>
  </si>
  <si>
    <t>LowPassFiltBilinear_T_Str.PrevInput_Uls_f32=Min</t>
  </si>
  <si>
    <t>LowPassFiltBilinear_T_Str.PrevInput_Uls_f32=Max</t>
  </si>
  <si>
    <t>LowPassFiltBilinear_T_Str.PrevInput_Uls_f32=Pos</t>
  </si>
  <si>
    <t>LowPassFiltBilinear_T_Str.PrevOutput_Uls_f32=Min</t>
  </si>
  <si>
    <t>LowPassFiltBilinear_T_Str.PrevOutput_Uls_f32=Max</t>
  </si>
  <si>
    <t>LowPassFiltBilinear_T_Str.PrevOutput_Uls_f32=Pos</t>
  </si>
  <si>
    <t>LowPassFiltBilinear_T_Str.TermN_Uls_f32=Min</t>
  </si>
  <si>
    <t>LowPassFiltBilinear_T_Str.TermN_Uls_f32=Max</t>
  </si>
  <si>
    <t>LowPassFiltBilinear_T_Str.TermN_Uls_f32=Pos</t>
  </si>
  <si>
    <t>LowPassFiltBilinear_T_Str.TermD_Uls_f32=Min</t>
  </si>
  <si>
    <t>LowPassFiltBilinear_T_Str.TermD_Uls_f32=Max</t>
  </si>
  <si>
    <t>LowPassFiltBilinear_T_Str.TermD_Uls_f32=Pos</t>
  </si>
  <si>
    <t>k_MtrVoltVecuFiltKn_Hz_f32==&gt;Min</t>
  </si>
  <si>
    <t>k_MtrVoltVecuFiltKn_Hz_f32==&gt;Max</t>
  </si>
  <si>
    <t>k_MtrVoltVecuFiltKn_Hz_f32==&gt;Pos</t>
  </si>
  <si>
    <t>k_PiSamplingTs_Sec_f32==&gt;Min</t>
  </si>
  <si>
    <t>k_PiSamplingTs_Sec_f32==&gt;Max</t>
  </si>
  <si>
    <t>k_MtrVoltQaxFiltFFKn_Hz_f32==&gt;Min</t>
  </si>
  <si>
    <t>k_MtrVoltQaxFiltFFKn_Hz_f32==&gt;Max</t>
  </si>
  <si>
    <t>k_MtrVoltQaxFiltFFKn_Hz_f32==&gt;Pos</t>
  </si>
  <si>
    <t>k_MtrVoltVecuFiltKn_Hz_f32==&gt;Def</t>
  </si>
  <si>
    <t>k_PiSamplingTs_Sec_f32==&gt;Pos/Def</t>
  </si>
  <si>
    <t>k_MtrVoltQaxFiltFFKn_Hz_f32==&gt;Def</t>
  </si>
  <si>
    <t>Input_Uls_T_f32=Zero</t>
  </si>
  <si>
    <t>Input_Uls_T_f32=Neg</t>
  </si>
  <si>
    <t>LowPassFiltBilinear_T_Str.PrevInput_Uls_f32=Zero</t>
  </si>
  <si>
    <t>LowPassFiltBilinear_T_Str.PrevInput_Uls_f32=Neg</t>
  </si>
  <si>
    <t>LowPassFiltBilinear_T_Str.PrevOutput_Uls_f32=Zero</t>
  </si>
  <si>
    <t>LowPassFiltBilinear_T_Str.PrevOutput_Uls_f32=Neg</t>
  </si>
  <si>
    <t>LowPassFiltBilinear_T_Str.TermN_Uls_f32=Zero</t>
  </si>
  <si>
    <t>LowPassFiltBilinear_T_Str.TermN_Uls_f32=Neg</t>
  </si>
  <si>
    <t>LowPassFiltBilinear_T_Str.TermD_Uls_f32=Zero</t>
  </si>
  <si>
    <t>LowPassFiltBilinear_T_Str.TermD_Uls_f32=Neg</t>
  </si>
  <si>
    <t>Sl Num</t>
  </si>
  <si>
    <t>CR Num</t>
  </si>
  <si>
    <t>Developer</t>
  </si>
  <si>
    <t>Issue 1</t>
  </si>
  <si>
    <t>Response 1</t>
  </si>
  <si>
    <t>Issue 2</t>
  </si>
  <si>
    <t>Response 2</t>
  </si>
  <si>
    <t>Issue 3</t>
  </si>
  <si>
    <t>Response 3</t>
  </si>
  <si>
    <t>Issue 4</t>
  </si>
  <si>
    <t>Response 4</t>
  </si>
  <si>
    <t>Issue 5</t>
  </si>
  <si>
    <t>Response 5</t>
  </si>
  <si>
    <t>Issue 6</t>
  </si>
  <si>
    <t>Response 6</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</si>
  <si>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</si>
  <si>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</si>
  <si>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</si>
  <si>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</si>
  <si>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</si>
  <si>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</si>
  <si>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</si>
  <si>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</si>
  <si>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</si>
  <si>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</si>
  <si>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</si>
  <si>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</si>
  <si>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</si>
  <si>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</si>
  <si>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</si>
  <si>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NA</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</si>
  <si>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</si>
  <si>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</si>
  <si>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</si>
  <si>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</si>
  <si>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</si>
  <si>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</si>
  <si>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</si>
  <si>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</si>
  <si>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</si>
  <si>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</si>
  <si>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</si>
  <si>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</si>
  <si>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t>
  </si>
  <si>
    <t>Over all Metrics</t>
  </si>
  <si>
    <t>Flash</t>
  </si>
  <si>
    <t>Cals</t>
  </si>
  <si>
    <t>RAM</t>
  </si>
  <si>
    <t>k_MtrCtrlCurrLoopSecOrTranFcEnable_Cnt_lgc = 0/Def</t>
  </si>
  <si>
    <t>k_CLOAFdbackSignalSclFacSlew_UlspS_f32 = Def</t>
  </si>
  <si>
    <t>k_ILOAFdbackSignalSclFacSlew_UlspS_f32 = Def</t>
  </si>
  <si>
    <t>k_deadtimeVScale_Uls_f32 = Max/Def</t>
  </si>
  <si>
    <t>k_MtrCtrlVirualResDax_Ohm_f32 = Min/Def</t>
  </si>
  <si>
    <t>k_MtrCtrlVirualResQax_Ohm_f32 = Min/Def</t>
  </si>
  <si>
    <t>5, 5</t>
  </si>
  <si>
    <t>28.236, 30.596</t>
  </si>
  <si>
    <t>21.299, 23.659</t>
  </si>
  <si>
    <t>24.848, 27.208</t>
  </si>
  <si>
    <t>18.719, 21.079</t>
  </si>
  <si>
    <t>16.41, 18.77</t>
  </si>
  <si>
    <t>14.278, 16.638</t>
  </si>
  <si>
    <t>22.354, 24.714</t>
  </si>
  <si>
    <t>20.255, 22.615</t>
  </si>
  <si>
    <t>13.085, 15.445</t>
  </si>
  <si>
    <t>25.487, 27.847</t>
  </si>
  <si>
    <t>16.808, 19.168</t>
  </si>
  <si>
    <t>5.568, 7.928</t>
  </si>
  <si>
    <t>17.99, 20.35</t>
  </si>
  <si>
    <t>20.681, 23.041</t>
  </si>
  <si>
    <t>26.681, 29.041</t>
  </si>
  <si>
    <t>16.882, 19.242</t>
  </si>
  <si>
    <t>5.702, 8.062</t>
  </si>
  <si>
    <t>18.36, 20.72</t>
  </si>
  <si>
    <t>22.78, 25.14</t>
  </si>
  <si>
    <t>21.291, 23.651</t>
  </si>
  <si>
    <t>12.113, 14.473</t>
  </si>
  <si>
    <t>26.36, 28.72</t>
  </si>
  <si>
    <t>5.331, 7.691</t>
  </si>
  <si>
    <t>18.223, 20.583</t>
  </si>
  <si>
    <t>28.02, 30.38</t>
  </si>
  <si>
    <t>6.831, 9.191</t>
  </si>
  <si>
    <t>8.612, 10.972</t>
  </si>
  <si>
    <t>24.461, 26.821</t>
  </si>
  <si>
    <t>21.341, 23.701</t>
  </si>
  <si>
    <t>28.36, 30.26</t>
  </si>
  <si>
    <t>22.36, 24.72</t>
  </si>
  <si>
    <t>28.36, 30.72</t>
  </si>
  <si>
    <t>20.36, 22.72</t>
  </si>
  <si>
    <t>25.733, 28.093</t>
  </si>
  <si>
    <t>17.701, 20.061</t>
  </si>
  <si>
    <t>18.556, 20.916</t>
  </si>
  <si>
    <t>21.373, 23.733</t>
  </si>
  <si>
    <t>5.121, 7.481</t>
  </si>
  <si>
    <t>18.951, 21.311</t>
  </si>
  <si>
    <t>14.243, 16.603</t>
  </si>
  <si>
    <t>13.363, 15.723</t>
  </si>
  <si>
    <t>29.024, 30.23</t>
  </si>
  <si>
    <t>21.36, 23.72</t>
  </si>
  <si>
    <t>25.36, 27.72</t>
  </si>
  <si>
    <t>17.26, 19.62</t>
  </si>
  <si>
    <t>29.024, 30.36</t>
  </si>
  <si>
    <t>MtrCtrl_Vecu_Volt_M_f32= Min</t>
  </si>
  <si>
    <t>MtrCtrl_Vecu_Volt_M_f32 =Max</t>
  </si>
  <si>
    <t>MtrCtrl_Vecu_Volt_M_f32= Pos</t>
  </si>
  <si>
    <t>1]Function: PICurrCntrl_Init
Range not given in DD:
PICurrCntrl_MtrVecuFilt_M_str
PICurrCntrl_MtrVoltQaxFFFilt_M_str
k_PiSamplingTs_Sec_f32</t>
  </si>
  <si>
    <t xml:space="preserve"> Actual Range of float variable is 1.175494351 E – 38 to 3.402823466 E + 38, For testing purpose we are using the sin32 range  -2147483648 to 2147483647 .
  Use range of k_PiSamplingTs_Sec_f32 as 62.5 us to 100 ms which is 0.0000625 to 0.1</t>
  </si>
  <si>
    <t xml:space="preserve">2]Function: CalLowPassFiltBilinearTerm
Parameters "Freq_Hz_T_f32" and "TimeCons_Sec_T_f32" 
Range for both the parameters is given as full in MDD.
Considering full range when  "0"  is given in input it  will cause divide by zero error @line no. 755 of source code as shown below:
TimeConst_Uls_T_f32     = 1.0F /(TimeCons_Sec_T_f32 * Freq_Hz_T_f32 * D_PI_ULS_F32)
Let us know whether we have go ahead with full range for float as the range is very huge.
</t>
  </si>
  <si>
    <t xml:space="preserve"> Use range of TimeCons_Sec_T_f32 as 62.5 us to 100 ms which is 0.0000625 to 0.1
  Use  range of Freq_Hz_T_f32 as 0.1 to 2147483647
  Update MDD/DD as required and increase version.
</t>
  </si>
  <si>
    <t xml:space="preserve">3]Function: CalLowPassFiltBilinearOut
Range of pointer parameter "LowPassFiltBilinear_T_Str" is also given as full range in MDD.
But if we consider full range for "LowPassFiltBilinear_T_Str" in input then return value of the "CalLowPassFiltBilinearOut" and structure elements of "LowPassFiltBilinear_T_Str" are going out of range.
•         LowPassFiltBilinear_T_Str.PrevInput_Uls_f32
•         LowPassFiltBilinear_T_Str.PrevOutput_Uls_f32
•         LowPassFiltBilinear_T_Str.TermN_Uls_f32
•         LowPassFiltBilinear_T_Str.TermD_Uls_f32
</t>
  </si>
  <si>
    <t xml:space="preserve">  - Actual Range of float variable is 1.175494351 E – 38 to 3.402823466 E + 38, For testing purpose we are using the sin32 range  -2147483648 to 2147483647 . It should be ok if output goes out of range than sin32 as actual range LowPassFiltBilinear_T_Str-&gt; PrevOutput_Uls_f32 is Full float range.
</t>
  </si>
  <si>
    <t xml:space="preserve">PhaseAdvanceFinal_Rev_u0p16 - 0 to 0.9999847412109375. Update DD &amp; increase version.
CommOffset_Cnt_u16 - 0 to 5000 .Update DD &amp; increase version.
 </t>
  </si>
  <si>
    <t xml:space="preserve">4]Function Name:PICurrCntrl_Per1
Ranges of following output variables are not provided:
PhaseAdvanceFinal_Rev_u0p16
CommOffset_Cnt_u16 
</t>
  </si>
  <si>
    <t xml:space="preserve">5]Range of Variables considered from last version (source version 13)UTP created:
Variable                                                                      Min                                      Max
MtrCurrQaxPrevIntg_Volt_M_f32                       -31                                      31
MtrCurrDaxPrevIntg_Volt_M_f32                        -31                                     31
SlowDataAccessBufIndex_Cnt_M_u16                 0                                        1
MtrPosComputationDelay_Rad_M_f32[2]  -6.28318531                6.28318531   
MtrDaxIntegralGain_Uls_M_f32                                0                                        2
MtrQaxIntegralGain_Uls_M_f32                                0                                        2
MtrDaxPropotionalGain_Uls_M_f32                   -1024                               1024
MtrQaxPropotionalGain_Uls_M_f32                   -1024                               1024
</t>
  </si>
  <si>
    <t>Proceed with above ranges.Update DD and increase version.</t>
  </si>
  <si>
    <t>Yes Proceed with the 0.1 to 1000 range, Update the DD &amp; Increase version</t>
  </si>
  <si>
    <t xml:space="preserve">Range and Overflow Issues
1]Function: PICurrCntrl_Init
In “PICurrCntrl_Init” function local function “CalLowPassFiltBilinearTerm” is called in which we have divide by zero issue for which you have suggested range of parameters greater than zero, same parameters are updating by calibrations which are as below:
    DD Range      Range considered in UTP
k_MtrVoltVecuFiltKn_Hz_f32        0  to 1000 0.1  to 1000
k_MtrVoltQaxFiltFFKn_Hz_f32          0  to 1000 0.1  to 1000
Kindly confirm if we can continue with the considered range.
</t>
  </si>
  <si>
    <t xml:space="preserve">2]Function Name:PICurrCntrl_Per1
•         Below mentioned output variables are going out of range:
       DD Range      Outputs out of range 
MtrCurrQaxFinalRef_Amp_M_f32    -220  to 220  -434.402 to 484.695
MtrCurrQaxPrevIntg_Volt_M_f32 -31  to 31(Considered from previous UTP)   -589.43671864 to 548.96623
MtrCurrDaxPrevIntg_Volt_M_f32 -31  to 31(Considered from previous UTP)  -420.38403216 to 217.338028768
•         Range of output variable “ModIdx_Uls_u16p16” is not given in DD/MDD. 
Range considered in UTP: 0 to 4294967296
</t>
  </si>
  <si>
    <t xml:space="preserve">MtrCurrQaxFinalRef_Amp_M_f32 variable out of range issue Anomaly was Written Developer is going to provide me the Anomaly Number. Once I get the Anomaly details i will provide you. Till that time proceed with the testing at the end out of range comment can be added with Anomaly Number provided by me.
 - For MtrCurrQaxPrevIntg_Volt_M_f32 and MtrCurrDaxPrevIntg_Volt_M_f32 variables overflow is ok. Add comment regarding same in UTP.
 - Range of ModIdx_Uls_u16p16 will be 0 to 1. Update MDD/DD and increase version.
</t>
  </si>
  <si>
    <t>Issue 7</t>
  </si>
  <si>
    <t>Response 7</t>
  </si>
  <si>
    <t>Issue 8</t>
  </si>
  <si>
    <t>Response 8</t>
  </si>
  <si>
    <t>Issue 9</t>
  </si>
  <si>
    <t>Response 9</t>
  </si>
  <si>
    <t xml:space="preserve">Function Name: PICurrCntrl_Per1
In this function vectors are failing in Tessy due to range overflow.
Suggestion: 
1. Ranges of LowPassFiltBilinear_T_Str-&gt;TermD_Uls_f32 and LowPassFiltBilinear_T_Str-&gt;TermN_Uls_f32 variable are calculated using called function
    "CalLowPassFiltBilinearTerm" in “PICurrCntrl_Init” function.
Calibration ranges used for calculation the range of “LowPassFiltBilinear_T_Str.TermN_Uls_f32 and “LowPassFiltBilinear_T_Str.TermD_Uls_f32 are as follows:
k_PiSamplingTs_Sec_f32= [0.0000625 to 0.1]
k_MtrVoltQaxFiltFFKn_Hz_f32= [0.1 to 1000]
k_MtrVoltVecuFiltKn_Hz_f32= [0.1 to 1000]
 And Calculated ranges are : 
               1. LowPassFiltBilinear_T_Str.TermN_Uls_f32: [-0.996816901   50928.58179]                              
               2. LowPassFiltBilinear_T_Str.TermD_Uls_f32: [1.96346E-05    0.996827001]
</t>
  </si>
  <si>
    <t xml:space="preserve">Low Path Coverage Issue:
1. Function Name: - PICurrCntrl_Per1
100% MCDC path coverage cannot achieved for the following condition:
1.CurrSensFailSclFacBuff_Uls_T_f32 = Limit_m (D_ZERO_ULS_F32 ,(D_MTRCTRLISRRATE_MS_F32 * -k_CLOAFdbackSignalSclFacSlew_UlspS_f32)+ PICurrCntrl_CurrSensFailSclFac_Uls_M_f32, (D_MTRCTRLISRRATE_MS_F32 * k_CLOAFdbackSignalSclFacSlew_UlspS_f32)+PICurrCntrl_CurrSensFailSclFac_Uls_M_f32);
2. CurrSensFailSclFacBuff_Uls_T_f32 = Limit_m(D_ONE_ULS_F32 ,(D_MTRCTRLISRRATE_MS_F32 * -k_CLOAFdbackSignalSclFacSlew_UlspS_f32)+ PICurrCntrl_CurrSensFailSclFac_Uls_M_f32, (D_MTRCTRLISRRATE_MS_F32 * k_CLOAFdbackSignalSclFacSlew_UlspS_f32)+PICurrCntrl_CurrSensFailSclFac_Uls_M_f32 );
3. InverterFailSclFacBuff_Uls_T_f32 = Limit_m (D_ZERO_ULS_F32 ,(D_MTRCTRLISRRATE_MS_F32 * -k_ILOAFdbackSignalSclFacSlew_UlspS_f32)+ PICurrCntrl_InverterFailSclFac_Uls_M_f32, (D_MTRCTRLISRRATE_MS_F32 * k_ILOAFdbackSignalSclFacSlew_UlspS_f32)+PICurrCntrl_InverterFailSclFac_Uls_M_f32);
4. InverterFailSclFacBuff_Uls_T_f32 = Limit_m(D_ONE_ULS_F32 ,(D_MTRCTRLISRRATE_MS_F32 * -k_ILOAFdbackSignalSclFacSlew_UlspS_f32)+ PICurrCntrl_InverterFailSclFac_Uls_M_f32,  (D_MTRCTRLISRRATE_MS_F32 * k_ILOAFdbackSignalSclFacSlew_UlspS_f32)+PICurrCntrl_InverterFailSclFac_Uls_M_f32 );
</t>
  </si>
  <si>
    <t>Give out of range value to cover this path, add comment regarding same</t>
  </si>
  <si>
    <t>Yes you can proceed with testing.</t>
  </si>
  <si>
    <t xml:space="preserve">MtrCtrl_CM_ PICurrCtrl </t>
  </si>
  <si>
    <t>Selva</t>
  </si>
  <si>
    <t>Nexteer EPS Unit Test Tool 2.7d/EPS Library 1.32</t>
  </si>
  <si>
    <t>1813, 183</t>
  </si>
  <si>
    <t>PICurrCntrl_MtrVoltDaxIntgPreLim_Volt_D_f32</t>
  </si>
  <si>
    <t>PICurrCntrl_MtrVoltQaxIntgPreLim_Volt_D_f32</t>
  </si>
  <si>
    <t>PICurrCntrl_MtrVoltQaxFeedBack_Volt_D_f32</t>
  </si>
  <si>
    <t>PICurrCntrl_MtrVoltDaxFeedBack_Volt_D_f32</t>
  </si>
  <si>
    <t>IntegralStateVarNonOperState</t>
  </si>
  <si>
    <t>(Rte_ModeType_StaMd_Mode SysState_Cnt_T_Enum)</t>
  </si>
  <si>
    <t>CalLowPassFiltVecuOut</t>
  </si>
  <si>
    <t>Vecu_Volt_T_f32</t>
  </si>
  <si>
    <t>LoaMtgtnSclFac</t>
  </si>
  <si>
    <t>D_VECUDEFAULT_VOLT_F32</t>
  </si>
  <si>
    <t>SysState_Cnt_T_Enum</t>
  </si>
  <si>
    <t>MotCurrLoaMtgtnEn_Cnt_T_lgc</t>
  </si>
  <si>
    <t>IvtrLoaMtgtnEn_Cnt_T_lgc</t>
  </si>
  <si>
    <t>k_MtrCurrQaxRefModifRplEn_Cnt_lgc</t>
  </si>
  <si>
    <t>k_MtrVoltQaxIntegLoLim_Volt_f32</t>
  </si>
  <si>
    <t>k_MtrVoltQaxIntegHiLim_Volt_f32</t>
  </si>
  <si>
    <t>k_MtrVoltDaxIntegLoLim_Volt_f32</t>
  </si>
  <si>
    <t>k_MtrVoltDaxIntegHiLim_Volt_f32</t>
  </si>
  <si>
    <t xml:space="preserve">PICurrCntrl_MtrVecuFilt_M_str.PrevOutput_Uls_f32 </t>
  </si>
  <si>
    <t xml:space="preserve">PICurrCntrl_MtrVecuFilt_M_str.PrevInput_Uls_f32 </t>
  </si>
  <si>
    <t>k_MtrVoltQaxIntegLoLim_Volt_f32 = &gt;min</t>
  </si>
  <si>
    <t>k_MtrVoltQaxIntegLoLim_Volt_f32 = &gt;max</t>
  </si>
  <si>
    <t>k_MtrVoltQaxIntegLoLim_Volt_f32 = &gt;neg</t>
  </si>
  <si>
    <t>k_MtrVoltQaxIntegLoLim_Volt_f32 = &gt;default</t>
  </si>
  <si>
    <t>k_MtrVoltQaxIntegHiLim_Volt_f32=&gt;min</t>
  </si>
  <si>
    <t>k_MtrVoltQaxIntegHiLim_Volt_f32=&gt;max</t>
  </si>
  <si>
    <t>k_MtrVoltQaxIntegHiLim_Volt_f32=&gt;default</t>
  </si>
  <si>
    <t>k_MtrVoltQaxIntegHiLim_Volt_f32=&gt;mid</t>
  </si>
  <si>
    <t>k_MtrVoltDaxIntegLoLim_Volt_f32 =&gt;min</t>
  </si>
  <si>
    <t>k_MtrVoltDaxIntegLoLim_Volt_f32 =&gt;max</t>
  </si>
  <si>
    <t>k_MtrVoltDaxIntegLoLim_Volt_f32 =&gt;neg</t>
  </si>
  <si>
    <t>k_MtrVoltDaxIntegLoLim_Volt_f32 =&gt;default</t>
  </si>
  <si>
    <t>18.638, -23.189</t>
  </si>
  <si>
    <t>18.638, -23.190</t>
  </si>
  <si>
    <t>18.638, -23.191</t>
  </si>
  <si>
    <t>171.486, 163.788</t>
  </si>
  <si>
    <t>171.486, 163.789</t>
  </si>
  <si>
    <t>171.486, 163.790</t>
  </si>
  <si>
    <t>171.486, 163.791</t>
  </si>
  <si>
    <t>31.587, -186.397</t>
  </si>
  <si>
    <t>31.587, -186.398</t>
  </si>
  <si>
    <t>31.587, -186.399</t>
  </si>
  <si>
    <t>31.587, -186.400</t>
  </si>
  <si>
    <t>1.759, 1.459</t>
  </si>
  <si>
    <t>1.364, 1.950</t>
  </si>
  <si>
    <t>1.759, 1.460</t>
  </si>
  <si>
    <t>1.364, 1.951</t>
  </si>
  <si>
    <t>0.345, 1.100</t>
  </si>
  <si>
    <t>0.409, 1.168</t>
  </si>
  <si>
    <t>1.759, 1.461</t>
  </si>
  <si>
    <t>1.364, 1.952</t>
  </si>
  <si>
    <t>0.345, 1.101</t>
  </si>
  <si>
    <t>0.409, 1.169</t>
  </si>
  <si>
    <t>0.345, 1.102</t>
  </si>
  <si>
    <t>0.409, 1.170</t>
  </si>
  <si>
    <t>-948.984, -975.935</t>
  </si>
  <si>
    <t>-232.372, -761.937</t>
  </si>
  <si>
    <t>-948.984, -975.936</t>
  </si>
  <si>
    <t>-232.372, -761.938</t>
  </si>
  <si>
    <t>-475.019, -121.875</t>
  </si>
  <si>
    <t>967.463, -285.224</t>
  </si>
  <si>
    <t>-948.984, -975.937</t>
  </si>
  <si>
    <t>-232.372, -761.939</t>
  </si>
  <si>
    <t>-475.019, -121.876</t>
  </si>
  <si>
    <t>967.463, -285.225</t>
  </si>
  <si>
    <t>-475.019, -121.877</t>
  </si>
  <si>
    <t>967.463, -285.226</t>
  </si>
  <si>
    <t>0.261, 0.755</t>
  </si>
  <si>
    <t>1.658, 0.305</t>
  </si>
  <si>
    <t>0.261, 0.756</t>
  </si>
  <si>
    <t>1.658, 0.306</t>
  </si>
  <si>
    <t>0.633, 1.7</t>
  </si>
  <si>
    <t>0.306, 0.235</t>
  </si>
  <si>
    <t>0.261, 0.757</t>
  </si>
  <si>
    <t>1.658, 0.307</t>
  </si>
  <si>
    <t>0.633, 1.8</t>
  </si>
  <si>
    <t>0.306, 0.236</t>
  </si>
  <si>
    <t>0.633, 1.9</t>
  </si>
  <si>
    <t>0.306, 0.237</t>
  </si>
  <si>
    <t>-227.466, -453.339</t>
  </si>
  <si>
    <t>-174.84, 903.404</t>
  </si>
  <si>
    <t>-227.466, -453.340</t>
  </si>
  <si>
    <t>-174.84, 903.405</t>
  </si>
  <si>
    <t>-892.642, -451.740</t>
  </si>
  <si>
    <t>-121.924, 483.275</t>
  </si>
  <si>
    <t>-227.466, -453.341</t>
  </si>
  <si>
    <t>-174.84, 903.406</t>
  </si>
  <si>
    <t>-892.642, -451.741</t>
  </si>
  <si>
    <t>-121.924, 483.276</t>
  </si>
  <si>
    <t>-892.642, -451.742</t>
  </si>
  <si>
    <t>-121.924, 483.277</t>
  </si>
  <si>
    <t>-2.949, 0.007</t>
  </si>
  <si>
    <t>2.335, -0.332</t>
  </si>
  <si>
    <t>-2.949, 0.008</t>
  </si>
  <si>
    <t>2.335, -0.333</t>
  </si>
  <si>
    <t>-0.532, 3.21</t>
  </si>
  <si>
    <t>-2.949, 0.009</t>
  </si>
  <si>
    <t>2.335, -0.334</t>
  </si>
  <si>
    <t>-0.532, 3.22</t>
  </si>
  <si>
    <t>-2.949, 0.010</t>
  </si>
  <si>
    <t>-0.532, 3.23</t>
  </si>
  <si>
    <t>-16.302, 8.552</t>
  </si>
  <si>
    <t>-16.302, 8.553</t>
  </si>
  <si>
    <t>-0.736, -13.618</t>
  </si>
  <si>
    <t>-16.302, 8.554</t>
  </si>
  <si>
    <t>-0.736, -13.619</t>
  </si>
  <si>
    <t>-0.736, -13.620</t>
  </si>
  <si>
    <t>-25.377, 21.389</t>
  </si>
  <si>
    <t>-25.377, 21.390</t>
  </si>
  <si>
    <t>-25.377, 21.391</t>
  </si>
  <si>
    <t>0.011, 0.040</t>
  </si>
  <si>
    <t>0.011, 0.041</t>
  </si>
  <si>
    <t>0.08, 0.011</t>
  </si>
  <si>
    <t>0.011, 0.042</t>
  </si>
  <si>
    <t>0.08, 0.012</t>
  </si>
  <si>
    <t>0.08, 0.013</t>
  </si>
  <si>
    <t>0.099, 0.018</t>
  </si>
  <si>
    <t>0.099, 0.019</t>
  </si>
  <si>
    <t>0.01, 0.10</t>
  </si>
  <si>
    <t>0.099, 0.020</t>
  </si>
  <si>
    <t>0.01, 0.11</t>
  </si>
  <si>
    <t>0.01, 0.12</t>
  </si>
  <si>
    <t>0.042, 0.029</t>
  </si>
  <si>
    <t>0.042, 0.030</t>
  </si>
  <si>
    <t>0.113, 0.127</t>
  </si>
  <si>
    <t>0.042, 0.031</t>
  </si>
  <si>
    <t>0.113, 0.128</t>
  </si>
  <si>
    <t>0.113, 0.129</t>
  </si>
  <si>
    <t>0.053, 0.096</t>
  </si>
  <si>
    <t>0.053, 0.097</t>
  </si>
  <si>
    <t>0.053, 0.098</t>
  </si>
  <si>
    <t>67.49, 119.722</t>
  </si>
  <si>
    <t>67.49, 119.723</t>
  </si>
  <si>
    <t>-212.633, -205.087</t>
  </si>
  <si>
    <t>67.49, 119.724</t>
  </si>
  <si>
    <t>-212.633, -205.088</t>
  </si>
  <si>
    <t>-212.633, -205.089</t>
  </si>
  <si>
    <t>-14.5</t>
  </si>
  <si>
    <t>-4.5</t>
  </si>
  <si>
    <t>MotCurrLoaMtgtnEn_Cnt_T_lgc==&gt;Min</t>
  </si>
  <si>
    <t>MotCurrLoaMtgtnEn_Cnt_T_lgc==&gt;Max</t>
  </si>
  <si>
    <t>IvtrLoaMtgtnEn_Cnt_T_lgc==&gt;Min</t>
  </si>
  <si>
    <t>IvtrLoaMtgtnEn_Cnt_T_lgc==&gt;Max</t>
  </si>
  <si>
    <t>PICurrCntrl_CurrSensFailSclFac_Uls_M_f32==&gt;Min</t>
  </si>
  <si>
    <t>PICurrCntrl_CurrSensFailSclFac_Uls_M_f32==&gt;Max</t>
  </si>
  <si>
    <t>k_CLOAFdbackSignalSclFacSlew_UlspS_f32==&gt;Min</t>
  </si>
  <si>
    <t>k_CLOAFdbackSignalSclFacSlew_UlspS_f32==&gt;Max</t>
  </si>
  <si>
    <t>k_ILOAFdbackSignalSclFacSlew_UlspS_f32==&gt;Min</t>
  </si>
  <si>
    <t>k_ILOAFdbackSignalSclFacSlew_UlspS_f32==&gt;Max</t>
  </si>
  <si>
    <t>PICurrCntrl_InverterFailSclFac_Uls_M_f32==&gt;Min</t>
  </si>
  <si>
    <t>PICurrCntrl_InverterFailSclFac_Uls_M_f32==&gt;Max</t>
  </si>
  <si>
    <t>k_MtrVoltVecuFiltEnable_Cnt_lgc =&gt; min</t>
  </si>
  <si>
    <t>k_MtrVoltVecuFiltEnable_Cnt_lgc =&gt; max</t>
  </si>
  <si>
    <t>Input_Uls1_T_f32</t>
  </si>
  <si>
    <t>Vecu_Volt1_T_f32</t>
  </si>
  <si>
    <t>Vecu_Volt1_T_f32 =&gt;min</t>
  </si>
  <si>
    <t>Vecu_Volt1_T_f32 =&gt;max</t>
  </si>
  <si>
    <t>Vecu_Volt1_T_f32 =&gt;mid</t>
  </si>
  <si>
    <t>PICurrCntrl_MtrVecuFilt_M_str.PrevOutput_Uls_f32 =&gt;min</t>
  </si>
  <si>
    <t>PICurrCntrl_MtrVecuFilt_M_str.PrevInput_Uls_f32 =&gt; min</t>
  </si>
  <si>
    <t>PICurrCntrl_MtrVecuFilt_M_str.PrevInput_Uls_f32 =&gt; max</t>
  </si>
  <si>
    <t>PICurrCntrl_MtrVecuFilt_M_str.PrevOutput_Uls_f32 =&gt;max</t>
  </si>
  <si>
    <t>PICurrCntrl_MtrVecuFilt_M_str.TermN_Uls_f32 =&gt;min</t>
  </si>
  <si>
    <t>PICurrCntrl_MtrVecuFilt_M_str.TermN_Uls_f32 =&gt;max</t>
  </si>
  <si>
    <t>PICurrCntrl_MtrVecuFilt_M_str.TermD_Uls_f32 =&gt;min</t>
  </si>
  <si>
    <t>PICurrCntrl_MtrVecuFilt_M_str.TermD_Uls_f32=&gt;max</t>
  </si>
  <si>
    <t>k_CLOAFdbackSignalSclFacSlew_UlspS_f32==&gt;default</t>
  </si>
  <si>
    <t>k_ILOAFdbackSignalSclFacSlew_UlspS_f32 ==&gt;default</t>
  </si>
  <si>
    <t>MtrCurrQaxPrevIntg_Volt_M_f32 =zero</t>
  </si>
  <si>
    <t>k_MtrVoltDaxIntegHiLim_Volt_f32 =&gt;min</t>
  </si>
  <si>
    <t>k_MtrVoltDaxIntegHiLim_Volt_f32 =&gt;max</t>
  </si>
  <si>
    <t>k_MtrVoltDaxIntegHiLim_Volt_f32 =&gt;mid</t>
  </si>
  <si>
    <t>k_MtrVoltDaxIntegHiLim_Volt_f32 =&gt;default</t>
  </si>
  <si>
    <t>18.638, -23.192</t>
  </si>
  <si>
    <t>171.486, 163.792</t>
  </si>
  <si>
    <t>-133.947, 75.703</t>
  </si>
  <si>
    <t>171.486, 163.793</t>
  </si>
  <si>
    <t>31.587, -186.401</t>
  </si>
  <si>
    <t>-146.723, -121.944</t>
  </si>
  <si>
    <t>31.587, -186.402</t>
  </si>
  <si>
    <t>1.759, 1.463</t>
  </si>
  <si>
    <t>0.345, 1.103</t>
  </si>
  <si>
    <t>0.409, 1.171</t>
  </si>
  <si>
    <t>1.759, 1.464</t>
  </si>
  <si>
    <t>-948.984, -975.939</t>
  </si>
  <si>
    <t>-475.019, -121.878</t>
  </si>
  <si>
    <t>967.463, -285.227</t>
  </si>
  <si>
    <t>-948.984, -975.940</t>
  </si>
  <si>
    <t>0.261, 0.759</t>
  </si>
  <si>
    <t>0.633, 1.10</t>
  </si>
  <si>
    <t>0.306, 0.238</t>
  </si>
  <si>
    <t>0.261, 0.760</t>
  </si>
  <si>
    <t>-227.466, -453.343</t>
  </si>
  <si>
    <t>-892.642, -451.743</t>
  </si>
  <si>
    <t>-121.924, 483.278</t>
  </si>
  <si>
    <t>-227.466, -453.344</t>
  </si>
  <si>
    <t>-2.949, 0.011</t>
  </si>
  <si>
    <t>-0.532, 3.24</t>
  </si>
  <si>
    <t>-2.949, 0.012</t>
  </si>
  <si>
    <t>-16.302, 8.556</t>
  </si>
  <si>
    <t>-0.736, -13.621</t>
  </si>
  <si>
    <t>-16.302, 8.557</t>
  </si>
  <si>
    <t>-25.377, 21.393</t>
  </si>
  <si>
    <t>-3.595, -28.422</t>
  </si>
  <si>
    <t>-25.377, 21.394</t>
  </si>
  <si>
    <t>0.011, 0.044</t>
  </si>
  <si>
    <t>0.085, 0.114</t>
  </si>
  <si>
    <t>0.08, 0.014</t>
  </si>
  <si>
    <t>0.011, 0.045</t>
  </si>
  <si>
    <t>0.099, 0.022</t>
  </si>
  <si>
    <t>0.01, 0.13</t>
  </si>
  <si>
    <t>0.099, 0.023</t>
  </si>
  <si>
    <t>0.042, 0.033</t>
  </si>
  <si>
    <t>0.113, 0.130</t>
  </si>
  <si>
    <t>0.042, 0.034</t>
  </si>
  <si>
    <t>0.053, 0.099</t>
  </si>
  <si>
    <t>67.49, 119.726</t>
  </si>
  <si>
    <t>-200.556, -98.446</t>
  </si>
  <si>
    <t>-212.633, -205.090</t>
  </si>
  <si>
    <t>67.49, 119.727</t>
  </si>
  <si>
    <t>18.951, 21.312</t>
  </si>
  <si>
    <t>5.121, 7.482</t>
  </si>
  <si>
    <t>18.951, 21.313</t>
  </si>
  <si>
    <t>163, 1237</t>
  </si>
  <si>
    <t>365, 1531</t>
  </si>
  <si>
    <t>771, 1637</t>
  </si>
  <si>
    <t>163, 1238</t>
  </si>
  <si>
    <t>PICurrCntrl_MtrVecuFilt_M_str.PrevInput_Uls_f32 =&gt; zero</t>
  </si>
  <si>
    <t>PICurrCntrl_MtrVecuFilt_M_str.PrevInput_Uls_f32 =&gt; pos</t>
  </si>
  <si>
    <t>PICurrCntrl_MtrVecuFilt_M_str.PrevInput_Uls_f32 =&gt; neg</t>
  </si>
  <si>
    <t>PICurrCntrl_MtrVecuFilt_M_str.PrevOutput_Uls_f32 =&gt;zero</t>
  </si>
  <si>
    <t>PICurrCntrl_MtrVecuFilt_M_str.PrevOutput_Uls_f32 =&gt;pos</t>
  </si>
  <si>
    <t>PICurrCntrl_MtrVecuFilt_M_str.PrevOutput_Uls_f32 =&gt;neg</t>
  </si>
  <si>
    <t>PICurrCntrl_MtrVecuFilt_M_str.TermN_Uls_f32 =&gt;zero</t>
  </si>
  <si>
    <t>PICurrCntrl_MtrVecuFilt_M_str.TermN_Uls_f32 =&gt;pos</t>
  </si>
  <si>
    <t>PICurrCntrl_MtrVecuFilt_M_str.TermN_Uls_f32 =&gt;neg</t>
  </si>
  <si>
    <t>PICurrCntrl_MtrVecuFilt_M_str.TermD_Uls_f32 =&gt;zero</t>
  </si>
  <si>
    <t>PICurrCntrl_MtrVecuFilt_M_str.TermD_Uls_f32 =&gt;pos</t>
  </si>
  <si>
    <t>PICurrCntrl_MtrVecuFilt_M_str.TermD_Uls_f32 =&gt;neg</t>
  </si>
  <si>
    <t>PICurrCntrl_MtrCurrDaxSatFluxRatio_Uls_M_f32 = mid</t>
  </si>
  <si>
    <t>0.8199, 0.946</t>
  </si>
  <si>
    <t>0.0959, 0.6429</t>
  </si>
  <si>
    <t>0.2209, 0.285</t>
  </si>
  <si>
    <t>0.223, 0.6379</t>
  </si>
  <si>
    <t>0.7519, 0.7679</t>
  </si>
  <si>
    <t>0.1899, 0.619</t>
  </si>
  <si>
    <t>0.1059, 0.128</t>
  </si>
  <si>
    <t>0.3669, 0.8509</t>
  </si>
  <si>
    <t>0.258,0.578</t>
  </si>
  <si>
    <t>0.0699,0.9239</t>
  </si>
  <si>
    <t>0.056,0.7049</t>
  </si>
  <si>
    <t>0.1479,0.208</t>
  </si>
  <si>
    <t>0.112,0.2049</t>
  </si>
  <si>
    <t>0.187,0.348</t>
  </si>
  <si>
    <t>0.508,0.983</t>
  </si>
  <si>
    <t>0.342,0.4759</t>
  </si>
  <si>
    <t>0.572,0.7469</t>
  </si>
  <si>
    <t>0.139,0.9079</t>
  </si>
  <si>
    <t>0.2989,0.3509</t>
  </si>
  <si>
    <t>0.5069,0.998</t>
  </si>
  <si>
    <t>0.583,0.9449</t>
  </si>
  <si>
    <t>0.06,0.957</t>
  </si>
  <si>
    <t>0.2629,0.828</t>
  </si>
  <si>
    <t>0.264,0.6639</t>
  </si>
  <si>
    <t>0.775,0.8819</t>
  </si>
  <si>
    <t>0.2679,0.734</t>
  </si>
  <si>
    <t>0.369,0.452</t>
  </si>
  <si>
    <t>0.748,0.9029</t>
  </si>
  <si>
    <t>0.599853515625, 0.9499</t>
  </si>
  <si>
    <t>0.509, 0.8238525390625</t>
  </si>
  <si>
    <t>0.4898681640625, 0.5959</t>
  </si>
  <si>
    <t>0.4688720703125, 0.577</t>
  </si>
  <si>
    <t>0.2978515625, 0.457</t>
  </si>
  <si>
    <t>0.4228515625, 0.7629</t>
  </si>
  <si>
    <t>0.171875, 0.4278564453125</t>
  </si>
  <si>
    <t>0.0489, 0.1778564453125</t>
  </si>
  <si>
    <t>0.27, 0.578857421875</t>
  </si>
  <si>
    <t>0.587, 0.6778564453125</t>
  </si>
  <si>
    <t>0.54, 0.921875</t>
  </si>
  <si>
    <t>0.086, 0.60986328125</t>
  </si>
  <si>
    <t>0.19287109375, 0.326</t>
  </si>
  <si>
    <t>0.11083984375, 0.727</t>
  </si>
  <si>
    <t>0.0008544921875, 0.0218505859375</t>
  </si>
  <si>
    <t>0.55, 0.6568603515625</t>
  </si>
  <si>
    <t>0.369873046875, 0.655</t>
  </si>
  <si>
    <t>0.592, 0.7618408203125</t>
  </si>
  <si>
    <t>0.182861328125, 0.603</t>
  </si>
  <si>
    <t>0.745849609375, 0.894</t>
  </si>
  <si>
    <t>0.02685546875, 0.6148681640625</t>
  </si>
  <si>
    <t>0.140869140625, 0.645</t>
  </si>
  <si>
    <t>0.613, 0.8548583984375</t>
  </si>
  <si>
    <t>0.5628662109375, 0.681</t>
  </si>
  <si>
    <t>0.322, 0.44287109375</t>
  </si>
  <si>
    <t>0.46484375, 0.890869140625</t>
  </si>
  <si>
    <t>0.629, 0.9798583984375</t>
  </si>
  <si>
    <t>0.3459, 0.4388427734375</t>
  </si>
  <si>
    <t>0.051, 0.557861328125</t>
  </si>
  <si>
    <t>0.141845703125, 0.23583984375</t>
  </si>
  <si>
    <t>0.2309, 0.58984375</t>
  </si>
  <si>
    <t>0.409, 0.6458740234375</t>
  </si>
  <si>
    <t>0.177, 0.5528564453125</t>
  </si>
  <si>
    <t>0.203, 0.7298583984375</t>
  </si>
  <si>
    <t>0.796875, 1</t>
  </si>
  <si>
    <t>0.135, 0.5738525390625</t>
  </si>
  <si>
    <t>0.0838623046875, 0.883</t>
  </si>
  <si>
    <t>0.057861328125, 0.848876953125</t>
  </si>
  <si>
    <t>0.5628662109375, 0.682</t>
  </si>
  <si>
    <t>0.5628662109375, 0.682861328125</t>
  </si>
  <si>
    <t>0.5528564453125, 0.8128662109375</t>
  </si>
  <si>
    <t>0.191, 0.599853515625</t>
  </si>
  <si>
    <t>0.15, 0.1728515625</t>
  </si>
  <si>
    <t>0.53, 0.94287109375</t>
  </si>
  <si>
    <t>0.312, 0.52685546875</t>
  </si>
  <si>
    <t>0.5738525390625, 0.618</t>
  </si>
  <si>
    <t>MtrCurrDaxRef_Amp_M_f32[2] =zero</t>
  </si>
  <si>
    <t>0.9300</t>
  </si>
  <si>
    <t>k_MtrCurrQaxRefModifRplEn_Cnt_lgc =&gt;min</t>
  </si>
  <si>
    <t>12.3256,25.2145</t>
  </si>
  <si>
    <t>10.2356,32.2145</t>
  </si>
  <si>
    <t>10.2356,25.3256</t>
  </si>
  <si>
    <t>32.1245,21.0214</t>
  </si>
  <si>
    <t>0.2145,0.32145</t>
  </si>
  <si>
    <t>1.0214,1.2356</t>
  </si>
  <si>
    <t>102.3256, 102.2145</t>
  </si>
  <si>
    <t>10.2356,21.2145</t>
  </si>
  <si>
    <t>0.3214,0.3214</t>
  </si>
  <si>
    <t>0.2145,0.4215</t>
  </si>
  <si>
    <t>102.0214,102.3214</t>
  </si>
  <si>
    <t>90.2141,254.3214</t>
  </si>
  <si>
    <t>-2.0145,5.0214</t>
  </si>
  <si>
    <t>-1.0244,3.0214</t>
  </si>
  <si>
    <t>-1.0214,2.3214</t>
  </si>
  <si>
    <t>-2.0214, 3.2145</t>
  </si>
  <si>
    <t>-22.0214,11.0214</t>
  </si>
  <si>
    <t>-10.0214,5.0214</t>
  </si>
  <si>
    <t>0.0225,0.0425</t>
  </si>
  <si>
    <t>0.0121,0.1123</t>
  </si>
  <si>
    <t>0.0421, 0.0282</t>
  </si>
  <si>
    <t>0.0214,0.0125</t>
  </si>
  <si>
    <t>0.0321,0.0314</t>
  </si>
  <si>
    <t>0.0214,0.0123</t>
  </si>
  <si>
    <t>0.0124,0.0214</t>
  </si>
  <si>
    <t>0.00125,0.0001</t>
  </si>
  <si>
    <t>-110.0014,100.0214</t>
  </si>
  <si>
    <t>110.2010, 99.0124</t>
  </si>
  <si>
    <t>11.0214,20.1452</t>
  </si>
  <si>
    <t>6.3214,21.2014</t>
  </si>
  <si>
    <t>1.000,0.3214</t>
  </si>
  <si>
    <t>0.0012, 0.2144775390625</t>
  </si>
  <si>
    <t>160,260</t>
  </si>
  <si>
    <t>110,365</t>
  </si>
  <si>
    <t>1.0000</t>
  </si>
  <si>
    <t>PICurrCntrl_MtrCurrQaxSatFluxRatio_Uls_M_f32 = mid</t>
  </si>
  <si>
    <t>PICurrCntrl_CurrSensFailSclFac_Uls_M_f32 = mid</t>
  </si>
  <si>
    <t>PICurrCntrl_InverterFailSclFac_Uls_M_f32 = mid</t>
  </si>
  <si>
    <t>LoaMtgtnSclFac() P</t>
  </si>
  <si>
    <t>SysState_Cnt_T_Enum=&gt;RTE_TRANSITION_StaMd_Mode</t>
  </si>
  <si>
    <t>SysState_Cnt_T_Enum=&gt;RTE_MODE_StaMd_Mode_WARMINIT</t>
  </si>
  <si>
    <t>SysState_Cnt_T_Enum =&gt;RTE_MODE_StaMd_Mode_OPERATE</t>
  </si>
  <si>
    <t>SysState_Cnt_T_Enum =&gt;RTE_MODE_StaMd_Mode_OFF</t>
  </si>
  <si>
    <t>SysState_Cnt_T_Enum =&gt;RTE_MODE_StaMd_Mode_DISABLE</t>
  </si>
  <si>
    <t>LoaMtgtnSclFac() M</t>
  </si>
  <si>
    <t>k_CLOAFdbackSignalSclFacSlew_UlspS_f32==&gt;Mid</t>
  </si>
  <si>
    <t>PICurrCntrl_CurrSensFailSclFac_Uls_M_f32==&gt;Mid</t>
  </si>
  <si>
    <t>k_ILOAFdbackSignalSclFacSlew_UlspS_f32==&gt;Mid</t>
  </si>
  <si>
    <t>PICurrCntrl_InverterFailSclFac_Uls_M_f32==&gt;Mid</t>
  </si>
  <si>
    <t>0</t>
  </si>
  <si>
    <t>1</t>
  </si>
  <si>
    <t>0.2356</t>
  </si>
  <si>
    <t>2</t>
  </si>
  <si>
    <t>-1</t>
  </si>
  <si>
    <t>10</t>
  </si>
  <si>
    <t>8000</t>
  </si>
  <si>
    <t>7702.76</t>
  </si>
  <si>
    <t>6599.26</t>
  </si>
  <si>
    <t>(1&lt;=((D_MTRCTRLISRRATE_MS_F32 * -k_CLOAFdbackSignalSclFacSlew_UlspS_f32)+ PICurrCntrl_CurrSensFailSclFac_Uls_M_f32))=true</t>
  </si>
  <si>
    <t>(0&gt;=((D_MTRCTRLISRRATE_MS_F32 * -k_CLOAFdbackSignalSclFacSlew_UlspS_f32)+ PICurrCntrl_CurrSensFailSclFac_Uls_M_f32))=False</t>
  </si>
  <si>
    <t>&amp;&amp;(0&lt;=((D_MTRCTRLISRRATE_MS_F32 * -k_CLOAFdbackSignalSclFacSlew_UlspS_f32)+ PICurrCntrl_CurrSensFailSclFac_Uls_M_f32))=True</t>
  </si>
  <si>
    <t>(MotCurrLoaMtgtnEn_Cnt_T_lgc == TRUE)=False&amp;&amp;(1&gt;=((D_MTRCTRLISRRATE_MS_F32 * -k_CLOAFdbackSignalSclFacSlew_UlspS_f32)+ PICurrCntrl_CurrSensFailSclFac_Uls_M_f32))=True&amp;&amp;(1&gt;=(D_MTRCTRLISRRATE_MS_F32 * k_ILOAFdbackSignalSclFacSlew_UlspS_f32)+PICurrCntrl_InverterFailSclFac_Uls_M_f32 ))=True</t>
  </si>
  <si>
    <t>(1&lt;=(D_MTRCTRLISRRATE_MS_F32 * k_ILOAFdbackSignalSclFacSlew_UlspS_f32)+PICurrCntrl_InverterFailSclFac_Uls_M_f32 ))=True</t>
  </si>
  <si>
    <t>(1&gt;=((D_MTRCTRLISRRATE_MS_F32 * -k_CLOAFdbackSignalSclFacSlew_UlspS_f32)+ PICurrCntrl_CurrSensFailSclFac_Uls_M_f32))=False&amp;&amp;(1&lt;=((D_MTRCTRLISRRATE_MS_F32 * -k_CLOAFdbackSignalSclFacSlew_UlspS_f32)+ PICurrCntrl_CurrSensFailSclFac_Uls_M_f32))=False&amp;&amp;(1&gt;=(D_MTRCTRLISRRATE_MS_F32 * k_ILOAFdbackSignalSclFacSlew_UlspS_f32)+PICurrCntrl_InverterFailSclFac_Uls_M_f32 ))=False&amp;&amp;(1&lt;=(D_MTRCTRLISRRATE_MS_F32 * k_ILOAFdbackSignalSclFacSlew_UlspS_f32)+PICurrCntrl_InverterFailSclFac_Uls_M_f32 ))=False</t>
  </si>
  <si>
    <t>(0&gt;=(D_MTRCTRLISRRATE_MS_F32 * k_ILOAFdbackSignalSclFacSlew_UlspS_f32)+PICurrCntrl_InverterFailSclFac_Uls_M_f32 ))=True</t>
  </si>
  <si>
    <t>(0&lt;=(D_MTRCTRLISRRATE_MS_F32 * k_ILOAFdbackSignalSclFacSlew_UlspS_f32)+PICurrCntrl_InverterFailSclFac_Uls_M_f32 ))=True</t>
  </si>
  <si>
    <t>(MotCurrLoaMtgtnEn_Cnt_T_lgc == TRUE)=True&amp;&amp;(0&gt;=((D_MTRCTRLISRRATE_MS_F32 * -k_CLOAFdbackSignalSclFacSlew_UlspS_f32)+ PICurrCntrl_CurrSensFailSclFac_Uls_M_f32))=False&amp;&amp;(0&lt;=((D_MTRCTRLISRRATE_MS_F32 * -k_CLOAFdbackSignalSclFacSlew_UlspS_f32)+ PICurrCntrl_CurrSensFailSclFac_Uls_M_f32))=False&amp;&amp;(0&gt;=(D_MTRCTRLISRRATE_MS_F32 * k_ILOAFdbackSignalSclFacSlew_UlspS_f32)+PICurrCntrl_InverterFailSclFac_Uls_M_f32 ))=false&amp;&amp;(0&lt;=(D_MTRCTRLISRRATE_MS_F32 * k_ILOAFdbackSignalSclFacSlew_UlspS_f32)+PICurrCntrl_InverterFailSclFac_Uls_M_f32 ))=false</t>
  </si>
  <si>
    <t>Shortest Path==&gt;(MotCurrLoaMtgtnEn_Cnt_T_lgc == TRUE)=False&amp;&amp;(1&gt;=((D_MTRCTRLISRRATE_MS_F32 * -k_CLOAFdbackSignalSclFacSlew_UlspS_f32)+ PICurrCntrl_CurrSensFailSclFac_Uls_M_f32))=True&amp;&amp;(1&gt;=(D_MTRCTRLISRRATE_MS_F32 * k_ILOAFdbackSignalSclFacSlew_UlspS_f32)+PICurrCntrl_InverterFailSclFac_Uls_M_f32 ))=True</t>
  </si>
  <si>
    <t>Longest Path==&gt;(MotCurrLoaMtgtnEn_Cnt_T_lgc == TRUE)=True&amp;&amp;(0&gt;=((D_MTRCTRLISRRATE_MS_F32 * -k_CLOAFdbackSignalSclFacSlew_UlspS_f32)+ PICurrCntrl_CurrSensFailSclFac_Uls_M_f32))=False&amp;&amp;(0&lt;=((D_MTRCTRLISRRATE_MS_F32 * -k_CLOAFdbackSignalSclFacSlew_UlspS_f32)+ PICurrCntrl_CurrSensFailSclFac_Uls_M_f32))=False&amp;&amp;(0&gt;=(D_MTRCTRLISRRATE_MS_F32 * k_ILOAFdbackSignalSclFacSlew_UlspS_f32)+PICurrCntrl_InverterFailSclFac_Uls_M_f32 ))=false&amp;&amp;(0&lt;=(D_MTRCTRLISRRATE_MS_F32 * k_ILOAFdbackSignalSclFacSlew_UlspS_f32)+PICurrCntrl_InverterFailSclFac_Uls_M_f32 ))=false</t>
  </si>
  <si>
    <t>(MtrCurrDaxIntg_Volt_T_f32&lt;=k_MtrVoltDaxIntegLoLim_Volt_f32)=False&amp;&amp;(MtrCurrDaxIntg_Volt_T_f32&lt;=k_MtrVoltDaxIntegLoLim_Volt_f32)=False&amp;&amp;(MtrCurrDaxIntg_Volt_T_f32&lt;= k_MtrVoltDaxIntegLoLim_Volt_f32)=False</t>
  </si>
  <si>
    <t>(k_MtrVoltQaxFiltFFEnable_Cnt_lgc==TRUE) =True&amp;&amp; (IvtrLoaMtgtnEn_Cnt_T_lgc==FALSE) =True&amp;&amp;(MotCurrLoaMtgtnEn_Cnt_T_lgc==FALSE)=False</t>
  </si>
  <si>
    <t>(MtrCurrDaxRefModif_Amp_T_f32&lt;=0)=False&amp;&amp;&amp;&amp;(MtrCurrDaxIntg_Volt_T_f32&gt;=k_MtrVoltDaxIntegHiLim_Volt_f32)=True&amp;&amp;(MtrCurrDaxIntg_Volt_T_f32&gt;=k_MtrVoltDaxIntegHiLim_Volt_f32)=True&amp;&amp;(k_MtrVoltQaxFiltFFEnable_Cnt_lgc==TRUE) =True&amp;&amp; (IvtrLoaMtgtnEn_Cnt_T_lgc==FALSE) =True&amp;&amp;(MotCurrLoaMtgtnEn_Cnt_T_lgc==FALSE) =True&amp;&amp;(k_MtrCtrlFeedbackControlDisable_Cnt_lgc == FALSE)=False</t>
  </si>
  <si>
    <t>(k_MtrVoltQaxFiltFFEnable_Cnt_lgc==TRUE) =True&amp;&amp; (IvtrLoaMtgtnEn_Cnt_T_lgc==FALSE) =True&amp;&amp;(MotCurrLoaMtgtnEn_Cnt_T_lgc==FALSE) =True&amp;&amp;(k_MtrCtrlFeedbackControlDisable_Cnt_lgc == FALSE)=True</t>
  </si>
  <si>
    <t>&amp;&amp;(MtrCurrQaxRefModif_Amp_T_f32&lt;=-220)=False&amp;&amp;(MtrCurrQaxFinalRef_Amp_T_f32&lt;=-220)=False&amp;&amp;(MtrCurrQaxIntg_Volt_T_f32&gt;= k_MtrVoltQaxIntegLoLim_Volt_f32)=True&amp;&amp;&amp;&amp;(MtrCurrQaxIntg_Volt_T_f32&gt;=k_MtrVoltQaxIntegHiLim_Volt_f32)=True&amp;&amp;(MtrCurrDaxIntg_Volt_T_f32&gt;=k_MtrVoltDaxIntegHiLim_Volt_f32)=False&amp;&amp;(MtrCurrDaxIntg_Volt_T_f32&lt;= k_MtrVoltDaxIntegLoLim_Volt_f32)=True&amp;&amp;(k_MtrCtrlCurrLoopSecOrTranFcEnable_Cnt_lgc == FALSE)=True&amp;&amp;(VoltSatnRatio_Uls_T_f32 &gt; D_ONE_ULS_F32)=False</t>
  </si>
  <si>
    <t>(k_MtrCurrQaxRefModifRplEn_Cnt_lgc == TRUE)=False&amp;&amp;(MtrCurrQaxRefModif_Amp_T_f32&gt;=220)=True&amp;&amp;(MtrCurrQaxFinalRef_Amp_T_f32&gt;=220)=True&amp;&amp;(MtrCurrDaxRefModif_Amp_T_f32&gt;=220)=False&amp;&amp;(MtrCurrDaxRefModif_Amp_T_f32&lt;=0)=True&amp;&amp;(MtrCurrQaxIntg_Volt_T_f32&gt;= k_MtrVoltQaxIntegLoLim_Volt_f32)=False&amp;&amp;(MtrCurrQaxIntg_Volt_T_f32&lt;=k_MtrVoltQaxIntegHiLim_Volt_f32)=True&amp;&amp;(MtrCurrQaxIntg_Volt_T_f32&gt;=k_MtrVoltQaxIntegHiLim_Volt_f32)=False&amp;&amp;(MtrCurrQaxIntg_Volt_T_f32&lt;= k_MtrVoltQaxIntegLoLim_Volt_f32)=True&amp;&amp;(MtrCurrDaxIntg_Volt_T_f32&gt;=k_MtrVoltDaxIntegHiLim_Volt_f32)=False&amp;&amp;(MtrCurrDaxIntg_Volt_T_f32&lt;=k_MtrVoltDaxIntegLoLim_Volt_f32)=True&amp;&amp;(MtrCurrDaxIntg_Volt_T_f32&gt;=k_MtrVoltDaxIntegHiLim_Volt_f32)=False&amp;&amp;(MtrCurrDaxIntg_Volt_T_f32&lt;= k_MtrVoltDaxIntegLoLim_Volt_f32)=True&amp;&amp;(k_MtrCtrlFeedbackControlDisable_Cnt_lgc == TRUE)=False&amp;&amp;(k_MtrCtrlCurrLoopSecOrTranFcEnable_Cnt_lgc == FALSE)=False&amp;&amp;(k_MtrVoltQaxFiltFFEnable_Cnt_lgc==TRUE)=False&amp;&amp;(VoltSatnRatio_Uls_T_f32 &gt; D_ONE_ULS_F32)=True&amp;&amp;(ModIdxSrlComSvcDft_Cnt_T_lgc==TRUE)=False&amp;&amp;(k_MtrCurrQaxRefModifDsb_Cnt_lgc == FALSE)=True</t>
  </si>
  <si>
    <t>(k_MtrCurrQaxRefModifRplEn_Cnt_lgc == TRUE)=True&amp;&amp;(MtrCurrQaxRefModif_Amp_T_f32&gt;=220)=False&amp;&amp;(MtrCurrQaxRefModif_Amp_T_f32&lt;=-220)=True&amp;&amp;(MtrCurrQaxFinalRef_Amp_T_f32&gt;=220)=False&amp;&amp;(MtrCurrQaxFinalRef_Amp_T_f32&lt;=-220)=True&amp;&amp;(MtrCurrDaxRefModif_Amp_T_f32&gt;=220)=True&amp;&amp;&amp;&amp;(MtrCurrDaxIntg_Volt_T_f32&gt;=k_MtrVoltDaxIntegHiLim_Volt_f32)=True&amp;&amp;(k_MtrCtrlFeedbackControlDisable_Cnt_lgc == TRUE)=True&amp;&amp;(k_MtrVoltQaxFiltFFEnable_Cnt_lgc==TRUE)=True &amp;&amp; (IvtrLoaMtgtnEn_Cnt_T_lgc==FALSE)=False&amp;&amp;(ModIdxSrlComSvcDft_Cnt_T_lgc==TRUE)=True&amp;&amp;(k_MtrCurrQaxRefModifDsb_Cnt_lgc == FALSE)=False</t>
  </si>
  <si>
    <t>(MtrCurrQaxIntg_Volt_T_f32&lt;=k_MtrVoltQaxIntegHiLim_Volt_f32)=False&amp;&amp;(MtrCurrQaxIntg_Volt_T_f32&lt;= k_MtrVoltQaxIntegLoLim_Volt_f32)=False</t>
  </si>
  <si>
    <t>MtrCurrQaxRef_Amp_M_f32[2] = zero</t>
  </si>
  <si>
    <t>MtrCtrl_MtrDaxPropotionalGain_Ohm_M_f32[2] = Zero</t>
  </si>
  <si>
    <t>MtrCtrl_MtrQaxPropotionalGain_Ohm_M_f32[2] = zero</t>
  </si>
  <si>
    <t>MtrPosComputationDelay_Rad_M_f32[2] = Zero</t>
  </si>
  <si>
    <t>MtrCtrl_MtrCurrDaxMaxVal_Amp_M_f32[2] = Zero</t>
  </si>
  <si>
    <t>MtrCurrQaxCog_Amp_M_f32 = zero</t>
  </si>
  <si>
    <t>MtrCurrDaxPrevIntg_Volt_M_f32 = zero</t>
  </si>
  <si>
    <t>MtrCurrDax_Amp_f32 = Zero</t>
  </si>
  <si>
    <t>k_VoltSatQaxPolyCoeff_Uls_f32 = Zero/Def</t>
  </si>
  <si>
    <t>k_MtrVoltQaxFiltFFEnable_Cnt_lgc= Min</t>
  </si>
  <si>
    <t>k_MtrVoltQaxFiltFFEnable_Cnt_lgc= Max</t>
  </si>
  <si>
    <t>k_MtrVoltVecuFiltEnable_Cnt_lgc= Min</t>
  </si>
  <si>
    <t>k_MtrVoltVecuFiltEnable_Cnt_lgc= Max</t>
  </si>
  <si>
    <t>k_MtrCurrQaxRefModifRplEn_Cnt_lgc =&gt;max/Default</t>
  </si>
  <si>
    <t>MtrCtrl_MtrVoltQaxFF_Volt_M_f32[2] = Zero</t>
  </si>
  <si>
    <t>MtrCtrl_MtrVoltDaxFF_Volt_M_f32[2]= Zero</t>
  </si>
  <si>
    <t>k_MtrCtrlFeedbackControlDisable_Cnt_lgc =Min/Def</t>
  </si>
  <si>
    <t>k_MtrCtrlFeedbackControlDisable_Cnt_lgc = Max</t>
  </si>
  <si>
    <t>k_MtrCurrQaxRefModifDsb_Cnt_lgc = Min/Def</t>
  </si>
  <si>
    <t>k_MtrCurrQaxRefModifDsb_Cnt_lgc = Max</t>
  </si>
  <si>
    <t>MtrCurrQax_Amp_f32 = Zero</t>
  </si>
  <si>
    <t>k_VoltSatDaxPolyCoeff_Uls_f32 = Zero/Def</t>
  </si>
  <si>
    <t>Longest Path==&gt;(k_MtrCurrQaxRefModifRplEn_Cnt_lgc == TRUE)=False&amp;&amp;(MtrCurrQaxRefModif_Amp_T_f32&gt;220)=False&amp;&amp;(MtrCurrQaxRefModif_Amp_T_f32&lt;-220)=False&amp;&amp;(MtrCurrQaxFinalRef_Amp_T_f32&gt;=220)=False&amp;&amp;(MtrCurrQaxFinalRef_Amp_T_f32&lt;=-220)=True&amp;&amp;(MtrCurrDaxRefModif_Amp_T_f32&gt;=220)=False&amp;&amp;(MtrCurrDaxRefModif_Amp_T_f32&lt;=0)=False&amp;&amp;(MtrCurrQaxIntg_Volt_T_f32&gt;=k_MtrVoltQaxIntegHiLim_Volt_f32)=False&amp;&amp;(MtrCurrQaxIntg_Volt_T_f32&lt;=k_MtrVoltQaxIntegLoLim_Volt_f32)=False&amp;&amp;(MtrCurrQaxIntg_Volt_T_f32&gt;=k_MtrVoltQaxIntegHiLim_Volt_f32)=False&amp;&amp;(MtrCurrQaxIntg_Volt_T_f32&lt;=k_MtrVoltQaxIntegLoLim_Volt_f32)=False&amp;&amp;(k_MtrCtrlFeedbackControlDisable_Cnt_lgc == TRUE)=False&amp;&amp;(k_MtrCtrlCurrLoopSecOrTranFcEnable_Cnt_lgc == FALSE)=False&amp;&amp;(k_MtrVoltQaxFiltFFEnable_Cnt_lgc==TRUE) =True&amp;&amp; (IvtrLoaMtgtnEn_Cnt_T_lgc==FALSE) =True&amp;&amp;(MotCurrLoaMtgtnEn_Cnt_T_lgc==FALSE) =True&amp;&amp;(k_MtrCtrlFeedbackControlDisable_Cnt_lgc == FALSE)=True&amp;&amp;(VoltSatnRatio_Uls_T_f32 &gt; D_ONE_ULS_F32)=True&amp;&amp;(PhaseAdvanceFinal_Rad_T_f32 &lt; D_ZERO_ULS_F32)=True&amp;&amp;(ModIdxSrlComSvcDft_Cnt_T_lgc==TRUE)=True&amp;&amp;(k_MtrCurrQaxRefModifDsb_Cnt_lgc == FALSE)=False</t>
  </si>
  <si>
    <t>Shortest Path==&gt;(MtrCurrQaxRefModif_Amp_T_f32&gt;=220)=True&amp;&amp;(MtrCurrQaxFinalRef_Amp_T_f32&gt;=220)=True&amp;&amp;(MtrCurrQaxIntg_Volt_T_f32&gt;=k_MtrVoltQaxIntegHiLim_Volt_f32)=True&amp;&amp;&amp;&amp;(MtrCurrQaxIntg_Volt_T_f32&gt;=k_MtrVoltQaxIntegHiLim_Volt_f32)=True&amp;&amp;(k_MtrCtrlFeedbackControlDisable_Cnt_lgc == TRUE)=True&amp;&amp;(k_MtrVoltQaxFiltFFEnable_Cnt_lgc==TRUE)=False&amp;&amp;(ModIdxSrlComSvcDft_Cnt_T_lgc==TRUE)=False&amp;&amp;(k_MtrCurrQaxRefModifDsb_Cnt_lgc == FALSE)=True</t>
  </si>
  <si>
    <t>IntegralStateVarNonOperState( P</t>
  </si>
  <si>
    <t>IntegralStateVarNonOperState( M</t>
  </si>
  <si>
    <t>(SysState_Cnt_T_Enum != RTE_MODE_StaMd_Mode_OPERATE)=True</t>
  </si>
  <si>
    <t>(SysState_Cnt_T_Enum != RTE_MODE_StaMd_Mode_OPERATE)=False</t>
  </si>
  <si>
    <t>Longest Path==&gt;(SysState_Cnt_T_Enum != RTE_MODE_StaMd_Mode_OPERATE)=True</t>
  </si>
  <si>
    <t>Shortest Path==&gt;(SysState_Cnt_T_Enum != RTE_MODE_StaMd_Mode_OPERATE)=False</t>
  </si>
  <si>
    <t>CalLowPassFiltVecuOut() P</t>
  </si>
  <si>
    <t>(k_MtrVoltVecuFiltEnable_Cnt_lgc == TRUE)=True&amp;&amp;(*Vecu_Volt_T_f32&gt;= D_VECUMIN_VOLTS_F32)=True</t>
  </si>
  <si>
    <t>(k_MtrVoltVecuFiltEnable_Cnt_lgc == TRUE)=False&amp;&amp;(*Vecu_Volt_T_f32&gt;= D_VECUMIN_VOLTS_F32)=False&amp;&amp;(*Vecu_Volt_T_f32&lt;= D_VECUMIN_VOLTS_F32)=True</t>
  </si>
  <si>
    <t>(*Vecu_Volt_T_f32&lt;= D_VECUMIN_VOLTS_F32)=False</t>
  </si>
  <si>
    <t>CalLowPassFiltVecuOut() M</t>
  </si>
  <si>
    <t>Shortest Path==&gt;(k_MtrVoltVecuFiltEnable_Cnt_lgc == TRUE)=True&amp;&amp;(*Vecu_Volt_T_f32&gt;=D_VECUMIN_VOLTS_F32)=True</t>
  </si>
  <si>
    <t>Longest Path==&gt;(*Vecu_Volt_T_f32&gt;=D_VECUMIN_VOLTS_F32)=False&amp;&amp;&amp;&amp;(*Vecu_Volt_T_f32&lt;=D_VECUMIN_VOLTS_F32)=True</t>
  </si>
  <si>
    <t>-3.5</t>
  </si>
  <si>
    <t xml:space="preserve">Following Variable Ranges are going in out of range in output:                                                                       
A]Function Name : CalLowPassFiltVecuOut
1.PICurrCntrl_MtrVecuFilt_M_str.PrevOutput_Uls_f32                                                                   
Analysis:    
As PICurrCntrl_MtrVecuFilt_M_str.PrevOutput_Uls_f32  is updating from CalLowPassFiltBilinearOut function in Below lines,
Output_Uls_T_f32 =  ((Input_Uls_T_f32 + LowPassFiltBilinear_T_Str-&gt; PrevInput_Uls_f32)+ (LowPassFiltBilinear_T_Str-&gt;TermN_Uls_f32 * LowPassFiltBilinear_T_Str-&gt; PrevOutput_Uls_f32))* LowPassFiltBilinear_T_Str-&gt;TermD_Uls_f32 ;
LowPassFiltBilinear_T_Str-&gt; PrevOutput_Uls_f32 = Output_Uls_T_f32;
and in CalLowPassFiltVecuOut function it updating as below
PICurrCntrl_MtrVecuFilt_M_str.PrevOutput_Uls_f32  = LowPassFiltBilinear_T_Str-&gt; PrevOutput_Uls_f32
So, Min range for PICurrCntrl_MtrVecuFilt_M_str.PrevOutput_Uls_f32 should be (-9.903520300447984154648248317*e^27) and Max Range (9.903520300447984154648248317*e^27) 
But in DD range is -2147483647 to 2147483647.     
                                                                                                                                                                                                                                                                                             B]Function Name : PICurrCntrl_Per1
1.PICurrCntrl_MtrCurrDaxSatFluxRatio_Uls_M_f32
this variable is updated in source line no.724 as below 
PICurrCntrl_MtrCurrDaxSatFluxRatio_Uls_M_f32 = (VoltInvSatnRatio_Uls_T_f32 * (D_ONE_ULS_F32 - k_VoltSatDaxPolyCoeff_Uls_f32)) + (SqrdVoltInvSatnRatio_Uls_T_f32 * k_VoltSatDaxPolyCoeff_Uls_f32)
Analysis:
VoltInvSatnRatio_Uls_T_f32 and  SqrdVoltInvSatnRatio_Uls_T_f32 is updated in source code from many calculation.
D_ONE_ULS_F32 value for this is 1,  range for k_VoltSatDaxPolyCoeff_Uls_f32 is -25 to 25.
In DD PICurrCntrl_MtrCurrDaxSatFluxRatio_Uls_M_f32 range is 0 to 1.
But In UTP its going in out of range for output(-5.32963 to 5.59371)
2.PICurrCntrl_MtrCurrQaxSatFluxRatio_Uls_M_f32
this variable is updated in source line no.716 as below
PICurrCntrl_MtrCurrQaxSatFluxRatio_Uls_M_f32 = (VoltInvSatnRatio_Uls_T_f32 * (D_ONE_ULS_F32 - k_VoltSatQaxPolyCoeff_Uls_f32 )) + (SqrdVoltInvSatnRatio_Uls_T_f32 * k_VoltSatQaxPolyCoeff_Uls_f32);
Analysis:
VoltInvSatnRatio_Uls_T_f32 and  SqrdVoltInvSatnRatio_Uls_T_f32 is updated in source code from many calculation.
D_ONE_ULS_F32 value for this is 1,  range for k_VoltSatQaxPolyCoeff_Uls_f32 is -25 to 25.
In DD PICurrCntrl_MtrCurrDaxSatFluxRatio_Uls_M_f32 range is 0 to 1.
But In UTP its going in out of range for output(-5.27564 to 6.5400)           
</t>
  </si>
  <si>
    <t xml:space="preserve">04/21/2016: This is an issue and developer want to discuss with FDD owner also but presently we don't have time to proceed with 
Adding comment in Reports regarding these variables ranges goes out of range. Once the developer concluded on this issue it will be taken further. </t>
  </si>
  <si>
    <t xml:space="preserve"> A]Out of range value is need to give in function "LoaMtgtnSclFac ". 
 for variables "k_CLOAFdbackSignalSclFacSlew_UlspS_f32,k_ILOAFdbackSignalSclFacSlew_UlspS_f32,
 PICurrCntrl_CurrSensFailSclFac_Uls_M_f32 and PICurrCntrl_InverterFailSclFac_Uls_M_f32" to achieve 100% path coverage.
 1]As range for k_CLOAFdbackSignalSclFacSlew_UlspS_f32 and k_ILOAFdbackSignalSclFacSlew_UlspS_f32 in DD is 10 to 8000 , but for path coverage need to taken it from 0 to 8000
 2]range for PICurrCntrl_CurrSensFailSclFac_Uls_M_f32 and  PICurrCntrl_InverterFailSclFac_Uls_M_f32 in DD range is 0 to 1 , but for path coverage need to taken it from -1 to 1 
 B]In previous UTP for this Task for per1 function "k_CLOAFdbackSignalSclFacSlew_UlspS_f32,k_ILOAFdbackSignalSclFacSlew_UlspS_f32,
 PICurrCntrl_CurrSensFailSclFac_Uls_M_f32 and PICurrCntrl_InverterFailSclFac_Uls_M_f32" this variable ranges are taken in out of range to achieve 100% path coverage.
 Kindly give the confirmation for the same.</t>
  </si>
  <si>
    <t>04/21/2016: 
Proceed with giving out of range value and add comment regarding same.</t>
  </si>
  <si>
    <t>-3.14,-3.14</t>
  </si>
  <si>
    <t>3.14,3.14</t>
  </si>
  <si>
    <t>-0.1249,-1.0557</t>
  </si>
  <si>
    <t>-1.086,2.9025</t>
  </si>
  <si>
    <t>2.7838,2.0903</t>
  </si>
  <si>
    <t>-1.4,0.9844</t>
  </si>
  <si>
    <t>2.7914,0.0717</t>
  </si>
  <si>
    <t>3.0118,-2.144</t>
  </si>
  <si>
    <t>0.17,-2.7801</t>
  </si>
  <si>
    <t>2.449,1.2507</t>
  </si>
  <si>
    <t>-2.566,0.2095</t>
  </si>
  <si>
    <t>0.2711,0.3134</t>
  </si>
  <si>
    <t>-0.8869,2.7732</t>
  </si>
  <si>
    <t>0.2918,-2.6247</t>
  </si>
  <si>
    <t>1.843,-1.4735</t>
  </si>
  <si>
    <t>0.3094,-2.0161</t>
  </si>
  <si>
    <t>-2.2958,0.0512</t>
  </si>
  <si>
    <t>-2.8459,1.5588</t>
  </si>
  <si>
    <t>-1.8079,1.3761</t>
  </si>
  <si>
    <t>2.4738,2.742</t>
  </si>
  <si>
    <t>-1.1546,-2.1485</t>
  </si>
  <si>
    <t>-1.8187,1.8273</t>
  </si>
  <si>
    <t>2.9716,1.6613</t>
  </si>
  <si>
    <t>2.2071,-1.834</t>
  </si>
  <si>
    <t>-2.3005,-3.1202</t>
  </si>
  <si>
    <t>-3.069,0.7843</t>
  </si>
  <si>
    <t>-1.1614,-0.3117</t>
  </si>
  <si>
    <t>-1.2145,2.9902</t>
  </si>
  <si>
    <t>-2.0259,-0.21</t>
  </si>
  <si>
    <t>1.4973,-2.9454</t>
  </si>
  <si>
    <t>-0.6514,-1.5637</t>
  </si>
  <si>
    <t>-2.6134,-1.9664</t>
  </si>
  <si>
    <t>1.4017,-3.1182</t>
  </si>
  <si>
    <t>-3.0167,2.2482</t>
  </si>
  <si>
    <t>-1.7653,1.0586</t>
  </si>
  <si>
    <t>0.9639,-1.9605</t>
  </si>
  <si>
    <t>2.759,-1.0911</t>
  </si>
  <si>
    <t>-2.5174,-0.2833</t>
  </si>
  <si>
    <t>-2.4549,-1.4828</t>
  </si>
  <si>
    <t>-0.1642,3.0353</t>
  </si>
  <si>
    <t>-0.2495,2.8299</t>
  </si>
  <si>
    <t>1.6595,2.0832</t>
  </si>
  <si>
    <t>1.4061,1.3911</t>
  </si>
  <si>
    <t>3.0768,1.0194</t>
  </si>
  <si>
    <t>2.7216,2.1024</t>
  </si>
  <si>
    <t>-2.8895,0.6995</t>
  </si>
  <si>
    <t>-1.2269,-0.6631</t>
  </si>
  <si>
    <t>-1.9182,0.8309</t>
  </si>
  <si>
    <t>2.0247,-2.5934</t>
  </si>
  <si>
    <t>-2.9531,0.0648</t>
  </si>
  <si>
    <t>0.6499,-1.9016</t>
  </si>
  <si>
    <t>-0.1527,1.5117</t>
  </si>
  <si>
    <t>0.5442,-1.2302</t>
  </si>
  <si>
    <t>1.1411,-2.6644</t>
  </si>
  <si>
    <t>2.7078,-1.6873</t>
  </si>
  <si>
    <t>0.6747,-2.4221</t>
  </si>
  <si>
    <t>0.0818,-2.8616</t>
  </si>
  <si>
    <t>-0.1305,-2.7375</t>
  </si>
  <si>
    <t>0.4527,1.2202</t>
  </si>
  <si>
    <t>0.906,1.8719</t>
  </si>
  <si>
    <t>2.7775,2.2007</t>
  </si>
  <si>
    <t>2.833,0.7242</t>
  </si>
  <si>
    <t>0.9008,2.4377</t>
  </si>
  <si>
    <t>2.194,2.1584</t>
  </si>
  <si>
    <t>-1.3928,-1.3809</t>
  </si>
  <si>
    <t>2.9442,-2.2629</t>
  </si>
  <si>
    <t>1.7595,-2.1559</t>
  </si>
  <si>
    <t>2.7014,1.7793</t>
  </si>
  <si>
    <t>-0.7791,-2.8984</t>
  </si>
  <si>
    <t>2.7942,-2.3688</t>
  </si>
  <si>
    <t>0.4634,1.5439</t>
  </si>
  <si>
    <t>-2.3734,-2.127</t>
  </si>
  <si>
    <t>-1.0318,2.3759</t>
  </si>
  <si>
    <t>0.1082,2.6142</t>
  </si>
  <si>
    <t>-1.9344,-1.8777</t>
  </si>
  <si>
    <t>2.1089,0.785</t>
  </si>
  <si>
    <t>-0.5569,-2.6964</t>
  </si>
  <si>
    <t>1.9311,2.7589</t>
  </si>
  <si>
    <t>2.5981,-0.5169</t>
  </si>
  <si>
    <t>2.9002,0.4001</t>
  </si>
  <si>
    <t>-0.7641,0.1423</t>
  </si>
  <si>
    <t>-1.3296,1.8057</t>
  </si>
  <si>
    <t>1.3375,-1.1386</t>
  </si>
  <si>
    <t>-2.9573,1.6319</t>
  </si>
  <si>
    <t>0.698,1.6434</t>
  </si>
  <si>
    <t>0.2864,-0.813</t>
  </si>
  <si>
    <t>0.9073,-1.3015</t>
  </si>
  <si>
    <t>1.9137,1.354</t>
  </si>
  <si>
    <t>-2.3216,0.1665</t>
  </si>
  <si>
    <t>1.3626,1.8122</t>
  </si>
  <si>
    <t>-2.9391,2.1495</t>
  </si>
  <si>
    <t>-0.864,-2.7984</t>
  </si>
  <si>
    <t>3.0515,2.3938</t>
  </si>
  <si>
    <t>1.9005,2.3405</t>
  </si>
  <si>
    <t>-2.6469,-1.5366</t>
  </si>
  <si>
    <t>-1.7367,0.8942</t>
  </si>
  <si>
    <t>2.8204,2.935</t>
  </si>
  <si>
    <t>1.0154,-2.3179</t>
  </si>
  <si>
    <t>1.8154,-1.3756</t>
  </si>
  <si>
    <t>-0.6756,-0.358</t>
  </si>
  <si>
    <t>2.2234,2.748</t>
  </si>
  <si>
    <t>-2.1566,-2.9461</t>
  </si>
  <si>
    <t>0.7378,1.7437</t>
  </si>
  <si>
    <t>3.0114,-2.0073</t>
  </si>
  <si>
    <t>-1.9319,-1.1807</t>
  </si>
  <si>
    <t>1.2997,-2.2392</t>
  </si>
  <si>
    <t>1.5677,0.7336</t>
  </si>
  <si>
    <t>-2.8739,-2.2841</t>
  </si>
  <si>
    <t>-0.0884,-0.0132</t>
  </si>
  <si>
    <t>-0.7873,-1.4153</t>
  </si>
  <si>
    <t>-1.7972,3.0801</t>
  </si>
  <si>
    <t>1.4017,3.1182</t>
  </si>
  <si>
    <t>-2.89063842598804,-2.98318530717958</t>
  </si>
  <si>
    <t>-3.088, -3.263</t>
  </si>
  <si>
    <t>0.278, -3.258</t>
  </si>
  <si>
    <t>-0.43, -2.927</t>
  </si>
  <si>
    <t>-3.127, -3.135</t>
  </si>
  <si>
    <t>-0.542, 3.084</t>
  </si>
  <si>
    <t>-3.138, 2.116</t>
  </si>
  <si>
    <t>Komal Sharma</t>
  </si>
  <si>
    <t>DualEcuMotCtrlMtgnEna_Cnt_lgc</t>
  </si>
  <si>
    <t>MtrCurrQaxRpl_Amp_M_f32</t>
  </si>
  <si>
    <t>PICurrCntrl_DualEcuFailSclFac_Uls_M_f32</t>
  </si>
  <si>
    <t>(boolean MotCurrLoaMtgtnEn_Cnt_T_lgc, boolean IvtrLoaMtgtnEn_Cnt_T_lgc, boolean DualEcuMotCtrlMtgnEna_Cnt_T_lgc)</t>
  </si>
  <si>
    <t>DualEcuMotCtrlMtgnEna_Cnt_T_lgc</t>
  </si>
  <si>
    <t>k_DualEcuSignalSclFacSlew_UlspS_f32</t>
  </si>
  <si>
    <t>DualEcuMotCtrlMtgnEna_Cnt_T_lgc==&gt;Min</t>
  </si>
  <si>
    <t>DualEcuMotCtrlMtgnEna_Cnt_T_lgc==&gt;Max</t>
  </si>
  <si>
    <t>k_DualEcuSignalSclFacSlew_UlspS_f32 ==&gt;Min</t>
  </si>
  <si>
    <t>k_DualEcuSignalSclFacSlew_UlspS_f32 ==&gt;Max</t>
  </si>
  <si>
    <t>k_DualEcuSignalSclFacSlew_UlspS_f32 ==&gt;Pos/Default</t>
  </si>
  <si>
    <t>PICurrCntrl_DualEcuFailSclFac_Uls_M_f32 ==&gt;Min</t>
  </si>
  <si>
    <t>PICurrCntrl_DualEcuFailSclFac_Uls_M_f32 ==&gt;Max</t>
  </si>
  <si>
    <t>PICurrCntrl_DualEcuFailSclFac_Uls_M_f32 ==&gt;Mid</t>
  </si>
  <si>
    <t>(k_MtrCurrQaxRefModifRplEn_Cnt_lgc == TRUE)=False&amp;&amp;(MtrCurrQaxRefModif_Amp_T_f32&gt;220)=False&amp;&amp;(MtrCurrQaxRefModif_Amp_T_f32&lt;-220)=False&amp;&amp;(MtrCurrQaxFinalRef_Amp_T_f32&gt;=220)=False&amp;&amp;(MtrCurrQaxFinalRef_Amp_T_f32&lt;=-220)=True&amp;&amp;(MtrCurrDaxRefModif_Amp_T_f32&gt;=220)=False&amp;&amp;(MtrCurrDaxRefModif_Amp_T_f32&lt;=0)=False&amp;&amp;(MtrCurrQaxIntg_Volt_T_f32&gt;=k_MtrVoltQaxIntegHiLim_Volt_f32)=False&amp;&amp;(MtrCurrQaxIntg_Volt_T_f32&lt;=k_MtrVoltQaxIntegLoLim_Volt_f32)=False&amp;&amp;(MtrCurrQaxIntg_Volt_T_f32&gt;=k_MtrVoltQaxIntegHiLim_Volt_f32)=False&amp;&amp;(MtrCurrQaxIntg_Volt_T_f32&lt;=k_MtrVoltQaxIntegLoLim_Volt_f32)=False&amp;&amp;(k_MtrCtrlFeedbackControlDisable_Cnt_lgc == TRUE)=False&amp;&amp;(k_MtrCtrlCurrLoopSecOrTranFcEnable_Cnt_lgc == FALSE)=False&amp;&amp;(k_MtrVoltQaxFiltFFEnable_Cnt_lgc==TRUE) =True&amp;&amp; (IvtrLoaMtgtnEn_Cnt_T_lgc==FALSE) =True&amp;&amp;(MotCurrLoaMtgtnEn_Cnt_T_lgc==FALSE) =True&amp;&amp;(k_MtrCtrlFeedbackControlDisable_Cnt_lgc == FALSE)=True&amp;&amp;(VoltSatnRatio_Uls_T_f32 &gt; D_ONE_ULS_F32)=True&amp;&amp;(PhaseAdvanceFinal_Rad_T_f32 &lt; D_ZERO_ULS_F32)=True&amp;&amp;(ModIdxSrlComSvcDft_Cnt_T_lgc==TRUE)=True&amp;&amp;(k_MtrCurrQaxRefModifDsb_Cnt_lgc == FALSE)=False</t>
  </si>
  <si>
    <t>MtrCurrQaxRpl_Amp_M_f32= Min</t>
  </si>
  <si>
    <t>MtrCurrQaxRpl_Amp_M_f32 = Max</t>
  </si>
  <si>
    <t>MtrCurrQaxRpl_Amp_M_f32 = zero</t>
  </si>
  <si>
    <t>MtrCurrQaxRpl_Amp_M_f32 = Neg</t>
  </si>
  <si>
    <t>MtrCurrQaxRpl_Amp_M_f32 = Pos</t>
  </si>
  <si>
    <t>(1&lt;=(D_MTRCTRLISRRATE_MS_F32 * -k_DualEcuSignalSclFacSlew_UlspS_f32)+ PICurrCntrl_DualEcuFailSclFac_Uls_M_f32 ))=True</t>
  </si>
  <si>
    <t>(0&gt;=(D_MTRCTRLISRRATE_MS_F32 * -k_DualEcuSignalSclFacSlew_UlspS_f32)+ PICurrCntrl_DualEcuFailSclFac_Uls_M_f32))=True</t>
  </si>
  <si>
    <r>
      <rPr>
        <b/>
        <sz val="11"/>
        <color theme="1"/>
        <rFont val="Calibri"/>
        <family val="2"/>
        <scheme val="minor"/>
      </rPr>
      <t xml:space="preserve">Note 1: </t>
    </r>
    <r>
      <rPr>
        <sz val="11"/>
        <color theme="1"/>
        <rFont val="Calibri"/>
        <family val="2"/>
        <scheme val="minor"/>
      </rPr>
      <t xml:space="preserve">INLINE functions defined in globalmacro.h are not unit tested.
</t>
    </r>
    <r>
      <rPr>
        <b/>
        <sz val="11"/>
        <color theme="1"/>
        <rFont val="Calibri"/>
        <family val="2"/>
        <scheme val="minor"/>
      </rPr>
      <t xml:space="preserve">Note 2: </t>
    </r>
    <r>
      <rPr>
        <sz val="11"/>
        <color theme="1"/>
        <rFont val="Calibri"/>
        <family val="2"/>
        <scheme val="minor"/>
      </rPr>
      <t xml:space="preserve">"CBD_Sandbox_dbg.map"map file is embedded for reference.
</t>
    </r>
    <r>
      <rPr>
        <b/>
        <sz val="11"/>
        <color theme="1"/>
        <rFont val="Calibri"/>
        <family val="2"/>
        <scheme val="minor"/>
      </rPr>
      <t>Note 3 :</t>
    </r>
    <r>
      <rPr>
        <sz val="11"/>
        <color theme="1"/>
        <rFont val="Calibri"/>
        <family val="2"/>
        <scheme val="minor"/>
      </rPr>
      <t xml:space="preserve"> Out of range value is given in function "LoaMtgtnSclFac" for variables "k_CLOAFdbackSignalSclFacSlew_UlspS_f32,k_ILOAFdbackSignalSclFacSlew_UlspS_f32,k_DualEcuSignalSclFacSlew_UlspS_f32,
PICurrCntrl_DualEcuFailSclFac_Uls_M_f32, PICurrCntrl_CurrSensFailSclFac_Uls_M_f32 and PICurrCntrl_InverterFailSclFac_Uls_M_f32" to achieve 100% path coverage in Path sheet.
</t>
    </r>
    <r>
      <rPr>
        <b/>
        <sz val="11"/>
        <color theme="1"/>
        <rFont val="Calibri"/>
        <family val="2"/>
        <scheme val="minor"/>
      </rPr>
      <t>Note 4:</t>
    </r>
    <r>
      <rPr>
        <sz val="11"/>
        <color theme="1"/>
        <rFont val="Calibri"/>
        <family val="2"/>
        <scheme val="minor"/>
      </rPr>
      <t xml:space="preserve"> In function PICurrCntrl_Per1 PICurrCntrl_MtrCurrDaxSatFluxRatio_Uls_M_f32 and PICurrCntrl_MtrCurrQaxSatFluxRatio_Uls_M_f32 variables are going out of range.
</t>
    </r>
    <r>
      <rPr>
        <b/>
        <sz val="11"/>
        <color theme="1"/>
        <rFont val="Calibri"/>
        <family val="2"/>
        <scheme val="minor"/>
      </rPr>
      <t>Note 5:</t>
    </r>
    <r>
      <rPr>
        <sz val="11"/>
        <color theme="1"/>
        <rFont val="Calibri"/>
        <family val="2"/>
        <scheme val="minor"/>
      </rPr>
      <t xml:space="preserve"> In function PICurrCntrl_Per1, the range of MtrPosComputationDelay_Rad_M_f32[2] is considered as -3.14 to 3.14</t>
    </r>
  </si>
  <si>
    <t>SF99B_019.0_NoUTP</t>
  </si>
  <si>
    <t>Rijvi</t>
  </si>
  <si>
    <t>R</t>
  </si>
  <si>
    <t>PICurrCntrl_Per1() R</t>
  </si>
  <si>
    <t>PICurrCntrl_Init() R</t>
  </si>
  <si>
    <t>CalLowPassFiltBilinearTerm() R</t>
  </si>
  <si>
    <t>CalLowPassFiltBilinearOut() R</t>
  </si>
  <si>
    <t>LoaMtgtnSclFac() R</t>
  </si>
  <si>
    <t>IntegralStateVarNonOperState( R</t>
  </si>
  <si>
    <t>CalLowPassFiltVecuOut() 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</si>
</sst>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0"/>
      <name val="Arial"/>
      <family val="2"/>
    </font>
    <font>
      <sz val="10"/>
      <color rgb="FF000000"/>
      <name val="Segoe UI"/>
      <family val="2"/>
    </font>
    <font>
      <sz val="11"/>
      <name val="Calibri"/>
      <family val="2"/>
      <scheme val="minor"/>
    </font>
    <font>
      <sz val="10"/>
      <color rgb="FFFF0000"/>
      <name val="Segoe UI"/>
      <family val="2"/>
    </font>
    <font>
      <b/>
      <sz val="10"/>
      <name val="Segoe UI"/>
      <family val="2"/>
    </font>
    <font>
      <sz val="11"/>
      <color theme="7" tint="0.39997558519241921"/>
      <name val="Calibri"/>
      <family val="2"/>
      <scheme val="minor"/>
    </font>
    <font>
      <sz val="10"/>
      <color rgb="FF000000"/>
      <name val="Trebuchet MS"/>
      <family val="2"/>
    </font>
    <font>
      <sz val="11"/>
      <color rgb="FF000000"/>
      <name val="Calibri"/>
      <family val="2"/>
    </font>
    <font>
      <u/>
      <sz val="8"/>
      <color theme="10"/>
      <name val="Calibri"/>
      <family val="2"/>
      <scheme val="minor"/>
    </font>
    <font>
      <sz val="8"/>
      <name val="Calibri"/>
      <family val="2"/>
      <scheme val="minor"/>
    </font>
    <font>
      <sz val="10"/>
      <name val="Segoe UI"/>
      <family val="2"/>
    </font>
    <font>
      <sz val="11"/>
      <color rgb="FF000000"/>
      <name val="Calibri"/>
      <family val="2"/>
      <scheme val="minor"/>
    </font>
    <font>
      <b/>
      <u/>
      <sz val="11"/>
      <color theme="1"/>
      <name val="Calibri"/>
      <family val="2"/>
      <scheme val="minor"/>
    </font>
    <font>
      <sz val="11"/>
      <color indexed="9"/>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ck">
        <color indexed="64"/>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ck">
        <color indexed="64"/>
      </left>
      <right style="thin">
        <color auto="1"/>
      </right>
      <top/>
      <bottom style="thin">
        <color indexed="64"/>
      </bottom>
      <diagonal/>
    </border>
    <border>
      <left style="thin">
        <color auto="1"/>
      </left>
      <right style="thin">
        <color auto="1"/>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indexed="64"/>
      </left>
      <right style="medium">
        <color indexed="64"/>
      </right>
      <top style="thin">
        <color indexed="64"/>
      </top>
      <bottom/>
      <diagonal/>
    </border>
  </borders>
  <cellStyleXfs count="3">
    <xf numFmtId="0" fontId="0" fillId="0" borderId="0"/>
    <xf numFmtId="0" fontId="9" fillId="0" borderId="0" applyNumberFormat="0" applyFill="0" applyBorder="0" applyAlignment="0" applyProtection="0"/>
    <xf numFmtId="0" fontId="15" fillId="0" borderId="0"/>
  </cellStyleXfs>
  <cellXfs count="242">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2" fillId="0" borderId="0" xfId="0" applyFont="1" applyFill="1"/>
    <xf numFmtId="0" fontId="0" fillId="0" borderId="0" xfId="0" applyFill="1" applyAlignment="1">
      <alignment vertical="top"/>
    </xf>
    <xf numFmtId="0" fontId="0" fillId="2" borderId="0" xfId="0" applyFill="1"/>
    <xf numFmtId="0" fontId="2" fillId="4" borderId="0" xfId="0" applyFont="1" applyFill="1" applyAlignment="1">
      <alignment horizontal="center"/>
    </xf>
    <xf numFmtId="0" fontId="0" fillId="0" borderId="0" xfId="0" applyAlignment="1">
      <alignment horizontal="center"/>
    </xf>
    <xf numFmtId="0" fontId="2" fillId="4" borderId="5" xfId="0" applyFont="1" applyFill="1" applyBorder="1" applyAlignment="1">
      <alignment horizontal="center"/>
    </xf>
    <xf numFmtId="0" fontId="2" fillId="4" borderId="9" xfId="0" applyFont="1" applyFill="1" applyBorder="1" applyAlignment="1">
      <alignment horizontal="center"/>
    </xf>
    <xf numFmtId="0" fontId="2" fillId="4" borderId="10" xfId="0" applyFont="1" applyFill="1" applyBorder="1" applyAlignment="1">
      <alignment horizontal="center"/>
    </xf>
    <xf numFmtId="0" fontId="4" fillId="4" borderId="6" xfId="0" applyFont="1" applyFill="1" applyBorder="1"/>
    <xf numFmtId="0" fontId="4" fillId="4" borderId="13"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7" xfId="0" applyFont="1" applyFill="1" applyBorder="1" applyAlignment="1" applyProtection="1">
      <alignment horizontal="center" vertical="center"/>
      <protection locked="0"/>
    </xf>
    <xf numFmtId="0" fontId="6" fillId="0" borderId="19"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center"/>
      <protection locked="0"/>
    </xf>
    <xf numFmtId="0" fontId="0" fillId="0" borderId="0" xfId="0" applyAlignment="1">
      <alignment horizontal="center" vertical="top"/>
    </xf>
    <xf numFmtId="0" fontId="2" fillId="0" borderId="0" xfId="0" applyFont="1"/>
    <xf numFmtId="0" fontId="2" fillId="0" borderId="0" xfId="0" applyFont="1" applyAlignment="1">
      <alignment vertical="top"/>
    </xf>
    <xf numFmtId="0" fontId="0" fillId="0" borderId="0" xfId="0" applyAlignment="1">
      <alignment vertical="top"/>
    </xf>
    <xf numFmtId="0" fontId="0" fillId="0" borderId="0" xfId="0" applyAlignment="1">
      <alignment horizontal="right"/>
    </xf>
    <xf numFmtId="0" fontId="9" fillId="0" borderId="11" xfId="1" applyFill="1" applyBorder="1" applyAlignment="1" applyProtection="1">
      <alignment horizontal="center" vertical="center"/>
      <protection locked="0"/>
    </xf>
    <xf numFmtId="0" fontId="13" fillId="10" borderId="11" xfId="0" applyNumberFormat="1" applyFont="1" applyFill="1" applyBorder="1" applyAlignment="1">
      <alignment horizontal="center" textRotation="180"/>
    </xf>
    <xf numFmtId="0" fontId="13" fillId="11" borderId="11" xfId="0" applyNumberFormat="1" applyFont="1" applyFill="1" applyBorder="1" applyAlignment="1">
      <alignment horizontal="center" textRotation="180" wrapText="1"/>
    </xf>
    <xf numFmtId="0" fontId="2" fillId="12" borderId="11" xfId="0" applyNumberFormat="1" applyFont="1" applyFill="1" applyBorder="1" applyAlignment="1">
      <alignment horizontal="center"/>
    </xf>
    <xf numFmtId="0" fontId="2"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4" fillId="8"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3"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13" fillId="10" borderId="11" xfId="0" applyNumberFormat="1" applyFont="1" applyFill="1" applyBorder="1" applyAlignment="1">
      <alignment horizontal="center" textRotation="180" wrapText="1"/>
    </xf>
    <xf numFmtId="0" fontId="10" fillId="9" borderId="11" xfId="0" applyNumberFormat="1" applyFont="1" applyFill="1" applyBorder="1" applyAlignment="1">
      <alignment horizontal="center" textRotation="180"/>
    </xf>
    <xf numFmtId="0" fontId="13" fillId="9" borderId="11" xfId="0" applyNumberFormat="1" applyFont="1" applyFill="1" applyBorder="1" applyAlignment="1" applyProtection="1">
      <alignment horizontal="center" textRotation="180"/>
      <protection locked="0"/>
    </xf>
    <xf numFmtId="0" fontId="1" fillId="0" borderId="11" xfId="0" applyNumberFormat="1" applyFont="1" applyFill="1" applyBorder="1" applyAlignment="1" applyProtection="1">
      <alignment horizontal="center"/>
      <protection locked="0"/>
    </xf>
    <xf numFmtId="0" fontId="1" fillId="0" borderId="11" xfId="0" quotePrefix="1"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14" fillId="8" borderId="12" xfId="0" quotePrefix="1" applyNumberFormat="1" applyFont="1" applyFill="1" applyBorder="1" applyAlignment="1">
      <alignment horizontal="center" wrapText="1"/>
    </xf>
    <xf numFmtId="0" fontId="1" fillId="0" borderId="23" xfId="0" applyNumberFormat="1" applyFont="1" applyFill="1" applyBorder="1" applyAlignment="1" applyProtection="1">
      <alignment horizontal="center"/>
      <protection locked="0"/>
    </xf>
    <xf numFmtId="0" fontId="6" fillId="1" borderId="11" xfId="0" applyFont="1" applyFill="1" applyBorder="1" applyAlignment="1" applyProtection="1">
      <alignment horizontal="center" vertical="center"/>
      <protection locked="0"/>
    </xf>
    <xf numFmtId="0" fontId="6" fillId="1" borderId="17" xfId="0" applyFont="1" applyFill="1" applyBorder="1" applyAlignment="1" applyProtection="1">
      <alignment horizontal="center" vertical="center"/>
      <protection locked="0"/>
    </xf>
    <xf numFmtId="0" fontId="6" fillId="1" borderId="19" xfId="0" applyFont="1" applyFill="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1" borderId="14"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0" borderId="17" xfId="0" applyFont="1" applyBorder="1" applyAlignment="1" applyProtection="1">
      <alignment horizontal="center" vertical="center"/>
      <protection locked="0"/>
    </xf>
    <xf numFmtId="0" fontId="6" fillId="0" borderId="19" xfId="0" applyFont="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0" fontId="13" fillId="9" borderId="11" xfId="0" applyNumberFormat="1" applyFont="1" applyFill="1" applyBorder="1" applyAlignment="1" applyProtection="1">
      <alignment horizontal="center" textRotation="180" wrapText="1"/>
      <protection locked="0"/>
    </xf>
    <xf numFmtId="0" fontId="13" fillId="10" borderId="11" xfId="0" applyNumberFormat="1" applyFont="1" applyFill="1" applyBorder="1" applyAlignment="1" applyProtection="1">
      <alignment horizontal="center" textRotation="180" wrapText="1"/>
      <protection locked="0"/>
    </xf>
    <xf numFmtId="0" fontId="0" fillId="0" borderId="11" xfId="0" applyNumberFormat="1" applyFill="1" applyBorder="1" applyAlignment="1" applyProtection="1">
      <alignment horizontal="center" wrapText="1"/>
      <protection locked="0"/>
    </xf>
    <xf numFmtId="0" fontId="17" fillId="0" borderId="11" xfId="0" applyNumberFormat="1" applyFont="1" applyFill="1" applyBorder="1" applyAlignment="1" applyProtection="1">
      <alignment horizontal="center"/>
      <protection locked="0"/>
    </xf>
    <xf numFmtId="0" fontId="0" fillId="0" borderId="23" xfId="0" quotePrefix="1" applyNumberForma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protection locked="0"/>
    </xf>
    <xf numFmtId="0" fontId="17" fillId="0" borderId="11" xfId="0" applyNumberFormat="1" applyFont="1" applyFill="1" applyBorder="1" applyAlignment="1" applyProtection="1">
      <alignment horizontal="center" wrapText="1"/>
      <protection locked="0"/>
    </xf>
    <xf numFmtId="0" fontId="1" fillId="0" borderId="11" xfId="0" applyNumberFormat="1" applyFont="1" applyFill="1" applyBorder="1" applyAlignment="1" applyProtection="1">
      <alignment horizontal="center" wrapText="1"/>
      <protection locked="0"/>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10" fillId="10" borderId="11" xfId="0" applyNumberFormat="1" applyFont="1" applyFill="1" applyBorder="1" applyAlignment="1" applyProtection="1">
      <alignment horizontal="center" textRotation="180"/>
      <protection locked="0"/>
    </xf>
    <xf numFmtId="0" fontId="4" fillId="4" borderId="27" xfId="0" applyFont="1" applyFill="1" applyBorder="1" applyAlignment="1">
      <alignment horizontal="center" vertical="center"/>
    </xf>
    <xf numFmtId="0" fontId="4" fillId="4" borderId="29" xfId="0" applyFont="1" applyFill="1" applyBorder="1" applyAlignment="1">
      <alignment horizontal="center" vertical="center"/>
    </xf>
    <xf numFmtId="0" fontId="4" fillId="4" borderId="30" xfId="0" applyFont="1" applyFill="1" applyBorder="1" applyAlignment="1">
      <alignment horizontal="center" vertical="center"/>
    </xf>
    <xf numFmtId="0" fontId="4" fillId="4" borderId="28" xfId="0" applyFont="1" applyFill="1" applyBorder="1" applyAlignment="1">
      <alignment horizontal="center" vertical="center"/>
    </xf>
    <xf numFmtId="0" fontId="4" fillId="4" borderId="31" xfId="0" applyFont="1" applyFill="1" applyBorder="1" applyAlignment="1">
      <alignment horizontal="center" vertical="center"/>
    </xf>
    <xf numFmtId="0" fontId="10" fillId="9" borderId="11" xfId="0" applyNumberFormat="1" applyFont="1" applyFill="1" applyBorder="1" applyAlignment="1">
      <alignment horizontal="center" textRotation="180" wrapText="1"/>
    </xf>
    <xf numFmtId="0" fontId="0" fillId="0" borderId="11" xfId="0" applyNumberFormat="1" applyFont="1" applyFill="1" applyBorder="1" applyAlignment="1" applyProtection="1">
      <alignment horizontal="center"/>
      <protection locked="0"/>
    </xf>
    <xf numFmtId="0" fontId="16" fillId="0" borderId="11" xfId="0"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18" fillId="0" borderId="11" xfId="0" applyNumberFormat="1" applyFont="1" applyFill="1" applyBorder="1" applyAlignment="1" applyProtection="1">
      <alignment horizontal="center"/>
      <protection locked="0"/>
    </xf>
    <xf numFmtId="0" fontId="19" fillId="2" borderId="33" xfId="0" applyFont="1" applyFill="1" applyBorder="1" applyAlignment="1">
      <alignment horizontal="center" vertical="top"/>
    </xf>
    <xf numFmtId="0" fontId="19" fillId="2" borderId="34" xfId="0" applyFont="1" applyFill="1" applyBorder="1" applyAlignment="1">
      <alignment horizontal="center" vertical="top" wrapText="1"/>
    </xf>
    <xf numFmtId="0" fontId="19" fillId="2" borderId="35" xfId="0" applyFont="1" applyFill="1" applyBorder="1" applyAlignment="1">
      <alignment horizontal="center" vertical="top"/>
    </xf>
    <xf numFmtId="0" fontId="0" fillId="0" borderId="11" xfId="0" applyBorder="1" applyAlignment="1">
      <alignment vertical="center"/>
    </xf>
    <xf numFmtId="0" fontId="0" fillId="0" borderId="11" xfId="0" applyBorder="1" applyAlignment="1">
      <alignment vertical="top"/>
    </xf>
    <xf numFmtId="0" fontId="20" fillId="16" borderId="11" xfId="0" applyFont="1" applyFill="1" applyBorder="1" applyAlignment="1">
      <alignment horizontal="right"/>
    </xf>
    <xf numFmtId="14" fontId="20" fillId="16" borderId="11" xfId="0" applyNumberFormat="1" applyFont="1" applyFill="1" applyBorder="1"/>
    <xf numFmtId="0" fontId="0" fillId="16" borderId="11" xfId="0" applyFill="1" applyBorder="1"/>
    <xf numFmtId="0" fontId="0" fillId="17" borderId="11" xfId="0" applyFill="1" applyBorder="1"/>
    <xf numFmtId="0" fontId="0" fillId="18" borderId="11" xfId="0" applyFill="1" applyBorder="1"/>
    <xf numFmtId="0" fontId="0" fillId="20" borderId="11" xfId="0" applyFill="1" applyBorder="1"/>
    <xf numFmtId="0" fontId="0" fillId="20" borderId="11" xfId="0" applyFill="1" applyBorder="1" applyAlignment="1">
      <alignment horizontal="left"/>
    </xf>
    <xf numFmtId="9" fontId="0" fillId="20" borderId="11" xfId="0" applyNumberFormat="1" applyFill="1" applyBorder="1" applyAlignment="1">
      <alignment horizontal="left" vertical="top"/>
    </xf>
    <xf numFmtId="0" fontId="2" fillId="21" borderId="11" xfId="0" applyFont="1" applyFill="1" applyBorder="1"/>
    <xf numFmtId="0" fontId="0" fillId="22" borderId="6" xfId="0" applyFill="1" applyBorder="1" applyAlignment="1">
      <alignment horizontal="center" vertical="center"/>
    </xf>
    <xf numFmtId="0" fontId="0" fillId="0" borderId="7" xfId="0" applyBorder="1" applyAlignment="1">
      <alignment horizontal="center" vertical="center"/>
    </xf>
    <xf numFmtId="0" fontId="0" fillId="23" borderId="6" xfId="0" applyFill="1" applyBorder="1"/>
    <xf numFmtId="0" fontId="0" fillId="0" borderId="0" xfId="0" applyBorder="1" applyAlignment="1">
      <alignment horizontal="center" vertical="center"/>
    </xf>
    <xf numFmtId="0" fontId="0" fillId="22" borderId="38" xfId="0" applyFill="1" applyBorder="1"/>
    <xf numFmtId="0" fontId="0" fillId="22" borderId="41" xfId="0" applyFill="1" applyBorder="1"/>
    <xf numFmtId="0" fontId="0" fillId="22" borderId="39" xfId="0" applyFill="1" applyBorder="1"/>
    <xf numFmtId="0" fontId="0" fillId="0" borderId="42" xfId="0" applyBorder="1" applyAlignment="1">
      <alignment horizontal="center" vertical="center"/>
    </xf>
    <xf numFmtId="0" fontId="0" fillId="24" borderId="6" xfId="0" applyFill="1" applyBorder="1"/>
    <xf numFmtId="0" fontId="2" fillId="24" borderId="6" xfId="0" applyFont="1" applyFill="1" applyBorder="1" applyAlignment="1">
      <alignment horizontal="center"/>
    </xf>
    <xf numFmtId="0" fontId="0" fillId="22" borderId="43" xfId="0" applyFill="1" applyBorder="1"/>
    <xf numFmtId="0" fontId="0" fillId="0" borderId="0" xfId="0" applyAlignment="1">
      <alignment horizontal="left"/>
    </xf>
    <xf numFmtId="0" fontId="15" fillId="0" borderId="44" xfId="0" applyFont="1" applyBorder="1" applyAlignment="1">
      <alignment horizontal="center"/>
    </xf>
    <xf numFmtId="0" fontId="0" fillId="0" borderId="0" xfId="0" applyFont="1"/>
    <xf numFmtId="0" fontId="0" fillId="23" borderId="40" xfId="0" applyFill="1" applyBorder="1"/>
    <xf numFmtId="0" fontId="0" fillId="15" borderId="0" xfId="0" applyFill="1" applyBorder="1"/>
    <xf numFmtId="0" fontId="10" fillId="0" borderId="0" xfId="0" applyFont="1" applyAlignment="1">
      <alignment horizontal="center"/>
    </xf>
    <xf numFmtId="0" fontId="0" fillId="0" borderId="11" xfId="0" applyBorder="1"/>
    <xf numFmtId="0" fontId="21" fillId="0" borderId="0" xfId="0" applyFont="1" applyAlignment="1">
      <alignment vertical="center"/>
    </xf>
    <xf numFmtId="0" fontId="22" fillId="0" borderId="0" xfId="0" applyFont="1" applyAlignment="1">
      <alignment vertical="center"/>
    </xf>
    <xf numFmtId="0" fontId="0" fillId="0" borderId="11" xfId="0" applyFont="1" applyBorder="1" applyAlignment="1">
      <alignment horizontal="left" vertical="top" wrapText="1"/>
    </xf>
    <xf numFmtId="0" fontId="0" fillId="0" borderId="11" xfId="0" applyFont="1" applyBorder="1" applyAlignment="1">
      <alignment horizontal="left" vertical="top"/>
    </xf>
    <xf numFmtId="0" fontId="21" fillId="0" borderId="0" xfId="0" applyFont="1" applyAlignment="1">
      <alignment vertical="center" wrapText="1"/>
    </xf>
    <xf numFmtId="0" fontId="17" fillId="0" borderId="11" xfId="0" applyNumberFormat="1" applyFont="1" applyFill="1" applyBorder="1" applyAlignment="1">
      <alignment horizontal="center"/>
    </xf>
    <xf numFmtId="0" fontId="0" fillId="0" borderId="0" xfId="0" applyFill="1" applyAlignment="1">
      <alignment horizontal="left" vertical="top" wrapText="1"/>
    </xf>
    <xf numFmtId="0" fontId="12" fillId="8" borderId="12" xfId="0" applyNumberFormat="1" applyFont="1" applyFill="1" applyBorder="1" applyAlignment="1">
      <alignment horizontal="center"/>
    </xf>
    <xf numFmtId="0" fontId="10" fillId="2" borderId="11" xfId="0" applyNumberFormat="1" applyFont="1" applyFill="1" applyBorder="1" applyAlignment="1" applyProtection="1">
      <alignment horizontal="center" wrapText="1"/>
      <protection locked="0"/>
    </xf>
    <xf numFmtId="0" fontId="10" fillId="9" borderId="11" xfId="0" applyNumberFormat="1" applyFont="1" applyFill="1" applyBorder="1" applyAlignment="1" applyProtection="1">
      <alignment horizontal="center" textRotation="180" wrapText="1"/>
      <protection locked="0"/>
    </xf>
    <xf numFmtId="0" fontId="10" fillId="11" borderId="11" xfId="0" applyNumberFormat="1" applyFont="1" applyFill="1" applyBorder="1" applyAlignment="1" applyProtection="1">
      <alignment horizontal="center" textRotation="180"/>
      <protection locked="0"/>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23" fillId="0" borderId="11" xfId="1" applyFont="1" applyFill="1" applyBorder="1" applyAlignment="1" applyProtection="1">
      <alignment horizontal="center" vertical="center"/>
      <protection locked="0"/>
    </xf>
    <xf numFmtId="0" fontId="4" fillId="4" borderId="46" xfId="0" applyFont="1" applyFill="1" applyBorder="1" applyAlignment="1">
      <alignment horizontal="center" vertical="center"/>
    </xf>
    <xf numFmtId="0" fontId="4" fillId="4" borderId="47" xfId="0" applyFont="1" applyFill="1" applyBorder="1" applyAlignment="1">
      <alignment horizontal="center" vertical="center"/>
    </xf>
    <xf numFmtId="0" fontId="4" fillId="4" borderId="48" xfId="0" applyFont="1" applyFill="1" applyBorder="1" applyAlignment="1">
      <alignment horizontal="center" vertical="center"/>
    </xf>
    <xf numFmtId="0" fontId="4" fillId="4" borderId="49" xfId="0" applyFont="1" applyFill="1" applyBorder="1" applyAlignment="1">
      <alignment horizontal="center" vertical="center"/>
    </xf>
    <xf numFmtId="0" fontId="4" fillId="4" borderId="50" xfId="0" applyFont="1" applyFill="1" applyBorder="1" applyAlignment="1">
      <alignment horizontal="center" vertical="center"/>
    </xf>
    <xf numFmtId="0" fontId="24" fillId="0" borderId="19" xfId="0" applyFont="1" applyFill="1" applyBorder="1" applyAlignment="1" applyProtection="1">
      <alignment horizontal="center" vertical="center"/>
      <protection locked="0"/>
    </xf>
    <xf numFmtId="0" fontId="24" fillId="0" borderId="16" xfId="0" applyFont="1" applyFill="1" applyBorder="1" applyAlignment="1" applyProtection="1">
      <alignment horizontal="center" vertical="center"/>
      <protection locked="0"/>
    </xf>
    <xf numFmtId="0" fontId="7" fillId="2" borderId="0" xfId="0" applyFont="1" applyFill="1" applyAlignment="1">
      <alignment horizontal="center" vertical="center"/>
    </xf>
    <xf numFmtId="0" fontId="4" fillId="4" borderId="51" xfId="0" applyFont="1" applyFill="1" applyBorder="1" applyAlignment="1">
      <alignment horizontal="center" vertical="center"/>
    </xf>
    <xf numFmtId="0" fontId="4" fillId="4" borderId="52" xfId="0" applyFont="1" applyFill="1" applyBorder="1" applyAlignment="1">
      <alignment horizontal="center" vertical="center"/>
    </xf>
    <xf numFmtId="0" fontId="4" fillId="4" borderId="53" xfId="0" applyFont="1" applyFill="1" applyBorder="1" applyAlignment="1">
      <alignment horizontal="center" vertical="center"/>
    </xf>
    <xf numFmtId="0" fontId="4" fillId="4" borderId="54" xfId="0" applyFont="1" applyFill="1" applyBorder="1" applyAlignment="1">
      <alignment horizontal="center" vertical="center"/>
    </xf>
    <xf numFmtId="0" fontId="4" fillId="4" borderId="55" xfId="0" applyFont="1" applyFill="1" applyBorder="1" applyAlignment="1">
      <alignment horizontal="center" vertical="center"/>
    </xf>
    <xf numFmtId="0" fontId="6" fillId="1" borderId="57" xfId="0" applyFont="1" applyFill="1" applyBorder="1" applyAlignment="1" applyProtection="1">
      <alignment horizontal="center" vertical="center"/>
      <protection locked="0"/>
    </xf>
    <xf numFmtId="0" fontId="6" fillId="1" borderId="56" xfId="0" applyFont="1" applyFill="1" applyBorder="1" applyAlignment="1" applyProtection="1">
      <alignment horizontal="center" vertical="center"/>
      <protection locked="0"/>
    </xf>
    <xf numFmtId="0" fontId="10" fillId="9" borderId="11" xfId="0" applyNumberFormat="1" applyFont="1" applyFill="1" applyBorder="1" applyAlignment="1" applyProtection="1">
      <alignment horizontal="center" textRotation="180"/>
      <protection locked="0"/>
    </xf>
    <xf numFmtId="0" fontId="25" fillId="0" borderId="11" xfId="0" applyNumberFormat="1" applyFont="1" applyFill="1" applyBorder="1" applyAlignment="1" applyProtection="1">
      <alignment horizontal="center"/>
      <protection locked="0"/>
    </xf>
    <xf numFmtId="0" fontId="2" fillId="24" borderId="59" xfId="0" applyFont="1" applyFill="1" applyBorder="1" applyAlignment="1">
      <alignment horizontal="center" vertical="center"/>
    </xf>
    <xf numFmtId="0" fontId="2" fillId="24" borderId="59" xfId="0" applyFont="1" applyFill="1" applyBorder="1" applyAlignment="1">
      <alignment horizontal="center"/>
    </xf>
    <xf numFmtId="0" fontId="15" fillId="0" borderId="25" xfId="0" quotePrefix="1" applyFont="1" applyBorder="1" applyAlignment="1">
      <alignment horizontal="center"/>
    </xf>
    <xf numFmtId="0" fontId="15" fillId="0" borderId="20" xfId="0" quotePrefix="1" applyFont="1" applyBorder="1" applyAlignment="1">
      <alignment horizontal="center"/>
    </xf>
    <xf numFmtId="0" fontId="15" fillId="0" borderId="24" xfId="0" quotePrefix="1" applyFont="1" applyBorder="1" applyAlignment="1">
      <alignment horizontal="center"/>
    </xf>
    <xf numFmtId="0" fontId="15" fillId="0" borderId="21" xfId="0" quotePrefix="1" applyFont="1" applyBorder="1" applyAlignment="1">
      <alignment horizontal="center"/>
    </xf>
    <xf numFmtId="0" fontId="15" fillId="0" borderId="22" xfId="0" quotePrefix="1" applyFont="1" applyBorder="1" applyAlignment="1">
      <alignment horizontal="center"/>
    </xf>
    <xf numFmtId="0" fontId="15" fillId="0" borderId="26" xfId="0" quotePrefix="1" applyFont="1" applyBorder="1" applyAlignment="1">
      <alignment horizontal="center"/>
    </xf>
    <xf numFmtId="0" fontId="0" fillId="22" borderId="3" xfId="0" applyFill="1" applyBorder="1" applyAlignment="1">
      <alignment horizontal="center" vertical="center"/>
    </xf>
    <xf numFmtId="0" fontId="26" fillId="0" borderId="6" xfId="0" applyFont="1" applyBorder="1"/>
    <xf numFmtId="0" fontId="15" fillId="0" borderId="6" xfId="0" quotePrefix="1" applyFont="1" applyFill="1" applyBorder="1" applyAlignment="1">
      <alignment horizontal="center" vertical="center"/>
    </xf>
    <xf numFmtId="0" fontId="15" fillId="0" borderId="45" xfId="0" quotePrefix="1" applyFont="1" applyFill="1" applyBorder="1" applyAlignment="1">
      <alignment horizontal="center" vertical="center"/>
    </xf>
    <xf numFmtId="0" fontId="27" fillId="0" borderId="0" xfId="0" applyFont="1" applyFill="1"/>
    <xf numFmtId="0" fontId="9" fillId="0" borderId="0" xfId="1" applyFill="1"/>
    <xf numFmtId="164" fontId="0" fillId="0" borderId="0" xfId="0" applyNumberFormat="1" applyFill="1"/>
    <xf numFmtId="0" fontId="28" fillId="0" borderId="0" xfId="0" applyFont="1"/>
    <xf numFmtId="0" fontId="28" fillId="0" borderId="0" xfId="0" applyFont="1" applyFill="1"/>
    <xf numFmtId="0" fontId="17" fillId="0" borderId="23" xfId="0" applyNumberFormat="1" applyFont="1" applyFill="1" applyBorder="1" applyAlignment="1" applyProtection="1">
      <alignment horizontal="center"/>
      <protection locked="0"/>
    </xf>
    <xf numFmtId="0" fontId="17" fillId="0" borderId="23" xfId="0" applyNumberFormat="1" applyFont="1" applyFill="1" applyBorder="1" applyAlignment="1">
      <alignment horizontal="center"/>
    </xf>
    <xf numFmtId="0" fontId="17" fillId="0" borderId="23" xfId="0" quotePrefix="1"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wrapText="1"/>
      <protection locked="0"/>
    </xf>
    <xf numFmtId="0" fontId="0" fillId="0" borderId="58" xfId="0" applyFont="1" applyBorder="1" applyAlignment="1">
      <alignment horizontal="left" vertical="top" wrapText="1"/>
    </xf>
    <xf numFmtId="0" fontId="0" fillId="0" borderId="11" xfId="0" applyBorder="1" applyAlignment="1">
      <alignment vertical="center" wrapText="1"/>
    </xf>
    <xf numFmtId="0" fontId="0" fillId="0" borderId="60" xfId="0" applyFont="1" applyBorder="1" applyAlignment="1">
      <alignment horizontal="left" vertical="top" wrapText="1"/>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4" fillId="4" borderId="63" xfId="0" applyFont="1" applyFill="1" applyBorder="1" applyAlignment="1">
      <alignment horizontal="center" vertical="center"/>
    </xf>
    <xf numFmtId="0" fontId="4" fillId="4" borderId="64" xfId="0" applyFont="1" applyFill="1" applyBorder="1" applyAlignment="1">
      <alignment horizontal="center" vertical="center"/>
    </xf>
    <xf numFmtId="0" fontId="4" fillId="4" borderId="65" xfId="0" applyFont="1" applyFill="1" applyBorder="1" applyAlignment="1">
      <alignment horizontal="center" vertical="center"/>
    </xf>
    <xf numFmtId="0" fontId="6" fillId="1" borderId="62" xfId="0" applyFont="1" applyFill="1" applyBorder="1" applyAlignment="1" applyProtection="1">
      <alignment horizontal="center" vertical="center"/>
      <protection locked="0"/>
    </xf>
    <xf numFmtId="0" fontId="6" fillId="1" borderId="61" xfId="0" applyFont="1" applyFill="1" applyBorder="1" applyAlignment="1" applyProtection="1">
      <alignment horizontal="center" vertical="center"/>
      <protection locked="0"/>
    </xf>
    <xf numFmtId="0" fontId="4" fillId="4" borderId="66" xfId="0" applyFont="1" applyFill="1" applyBorder="1" applyAlignment="1">
      <alignment horizontal="center" vertical="center"/>
    </xf>
    <xf numFmtId="0" fontId="4" fillId="4" borderId="67" xfId="0" applyFont="1" applyFill="1" applyBorder="1" applyAlignment="1">
      <alignment horizontal="center" vertical="center"/>
    </xf>
    <xf numFmtId="0" fontId="0" fillId="0" borderId="0" xfId="0" quotePrefix="1" applyFill="1" applyAlignment="1">
      <alignment horizontal="left" wrapText="1"/>
    </xf>
    <xf numFmtId="0" fontId="0" fillId="0" borderId="40" xfId="0" applyBorder="1" applyAlignment="1">
      <alignment horizontal="center" vertical="center"/>
    </xf>
    <xf numFmtId="0" fontId="0" fillId="0" borderId="6" xfId="0" applyBorder="1" applyAlignment="1">
      <alignment horizontal="center" vertical="center"/>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0" fillId="0" borderId="0" xfId="0" applyAlignment="1">
      <alignment vertical="top" wrapText="1"/>
    </xf>
    <xf numFmtId="0" fontId="4" fillId="4" borderId="68" xfId="0" applyFont="1" applyFill="1" applyBorder="1" applyAlignment="1">
      <alignment horizontal="center" vertical="center"/>
    </xf>
    <xf numFmtId="0" fontId="4" fillId="4" borderId="69" xfId="0" applyFont="1" applyFill="1" applyBorder="1" applyAlignment="1">
      <alignment horizontal="center" vertical="center"/>
    </xf>
    <xf numFmtId="0" fontId="4" fillId="4" borderId="70" xfId="0" applyFont="1" applyFill="1" applyBorder="1" applyAlignment="1">
      <alignment horizontal="center" vertical="center"/>
    </xf>
    <xf numFmtId="0" fontId="4" fillId="4" borderId="71" xfId="0" applyFont="1" applyFill="1" applyBorder="1" applyAlignment="1">
      <alignment horizontal="center" vertical="center"/>
    </xf>
    <xf numFmtId="0" fontId="4" fillId="4" borderId="72" xfId="0" applyFont="1" applyFill="1" applyBorder="1" applyAlignment="1">
      <alignment horizontal="center" vertical="center"/>
    </xf>
    <xf numFmtId="0" fontId="0" fillId="15" borderId="11" xfId="0" applyNumberFormat="1" applyFill="1" applyBorder="1" applyAlignment="1" applyProtection="1">
      <alignment horizontal="center"/>
      <protection locked="0"/>
    </xf>
    <xf numFmtId="0" fontId="0" fillId="0" borderId="37" xfId="0" applyNumberFormat="1" applyFill="1" applyBorder="1" applyAlignment="1" applyProtection="1">
      <alignment horizontal="center"/>
      <protection locked="0"/>
    </xf>
    <xf numFmtId="0" fontId="0" fillId="15" borderId="37" xfId="0" applyNumberFormat="1" applyFill="1" applyBorder="1" applyAlignment="1" applyProtection="1">
      <alignment horizontal="center"/>
      <protection locked="0"/>
    </xf>
    <xf numFmtId="0" fontId="0" fillId="0" borderId="37" xfId="0" applyNumberFormat="1" applyFill="1" applyBorder="1" applyAlignment="1">
      <alignment horizontal="center"/>
    </xf>
    <xf numFmtId="0" fontId="0" fillId="14" borderId="37" xfId="0" applyNumberFormat="1" applyFill="1" applyBorder="1" applyAlignment="1">
      <alignment horizontal="center"/>
    </xf>
    <xf numFmtId="0" fontId="0" fillId="0" borderId="73" xfId="0" applyNumberFormat="1" applyFill="1" applyBorder="1" applyAlignment="1">
      <alignment horizontal="center"/>
    </xf>
    <xf numFmtId="0" fontId="25" fillId="0" borderId="23" xfId="0" applyNumberFormat="1" applyFont="1" applyFill="1" applyBorder="1" applyAlignment="1" applyProtection="1">
      <alignment horizontal="center"/>
      <protection locked="0"/>
    </xf>
    <xf numFmtId="0" fontId="17" fillId="14" borderId="23" xfId="0" applyNumberFormat="1" applyFont="1" applyFill="1" applyBorder="1" applyAlignment="1">
      <alignment horizontal="center"/>
    </xf>
    <xf numFmtId="0" fontId="3" fillId="0" borderId="0" xfId="0" applyFont="1" applyFill="1" applyAlignment="1">
      <alignment horizontal="center" vertical="center"/>
    </xf>
    <xf numFmtId="0" fontId="4" fillId="0" borderId="0" xfId="0" applyFont="1" applyFill="1" applyAlignment="1">
      <alignment horizontal="center"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8" xfId="0" applyFont="1" applyFill="1" applyBorder="1" applyAlignment="1">
      <alignment horizontal="center"/>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8" xfId="0" applyFont="1" applyFill="1" applyBorder="1" applyAlignment="1">
      <alignment horizontal="center"/>
    </xf>
    <xf numFmtId="0" fontId="2" fillId="2" borderId="3" xfId="0" applyFont="1" applyFill="1" applyBorder="1" applyAlignment="1">
      <alignment horizontal="center"/>
    </xf>
    <xf numFmtId="0" fontId="2"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1" fillId="8" borderId="21" xfId="1" quotePrefix="1" applyNumberFormat="1" applyFont="1" applyFill="1" applyBorder="1" applyAlignment="1">
      <alignment horizontal="center"/>
    </xf>
    <xf numFmtId="0" fontId="12" fillId="8" borderId="12"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0" fillId="0" borderId="17" xfId="0" applyBorder="1" applyAlignment="1">
      <alignment horizontal="left" wrapText="1"/>
    </xf>
    <xf numFmtId="0" fontId="0" fillId="0" borderId="36" xfId="0" applyBorder="1" applyAlignment="1">
      <alignment horizontal="left" wrapText="1"/>
    </xf>
    <xf numFmtId="0" fontId="0" fillId="0" borderId="14" xfId="0" applyBorder="1" applyAlignment="1">
      <alignment horizontal="left" wrapText="1"/>
    </xf>
    <xf numFmtId="0" fontId="0" fillId="18" borderId="17" xfId="0" applyFill="1" applyBorder="1" applyAlignment="1">
      <alignment horizontal="left"/>
    </xf>
    <xf numFmtId="0" fontId="0" fillId="18" borderId="36" xfId="0" applyFill="1" applyBorder="1" applyAlignment="1">
      <alignment horizontal="left"/>
    </xf>
    <xf numFmtId="0" fontId="0" fillId="18" borderId="14" xfId="0" applyFill="1" applyBorder="1" applyAlignment="1">
      <alignment horizontal="left"/>
    </xf>
    <xf numFmtId="0" fontId="0" fillId="19" borderId="37" xfId="0" applyFill="1" applyBorder="1" applyAlignment="1">
      <alignment horizontal="center" vertical="center"/>
    </xf>
    <xf numFmtId="0" fontId="0" fillId="19" borderId="32" xfId="0" applyFill="1" applyBorder="1" applyAlignment="1">
      <alignment horizontal="center" vertical="center"/>
    </xf>
    <xf numFmtId="0" fontId="0" fillId="22" borderId="38" xfId="0" applyFill="1" applyBorder="1" applyAlignment="1">
      <alignment horizontal="center" vertical="center"/>
    </xf>
    <xf numFmtId="0" fontId="0" fillId="22" borderId="39"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190500</xdr:colOff>
          <xdr:row>10</xdr:row>
          <xdr:rowOff>133350</xdr:rowOff>
        </xdr:from>
        <xdr:to>
          <xdr:col>2</xdr:col>
          <xdr:colOff>476250</xdr:colOff>
          <xdr:row>13</xdr:row>
          <xdr:rowOff>76200</xdr:rowOff>
        </xdr:to>
        <xdr:sp macro="" textlink="">
          <xdr:nvSpPr>
            <xdr:cNvPr id="31747" name="Object 3" hidden="1">
              <a:extLst>
                <a:ext uri="{63B3BB69-23CF-44E3-9099-C40C66FF867C}">
                  <a14:compatExt spid="_x0000_s3174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10</xdr:row>
          <xdr:rowOff>114300</xdr:rowOff>
        </xdr:from>
        <xdr:to>
          <xdr:col>5</xdr:col>
          <xdr:colOff>57150</xdr:colOff>
          <xdr:row>13</xdr:row>
          <xdr:rowOff>57150</xdr:rowOff>
        </xdr:to>
        <xdr:sp macro="" textlink="">
          <xdr:nvSpPr>
            <xdr:cNvPr id="31748" name="Object 4" hidden="1">
              <a:extLst>
                <a:ext uri="{63B3BB69-23CF-44E3-9099-C40C66FF867C}">
                  <a14:compatExt spid="_x0000_s3174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110.570312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202" t="s">
        <v>0</v>
      </c>
      <c r="B5" s="202"/>
      <c r="C5" s="202"/>
      <c r="D5" s="202"/>
      <c r="E5" s="202"/>
    </row>
    <row r="6" spans="1:5" x14ac:dyDescent="0.25">
      <c r="A6" s="1"/>
      <c r="B6" s="1"/>
      <c r="C6" s="1"/>
      <c r="D6" s="1"/>
      <c r="E6" s="1"/>
    </row>
    <row r="7" spans="1:5" x14ac:dyDescent="0.25">
      <c r="A7" s="203" t="s">
        <v>1</v>
      </c>
      <c r="B7" s="203"/>
      <c r="C7" s="203"/>
      <c r="D7" s="203"/>
      <c r="E7" s="203"/>
    </row>
    <row r="8" spans="1:5" x14ac:dyDescent="0.25">
      <c r="A8" s="1"/>
      <c r="B8" s="1"/>
      <c r="C8" s="1"/>
      <c r="D8" s="1"/>
      <c r="E8" s="1"/>
    </row>
    <row r="9" spans="1:5" x14ac:dyDescent="0.25">
      <c r="A9" s="1"/>
      <c r="B9" s="1"/>
      <c r="C9" s="1"/>
      <c r="D9" s="1"/>
      <c r="E9" s="1"/>
    </row>
    <row r="10" spans="1:5" x14ac:dyDescent="0.25">
      <c r="A10" s="4" t="s">
        <v>2</v>
      </c>
      <c r="B10" s="3" t="s">
        <v>2038</v>
      </c>
      <c r="C10" s="1"/>
      <c r="D10" s="4" t="s">
        <v>19</v>
      </c>
      <c r="E10" s="1"/>
    </row>
    <row r="11" spans="1:5" x14ac:dyDescent="0.25">
      <c r="A11" s="4" t="s">
        <v>3</v>
      </c>
      <c r="B11" s="3" t="s">
        <v>52</v>
      </c>
      <c r="C11" s="1"/>
      <c r="D11" s="5"/>
      <c r="E11" s="1"/>
    </row>
    <row r="12" spans="1:5" x14ac:dyDescent="0.25">
      <c r="A12" s="4" t="s">
        <v>4</v>
      </c>
      <c r="B12" s="3">
        <v>16</v>
      </c>
      <c r="C12" s="1"/>
      <c r="D12" s="5"/>
      <c r="E12" s="1"/>
    </row>
    <row r="13" spans="1:5" x14ac:dyDescent="0.25">
      <c r="A13" s="4" t="s">
        <v>5</v>
      </c>
      <c r="B13" s="3" t="s">
        <v>53</v>
      </c>
      <c r="C13" s="1"/>
      <c r="D13" s="5"/>
      <c r="E13" s="1"/>
    </row>
    <row r="14" spans="1:5" x14ac:dyDescent="0.25">
      <c r="A14" s="4" t="s">
        <v>6</v>
      </c>
      <c r="B14" s="3">
        <v>12</v>
      </c>
      <c r="C14" s="1"/>
      <c r="D14" s="5"/>
      <c r="E14" s="1"/>
    </row>
    <row r="15" spans="1:5" x14ac:dyDescent="0.25">
      <c r="A15" s="4" t="s">
        <v>7</v>
      </c>
      <c r="B15" s="3">
        <v>15</v>
      </c>
      <c r="C15" s="1"/>
      <c r="D15" s="5"/>
      <c r="E15" s="1"/>
    </row>
    <row r="16" spans="1:5" x14ac:dyDescent="0.25">
      <c r="A16" s="4" t="s">
        <v>8</v>
      </c>
      <c r="B16" s="3">
        <v>4</v>
      </c>
      <c r="C16" s="1"/>
      <c r="D16" s="5"/>
      <c r="E16" s="1"/>
    </row>
    <row r="17" spans="1:6" x14ac:dyDescent="0.25">
      <c r="A17" s="4" t="s">
        <v>9</v>
      </c>
      <c r="B17" s="3" t="s">
        <v>54</v>
      </c>
      <c r="C17" s="1"/>
      <c r="D17" s="5"/>
      <c r="E17" s="1"/>
    </row>
    <row r="18" spans="1:6" x14ac:dyDescent="0.25">
      <c r="A18" s="4" t="s">
        <v>10</v>
      </c>
      <c r="B18" s="3" t="s">
        <v>55</v>
      </c>
      <c r="C18" s="1"/>
      <c r="D18" s="5"/>
      <c r="E18" s="1"/>
    </row>
    <row r="19" spans="1:6" x14ac:dyDescent="0.25">
      <c r="A19" s="4" t="s">
        <v>11</v>
      </c>
      <c r="B19" s="3" t="s">
        <v>59</v>
      </c>
      <c r="C19" s="1"/>
      <c r="D19" s="5"/>
      <c r="E19" s="1"/>
    </row>
    <row r="20" spans="1:6" ht="30" x14ac:dyDescent="0.25">
      <c r="A20" s="4" t="s">
        <v>12</v>
      </c>
      <c r="B20" s="3" t="s">
        <v>1481</v>
      </c>
      <c r="C20" s="1"/>
      <c r="D20" s="5"/>
      <c r="E20" s="1"/>
    </row>
    <row r="21" spans="1:6" x14ac:dyDescent="0.25">
      <c r="A21" s="4" t="s">
        <v>13</v>
      </c>
      <c r="B21" s="3">
        <v>2834</v>
      </c>
      <c r="C21" s="1"/>
      <c r="D21" s="5"/>
      <c r="E21" s="1"/>
    </row>
    <row r="22" spans="1:6" x14ac:dyDescent="0.25">
      <c r="A22" s="4" t="s">
        <v>14</v>
      </c>
      <c r="B22" s="183">
        <v>164</v>
      </c>
      <c r="C22" s="1"/>
      <c r="D22" s="5"/>
      <c r="E22" s="1"/>
    </row>
    <row r="23" spans="1:6" x14ac:dyDescent="0.25">
      <c r="A23" s="4" t="s">
        <v>15</v>
      </c>
      <c r="B23" s="183">
        <v>2865</v>
      </c>
      <c r="C23" s="1"/>
      <c r="D23" s="5"/>
      <c r="E23" s="1"/>
    </row>
    <row r="24" spans="1:6" x14ac:dyDescent="0.25">
      <c r="A24" s="4" t="s">
        <v>16</v>
      </c>
      <c r="B24" s="3" t="s">
        <v>1381</v>
      </c>
      <c r="C24" s="1"/>
      <c r="D24" s="5"/>
      <c r="E24" s="1"/>
    </row>
    <row r="25" spans="1:6" x14ac:dyDescent="0.25">
      <c r="A25" s="4" t="s">
        <v>17</v>
      </c>
      <c r="B25" s="85">
        <v>42628</v>
      </c>
      <c r="C25" s="1"/>
      <c r="D25" s="5"/>
      <c r="E25" s="1"/>
    </row>
    <row r="26" spans="1:6" ht="150" x14ac:dyDescent="0.25">
      <c r="A26" s="4" t="s">
        <v>18</v>
      </c>
      <c r="B26" s="125" t="s">
        <v>2061</v>
      </c>
      <c r="C26" s="1"/>
      <c r="D26" s="5"/>
      <c r="E26" s="1"/>
    </row>
    <row r="27" spans="1:6" x14ac:dyDescent="0.25">
      <c r="A27" s="4" t="s">
        <v>20</v>
      </c>
      <c r="B27" s="1"/>
      <c r="C27" s="1"/>
      <c r="D27" s="1"/>
      <c r="E27" s="1"/>
    </row>
    <row r="28" spans="1:6" x14ac:dyDescent="0.25">
      <c r="A28" s="162" t="s">
        <v>22</v>
      </c>
      <c r="B28" s="162" t="s">
        <v>23</v>
      </c>
      <c r="C28" s="162" t="s">
        <v>24</v>
      </c>
      <c r="D28" s="162" t="s">
        <v>25</v>
      </c>
      <c r="E28" s="1"/>
    </row>
    <row r="29" spans="1:6" x14ac:dyDescent="0.25">
      <c r="A29" s="163" t="s">
        <v>102</v>
      </c>
      <c r="B29" s="163" t="s">
        <v>1274</v>
      </c>
      <c r="C29" s="2" t="s">
        <v>89</v>
      </c>
      <c r="D29" s="164" t="s">
        <v>89</v>
      </c>
      <c r="E29" s="1"/>
      <c r="F29" s="165">
        <v>2</v>
      </c>
    </row>
    <row r="30" spans="1:6" x14ac:dyDescent="0.25">
      <c r="A30" s="166">
        <v>184</v>
      </c>
      <c r="B30" s="163" t="s">
        <v>2065</v>
      </c>
      <c r="C30" s="2" t="s">
        <v>89</v>
      </c>
      <c r="D30" s="164" t="s">
        <v>89</v>
      </c>
      <c r="E30" s="1"/>
      <c r="F30" s="165">
        <v>184</v>
      </c>
    </row>
    <row r="31" spans="1:6" x14ac:dyDescent="0.25">
      <c r="A31" s="166">
        <v>10</v>
      </c>
      <c r="B31" s="163" t="s">
        <v>1273</v>
      </c>
      <c r="C31" s="2" t="s">
        <v>89</v>
      </c>
      <c r="D31" s="164" t="s">
        <v>89</v>
      </c>
      <c r="E31" s="1"/>
      <c r="F31" s="165">
        <v>10</v>
      </c>
    </row>
    <row r="32" spans="1:6" x14ac:dyDescent="0.25">
      <c r="A32" s="2"/>
      <c r="B32" s="2"/>
      <c r="C32" s="2"/>
      <c r="D32" s="2"/>
      <c r="E32" s="1"/>
    </row>
    <row r="33" spans="1:6" x14ac:dyDescent="0.25">
      <c r="A33" s="163" t="s">
        <v>56</v>
      </c>
      <c r="B33" s="163" t="s">
        <v>2066</v>
      </c>
      <c r="C33" s="2" t="s">
        <v>89</v>
      </c>
      <c r="D33" s="164" t="s">
        <v>89</v>
      </c>
      <c r="E33" s="1"/>
      <c r="F33" s="165">
        <v>13</v>
      </c>
    </row>
    <row r="34" spans="1:6" x14ac:dyDescent="0.25">
      <c r="A34" s="2"/>
      <c r="B34" s="2"/>
      <c r="C34" s="2"/>
      <c r="D34" s="2"/>
      <c r="E34" s="1"/>
    </row>
    <row r="35" spans="1:6" x14ac:dyDescent="0.25">
      <c r="A35" s="163" t="s">
        <v>1293</v>
      </c>
      <c r="B35" s="163" t="s">
        <v>2067</v>
      </c>
      <c r="C35" s="2" t="s">
        <v>89</v>
      </c>
      <c r="D35" s="164" t="s">
        <v>89</v>
      </c>
      <c r="E35" s="1"/>
      <c r="F35" s="165">
        <v>8</v>
      </c>
    </row>
    <row r="36" spans="1:6" x14ac:dyDescent="0.25">
      <c r="A36" s="2"/>
      <c r="B36" s="2"/>
      <c r="C36" s="2"/>
      <c r="D36" s="2"/>
      <c r="E36" s="1"/>
    </row>
    <row r="37" spans="1:6" x14ac:dyDescent="0.25">
      <c r="A37" s="163" t="s">
        <v>1294</v>
      </c>
      <c r="B37" s="163" t="s">
        <v>2068</v>
      </c>
      <c r="C37" s="2" t="s">
        <v>89</v>
      </c>
      <c r="D37" s="164" t="s">
        <v>89</v>
      </c>
      <c r="E37" s="1"/>
      <c r="F37" s="165">
        <v>27</v>
      </c>
    </row>
    <row r="38" spans="1:6" x14ac:dyDescent="0.25">
      <c r="A38" s="2"/>
      <c r="B38" s="2"/>
      <c r="C38" s="2"/>
      <c r="D38" s="2"/>
      <c r="E38" s="1"/>
    </row>
    <row r="39" spans="1:6" x14ac:dyDescent="0.25">
      <c r="A39" s="163" t="s">
        <v>1491</v>
      </c>
      <c r="B39" s="163" t="s">
        <v>1844</v>
      </c>
      <c r="C39" s="2" t="s">
        <v>89</v>
      </c>
      <c r="D39" s="164" t="s">
        <v>89</v>
      </c>
      <c r="E39" s="1"/>
      <c r="F39" s="165">
        <v>2</v>
      </c>
    </row>
    <row r="40" spans="1:6" x14ac:dyDescent="0.25">
      <c r="A40" s="166">
        <v>28</v>
      </c>
      <c r="B40" s="163" t="s">
        <v>2069</v>
      </c>
      <c r="C40" s="2" t="s">
        <v>89</v>
      </c>
      <c r="D40" s="164" t="s">
        <v>89</v>
      </c>
      <c r="E40" s="1"/>
      <c r="F40" s="165">
        <v>28</v>
      </c>
    </row>
    <row r="41" spans="1:6" x14ac:dyDescent="0.25">
      <c r="A41" s="166">
        <v>9</v>
      </c>
      <c r="B41" s="163" t="s">
        <v>1838</v>
      </c>
      <c r="C41" s="2" t="s">
        <v>89</v>
      </c>
      <c r="D41" s="164" t="s">
        <v>89</v>
      </c>
      <c r="E41" s="1"/>
      <c r="F41" s="165">
        <v>9</v>
      </c>
    </row>
    <row r="42" spans="1:6" x14ac:dyDescent="0.25">
      <c r="A42" s="2"/>
      <c r="B42" s="2"/>
      <c r="C42" s="2"/>
      <c r="D42" s="2"/>
      <c r="E42" s="1"/>
    </row>
    <row r="43" spans="1:6" x14ac:dyDescent="0.25">
      <c r="A43" s="163" t="s">
        <v>1487</v>
      </c>
      <c r="B43" s="163" t="s">
        <v>1902</v>
      </c>
      <c r="C43" s="2" t="s">
        <v>89</v>
      </c>
      <c r="D43" s="164" t="s">
        <v>89</v>
      </c>
      <c r="E43" s="1"/>
      <c r="F43" s="165">
        <v>2</v>
      </c>
    </row>
    <row r="44" spans="1:6" x14ac:dyDescent="0.25">
      <c r="A44" s="166">
        <v>7</v>
      </c>
      <c r="B44" s="163" t="s">
        <v>2070</v>
      </c>
      <c r="C44" s="2" t="s">
        <v>89</v>
      </c>
      <c r="D44" s="164" t="s">
        <v>89</v>
      </c>
      <c r="E44" s="1"/>
      <c r="F44" s="165">
        <v>7</v>
      </c>
    </row>
    <row r="45" spans="1:6" x14ac:dyDescent="0.25">
      <c r="A45" s="166">
        <v>2</v>
      </c>
      <c r="B45" s="163" t="s">
        <v>1901</v>
      </c>
      <c r="C45" s="2" t="s">
        <v>89</v>
      </c>
      <c r="D45" s="164" t="s">
        <v>89</v>
      </c>
      <c r="E45" s="1"/>
      <c r="F45" s="165">
        <v>2</v>
      </c>
    </row>
    <row r="46" spans="1:6" x14ac:dyDescent="0.25">
      <c r="A46" s="2"/>
      <c r="B46" s="2"/>
      <c r="C46" s="2"/>
      <c r="D46" s="2"/>
      <c r="E46" s="1"/>
    </row>
    <row r="47" spans="1:6" x14ac:dyDescent="0.25">
      <c r="A47" s="163" t="s">
        <v>1489</v>
      </c>
      <c r="B47" s="163" t="s">
        <v>1911</v>
      </c>
      <c r="C47" s="2" t="s">
        <v>89</v>
      </c>
      <c r="D47" s="164" t="s">
        <v>89</v>
      </c>
      <c r="E47" s="1"/>
      <c r="F47" s="165">
        <v>2</v>
      </c>
    </row>
    <row r="48" spans="1:6" x14ac:dyDescent="0.25">
      <c r="A48" s="166">
        <v>27</v>
      </c>
      <c r="B48" s="163" t="s">
        <v>2071</v>
      </c>
      <c r="C48" s="2" t="s">
        <v>89</v>
      </c>
      <c r="D48" s="164" t="s">
        <v>89</v>
      </c>
      <c r="E48" s="1"/>
      <c r="F48" s="165">
        <v>27</v>
      </c>
    </row>
    <row r="49" spans="1:6" x14ac:dyDescent="0.25">
      <c r="A49" s="166">
        <v>3</v>
      </c>
      <c r="B49" s="163" t="s">
        <v>1907</v>
      </c>
      <c r="C49" s="2" t="s">
        <v>89</v>
      </c>
      <c r="D49" s="164" t="s">
        <v>89</v>
      </c>
      <c r="E49" s="1"/>
      <c r="F49" s="165">
        <v>3</v>
      </c>
    </row>
    <row r="50" spans="1:6" x14ac:dyDescent="0.25">
      <c r="A50" s="2"/>
      <c r="B50" s="2"/>
      <c r="C50" s="2"/>
      <c r="D50" s="2"/>
      <c r="E50" s="1"/>
    </row>
    <row r="51" spans="1:6" x14ac:dyDescent="0.25">
      <c r="A51" s="1"/>
      <c r="B51" s="1"/>
      <c r="C51" s="1"/>
      <c r="D51" s="1"/>
      <c r="E51" s="1"/>
    </row>
    <row r="52" spans="1:6" x14ac:dyDescent="0.25">
      <c r="A52" s="1"/>
      <c r="B52" s="1"/>
      <c r="C52" s="1"/>
      <c r="D52" s="1"/>
      <c r="E52" s="1"/>
    </row>
    <row r="53" spans="1:6" x14ac:dyDescent="0.25">
      <c r="A53" s="1"/>
      <c r="B53" s="1"/>
      <c r="C53" s="1"/>
      <c r="D53" s="1"/>
      <c r="E53" s="1"/>
    </row>
    <row r="54" spans="1:6" x14ac:dyDescent="0.25">
      <c r="A54" s="1"/>
      <c r="B54" s="1"/>
      <c r="C54" s="1"/>
      <c r="D54" s="1"/>
      <c r="E54" s="1"/>
    </row>
    <row r="55" spans="1:6" x14ac:dyDescent="0.25">
      <c r="A55" s="1"/>
      <c r="B55" s="1"/>
      <c r="C55" s="1"/>
      <c r="D55" s="1"/>
      <c r="E55" s="1"/>
    </row>
    <row r="56" spans="1:6" x14ac:dyDescent="0.25">
      <c r="A56" s="1"/>
      <c r="B56" s="1"/>
      <c r="C56" s="1"/>
      <c r="D56" s="1"/>
      <c r="E56" s="1"/>
    </row>
    <row r="57" spans="1:6" x14ac:dyDescent="0.25">
      <c r="A57" s="1"/>
      <c r="B57" s="1"/>
      <c r="C57" s="1"/>
      <c r="D57" s="1"/>
      <c r="E57" s="1"/>
    </row>
    <row r="58" spans="1:6" x14ac:dyDescent="0.25">
      <c r="A58" s="1"/>
      <c r="B58" s="1"/>
      <c r="C58" s="1"/>
      <c r="D58" s="1"/>
      <c r="E58" s="1"/>
    </row>
    <row r="59" spans="1:6" x14ac:dyDescent="0.25">
      <c r="A59" s="1"/>
      <c r="B59" s="1"/>
      <c r="C59" s="1"/>
      <c r="D59" s="1"/>
      <c r="E59" s="1"/>
    </row>
    <row r="60" spans="1:6" x14ac:dyDescent="0.25">
      <c r="A60" s="1"/>
      <c r="B60" s="1"/>
      <c r="C60" s="1"/>
      <c r="D60" s="1"/>
      <c r="E60" s="1"/>
    </row>
    <row r="61" spans="1:6" x14ac:dyDescent="0.25">
      <c r="A61" s="1"/>
      <c r="B61" s="1"/>
      <c r="C61" s="1"/>
      <c r="D61" s="1"/>
      <c r="E61" s="1"/>
    </row>
    <row r="62" spans="1:6" x14ac:dyDescent="0.25">
      <c r="A62" s="1"/>
      <c r="B62" s="1"/>
      <c r="C62" s="1"/>
      <c r="D62" s="1"/>
      <c r="E62" s="1"/>
    </row>
    <row r="63" spans="1:6" x14ac:dyDescent="0.25">
      <c r="A63" s="1"/>
      <c r="B63" s="1"/>
      <c r="C63" s="1"/>
      <c r="D63" s="1"/>
      <c r="E63" s="1"/>
    </row>
    <row r="64" spans="1:6"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PICurrCntrl_Per1'!A1" display="'PICurrCntrl_Per1'!A1"/>
    <hyperlink ref="B29" location="'PICurrCntrl_Per1() M'!A1" display="'PICurrCntrl_Per1() M'!A1"/>
    <hyperlink ref="B30" location="'PICurrCntrl_Per1() R'!A1" display="'PICurrCntrl_Per1() R'!A1"/>
    <hyperlink ref="B31" location="'PICurrCntrl_Per1() P'!A1" display="'PICurrCntrl_Per1() P'!A1"/>
    <hyperlink ref="A33" location="'PICurrCntrl_Init'!A1" display="'PICurrCntrl_Init'!A1"/>
    <hyperlink ref="B33" location="'PICurrCntrl_Init() R'!A1" display="'PICurrCntrl_Init() R'!A1"/>
    <hyperlink ref="A35" location="'CalLowPassFiltBilinearTerm'!A1" display="'CalLowPassFiltBilinearTerm'!A1"/>
    <hyperlink ref="B35" location="'CalLowPassFiltBilinearTerm() R'!A1" display="'CalLowPassFiltBilinearTerm() R'!A1"/>
    <hyperlink ref="A37" location="'CalLowPassFiltBilinearOut'!A1" display="'CalLowPassFiltBilinearOut'!A1"/>
    <hyperlink ref="B37" location="'CalLowPassFiltBilinearOut() R'!A1" display="'CalLowPassFiltBilinearOut() R'!A1"/>
    <hyperlink ref="A39" location="'LoaMtgtnSclFac'!A1" display="'LoaMtgtnSclFac'!A1"/>
    <hyperlink ref="B39" location="'LoaMtgtnSclFac() M'!A1" display="'LoaMtgtnSclFac() M'!A1"/>
    <hyperlink ref="B40" location="'LoaMtgtnSclFac() R'!A1" display="'LoaMtgtnSclFac() R'!A1"/>
    <hyperlink ref="B41" location="'LoaMtgtnSclFac() P'!A1" display="'LoaMtgtnSclFac() P'!A1"/>
    <hyperlink ref="A43" location="'IntegralStateVarNonOperState'!A1" display="'IntegralStateVarNonOperState'!A1"/>
    <hyperlink ref="B43" location="'IntegralStateVarNonOperState( M'!A1" display="'IntegralStateVarNonOperState( M'!A1"/>
    <hyperlink ref="B44" location="'IntegralStateVarNonOperState( R'!A1" display="'IntegralStateVarNonOperState( R'!A1"/>
    <hyperlink ref="B45" location="'IntegralStateVarNonOperState( P'!A1" display="'IntegralStateVarNonOperState( P'!A1"/>
    <hyperlink ref="A47" location="'CalLowPassFiltVecuOut'!A1" display="'CalLowPassFiltVecuOut'!A1"/>
    <hyperlink ref="B47" location="'CalLowPassFiltVecuOut() M'!A1" display="'CalLowPassFiltVecuOut() M'!A1"/>
    <hyperlink ref="B48" location="'CalLowPassFiltVecuOut() R'!A1" display="'CalLowPassFiltVecuOut() R'!A1"/>
    <hyperlink ref="B49" location="'CalLowPassFiltVecuOut() P'!A1" display="'CalLowPassFiltVecuOut()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202" t="s">
        <v>0</v>
      </c>
      <c r="B5" s="202"/>
      <c r="C5" s="202"/>
      <c r="D5" s="202"/>
      <c r="E5" s="202"/>
      <c r="F5" s="202"/>
      <c r="G5" s="202"/>
      <c r="H5" s="202"/>
    </row>
    <row r="6" spans="1:8" x14ac:dyDescent="0.25">
      <c r="A6" s="1"/>
      <c r="B6" s="1"/>
      <c r="C6" s="1"/>
      <c r="D6" s="1"/>
      <c r="E6" s="1"/>
      <c r="F6" s="1"/>
      <c r="G6" s="1"/>
      <c r="H6" s="1"/>
    </row>
    <row r="7" spans="1:8" x14ac:dyDescent="0.25">
      <c r="A7" s="203" t="s">
        <v>1</v>
      </c>
      <c r="B7" s="203"/>
      <c r="C7" s="203"/>
      <c r="D7" s="203"/>
      <c r="E7" s="203"/>
      <c r="F7" s="203"/>
      <c r="G7" s="203"/>
      <c r="H7" s="203"/>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31747" r:id="rId4">
          <objectPr defaultSize="0" r:id="rId5">
            <anchor moveWithCells="1">
              <from>
                <xdr:col>0</xdr:col>
                <xdr:colOff>190500</xdr:colOff>
                <xdr:row>10</xdr:row>
                <xdr:rowOff>133350</xdr:rowOff>
              </from>
              <to>
                <xdr:col>2</xdr:col>
                <xdr:colOff>476250</xdr:colOff>
                <xdr:row>13</xdr:row>
                <xdr:rowOff>76200</xdr:rowOff>
              </to>
            </anchor>
          </objectPr>
        </oleObject>
      </mc:Choice>
      <mc:Fallback>
        <oleObject progId="Packager Shell Object" dvAspect="DVASPECT_ICON" shapeId="31747" r:id="rId4"/>
      </mc:Fallback>
    </mc:AlternateContent>
    <mc:AlternateContent xmlns:mc="http://schemas.openxmlformats.org/markup-compatibility/2006">
      <mc:Choice Requires="x14">
        <oleObject progId="Packager Shell Object" dvAspect="DVASPECT_ICON" shapeId="31748" r:id="rId6">
          <objectPr defaultSize="0" r:id="rId7">
            <anchor moveWithCells="1">
              <from>
                <xdr:col>2</xdr:col>
                <xdr:colOff>600075</xdr:colOff>
                <xdr:row>10</xdr:row>
                <xdr:rowOff>114300</xdr:rowOff>
              </from>
              <to>
                <xdr:col>5</xdr:col>
                <xdr:colOff>57150</xdr:colOff>
                <xdr:row>13</xdr:row>
                <xdr:rowOff>57150</xdr:rowOff>
              </to>
            </anchor>
          </objectPr>
        </oleObject>
      </mc:Choice>
      <mc:Fallback>
        <oleObject progId="Packager Shell Object" dvAspect="DVASPECT_ICON" shapeId="31748"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21"/>
  <sheetViews>
    <sheetView workbookViewId="0"/>
  </sheetViews>
  <sheetFormatPr defaultRowHeight="15" x14ac:dyDescent="0.25"/>
  <cols>
    <col min="1" max="1" width="11.7109375" bestFit="1" customWidth="1"/>
    <col min="2" max="2" width="28.7109375" bestFit="1" customWidth="1"/>
    <col min="3" max="3" width="49.7109375" bestFit="1" customWidth="1"/>
    <col min="4" max="4" width="1.7109375" customWidth="1"/>
    <col min="5" max="5" width="6.28515625" bestFit="1" customWidth="1"/>
    <col min="6" max="6" width="26.85546875" bestFit="1" customWidth="1"/>
    <col min="7" max="7" width="53" bestFit="1" customWidth="1"/>
    <col min="8" max="8" width="13.28515625" bestFit="1" customWidth="1"/>
    <col min="9" max="9" width="1.7109375" customWidth="1"/>
    <col min="10" max="10" width="11.7109375" bestFit="1" customWidth="1"/>
    <col min="11" max="11" width="48.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02" t="s">
        <v>0</v>
      </c>
      <c r="B5" s="202"/>
      <c r="C5" s="202"/>
      <c r="D5" s="202"/>
      <c r="E5" s="202"/>
      <c r="F5" s="202"/>
      <c r="G5" s="202"/>
      <c r="H5" s="202"/>
      <c r="I5" s="202"/>
      <c r="J5" s="202"/>
      <c r="K5" s="202"/>
      <c r="L5" s="202"/>
    </row>
    <row r="6" spans="1:12" x14ac:dyDescent="0.25">
      <c r="A6" s="1"/>
      <c r="B6" s="1"/>
      <c r="C6" s="1"/>
      <c r="D6" s="1"/>
      <c r="E6" s="1"/>
      <c r="F6" s="1"/>
      <c r="G6" s="1"/>
      <c r="H6" s="1"/>
      <c r="I6" s="1"/>
      <c r="J6" s="1"/>
      <c r="K6" s="1"/>
      <c r="L6" s="1"/>
    </row>
    <row r="7" spans="1:12" x14ac:dyDescent="0.25">
      <c r="A7" s="203" t="s">
        <v>1</v>
      </c>
      <c r="B7" s="203"/>
      <c r="C7" s="203"/>
      <c r="D7" s="203"/>
      <c r="E7" s="203"/>
      <c r="F7" s="203"/>
      <c r="G7" s="203"/>
      <c r="H7" s="203"/>
      <c r="I7" s="203"/>
      <c r="J7" s="203"/>
      <c r="K7" s="203"/>
      <c r="L7" s="203"/>
    </row>
    <row r="8" spans="1:12" ht="15.75" thickBot="1" x14ac:dyDescent="0.3">
      <c r="A8" s="1"/>
      <c r="B8" s="1"/>
      <c r="C8" s="1"/>
      <c r="D8" s="1"/>
      <c r="E8" s="1"/>
      <c r="F8" s="1"/>
      <c r="G8" s="1"/>
      <c r="H8" s="1"/>
      <c r="I8" s="1"/>
      <c r="J8" s="1"/>
      <c r="K8" s="1"/>
      <c r="L8" s="1"/>
    </row>
    <row r="9" spans="1:12" ht="15.75" thickBot="1" x14ac:dyDescent="0.3">
      <c r="A9" s="204" t="s">
        <v>26</v>
      </c>
      <c r="B9" s="205"/>
      <c r="C9" s="205"/>
      <c r="D9" s="206"/>
      <c r="E9" s="205"/>
      <c r="F9" s="205"/>
      <c r="G9" s="205"/>
      <c r="H9" s="205"/>
      <c r="I9" s="206"/>
      <c r="J9" s="205"/>
      <c r="K9" s="205"/>
      <c r="L9" s="207"/>
    </row>
    <row r="10" spans="1:12" ht="15.75" thickBot="1" x14ac:dyDescent="0.3">
      <c r="A10" s="208" t="s">
        <v>27</v>
      </c>
      <c r="B10" s="209"/>
      <c r="C10" s="210"/>
      <c r="D10" s="6"/>
      <c r="E10" s="211" t="s">
        <v>31</v>
      </c>
      <c r="F10" s="212"/>
      <c r="G10" s="212"/>
      <c r="H10" s="213"/>
      <c r="I10" s="6"/>
      <c r="J10" s="214" t="s">
        <v>35</v>
      </c>
      <c r="K10" s="215"/>
      <c r="L10" s="216"/>
    </row>
    <row r="11" spans="1:12" ht="15.75" thickBot="1" x14ac:dyDescent="0.3">
      <c r="A11" s="9" t="s">
        <v>28</v>
      </c>
      <c r="B11" s="10" t="s">
        <v>29</v>
      </c>
      <c r="C11" s="11" t="s">
        <v>30</v>
      </c>
      <c r="D11" s="6"/>
      <c r="E11" s="9" t="s">
        <v>32</v>
      </c>
      <c r="F11" s="10" t="s">
        <v>33</v>
      </c>
      <c r="G11" s="10" t="s">
        <v>29</v>
      </c>
      <c r="H11" s="11" t="s">
        <v>34</v>
      </c>
      <c r="I11" s="6"/>
      <c r="J11" s="9" t="s">
        <v>28</v>
      </c>
      <c r="K11" s="10" t="s">
        <v>29</v>
      </c>
      <c r="L11" s="11" t="s">
        <v>30</v>
      </c>
    </row>
    <row r="12" spans="1:12" hidden="1" x14ac:dyDescent="0.25">
      <c r="D12" s="6"/>
      <c r="I12" s="6"/>
    </row>
    <row r="13" spans="1:12" x14ac:dyDescent="0.25">
      <c r="A13" s="19" t="s">
        <v>57</v>
      </c>
      <c r="B13" s="21" t="s">
        <v>56</v>
      </c>
      <c r="C13" s="22" t="s">
        <v>58</v>
      </c>
      <c r="D13" s="6"/>
      <c r="E13" s="8" t="s">
        <v>61</v>
      </c>
      <c r="F13" s="8" t="s">
        <v>62</v>
      </c>
      <c r="G13" s="20" t="s">
        <v>60</v>
      </c>
      <c r="H13" s="8"/>
      <c r="I13" s="6"/>
      <c r="J13" s="8" t="s">
        <v>57</v>
      </c>
      <c r="K13" s="20" t="s">
        <v>64</v>
      </c>
      <c r="L13" t="s">
        <v>58</v>
      </c>
    </row>
    <row r="14" spans="1:12" x14ac:dyDescent="0.25">
      <c r="A14" s="19" t="s">
        <v>57</v>
      </c>
      <c r="B14" s="21" t="s">
        <v>102</v>
      </c>
      <c r="C14" s="22" t="s">
        <v>58</v>
      </c>
      <c r="D14" s="6"/>
      <c r="E14" s="8" t="s">
        <v>61</v>
      </c>
      <c r="F14" s="8" t="s">
        <v>62</v>
      </c>
      <c r="G14" s="20" t="s">
        <v>63</v>
      </c>
      <c r="H14" s="8"/>
      <c r="I14" s="6"/>
      <c r="J14" s="8" t="s">
        <v>57</v>
      </c>
      <c r="K14" s="20" t="s">
        <v>74</v>
      </c>
      <c r="L14" t="s">
        <v>58</v>
      </c>
    </row>
    <row r="15" spans="1:12" x14ac:dyDescent="0.25">
      <c r="A15" s="19" t="s">
        <v>57</v>
      </c>
      <c r="B15" s="21" t="s">
        <v>1275</v>
      </c>
      <c r="C15" s="22" t="s">
        <v>58</v>
      </c>
      <c r="D15" s="6"/>
      <c r="E15" s="8" t="s">
        <v>66</v>
      </c>
      <c r="F15" s="8" t="s">
        <v>62</v>
      </c>
      <c r="G15" s="20" t="s">
        <v>65</v>
      </c>
      <c r="H15" s="8"/>
      <c r="I15" s="6"/>
      <c r="J15" s="8" t="s">
        <v>1255</v>
      </c>
      <c r="K15" s="20" t="s">
        <v>105</v>
      </c>
      <c r="L15" t="s">
        <v>58</v>
      </c>
    </row>
    <row r="16" spans="1:12" x14ac:dyDescent="0.25">
      <c r="A16" s="19" t="s">
        <v>57</v>
      </c>
      <c r="B16" s="21" t="s">
        <v>1293</v>
      </c>
      <c r="C16" s="22" t="s">
        <v>1296</v>
      </c>
      <c r="D16" s="6"/>
      <c r="E16" s="8" t="s">
        <v>66</v>
      </c>
      <c r="F16" s="8" t="s">
        <v>62</v>
      </c>
      <c r="G16" s="20" t="s">
        <v>67</v>
      </c>
      <c r="H16" s="8"/>
      <c r="I16" s="6"/>
      <c r="J16" s="8"/>
      <c r="K16" s="20"/>
    </row>
    <row r="17" spans="1:11" x14ac:dyDescent="0.25">
      <c r="A17" s="19" t="s">
        <v>62</v>
      </c>
      <c r="B17" s="21" t="s">
        <v>1294</v>
      </c>
      <c r="C17" s="22" t="s">
        <v>1295</v>
      </c>
      <c r="D17" s="6"/>
      <c r="E17" s="8" t="s">
        <v>66</v>
      </c>
      <c r="F17" s="8" t="s">
        <v>62</v>
      </c>
      <c r="G17" s="20" t="s">
        <v>68</v>
      </c>
      <c r="H17" s="8"/>
      <c r="I17" s="6"/>
      <c r="J17" s="8"/>
      <c r="K17" s="20"/>
    </row>
    <row r="18" spans="1:11" x14ac:dyDescent="0.25">
      <c r="A18" s="19" t="s">
        <v>57</v>
      </c>
      <c r="B18" s="21" t="s">
        <v>1487</v>
      </c>
      <c r="C18" s="22" t="s">
        <v>1488</v>
      </c>
      <c r="D18" s="6"/>
      <c r="E18" s="8" t="s">
        <v>66</v>
      </c>
      <c r="F18" s="8" t="s">
        <v>62</v>
      </c>
      <c r="G18" s="20" t="s">
        <v>69</v>
      </c>
      <c r="H18" s="8"/>
      <c r="I18" s="6"/>
      <c r="J18" s="8"/>
      <c r="K18" s="20"/>
    </row>
    <row r="19" spans="1:11" ht="45" x14ac:dyDescent="0.25">
      <c r="A19" s="19" t="s">
        <v>57</v>
      </c>
      <c r="B19" s="21" t="s">
        <v>1491</v>
      </c>
      <c r="C19" s="188" t="s">
        <v>2042</v>
      </c>
      <c r="D19" s="6"/>
      <c r="E19" s="8" t="s">
        <v>66</v>
      </c>
      <c r="F19" s="8" t="s">
        <v>62</v>
      </c>
      <c r="G19" s="20" t="s">
        <v>70</v>
      </c>
      <c r="H19" s="8"/>
      <c r="I19" s="6"/>
      <c r="J19" s="8"/>
      <c r="K19" s="20"/>
    </row>
    <row r="20" spans="1:11" x14ac:dyDescent="0.25">
      <c r="A20" s="19" t="s">
        <v>57</v>
      </c>
      <c r="B20" s="21" t="s">
        <v>1489</v>
      </c>
      <c r="C20" s="22" t="s">
        <v>58</v>
      </c>
      <c r="D20" s="6"/>
      <c r="E20" s="8" t="s">
        <v>66</v>
      </c>
      <c r="F20" s="8" t="s">
        <v>62</v>
      </c>
      <c r="G20" s="20" t="s">
        <v>78</v>
      </c>
      <c r="H20" s="8"/>
      <c r="I20" s="6"/>
      <c r="J20" s="8"/>
      <c r="K20" s="20"/>
    </row>
    <row r="21" spans="1:11" x14ac:dyDescent="0.25">
      <c r="A21" s="19"/>
      <c r="B21" s="21"/>
      <c r="C21" s="22"/>
      <c r="D21" s="6"/>
      <c r="E21" s="8" t="s">
        <v>66</v>
      </c>
      <c r="F21" s="8" t="s">
        <v>62</v>
      </c>
      <c r="G21" s="20" t="s">
        <v>79</v>
      </c>
      <c r="H21" s="8"/>
      <c r="I21" s="6"/>
      <c r="J21" s="8"/>
      <c r="K21" s="20"/>
    </row>
    <row r="22" spans="1:11" x14ac:dyDescent="0.25">
      <c r="A22" s="19"/>
      <c r="B22" s="21"/>
      <c r="C22" s="22"/>
      <c r="D22" s="6"/>
      <c r="E22" s="8" t="s">
        <v>61</v>
      </c>
      <c r="F22" s="8" t="s">
        <v>62</v>
      </c>
      <c r="G22" s="20" t="s">
        <v>76</v>
      </c>
      <c r="H22" s="8"/>
      <c r="I22" s="6"/>
      <c r="J22" s="8"/>
      <c r="K22" s="20"/>
    </row>
    <row r="23" spans="1:11" x14ac:dyDescent="0.25">
      <c r="A23" s="19"/>
      <c r="B23" s="21"/>
      <c r="C23" s="22"/>
      <c r="D23" s="6"/>
      <c r="E23" s="8" t="s">
        <v>61</v>
      </c>
      <c r="F23" s="8" t="s">
        <v>62</v>
      </c>
      <c r="G23" s="20" t="s">
        <v>77</v>
      </c>
      <c r="H23" s="8"/>
      <c r="I23" s="6"/>
      <c r="J23" s="8"/>
      <c r="K23" s="20"/>
    </row>
    <row r="24" spans="1:11" x14ac:dyDescent="0.25">
      <c r="A24" s="19"/>
      <c r="B24" s="21"/>
      <c r="C24" s="22"/>
      <c r="D24" s="6"/>
      <c r="E24" s="8" t="s">
        <v>61</v>
      </c>
      <c r="F24" s="8" t="s">
        <v>62</v>
      </c>
      <c r="G24" s="20" t="s">
        <v>103</v>
      </c>
      <c r="H24" s="8"/>
      <c r="I24" s="6"/>
      <c r="J24" s="8"/>
      <c r="K24" s="20"/>
    </row>
    <row r="25" spans="1:11" x14ac:dyDescent="0.25">
      <c r="A25" s="19"/>
      <c r="B25" s="21"/>
      <c r="C25" s="22"/>
      <c r="D25" s="6"/>
      <c r="E25" s="8" t="s">
        <v>61</v>
      </c>
      <c r="F25" s="8" t="s">
        <v>62</v>
      </c>
      <c r="G25" s="20" t="s">
        <v>107</v>
      </c>
      <c r="H25" s="8"/>
      <c r="I25" s="6"/>
      <c r="J25" s="8"/>
      <c r="K25" s="20"/>
    </row>
    <row r="26" spans="1:11" x14ac:dyDescent="0.25">
      <c r="A26" s="19"/>
      <c r="B26" s="21"/>
      <c r="C26" s="22"/>
      <c r="D26" s="6"/>
      <c r="E26" s="8" t="s">
        <v>61</v>
      </c>
      <c r="F26" s="8" t="s">
        <v>62</v>
      </c>
      <c r="G26" s="20" t="s">
        <v>109</v>
      </c>
      <c r="H26" s="8"/>
      <c r="I26" s="6"/>
      <c r="J26" s="8"/>
      <c r="K26" s="20"/>
    </row>
    <row r="27" spans="1:11" x14ac:dyDescent="0.25">
      <c r="A27" s="19"/>
      <c r="B27" s="21"/>
      <c r="C27" s="22"/>
      <c r="D27" s="6"/>
      <c r="E27" s="8" t="s">
        <v>61</v>
      </c>
      <c r="F27" s="8" t="s">
        <v>62</v>
      </c>
      <c r="G27" s="20" t="s">
        <v>111</v>
      </c>
      <c r="H27" s="8"/>
      <c r="I27" s="6"/>
      <c r="J27" s="8"/>
      <c r="K27" s="20"/>
    </row>
    <row r="28" spans="1:11" x14ac:dyDescent="0.25">
      <c r="A28" s="19"/>
      <c r="B28" s="21"/>
      <c r="C28" s="22"/>
      <c r="D28" s="6"/>
      <c r="E28" s="8" t="s">
        <v>61</v>
      </c>
      <c r="F28" s="8" t="s">
        <v>62</v>
      </c>
      <c r="G28" s="20" t="s">
        <v>113</v>
      </c>
      <c r="H28" s="8"/>
      <c r="I28" s="6"/>
      <c r="J28" s="8"/>
      <c r="K28" s="20"/>
    </row>
    <row r="29" spans="1:11" x14ac:dyDescent="0.25">
      <c r="A29" s="19"/>
      <c r="B29" s="21"/>
      <c r="C29" s="22"/>
      <c r="D29" s="6"/>
      <c r="E29" s="8" t="s">
        <v>61</v>
      </c>
      <c r="F29" s="8" t="s">
        <v>62</v>
      </c>
      <c r="G29" s="20" t="s">
        <v>115</v>
      </c>
      <c r="H29" s="8"/>
      <c r="I29" s="6"/>
      <c r="J29" s="8"/>
      <c r="K29" s="20"/>
    </row>
    <row r="30" spans="1:11" x14ac:dyDescent="0.25">
      <c r="A30" s="19"/>
      <c r="B30" s="21"/>
      <c r="C30" s="22"/>
      <c r="D30" s="6"/>
      <c r="E30" s="8" t="s">
        <v>61</v>
      </c>
      <c r="F30" s="8" t="s">
        <v>62</v>
      </c>
      <c r="G30" s="20" t="s">
        <v>117</v>
      </c>
      <c r="H30" s="8"/>
      <c r="I30" s="6"/>
      <c r="J30" s="8"/>
      <c r="K30" s="20"/>
    </row>
    <row r="31" spans="1:11" x14ac:dyDescent="0.25">
      <c r="A31" s="19"/>
      <c r="B31" s="21"/>
      <c r="C31" s="22"/>
      <c r="D31" s="6"/>
      <c r="E31" s="8" t="s">
        <v>61</v>
      </c>
      <c r="F31" s="8" t="s">
        <v>62</v>
      </c>
      <c r="G31" s="20" t="s">
        <v>119</v>
      </c>
      <c r="H31" s="8"/>
      <c r="I31" s="6"/>
      <c r="J31" s="8"/>
      <c r="K31" s="20"/>
    </row>
    <row r="32" spans="1:11" x14ac:dyDescent="0.25">
      <c r="A32" s="19"/>
      <c r="B32" s="21"/>
      <c r="C32" s="22"/>
      <c r="D32" s="6"/>
      <c r="E32" s="8" t="s">
        <v>61</v>
      </c>
      <c r="F32" s="8" t="s">
        <v>62</v>
      </c>
      <c r="G32" s="20" t="s">
        <v>120</v>
      </c>
      <c r="H32" s="8"/>
      <c r="I32" s="6"/>
      <c r="J32" s="8"/>
      <c r="K32" s="20"/>
    </row>
    <row r="33" spans="1:11" x14ac:dyDescent="0.25">
      <c r="A33" s="19"/>
      <c r="B33" s="21"/>
      <c r="C33" s="22"/>
      <c r="D33" s="6"/>
      <c r="E33" s="8" t="s">
        <v>61</v>
      </c>
      <c r="F33" s="8" t="s">
        <v>62</v>
      </c>
      <c r="G33" s="20" t="s">
        <v>122</v>
      </c>
      <c r="H33" s="8"/>
      <c r="I33" s="6"/>
      <c r="J33" s="8"/>
      <c r="K33" s="20"/>
    </row>
    <row r="34" spans="1:11" x14ac:dyDescent="0.25">
      <c r="A34" s="19"/>
      <c r="B34" s="21"/>
      <c r="C34" s="22"/>
      <c r="D34" s="6"/>
      <c r="E34" s="8" t="s">
        <v>61</v>
      </c>
      <c r="F34" s="8" t="s">
        <v>62</v>
      </c>
      <c r="G34" s="20" t="s">
        <v>123</v>
      </c>
      <c r="H34" s="8"/>
      <c r="I34" s="6"/>
      <c r="J34" s="8"/>
      <c r="K34" s="20"/>
    </row>
    <row r="35" spans="1:11" x14ac:dyDescent="0.25">
      <c r="A35" s="19"/>
      <c r="B35" s="21"/>
      <c r="C35" s="22"/>
      <c r="D35" s="6"/>
      <c r="E35" s="8" t="s">
        <v>61</v>
      </c>
      <c r="F35" s="8" t="s">
        <v>62</v>
      </c>
      <c r="G35" s="20" t="s">
        <v>124</v>
      </c>
      <c r="H35" s="8"/>
      <c r="I35" s="6"/>
      <c r="J35" s="8"/>
      <c r="K35" s="20"/>
    </row>
    <row r="36" spans="1:11" x14ac:dyDescent="0.25">
      <c r="A36" s="19"/>
      <c r="B36" s="21"/>
      <c r="C36" s="22"/>
      <c r="D36" s="6"/>
      <c r="E36" s="8" t="s">
        <v>61</v>
      </c>
      <c r="F36" s="8" t="s">
        <v>62</v>
      </c>
      <c r="G36" s="20" t="s">
        <v>126</v>
      </c>
      <c r="H36" s="8"/>
      <c r="I36" s="6"/>
      <c r="J36" s="8"/>
      <c r="K36" s="20"/>
    </row>
    <row r="37" spans="1:11" x14ac:dyDescent="0.25">
      <c r="A37" s="19"/>
      <c r="B37" s="21"/>
      <c r="C37" s="22"/>
      <c r="D37" s="6"/>
      <c r="E37" s="8" t="s">
        <v>61</v>
      </c>
      <c r="F37" s="8" t="s">
        <v>62</v>
      </c>
      <c r="G37" s="20" t="s">
        <v>128</v>
      </c>
      <c r="H37" s="8"/>
      <c r="I37" s="6"/>
      <c r="J37" s="8"/>
      <c r="K37" s="20"/>
    </row>
    <row r="38" spans="1:11" x14ac:dyDescent="0.25">
      <c r="A38" s="19"/>
      <c r="B38" s="21"/>
      <c r="C38" s="22"/>
      <c r="D38" s="6"/>
      <c r="E38" s="8" t="s">
        <v>61</v>
      </c>
      <c r="F38" s="8" t="s">
        <v>62</v>
      </c>
      <c r="G38" s="20" t="s">
        <v>2040</v>
      </c>
      <c r="H38" s="8"/>
      <c r="I38" s="6"/>
      <c r="J38" s="8"/>
      <c r="K38" s="20"/>
    </row>
    <row r="39" spans="1:11" x14ac:dyDescent="0.25">
      <c r="A39" s="19"/>
      <c r="B39" s="21"/>
      <c r="C39" s="22"/>
      <c r="D39" s="6"/>
      <c r="E39" s="8" t="s">
        <v>61</v>
      </c>
      <c r="F39" s="8" t="s">
        <v>62</v>
      </c>
      <c r="G39" s="20" t="s">
        <v>130</v>
      </c>
      <c r="H39" s="8"/>
      <c r="I39" s="6"/>
      <c r="J39" s="8"/>
      <c r="K39" s="20"/>
    </row>
    <row r="40" spans="1:11" x14ac:dyDescent="0.25">
      <c r="A40" s="19"/>
      <c r="B40" s="21"/>
      <c r="C40" s="22"/>
      <c r="D40" s="6"/>
      <c r="E40" s="8" t="s">
        <v>61</v>
      </c>
      <c r="F40" s="8" t="s">
        <v>62</v>
      </c>
      <c r="G40" s="20" t="s">
        <v>121</v>
      </c>
      <c r="H40" s="8"/>
      <c r="I40" s="6"/>
      <c r="J40" s="8"/>
      <c r="K40" s="20"/>
    </row>
    <row r="41" spans="1:11" x14ac:dyDescent="0.25">
      <c r="A41" s="19"/>
      <c r="B41" s="21"/>
      <c r="C41" s="22"/>
      <c r="D41" s="6"/>
      <c r="E41" s="8" t="s">
        <v>61</v>
      </c>
      <c r="F41" s="8" t="s">
        <v>62</v>
      </c>
      <c r="G41" s="20" t="s">
        <v>118</v>
      </c>
      <c r="H41" s="8"/>
      <c r="I41" s="6"/>
      <c r="J41" s="8"/>
      <c r="K41" s="20"/>
    </row>
    <row r="42" spans="1:11" x14ac:dyDescent="0.25">
      <c r="A42" s="19"/>
      <c r="B42" s="21"/>
      <c r="C42" s="22"/>
      <c r="D42" s="6"/>
      <c r="E42" s="8" t="s">
        <v>66</v>
      </c>
      <c r="F42" s="8" t="s">
        <v>1251</v>
      </c>
      <c r="G42" s="20" t="s">
        <v>131</v>
      </c>
      <c r="H42" s="8"/>
      <c r="I42" s="6"/>
      <c r="J42" s="8"/>
      <c r="K42" s="20"/>
    </row>
    <row r="43" spans="1:11" x14ac:dyDescent="0.25">
      <c r="A43" s="19"/>
      <c r="B43" s="21"/>
      <c r="C43" s="22"/>
      <c r="D43" s="6"/>
      <c r="E43" s="8" t="s">
        <v>66</v>
      </c>
      <c r="F43" s="8" t="s">
        <v>1251</v>
      </c>
      <c r="G43" s="20" t="s">
        <v>132</v>
      </c>
      <c r="H43" s="8"/>
      <c r="I43" s="6"/>
      <c r="J43" s="8"/>
      <c r="K43" s="20"/>
    </row>
    <row r="44" spans="1:11" x14ac:dyDescent="0.25">
      <c r="A44" s="19"/>
      <c r="B44" s="21"/>
      <c r="C44" s="22"/>
      <c r="D44" s="6"/>
      <c r="E44" s="8" t="s">
        <v>66</v>
      </c>
      <c r="F44" s="8" t="s">
        <v>62</v>
      </c>
      <c r="G44" s="20" t="s">
        <v>148</v>
      </c>
      <c r="H44" s="8"/>
      <c r="I44" s="6"/>
      <c r="J44" s="8"/>
      <c r="K44" s="20"/>
    </row>
    <row r="45" spans="1:11" x14ac:dyDescent="0.25">
      <c r="A45" s="19"/>
      <c r="B45" s="21"/>
      <c r="C45" s="22"/>
      <c r="D45" s="6"/>
      <c r="E45" s="8" t="s">
        <v>66</v>
      </c>
      <c r="F45" s="8" t="s">
        <v>62</v>
      </c>
      <c r="G45" s="20" t="s">
        <v>147</v>
      </c>
      <c r="H45" s="8"/>
      <c r="I45" s="6"/>
      <c r="J45" s="8"/>
      <c r="K45" s="20"/>
    </row>
    <row r="46" spans="1:11" x14ac:dyDescent="0.25">
      <c r="A46" s="19"/>
      <c r="B46" s="21"/>
      <c r="C46" s="22"/>
      <c r="D46" s="6"/>
      <c r="E46" s="8" t="s">
        <v>66</v>
      </c>
      <c r="F46" s="8" t="s">
        <v>62</v>
      </c>
      <c r="G46" s="20" t="s">
        <v>133</v>
      </c>
      <c r="H46" s="8"/>
      <c r="I46" s="6"/>
      <c r="J46" s="8"/>
      <c r="K46" s="20"/>
    </row>
    <row r="47" spans="1:11" x14ac:dyDescent="0.25">
      <c r="A47" s="19"/>
      <c r="B47" s="21"/>
      <c r="C47" s="22"/>
      <c r="D47" s="6"/>
      <c r="E47" s="8" t="s">
        <v>61</v>
      </c>
      <c r="F47" s="8" t="s">
        <v>62</v>
      </c>
      <c r="G47" s="20" t="s">
        <v>125</v>
      </c>
      <c r="H47" s="8"/>
      <c r="I47" s="6"/>
      <c r="J47" s="8"/>
      <c r="K47" s="20"/>
    </row>
    <row r="48" spans="1:11" x14ac:dyDescent="0.25">
      <c r="A48" s="19"/>
      <c r="B48" s="21"/>
      <c r="C48" s="22"/>
      <c r="D48" s="6"/>
      <c r="E48" s="8" t="s">
        <v>66</v>
      </c>
      <c r="F48" s="8" t="s">
        <v>62</v>
      </c>
      <c r="G48" s="20" t="s">
        <v>134</v>
      </c>
      <c r="H48" s="8"/>
      <c r="I48" s="6"/>
      <c r="J48" s="8"/>
      <c r="K48" s="20"/>
    </row>
    <row r="49" spans="1:11" x14ac:dyDescent="0.25">
      <c r="A49" s="19"/>
      <c r="B49" s="21"/>
      <c r="C49" s="22"/>
      <c r="D49" s="6"/>
      <c r="E49" s="8" t="s">
        <v>61</v>
      </c>
      <c r="F49" s="8" t="s">
        <v>62</v>
      </c>
      <c r="G49" s="20" t="s">
        <v>127</v>
      </c>
      <c r="H49" s="8"/>
      <c r="I49" s="6"/>
      <c r="J49" s="8"/>
      <c r="K49" s="20"/>
    </row>
    <row r="50" spans="1:11" x14ac:dyDescent="0.25">
      <c r="A50" s="19"/>
      <c r="B50" s="21"/>
      <c r="C50" s="22"/>
      <c r="D50" s="6"/>
      <c r="E50" s="8" t="s">
        <v>66</v>
      </c>
      <c r="F50" s="8" t="s">
        <v>62</v>
      </c>
      <c r="G50" s="20" t="s">
        <v>135</v>
      </c>
      <c r="H50" s="8"/>
      <c r="I50" s="6"/>
      <c r="J50" s="8"/>
      <c r="K50" s="20"/>
    </row>
    <row r="51" spans="1:11" x14ac:dyDescent="0.25">
      <c r="A51" s="19"/>
      <c r="B51" s="21"/>
      <c r="C51" s="22"/>
      <c r="D51" s="6"/>
      <c r="E51" s="8" t="s">
        <v>66</v>
      </c>
      <c r="F51" s="8" t="s">
        <v>62</v>
      </c>
      <c r="G51" s="20" t="s">
        <v>1252</v>
      </c>
      <c r="H51" s="8"/>
      <c r="I51" s="6"/>
      <c r="J51" s="8"/>
      <c r="K51" s="20"/>
    </row>
    <row r="52" spans="1:11" x14ac:dyDescent="0.25">
      <c r="A52" s="19"/>
      <c r="B52" s="21"/>
      <c r="C52" s="22"/>
      <c r="D52" s="6"/>
      <c r="E52" s="8" t="s">
        <v>66</v>
      </c>
      <c r="F52" s="8" t="s">
        <v>62</v>
      </c>
      <c r="G52" s="20" t="s">
        <v>1253</v>
      </c>
      <c r="H52" s="8"/>
      <c r="I52" s="6"/>
      <c r="J52" s="8"/>
      <c r="K52" s="20"/>
    </row>
    <row r="53" spans="1:11" x14ac:dyDescent="0.25">
      <c r="A53" s="19"/>
      <c r="B53" s="21"/>
      <c r="C53" s="22"/>
      <c r="D53" s="6"/>
      <c r="E53" s="8" t="s">
        <v>66</v>
      </c>
      <c r="F53" s="8" t="s">
        <v>62</v>
      </c>
      <c r="G53" s="20" t="s">
        <v>1254</v>
      </c>
      <c r="H53" s="8"/>
      <c r="I53" s="6"/>
      <c r="J53" s="8"/>
      <c r="K53" s="20"/>
    </row>
    <row r="54" spans="1:11" x14ac:dyDescent="0.25">
      <c r="A54" s="19"/>
      <c r="B54" s="21"/>
      <c r="C54" s="22"/>
      <c r="D54" s="6"/>
      <c r="E54" s="8" t="s">
        <v>66</v>
      </c>
      <c r="F54" s="8" t="s">
        <v>1251</v>
      </c>
      <c r="G54" s="20" t="s">
        <v>136</v>
      </c>
      <c r="H54" s="8"/>
      <c r="I54" s="6"/>
      <c r="J54" s="8"/>
      <c r="K54" s="20"/>
    </row>
    <row r="55" spans="1:11" x14ac:dyDescent="0.25">
      <c r="A55" s="19"/>
      <c r="B55" s="21"/>
      <c r="C55" s="22"/>
      <c r="D55" s="6"/>
      <c r="E55" s="8" t="s">
        <v>66</v>
      </c>
      <c r="F55" s="8" t="s">
        <v>62</v>
      </c>
      <c r="G55" s="20" t="s">
        <v>149</v>
      </c>
      <c r="H55" s="8"/>
      <c r="I55" s="6"/>
      <c r="J55" s="8"/>
      <c r="K55" s="20"/>
    </row>
    <row r="56" spans="1:11" x14ac:dyDescent="0.25">
      <c r="A56" s="19"/>
      <c r="B56" s="21"/>
      <c r="C56" s="22"/>
      <c r="D56" s="6"/>
      <c r="E56" s="8" t="s">
        <v>66</v>
      </c>
      <c r="F56" s="8" t="s">
        <v>62</v>
      </c>
      <c r="G56" s="20" t="s">
        <v>137</v>
      </c>
      <c r="H56" s="8"/>
      <c r="I56" s="6"/>
      <c r="J56" s="8"/>
      <c r="K56" s="20"/>
    </row>
    <row r="57" spans="1:11" x14ac:dyDescent="0.25">
      <c r="A57" s="19"/>
      <c r="B57" s="21"/>
      <c r="C57" s="22"/>
      <c r="D57" s="6"/>
      <c r="E57" s="8" t="s">
        <v>66</v>
      </c>
      <c r="F57" s="8" t="s">
        <v>62</v>
      </c>
      <c r="G57" s="20" t="s">
        <v>138</v>
      </c>
      <c r="H57" s="8"/>
      <c r="I57" s="6"/>
      <c r="J57" s="8"/>
      <c r="K57" s="20"/>
    </row>
    <row r="58" spans="1:11" x14ac:dyDescent="0.25">
      <c r="A58" s="19"/>
      <c r="B58" s="21"/>
      <c r="C58" s="22"/>
      <c r="D58" s="6"/>
      <c r="E58" s="8" t="s">
        <v>66</v>
      </c>
      <c r="F58" s="8" t="s">
        <v>62</v>
      </c>
      <c r="G58" s="20" t="s">
        <v>139</v>
      </c>
      <c r="H58" s="8"/>
      <c r="I58" s="6"/>
      <c r="J58" s="8"/>
      <c r="K58" s="20"/>
    </row>
    <row r="59" spans="1:11" x14ac:dyDescent="0.25">
      <c r="A59" s="19"/>
      <c r="B59" s="21"/>
      <c r="C59" s="22"/>
      <c r="D59" s="6"/>
      <c r="E59" s="8" t="s">
        <v>66</v>
      </c>
      <c r="F59" s="8" t="s">
        <v>1251</v>
      </c>
      <c r="G59" s="20" t="s">
        <v>140</v>
      </c>
      <c r="H59" s="8"/>
      <c r="I59" s="6"/>
      <c r="J59" s="8"/>
      <c r="K59" s="20"/>
    </row>
    <row r="60" spans="1:11" x14ac:dyDescent="0.25">
      <c r="A60" s="19"/>
      <c r="B60" s="21"/>
      <c r="C60" s="22"/>
      <c r="D60" s="6"/>
      <c r="E60" s="8" t="s">
        <v>66</v>
      </c>
      <c r="F60" s="8" t="s">
        <v>1255</v>
      </c>
      <c r="G60" s="20" t="s">
        <v>141</v>
      </c>
      <c r="H60" s="8"/>
      <c r="I60" s="6"/>
      <c r="J60" s="8"/>
      <c r="K60" s="20"/>
    </row>
    <row r="61" spans="1:11" x14ac:dyDescent="0.25">
      <c r="A61" s="19"/>
      <c r="B61" s="21"/>
      <c r="C61" s="22"/>
      <c r="D61" s="6"/>
      <c r="E61" s="8" t="s">
        <v>61</v>
      </c>
      <c r="F61" s="8" t="s">
        <v>1256</v>
      </c>
      <c r="G61" s="20" t="s">
        <v>142</v>
      </c>
      <c r="H61" s="8"/>
      <c r="I61" s="6"/>
      <c r="J61" s="8"/>
      <c r="K61" s="20"/>
    </row>
    <row r="62" spans="1:11" x14ac:dyDescent="0.25">
      <c r="A62" s="19"/>
      <c r="B62" s="21"/>
      <c r="C62" s="22"/>
      <c r="D62" s="6"/>
      <c r="E62" s="8" t="s">
        <v>66</v>
      </c>
      <c r="F62" s="8" t="s">
        <v>1251</v>
      </c>
      <c r="G62" s="20" t="s">
        <v>143</v>
      </c>
      <c r="H62" s="8"/>
      <c r="I62" s="6"/>
      <c r="J62" s="8"/>
      <c r="K62" s="20"/>
    </row>
    <row r="63" spans="1:11" x14ac:dyDescent="0.25">
      <c r="A63" s="19"/>
      <c r="B63" s="21"/>
      <c r="C63" s="22"/>
      <c r="D63" s="6"/>
      <c r="E63" s="8" t="s">
        <v>66</v>
      </c>
      <c r="F63" s="8" t="s">
        <v>1251</v>
      </c>
      <c r="G63" s="20" t="s">
        <v>144</v>
      </c>
      <c r="H63" s="8"/>
      <c r="I63" s="6"/>
      <c r="J63" s="8"/>
      <c r="K63" s="20"/>
    </row>
    <row r="64" spans="1:11" x14ac:dyDescent="0.25">
      <c r="A64" s="19"/>
      <c r="B64" s="21"/>
      <c r="C64" s="22"/>
      <c r="D64" s="6"/>
      <c r="E64" s="8" t="s">
        <v>66</v>
      </c>
      <c r="F64" s="8" t="s">
        <v>62</v>
      </c>
      <c r="G64" s="20" t="s">
        <v>1257</v>
      </c>
      <c r="H64" s="8"/>
      <c r="I64" s="6"/>
      <c r="J64" s="8"/>
      <c r="K64" s="20"/>
    </row>
    <row r="65" spans="1:11" x14ac:dyDescent="0.25">
      <c r="A65" s="19"/>
      <c r="B65" s="21"/>
      <c r="C65" s="22"/>
      <c r="D65" s="6"/>
      <c r="E65" s="8" t="s">
        <v>66</v>
      </c>
      <c r="F65" s="8" t="s">
        <v>62</v>
      </c>
      <c r="G65" s="20" t="s">
        <v>1258</v>
      </c>
      <c r="H65" s="8"/>
      <c r="I65" s="6"/>
      <c r="J65" s="8"/>
      <c r="K65" s="20"/>
    </row>
    <row r="66" spans="1:11" x14ac:dyDescent="0.25">
      <c r="A66" s="19"/>
      <c r="B66" s="21"/>
      <c r="C66" s="22"/>
      <c r="D66" s="6"/>
      <c r="E66" s="8" t="s">
        <v>66</v>
      </c>
      <c r="F66" s="8" t="s">
        <v>62</v>
      </c>
      <c r="G66" s="20" t="s">
        <v>1259</v>
      </c>
      <c r="H66" s="8"/>
      <c r="I66" s="6"/>
      <c r="J66" s="8"/>
      <c r="K66" s="20"/>
    </row>
    <row r="67" spans="1:11" x14ac:dyDescent="0.25">
      <c r="A67" s="19"/>
      <c r="B67" s="21"/>
      <c r="C67" s="22"/>
      <c r="D67" s="6"/>
      <c r="E67" s="8" t="s">
        <v>66</v>
      </c>
      <c r="F67" s="8" t="s">
        <v>62</v>
      </c>
      <c r="G67" s="20" t="s">
        <v>1260</v>
      </c>
      <c r="H67" s="8"/>
      <c r="I67" s="6"/>
      <c r="J67" s="8"/>
      <c r="K67" s="20"/>
    </row>
    <row r="68" spans="1:11" x14ac:dyDescent="0.25">
      <c r="A68" s="19"/>
      <c r="B68" s="21"/>
      <c r="C68" s="22"/>
      <c r="D68" s="6"/>
      <c r="E68" s="8" t="s">
        <v>66</v>
      </c>
      <c r="F68" s="8" t="s">
        <v>62</v>
      </c>
      <c r="G68" s="20" t="s">
        <v>1261</v>
      </c>
      <c r="H68" s="8"/>
      <c r="I68" s="6"/>
      <c r="J68" s="8"/>
      <c r="K68" s="20"/>
    </row>
    <row r="69" spans="1:11" x14ac:dyDescent="0.25">
      <c r="A69" s="19"/>
      <c r="B69" s="21"/>
      <c r="C69" s="22"/>
      <c r="D69" s="6"/>
      <c r="E69" s="8" t="s">
        <v>66</v>
      </c>
      <c r="F69" s="8" t="s">
        <v>62</v>
      </c>
      <c r="G69" s="20" t="s">
        <v>1262</v>
      </c>
      <c r="H69" s="8"/>
      <c r="I69" s="6"/>
      <c r="J69" s="8"/>
      <c r="K69" s="20"/>
    </row>
    <row r="70" spans="1:11" x14ac:dyDescent="0.25">
      <c r="A70" s="19"/>
      <c r="B70" s="21"/>
      <c r="C70" s="22"/>
      <c r="D70" s="6"/>
      <c r="E70" s="8" t="s">
        <v>66</v>
      </c>
      <c r="F70" s="8" t="s">
        <v>62</v>
      </c>
      <c r="G70" s="20" t="s">
        <v>1263</v>
      </c>
      <c r="H70" s="8"/>
      <c r="I70" s="6"/>
      <c r="J70" s="8"/>
      <c r="K70" s="20"/>
    </row>
    <row r="71" spans="1:11" x14ac:dyDescent="0.25">
      <c r="A71" s="19"/>
      <c r="B71" s="21"/>
      <c r="C71" s="22"/>
      <c r="D71" s="6"/>
      <c r="E71" s="8" t="s">
        <v>66</v>
      </c>
      <c r="F71" s="8" t="s">
        <v>62</v>
      </c>
      <c r="G71" s="20" t="s">
        <v>1264</v>
      </c>
      <c r="H71" s="8"/>
      <c r="I71" s="6"/>
      <c r="J71" s="8"/>
      <c r="K71" s="20"/>
    </row>
    <row r="72" spans="1:11" x14ac:dyDescent="0.25">
      <c r="A72" s="19"/>
      <c r="B72" s="21"/>
      <c r="C72" s="22"/>
      <c r="D72" s="6"/>
      <c r="E72" s="8" t="s">
        <v>66</v>
      </c>
      <c r="F72" s="8" t="s">
        <v>62</v>
      </c>
      <c r="G72" s="20" t="s">
        <v>1265</v>
      </c>
      <c r="H72" s="8"/>
      <c r="I72" s="6"/>
      <c r="J72" s="8"/>
      <c r="K72" s="20"/>
    </row>
    <row r="73" spans="1:11" x14ac:dyDescent="0.25">
      <c r="A73" s="19"/>
      <c r="B73" s="21"/>
      <c r="C73" s="22"/>
      <c r="D73" s="6"/>
      <c r="E73" s="8" t="s">
        <v>66</v>
      </c>
      <c r="F73" s="8" t="s">
        <v>62</v>
      </c>
      <c r="G73" s="20" t="s">
        <v>1266</v>
      </c>
      <c r="H73" s="8"/>
      <c r="I73" s="6"/>
      <c r="J73" s="8"/>
      <c r="K73" s="20"/>
    </row>
    <row r="74" spans="1:11" x14ac:dyDescent="0.25">
      <c r="A74" s="19"/>
      <c r="B74" s="21"/>
      <c r="C74" s="22"/>
      <c r="D74" s="6"/>
      <c r="E74" s="8" t="s">
        <v>66</v>
      </c>
      <c r="F74" s="8" t="s">
        <v>62</v>
      </c>
      <c r="G74" s="20" t="s">
        <v>1267</v>
      </c>
      <c r="H74" s="8"/>
      <c r="I74" s="6"/>
      <c r="J74" s="8"/>
      <c r="K74" s="20"/>
    </row>
    <row r="75" spans="1:11" x14ac:dyDescent="0.25">
      <c r="A75" s="19"/>
      <c r="B75" s="21"/>
      <c r="C75" s="22"/>
      <c r="D75" s="6"/>
      <c r="E75" s="8" t="s">
        <v>66</v>
      </c>
      <c r="F75" s="8" t="s">
        <v>62</v>
      </c>
      <c r="G75" s="20" t="s">
        <v>1268</v>
      </c>
      <c r="H75" s="8"/>
      <c r="I75" s="6"/>
      <c r="J75" s="8"/>
      <c r="K75" s="20"/>
    </row>
    <row r="76" spans="1:11" x14ac:dyDescent="0.25">
      <c r="A76" s="19"/>
      <c r="B76" s="21"/>
      <c r="C76" s="22"/>
      <c r="D76" s="6"/>
      <c r="E76" s="8" t="s">
        <v>66</v>
      </c>
      <c r="F76" s="8" t="s">
        <v>62</v>
      </c>
      <c r="G76" s="20" t="s">
        <v>1269</v>
      </c>
      <c r="H76" s="8"/>
      <c r="I76" s="6"/>
      <c r="J76" s="8"/>
      <c r="K76" s="20"/>
    </row>
    <row r="77" spans="1:11" x14ac:dyDescent="0.25">
      <c r="A77" s="19"/>
      <c r="B77" s="21"/>
      <c r="C77" s="22"/>
      <c r="D77" s="6"/>
      <c r="E77" s="8" t="s">
        <v>66</v>
      </c>
      <c r="F77" s="8" t="s">
        <v>62</v>
      </c>
      <c r="G77" s="20" t="s">
        <v>1270</v>
      </c>
      <c r="H77" s="8"/>
      <c r="I77" s="6"/>
      <c r="J77" s="8"/>
      <c r="K77" s="20"/>
    </row>
    <row r="78" spans="1:11" x14ac:dyDescent="0.25">
      <c r="A78" s="19"/>
      <c r="B78" s="21"/>
      <c r="C78" s="22"/>
      <c r="D78" s="6"/>
      <c r="E78" s="8" t="s">
        <v>66</v>
      </c>
      <c r="F78" s="8" t="s">
        <v>62</v>
      </c>
      <c r="G78" s="20" t="s">
        <v>1271</v>
      </c>
      <c r="H78" s="8"/>
      <c r="I78" s="6"/>
      <c r="J78" s="8"/>
      <c r="K78" s="20"/>
    </row>
    <row r="79" spans="1:11" x14ac:dyDescent="0.25">
      <c r="A79" s="19"/>
      <c r="B79" s="21"/>
      <c r="C79" s="22"/>
      <c r="D79" s="6"/>
      <c r="E79" s="8" t="s">
        <v>66</v>
      </c>
      <c r="F79" s="8" t="s">
        <v>1272</v>
      </c>
      <c r="G79" s="20" t="s">
        <v>145</v>
      </c>
      <c r="H79" s="8"/>
      <c r="I79" s="6"/>
      <c r="J79" s="8"/>
      <c r="K79" s="20"/>
    </row>
    <row r="80" spans="1:11" x14ac:dyDescent="0.25">
      <c r="A80" s="19"/>
      <c r="B80" s="21"/>
      <c r="C80" s="22"/>
      <c r="D80" s="6"/>
      <c r="E80" s="8" t="s">
        <v>66</v>
      </c>
      <c r="F80" s="8" t="s">
        <v>1256</v>
      </c>
      <c r="G80" s="20" t="s">
        <v>146</v>
      </c>
      <c r="H80" s="8"/>
      <c r="I80" s="6"/>
      <c r="J80" s="8"/>
      <c r="K80" s="20"/>
    </row>
    <row r="81" spans="1:11" x14ac:dyDescent="0.25">
      <c r="A81" s="19"/>
      <c r="B81" s="21"/>
      <c r="C81" s="22"/>
      <c r="D81" s="6"/>
      <c r="E81" s="8" t="s">
        <v>66</v>
      </c>
      <c r="F81" s="8" t="s">
        <v>1256</v>
      </c>
      <c r="G81" s="20" t="s">
        <v>151</v>
      </c>
      <c r="H81" s="8"/>
      <c r="I81" s="6"/>
      <c r="J81" s="8"/>
      <c r="K81" s="20"/>
    </row>
    <row r="82" spans="1:11" x14ac:dyDescent="0.25">
      <c r="A82" s="19"/>
      <c r="B82" s="21"/>
      <c r="C82" s="22"/>
      <c r="D82" s="6"/>
      <c r="E82" s="8" t="s">
        <v>66</v>
      </c>
      <c r="F82" s="8" t="s">
        <v>62</v>
      </c>
      <c r="G82" s="20" t="s">
        <v>150</v>
      </c>
      <c r="H82" s="8"/>
      <c r="I82" s="6"/>
      <c r="J82" s="8"/>
      <c r="K82" s="20"/>
    </row>
    <row r="83" spans="1:11" x14ac:dyDescent="0.25">
      <c r="A83" s="19"/>
      <c r="B83" s="21"/>
      <c r="C83" s="22"/>
      <c r="D83" s="6"/>
      <c r="E83" s="8" t="s">
        <v>66</v>
      </c>
      <c r="F83" s="8" t="s">
        <v>62</v>
      </c>
      <c r="G83" s="20" t="s">
        <v>104</v>
      </c>
      <c r="H83" s="8"/>
      <c r="I83" s="6"/>
      <c r="J83" s="8"/>
      <c r="K83" s="20"/>
    </row>
    <row r="84" spans="1:11" x14ac:dyDescent="0.25">
      <c r="A84" s="19"/>
      <c r="B84" s="21"/>
      <c r="C84" s="22"/>
      <c r="D84" s="6"/>
      <c r="E84" s="8" t="s">
        <v>66</v>
      </c>
      <c r="F84" s="8" t="s">
        <v>62</v>
      </c>
      <c r="G84" s="20" t="s">
        <v>108</v>
      </c>
      <c r="H84" s="8"/>
      <c r="I84" s="6"/>
      <c r="J84" s="8"/>
      <c r="K84" s="20"/>
    </row>
    <row r="85" spans="1:11" x14ac:dyDescent="0.25">
      <c r="A85" s="19"/>
      <c r="B85" s="21"/>
      <c r="C85" s="22"/>
      <c r="D85" s="6"/>
      <c r="E85" s="8" t="s">
        <v>66</v>
      </c>
      <c r="F85" s="8" t="s">
        <v>62</v>
      </c>
      <c r="G85" s="20" t="s">
        <v>110</v>
      </c>
      <c r="H85" s="8"/>
      <c r="I85" s="6"/>
      <c r="J85" s="8"/>
      <c r="K85" s="20"/>
    </row>
    <row r="86" spans="1:11" x14ac:dyDescent="0.25">
      <c r="A86" s="19"/>
      <c r="B86" s="21"/>
      <c r="C86" s="22"/>
      <c r="D86" s="6"/>
      <c r="E86" s="8" t="s">
        <v>66</v>
      </c>
      <c r="F86" s="8" t="s">
        <v>62</v>
      </c>
      <c r="G86" s="20" t="s">
        <v>112</v>
      </c>
      <c r="H86" s="8"/>
      <c r="I86" s="6"/>
      <c r="J86" s="8"/>
      <c r="K86" s="20"/>
    </row>
    <row r="87" spans="1:11" x14ac:dyDescent="0.25">
      <c r="A87" s="19"/>
      <c r="B87" s="21"/>
      <c r="C87" s="22"/>
      <c r="D87" s="6"/>
      <c r="E87" s="8" t="s">
        <v>66</v>
      </c>
      <c r="F87" s="8" t="s">
        <v>62</v>
      </c>
      <c r="G87" s="20" t="s">
        <v>114</v>
      </c>
      <c r="H87" s="8"/>
      <c r="I87" s="6"/>
      <c r="J87" s="8"/>
      <c r="K87" s="20"/>
    </row>
    <row r="88" spans="1:11" x14ac:dyDescent="0.25">
      <c r="A88" s="19"/>
      <c r="B88" s="21"/>
      <c r="C88" s="22"/>
      <c r="D88" s="6"/>
      <c r="E88" s="8" t="s">
        <v>66</v>
      </c>
      <c r="F88" s="8" t="s">
        <v>1256</v>
      </c>
      <c r="G88" s="20" t="s">
        <v>116</v>
      </c>
      <c r="H88" s="8"/>
      <c r="I88" s="6"/>
      <c r="J88" s="8"/>
      <c r="K88" s="20"/>
    </row>
    <row r="89" spans="1:11" x14ac:dyDescent="0.25">
      <c r="A89" s="19"/>
      <c r="B89" s="21"/>
      <c r="C89" s="22"/>
      <c r="D89" s="6"/>
      <c r="E89" s="8" t="s">
        <v>66</v>
      </c>
      <c r="F89" s="8" t="s">
        <v>1280</v>
      </c>
      <c r="G89" s="20" t="s">
        <v>1276</v>
      </c>
      <c r="H89" s="8"/>
      <c r="I89" s="6"/>
      <c r="J89" s="8"/>
      <c r="K89" s="20"/>
    </row>
    <row r="90" spans="1:11" x14ac:dyDescent="0.25">
      <c r="A90" s="19"/>
      <c r="B90" s="21"/>
      <c r="C90" s="22"/>
      <c r="D90" s="6"/>
      <c r="E90" s="8" t="s">
        <v>66</v>
      </c>
      <c r="F90" s="8" t="s">
        <v>1280</v>
      </c>
      <c r="G90" s="20" t="s">
        <v>1277</v>
      </c>
      <c r="H90" s="8"/>
      <c r="I90" s="6"/>
      <c r="J90" s="8"/>
      <c r="K90" s="20"/>
    </row>
    <row r="91" spans="1:11" x14ac:dyDescent="0.25">
      <c r="A91" s="19"/>
      <c r="B91" s="21"/>
      <c r="C91" s="22"/>
      <c r="D91" s="6"/>
      <c r="E91" s="8" t="s">
        <v>66</v>
      </c>
      <c r="F91" s="8" t="s">
        <v>1280</v>
      </c>
      <c r="G91" s="20" t="s">
        <v>1278</v>
      </c>
      <c r="H91" s="8"/>
      <c r="I91" s="6"/>
      <c r="J91" s="8"/>
      <c r="K91" s="20"/>
    </row>
    <row r="92" spans="1:11" x14ac:dyDescent="0.25">
      <c r="A92" s="19"/>
      <c r="B92" s="21"/>
      <c r="C92" s="22"/>
      <c r="D92" s="6"/>
      <c r="E92" s="8" t="s">
        <v>66</v>
      </c>
      <c r="F92" s="8" t="s">
        <v>1280</v>
      </c>
      <c r="G92" s="20" t="s">
        <v>1279</v>
      </c>
      <c r="H92" s="8"/>
      <c r="I92" s="6"/>
      <c r="J92" s="8"/>
      <c r="K92" s="20"/>
    </row>
    <row r="93" spans="1:11" x14ac:dyDescent="0.25">
      <c r="A93" s="19"/>
      <c r="B93" s="21"/>
      <c r="C93" s="22"/>
      <c r="D93" s="6"/>
      <c r="E93" s="8" t="s">
        <v>66</v>
      </c>
      <c r="F93" s="8" t="s">
        <v>1280</v>
      </c>
      <c r="G93" s="20" t="s">
        <v>1282</v>
      </c>
      <c r="H93" s="8"/>
      <c r="I93" s="6"/>
      <c r="J93" s="8"/>
      <c r="K93" s="20"/>
    </row>
    <row r="94" spans="1:11" x14ac:dyDescent="0.25">
      <c r="A94" s="19"/>
      <c r="B94" s="21"/>
      <c r="C94" s="22"/>
      <c r="D94" s="6"/>
      <c r="E94" s="8" t="s">
        <v>66</v>
      </c>
      <c r="F94" s="8" t="s">
        <v>1280</v>
      </c>
      <c r="G94" s="20" t="s">
        <v>1283</v>
      </c>
      <c r="H94" s="8"/>
      <c r="I94" s="6"/>
      <c r="J94" s="8"/>
      <c r="K94" s="20"/>
    </row>
    <row r="95" spans="1:11" x14ac:dyDescent="0.25">
      <c r="A95" s="19"/>
      <c r="B95" s="21"/>
      <c r="C95" s="22"/>
      <c r="D95" s="6"/>
      <c r="E95" s="8" t="s">
        <v>66</v>
      </c>
      <c r="F95" s="8" t="s">
        <v>1280</v>
      </c>
      <c r="G95" s="20" t="s">
        <v>1284</v>
      </c>
      <c r="H95" s="8"/>
      <c r="I95" s="6"/>
      <c r="J95" s="8"/>
      <c r="K95" s="20"/>
    </row>
    <row r="96" spans="1:11" x14ac:dyDescent="0.25">
      <c r="A96" s="19"/>
      <c r="B96" s="21"/>
      <c r="C96" s="22"/>
      <c r="D96" s="6"/>
      <c r="E96" s="8" t="s">
        <v>66</v>
      </c>
      <c r="F96" s="8" t="s">
        <v>1280</v>
      </c>
      <c r="G96" s="20" t="s">
        <v>1285</v>
      </c>
      <c r="H96" s="8"/>
      <c r="I96" s="6"/>
      <c r="J96" s="8"/>
      <c r="K96" s="20"/>
    </row>
    <row r="97" spans="1:11" x14ac:dyDescent="0.25">
      <c r="A97" s="19"/>
      <c r="B97" s="21"/>
      <c r="C97" s="22"/>
      <c r="D97" s="6"/>
      <c r="E97" s="8" t="s">
        <v>66</v>
      </c>
      <c r="F97" s="8" t="s">
        <v>1280</v>
      </c>
      <c r="G97" s="20" t="s">
        <v>1286</v>
      </c>
      <c r="H97" s="8"/>
      <c r="I97" s="6"/>
      <c r="J97" s="8"/>
      <c r="K97" s="20"/>
    </row>
    <row r="98" spans="1:11" x14ac:dyDescent="0.25">
      <c r="A98" s="19"/>
      <c r="B98" s="21"/>
      <c r="C98" s="22"/>
      <c r="D98" s="6"/>
      <c r="E98" s="8" t="s">
        <v>66</v>
      </c>
      <c r="F98" s="8" t="s">
        <v>1280</v>
      </c>
      <c r="G98" s="20" t="s">
        <v>1287</v>
      </c>
      <c r="H98" s="8"/>
      <c r="I98" s="6"/>
      <c r="J98" s="8"/>
      <c r="K98" s="20"/>
    </row>
    <row r="99" spans="1:11" x14ac:dyDescent="0.25">
      <c r="A99" s="19"/>
      <c r="B99" s="21"/>
      <c r="C99" s="22"/>
      <c r="D99" s="6"/>
      <c r="E99" s="8" t="s">
        <v>66</v>
      </c>
      <c r="F99" s="8" t="s">
        <v>1280</v>
      </c>
      <c r="G99" s="20" t="s">
        <v>1288</v>
      </c>
      <c r="H99" s="8"/>
      <c r="I99" s="6"/>
      <c r="J99" s="8"/>
      <c r="K99" s="20"/>
    </row>
    <row r="100" spans="1:11" x14ac:dyDescent="0.25">
      <c r="A100" s="19"/>
      <c r="B100" s="21"/>
      <c r="C100" s="22"/>
      <c r="D100" s="6"/>
      <c r="E100" s="8" t="s">
        <v>66</v>
      </c>
      <c r="F100" s="8" t="s">
        <v>1280</v>
      </c>
      <c r="G100" s="20" t="s">
        <v>1289</v>
      </c>
      <c r="H100" s="8"/>
      <c r="I100" s="6"/>
      <c r="J100" s="8"/>
      <c r="K100" s="20"/>
    </row>
    <row r="101" spans="1:11" x14ac:dyDescent="0.25">
      <c r="A101" s="19"/>
      <c r="B101" s="21"/>
      <c r="C101" s="22"/>
      <c r="D101" s="6"/>
      <c r="E101" s="8" t="s">
        <v>66</v>
      </c>
      <c r="F101" s="8" t="s">
        <v>62</v>
      </c>
      <c r="G101" s="20" t="s">
        <v>1290</v>
      </c>
      <c r="H101" s="8"/>
      <c r="I101" s="6"/>
      <c r="J101" s="8"/>
      <c r="K101" s="20"/>
    </row>
    <row r="102" spans="1:11" x14ac:dyDescent="0.25">
      <c r="A102" s="19"/>
      <c r="B102" s="21"/>
      <c r="C102" s="22"/>
      <c r="D102" s="6"/>
      <c r="E102" s="8" t="s">
        <v>66</v>
      </c>
      <c r="F102" s="8" t="s">
        <v>62</v>
      </c>
      <c r="G102" s="20" t="s">
        <v>1291</v>
      </c>
      <c r="H102" s="8"/>
      <c r="I102" s="6"/>
      <c r="J102" s="8"/>
      <c r="K102" s="20"/>
    </row>
    <row r="103" spans="1:11" x14ac:dyDescent="0.25">
      <c r="A103" s="19"/>
      <c r="B103" s="21"/>
      <c r="C103" s="22"/>
      <c r="D103" s="6"/>
      <c r="E103" s="8" t="s">
        <v>66</v>
      </c>
      <c r="F103" s="8" t="s">
        <v>62</v>
      </c>
      <c r="G103" s="20" t="s">
        <v>1292</v>
      </c>
      <c r="H103" s="8"/>
      <c r="I103" s="6"/>
      <c r="J103" s="8"/>
      <c r="K103" s="20"/>
    </row>
    <row r="104" spans="1:11" x14ac:dyDescent="0.25">
      <c r="A104" s="19"/>
      <c r="B104" s="21"/>
      <c r="C104" s="22"/>
      <c r="D104" s="6"/>
      <c r="E104" s="8" t="s">
        <v>61</v>
      </c>
      <c r="F104" s="8" t="s">
        <v>62</v>
      </c>
      <c r="G104" s="20" t="s">
        <v>1297</v>
      </c>
      <c r="H104" s="8"/>
      <c r="I104" s="6"/>
      <c r="J104" s="8"/>
      <c r="K104" s="20"/>
    </row>
    <row r="105" spans="1:11" x14ac:dyDescent="0.25">
      <c r="A105" s="19"/>
      <c r="B105" s="21"/>
      <c r="C105" s="22"/>
      <c r="D105" s="6"/>
      <c r="E105" s="8" t="s">
        <v>66</v>
      </c>
      <c r="F105" s="8" t="s">
        <v>62</v>
      </c>
      <c r="G105" s="20" t="s">
        <v>1298</v>
      </c>
      <c r="H105" s="8"/>
      <c r="I105" s="6"/>
      <c r="J105" s="8"/>
      <c r="K105" s="20"/>
    </row>
    <row r="106" spans="1:11" x14ac:dyDescent="0.25">
      <c r="A106" s="19"/>
      <c r="B106" s="21"/>
      <c r="C106" s="22"/>
      <c r="D106" s="6"/>
      <c r="E106" s="8" t="s">
        <v>66</v>
      </c>
      <c r="F106" s="8" t="s">
        <v>1251</v>
      </c>
      <c r="G106" s="20" t="s">
        <v>1299</v>
      </c>
      <c r="H106" s="8"/>
      <c r="I106" s="6"/>
      <c r="J106" s="8"/>
      <c r="K106" s="20"/>
    </row>
    <row r="107" spans="1:11" x14ac:dyDescent="0.25">
      <c r="A107" s="19"/>
      <c r="B107" s="21"/>
      <c r="C107" s="22"/>
      <c r="D107" s="6"/>
      <c r="E107" s="8" t="s">
        <v>66</v>
      </c>
      <c r="F107" s="8" t="s">
        <v>1251</v>
      </c>
      <c r="G107" s="20" t="s">
        <v>1300</v>
      </c>
      <c r="H107" s="8"/>
      <c r="I107" s="6"/>
      <c r="J107" s="8"/>
      <c r="K107" s="20"/>
    </row>
    <row r="108" spans="1:11" x14ac:dyDescent="0.25">
      <c r="A108" s="19"/>
      <c r="B108" s="21"/>
      <c r="C108" s="22"/>
      <c r="D108" s="6"/>
      <c r="E108" s="8" t="s">
        <v>66</v>
      </c>
      <c r="F108" s="8" t="s">
        <v>62</v>
      </c>
      <c r="G108" s="20" t="s">
        <v>1301</v>
      </c>
      <c r="H108" s="8"/>
      <c r="I108" s="6"/>
      <c r="J108" s="8"/>
      <c r="K108" s="20"/>
    </row>
    <row r="109" spans="1:11" x14ac:dyDescent="0.25">
      <c r="A109" s="19"/>
      <c r="B109" s="21"/>
      <c r="C109" s="22"/>
      <c r="D109" s="6"/>
      <c r="E109" s="8" t="s">
        <v>61</v>
      </c>
      <c r="F109" s="8" t="s">
        <v>62</v>
      </c>
      <c r="G109" s="20" t="s">
        <v>1483</v>
      </c>
      <c r="H109" s="8"/>
      <c r="I109" s="6"/>
      <c r="J109" s="8"/>
      <c r="K109" s="20"/>
    </row>
    <row r="110" spans="1:11" x14ac:dyDescent="0.25">
      <c r="A110" s="19"/>
      <c r="B110" s="21"/>
      <c r="C110" s="22"/>
      <c r="D110" s="6"/>
      <c r="E110" s="8" t="s">
        <v>61</v>
      </c>
      <c r="F110" s="8" t="s">
        <v>62</v>
      </c>
      <c r="G110" s="20" t="s">
        <v>1484</v>
      </c>
      <c r="H110" s="8"/>
      <c r="I110" s="6"/>
      <c r="J110" s="8"/>
      <c r="K110" s="20"/>
    </row>
    <row r="111" spans="1:11" x14ac:dyDescent="0.25">
      <c r="A111" s="19"/>
      <c r="B111" s="21"/>
      <c r="C111" s="22"/>
      <c r="D111" s="6"/>
      <c r="E111" s="8" t="s">
        <v>61</v>
      </c>
      <c r="F111" s="8" t="s">
        <v>62</v>
      </c>
      <c r="G111" s="20" t="s">
        <v>1485</v>
      </c>
      <c r="H111" s="8"/>
      <c r="I111" s="6"/>
      <c r="J111" s="8"/>
      <c r="K111" s="20"/>
    </row>
    <row r="112" spans="1:11" x14ac:dyDescent="0.25">
      <c r="A112" s="19"/>
      <c r="B112" s="21"/>
      <c r="C112" s="22"/>
      <c r="D112" s="6"/>
      <c r="E112" s="8" t="s">
        <v>61</v>
      </c>
      <c r="F112" s="8" t="s">
        <v>62</v>
      </c>
      <c r="G112" s="20" t="s">
        <v>1486</v>
      </c>
      <c r="H112" s="8"/>
      <c r="I112" s="6"/>
      <c r="J112" s="8"/>
      <c r="K112" s="20"/>
    </row>
    <row r="113" spans="1:11" x14ac:dyDescent="0.25">
      <c r="A113" s="19"/>
      <c r="B113" s="21"/>
      <c r="C113" s="22"/>
      <c r="D113" s="6"/>
      <c r="E113" s="8" t="s">
        <v>66</v>
      </c>
      <c r="F113" s="8" t="s">
        <v>62</v>
      </c>
      <c r="G113" s="20" t="s">
        <v>1637</v>
      </c>
      <c r="H113" s="8"/>
      <c r="I113" s="6"/>
      <c r="J113" s="8"/>
      <c r="K113" s="20"/>
    </row>
    <row r="114" spans="1:11" x14ac:dyDescent="0.25">
      <c r="E114" s="8" t="s">
        <v>66</v>
      </c>
      <c r="F114" s="8" t="s">
        <v>1251</v>
      </c>
      <c r="G114" s="20" t="s">
        <v>1496</v>
      </c>
    </row>
    <row r="115" spans="1:11" x14ac:dyDescent="0.25">
      <c r="E115" s="8" t="s">
        <v>66</v>
      </c>
      <c r="F115" s="8" t="s">
        <v>62</v>
      </c>
      <c r="G115" s="20" t="s">
        <v>1497</v>
      </c>
    </row>
    <row r="116" spans="1:11" x14ac:dyDescent="0.25">
      <c r="E116" s="8" t="s">
        <v>66</v>
      </c>
      <c r="F116" s="8" t="s">
        <v>62</v>
      </c>
      <c r="G116" s="20" t="s">
        <v>1498</v>
      </c>
    </row>
    <row r="117" spans="1:11" x14ac:dyDescent="0.25">
      <c r="E117" s="8" t="s">
        <v>66</v>
      </c>
      <c r="F117" s="8" t="s">
        <v>62</v>
      </c>
      <c r="G117" s="20" t="s">
        <v>1499</v>
      </c>
    </row>
    <row r="118" spans="1:11" x14ac:dyDescent="0.25">
      <c r="E118" s="8" t="s">
        <v>66</v>
      </c>
      <c r="F118" s="8" t="s">
        <v>62</v>
      </c>
      <c r="G118" s="20" t="s">
        <v>1500</v>
      </c>
    </row>
    <row r="119" spans="1:11" x14ac:dyDescent="0.25">
      <c r="E119" s="8" t="s">
        <v>66</v>
      </c>
      <c r="F119" s="8" t="s">
        <v>1251</v>
      </c>
      <c r="G119" s="20" t="s">
        <v>2039</v>
      </c>
    </row>
    <row r="120" spans="1:11" x14ac:dyDescent="0.25">
      <c r="E120" s="8" t="s">
        <v>61</v>
      </c>
      <c r="F120" s="8" t="s">
        <v>62</v>
      </c>
      <c r="G120" s="20" t="s">
        <v>2041</v>
      </c>
    </row>
    <row r="121" spans="1:11" x14ac:dyDescent="0.25">
      <c r="E121" s="8" t="s">
        <v>66</v>
      </c>
      <c r="F121" s="8" t="s">
        <v>62</v>
      </c>
      <c r="G121" s="20" t="s">
        <v>2044</v>
      </c>
    </row>
  </sheetData>
  <mergeCells count="6">
    <mergeCell ref="A5:L5"/>
    <mergeCell ref="A7:L7"/>
    <mergeCell ref="A9:L9"/>
    <mergeCell ref="A10:C10"/>
    <mergeCell ref="E10:H10"/>
    <mergeCell ref="J10:L10"/>
  </mergeCells>
  <dataValidations count="1">
    <dataValidation type="list" allowBlank="1" showInputMessage="1" showErrorMessage="1" sqref="E13:E119 E121">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4"/>
  <sheetViews>
    <sheetView workbookViewId="0"/>
  </sheetViews>
  <sheetFormatPr defaultRowHeight="15" x14ac:dyDescent="0.25"/>
  <cols>
    <col min="1" max="1" width="52.5703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02" t="s">
        <v>0</v>
      </c>
      <c r="B5" s="202"/>
      <c r="C5" s="202"/>
      <c r="D5" s="202"/>
      <c r="E5" s="202"/>
      <c r="F5" s="202"/>
      <c r="G5" s="202"/>
      <c r="H5" s="202"/>
      <c r="I5" s="202"/>
      <c r="J5" s="202"/>
      <c r="K5" s="202"/>
      <c r="L5" s="202"/>
    </row>
    <row r="6" spans="1:12" x14ac:dyDescent="0.25">
      <c r="A6" s="1"/>
      <c r="B6" s="1"/>
      <c r="C6" s="1"/>
      <c r="D6" s="1"/>
      <c r="E6" s="1"/>
      <c r="F6" s="1"/>
      <c r="G6" s="1"/>
      <c r="H6" s="1"/>
      <c r="I6" s="1"/>
      <c r="J6" s="1"/>
      <c r="K6" s="1"/>
      <c r="L6" s="1"/>
    </row>
    <row r="7" spans="1:12" x14ac:dyDescent="0.25">
      <c r="A7" s="203" t="s">
        <v>1</v>
      </c>
      <c r="B7" s="203"/>
      <c r="C7" s="203"/>
      <c r="D7" s="203"/>
      <c r="E7" s="203"/>
      <c r="F7" s="203"/>
      <c r="G7" s="203"/>
      <c r="H7" s="203"/>
      <c r="I7" s="203"/>
      <c r="J7" s="203"/>
      <c r="K7" s="203"/>
      <c r="L7" s="203"/>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17" t="s">
        <v>36</v>
      </c>
      <c r="B10" s="206"/>
      <c r="C10" s="218"/>
    </row>
    <row r="11" spans="1:12" x14ac:dyDescent="0.25">
      <c r="A11" s="7" t="s">
        <v>37</v>
      </c>
      <c r="B11" s="7" t="s">
        <v>38</v>
      </c>
      <c r="C11" s="7" t="s">
        <v>39</v>
      </c>
    </row>
    <row r="12" spans="1:12" x14ac:dyDescent="0.25">
      <c r="A12" t="s">
        <v>60</v>
      </c>
      <c r="B12" s="23"/>
      <c r="C12" s="23"/>
    </row>
    <row r="13" spans="1:12" x14ac:dyDescent="0.25">
      <c r="A13" t="s">
        <v>63</v>
      </c>
      <c r="B13" s="23"/>
      <c r="C13" s="23"/>
    </row>
    <row r="14" spans="1:12" x14ac:dyDescent="0.25">
      <c r="A14" t="s">
        <v>65</v>
      </c>
      <c r="B14" s="23"/>
      <c r="C14" s="23"/>
    </row>
    <row r="15" spans="1:12" x14ac:dyDescent="0.25">
      <c r="A15" t="s">
        <v>67</v>
      </c>
      <c r="B15" s="23"/>
      <c r="C15" s="23"/>
    </row>
    <row r="16" spans="1:12" x14ac:dyDescent="0.25">
      <c r="A16" t="s">
        <v>68</v>
      </c>
      <c r="B16" s="23"/>
      <c r="C16" s="23"/>
    </row>
    <row r="17" spans="1:3" x14ac:dyDescent="0.25">
      <c r="A17" t="s">
        <v>69</v>
      </c>
      <c r="B17" s="23"/>
      <c r="C17" s="23"/>
    </row>
    <row r="18" spans="1:3" x14ac:dyDescent="0.25">
      <c r="A18" t="s">
        <v>70</v>
      </c>
      <c r="B18" s="23"/>
      <c r="C18" s="23"/>
    </row>
    <row r="19" spans="1:3" x14ac:dyDescent="0.25">
      <c r="A19" t="s">
        <v>71</v>
      </c>
      <c r="B19" s="23"/>
      <c r="C19" s="23"/>
    </row>
    <row r="20" spans="1:3" x14ac:dyDescent="0.25">
      <c r="A20" t="s">
        <v>72</v>
      </c>
      <c r="B20" s="23"/>
      <c r="C20" s="23"/>
    </row>
    <row r="21" spans="1:3" x14ac:dyDescent="0.25">
      <c r="A21" t="s">
        <v>73</v>
      </c>
      <c r="B21" s="23"/>
      <c r="C21" s="23"/>
    </row>
    <row r="22" spans="1:3" x14ac:dyDescent="0.25">
      <c r="A22" t="s">
        <v>78</v>
      </c>
      <c r="B22" s="23"/>
      <c r="C22" s="23"/>
    </row>
    <row r="23" spans="1:3" x14ac:dyDescent="0.25">
      <c r="A23" t="s">
        <v>79</v>
      </c>
      <c r="B23" s="23"/>
      <c r="C23" s="23"/>
    </row>
    <row r="24" spans="1:3" x14ac:dyDescent="0.25">
      <c r="A24" t="s">
        <v>76</v>
      </c>
      <c r="B24" s="23"/>
      <c r="C24" s="23"/>
    </row>
    <row r="25" spans="1:3" x14ac:dyDescent="0.25">
      <c r="A25" t="s">
        <v>77</v>
      </c>
      <c r="B25" s="23"/>
      <c r="C25" s="23"/>
    </row>
    <row r="26" spans="1:3" x14ac:dyDescent="0.25">
      <c r="A26" t="s">
        <v>103</v>
      </c>
      <c r="B26" s="23"/>
      <c r="C26" s="23"/>
    </row>
    <row r="27" spans="1:3" x14ac:dyDescent="0.25">
      <c r="A27" t="s">
        <v>107</v>
      </c>
      <c r="B27" s="23"/>
      <c r="C27" s="23"/>
    </row>
    <row r="28" spans="1:3" x14ac:dyDescent="0.25">
      <c r="A28" t="s">
        <v>109</v>
      </c>
      <c r="B28" s="23"/>
      <c r="C28" s="23"/>
    </row>
    <row r="29" spans="1:3" x14ac:dyDescent="0.25">
      <c r="A29" t="s">
        <v>111</v>
      </c>
      <c r="B29" s="23"/>
      <c r="C29" s="23"/>
    </row>
    <row r="30" spans="1:3" x14ac:dyDescent="0.25">
      <c r="A30" t="s">
        <v>113</v>
      </c>
      <c r="B30" s="23"/>
      <c r="C30" s="23"/>
    </row>
    <row r="31" spans="1:3" x14ac:dyDescent="0.25">
      <c r="A31" t="s">
        <v>115</v>
      </c>
      <c r="B31" s="23"/>
      <c r="C31" s="23"/>
    </row>
    <row r="32" spans="1:3" x14ac:dyDescent="0.25">
      <c r="A32" t="s">
        <v>117</v>
      </c>
      <c r="B32" s="23"/>
      <c r="C32" s="23"/>
    </row>
    <row r="33" spans="1:3" x14ac:dyDescent="0.25">
      <c r="A33" t="s">
        <v>119</v>
      </c>
      <c r="B33" s="23"/>
      <c r="C33" s="23"/>
    </row>
    <row r="34" spans="1:3" x14ac:dyDescent="0.25">
      <c r="A34" t="s">
        <v>120</v>
      </c>
      <c r="B34" s="23"/>
      <c r="C34" s="23"/>
    </row>
    <row r="35" spans="1:3" x14ac:dyDescent="0.25">
      <c r="A35" t="s">
        <v>122</v>
      </c>
      <c r="B35" s="23"/>
      <c r="C35" s="23"/>
    </row>
    <row r="36" spans="1:3" x14ac:dyDescent="0.25">
      <c r="A36" t="s">
        <v>123</v>
      </c>
      <c r="B36" s="23"/>
      <c r="C36" s="23"/>
    </row>
    <row r="37" spans="1:3" x14ac:dyDescent="0.25">
      <c r="A37" t="s">
        <v>124</v>
      </c>
      <c r="B37" s="23"/>
      <c r="C37" s="23"/>
    </row>
    <row r="38" spans="1:3" x14ac:dyDescent="0.25">
      <c r="A38" t="s">
        <v>126</v>
      </c>
      <c r="B38" s="23"/>
      <c r="C38" s="23"/>
    </row>
    <row r="39" spans="1:3" x14ac:dyDescent="0.25">
      <c r="A39" t="s">
        <v>128</v>
      </c>
      <c r="B39" s="23"/>
      <c r="C39" s="23"/>
    </row>
    <row r="40" spans="1:3" x14ac:dyDescent="0.25">
      <c r="A40" t="s">
        <v>129</v>
      </c>
      <c r="B40" s="23"/>
      <c r="C40" s="23"/>
    </row>
    <row r="41" spans="1:3" x14ac:dyDescent="0.25">
      <c r="A41" t="s">
        <v>130</v>
      </c>
      <c r="B41" s="23"/>
      <c r="C41" s="23"/>
    </row>
    <row r="42" spans="1:3" x14ac:dyDescent="0.25">
      <c r="A42" t="s">
        <v>121</v>
      </c>
      <c r="B42" s="23"/>
      <c r="C42" s="23"/>
    </row>
    <row r="43" spans="1:3" x14ac:dyDescent="0.25">
      <c r="A43" t="s">
        <v>118</v>
      </c>
      <c r="B43" s="23"/>
      <c r="C43" s="23"/>
    </row>
    <row r="44" spans="1:3" x14ac:dyDescent="0.25">
      <c r="A44" t="s">
        <v>131</v>
      </c>
      <c r="B44" s="23"/>
      <c r="C44" s="23"/>
    </row>
    <row r="45" spans="1:3" x14ac:dyDescent="0.25">
      <c r="A45" t="s">
        <v>132</v>
      </c>
      <c r="B45" s="23"/>
      <c r="C45" s="23"/>
    </row>
    <row r="46" spans="1:3" x14ac:dyDescent="0.25">
      <c r="A46" t="s">
        <v>148</v>
      </c>
      <c r="B46" s="23"/>
      <c r="C46" s="23"/>
    </row>
    <row r="47" spans="1:3" x14ac:dyDescent="0.25">
      <c r="A47" t="s">
        <v>147</v>
      </c>
      <c r="B47" s="23"/>
      <c r="C47" s="23"/>
    </row>
    <row r="48" spans="1:3" x14ac:dyDescent="0.25">
      <c r="A48" t="s">
        <v>133</v>
      </c>
      <c r="B48" s="23"/>
      <c r="C48" s="23"/>
    </row>
    <row r="49" spans="1:3" x14ac:dyDescent="0.25">
      <c r="A49" t="s">
        <v>125</v>
      </c>
      <c r="B49" s="23"/>
      <c r="C49" s="23"/>
    </row>
    <row r="50" spans="1:3" x14ac:dyDescent="0.25">
      <c r="A50" t="s">
        <v>134</v>
      </c>
      <c r="B50" s="23"/>
      <c r="C50" s="23"/>
    </row>
    <row r="51" spans="1:3" x14ac:dyDescent="0.25">
      <c r="A51" t="s">
        <v>127</v>
      </c>
      <c r="B51" s="23"/>
      <c r="C51" s="23"/>
    </row>
    <row r="52" spans="1:3" x14ac:dyDescent="0.25">
      <c r="A52" t="s">
        <v>135</v>
      </c>
      <c r="B52" s="23"/>
      <c r="C52" s="23"/>
    </row>
    <row r="53" spans="1:3" x14ac:dyDescent="0.25">
      <c r="A53" t="s">
        <v>1252</v>
      </c>
      <c r="B53" s="23"/>
      <c r="C53" s="23"/>
    </row>
    <row r="54" spans="1:3" x14ac:dyDescent="0.25">
      <c r="A54" t="s">
        <v>1253</v>
      </c>
      <c r="B54" s="23"/>
      <c r="C54" s="23"/>
    </row>
    <row r="55" spans="1:3" x14ac:dyDescent="0.25">
      <c r="A55" t="s">
        <v>1254</v>
      </c>
      <c r="B55" s="23"/>
      <c r="C55" s="23"/>
    </row>
    <row r="56" spans="1:3" x14ac:dyDescent="0.25">
      <c r="A56" t="s">
        <v>136</v>
      </c>
      <c r="B56" s="23"/>
      <c r="C56" s="23"/>
    </row>
    <row r="57" spans="1:3" x14ac:dyDescent="0.25">
      <c r="A57" t="s">
        <v>149</v>
      </c>
      <c r="B57" s="23"/>
      <c r="C57" s="23"/>
    </row>
    <row r="58" spans="1:3" x14ac:dyDescent="0.25">
      <c r="A58" t="s">
        <v>137</v>
      </c>
      <c r="B58" s="23"/>
      <c r="C58" s="23"/>
    </row>
    <row r="59" spans="1:3" x14ac:dyDescent="0.25">
      <c r="A59" t="s">
        <v>138</v>
      </c>
      <c r="B59" s="23"/>
      <c r="C59" s="23"/>
    </row>
    <row r="60" spans="1:3" x14ac:dyDescent="0.25">
      <c r="A60" t="s">
        <v>139</v>
      </c>
      <c r="B60" s="23"/>
      <c r="C60" s="23"/>
    </row>
    <row r="61" spans="1:3" x14ac:dyDescent="0.25">
      <c r="A61" t="s">
        <v>140</v>
      </c>
      <c r="B61" s="23"/>
      <c r="C61" s="23"/>
    </row>
    <row r="62" spans="1:3" x14ac:dyDescent="0.25">
      <c r="A62" t="s">
        <v>141</v>
      </c>
      <c r="B62" s="23"/>
      <c r="C62" s="23"/>
    </row>
    <row r="63" spans="1:3" x14ac:dyDescent="0.25">
      <c r="A63" t="s">
        <v>142</v>
      </c>
      <c r="B63" s="23"/>
      <c r="C63" s="23"/>
    </row>
    <row r="64" spans="1:3" x14ac:dyDescent="0.25">
      <c r="A64" t="s">
        <v>143</v>
      </c>
      <c r="B64" s="23"/>
      <c r="C64" s="23"/>
    </row>
    <row r="65" spans="1:3" x14ac:dyDescent="0.25">
      <c r="A65" t="s">
        <v>144</v>
      </c>
      <c r="B65" s="23"/>
      <c r="C65" s="23"/>
    </row>
    <row r="66" spans="1:3" x14ac:dyDescent="0.25">
      <c r="A66" t="s">
        <v>75</v>
      </c>
      <c r="B66" s="23"/>
      <c r="C66" s="23"/>
    </row>
    <row r="67" spans="1:3" x14ac:dyDescent="0.25">
      <c r="A67" t="s">
        <v>1257</v>
      </c>
      <c r="B67" s="23"/>
      <c r="C67" s="23"/>
    </row>
    <row r="68" spans="1:3" x14ac:dyDescent="0.25">
      <c r="A68" t="s">
        <v>1258</v>
      </c>
      <c r="B68" s="23"/>
      <c r="C68" s="23"/>
    </row>
    <row r="69" spans="1:3" x14ac:dyDescent="0.25">
      <c r="A69" t="s">
        <v>1259</v>
      </c>
      <c r="B69" s="23"/>
      <c r="C69" s="23"/>
    </row>
    <row r="70" spans="1:3" x14ac:dyDescent="0.25">
      <c r="A70" t="s">
        <v>1260</v>
      </c>
      <c r="B70" s="23"/>
      <c r="C70" s="23"/>
    </row>
    <row r="71" spans="1:3" x14ac:dyDescent="0.25">
      <c r="A71" t="s">
        <v>1261</v>
      </c>
      <c r="B71" s="23"/>
      <c r="C71" s="23"/>
    </row>
    <row r="72" spans="1:3" x14ac:dyDescent="0.25">
      <c r="A72" t="s">
        <v>1262</v>
      </c>
      <c r="B72" s="23"/>
      <c r="C72" s="23"/>
    </row>
    <row r="73" spans="1:3" x14ac:dyDescent="0.25">
      <c r="A73" t="s">
        <v>1263</v>
      </c>
      <c r="B73" s="23"/>
      <c r="C73" s="23"/>
    </row>
    <row r="74" spans="1:3" x14ac:dyDescent="0.25">
      <c r="A74" t="s">
        <v>1264</v>
      </c>
      <c r="B74" s="23"/>
      <c r="C74" s="23"/>
    </row>
    <row r="75" spans="1:3" x14ac:dyDescent="0.25">
      <c r="A75" t="s">
        <v>1265</v>
      </c>
      <c r="B75" s="23"/>
      <c r="C75" s="23"/>
    </row>
    <row r="76" spans="1:3" x14ac:dyDescent="0.25">
      <c r="A76" t="s">
        <v>1266</v>
      </c>
      <c r="B76" s="23"/>
      <c r="C76" s="23"/>
    </row>
    <row r="77" spans="1:3" x14ac:dyDescent="0.25">
      <c r="A77" t="s">
        <v>1267</v>
      </c>
      <c r="B77" s="23"/>
      <c r="C77" s="23"/>
    </row>
    <row r="78" spans="1:3" x14ac:dyDescent="0.25">
      <c r="A78" t="s">
        <v>1268</v>
      </c>
      <c r="B78" s="23"/>
      <c r="C78" s="23"/>
    </row>
    <row r="79" spans="1:3" x14ac:dyDescent="0.25">
      <c r="A79" t="s">
        <v>1269</v>
      </c>
      <c r="B79" s="23"/>
      <c r="C79" s="23"/>
    </row>
    <row r="80" spans="1:3" x14ac:dyDescent="0.25">
      <c r="A80" t="s">
        <v>1270</v>
      </c>
      <c r="B80" s="23"/>
      <c r="C80" s="23"/>
    </row>
    <row r="81" spans="1:3" x14ac:dyDescent="0.25">
      <c r="A81" t="s">
        <v>1271</v>
      </c>
      <c r="B81" s="23"/>
      <c r="C81" s="23"/>
    </row>
    <row r="82" spans="1:3" x14ac:dyDescent="0.25">
      <c r="A82" t="s">
        <v>145</v>
      </c>
      <c r="B82" s="23"/>
      <c r="C82" s="23"/>
    </row>
    <row r="83" spans="1:3" x14ac:dyDescent="0.25">
      <c r="A83" t="s">
        <v>146</v>
      </c>
      <c r="B83" s="23"/>
      <c r="C83" s="23"/>
    </row>
    <row r="84" spans="1:3" x14ac:dyDescent="0.25">
      <c r="A84" t="s">
        <v>151</v>
      </c>
      <c r="B84" s="23"/>
      <c r="C84" s="23"/>
    </row>
    <row r="85" spans="1:3" x14ac:dyDescent="0.25">
      <c r="A85" t="s">
        <v>150</v>
      </c>
      <c r="B85" s="23"/>
      <c r="C85" s="23"/>
    </row>
    <row r="86" spans="1:3" x14ac:dyDescent="0.25">
      <c r="A86" t="s">
        <v>104</v>
      </c>
      <c r="B86" s="23"/>
      <c r="C86" s="23"/>
    </row>
    <row r="87" spans="1:3" x14ac:dyDescent="0.25">
      <c r="A87" t="s">
        <v>108</v>
      </c>
      <c r="B87" s="23"/>
      <c r="C87" s="23"/>
    </row>
    <row r="88" spans="1:3" x14ac:dyDescent="0.25">
      <c r="A88" t="s">
        <v>110</v>
      </c>
      <c r="B88" s="23"/>
      <c r="C88" s="23"/>
    </row>
    <row r="89" spans="1:3" x14ac:dyDescent="0.25">
      <c r="A89" t="s">
        <v>112</v>
      </c>
      <c r="B89" s="23"/>
      <c r="C89" s="23"/>
    </row>
    <row r="90" spans="1:3" x14ac:dyDescent="0.25">
      <c r="A90" t="s">
        <v>114</v>
      </c>
      <c r="B90" s="23"/>
      <c r="C90" s="23"/>
    </row>
    <row r="91" spans="1:3" x14ac:dyDescent="0.25">
      <c r="A91" t="s">
        <v>116</v>
      </c>
      <c r="B91" s="23"/>
      <c r="C91" s="23"/>
    </row>
    <row r="92" spans="1:3" x14ac:dyDescent="0.25">
      <c r="A92" t="s">
        <v>1276</v>
      </c>
      <c r="B92" s="23"/>
      <c r="C92" s="23"/>
    </row>
    <row r="93" spans="1:3" x14ac:dyDescent="0.25">
      <c r="A93" t="s">
        <v>1277</v>
      </c>
      <c r="B93" s="23"/>
      <c r="C93" s="23"/>
    </row>
    <row r="94" spans="1:3" x14ac:dyDescent="0.25">
      <c r="A94" t="s">
        <v>1278</v>
      </c>
      <c r="B94" s="23"/>
      <c r="C94" s="23"/>
    </row>
    <row r="95" spans="1:3" x14ac:dyDescent="0.25">
      <c r="A95" t="s">
        <v>1279</v>
      </c>
      <c r="B95" s="23"/>
      <c r="C95" s="23"/>
    </row>
    <row r="96" spans="1:3" x14ac:dyDescent="0.25">
      <c r="A96" t="s">
        <v>1282</v>
      </c>
      <c r="B96" s="23"/>
      <c r="C96" s="23"/>
    </row>
    <row r="97" spans="1:3" x14ac:dyDescent="0.25">
      <c r="A97" t="s">
        <v>1283</v>
      </c>
      <c r="B97" s="23"/>
      <c r="C97" s="23"/>
    </row>
    <row r="98" spans="1:3" x14ac:dyDescent="0.25">
      <c r="A98" t="s">
        <v>1284</v>
      </c>
      <c r="B98" s="23"/>
      <c r="C98" s="23"/>
    </row>
    <row r="99" spans="1:3" x14ac:dyDescent="0.25">
      <c r="A99" t="s">
        <v>1285</v>
      </c>
      <c r="B99" s="23"/>
      <c r="C99" s="23"/>
    </row>
    <row r="100" spans="1:3" x14ac:dyDescent="0.25">
      <c r="A100" t="s">
        <v>1286</v>
      </c>
      <c r="B100" s="23"/>
      <c r="C100" s="23"/>
    </row>
    <row r="101" spans="1:3" x14ac:dyDescent="0.25">
      <c r="A101" t="s">
        <v>1287</v>
      </c>
      <c r="B101" s="23"/>
      <c r="C101" s="23"/>
    </row>
    <row r="102" spans="1:3" x14ac:dyDescent="0.25">
      <c r="A102" t="s">
        <v>1288</v>
      </c>
      <c r="B102" s="23"/>
      <c r="C102" s="23"/>
    </row>
    <row r="103" spans="1:3" x14ac:dyDescent="0.25">
      <c r="A103" t="s">
        <v>1289</v>
      </c>
      <c r="B103" s="23"/>
      <c r="C103" s="23"/>
    </row>
    <row r="104" spans="1:3" x14ac:dyDescent="0.25">
      <c r="A104" t="s">
        <v>1290</v>
      </c>
      <c r="B104" s="23"/>
      <c r="C104" s="23"/>
    </row>
    <row r="105" spans="1:3" x14ac:dyDescent="0.25">
      <c r="A105" t="s">
        <v>1291</v>
      </c>
      <c r="B105" s="23"/>
      <c r="C105" s="23"/>
    </row>
    <row r="106" spans="1:3" x14ac:dyDescent="0.25">
      <c r="A106" t="s">
        <v>1292</v>
      </c>
      <c r="B106" s="23"/>
      <c r="C106" s="23"/>
    </row>
    <row r="107" spans="1:3" x14ac:dyDescent="0.25">
      <c r="A107" t="s">
        <v>1297</v>
      </c>
      <c r="B107" s="23"/>
      <c r="C107" s="23"/>
    </row>
    <row r="108" spans="1:3" x14ac:dyDescent="0.25">
      <c r="A108" t="s">
        <v>1298</v>
      </c>
      <c r="B108" s="23"/>
      <c r="C108" s="23"/>
    </row>
    <row r="109" spans="1:3" x14ac:dyDescent="0.25">
      <c r="A109" t="s">
        <v>1299</v>
      </c>
      <c r="B109" s="23"/>
      <c r="C109" s="23"/>
    </row>
    <row r="110" spans="1:3" x14ac:dyDescent="0.25">
      <c r="A110" t="s">
        <v>1300</v>
      </c>
      <c r="B110" s="23"/>
      <c r="C110" s="23"/>
    </row>
    <row r="111" spans="1:3" x14ac:dyDescent="0.25">
      <c r="A111" t="s">
        <v>1301</v>
      </c>
      <c r="B111" s="23"/>
      <c r="C111" s="23"/>
    </row>
    <row r="112" spans="1:3" x14ac:dyDescent="0.25">
      <c r="A112" t="s">
        <v>1483</v>
      </c>
      <c r="B112" s="23"/>
      <c r="C112" s="23"/>
    </row>
    <row r="113" spans="1:3" x14ac:dyDescent="0.25">
      <c r="A113" t="s">
        <v>1484</v>
      </c>
      <c r="B113" s="23"/>
      <c r="C113" s="23"/>
    </row>
    <row r="114" spans="1:3" x14ac:dyDescent="0.25">
      <c r="A114" t="s">
        <v>1485</v>
      </c>
      <c r="B114" s="23"/>
      <c r="C114" s="23"/>
    </row>
    <row r="115" spans="1:3" x14ac:dyDescent="0.25">
      <c r="A115" t="s">
        <v>1486</v>
      </c>
      <c r="B115" s="23"/>
      <c r="C115" s="23"/>
    </row>
    <row r="116" spans="1:3" x14ac:dyDescent="0.25">
      <c r="A116" t="s">
        <v>1490</v>
      </c>
      <c r="B116" s="23"/>
      <c r="C116" s="23"/>
    </row>
    <row r="117" spans="1:3" x14ac:dyDescent="0.25">
      <c r="A117" t="s">
        <v>1492</v>
      </c>
      <c r="B117" s="23"/>
      <c r="C117" s="23"/>
    </row>
    <row r="118" spans="1:3" x14ac:dyDescent="0.25">
      <c r="A118" t="s">
        <v>1303</v>
      </c>
      <c r="B118" s="23"/>
      <c r="C118" s="23"/>
    </row>
    <row r="119" spans="1:3" x14ac:dyDescent="0.25">
      <c r="A119" t="s">
        <v>1304</v>
      </c>
      <c r="B119" s="23"/>
      <c r="C119" s="23"/>
    </row>
    <row r="120" spans="1:3" x14ac:dyDescent="0.25">
      <c r="A120" t="s">
        <v>1306</v>
      </c>
      <c r="B120" s="23"/>
      <c r="C120" s="23"/>
    </row>
    <row r="121" spans="1:3" x14ac:dyDescent="0.25">
      <c r="A121" t="s">
        <v>1493</v>
      </c>
      <c r="B121" s="23"/>
      <c r="C121" s="23"/>
    </row>
    <row r="122" spans="1:3" x14ac:dyDescent="0.25">
      <c r="A122" t="s">
        <v>1494</v>
      </c>
      <c r="B122" s="23"/>
      <c r="C122" s="23"/>
    </row>
    <row r="123" spans="1:3" x14ac:dyDescent="0.25">
      <c r="A123" t="s">
        <v>1495</v>
      </c>
      <c r="B123" s="23"/>
      <c r="C123" s="23"/>
    </row>
    <row r="124" spans="1:3" x14ac:dyDescent="0.25">
      <c r="A124" t="s">
        <v>1496</v>
      </c>
      <c r="B124" s="23"/>
      <c r="C124" s="23"/>
    </row>
    <row r="125" spans="1:3" x14ac:dyDescent="0.25">
      <c r="A125" t="s">
        <v>1497</v>
      </c>
      <c r="B125" s="23"/>
      <c r="C125" s="23"/>
    </row>
    <row r="126" spans="1:3" x14ac:dyDescent="0.25">
      <c r="A126" t="s">
        <v>1498</v>
      </c>
      <c r="B126" s="23"/>
      <c r="C126" s="23"/>
    </row>
    <row r="127" spans="1:3" x14ac:dyDescent="0.25">
      <c r="A127" t="s">
        <v>1499</v>
      </c>
      <c r="B127" s="23"/>
      <c r="C127" s="23"/>
    </row>
    <row r="128" spans="1:3" x14ac:dyDescent="0.25">
      <c r="A128" t="s">
        <v>1500</v>
      </c>
      <c r="B128" s="23"/>
      <c r="C128" s="23"/>
    </row>
    <row r="129" spans="1:3" x14ac:dyDescent="0.25">
      <c r="A129" t="s">
        <v>1636</v>
      </c>
      <c r="B129" s="23"/>
      <c r="C129" s="23"/>
    </row>
    <row r="130" spans="1:3" x14ac:dyDescent="0.25">
      <c r="A130" t="s">
        <v>1637</v>
      </c>
      <c r="B130" s="23"/>
      <c r="C130" s="23"/>
    </row>
    <row r="131" spans="1:3" x14ac:dyDescent="0.25">
      <c r="A131" t="s">
        <v>2039</v>
      </c>
      <c r="B131" s="23"/>
      <c r="C131" s="23"/>
    </row>
    <row r="132" spans="1:3" x14ac:dyDescent="0.25">
      <c r="A132" t="s">
        <v>2041</v>
      </c>
      <c r="B132" s="23"/>
      <c r="C132" s="23"/>
    </row>
    <row r="133" spans="1:3" x14ac:dyDescent="0.25">
      <c r="A133" t="s">
        <v>2043</v>
      </c>
      <c r="B133" s="23"/>
      <c r="C133" s="23"/>
    </row>
    <row r="134" spans="1:3" x14ac:dyDescent="0.25">
      <c r="A134" t="s">
        <v>2044</v>
      </c>
      <c r="B134" s="23"/>
      <c r="C134" s="23"/>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v>0</v>
      </c>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20"/>
      <c r="D15" s="221" t="s">
        <v>45</v>
      </c>
      <c r="E15" s="222"/>
      <c r="F15" s="186" t="s">
        <v>46</v>
      </c>
    </row>
    <row r="16" spans="1:6" x14ac:dyDescent="0.25">
      <c r="A16" s="189" t="s">
        <v>47</v>
      </c>
      <c r="B16" s="190" t="s">
        <v>48</v>
      </c>
      <c r="C16" s="191" t="s">
        <v>49</v>
      </c>
      <c r="D16" s="193" t="s">
        <v>50</v>
      </c>
      <c r="E16" s="192" t="s">
        <v>51</v>
      </c>
      <c r="F16" s="13" t="s">
        <v>47</v>
      </c>
    </row>
    <row r="17" spans="1:6" x14ac:dyDescent="0.25">
      <c r="A17" s="24" t="s">
        <v>102</v>
      </c>
      <c r="B17" s="14" t="s">
        <v>61</v>
      </c>
      <c r="C17" s="15">
        <v>2</v>
      </c>
      <c r="D17" s="138" t="s">
        <v>60</v>
      </c>
      <c r="E17" s="17" t="s">
        <v>60</v>
      </c>
      <c r="F17" s="18" t="s">
        <v>105</v>
      </c>
    </row>
    <row r="18" spans="1:6" x14ac:dyDescent="0.25">
      <c r="A18" s="24" t="s">
        <v>102</v>
      </c>
      <c r="B18" s="14" t="s">
        <v>2064</v>
      </c>
      <c r="C18" s="15">
        <v>184</v>
      </c>
      <c r="D18" s="138" t="s">
        <v>63</v>
      </c>
      <c r="E18" s="17" t="s">
        <v>63</v>
      </c>
      <c r="F18" s="18"/>
    </row>
    <row r="19" spans="1:6" x14ac:dyDescent="0.25">
      <c r="A19" s="24" t="s">
        <v>102</v>
      </c>
      <c r="B19" s="14" t="s">
        <v>106</v>
      </c>
      <c r="C19" s="15">
        <v>10</v>
      </c>
      <c r="D19" s="138" t="s">
        <v>103</v>
      </c>
      <c r="E19" s="17" t="s">
        <v>121</v>
      </c>
      <c r="F19" s="18"/>
    </row>
    <row r="20" spans="1:6" x14ac:dyDescent="0.25">
      <c r="A20" s="132"/>
      <c r="B20" s="14"/>
      <c r="C20" s="15"/>
      <c r="D20" s="138" t="s">
        <v>107</v>
      </c>
      <c r="E20" s="17" t="s">
        <v>118</v>
      </c>
      <c r="F20" s="18"/>
    </row>
    <row r="21" spans="1:6" x14ac:dyDescent="0.25">
      <c r="A21" s="14"/>
      <c r="B21" s="14"/>
      <c r="C21" s="15"/>
      <c r="D21" s="138" t="s">
        <v>109</v>
      </c>
      <c r="E21" s="17" t="s">
        <v>104</v>
      </c>
      <c r="F21" s="18"/>
    </row>
    <row r="22" spans="1:6" x14ac:dyDescent="0.25">
      <c r="A22" s="14"/>
      <c r="B22" s="14"/>
      <c r="C22" s="15"/>
      <c r="D22" s="138" t="s">
        <v>111</v>
      </c>
      <c r="E22" s="17" t="s">
        <v>108</v>
      </c>
      <c r="F22" s="18"/>
    </row>
    <row r="23" spans="1:6" x14ac:dyDescent="0.25">
      <c r="A23" s="14"/>
      <c r="B23" s="14"/>
      <c r="C23" s="15"/>
      <c r="D23" s="138" t="s">
        <v>113</v>
      </c>
      <c r="E23" s="17" t="s">
        <v>110</v>
      </c>
      <c r="F23" s="18"/>
    </row>
    <row r="24" spans="1:6" x14ac:dyDescent="0.25">
      <c r="A24" s="14"/>
      <c r="B24" s="14"/>
      <c r="C24" s="15"/>
      <c r="D24" s="138" t="s">
        <v>115</v>
      </c>
      <c r="E24" s="17" t="s">
        <v>112</v>
      </c>
      <c r="F24" s="18"/>
    </row>
    <row r="25" spans="1:6" x14ac:dyDescent="0.25">
      <c r="A25" s="14"/>
      <c r="B25" s="14"/>
      <c r="C25" s="15"/>
      <c r="D25" s="138" t="s">
        <v>117</v>
      </c>
      <c r="E25" s="17" t="s">
        <v>114</v>
      </c>
      <c r="F25" s="18"/>
    </row>
    <row r="26" spans="1:6" x14ac:dyDescent="0.25">
      <c r="A26" s="14"/>
      <c r="B26" s="14"/>
      <c r="C26" s="15"/>
      <c r="D26" s="138" t="s">
        <v>119</v>
      </c>
      <c r="E26" s="17" t="s">
        <v>116</v>
      </c>
      <c r="F26" s="18"/>
    </row>
    <row r="27" spans="1:6" x14ac:dyDescent="0.25">
      <c r="A27" s="14"/>
      <c r="B27" s="14"/>
      <c r="C27" s="15"/>
      <c r="D27" s="138" t="s">
        <v>120</v>
      </c>
      <c r="E27" s="17" t="s">
        <v>1286</v>
      </c>
      <c r="F27" s="18"/>
    </row>
    <row r="28" spans="1:6" x14ac:dyDescent="0.25">
      <c r="A28" s="14"/>
      <c r="B28" s="14"/>
      <c r="C28" s="15"/>
      <c r="D28" s="138" t="s">
        <v>122</v>
      </c>
      <c r="E28" s="17" t="s">
        <v>1287</v>
      </c>
      <c r="F28" s="18"/>
    </row>
    <row r="29" spans="1:6" x14ac:dyDescent="0.25">
      <c r="A29" s="14"/>
      <c r="B29" s="14"/>
      <c r="C29" s="15"/>
      <c r="D29" s="138" t="s">
        <v>123</v>
      </c>
      <c r="E29" s="17" t="s">
        <v>1276</v>
      </c>
      <c r="F29" s="18"/>
    </row>
    <row r="30" spans="1:6" x14ac:dyDescent="0.25">
      <c r="A30" s="14"/>
      <c r="B30" s="14"/>
      <c r="C30" s="15"/>
      <c r="D30" s="138" t="s">
        <v>124</v>
      </c>
      <c r="E30" s="17" t="s">
        <v>1277</v>
      </c>
      <c r="F30" s="18"/>
    </row>
    <row r="31" spans="1:6" x14ac:dyDescent="0.25">
      <c r="A31" s="14"/>
      <c r="B31" s="14"/>
      <c r="C31" s="15"/>
      <c r="D31" s="138" t="s">
        <v>126</v>
      </c>
      <c r="E31" s="64" t="s">
        <v>125</v>
      </c>
      <c r="F31" s="18"/>
    </row>
    <row r="32" spans="1:6" x14ac:dyDescent="0.25">
      <c r="A32" s="14"/>
      <c r="B32" s="14"/>
      <c r="C32" s="15"/>
      <c r="D32" s="138" t="s">
        <v>128</v>
      </c>
      <c r="E32" s="64" t="s">
        <v>127</v>
      </c>
      <c r="F32" s="18"/>
    </row>
    <row r="33" spans="1:6" x14ac:dyDescent="0.25">
      <c r="A33" s="14"/>
      <c r="B33" s="14"/>
      <c r="C33" s="15"/>
      <c r="D33" s="138" t="s">
        <v>2040</v>
      </c>
      <c r="E33" s="17"/>
      <c r="F33" s="18"/>
    </row>
    <row r="34" spans="1:6" x14ac:dyDescent="0.25">
      <c r="A34" s="14"/>
      <c r="B34" s="14"/>
      <c r="C34" s="15"/>
      <c r="D34" s="138" t="s">
        <v>130</v>
      </c>
      <c r="E34" s="17"/>
      <c r="F34" s="18"/>
    </row>
    <row r="35" spans="1:6" x14ac:dyDescent="0.25">
      <c r="A35" s="14"/>
      <c r="B35" s="14"/>
      <c r="C35" s="15"/>
      <c r="D35" s="138" t="s">
        <v>121</v>
      </c>
      <c r="E35" s="17"/>
      <c r="F35" s="18"/>
    </row>
    <row r="36" spans="1:6" x14ac:dyDescent="0.25">
      <c r="A36" s="14"/>
      <c r="B36" s="14"/>
      <c r="C36" s="15"/>
      <c r="D36" s="138" t="s">
        <v>118</v>
      </c>
      <c r="E36" s="17"/>
      <c r="F36" s="18"/>
    </row>
    <row r="37" spans="1:6" x14ac:dyDescent="0.25">
      <c r="A37" s="14"/>
      <c r="B37" s="14"/>
      <c r="C37" s="15"/>
      <c r="D37" s="138" t="s">
        <v>131</v>
      </c>
      <c r="E37" s="17"/>
      <c r="F37" s="18"/>
    </row>
    <row r="38" spans="1:6" x14ac:dyDescent="0.25">
      <c r="A38" s="14"/>
      <c r="B38" s="14"/>
      <c r="C38" s="15"/>
      <c r="D38" s="138" t="s">
        <v>132</v>
      </c>
      <c r="E38" s="17"/>
      <c r="F38" s="18"/>
    </row>
    <row r="39" spans="1:6" x14ac:dyDescent="0.25">
      <c r="A39" s="14"/>
      <c r="B39" s="14"/>
      <c r="C39" s="15"/>
      <c r="D39" s="138" t="s">
        <v>148</v>
      </c>
      <c r="E39" s="17"/>
      <c r="F39" s="18"/>
    </row>
    <row r="40" spans="1:6" x14ac:dyDescent="0.25">
      <c r="A40" s="14"/>
      <c r="B40" s="14"/>
      <c r="C40" s="15"/>
      <c r="D40" s="138" t="s">
        <v>147</v>
      </c>
      <c r="E40" s="17"/>
      <c r="F40" s="18"/>
    </row>
    <row r="41" spans="1:6" x14ac:dyDescent="0.25">
      <c r="A41" s="14"/>
      <c r="B41" s="14"/>
      <c r="C41" s="15"/>
      <c r="D41" s="138" t="s">
        <v>133</v>
      </c>
      <c r="E41" s="17"/>
      <c r="F41" s="18"/>
    </row>
    <row r="42" spans="1:6" x14ac:dyDescent="0.25">
      <c r="A42" s="14"/>
      <c r="B42" s="14"/>
      <c r="C42" s="15"/>
      <c r="D42" s="138" t="s">
        <v>125</v>
      </c>
      <c r="E42" s="17"/>
      <c r="F42" s="18"/>
    </row>
    <row r="43" spans="1:6" x14ac:dyDescent="0.25">
      <c r="A43" s="14"/>
      <c r="B43" s="14"/>
      <c r="C43" s="15"/>
      <c r="D43" s="138" t="s">
        <v>134</v>
      </c>
      <c r="E43" s="17"/>
      <c r="F43" s="18"/>
    </row>
    <row r="44" spans="1:6" x14ac:dyDescent="0.25">
      <c r="A44" s="14"/>
      <c r="B44" s="14"/>
      <c r="C44" s="15"/>
      <c r="D44" s="138" t="s">
        <v>127</v>
      </c>
      <c r="E44" s="17"/>
      <c r="F44" s="18"/>
    </row>
    <row r="45" spans="1:6" x14ac:dyDescent="0.25">
      <c r="A45" s="14"/>
      <c r="B45" s="14"/>
      <c r="C45" s="15"/>
      <c r="D45" s="138" t="s">
        <v>135</v>
      </c>
      <c r="E45" s="17"/>
      <c r="F45" s="18"/>
    </row>
    <row r="46" spans="1:6" x14ac:dyDescent="0.25">
      <c r="A46" s="14"/>
      <c r="B46" s="14"/>
      <c r="C46" s="15"/>
      <c r="D46" s="138" t="s">
        <v>136</v>
      </c>
      <c r="E46" s="17"/>
      <c r="F46" s="18"/>
    </row>
    <row r="47" spans="1:6" x14ac:dyDescent="0.25">
      <c r="A47" s="14"/>
      <c r="B47" s="14"/>
      <c r="C47" s="15"/>
      <c r="D47" s="138" t="s">
        <v>149</v>
      </c>
      <c r="E47" s="17"/>
      <c r="F47" s="18"/>
    </row>
    <row r="48" spans="1:6" x14ac:dyDescent="0.25">
      <c r="A48" s="14"/>
      <c r="B48" s="14"/>
      <c r="C48" s="15"/>
      <c r="D48" s="138" t="s">
        <v>137</v>
      </c>
      <c r="E48" s="17"/>
      <c r="F48" s="18"/>
    </row>
    <row r="49" spans="1:6" x14ac:dyDescent="0.25">
      <c r="A49" s="14"/>
      <c r="B49" s="14"/>
      <c r="C49" s="15"/>
      <c r="D49" s="138" t="s">
        <v>138</v>
      </c>
      <c r="E49" s="17"/>
      <c r="F49" s="18"/>
    </row>
    <row r="50" spans="1:6" x14ac:dyDescent="0.25">
      <c r="A50" s="14"/>
      <c r="B50" s="14"/>
      <c r="C50" s="15"/>
      <c r="D50" s="138" t="s">
        <v>1297</v>
      </c>
      <c r="E50" s="17"/>
      <c r="F50" s="18"/>
    </row>
    <row r="51" spans="1:6" x14ac:dyDescent="0.25">
      <c r="A51" s="14"/>
      <c r="B51" s="14"/>
      <c r="C51" s="15"/>
      <c r="D51" s="138" t="s">
        <v>140</v>
      </c>
      <c r="E51" s="17"/>
      <c r="F51" s="18"/>
    </row>
    <row r="52" spans="1:6" x14ac:dyDescent="0.25">
      <c r="A52" s="14"/>
      <c r="B52" s="14"/>
      <c r="C52" s="15"/>
      <c r="D52" s="138" t="s">
        <v>141</v>
      </c>
      <c r="E52" s="17"/>
      <c r="F52" s="18"/>
    </row>
    <row r="53" spans="1:6" x14ac:dyDescent="0.25">
      <c r="A53" s="14"/>
      <c r="B53" s="14"/>
      <c r="C53" s="15"/>
      <c r="D53" s="138" t="s">
        <v>142</v>
      </c>
      <c r="E53" s="17"/>
      <c r="F53" s="18"/>
    </row>
    <row r="54" spans="1:6" x14ac:dyDescent="0.25">
      <c r="A54" s="14"/>
      <c r="B54" s="14"/>
      <c r="C54" s="15"/>
      <c r="D54" s="138" t="s">
        <v>143</v>
      </c>
      <c r="E54" s="17"/>
      <c r="F54" s="18"/>
    </row>
    <row r="55" spans="1:6" x14ac:dyDescent="0.25">
      <c r="A55" s="14"/>
      <c r="B55" s="14"/>
      <c r="C55" s="15"/>
      <c r="D55" s="138" t="s">
        <v>144</v>
      </c>
      <c r="E55" s="17"/>
      <c r="F55" s="18"/>
    </row>
    <row r="56" spans="1:6" x14ac:dyDescent="0.25">
      <c r="A56" s="14"/>
      <c r="B56" s="14"/>
      <c r="C56" s="15"/>
      <c r="D56" s="138" t="s">
        <v>75</v>
      </c>
      <c r="E56" s="17"/>
      <c r="F56" s="18"/>
    </row>
    <row r="57" spans="1:6" x14ac:dyDescent="0.25">
      <c r="A57" s="14"/>
      <c r="B57" s="14"/>
      <c r="C57" s="15"/>
      <c r="D57" s="138" t="s">
        <v>145</v>
      </c>
      <c r="E57" s="17"/>
      <c r="F57" s="18"/>
    </row>
    <row r="58" spans="1:6" x14ac:dyDescent="0.25">
      <c r="A58" s="14"/>
      <c r="B58" s="14"/>
      <c r="C58" s="15"/>
      <c r="D58" s="138" t="s">
        <v>146</v>
      </c>
      <c r="E58" s="17"/>
      <c r="F58" s="18"/>
    </row>
    <row r="59" spans="1:6" x14ac:dyDescent="0.25">
      <c r="A59" s="14"/>
      <c r="B59" s="14"/>
      <c r="C59" s="15"/>
      <c r="D59" s="138" t="s">
        <v>151</v>
      </c>
      <c r="E59" s="17"/>
      <c r="F59" s="18"/>
    </row>
    <row r="60" spans="1:6" x14ac:dyDescent="0.25">
      <c r="A60" s="14"/>
      <c r="B60" s="14"/>
      <c r="C60" s="15"/>
      <c r="D60" s="138" t="s">
        <v>150</v>
      </c>
      <c r="E60" s="17"/>
      <c r="F60" s="18"/>
    </row>
    <row r="61" spans="1:6" x14ac:dyDescent="0.25">
      <c r="A61" s="14"/>
      <c r="B61" s="14"/>
      <c r="C61" s="15"/>
      <c r="D61" s="138" t="s">
        <v>1286</v>
      </c>
      <c r="E61" s="17"/>
      <c r="F61" s="18"/>
    </row>
    <row r="62" spans="1:6" x14ac:dyDescent="0.25">
      <c r="A62" s="14"/>
      <c r="B62" s="14"/>
      <c r="C62" s="15"/>
      <c r="D62" s="138" t="s">
        <v>1287</v>
      </c>
      <c r="E62" s="17"/>
      <c r="F62" s="18"/>
    </row>
    <row r="63" spans="1:6" x14ac:dyDescent="0.25">
      <c r="A63" s="14"/>
      <c r="B63" s="14"/>
      <c r="C63" s="15"/>
      <c r="D63" s="138" t="s">
        <v>1288</v>
      </c>
      <c r="E63" s="17"/>
      <c r="F63" s="18"/>
    </row>
    <row r="64" spans="1:6" x14ac:dyDescent="0.25">
      <c r="A64" s="14"/>
      <c r="B64" s="14"/>
      <c r="C64" s="15"/>
      <c r="D64" s="138" t="s">
        <v>1289</v>
      </c>
      <c r="E64" s="17"/>
      <c r="F64" s="18"/>
    </row>
    <row r="65" spans="1:6" x14ac:dyDescent="0.25">
      <c r="A65" s="14"/>
      <c r="B65" s="14"/>
      <c r="C65" s="15"/>
      <c r="D65" s="138" t="s">
        <v>1276</v>
      </c>
      <c r="E65" s="17"/>
      <c r="F65" s="18"/>
    </row>
    <row r="66" spans="1:6" x14ac:dyDescent="0.25">
      <c r="A66" s="14"/>
      <c r="B66" s="14"/>
      <c r="C66" s="15"/>
      <c r="D66" s="138" t="s">
        <v>1277</v>
      </c>
      <c r="E66" s="17"/>
      <c r="F66" s="18"/>
    </row>
    <row r="67" spans="1:6" x14ac:dyDescent="0.25">
      <c r="A67" s="14"/>
      <c r="B67" s="14"/>
      <c r="C67" s="15"/>
      <c r="D67" s="138" t="s">
        <v>1278</v>
      </c>
      <c r="E67" s="17"/>
      <c r="F67" s="18"/>
    </row>
    <row r="68" spans="1:6" x14ac:dyDescent="0.25">
      <c r="A68" s="14"/>
      <c r="B68" s="14"/>
      <c r="C68" s="15"/>
      <c r="D68" s="138" t="s">
        <v>1279</v>
      </c>
      <c r="E68" s="17"/>
      <c r="F68" s="18"/>
    </row>
    <row r="69" spans="1:6" x14ac:dyDescent="0.25">
      <c r="A69" s="14"/>
      <c r="B69" s="14"/>
      <c r="C69" s="15"/>
      <c r="D69" s="138" t="s">
        <v>1300</v>
      </c>
      <c r="E69" s="17"/>
      <c r="F69" s="18"/>
    </row>
    <row r="70" spans="1:6" x14ac:dyDescent="0.25">
      <c r="A70" s="14"/>
      <c r="B70" s="14"/>
      <c r="C70" s="15"/>
      <c r="D70" s="138" t="s">
        <v>1299</v>
      </c>
      <c r="E70" s="17"/>
      <c r="F70" s="18"/>
    </row>
    <row r="71" spans="1:6" x14ac:dyDescent="0.25">
      <c r="A71" s="14"/>
      <c r="B71" s="14"/>
      <c r="C71" s="15"/>
      <c r="D71" s="138" t="s">
        <v>1496</v>
      </c>
      <c r="E71" s="17"/>
      <c r="F71" s="18"/>
    </row>
    <row r="72" spans="1:6" x14ac:dyDescent="0.25">
      <c r="A72" s="14"/>
      <c r="B72" s="14"/>
      <c r="C72" s="15"/>
      <c r="D72" s="138" t="s">
        <v>1497</v>
      </c>
      <c r="E72" s="17"/>
      <c r="F72" s="18"/>
    </row>
    <row r="73" spans="1:6" x14ac:dyDescent="0.25">
      <c r="A73" s="14"/>
      <c r="B73" s="14"/>
      <c r="C73" s="15"/>
      <c r="D73" s="138" t="s">
        <v>1498</v>
      </c>
      <c r="E73" s="17"/>
      <c r="F73" s="18"/>
    </row>
    <row r="74" spans="1:6" x14ac:dyDescent="0.25">
      <c r="A74" s="14"/>
      <c r="B74" s="14"/>
      <c r="C74" s="15"/>
      <c r="D74" s="138" t="s">
        <v>1499</v>
      </c>
      <c r="E74" s="17"/>
      <c r="F74" s="18"/>
    </row>
    <row r="75" spans="1:6" x14ac:dyDescent="0.25">
      <c r="A75" s="14"/>
      <c r="B75" s="14"/>
      <c r="C75" s="15"/>
      <c r="D75" s="138" t="s">
        <v>1500</v>
      </c>
      <c r="E75" s="17"/>
      <c r="F75" s="18"/>
    </row>
    <row r="76" spans="1:6" x14ac:dyDescent="0.25">
      <c r="A76" s="14"/>
      <c r="B76" s="14"/>
      <c r="C76" s="15"/>
      <c r="D76" s="16" t="s">
        <v>2039</v>
      </c>
      <c r="E76" s="17"/>
      <c r="F76" s="18"/>
    </row>
    <row r="77" spans="1:6" x14ac:dyDescent="0.25">
      <c r="A77" s="14"/>
      <c r="B77" s="14"/>
      <c r="C77" s="15"/>
      <c r="D77" s="16" t="s">
        <v>2041</v>
      </c>
      <c r="E77" s="17"/>
      <c r="F77" s="18"/>
    </row>
    <row r="78" spans="1:6" x14ac:dyDescent="0.25">
      <c r="A78" s="14"/>
      <c r="B78" s="14"/>
      <c r="C78" s="15"/>
      <c r="D78" s="16" t="s">
        <v>2044</v>
      </c>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59"/>
      <c r="F311" s="18"/>
    </row>
    <row r="312" spans="1:6" x14ac:dyDescent="0.25">
      <c r="A312" s="14"/>
      <c r="B312" s="14"/>
      <c r="C312" s="15"/>
      <c r="D312" s="16"/>
      <c r="E312" s="59"/>
      <c r="F312" s="18"/>
    </row>
    <row r="313" spans="1:6" x14ac:dyDescent="0.25">
      <c r="A313" s="14"/>
      <c r="B313" s="14"/>
      <c r="C313" s="15"/>
      <c r="D313" s="16"/>
      <c r="E313" s="59"/>
      <c r="F313" s="18"/>
    </row>
    <row r="314" spans="1:6" x14ac:dyDescent="0.25">
      <c r="A314" s="14"/>
      <c r="B314" s="14"/>
      <c r="C314" s="15"/>
      <c r="D314" s="58"/>
      <c r="E314" s="59"/>
      <c r="F314" s="18"/>
    </row>
    <row r="315" spans="1:6" x14ac:dyDescent="0.25">
      <c r="A315" s="14"/>
      <c r="B315" s="14"/>
      <c r="C315" s="15"/>
      <c r="D315" s="58"/>
      <c r="E315" s="59"/>
      <c r="F315" s="18"/>
    </row>
    <row r="316" spans="1:6" x14ac:dyDescent="0.25">
      <c r="A316" s="14"/>
      <c r="B316" s="14"/>
      <c r="C316" s="15"/>
      <c r="D316" s="58"/>
      <c r="E316" s="59"/>
      <c r="F316" s="18"/>
    </row>
    <row r="317" spans="1:6" x14ac:dyDescent="0.25">
      <c r="A317" s="14"/>
      <c r="B317" s="14"/>
      <c r="C317" s="15"/>
      <c r="D317" s="58"/>
      <c r="E317" s="59"/>
      <c r="F317" s="18"/>
    </row>
    <row r="318" spans="1:6" x14ac:dyDescent="0.25">
      <c r="A318" s="56"/>
      <c r="B318" s="56"/>
      <c r="C318" s="57"/>
      <c r="D318" s="58"/>
      <c r="E318" s="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63"/>
      <c r="E325" s="64"/>
      <c r="F325" s="60"/>
    </row>
    <row r="326" spans="1:6" x14ac:dyDescent="0.25">
      <c r="A326" s="56"/>
      <c r="B326" s="56"/>
      <c r="C326" s="57"/>
      <c r="D326" s="63"/>
      <c r="E326" s="64"/>
      <c r="F326" s="60"/>
    </row>
    <row r="327" spans="1:6" x14ac:dyDescent="0.25">
      <c r="A327" s="56"/>
      <c r="B327" s="56"/>
      <c r="C327" s="57"/>
      <c r="D327" s="63"/>
      <c r="E327" s="64"/>
      <c r="F327" s="60"/>
    </row>
    <row r="328" spans="1:6" x14ac:dyDescent="0.25">
      <c r="A328" s="61"/>
      <c r="B328" s="61"/>
      <c r="C328" s="62"/>
      <c r="D328" s="63"/>
      <c r="E328" s="64"/>
      <c r="F328" s="65"/>
    </row>
    <row r="329" spans="1:6" x14ac:dyDescent="0.25">
      <c r="A329" s="61"/>
      <c r="B329" s="61"/>
      <c r="C329" s="62"/>
      <c r="D329" s="63"/>
      <c r="E329" s="64"/>
      <c r="F329" s="65"/>
    </row>
    <row r="330" spans="1:6" x14ac:dyDescent="0.25">
      <c r="A330" s="61"/>
      <c r="B330" s="61"/>
      <c r="C330" s="62"/>
      <c r="D330" s="63"/>
      <c r="E330" s="64"/>
      <c r="F330" s="65"/>
    </row>
    <row r="331" spans="1:6" x14ac:dyDescent="0.25">
      <c r="A331" s="61"/>
      <c r="B331" s="61"/>
      <c r="C331" s="62"/>
      <c r="D331" s="63"/>
      <c r="E331" s="64"/>
      <c r="F331" s="65"/>
    </row>
    <row r="332" spans="1:6" x14ac:dyDescent="0.25">
      <c r="A332" s="61"/>
      <c r="B332" s="61"/>
      <c r="C332" s="62"/>
      <c r="D332" s="63"/>
      <c r="E332" s="64"/>
      <c r="F332" s="65"/>
    </row>
    <row r="333" spans="1:6" x14ac:dyDescent="0.25">
      <c r="A333" s="61"/>
      <c r="B333" s="61"/>
      <c r="C333" s="62"/>
      <c r="D333" s="63"/>
      <c r="E333" s="64"/>
      <c r="F333" s="65"/>
    </row>
    <row r="334" spans="1:6" x14ac:dyDescent="0.25">
      <c r="A334" s="61"/>
      <c r="B334" s="61"/>
      <c r="C334" s="62"/>
      <c r="D334" s="63"/>
      <c r="E334" s="64"/>
      <c r="F334" s="65"/>
    </row>
    <row r="335" spans="1:6" x14ac:dyDescent="0.25">
      <c r="A335" s="61"/>
      <c r="B335" s="61"/>
      <c r="C335" s="62"/>
      <c r="D335" s="63"/>
      <c r="E335" s="64"/>
      <c r="F335" s="65"/>
    </row>
    <row r="336" spans="1:6" x14ac:dyDescent="0.25">
      <c r="A336" s="61"/>
      <c r="B336" s="61"/>
      <c r="C336" s="62"/>
      <c r="D336" s="63"/>
      <c r="E336" s="64"/>
      <c r="F336" s="65"/>
    </row>
    <row r="337" spans="1:6" x14ac:dyDescent="0.25">
      <c r="A337" s="61"/>
      <c r="B337" s="61"/>
      <c r="C337" s="62"/>
      <c r="D337" s="63"/>
      <c r="E337" s="64"/>
      <c r="F337" s="65"/>
    </row>
    <row r="338" spans="1:6" x14ac:dyDescent="0.25">
      <c r="A338" s="61"/>
      <c r="B338" s="61"/>
      <c r="C338" s="62"/>
      <c r="D338" s="63"/>
      <c r="E338" s="64"/>
      <c r="F338" s="65"/>
    </row>
    <row r="339" spans="1:6" x14ac:dyDescent="0.25">
      <c r="A339" s="61"/>
      <c r="B339" s="61"/>
      <c r="C339" s="62"/>
      <c r="D339" s="63"/>
      <c r="E339" s="64"/>
      <c r="F339" s="65"/>
    </row>
    <row r="340" spans="1:6" x14ac:dyDescent="0.25">
      <c r="A340" s="61"/>
      <c r="B340" s="61"/>
      <c r="C340" s="62"/>
      <c r="D340" s="63"/>
      <c r="E340" s="64"/>
      <c r="F340" s="65"/>
    </row>
    <row r="341" spans="1:6" x14ac:dyDescent="0.25">
      <c r="A341" s="61"/>
      <c r="B341" s="61"/>
      <c r="C341" s="62"/>
      <c r="D341" s="63"/>
      <c r="E341" s="64"/>
      <c r="F341" s="65"/>
    </row>
    <row r="342" spans="1:6" x14ac:dyDescent="0.25">
      <c r="A342" s="61"/>
      <c r="B342" s="61"/>
      <c r="C342" s="62"/>
      <c r="D342" s="63"/>
      <c r="E342" s="64"/>
      <c r="F342" s="65"/>
    </row>
    <row r="343" spans="1:6" x14ac:dyDescent="0.25">
      <c r="A343" s="61"/>
      <c r="B343" s="61"/>
      <c r="C343" s="62"/>
      <c r="D343" s="63"/>
      <c r="E343" s="64"/>
      <c r="F343" s="65"/>
    </row>
    <row r="344" spans="1:6" x14ac:dyDescent="0.25">
      <c r="A344" s="61"/>
      <c r="B344" s="61"/>
      <c r="C344" s="62"/>
      <c r="D344" s="63"/>
      <c r="E344" s="64"/>
      <c r="F344" s="65"/>
    </row>
    <row r="345" spans="1:6" x14ac:dyDescent="0.25">
      <c r="A345" s="61"/>
      <c r="B345" s="61"/>
      <c r="C345" s="62"/>
      <c r="D345" s="63"/>
      <c r="E345" s="64"/>
      <c r="F345" s="65"/>
    </row>
    <row r="346" spans="1:6" x14ac:dyDescent="0.25">
      <c r="A346" s="61"/>
      <c r="B346" s="61"/>
      <c r="C346" s="62"/>
      <c r="D346" s="63"/>
      <c r="E346" s="64"/>
      <c r="F346" s="65"/>
    </row>
    <row r="347" spans="1:6" x14ac:dyDescent="0.25">
      <c r="A347" s="61"/>
      <c r="B347" s="61"/>
      <c r="C347" s="62"/>
      <c r="D347" s="63"/>
      <c r="E347" s="64"/>
      <c r="F347" s="65"/>
    </row>
    <row r="348" spans="1:6" x14ac:dyDescent="0.25">
      <c r="A348" s="61"/>
      <c r="B348" s="61"/>
      <c r="C348" s="62"/>
      <c r="D348" s="63"/>
      <c r="E348" s="64"/>
      <c r="F348" s="65"/>
    </row>
    <row r="349" spans="1:6" x14ac:dyDescent="0.25">
      <c r="A349" s="61"/>
      <c r="B349" s="61"/>
      <c r="C349" s="62"/>
      <c r="D349" s="63"/>
      <c r="E349" s="64"/>
      <c r="F349" s="65"/>
    </row>
    <row r="350" spans="1:6" x14ac:dyDescent="0.25">
      <c r="A350" s="61"/>
      <c r="B350" s="61"/>
      <c r="C350" s="62"/>
      <c r="D350" s="63"/>
      <c r="E350" s="64"/>
      <c r="F350" s="65"/>
    </row>
    <row r="351" spans="1:6" x14ac:dyDescent="0.25">
      <c r="A351" s="61"/>
      <c r="B351" s="61"/>
      <c r="C351" s="62"/>
      <c r="D351" s="63"/>
      <c r="E351" s="64"/>
      <c r="F351" s="65"/>
    </row>
    <row r="352" spans="1:6" x14ac:dyDescent="0.25">
      <c r="A352" s="61"/>
      <c r="B352" s="61"/>
      <c r="C352" s="62"/>
      <c r="D352" s="63"/>
      <c r="E352" s="64"/>
      <c r="F352" s="65"/>
    </row>
    <row r="353" spans="1:6" x14ac:dyDescent="0.25">
      <c r="A353" s="61"/>
      <c r="B353" s="61"/>
      <c r="C353" s="62"/>
      <c r="D353" s="63"/>
      <c r="E353" s="64"/>
      <c r="F353" s="65"/>
    </row>
    <row r="354" spans="1:6" x14ac:dyDescent="0.25">
      <c r="A354" s="61"/>
      <c r="B354" s="61"/>
      <c r="C354" s="62"/>
      <c r="D354" s="63"/>
      <c r="E354" s="64"/>
      <c r="F354" s="65"/>
    </row>
    <row r="355" spans="1:6" x14ac:dyDescent="0.25">
      <c r="A355" s="61"/>
      <c r="B355" s="61"/>
      <c r="C355" s="62"/>
      <c r="D355" s="63"/>
      <c r="E355" s="64"/>
      <c r="F355" s="65"/>
    </row>
    <row r="356" spans="1:6" x14ac:dyDescent="0.25">
      <c r="A356" s="61"/>
      <c r="B356" s="61"/>
      <c r="C356" s="62"/>
      <c r="D356" s="63"/>
      <c r="E356" s="64"/>
      <c r="F356" s="65"/>
    </row>
    <row r="357" spans="1:6" x14ac:dyDescent="0.25">
      <c r="A357" s="61"/>
      <c r="B357" s="61"/>
      <c r="C357" s="62"/>
      <c r="D357" s="63"/>
      <c r="E357" s="64"/>
      <c r="F357" s="65"/>
    </row>
    <row r="358" spans="1:6" x14ac:dyDescent="0.25">
      <c r="A358" s="61"/>
      <c r="B358" s="61"/>
      <c r="C358" s="62"/>
      <c r="D358" s="63"/>
      <c r="E358" s="64"/>
      <c r="F358" s="65"/>
    </row>
    <row r="359" spans="1:6" x14ac:dyDescent="0.25">
      <c r="A359" s="61"/>
      <c r="B359" s="61"/>
      <c r="C359" s="62"/>
      <c r="D359" s="63"/>
      <c r="E359" s="64"/>
      <c r="F359" s="65"/>
    </row>
    <row r="360" spans="1:6" x14ac:dyDescent="0.25">
      <c r="A360" s="61"/>
      <c r="B360" s="61"/>
      <c r="C360" s="62"/>
      <c r="D360" s="63"/>
      <c r="E360" s="64"/>
      <c r="F360" s="65"/>
    </row>
    <row r="361" spans="1:6" x14ac:dyDescent="0.25">
      <c r="A361" s="61"/>
      <c r="B361" s="61"/>
      <c r="C361" s="62"/>
      <c r="D361" s="63"/>
      <c r="E361" s="64"/>
      <c r="F361" s="65"/>
    </row>
    <row r="362" spans="1:6" x14ac:dyDescent="0.25">
      <c r="A362" s="61"/>
      <c r="B362" s="61"/>
      <c r="C362" s="62"/>
      <c r="D362" s="63"/>
      <c r="E362" s="64"/>
      <c r="F362" s="65"/>
    </row>
    <row r="363" spans="1:6" x14ac:dyDescent="0.25">
      <c r="A363" s="61"/>
      <c r="B363" s="61"/>
      <c r="C363" s="62"/>
      <c r="D363" s="63"/>
      <c r="E363" s="64"/>
      <c r="F363" s="65"/>
    </row>
    <row r="364" spans="1:6" x14ac:dyDescent="0.25">
      <c r="A364" s="61"/>
      <c r="B364" s="61"/>
      <c r="C364" s="62"/>
      <c r="D364" s="63"/>
      <c r="E364" s="64"/>
      <c r="F364" s="65"/>
    </row>
    <row r="365" spans="1:6" x14ac:dyDescent="0.25">
      <c r="A365" s="61"/>
      <c r="B365" s="61"/>
      <c r="C365" s="62"/>
      <c r="D365" s="63"/>
      <c r="E365" s="64"/>
      <c r="F365" s="65"/>
    </row>
    <row r="366" spans="1:6" x14ac:dyDescent="0.25">
      <c r="A366" s="61"/>
      <c r="B366" s="61"/>
      <c r="C366" s="62"/>
      <c r="D366" s="63"/>
      <c r="E366" s="64"/>
      <c r="F366" s="65"/>
    </row>
    <row r="367" spans="1:6" x14ac:dyDescent="0.25">
      <c r="A367" s="61"/>
      <c r="B367" s="61"/>
      <c r="C367" s="62"/>
      <c r="D367" s="63"/>
      <c r="E367" s="64"/>
      <c r="F367" s="65"/>
    </row>
    <row r="368" spans="1:6" x14ac:dyDescent="0.25">
      <c r="A368" s="61"/>
      <c r="B368" s="61"/>
      <c r="C368" s="62"/>
      <c r="D368" s="63"/>
      <c r="E368" s="64"/>
      <c r="F368" s="65"/>
    </row>
    <row r="369" spans="1:6" x14ac:dyDescent="0.25">
      <c r="A369" s="61"/>
      <c r="B369" s="61"/>
      <c r="C369" s="62"/>
      <c r="D369" s="63"/>
      <c r="E369" s="64"/>
      <c r="F369" s="65"/>
    </row>
    <row r="370" spans="1:6" x14ac:dyDescent="0.25">
      <c r="A370" s="61"/>
      <c r="B370" s="61"/>
      <c r="C370" s="62"/>
      <c r="D370" s="63"/>
      <c r="E370" s="64"/>
      <c r="F370" s="65"/>
    </row>
    <row r="371" spans="1:6" x14ac:dyDescent="0.25">
      <c r="A371" s="61"/>
      <c r="B371" s="61"/>
      <c r="C371" s="62"/>
      <c r="D371" s="63"/>
      <c r="E371" s="64"/>
      <c r="F371" s="65"/>
    </row>
    <row r="372" spans="1:6" x14ac:dyDescent="0.25">
      <c r="A372" s="61"/>
      <c r="B372" s="61"/>
      <c r="C372" s="62"/>
      <c r="D372" s="63"/>
      <c r="E372" s="64"/>
      <c r="F372" s="65"/>
    </row>
    <row r="373" spans="1:6" x14ac:dyDescent="0.25">
      <c r="A373" s="61"/>
      <c r="B373" s="61"/>
      <c r="C373" s="62"/>
      <c r="D373" s="63"/>
      <c r="E373" s="64"/>
      <c r="F373" s="65"/>
    </row>
    <row r="374" spans="1:6" x14ac:dyDescent="0.25">
      <c r="A374" s="61"/>
      <c r="B374" s="61"/>
      <c r="C374" s="62"/>
      <c r="D374" s="63"/>
      <c r="E374" s="64"/>
      <c r="F374" s="65"/>
    </row>
    <row r="375" spans="1:6" x14ac:dyDescent="0.25">
      <c r="A375" s="61"/>
      <c r="B375" s="61"/>
      <c r="C375" s="62"/>
      <c r="D375" s="63"/>
      <c r="E375" s="64"/>
      <c r="F375" s="65"/>
    </row>
    <row r="376" spans="1:6" x14ac:dyDescent="0.25">
      <c r="A376" s="61"/>
      <c r="B376" s="61"/>
      <c r="C376" s="62"/>
      <c r="D376" s="63"/>
      <c r="E376" s="64"/>
      <c r="F376" s="65"/>
    </row>
    <row r="377" spans="1:6" x14ac:dyDescent="0.25">
      <c r="A377" s="61"/>
      <c r="B377" s="61"/>
      <c r="C377" s="62"/>
      <c r="D377" s="63"/>
      <c r="E377" s="64"/>
      <c r="F377" s="65"/>
    </row>
    <row r="378" spans="1:6" x14ac:dyDescent="0.25">
      <c r="A378" s="61"/>
      <c r="B378" s="61"/>
      <c r="C378" s="62"/>
      <c r="D378" s="63"/>
      <c r="E378" s="64"/>
      <c r="F378" s="65"/>
    </row>
    <row r="379" spans="1:6" x14ac:dyDescent="0.25">
      <c r="A379" s="61"/>
      <c r="B379" s="61"/>
      <c r="C379" s="62"/>
      <c r="D379" s="63"/>
      <c r="E379" s="64"/>
      <c r="F379" s="65"/>
    </row>
    <row r="380" spans="1:6" x14ac:dyDescent="0.25">
      <c r="A380" s="61"/>
      <c r="B380" s="61"/>
      <c r="C380" s="62"/>
      <c r="D380" s="63"/>
      <c r="E380" s="64"/>
      <c r="F380" s="65"/>
    </row>
    <row r="381" spans="1:6" x14ac:dyDescent="0.25">
      <c r="A381" s="61"/>
      <c r="B381" s="61"/>
      <c r="C381" s="62"/>
      <c r="D381" s="63"/>
      <c r="E381" s="64"/>
      <c r="F381" s="65"/>
    </row>
    <row r="382" spans="1:6" x14ac:dyDescent="0.25">
      <c r="A382" s="61"/>
      <c r="B382" s="61"/>
      <c r="C382" s="62"/>
      <c r="D382" s="63"/>
      <c r="E382" s="64"/>
      <c r="F382" s="65"/>
    </row>
    <row r="383" spans="1:6" x14ac:dyDescent="0.25">
      <c r="A383" s="61"/>
      <c r="B383" s="61"/>
      <c r="C383" s="62"/>
      <c r="D383" s="63"/>
      <c r="E383" s="64"/>
      <c r="F383" s="65"/>
    </row>
    <row r="384" spans="1:6" x14ac:dyDescent="0.25">
      <c r="A384" s="61"/>
      <c r="B384" s="61"/>
      <c r="C384" s="62"/>
      <c r="D384" s="63"/>
      <c r="E384" s="64"/>
      <c r="F384" s="65"/>
    </row>
    <row r="385" spans="1:6" x14ac:dyDescent="0.25">
      <c r="A385" s="61"/>
      <c r="B385" s="61"/>
      <c r="C385" s="62"/>
      <c r="D385" s="63"/>
      <c r="E385" s="64"/>
      <c r="F385" s="65"/>
    </row>
    <row r="386" spans="1:6" x14ac:dyDescent="0.25">
      <c r="A386" s="61"/>
      <c r="B386" s="61"/>
      <c r="C386" s="62"/>
      <c r="D386" s="63"/>
      <c r="E386" s="64"/>
      <c r="F386" s="65"/>
    </row>
    <row r="387" spans="1:6" x14ac:dyDescent="0.25">
      <c r="A387" s="61"/>
      <c r="B387" s="61"/>
      <c r="C387" s="62"/>
      <c r="D387" s="63"/>
      <c r="E387" s="64"/>
      <c r="F387" s="65"/>
    </row>
    <row r="388" spans="1:6" x14ac:dyDescent="0.25">
      <c r="A388" s="61"/>
      <c r="B388" s="61"/>
      <c r="C388" s="62"/>
      <c r="D388" s="63"/>
      <c r="E388" s="64"/>
      <c r="F388" s="65"/>
    </row>
    <row r="389" spans="1:6" x14ac:dyDescent="0.25">
      <c r="A389" s="61"/>
      <c r="B389" s="61"/>
      <c r="C389" s="62"/>
      <c r="D389" s="63"/>
      <c r="E389" s="64"/>
      <c r="F389" s="65"/>
    </row>
    <row r="390" spans="1:6" x14ac:dyDescent="0.25">
      <c r="A390" s="61"/>
      <c r="B390" s="61"/>
      <c r="C390" s="62"/>
      <c r="D390" s="63"/>
      <c r="E390" s="64"/>
      <c r="F390" s="65"/>
    </row>
    <row r="391" spans="1:6" x14ac:dyDescent="0.25">
      <c r="A391" s="61"/>
      <c r="B391" s="61"/>
      <c r="C391" s="62"/>
      <c r="D391" s="63"/>
      <c r="E391" s="64"/>
      <c r="F391" s="65"/>
    </row>
    <row r="392" spans="1:6" x14ac:dyDescent="0.25">
      <c r="A392" s="61"/>
      <c r="B392" s="61"/>
      <c r="C392" s="62"/>
      <c r="D392" s="63"/>
      <c r="E392" s="64"/>
      <c r="F392" s="65"/>
    </row>
    <row r="393" spans="1:6" x14ac:dyDescent="0.25">
      <c r="A393" s="61"/>
      <c r="B393" s="61"/>
      <c r="C393" s="62"/>
      <c r="D393" s="63"/>
      <c r="E393" s="64"/>
      <c r="F393" s="65"/>
    </row>
    <row r="394" spans="1:6" x14ac:dyDescent="0.25">
      <c r="A394" s="61"/>
      <c r="B394" s="61"/>
      <c r="C394" s="62"/>
      <c r="D394" s="63"/>
      <c r="E394" s="64"/>
      <c r="F394" s="65"/>
    </row>
    <row r="395" spans="1:6" x14ac:dyDescent="0.25">
      <c r="A395" s="61"/>
      <c r="B395" s="61"/>
      <c r="C395" s="62"/>
      <c r="D395" s="63"/>
      <c r="E395" s="64"/>
      <c r="F395" s="65"/>
    </row>
    <row r="396" spans="1:6" x14ac:dyDescent="0.25">
      <c r="A396" s="61"/>
      <c r="B396" s="61"/>
      <c r="C396" s="62"/>
      <c r="D396" s="63"/>
      <c r="E396" s="64"/>
      <c r="F396" s="65"/>
    </row>
    <row r="397" spans="1:6" x14ac:dyDescent="0.25">
      <c r="A397" s="61"/>
      <c r="B397" s="61"/>
      <c r="C397" s="62"/>
      <c r="D397" s="63"/>
      <c r="E397" s="64"/>
      <c r="F397" s="65"/>
    </row>
    <row r="398" spans="1:6" x14ac:dyDescent="0.25">
      <c r="A398" s="61"/>
      <c r="B398" s="61"/>
      <c r="C398" s="62"/>
      <c r="D398" s="63"/>
      <c r="E398" s="64"/>
      <c r="F398" s="65"/>
    </row>
    <row r="399" spans="1:6" x14ac:dyDescent="0.25">
      <c r="A399" s="61"/>
      <c r="B399" s="61"/>
      <c r="C399" s="62"/>
      <c r="D399" s="63"/>
      <c r="E399" s="64"/>
      <c r="F399" s="65"/>
    </row>
    <row r="400" spans="1:6" x14ac:dyDescent="0.25">
      <c r="A400" s="61"/>
      <c r="B400" s="61"/>
      <c r="C400" s="62"/>
      <c r="D400" s="63"/>
      <c r="E400" s="64"/>
      <c r="F400" s="65"/>
    </row>
    <row r="401" spans="1:6" x14ac:dyDescent="0.25">
      <c r="A401" s="61"/>
      <c r="B401" s="61"/>
      <c r="C401" s="62"/>
      <c r="D401" s="63"/>
      <c r="E401" s="64"/>
      <c r="F401" s="65"/>
    </row>
    <row r="402" spans="1:6" x14ac:dyDescent="0.25">
      <c r="A402" s="61"/>
      <c r="B402" s="61"/>
      <c r="C402" s="62"/>
      <c r="D402" s="63"/>
      <c r="E402" s="64"/>
      <c r="F402" s="65"/>
    </row>
    <row r="403" spans="1:6" x14ac:dyDescent="0.25">
      <c r="A403" s="61"/>
      <c r="B403" s="61"/>
      <c r="C403" s="62"/>
      <c r="D403" s="63"/>
      <c r="E403" s="64"/>
      <c r="F403" s="65"/>
    </row>
    <row r="404" spans="1:6" x14ac:dyDescent="0.25">
      <c r="A404" s="61"/>
      <c r="B404" s="61"/>
      <c r="C404" s="62"/>
      <c r="D404" s="63"/>
      <c r="E404" s="64"/>
      <c r="F404" s="65"/>
    </row>
    <row r="405" spans="1:6" x14ac:dyDescent="0.25">
      <c r="A405" s="61"/>
      <c r="B405" s="61"/>
      <c r="C405" s="62"/>
      <c r="D405" s="63"/>
      <c r="E405" s="64"/>
      <c r="F405" s="65"/>
    </row>
    <row r="406" spans="1:6" x14ac:dyDescent="0.25">
      <c r="A406" s="61"/>
      <c r="B406" s="61"/>
      <c r="C406" s="62"/>
      <c r="D406" s="63"/>
      <c r="E406" s="64"/>
      <c r="F406" s="65"/>
    </row>
    <row r="407" spans="1:6" x14ac:dyDescent="0.25">
      <c r="A407" s="61"/>
      <c r="B407" s="61"/>
      <c r="C407" s="62"/>
      <c r="D407" s="63"/>
      <c r="E407" s="64"/>
      <c r="F407" s="65"/>
    </row>
    <row r="408" spans="1:6" x14ac:dyDescent="0.25">
      <c r="A408" s="61"/>
      <c r="B408" s="61"/>
      <c r="C408" s="62"/>
      <c r="D408" s="63"/>
      <c r="E408" s="64"/>
      <c r="F408" s="65"/>
    </row>
    <row r="409" spans="1:6" x14ac:dyDescent="0.25">
      <c r="A409" s="61"/>
      <c r="B409" s="61"/>
      <c r="C409" s="62"/>
      <c r="D409" s="63"/>
      <c r="E409" s="64"/>
      <c r="F409" s="65"/>
    </row>
    <row r="410" spans="1:6" x14ac:dyDescent="0.25">
      <c r="A410" s="61"/>
      <c r="B410" s="61"/>
      <c r="C410" s="62"/>
      <c r="D410" s="63"/>
      <c r="E410" s="64"/>
      <c r="F410" s="65"/>
    </row>
    <row r="411" spans="1:6" x14ac:dyDescent="0.25">
      <c r="A411" s="61"/>
      <c r="B411" s="61"/>
      <c r="C411" s="62"/>
      <c r="D411" s="63"/>
      <c r="E411" s="64"/>
      <c r="F411" s="65"/>
    </row>
    <row r="412" spans="1:6" x14ac:dyDescent="0.25">
      <c r="A412" s="61"/>
      <c r="B412" s="61"/>
      <c r="C412" s="62"/>
      <c r="D412" s="63"/>
      <c r="E412" s="64"/>
      <c r="F412" s="65"/>
    </row>
    <row r="413" spans="1:6" x14ac:dyDescent="0.25">
      <c r="A413" s="61"/>
      <c r="B413" s="61"/>
      <c r="C413" s="62"/>
      <c r="D413" s="63"/>
      <c r="E413" s="64"/>
      <c r="F413" s="65"/>
    </row>
    <row r="414" spans="1:6" x14ac:dyDescent="0.25">
      <c r="A414" s="61"/>
      <c r="B414" s="61"/>
      <c r="C414" s="62"/>
      <c r="D414" s="63"/>
      <c r="E414" s="64"/>
      <c r="F414" s="65"/>
    </row>
    <row r="415" spans="1:6" x14ac:dyDescent="0.25">
      <c r="A415" s="61"/>
      <c r="B415" s="61"/>
      <c r="C415" s="62"/>
      <c r="D415" s="63"/>
      <c r="E415" s="64"/>
      <c r="F415" s="65"/>
    </row>
    <row r="416" spans="1:6" x14ac:dyDescent="0.25">
      <c r="A416" s="61"/>
      <c r="B416" s="61"/>
      <c r="C416" s="62"/>
      <c r="D416" s="63"/>
      <c r="E416" s="64"/>
      <c r="F416" s="65"/>
    </row>
    <row r="417" spans="1:6" x14ac:dyDescent="0.25">
      <c r="A417" s="61"/>
      <c r="B417" s="61"/>
      <c r="C417" s="62"/>
      <c r="D417" s="63"/>
      <c r="E417" s="64"/>
      <c r="F417" s="65"/>
    </row>
    <row r="418" spans="1:6" x14ac:dyDescent="0.25">
      <c r="A418" s="61"/>
      <c r="B418" s="61"/>
      <c r="C418" s="62"/>
      <c r="D418" s="63"/>
      <c r="E418" s="64"/>
      <c r="F418" s="65"/>
    </row>
    <row r="419" spans="1:6" x14ac:dyDescent="0.25">
      <c r="A419" s="61"/>
      <c r="B419" s="61"/>
      <c r="C419" s="62"/>
      <c r="D419" s="63"/>
      <c r="E419" s="64"/>
      <c r="F419" s="65"/>
    </row>
    <row r="420" spans="1:6" x14ac:dyDescent="0.25">
      <c r="A420" s="61"/>
      <c r="B420" s="61"/>
      <c r="C420" s="62"/>
      <c r="D420" s="63"/>
      <c r="E420" s="64"/>
      <c r="F420" s="65"/>
    </row>
    <row r="421" spans="1:6" x14ac:dyDescent="0.25">
      <c r="A421" s="61"/>
      <c r="B421" s="61"/>
      <c r="C421" s="62"/>
      <c r="D421" s="63"/>
      <c r="E421" s="64"/>
      <c r="F421" s="65"/>
    </row>
    <row r="422" spans="1:6" x14ac:dyDescent="0.25">
      <c r="A422" s="61"/>
      <c r="B422" s="61"/>
      <c r="C422" s="62"/>
      <c r="D422" s="63"/>
      <c r="E422" s="64"/>
      <c r="F422" s="65"/>
    </row>
    <row r="423" spans="1:6" x14ac:dyDescent="0.25">
      <c r="A423" s="61"/>
      <c r="B423" s="61"/>
      <c r="C423" s="62"/>
      <c r="D423" s="63"/>
      <c r="E423" s="64"/>
      <c r="F423" s="65"/>
    </row>
    <row r="424" spans="1:6" x14ac:dyDescent="0.25">
      <c r="A424" s="61"/>
      <c r="B424" s="61"/>
      <c r="C424" s="62"/>
      <c r="D424" s="63"/>
      <c r="E424" s="64"/>
      <c r="F424" s="65"/>
    </row>
    <row r="425" spans="1:6" x14ac:dyDescent="0.25">
      <c r="A425" s="61"/>
      <c r="B425" s="61"/>
      <c r="C425" s="62"/>
      <c r="D425" s="63"/>
      <c r="E425" s="64"/>
      <c r="F425" s="65"/>
    </row>
    <row r="426" spans="1:6" x14ac:dyDescent="0.25">
      <c r="A426" s="61"/>
      <c r="B426" s="61"/>
      <c r="C426" s="62"/>
      <c r="D426" s="63"/>
      <c r="E426" s="64"/>
      <c r="F426" s="65"/>
    </row>
    <row r="427" spans="1:6" x14ac:dyDescent="0.25">
      <c r="A427" s="61"/>
      <c r="B427" s="61"/>
      <c r="C427" s="62"/>
      <c r="D427" s="63"/>
      <c r="E427" s="64"/>
      <c r="F427" s="65"/>
    </row>
    <row r="428" spans="1:6" x14ac:dyDescent="0.25">
      <c r="A428" s="61"/>
      <c r="B428" s="61"/>
      <c r="C428" s="62"/>
      <c r="D428" s="63"/>
      <c r="E428" s="64"/>
      <c r="F428" s="65"/>
    </row>
    <row r="429" spans="1:6" x14ac:dyDescent="0.25">
      <c r="A429" s="61"/>
      <c r="B429" s="61"/>
      <c r="C429" s="62"/>
      <c r="D429" s="63"/>
      <c r="E429" s="64"/>
      <c r="F429" s="65"/>
    </row>
    <row r="430" spans="1:6" x14ac:dyDescent="0.25">
      <c r="A430" s="61"/>
      <c r="B430" s="61"/>
      <c r="C430" s="62"/>
      <c r="D430" s="63"/>
      <c r="E430" s="64"/>
      <c r="F430" s="65"/>
    </row>
    <row r="431" spans="1:6" x14ac:dyDescent="0.25">
      <c r="A431" s="61"/>
      <c r="B431" s="61"/>
      <c r="C431" s="62"/>
      <c r="D431" s="63"/>
      <c r="E431" s="64"/>
      <c r="F431" s="65"/>
    </row>
    <row r="432" spans="1:6" x14ac:dyDescent="0.25">
      <c r="A432" s="61"/>
      <c r="B432" s="61"/>
      <c r="C432" s="62"/>
      <c r="D432" s="63"/>
      <c r="E432" s="64"/>
      <c r="F432" s="65"/>
    </row>
    <row r="433" spans="1:6" x14ac:dyDescent="0.25">
      <c r="A433" s="61"/>
      <c r="B433" s="61"/>
      <c r="C433" s="62"/>
      <c r="D433" s="63"/>
      <c r="E433" s="64"/>
      <c r="F433" s="65"/>
    </row>
    <row r="434" spans="1:6" x14ac:dyDescent="0.25">
      <c r="A434" s="61"/>
      <c r="B434" s="61"/>
      <c r="C434" s="62"/>
      <c r="D434" s="63"/>
      <c r="E434" s="64"/>
      <c r="F434" s="65"/>
    </row>
    <row r="435" spans="1:6" x14ac:dyDescent="0.25">
      <c r="A435" s="61"/>
      <c r="B435" s="61"/>
      <c r="C435" s="62"/>
      <c r="D435" s="63"/>
      <c r="E435" s="64"/>
      <c r="F435" s="65"/>
    </row>
    <row r="436" spans="1:6" x14ac:dyDescent="0.25">
      <c r="A436" s="61"/>
      <c r="B436" s="61"/>
      <c r="C436" s="62"/>
      <c r="D436" s="63"/>
      <c r="E436" s="64"/>
      <c r="F436" s="65"/>
    </row>
    <row r="437" spans="1:6" x14ac:dyDescent="0.25">
      <c r="A437" s="61"/>
      <c r="B437" s="61"/>
      <c r="C437" s="62"/>
      <c r="D437" s="63"/>
      <c r="E437" s="64"/>
      <c r="F437" s="65"/>
    </row>
    <row r="438" spans="1:6" x14ac:dyDescent="0.25">
      <c r="A438" s="61"/>
      <c r="B438" s="61"/>
      <c r="C438" s="62"/>
      <c r="D438" s="63"/>
      <c r="E438" s="64"/>
      <c r="F438" s="65"/>
    </row>
    <row r="439" spans="1:6" x14ac:dyDescent="0.25">
      <c r="A439" s="61"/>
      <c r="B439" s="61"/>
      <c r="C439" s="62"/>
      <c r="D439" s="63"/>
      <c r="E439" s="64"/>
      <c r="F439" s="65"/>
    </row>
    <row r="440" spans="1:6" x14ac:dyDescent="0.25">
      <c r="A440" s="61"/>
      <c r="B440" s="61"/>
      <c r="C440" s="62"/>
      <c r="D440" s="63"/>
      <c r="E440" s="64"/>
      <c r="F440" s="65"/>
    </row>
    <row r="441" spans="1:6" x14ac:dyDescent="0.25">
      <c r="A441" s="61"/>
      <c r="B441" s="61"/>
      <c r="C441" s="62"/>
      <c r="D441" s="63"/>
      <c r="E441" s="64"/>
      <c r="F441" s="65"/>
    </row>
    <row r="442" spans="1:6" x14ac:dyDescent="0.25">
      <c r="A442" s="61"/>
      <c r="B442" s="61"/>
      <c r="C442" s="62"/>
      <c r="D442" s="63"/>
      <c r="E442" s="64"/>
      <c r="F442" s="65"/>
    </row>
    <row r="443" spans="1:6" x14ac:dyDescent="0.25">
      <c r="A443" s="61"/>
      <c r="B443" s="61"/>
      <c r="C443" s="62"/>
      <c r="D443" s="63"/>
      <c r="E443" s="64"/>
      <c r="F443" s="65"/>
    </row>
    <row r="444" spans="1:6" x14ac:dyDescent="0.25">
      <c r="A444" s="61"/>
      <c r="B444" s="61"/>
      <c r="C444" s="62"/>
      <c r="D444" s="63"/>
      <c r="E444" s="64"/>
      <c r="F444" s="65"/>
    </row>
    <row r="445" spans="1:6" x14ac:dyDescent="0.25">
      <c r="A445" s="61"/>
      <c r="B445" s="61"/>
      <c r="C445" s="62"/>
      <c r="D445" s="63"/>
      <c r="E445" s="64"/>
      <c r="F445" s="65"/>
    </row>
    <row r="446" spans="1:6" x14ac:dyDescent="0.25">
      <c r="A446" s="61"/>
      <c r="B446" s="61"/>
      <c r="C446" s="62"/>
      <c r="D446" s="63"/>
      <c r="E446" s="64"/>
      <c r="F446" s="65"/>
    </row>
    <row r="447" spans="1:6" x14ac:dyDescent="0.25">
      <c r="A447" s="61"/>
      <c r="B447" s="61"/>
      <c r="C447" s="62"/>
      <c r="D447" s="63"/>
      <c r="E447" s="64"/>
      <c r="F447" s="65"/>
    </row>
    <row r="448" spans="1:6" x14ac:dyDescent="0.25">
      <c r="A448" s="61"/>
      <c r="B448" s="61"/>
      <c r="C448" s="62"/>
      <c r="D448" s="63"/>
      <c r="E448" s="64"/>
      <c r="F448" s="65"/>
    </row>
    <row r="449" spans="1:6" x14ac:dyDescent="0.25">
      <c r="A449" s="61"/>
      <c r="B449" s="61"/>
      <c r="C449" s="62"/>
      <c r="D449" s="63"/>
      <c r="E449" s="64"/>
      <c r="F449" s="65"/>
    </row>
    <row r="450" spans="1:6" x14ac:dyDescent="0.25">
      <c r="A450" s="61"/>
      <c r="B450" s="61"/>
      <c r="C450" s="62"/>
      <c r="D450" s="63"/>
      <c r="E450" s="64"/>
      <c r="F450" s="65"/>
    </row>
    <row r="451" spans="1:6" x14ac:dyDescent="0.25">
      <c r="A451" s="61"/>
      <c r="B451" s="61"/>
      <c r="C451" s="62"/>
      <c r="D451" s="63"/>
      <c r="E451" s="64"/>
      <c r="F451" s="65"/>
    </row>
    <row r="452" spans="1:6" x14ac:dyDescent="0.25">
      <c r="A452" s="61"/>
      <c r="B452" s="61"/>
      <c r="C452" s="62"/>
      <c r="D452" s="63"/>
      <c r="E452" s="64"/>
      <c r="F452" s="65"/>
    </row>
    <row r="453" spans="1:6" x14ac:dyDescent="0.25">
      <c r="A453" s="61"/>
      <c r="B453" s="61"/>
      <c r="C453" s="62"/>
      <c r="D453" s="63"/>
      <c r="E453" s="64"/>
      <c r="F453" s="65"/>
    </row>
    <row r="454" spans="1:6" x14ac:dyDescent="0.25">
      <c r="A454" s="61"/>
      <c r="B454" s="61"/>
      <c r="C454" s="62"/>
      <c r="D454" s="63"/>
      <c r="E454" s="64"/>
      <c r="F454" s="65"/>
    </row>
    <row r="455" spans="1:6" x14ac:dyDescent="0.25">
      <c r="A455" s="61"/>
      <c r="B455" s="61"/>
      <c r="C455" s="62"/>
      <c r="D455" s="63"/>
      <c r="E455" s="64"/>
      <c r="F455" s="65"/>
    </row>
    <row r="456" spans="1:6" x14ac:dyDescent="0.25">
      <c r="A456" s="61"/>
      <c r="B456" s="61"/>
      <c r="C456" s="62"/>
      <c r="D456" s="63"/>
      <c r="E456" s="64"/>
      <c r="F456" s="65"/>
    </row>
    <row r="457" spans="1:6" x14ac:dyDescent="0.25">
      <c r="A457" s="61"/>
      <c r="B457" s="61"/>
      <c r="C457" s="62"/>
      <c r="D457" s="63"/>
      <c r="E457" s="64"/>
      <c r="F457" s="65"/>
    </row>
    <row r="458" spans="1:6" x14ac:dyDescent="0.25">
      <c r="A458" s="61"/>
      <c r="B458" s="61"/>
      <c r="C458" s="62"/>
      <c r="D458" s="63"/>
      <c r="E458" s="64"/>
      <c r="F458" s="65"/>
    </row>
    <row r="459" spans="1:6" x14ac:dyDescent="0.25">
      <c r="A459" s="61"/>
      <c r="B459" s="61"/>
      <c r="C459" s="62"/>
      <c r="D459" s="63"/>
      <c r="E459" s="64"/>
      <c r="F459" s="65"/>
    </row>
    <row r="460" spans="1:6" x14ac:dyDescent="0.25">
      <c r="A460" s="61"/>
      <c r="B460" s="61"/>
      <c r="C460" s="62"/>
      <c r="D460" s="63"/>
      <c r="E460" s="64"/>
      <c r="F460" s="65"/>
    </row>
    <row r="461" spans="1:6" x14ac:dyDescent="0.25">
      <c r="A461" s="61"/>
      <c r="B461" s="61"/>
      <c r="C461" s="62"/>
      <c r="D461" s="63"/>
      <c r="E461" s="64"/>
      <c r="F461" s="65"/>
    </row>
    <row r="462" spans="1:6" x14ac:dyDescent="0.25">
      <c r="A462" s="61"/>
      <c r="B462" s="61"/>
      <c r="C462" s="62"/>
      <c r="D462" s="63"/>
      <c r="E462" s="64"/>
      <c r="F462" s="65"/>
    </row>
    <row r="463" spans="1:6" x14ac:dyDescent="0.25">
      <c r="A463" s="61"/>
      <c r="B463" s="61"/>
      <c r="C463" s="62"/>
      <c r="D463" s="63"/>
      <c r="E463" s="64"/>
      <c r="F463" s="65"/>
    </row>
    <row r="464" spans="1:6" x14ac:dyDescent="0.25">
      <c r="A464" s="61"/>
      <c r="B464" s="61"/>
      <c r="C464" s="62"/>
      <c r="D464" s="63"/>
      <c r="E464" s="64"/>
      <c r="F464" s="65"/>
    </row>
    <row r="465" spans="1:6" x14ac:dyDescent="0.25">
      <c r="A465" s="61"/>
      <c r="B465" s="61"/>
      <c r="C465" s="62"/>
      <c r="D465" s="63"/>
      <c r="E465" s="64"/>
      <c r="F465" s="65"/>
    </row>
    <row r="466" spans="1:6" x14ac:dyDescent="0.25">
      <c r="A466" s="61"/>
      <c r="B466" s="61"/>
      <c r="C466" s="62"/>
      <c r="D466" s="63"/>
      <c r="E466" s="64"/>
      <c r="F466" s="65"/>
    </row>
    <row r="467" spans="1:6" x14ac:dyDescent="0.25">
      <c r="A467" s="61"/>
      <c r="B467" s="61"/>
      <c r="C467" s="62"/>
      <c r="D467" s="63"/>
      <c r="E467" s="64"/>
      <c r="F467" s="65"/>
    </row>
    <row r="468" spans="1:6" x14ac:dyDescent="0.25">
      <c r="A468" s="61"/>
      <c r="B468" s="61"/>
      <c r="C468" s="62"/>
      <c r="D468" s="63"/>
      <c r="E468" s="64"/>
      <c r="F468" s="65"/>
    </row>
    <row r="469" spans="1:6" x14ac:dyDescent="0.25">
      <c r="A469" s="61"/>
      <c r="B469" s="61"/>
      <c r="C469" s="62"/>
      <c r="D469" s="63"/>
      <c r="E469" s="64"/>
      <c r="F469" s="65"/>
    </row>
    <row r="470" spans="1:6" x14ac:dyDescent="0.25">
      <c r="A470" s="61"/>
      <c r="B470" s="61"/>
      <c r="C470" s="62"/>
      <c r="D470" s="63"/>
      <c r="E470" s="64"/>
      <c r="F470" s="65"/>
    </row>
    <row r="471" spans="1:6" x14ac:dyDescent="0.25">
      <c r="A471" s="61"/>
      <c r="B471" s="61"/>
      <c r="C471" s="62"/>
      <c r="D471" s="63"/>
      <c r="E471" s="64"/>
      <c r="F471" s="65"/>
    </row>
    <row r="472" spans="1:6" x14ac:dyDescent="0.25">
      <c r="A472" s="61"/>
      <c r="B472" s="61"/>
      <c r="C472" s="62"/>
      <c r="D472" s="63"/>
      <c r="E472" s="64"/>
      <c r="F472" s="65"/>
    </row>
    <row r="473" spans="1:6" x14ac:dyDescent="0.25">
      <c r="A473" s="61"/>
      <c r="B473" s="61"/>
      <c r="C473" s="62"/>
      <c r="D473" s="63"/>
      <c r="E473" s="64"/>
      <c r="F473" s="65"/>
    </row>
    <row r="474" spans="1:6" x14ac:dyDescent="0.25">
      <c r="A474" s="61"/>
      <c r="B474" s="61"/>
      <c r="C474" s="62"/>
      <c r="D474" s="63"/>
      <c r="E474" s="64"/>
      <c r="F474" s="65"/>
    </row>
    <row r="475" spans="1:6" x14ac:dyDescent="0.25">
      <c r="A475" s="61"/>
      <c r="B475" s="61"/>
      <c r="C475" s="62"/>
      <c r="D475" s="63"/>
      <c r="E475" s="64"/>
      <c r="F475" s="65"/>
    </row>
    <row r="476" spans="1:6" x14ac:dyDescent="0.25">
      <c r="A476" s="61"/>
      <c r="B476" s="61"/>
      <c r="C476" s="62"/>
      <c r="D476" s="63"/>
      <c r="E476" s="64"/>
      <c r="F476" s="65"/>
    </row>
    <row r="477" spans="1:6" x14ac:dyDescent="0.25">
      <c r="A477" s="61"/>
      <c r="B477" s="61"/>
      <c r="C477" s="62"/>
      <c r="D477" s="63"/>
      <c r="E477" s="64"/>
      <c r="F477" s="65"/>
    </row>
    <row r="478" spans="1:6" x14ac:dyDescent="0.25">
      <c r="A478" s="61"/>
      <c r="B478" s="61"/>
      <c r="C478" s="62"/>
      <c r="D478" s="63"/>
      <c r="E478" s="64"/>
      <c r="F478" s="65"/>
    </row>
    <row r="479" spans="1:6" x14ac:dyDescent="0.25">
      <c r="A479" s="61"/>
      <c r="B479" s="61"/>
      <c r="C479" s="62"/>
      <c r="D479" s="63"/>
      <c r="E479" s="64"/>
      <c r="F479" s="65"/>
    </row>
    <row r="480" spans="1:6" x14ac:dyDescent="0.25">
      <c r="A480" s="61"/>
      <c r="B480" s="61"/>
      <c r="C480" s="62"/>
      <c r="D480" s="63"/>
      <c r="E480" s="64"/>
      <c r="F480" s="65"/>
    </row>
    <row r="481" spans="1:6" x14ac:dyDescent="0.25">
      <c r="A481" s="61"/>
      <c r="B481" s="61"/>
      <c r="C481" s="62"/>
      <c r="D481" s="63"/>
      <c r="E481" s="64"/>
      <c r="F481" s="65"/>
    </row>
    <row r="482" spans="1:6" x14ac:dyDescent="0.25">
      <c r="A482" s="61"/>
      <c r="B482" s="61"/>
      <c r="C482" s="62"/>
      <c r="D482" s="63"/>
      <c r="E482" s="64"/>
      <c r="F482" s="65"/>
    </row>
    <row r="483" spans="1:6" x14ac:dyDescent="0.25">
      <c r="A483" s="61"/>
      <c r="B483" s="61"/>
      <c r="C483" s="62"/>
      <c r="D483" s="63"/>
      <c r="E483" s="64"/>
      <c r="F483" s="65"/>
    </row>
    <row r="484" spans="1:6" x14ac:dyDescent="0.25">
      <c r="A484" s="61"/>
      <c r="B484" s="61"/>
      <c r="C484" s="62"/>
      <c r="D484" s="63"/>
      <c r="E484" s="64"/>
      <c r="F484" s="65"/>
    </row>
    <row r="485" spans="1:6" x14ac:dyDescent="0.25">
      <c r="A485" s="61"/>
      <c r="B485" s="61"/>
      <c r="C485" s="62"/>
      <c r="D485" s="63"/>
      <c r="E485" s="64"/>
      <c r="F485" s="65"/>
    </row>
    <row r="486" spans="1:6" x14ac:dyDescent="0.25">
      <c r="A486" s="61"/>
      <c r="B486" s="61"/>
      <c r="C486" s="62"/>
      <c r="D486" s="63"/>
      <c r="E486" s="64"/>
      <c r="F486" s="65"/>
    </row>
    <row r="487" spans="1:6" x14ac:dyDescent="0.25">
      <c r="A487" s="61"/>
      <c r="B487" s="61"/>
      <c r="C487" s="62"/>
      <c r="D487" s="63"/>
      <c r="E487" s="64"/>
      <c r="F487" s="65"/>
    </row>
    <row r="488" spans="1:6" x14ac:dyDescent="0.25">
      <c r="A488" s="61"/>
      <c r="B488" s="61"/>
      <c r="C488" s="62"/>
      <c r="D488" s="63"/>
      <c r="E488" s="64"/>
      <c r="F488" s="65"/>
    </row>
    <row r="489" spans="1:6" x14ac:dyDescent="0.25">
      <c r="A489" s="61"/>
      <c r="B489" s="61"/>
      <c r="C489" s="62"/>
      <c r="D489" s="63"/>
      <c r="E489" s="64"/>
      <c r="F489" s="65"/>
    </row>
    <row r="490" spans="1:6" x14ac:dyDescent="0.25">
      <c r="A490" s="61"/>
      <c r="B490" s="61"/>
      <c r="C490" s="62"/>
      <c r="D490" s="63"/>
      <c r="E490" s="64"/>
      <c r="F490" s="65"/>
    </row>
    <row r="491" spans="1:6" x14ac:dyDescent="0.25">
      <c r="A491" s="61"/>
      <c r="B491" s="61"/>
      <c r="C491" s="62"/>
      <c r="D491" s="63"/>
      <c r="E491" s="64"/>
      <c r="F491" s="65"/>
    </row>
    <row r="492" spans="1:6" x14ac:dyDescent="0.25">
      <c r="A492" s="61"/>
      <c r="B492" s="61"/>
      <c r="C492" s="62"/>
      <c r="D492" s="63"/>
      <c r="E492" s="64"/>
      <c r="F492" s="65"/>
    </row>
    <row r="493" spans="1:6" x14ac:dyDescent="0.25">
      <c r="A493" s="61"/>
      <c r="B493" s="61"/>
      <c r="C493" s="62"/>
      <c r="D493" s="63"/>
      <c r="E493" s="64"/>
      <c r="F493" s="65"/>
    </row>
    <row r="494" spans="1:6" x14ac:dyDescent="0.25">
      <c r="A494" s="61"/>
      <c r="B494" s="61"/>
      <c r="C494" s="62"/>
      <c r="D494" s="63"/>
      <c r="E494" s="64"/>
      <c r="F494" s="65"/>
    </row>
    <row r="495" spans="1:6" x14ac:dyDescent="0.25">
      <c r="A495" s="61"/>
      <c r="B495" s="61"/>
      <c r="C495" s="62"/>
      <c r="D495" s="63"/>
      <c r="E495" s="64"/>
      <c r="F495" s="65"/>
    </row>
    <row r="496" spans="1:6" x14ac:dyDescent="0.25">
      <c r="A496" s="61"/>
      <c r="B496" s="61"/>
      <c r="C496" s="62"/>
      <c r="D496" s="63"/>
      <c r="E496" s="64"/>
      <c r="F496" s="65"/>
    </row>
    <row r="497" spans="1:6" x14ac:dyDescent="0.25">
      <c r="A497" s="61"/>
      <c r="B497" s="61"/>
      <c r="C497" s="62"/>
      <c r="D497" s="63"/>
      <c r="E497" s="64"/>
      <c r="F497" s="65"/>
    </row>
    <row r="498" spans="1:6" x14ac:dyDescent="0.25">
      <c r="A498" s="61"/>
      <c r="B498" s="61"/>
      <c r="C498" s="62"/>
      <c r="D498" s="63"/>
      <c r="E498" s="64"/>
      <c r="F498" s="65"/>
    </row>
    <row r="499" spans="1:6" x14ac:dyDescent="0.25">
      <c r="A499" s="61"/>
      <c r="B499" s="61"/>
      <c r="C499" s="62"/>
      <c r="D499" s="63"/>
      <c r="E499" s="64"/>
      <c r="F499" s="65"/>
    </row>
    <row r="500" spans="1:6" x14ac:dyDescent="0.25">
      <c r="A500" s="61"/>
      <c r="B500" s="61"/>
      <c r="C500" s="62"/>
      <c r="D500" s="63"/>
      <c r="E500" s="64"/>
      <c r="F500" s="65"/>
    </row>
    <row r="501" spans="1:6" x14ac:dyDescent="0.25">
      <c r="A501" s="61"/>
      <c r="B501" s="61"/>
      <c r="C501" s="62"/>
      <c r="D501" s="63"/>
      <c r="E501" s="64"/>
      <c r="F501" s="65"/>
    </row>
    <row r="502" spans="1:6" x14ac:dyDescent="0.25">
      <c r="A502" s="61"/>
      <c r="B502" s="61"/>
      <c r="C502" s="62"/>
      <c r="D502" s="63"/>
      <c r="E502" s="64"/>
      <c r="F502" s="65"/>
    </row>
    <row r="503" spans="1:6" x14ac:dyDescent="0.25">
      <c r="A503" s="61"/>
      <c r="B503" s="61"/>
      <c r="C503" s="62"/>
      <c r="D503" s="63"/>
      <c r="E503" s="64"/>
      <c r="F503" s="65"/>
    </row>
    <row r="504" spans="1:6" x14ac:dyDescent="0.25">
      <c r="A504" s="61"/>
      <c r="B504" s="61"/>
      <c r="C504" s="62"/>
      <c r="D504" s="63"/>
      <c r="E504" s="64"/>
      <c r="F504" s="65"/>
    </row>
    <row r="505" spans="1:6" x14ac:dyDescent="0.25">
      <c r="A505" s="61"/>
      <c r="B505" s="61"/>
      <c r="C505" s="62"/>
      <c r="D505" s="63"/>
      <c r="E505" s="64"/>
      <c r="F505" s="65"/>
    </row>
    <row r="506" spans="1:6" x14ac:dyDescent="0.25">
      <c r="A506" s="61"/>
      <c r="B506" s="61"/>
      <c r="C506" s="62"/>
      <c r="D506" s="63"/>
      <c r="E506" s="64"/>
      <c r="F506" s="65"/>
    </row>
    <row r="507" spans="1:6" x14ac:dyDescent="0.25">
      <c r="A507" s="61"/>
      <c r="B507" s="61"/>
      <c r="C507" s="62"/>
      <c r="D507" s="63"/>
      <c r="E507" s="64"/>
      <c r="F507" s="65"/>
    </row>
    <row r="508" spans="1:6" x14ac:dyDescent="0.25">
      <c r="A508" s="61"/>
      <c r="B508" s="61"/>
      <c r="C508" s="62"/>
      <c r="D508" s="63"/>
      <c r="E508" s="64"/>
      <c r="F508" s="65"/>
    </row>
    <row r="509" spans="1:6" x14ac:dyDescent="0.25">
      <c r="A509" s="61"/>
      <c r="B509" s="61"/>
      <c r="C509" s="62"/>
      <c r="D509" s="63"/>
      <c r="E509" s="64"/>
      <c r="F509" s="65"/>
    </row>
    <row r="510" spans="1:6" x14ac:dyDescent="0.25">
      <c r="A510" s="61"/>
      <c r="B510" s="61"/>
      <c r="C510" s="62"/>
      <c r="D510" s="63"/>
      <c r="E510" s="64"/>
      <c r="F510" s="65"/>
    </row>
    <row r="511" spans="1:6" x14ac:dyDescent="0.25">
      <c r="A511" s="61"/>
      <c r="B511" s="61"/>
      <c r="C511" s="62"/>
      <c r="D511" s="63"/>
      <c r="E511" s="64"/>
      <c r="F511" s="65"/>
    </row>
    <row r="512" spans="1:6" x14ac:dyDescent="0.25">
      <c r="A512" s="61"/>
      <c r="B512" s="61"/>
      <c r="C512" s="62"/>
      <c r="D512" s="63"/>
      <c r="E512" s="64"/>
      <c r="F512" s="65"/>
    </row>
    <row r="513" spans="1:6" x14ac:dyDescent="0.25">
      <c r="A513" s="61"/>
      <c r="B513" s="61"/>
      <c r="C513" s="62"/>
      <c r="D513" s="63"/>
      <c r="E513" s="64"/>
      <c r="F513" s="65"/>
    </row>
    <row r="514" spans="1:6" x14ac:dyDescent="0.25">
      <c r="A514" s="61"/>
      <c r="B514" s="61"/>
      <c r="C514" s="62"/>
      <c r="D514" s="63"/>
      <c r="E514" s="64"/>
      <c r="F514" s="65"/>
    </row>
    <row r="515" spans="1:6" x14ac:dyDescent="0.25">
      <c r="A515" s="61"/>
      <c r="B515" s="61"/>
      <c r="C515" s="62"/>
      <c r="D515" s="63"/>
      <c r="E515" s="64"/>
      <c r="F515" s="65"/>
    </row>
    <row r="516" spans="1:6" x14ac:dyDescent="0.25">
      <c r="A516" s="61"/>
      <c r="B516" s="61"/>
      <c r="C516" s="62"/>
      <c r="D516" s="63"/>
      <c r="E516" s="64"/>
      <c r="F516" s="65"/>
    </row>
    <row r="517" spans="1:6" x14ac:dyDescent="0.25">
      <c r="A517" s="61"/>
      <c r="B517" s="61"/>
      <c r="C517" s="62"/>
      <c r="D517" s="63"/>
      <c r="E517" s="64"/>
      <c r="F517" s="65"/>
    </row>
    <row r="518" spans="1:6" x14ac:dyDescent="0.25">
      <c r="A518" s="61"/>
      <c r="B518" s="61"/>
      <c r="C518" s="62"/>
      <c r="D518" s="63"/>
      <c r="E518" s="64"/>
      <c r="F518" s="65"/>
    </row>
    <row r="519" spans="1:6" x14ac:dyDescent="0.25">
      <c r="A519" s="61"/>
      <c r="B519" s="61"/>
      <c r="C519" s="62"/>
      <c r="D519" s="63"/>
      <c r="E519" s="64"/>
      <c r="F519" s="65"/>
    </row>
    <row r="520" spans="1:6" x14ac:dyDescent="0.25">
      <c r="A520" s="61"/>
      <c r="B520" s="61"/>
      <c r="C520" s="62"/>
      <c r="D520" s="63"/>
      <c r="E520" s="64"/>
      <c r="F520" s="65"/>
    </row>
    <row r="521" spans="1:6" x14ac:dyDescent="0.25">
      <c r="A521" s="61"/>
      <c r="B521" s="61"/>
      <c r="C521" s="62"/>
      <c r="D521" s="63"/>
      <c r="E521" s="64"/>
      <c r="F521" s="65"/>
    </row>
    <row r="522" spans="1:6" x14ac:dyDescent="0.25">
      <c r="A522" s="61"/>
      <c r="B522" s="61"/>
      <c r="C522" s="62"/>
      <c r="D522" s="63"/>
      <c r="E522" s="64"/>
      <c r="F522" s="65"/>
    </row>
    <row r="523" spans="1:6" x14ac:dyDescent="0.25">
      <c r="A523" s="61"/>
      <c r="B523" s="61"/>
      <c r="C523" s="62"/>
      <c r="D523" s="63"/>
      <c r="E523" s="64"/>
      <c r="F523" s="65"/>
    </row>
    <row r="524" spans="1:6" x14ac:dyDescent="0.25">
      <c r="A524" s="61"/>
      <c r="B524" s="61"/>
      <c r="C524" s="62"/>
      <c r="D524" s="63"/>
      <c r="E524" s="64"/>
      <c r="F524" s="65"/>
    </row>
    <row r="525" spans="1:6" x14ac:dyDescent="0.25">
      <c r="A525" s="61"/>
      <c r="B525" s="61"/>
      <c r="C525" s="62"/>
      <c r="D525" s="63"/>
      <c r="E525" s="64"/>
      <c r="F525" s="65"/>
    </row>
    <row r="526" spans="1:6" x14ac:dyDescent="0.25">
      <c r="A526" s="61"/>
      <c r="B526" s="61"/>
      <c r="C526" s="62"/>
      <c r="D526" s="63"/>
      <c r="E526" s="64"/>
      <c r="F526" s="65"/>
    </row>
    <row r="527" spans="1:6" x14ac:dyDescent="0.25">
      <c r="A527" s="61"/>
      <c r="B527" s="61"/>
      <c r="C527" s="62"/>
      <c r="D527" s="63"/>
      <c r="E527" s="64"/>
      <c r="F527" s="65"/>
    </row>
    <row r="528" spans="1:6" x14ac:dyDescent="0.25">
      <c r="A528" s="61"/>
      <c r="B528" s="61"/>
      <c r="C528" s="62"/>
      <c r="D528" s="63"/>
      <c r="E528" s="64"/>
      <c r="F528" s="65"/>
    </row>
    <row r="529" spans="1:6" x14ac:dyDescent="0.25">
      <c r="A529" s="61"/>
      <c r="B529" s="61"/>
      <c r="C529" s="62"/>
      <c r="D529" s="63"/>
      <c r="E529" s="64"/>
      <c r="F529" s="65"/>
    </row>
    <row r="530" spans="1:6" x14ac:dyDescent="0.25">
      <c r="A530" s="61"/>
      <c r="B530" s="61"/>
      <c r="C530" s="62"/>
      <c r="D530" s="63"/>
      <c r="E530" s="64"/>
      <c r="F530" s="65"/>
    </row>
    <row r="531" spans="1:6" x14ac:dyDescent="0.25">
      <c r="A531" s="61"/>
      <c r="B531" s="61"/>
      <c r="C531" s="62"/>
      <c r="D531" s="63"/>
      <c r="E531" s="64"/>
      <c r="F531" s="65"/>
    </row>
    <row r="532" spans="1:6" x14ac:dyDescent="0.25">
      <c r="A532" s="61"/>
      <c r="B532" s="61"/>
      <c r="C532" s="62"/>
      <c r="D532" s="63"/>
      <c r="E532" s="64"/>
      <c r="F532" s="65"/>
    </row>
    <row r="533" spans="1:6" x14ac:dyDescent="0.25">
      <c r="A533" s="61"/>
      <c r="B533" s="61"/>
      <c r="C533" s="62"/>
      <c r="D533" s="63"/>
      <c r="E533" s="64"/>
      <c r="F533" s="65"/>
    </row>
    <row r="534" spans="1:6" x14ac:dyDescent="0.25">
      <c r="A534" s="61"/>
      <c r="B534" s="61"/>
      <c r="C534" s="62"/>
      <c r="D534" s="63"/>
      <c r="E534" s="64"/>
      <c r="F534" s="65"/>
    </row>
    <row r="535" spans="1:6" x14ac:dyDescent="0.25">
      <c r="A535" s="61"/>
      <c r="B535" s="61"/>
      <c r="C535" s="62"/>
      <c r="D535" s="63"/>
      <c r="E535" s="64"/>
      <c r="F535" s="65"/>
    </row>
    <row r="536" spans="1:6" x14ac:dyDescent="0.25">
      <c r="A536" s="61"/>
      <c r="B536" s="61"/>
      <c r="C536" s="62"/>
      <c r="D536" s="63"/>
      <c r="E536" s="64"/>
      <c r="F536" s="65"/>
    </row>
    <row r="537" spans="1:6" x14ac:dyDescent="0.25">
      <c r="A537" s="61"/>
      <c r="B537" s="61"/>
      <c r="C537" s="62"/>
      <c r="D537" s="63"/>
      <c r="E537" s="64"/>
      <c r="F537" s="65"/>
    </row>
    <row r="538" spans="1:6" x14ac:dyDescent="0.25">
      <c r="A538" s="61"/>
      <c r="B538" s="61"/>
      <c r="C538" s="62"/>
      <c r="D538" s="63"/>
      <c r="E538" s="64"/>
      <c r="F538" s="65"/>
    </row>
    <row r="539" spans="1:6" x14ac:dyDescent="0.25">
      <c r="A539" s="61"/>
      <c r="B539" s="61"/>
      <c r="C539" s="62"/>
      <c r="D539" s="63"/>
      <c r="E539" s="64"/>
      <c r="F539" s="65"/>
    </row>
    <row r="540" spans="1:6" x14ac:dyDescent="0.25">
      <c r="A540" s="61"/>
      <c r="B540" s="61"/>
      <c r="C540" s="62"/>
      <c r="D540" s="63"/>
      <c r="E540" s="64"/>
      <c r="F540" s="65"/>
    </row>
    <row r="541" spans="1:6" x14ac:dyDescent="0.25">
      <c r="A541" s="61"/>
      <c r="B541" s="61"/>
      <c r="C541" s="62"/>
      <c r="D541" s="63"/>
      <c r="E541" s="64"/>
      <c r="F541" s="65"/>
    </row>
    <row r="542" spans="1:6" x14ac:dyDescent="0.25">
      <c r="A542" s="61"/>
      <c r="B542" s="61"/>
      <c r="C542" s="62"/>
      <c r="D542" s="63"/>
      <c r="E542" s="64"/>
      <c r="F542" s="65"/>
    </row>
    <row r="543" spans="1:6" x14ac:dyDescent="0.25">
      <c r="A543" s="61"/>
      <c r="B543" s="61"/>
      <c r="C543" s="62"/>
      <c r="D543" s="63"/>
      <c r="E543" s="64"/>
      <c r="F543" s="65"/>
    </row>
    <row r="544" spans="1:6" x14ac:dyDescent="0.25">
      <c r="A544" s="61"/>
      <c r="B544" s="61"/>
      <c r="C544" s="62"/>
      <c r="D544" s="63"/>
      <c r="E544" s="64"/>
      <c r="F544" s="65"/>
    </row>
    <row r="545" spans="1:6" x14ac:dyDescent="0.25">
      <c r="A545" s="61"/>
      <c r="B545" s="61"/>
      <c r="C545" s="62"/>
      <c r="D545" s="63"/>
      <c r="E545" s="64"/>
      <c r="F545" s="65"/>
    </row>
    <row r="546" spans="1:6" x14ac:dyDescent="0.25">
      <c r="A546" s="61"/>
      <c r="B546" s="61"/>
      <c r="C546" s="62"/>
      <c r="D546" s="63"/>
      <c r="E546" s="64"/>
      <c r="F546" s="65"/>
    </row>
    <row r="547" spans="1:6" x14ac:dyDescent="0.25">
      <c r="A547" s="61"/>
      <c r="B547" s="61"/>
      <c r="C547" s="62"/>
      <c r="D547" s="63"/>
      <c r="E547" s="64"/>
      <c r="F547" s="65"/>
    </row>
    <row r="548" spans="1:6" x14ac:dyDescent="0.25">
      <c r="A548" s="61"/>
      <c r="B548" s="61"/>
      <c r="C548" s="62"/>
      <c r="D548" s="63"/>
      <c r="E548" s="64"/>
      <c r="F548" s="65"/>
    </row>
    <row r="549" spans="1:6" x14ac:dyDescent="0.25">
      <c r="A549" s="61"/>
      <c r="B549" s="61"/>
      <c r="C549" s="62"/>
      <c r="D549" s="63"/>
      <c r="E549" s="64"/>
      <c r="F549" s="65"/>
    </row>
    <row r="550" spans="1:6" x14ac:dyDescent="0.25">
      <c r="A550" s="61"/>
      <c r="B550" s="61"/>
      <c r="C550" s="62"/>
      <c r="D550" s="63"/>
      <c r="E550" s="64"/>
      <c r="F550" s="65"/>
    </row>
    <row r="551" spans="1:6" x14ac:dyDescent="0.25">
      <c r="A551" s="61"/>
      <c r="B551" s="61"/>
      <c r="C551" s="62"/>
      <c r="D551" s="63"/>
      <c r="E551" s="64"/>
      <c r="F551" s="65"/>
    </row>
    <row r="552" spans="1:6" x14ac:dyDescent="0.25">
      <c r="A552" s="61"/>
      <c r="B552" s="61"/>
      <c r="C552" s="62"/>
      <c r="D552" s="63"/>
      <c r="E552" s="64"/>
      <c r="F552" s="65"/>
    </row>
    <row r="553" spans="1:6" x14ac:dyDescent="0.25">
      <c r="A553" s="61"/>
      <c r="B553" s="61"/>
      <c r="C553" s="62"/>
      <c r="D553" s="63"/>
      <c r="E553" s="64"/>
      <c r="F553" s="65"/>
    </row>
    <row r="554" spans="1:6" x14ac:dyDescent="0.25">
      <c r="A554" s="61"/>
      <c r="B554" s="61"/>
      <c r="C554" s="62"/>
      <c r="D554" s="63"/>
      <c r="E554" s="64"/>
      <c r="F554" s="65"/>
    </row>
    <row r="555" spans="1:6" x14ac:dyDescent="0.25">
      <c r="A555" s="61"/>
      <c r="B555" s="61"/>
      <c r="C555" s="62"/>
      <c r="D555" s="63"/>
      <c r="E555" s="64"/>
      <c r="F555" s="65"/>
    </row>
    <row r="556" spans="1:6" x14ac:dyDescent="0.25">
      <c r="A556" s="61"/>
      <c r="B556" s="61"/>
      <c r="C556" s="62"/>
      <c r="D556" s="63"/>
      <c r="E556" s="64"/>
      <c r="F556" s="65"/>
    </row>
    <row r="557" spans="1:6" x14ac:dyDescent="0.25">
      <c r="A557" s="61"/>
      <c r="B557" s="61"/>
      <c r="C557" s="62"/>
      <c r="D557" s="63"/>
      <c r="E557" s="64"/>
      <c r="F557" s="65"/>
    </row>
    <row r="558" spans="1:6" x14ac:dyDescent="0.25">
      <c r="A558" s="61"/>
      <c r="B558" s="61"/>
      <c r="C558" s="62"/>
      <c r="D558" s="63"/>
      <c r="E558" s="64"/>
      <c r="F558" s="65"/>
    </row>
    <row r="559" spans="1:6" x14ac:dyDescent="0.25">
      <c r="A559" s="61"/>
      <c r="B559" s="61"/>
      <c r="C559" s="62"/>
      <c r="D559" s="63"/>
      <c r="E559" s="64"/>
      <c r="F559" s="65"/>
    </row>
    <row r="560" spans="1:6" x14ac:dyDescent="0.25">
      <c r="A560" s="61"/>
      <c r="B560" s="61"/>
      <c r="C560" s="62"/>
      <c r="D560" s="63"/>
      <c r="E560" s="64"/>
      <c r="F560" s="65"/>
    </row>
    <row r="561" spans="1:6" x14ac:dyDescent="0.25">
      <c r="A561" s="61"/>
      <c r="B561" s="61"/>
      <c r="C561" s="62"/>
      <c r="D561" s="63"/>
      <c r="E561" s="64"/>
      <c r="F561" s="65"/>
    </row>
    <row r="562" spans="1:6" x14ac:dyDescent="0.25">
      <c r="A562" s="61"/>
      <c r="B562" s="61"/>
      <c r="C562" s="62"/>
      <c r="D562" s="63"/>
      <c r="E562" s="64"/>
      <c r="F562" s="65"/>
    </row>
    <row r="563" spans="1:6" x14ac:dyDescent="0.25">
      <c r="A563" s="61"/>
      <c r="B563" s="61"/>
      <c r="C563" s="62"/>
      <c r="D563" s="63"/>
      <c r="E563" s="64"/>
      <c r="F563" s="65"/>
    </row>
    <row r="564" spans="1:6" x14ac:dyDescent="0.25">
      <c r="A564" s="61"/>
      <c r="B564" s="61"/>
      <c r="C564" s="62"/>
      <c r="D564" s="63"/>
      <c r="E564" s="64"/>
      <c r="F564" s="65"/>
    </row>
    <row r="565" spans="1:6" x14ac:dyDescent="0.25">
      <c r="A565" s="61"/>
      <c r="B565" s="61"/>
      <c r="C565" s="62"/>
      <c r="D565" s="63"/>
      <c r="E565" s="64"/>
      <c r="F565" s="65"/>
    </row>
    <row r="566" spans="1:6" x14ac:dyDescent="0.25">
      <c r="A566" s="61"/>
      <c r="B566" s="61"/>
      <c r="C566" s="62"/>
      <c r="D566" s="63"/>
      <c r="E566" s="64"/>
      <c r="F566" s="65"/>
    </row>
    <row r="567" spans="1:6" x14ac:dyDescent="0.25">
      <c r="A567" s="61"/>
      <c r="B567" s="61"/>
      <c r="C567" s="62"/>
      <c r="D567" s="63"/>
      <c r="E567" s="64"/>
      <c r="F567" s="65"/>
    </row>
    <row r="568" spans="1:6" x14ac:dyDescent="0.25">
      <c r="A568" s="61"/>
      <c r="B568" s="61"/>
      <c r="C568" s="62"/>
      <c r="D568" s="63"/>
      <c r="E568" s="64"/>
      <c r="F568" s="65"/>
    </row>
    <row r="569" spans="1:6" x14ac:dyDescent="0.25">
      <c r="A569" s="61"/>
      <c r="B569" s="61"/>
      <c r="C569" s="62"/>
      <c r="D569" s="63"/>
      <c r="E569" s="64"/>
      <c r="F569" s="65"/>
    </row>
    <row r="570" spans="1:6" x14ac:dyDescent="0.25">
      <c r="A570" s="61"/>
      <c r="B570" s="61"/>
      <c r="C570" s="62"/>
      <c r="D570" s="63"/>
      <c r="E570" s="64"/>
      <c r="F570" s="65"/>
    </row>
    <row r="571" spans="1:6" x14ac:dyDescent="0.25">
      <c r="A571" s="61"/>
      <c r="B571" s="61"/>
      <c r="C571" s="62"/>
      <c r="D571" s="63"/>
      <c r="E571" s="64"/>
      <c r="F571" s="65"/>
    </row>
    <row r="572" spans="1:6" x14ac:dyDescent="0.25">
      <c r="A572" s="61"/>
      <c r="B572" s="61"/>
      <c r="C572" s="62"/>
      <c r="D572" s="63"/>
      <c r="E572" s="64"/>
      <c r="F572" s="65"/>
    </row>
    <row r="573" spans="1:6" x14ac:dyDescent="0.25">
      <c r="A573" s="61"/>
      <c r="B573" s="61"/>
      <c r="C573" s="62"/>
      <c r="D573" s="63"/>
      <c r="E573" s="64"/>
      <c r="F573" s="65"/>
    </row>
    <row r="574" spans="1:6" x14ac:dyDescent="0.25">
      <c r="A574" s="61"/>
      <c r="B574" s="61"/>
      <c r="C574" s="62"/>
      <c r="D574" s="63"/>
      <c r="E574" s="64"/>
      <c r="F574" s="65"/>
    </row>
    <row r="575" spans="1:6" x14ac:dyDescent="0.25">
      <c r="A575" s="61"/>
      <c r="B575" s="61"/>
      <c r="C575" s="62"/>
      <c r="D575" s="63"/>
      <c r="E575" s="64"/>
      <c r="F575" s="65"/>
    </row>
    <row r="576" spans="1:6" x14ac:dyDescent="0.25">
      <c r="A576" s="61"/>
      <c r="B576" s="61"/>
      <c r="C576" s="62"/>
      <c r="D576" s="63"/>
      <c r="E576" s="64"/>
      <c r="F576" s="65"/>
    </row>
    <row r="577" spans="1:6" x14ac:dyDescent="0.25">
      <c r="A577" s="61"/>
      <c r="B577" s="61"/>
      <c r="C577" s="62"/>
      <c r="D577" s="63"/>
      <c r="E577" s="64"/>
      <c r="F577" s="65"/>
    </row>
    <row r="578" spans="1:6" x14ac:dyDescent="0.25">
      <c r="A578" s="61"/>
      <c r="B578" s="61"/>
      <c r="C578" s="62"/>
      <c r="D578" s="63"/>
      <c r="E578" s="64"/>
      <c r="F578" s="65"/>
    </row>
    <row r="579" spans="1:6" x14ac:dyDescent="0.25">
      <c r="A579" s="61"/>
      <c r="B579" s="61"/>
      <c r="C579" s="62"/>
      <c r="D579" s="63"/>
      <c r="E579" s="64"/>
      <c r="F579" s="65"/>
    </row>
    <row r="580" spans="1:6" x14ac:dyDescent="0.25">
      <c r="A580" s="61"/>
      <c r="B580" s="61"/>
      <c r="C580" s="62"/>
      <c r="D580" s="63"/>
      <c r="E580" s="64"/>
      <c r="F580" s="65"/>
    </row>
    <row r="581" spans="1:6" x14ac:dyDescent="0.25">
      <c r="A581" s="61"/>
      <c r="B581" s="61"/>
      <c r="C581" s="62"/>
      <c r="D581" s="63"/>
      <c r="E581" s="64"/>
      <c r="F581" s="65"/>
    </row>
    <row r="582" spans="1:6" x14ac:dyDescent="0.25">
      <c r="A582" s="61"/>
      <c r="B582" s="61"/>
      <c r="C582" s="62"/>
      <c r="D582" s="63"/>
      <c r="E582" s="64"/>
      <c r="F582" s="65"/>
    </row>
    <row r="583" spans="1:6" x14ac:dyDescent="0.25">
      <c r="A583" s="61"/>
      <c r="B583" s="61"/>
      <c r="C583" s="62"/>
      <c r="D583" s="63"/>
      <c r="E583" s="64"/>
      <c r="F583" s="65"/>
    </row>
    <row r="584" spans="1:6" x14ac:dyDescent="0.25">
      <c r="A584" s="61"/>
      <c r="B584" s="61"/>
      <c r="C584" s="62"/>
      <c r="D584" s="63"/>
      <c r="E584" s="64"/>
      <c r="F584" s="65"/>
    </row>
    <row r="585" spans="1:6" x14ac:dyDescent="0.25">
      <c r="A585" s="61"/>
      <c r="B585" s="61"/>
      <c r="C585" s="62"/>
      <c r="D585" s="63"/>
      <c r="E585" s="64"/>
      <c r="F585" s="65"/>
    </row>
    <row r="586" spans="1:6" x14ac:dyDescent="0.25">
      <c r="A586" s="61"/>
      <c r="B586" s="61"/>
      <c r="C586" s="62"/>
      <c r="D586" s="63"/>
      <c r="E586" s="64"/>
      <c r="F586" s="65"/>
    </row>
    <row r="587" spans="1:6" x14ac:dyDescent="0.25">
      <c r="A587" s="61"/>
      <c r="B587" s="61"/>
      <c r="C587" s="62"/>
      <c r="D587" s="63"/>
      <c r="E587" s="64"/>
      <c r="F587" s="65"/>
    </row>
    <row r="588" spans="1:6" x14ac:dyDescent="0.25">
      <c r="A588" s="61"/>
      <c r="B588" s="61"/>
      <c r="C588" s="62"/>
      <c r="D588" s="63"/>
      <c r="E588" s="64"/>
      <c r="F588" s="65"/>
    </row>
    <row r="589" spans="1:6" x14ac:dyDescent="0.25">
      <c r="A589" s="61"/>
      <c r="B589" s="61"/>
      <c r="C589" s="62"/>
      <c r="D589" s="63"/>
      <c r="E589" s="64"/>
      <c r="F589" s="65"/>
    </row>
    <row r="590" spans="1:6" x14ac:dyDescent="0.25">
      <c r="A590" s="61"/>
      <c r="B590" s="61"/>
      <c r="C590" s="62"/>
      <c r="D590" s="63"/>
      <c r="E590" s="64"/>
      <c r="F590" s="65"/>
    </row>
    <row r="591" spans="1:6" x14ac:dyDescent="0.25">
      <c r="A591" s="61"/>
      <c r="B591" s="61"/>
      <c r="C591" s="62"/>
      <c r="D591" s="63"/>
      <c r="E591" s="64"/>
      <c r="F591" s="65"/>
    </row>
    <row r="592" spans="1:6" x14ac:dyDescent="0.25">
      <c r="A592" s="61"/>
      <c r="B592" s="61"/>
      <c r="C592" s="62"/>
      <c r="D592" s="63"/>
      <c r="E592" s="64"/>
      <c r="F592" s="65"/>
    </row>
    <row r="593" spans="1:6" x14ac:dyDescent="0.25">
      <c r="A593" s="61"/>
      <c r="B593" s="61"/>
      <c r="C593" s="62"/>
      <c r="D593" s="63"/>
      <c r="E593" s="64"/>
      <c r="F593" s="65"/>
    </row>
    <row r="594" spans="1:6" x14ac:dyDescent="0.25">
      <c r="A594" s="61"/>
      <c r="B594" s="61"/>
      <c r="C594" s="62"/>
      <c r="D594" s="63"/>
      <c r="E594" s="64"/>
      <c r="F594" s="65"/>
    </row>
    <row r="595" spans="1:6" x14ac:dyDescent="0.25">
      <c r="A595" s="61"/>
      <c r="B595" s="61"/>
      <c r="C595" s="62"/>
      <c r="D595" s="63"/>
      <c r="E595" s="64"/>
      <c r="F595" s="65"/>
    </row>
    <row r="596" spans="1:6" x14ac:dyDescent="0.25">
      <c r="A596" s="61"/>
      <c r="B596" s="61"/>
      <c r="C596" s="62"/>
      <c r="D596" s="63"/>
      <c r="E596" s="64"/>
      <c r="F596" s="65"/>
    </row>
    <row r="597" spans="1:6" x14ac:dyDescent="0.25">
      <c r="A597" s="61"/>
      <c r="B597" s="61"/>
      <c r="C597" s="62"/>
      <c r="D597" s="63"/>
      <c r="E597" s="64"/>
      <c r="F597" s="65"/>
    </row>
    <row r="598" spans="1:6" x14ac:dyDescent="0.25">
      <c r="A598" s="61"/>
      <c r="B598" s="61"/>
      <c r="C598" s="62"/>
      <c r="D598" s="63"/>
      <c r="E598" s="64"/>
      <c r="F598" s="65"/>
    </row>
    <row r="599" spans="1:6" x14ac:dyDescent="0.25">
      <c r="A599" s="61"/>
      <c r="B599" s="61"/>
      <c r="C599" s="62"/>
      <c r="D599" s="63"/>
      <c r="E599" s="64"/>
      <c r="F599" s="65"/>
    </row>
    <row r="600" spans="1:6" x14ac:dyDescent="0.25">
      <c r="A600" s="61"/>
      <c r="B600" s="61"/>
      <c r="C600" s="62"/>
      <c r="D600" s="63"/>
      <c r="E600" s="64"/>
      <c r="F600" s="65"/>
    </row>
    <row r="601" spans="1:6" x14ac:dyDescent="0.25">
      <c r="A601" s="61"/>
      <c r="B601" s="61"/>
      <c r="C601" s="62"/>
      <c r="D601" s="63"/>
      <c r="E601" s="64"/>
      <c r="F601" s="65"/>
    </row>
    <row r="602" spans="1:6" x14ac:dyDescent="0.25">
      <c r="A602" s="61"/>
      <c r="B602" s="61"/>
      <c r="C602" s="62"/>
      <c r="D602" s="63"/>
      <c r="E602" s="64"/>
      <c r="F602" s="65"/>
    </row>
    <row r="603" spans="1:6" x14ac:dyDescent="0.25">
      <c r="A603" s="61"/>
      <c r="B603" s="61"/>
      <c r="C603" s="62"/>
      <c r="D603" s="63"/>
      <c r="E603" s="64"/>
      <c r="F603" s="65"/>
    </row>
    <row r="604" spans="1:6" x14ac:dyDescent="0.25">
      <c r="A604" s="61"/>
      <c r="B604" s="61"/>
      <c r="C604" s="62"/>
      <c r="D604" s="63"/>
      <c r="E604" s="64"/>
      <c r="F604" s="65"/>
    </row>
    <row r="605" spans="1:6" x14ac:dyDescent="0.25">
      <c r="A605" s="61"/>
      <c r="B605" s="61"/>
      <c r="C605" s="62"/>
      <c r="D605" s="63"/>
      <c r="E605" s="64"/>
      <c r="F605" s="65"/>
    </row>
    <row r="606" spans="1:6" x14ac:dyDescent="0.25">
      <c r="A606" s="61"/>
      <c r="B606" s="61"/>
      <c r="C606" s="62"/>
      <c r="D606" s="63"/>
      <c r="E606" s="64"/>
      <c r="F606" s="65"/>
    </row>
    <row r="607" spans="1:6" x14ac:dyDescent="0.25">
      <c r="A607" s="61"/>
      <c r="B607" s="61"/>
      <c r="C607" s="62"/>
      <c r="D607" s="63"/>
      <c r="E607" s="64"/>
      <c r="F607" s="65"/>
    </row>
    <row r="608" spans="1:6" x14ac:dyDescent="0.25">
      <c r="A608" s="61"/>
      <c r="B608" s="61"/>
      <c r="C608" s="62"/>
      <c r="D608" s="63"/>
      <c r="E608" s="64"/>
      <c r="F608" s="65"/>
    </row>
    <row r="609" spans="1:6" x14ac:dyDescent="0.25">
      <c r="A609" s="61"/>
      <c r="B609" s="61"/>
      <c r="C609" s="62"/>
      <c r="D609" s="63"/>
      <c r="E609" s="64"/>
      <c r="F609" s="65"/>
    </row>
    <row r="610" spans="1:6" x14ac:dyDescent="0.25">
      <c r="A610" s="61"/>
      <c r="B610" s="61"/>
      <c r="C610" s="62"/>
      <c r="D610" s="63"/>
      <c r="E610" s="64"/>
      <c r="F610" s="65"/>
    </row>
    <row r="611" spans="1:6" x14ac:dyDescent="0.25">
      <c r="A611" s="61"/>
      <c r="B611" s="61"/>
      <c r="C611" s="62"/>
      <c r="D611" s="63"/>
      <c r="E611" s="64"/>
      <c r="F611" s="65"/>
    </row>
    <row r="612" spans="1:6" x14ac:dyDescent="0.25">
      <c r="A612" s="61"/>
      <c r="B612" s="61"/>
      <c r="C612" s="62"/>
      <c r="D612" s="63"/>
      <c r="E612" s="64"/>
      <c r="F612" s="65"/>
    </row>
    <row r="613" spans="1:6" x14ac:dyDescent="0.25">
      <c r="A613" s="61"/>
      <c r="B613" s="61"/>
      <c r="C613" s="62"/>
      <c r="D613" s="63"/>
      <c r="E613" s="64"/>
      <c r="F613" s="65"/>
    </row>
    <row r="614" spans="1:6" x14ac:dyDescent="0.25">
      <c r="A614" s="61"/>
      <c r="B614" s="61"/>
      <c r="C614" s="62"/>
      <c r="D614" s="63"/>
      <c r="E614" s="64"/>
      <c r="F614" s="65"/>
    </row>
    <row r="615" spans="1:6" x14ac:dyDescent="0.25">
      <c r="A615" s="61"/>
      <c r="B615" s="61"/>
      <c r="C615" s="62"/>
      <c r="D615" s="63"/>
      <c r="E615" s="64"/>
      <c r="F615" s="65"/>
    </row>
    <row r="616" spans="1:6" x14ac:dyDescent="0.25">
      <c r="A616" s="61"/>
      <c r="B616" s="61"/>
      <c r="C616" s="62"/>
      <c r="D616" s="63"/>
      <c r="E616" s="64"/>
      <c r="F616" s="65"/>
    </row>
    <row r="617" spans="1:6" x14ac:dyDescent="0.25">
      <c r="A617" s="61"/>
      <c r="B617" s="61"/>
      <c r="C617" s="62"/>
      <c r="D617" s="63"/>
      <c r="E617" s="64"/>
      <c r="F617" s="65"/>
    </row>
    <row r="618" spans="1:6" x14ac:dyDescent="0.25">
      <c r="A618" s="61"/>
      <c r="B618" s="61"/>
      <c r="C618" s="62"/>
      <c r="D618" s="63"/>
      <c r="E618" s="64"/>
      <c r="F618" s="65"/>
    </row>
    <row r="619" spans="1:6" x14ac:dyDescent="0.25">
      <c r="A619" s="61"/>
      <c r="B619" s="61"/>
      <c r="C619" s="62"/>
      <c r="D619" s="63"/>
      <c r="E619" s="64"/>
      <c r="F619" s="65"/>
    </row>
    <row r="620" spans="1:6" x14ac:dyDescent="0.25">
      <c r="A620" s="61"/>
      <c r="B620" s="61"/>
      <c r="C620" s="62"/>
      <c r="D620" s="63"/>
      <c r="E620" s="64"/>
      <c r="F620" s="65"/>
    </row>
    <row r="621" spans="1:6" x14ac:dyDescent="0.25">
      <c r="A621" s="61"/>
      <c r="B621" s="61"/>
      <c r="C621" s="62"/>
      <c r="D621" s="63"/>
      <c r="E621" s="64"/>
      <c r="F621" s="65"/>
    </row>
    <row r="622" spans="1:6" x14ac:dyDescent="0.25">
      <c r="A622" s="61"/>
      <c r="B622" s="61"/>
      <c r="C622" s="62"/>
      <c r="D622" s="63"/>
      <c r="E622" s="64"/>
      <c r="F622" s="65"/>
    </row>
    <row r="623" spans="1:6" x14ac:dyDescent="0.25">
      <c r="A623" s="61"/>
      <c r="B623" s="61"/>
      <c r="C623" s="62"/>
      <c r="D623" s="63"/>
      <c r="E623" s="64"/>
      <c r="F623" s="65"/>
    </row>
    <row r="624" spans="1:6" x14ac:dyDescent="0.25">
      <c r="A624" s="61"/>
      <c r="B624" s="61"/>
      <c r="C624" s="62"/>
      <c r="D624" s="63"/>
      <c r="E624" s="64"/>
      <c r="F624" s="65"/>
    </row>
    <row r="625" spans="1:6" x14ac:dyDescent="0.25">
      <c r="A625" s="61"/>
      <c r="B625" s="61"/>
      <c r="C625" s="62"/>
      <c r="D625" s="63"/>
      <c r="E625" s="64"/>
      <c r="F625" s="65"/>
    </row>
    <row r="626" spans="1:6" x14ac:dyDescent="0.25">
      <c r="A626" s="61"/>
      <c r="B626" s="61"/>
      <c r="C626" s="62"/>
      <c r="D626" s="63"/>
      <c r="E626" s="64"/>
      <c r="F626" s="65"/>
    </row>
    <row r="627" spans="1:6" x14ac:dyDescent="0.25">
      <c r="A627" s="61"/>
      <c r="B627" s="61"/>
      <c r="C627" s="62"/>
      <c r="D627" s="63"/>
      <c r="E627" s="64"/>
      <c r="F627" s="65"/>
    </row>
    <row r="628" spans="1:6" x14ac:dyDescent="0.25">
      <c r="A628" s="61"/>
      <c r="B628" s="61"/>
      <c r="C628" s="62"/>
      <c r="D628" s="63"/>
      <c r="E628" s="64"/>
      <c r="F628" s="65"/>
    </row>
    <row r="629" spans="1:6" x14ac:dyDescent="0.25">
      <c r="A629" s="61"/>
      <c r="B629" s="61"/>
      <c r="C629" s="62"/>
      <c r="D629" s="63"/>
      <c r="E629" s="64"/>
      <c r="F629" s="65"/>
    </row>
    <row r="630" spans="1:6" x14ac:dyDescent="0.25">
      <c r="A630" s="61"/>
      <c r="B630" s="61"/>
      <c r="C630" s="62"/>
      <c r="D630" s="63"/>
      <c r="E630" s="64"/>
      <c r="F630" s="65"/>
    </row>
    <row r="631" spans="1:6" x14ac:dyDescent="0.25">
      <c r="A631" s="61"/>
      <c r="B631" s="61"/>
      <c r="C631" s="62"/>
      <c r="D631" s="63"/>
      <c r="E631" s="64"/>
      <c r="F631" s="65"/>
    </row>
    <row r="632" spans="1:6" x14ac:dyDescent="0.25">
      <c r="A632" s="61"/>
      <c r="B632" s="61"/>
      <c r="C632" s="62"/>
      <c r="D632" s="63"/>
      <c r="E632" s="64"/>
      <c r="F632" s="65"/>
    </row>
    <row r="633" spans="1:6" x14ac:dyDescent="0.25">
      <c r="A633" s="61"/>
      <c r="B633" s="61"/>
      <c r="C633" s="62"/>
      <c r="D633" s="63"/>
      <c r="E633" s="64"/>
      <c r="F633" s="65"/>
    </row>
    <row r="634" spans="1:6" x14ac:dyDescent="0.25">
      <c r="A634" s="61"/>
      <c r="B634" s="61"/>
      <c r="C634" s="62"/>
      <c r="D634" s="63"/>
      <c r="E634" s="64"/>
      <c r="F634" s="65"/>
    </row>
    <row r="635" spans="1:6" x14ac:dyDescent="0.25">
      <c r="A635" s="61"/>
      <c r="B635" s="61"/>
      <c r="C635" s="62"/>
      <c r="D635" s="63"/>
      <c r="E635" s="64"/>
      <c r="F635" s="65"/>
    </row>
    <row r="636" spans="1:6" x14ac:dyDescent="0.25">
      <c r="A636" s="61"/>
      <c r="B636" s="61"/>
      <c r="C636" s="62"/>
      <c r="D636" s="63"/>
      <c r="E636" s="64"/>
      <c r="F636" s="65"/>
    </row>
    <row r="637" spans="1:6" x14ac:dyDescent="0.25">
      <c r="A637" s="61"/>
      <c r="B637" s="61"/>
      <c r="C637" s="62"/>
      <c r="D637" s="63"/>
      <c r="E637" s="64"/>
      <c r="F637" s="65"/>
    </row>
    <row r="638" spans="1:6" x14ac:dyDescent="0.25">
      <c r="A638" s="61"/>
      <c r="B638" s="61"/>
      <c r="C638" s="62"/>
      <c r="D638" s="63"/>
      <c r="E638" s="64"/>
      <c r="F638" s="65"/>
    </row>
    <row r="639" spans="1:6" x14ac:dyDescent="0.25">
      <c r="A639" s="61"/>
      <c r="B639" s="61"/>
      <c r="C639" s="62"/>
      <c r="D639" s="63"/>
      <c r="E639" s="64"/>
      <c r="F639" s="65"/>
    </row>
    <row r="640" spans="1:6" x14ac:dyDescent="0.25">
      <c r="A640" s="61"/>
      <c r="B640" s="61"/>
      <c r="C640" s="62"/>
      <c r="D640" s="63"/>
      <c r="E640" s="64"/>
      <c r="F640" s="65"/>
    </row>
    <row r="641" spans="1:6" x14ac:dyDescent="0.25">
      <c r="A641" s="61"/>
      <c r="B641" s="61"/>
      <c r="C641" s="62"/>
      <c r="D641" s="63"/>
      <c r="E641" s="64"/>
      <c r="F641" s="65"/>
    </row>
    <row r="642" spans="1:6" x14ac:dyDescent="0.25">
      <c r="A642" s="61"/>
      <c r="B642" s="61"/>
      <c r="C642" s="62"/>
      <c r="D642" s="63"/>
      <c r="E642" s="64"/>
      <c r="F642" s="65"/>
    </row>
    <row r="643" spans="1:6" x14ac:dyDescent="0.25">
      <c r="A643" s="61"/>
      <c r="B643" s="61"/>
      <c r="C643" s="62"/>
      <c r="D643" s="63"/>
      <c r="E643" s="64"/>
      <c r="F643" s="65"/>
    </row>
    <row r="644" spans="1:6" x14ac:dyDescent="0.25">
      <c r="A644" s="61"/>
      <c r="B644" s="61"/>
      <c r="C644" s="62"/>
      <c r="D644" s="63"/>
      <c r="E644" s="64"/>
      <c r="F644" s="65"/>
    </row>
    <row r="645" spans="1:6" x14ac:dyDescent="0.25">
      <c r="A645" s="61"/>
      <c r="B645" s="61"/>
      <c r="C645" s="62"/>
      <c r="D645" s="63"/>
      <c r="E645" s="64"/>
      <c r="F645" s="65"/>
    </row>
    <row r="646" spans="1:6" x14ac:dyDescent="0.25">
      <c r="A646" s="61"/>
      <c r="B646" s="61"/>
      <c r="C646" s="62"/>
      <c r="D646" s="63"/>
      <c r="E646" s="64"/>
      <c r="F646" s="65"/>
    </row>
    <row r="647" spans="1:6" x14ac:dyDescent="0.25">
      <c r="A647" s="61"/>
      <c r="B647" s="61"/>
      <c r="C647" s="62"/>
      <c r="D647" s="63"/>
      <c r="E647" s="64"/>
      <c r="F647" s="65"/>
    </row>
    <row r="648" spans="1:6" x14ac:dyDescent="0.25">
      <c r="A648" s="61"/>
      <c r="B648" s="61"/>
      <c r="C648" s="62"/>
      <c r="D648" s="63"/>
      <c r="E648" s="64"/>
      <c r="F648" s="65"/>
    </row>
    <row r="649" spans="1:6" x14ac:dyDescent="0.25">
      <c r="A649" s="61"/>
      <c r="B649" s="61"/>
      <c r="C649" s="62"/>
      <c r="D649" s="63"/>
      <c r="E649" s="64"/>
      <c r="F649" s="65"/>
    </row>
    <row r="650" spans="1:6" x14ac:dyDescent="0.25">
      <c r="A650" s="61"/>
      <c r="B650" s="61"/>
      <c r="C650" s="62"/>
      <c r="D650" s="63"/>
      <c r="E650" s="64"/>
      <c r="F650" s="65"/>
    </row>
    <row r="651" spans="1:6" x14ac:dyDescent="0.25">
      <c r="A651" s="61"/>
      <c r="B651" s="61"/>
      <c r="C651" s="62"/>
      <c r="D651" s="63"/>
      <c r="E651" s="64"/>
      <c r="F651" s="65"/>
    </row>
    <row r="652" spans="1:6" x14ac:dyDescent="0.25">
      <c r="A652" s="61"/>
      <c r="B652" s="61"/>
      <c r="C652" s="62"/>
      <c r="D652" s="63"/>
      <c r="E652" s="64"/>
      <c r="F652" s="65"/>
    </row>
    <row r="653" spans="1:6" x14ac:dyDescent="0.25">
      <c r="A653" s="61"/>
      <c r="B653" s="61"/>
      <c r="C653" s="62"/>
      <c r="D653" s="63"/>
      <c r="E653" s="64"/>
      <c r="F653" s="65"/>
    </row>
    <row r="654" spans="1:6" x14ac:dyDescent="0.25">
      <c r="A654" s="61"/>
      <c r="B654" s="61"/>
      <c r="C654" s="62"/>
      <c r="D654" s="63"/>
      <c r="E654" s="64"/>
      <c r="F654" s="65"/>
    </row>
    <row r="655" spans="1:6" x14ac:dyDescent="0.25">
      <c r="A655" s="61"/>
      <c r="B655" s="61"/>
      <c r="C655" s="62"/>
      <c r="D655" s="63"/>
      <c r="E655" s="64"/>
      <c r="F655" s="65"/>
    </row>
    <row r="656" spans="1:6" x14ac:dyDescent="0.25">
      <c r="A656" s="61"/>
      <c r="B656" s="61"/>
      <c r="C656" s="62"/>
      <c r="D656" s="63"/>
      <c r="E656" s="64"/>
      <c r="F656" s="65"/>
    </row>
    <row r="657" spans="1:6" x14ac:dyDescent="0.25">
      <c r="A657" s="61"/>
      <c r="B657" s="61"/>
      <c r="C657" s="62"/>
      <c r="D657" s="63"/>
      <c r="E657" s="64"/>
      <c r="F657" s="65"/>
    </row>
    <row r="658" spans="1:6" x14ac:dyDescent="0.25">
      <c r="A658" s="61"/>
      <c r="B658" s="61"/>
      <c r="C658" s="62"/>
      <c r="D658" s="63"/>
      <c r="E658" s="64"/>
      <c r="F658" s="65"/>
    </row>
    <row r="659" spans="1:6" x14ac:dyDescent="0.25">
      <c r="A659" s="61"/>
      <c r="B659" s="61"/>
      <c r="C659" s="62"/>
      <c r="D659" s="63"/>
      <c r="E659" s="64"/>
      <c r="F659" s="65"/>
    </row>
    <row r="660" spans="1:6" x14ac:dyDescent="0.25">
      <c r="A660" s="61"/>
      <c r="B660" s="61"/>
      <c r="C660" s="62"/>
      <c r="D660" s="63"/>
      <c r="E660" s="64"/>
      <c r="F660" s="65"/>
    </row>
    <row r="661" spans="1:6" x14ac:dyDescent="0.25">
      <c r="A661" s="61"/>
      <c r="B661" s="61"/>
      <c r="C661" s="62"/>
      <c r="D661" s="63"/>
      <c r="E661" s="64"/>
      <c r="F661" s="65"/>
    </row>
    <row r="662" spans="1:6" x14ac:dyDescent="0.25">
      <c r="A662" s="61"/>
      <c r="B662" s="61"/>
      <c r="C662" s="62"/>
      <c r="D662" s="63"/>
      <c r="E662" s="64"/>
      <c r="F662" s="65"/>
    </row>
    <row r="663" spans="1:6" x14ac:dyDescent="0.25">
      <c r="A663" s="61"/>
      <c r="B663" s="61"/>
      <c r="C663" s="62"/>
      <c r="D663" s="63"/>
      <c r="E663" s="64"/>
      <c r="F663" s="65"/>
    </row>
    <row r="664" spans="1:6" x14ac:dyDescent="0.25">
      <c r="A664" s="61"/>
      <c r="B664" s="61"/>
      <c r="C664" s="62"/>
      <c r="D664" s="63"/>
      <c r="E664" s="64"/>
      <c r="F664" s="65"/>
    </row>
    <row r="665" spans="1:6" x14ac:dyDescent="0.25">
      <c r="A665" s="61"/>
      <c r="B665" s="61"/>
      <c r="C665" s="62"/>
      <c r="D665" s="63"/>
      <c r="E665" s="64"/>
      <c r="F665" s="65"/>
    </row>
    <row r="666" spans="1:6" x14ac:dyDescent="0.25">
      <c r="A666" s="61"/>
      <c r="B666" s="61"/>
      <c r="C666" s="62"/>
      <c r="D666" s="63"/>
      <c r="E666" s="64"/>
      <c r="F666" s="65"/>
    </row>
    <row r="667" spans="1:6" x14ac:dyDescent="0.25">
      <c r="A667" s="61"/>
      <c r="B667" s="61"/>
      <c r="C667" s="62"/>
      <c r="D667" s="63"/>
      <c r="E667" s="64"/>
      <c r="F667" s="65"/>
    </row>
    <row r="668" spans="1:6" x14ac:dyDescent="0.25">
      <c r="A668" s="61"/>
      <c r="B668" s="61"/>
      <c r="C668" s="62"/>
      <c r="D668" s="63"/>
      <c r="E668" s="64"/>
      <c r="F668" s="65"/>
    </row>
    <row r="669" spans="1:6" x14ac:dyDescent="0.25">
      <c r="A669" s="61"/>
      <c r="B669" s="61"/>
      <c r="C669" s="62"/>
      <c r="D669" s="63"/>
      <c r="E669" s="64"/>
      <c r="F669" s="65"/>
    </row>
    <row r="670" spans="1:6" x14ac:dyDescent="0.25">
      <c r="A670" s="61"/>
      <c r="B670" s="61"/>
      <c r="C670" s="62"/>
      <c r="D670" s="63"/>
      <c r="E670" s="64"/>
      <c r="F670" s="65"/>
    </row>
    <row r="671" spans="1:6" x14ac:dyDescent="0.25">
      <c r="A671" s="61"/>
      <c r="B671" s="61"/>
      <c r="C671" s="62"/>
      <c r="D671" s="63"/>
      <c r="E671" s="64"/>
      <c r="F671" s="65"/>
    </row>
    <row r="672" spans="1:6" x14ac:dyDescent="0.25">
      <c r="A672" s="61"/>
      <c r="B672" s="61"/>
      <c r="C672" s="62"/>
      <c r="D672" s="63"/>
      <c r="E672" s="64"/>
      <c r="F672" s="65"/>
    </row>
    <row r="673" spans="1:6" x14ac:dyDescent="0.25">
      <c r="A673" s="61"/>
      <c r="B673" s="61"/>
      <c r="C673" s="62"/>
      <c r="D673" s="63"/>
      <c r="E673" s="64"/>
      <c r="F673" s="65"/>
    </row>
    <row r="674" spans="1:6" x14ac:dyDescent="0.25">
      <c r="A674" s="61"/>
      <c r="B674" s="61"/>
      <c r="C674" s="62"/>
      <c r="D674" s="63"/>
      <c r="E674" s="64"/>
      <c r="F674" s="65"/>
    </row>
    <row r="675" spans="1:6" x14ac:dyDescent="0.25">
      <c r="A675" s="61"/>
      <c r="B675" s="61"/>
      <c r="C675" s="62"/>
      <c r="D675" s="63"/>
      <c r="E675" s="64"/>
      <c r="F675" s="65"/>
    </row>
    <row r="676" spans="1:6" x14ac:dyDescent="0.25">
      <c r="A676" s="61"/>
      <c r="B676" s="61"/>
      <c r="C676" s="62"/>
      <c r="D676" s="63"/>
      <c r="E676" s="64"/>
      <c r="F676" s="65"/>
    </row>
    <row r="677" spans="1:6" x14ac:dyDescent="0.25">
      <c r="A677" s="61"/>
      <c r="B677" s="61"/>
      <c r="C677" s="62"/>
      <c r="D677" s="63"/>
      <c r="E677" s="64"/>
      <c r="F677" s="65"/>
    </row>
    <row r="678" spans="1:6" x14ac:dyDescent="0.25">
      <c r="A678" s="61"/>
      <c r="B678" s="61"/>
      <c r="C678" s="62"/>
      <c r="D678" s="63"/>
      <c r="E678" s="64"/>
      <c r="F678" s="65"/>
    </row>
    <row r="679" spans="1:6" x14ac:dyDescent="0.25">
      <c r="A679" s="61"/>
      <c r="B679" s="61"/>
      <c r="C679" s="62"/>
      <c r="D679" s="63"/>
      <c r="E679" s="64"/>
      <c r="F679" s="65"/>
    </row>
    <row r="680" spans="1:6" x14ac:dyDescent="0.25">
      <c r="A680" s="61"/>
      <c r="B680" s="61"/>
      <c r="C680" s="62"/>
      <c r="D680" s="63"/>
      <c r="E680" s="64"/>
      <c r="F680" s="65"/>
    </row>
    <row r="681" spans="1:6" x14ac:dyDescent="0.25">
      <c r="A681" s="61"/>
      <c r="B681" s="61"/>
      <c r="C681" s="62"/>
      <c r="D681" s="63"/>
      <c r="E681" s="64"/>
      <c r="F681" s="65"/>
    </row>
    <row r="682" spans="1:6" x14ac:dyDescent="0.25">
      <c r="A682" s="61"/>
      <c r="B682" s="61"/>
      <c r="C682" s="62"/>
      <c r="D682" s="63"/>
      <c r="E682" s="64"/>
      <c r="F682" s="65"/>
    </row>
    <row r="683" spans="1:6" x14ac:dyDescent="0.25">
      <c r="A683" s="61"/>
      <c r="B683" s="61"/>
      <c r="C683" s="62"/>
      <c r="D683" s="63"/>
      <c r="E683" s="64"/>
      <c r="F683" s="65"/>
    </row>
    <row r="684" spans="1:6" x14ac:dyDescent="0.25">
      <c r="A684" s="61"/>
      <c r="B684" s="61"/>
      <c r="C684" s="62"/>
      <c r="D684" s="63"/>
      <c r="E684" s="64"/>
      <c r="F684" s="65"/>
    </row>
    <row r="685" spans="1:6" x14ac:dyDescent="0.25">
      <c r="A685" s="61"/>
      <c r="B685" s="61"/>
      <c r="C685" s="62"/>
      <c r="D685" s="63"/>
      <c r="E685" s="64"/>
      <c r="F685" s="65"/>
    </row>
    <row r="686" spans="1:6" x14ac:dyDescent="0.25">
      <c r="A686" s="61"/>
      <c r="B686" s="61"/>
      <c r="C686" s="62"/>
      <c r="D686" s="63"/>
      <c r="E686" s="64"/>
      <c r="F686" s="65"/>
    </row>
    <row r="687" spans="1:6" x14ac:dyDescent="0.25">
      <c r="A687" s="61"/>
      <c r="B687" s="61"/>
      <c r="C687" s="62"/>
      <c r="D687" s="63"/>
      <c r="E687" s="64"/>
      <c r="F687" s="65"/>
    </row>
    <row r="688" spans="1:6" x14ac:dyDescent="0.25">
      <c r="A688" s="61"/>
      <c r="B688" s="61"/>
      <c r="C688" s="62"/>
      <c r="D688" s="63"/>
      <c r="E688" s="64"/>
      <c r="F688" s="65"/>
    </row>
    <row r="689" spans="1:6" x14ac:dyDescent="0.25">
      <c r="A689" s="61"/>
      <c r="B689" s="61"/>
      <c r="C689" s="62"/>
      <c r="D689" s="63"/>
      <c r="E689" s="64"/>
      <c r="F689" s="65"/>
    </row>
    <row r="690" spans="1:6" x14ac:dyDescent="0.25">
      <c r="A690" s="61"/>
      <c r="B690" s="61"/>
      <c r="C690" s="62"/>
      <c r="D690" s="63"/>
      <c r="E690" s="64"/>
      <c r="F690" s="65"/>
    </row>
    <row r="691" spans="1:6" x14ac:dyDescent="0.25">
      <c r="A691" s="61"/>
      <c r="B691" s="61"/>
      <c r="C691" s="62"/>
      <c r="D691" s="63"/>
      <c r="E691" s="64"/>
      <c r="F691" s="65"/>
    </row>
    <row r="692" spans="1:6" x14ac:dyDescent="0.25">
      <c r="A692" s="61"/>
      <c r="B692" s="61"/>
      <c r="C692" s="62"/>
      <c r="D692" s="63"/>
      <c r="E692" s="64"/>
      <c r="F692" s="65"/>
    </row>
    <row r="693" spans="1:6" x14ac:dyDescent="0.25">
      <c r="A693" s="61"/>
      <c r="B693" s="61"/>
      <c r="C693" s="62"/>
      <c r="D693" s="63"/>
      <c r="E693" s="64"/>
      <c r="F693" s="65"/>
    </row>
    <row r="694" spans="1:6" x14ac:dyDescent="0.25">
      <c r="A694" s="61"/>
      <c r="B694" s="61"/>
      <c r="C694" s="62"/>
      <c r="D694" s="63"/>
      <c r="E694" s="64"/>
      <c r="F694" s="65"/>
    </row>
    <row r="695" spans="1:6" x14ac:dyDescent="0.25">
      <c r="A695" s="61"/>
      <c r="B695" s="61"/>
      <c r="C695" s="62"/>
      <c r="D695" s="63"/>
      <c r="E695" s="64"/>
      <c r="F695" s="65"/>
    </row>
    <row r="696" spans="1:6" x14ac:dyDescent="0.25">
      <c r="A696" s="61"/>
      <c r="B696" s="61"/>
      <c r="C696" s="62"/>
      <c r="D696" s="63"/>
      <c r="E696" s="64"/>
      <c r="F696" s="65"/>
    </row>
    <row r="697" spans="1:6" x14ac:dyDescent="0.25">
      <c r="A697" s="61"/>
      <c r="B697" s="61"/>
      <c r="C697" s="62"/>
      <c r="D697" s="63"/>
      <c r="E697" s="64"/>
      <c r="F697" s="65"/>
    </row>
    <row r="698" spans="1:6" x14ac:dyDescent="0.25">
      <c r="A698" s="61"/>
      <c r="B698" s="61"/>
      <c r="C698" s="62"/>
      <c r="D698" s="63"/>
      <c r="E698" s="64"/>
      <c r="F698" s="65"/>
    </row>
    <row r="699" spans="1:6" x14ac:dyDescent="0.25">
      <c r="A699" s="61"/>
      <c r="B699" s="61"/>
      <c r="C699" s="62"/>
      <c r="D699" s="63"/>
      <c r="E699" s="64"/>
      <c r="F699" s="65"/>
    </row>
    <row r="700" spans="1:6" x14ac:dyDescent="0.25">
      <c r="A700" s="61"/>
      <c r="B700" s="61"/>
      <c r="C700" s="62"/>
      <c r="D700" s="63"/>
      <c r="E700" s="64"/>
      <c r="F700" s="65"/>
    </row>
    <row r="701" spans="1:6" x14ac:dyDescent="0.25">
      <c r="A701" s="61"/>
      <c r="B701" s="61"/>
      <c r="C701" s="62"/>
      <c r="D701" s="63"/>
      <c r="E701" s="64"/>
      <c r="F701" s="65"/>
    </row>
    <row r="702" spans="1:6" x14ac:dyDescent="0.25">
      <c r="A702" s="61"/>
      <c r="B702" s="61"/>
      <c r="C702" s="62"/>
      <c r="D702" s="63"/>
      <c r="E702" s="64"/>
      <c r="F702" s="65"/>
    </row>
    <row r="703" spans="1:6" x14ac:dyDescent="0.25">
      <c r="A703" s="61"/>
      <c r="B703" s="61"/>
      <c r="C703" s="62"/>
      <c r="D703" s="63"/>
      <c r="E703" s="64"/>
      <c r="F703" s="65"/>
    </row>
    <row r="704" spans="1:6" x14ac:dyDescent="0.25">
      <c r="A704" s="61"/>
      <c r="B704" s="61"/>
      <c r="C704" s="62"/>
      <c r="D704" s="63"/>
      <c r="E704" s="64"/>
      <c r="F704" s="65"/>
    </row>
    <row r="705" spans="1:6" x14ac:dyDescent="0.25">
      <c r="A705" s="61"/>
      <c r="B705" s="61"/>
      <c r="C705" s="62"/>
      <c r="D705" s="63"/>
      <c r="E705" s="64"/>
      <c r="F705" s="65"/>
    </row>
    <row r="706" spans="1:6" x14ac:dyDescent="0.25">
      <c r="A706" s="61"/>
      <c r="B706" s="61"/>
      <c r="C706" s="62"/>
      <c r="D706" s="63"/>
      <c r="E706" s="64"/>
      <c r="F706" s="65"/>
    </row>
    <row r="707" spans="1:6" x14ac:dyDescent="0.25">
      <c r="A707" s="61"/>
      <c r="B707" s="61"/>
      <c r="C707" s="62"/>
      <c r="D707" s="63"/>
      <c r="E707" s="64"/>
      <c r="F707" s="65"/>
    </row>
    <row r="708" spans="1:6" x14ac:dyDescent="0.25">
      <c r="A708" s="61"/>
      <c r="B708" s="61"/>
      <c r="C708" s="62"/>
      <c r="D708" s="63"/>
      <c r="E708" s="64"/>
      <c r="F708" s="65"/>
    </row>
    <row r="709" spans="1:6" x14ac:dyDescent="0.25">
      <c r="A709" s="61"/>
      <c r="B709" s="61"/>
      <c r="C709" s="62"/>
      <c r="D709" s="63"/>
      <c r="E709" s="64"/>
      <c r="F709" s="65"/>
    </row>
    <row r="710" spans="1:6" x14ac:dyDescent="0.25">
      <c r="A710" s="61"/>
      <c r="B710" s="61"/>
      <c r="C710" s="62"/>
      <c r="D710" s="63"/>
      <c r="E710" s="64"/>
      <c r="F710" s="65"/>
    </row>
    <row r="711" spans="1:6" x14ac:dyDescent="0.25">
      <c r="A711" s="61"/>
      <c r="B711" s="61"/>
      <c r="C711" s="62"/>
      <c r="D711" s="63"/>
      <c r="E711" s="64"/>
      <c r="F711" s="65"/>
    </row>
    <row r="712" spans="1:6" x14ac:dyDescent="0.25">
      <c r="A712" s="61"/>
      <c r="B712" s="61"/>
      <c r="C712" s="62"/>
      <c r="D712" s="63"/>
      <c r="E712" s="64"/>
      <c r="F712" s="65"/>
    </row>
    <row r="713" spans="1:6" x14ac:dyDescent="0.25">
      <c r="A713" s="61"/>
      <c r="B713" s="61"/>
      <c r="C713" s="62"/>
      <c r="D713" s="63"/>
      <c r="E713" s="64"/>
      <c r="F713" s="65"/>
    </row>
    <row r="714" spans="1:6" x14ac:dyDescent="0.25">
      <c r="A714" s="61"/>
      <c r="B714" s="61"/>
      <c r="C714" s="62"/>
      <c r="D714" s="63"/>
      <c r="E714" s="64"/>
      <c r="F714" s="65"/>
    </row>
    <row r="715" spans="1:6" x14ac:dyDescent="0.25">
      <c r="A715" s="61"/>
      <c r="B715" s="61"/>
      <c r="C715" s="62"/>
      <c r="D715" s="63"/>
      <c r="E715" s="64"/>
      <c r="F715" s="65"/>
    </row>
    <row r="716" spans="1:6" x14ac:dyDescent="0.25">
      <c r="A716" s="61"/>
      <c r="B716" s="61"/>
      <c r="C716" s="62"/>
      <c r="D716" s="63"/>
      <c r="E716" s="64"/>
      <c r="F716" s="65"/>
    </row>
    <row r="717" spans="1:6" x14ac:dyDescent="0.25">
      <c r="A717" s="61"/>
      <c r="B717" s="61"/>
      <c r="C717" s="62"/>
      <c r="D717" s="63"/>
      <c r="E717" s="64"/>
      <c r="F717" s="65"/>
    </row>
    <row r="718" spans="1:6" x14ac:dyDescent="0.25">
      <c r="A718" s="61"/>
      <c r="B718" s="61"/>
      <c r="C718" s="62"/>
      <c r="D718" s="63"/>
      <c r="E718" s="64"/>
      <c r="F718" s="65"/>
    </row>
    <row r="719" spans="1:6" x14ac:dyDescent="0.25">
      <c r="A719" s="61"/>
      <c r="B719" s="61"/>
      <c r="C719" s="62"/>
      <c r="D719" s="63"/>
      <c r="E719" s="64"/>
      <c r="F719" s="65"/>
    </row>
    <row r="720" spans="1:6" x14ac:dyDescent="0.25">
      <c r="A720" s="61"/>
      <c r="B720" s="61"/>
      <c r="C720" s="62"/>
      <c r="D720" s="63"/>
      <c r="E720" s="64"/>
      <c r="F720" s="65"/>
    </row>
    <row r="721" spans="1:6" x14ac:dyDescent="0.25">
      <c r="A721" s="61"/>
      <c r="B721" s="61"/>
      <c r="C721" s="62"/>
      <c r="D721" s="63"/>
      <c r="E721" s="64"/>
      <c r="F721" s="65"/>
    </row>
    <row r="722" spans="1:6" x14ac:dyDescent="0.25">
      <c r="A722" s="61"/>
      <c r="B722" s="61"/>
      <c r="C722" s="62"/>
      <c r="D722" s="63"/>
      <c r="E722" s="64"/>
      <c r="F722" s="65"/>
    </row>
    <row r="723" spans="1:6" x14ac:dyDescent="0.25">
      <c r="A723" s="61"/>
      <c r="B723" s="61"/>
      <c r="C723" s="62"/>
      <c r="D723" s="63"/>
      <c r="E723" s="64"/>
      <c r="F723" s="65"/>
    </row>
    <row r="724" spans="1:6" x14ac:dyDescent="0.25">
      <c r="A724" s="61"/>
      <c r="B724" s="61"/>
      <c r="C724" s="62"/>
      <c r="D724" s="63"/>
      <c r="E724" s="64"/>
      <c r="F724" s="65"/>
    </row>
    <row r="725" spans="1:6" x14ac:dyDescent="0.25">
      <c r="A725" s="61"/>
      <c r="B725" s="61"/>
      <c r="C725" s="62"/>
      <c r="D725" s="63"/>
      <c r="E725" s="64"/>
      <c r="F725" s="65"/>
    </row>
    <row r="726" spans="1:6" x14ac:dyDescent="0.25">
      <c r="A726" s="61"/>
      <c r="B726" s="61"/>
      <c r="C726" s="62"/>
      <c r="D726" s="63"/>
      <c r="E726" s="64"/>
      <c r="F726" s="65"/>
    </row>
    <row r="727" spans="1:6" x14ac:dyDescent="0.25">
      <c r="A727" s="61"/>
      <c r="B727" s="61"/>
      <c r="C727" s="62"/>
      <c r="D727" s="63"/>
      <c r="E727" s="64"/>
      <c r="F727" s="65"/>
    </row>
    <row r="728" spans="1:6" x14ac:dyDescent="0.25">
      <c r="A728" s="61"/>
      <c r="B728" s="61"/>
      <c r="C728" s="62"/>
      <c r="D728" s="63"/>
      <c r="E728" s="64"/>
      <c r="F728" s="65"/>
    </row>
    <row r="729" spans="1:6" x14ac:dyDescent="0.25">
      <c r="A729" s="61"/>
      <c r="B729" s="61"/>
      <c r="C729" s="62"/>
      <c r="D729" s="63"/>
      <c r="E729" s="64"/>
      <c r="F729" s="65"/>
    </row>
    <row r="730" spans="1:6" x14ac:dyDescent="0.25">
      <c r="A730" s="61"/>
      <c r="B730" s="61"/>
      <c r="C730" s="62"/>
      <c r="D730" s="63"/>
      <c r="E730" s="64"/>
      <c r="F730" s="65"/>
    </row>
    <row r="731" spans="1:6" x14ac:dyDescent="0.25">
      <c r="A731" s="61"/>
      <c r="B731" s="61"/>
      <c r="C731" s="62"/>
      <c r="D731" s="63"/>
      <c r="E731" s="64"/>
      <c r="F731" s="65"/>
    </row>
    <row r="732" spans="1:6" x14ac:dyDescent="0.25">
      <c r="A732" s="61"/>
      <c r="B732" s="61"/>
      <c r="C732" s="62"/>
      <c r="D732" s="63"/>
      <c r="E732" s="64"/>
      <c r="F732" s="65"/>
    </row>
    <row r="733" spans="1:6" x14ac:dyDescent="0.25">
      <c r="A733" s="61"/>
      <c r="B733" s="61"/>
      <c r="C733" s="62"/>
      <c r="D733" s="63"/>
      <c r="E733" s="64"/>
      <c r="F733" s="65"/>
    </row>
    <row r="734" spans="1:6" x14ac:dyDescent="0.25">
      <c r="A734" s="61"/>
      <c r="B734" s="61"/>
      <c r="C734" s="62"/>
      <c r="D734" s="63"/>
      <c r="E734" s="64"/>
      <c r="F734" s="65"/>
    </row>
    <row r="735" spans="1:6" x14ac:dyDescent="0.25">
      <c r="A735" s="61"/>
      <c r="B735" s="61"/>
      <c r="C735" s="62"/>
      <c r="D735" s="63"/>
      <c r="E735" s="64"/>
      <c r="F735" s="65"/>
    </row>
    <row r="736" spans="1:6" x14ac:dyDescent="0.25">
      <c r="A736" s="61"/>
      <c r="B736" s="61"/>
      <c r="C736" s="62"/>
      <c r="D736" s="63"/>
      <c r="E736" s="64"/>
      <c r="F736" s="65"/>
    </row>
    <row r="737" spans="1:6" x14ac:dyDescent="0.25">
      <c r="A737" s="61"/>
      <c r="B737" s="61"/>
      <c r="C737" s="62"/>
      <c r="D737" s="63"/>
      <c r="E737" s="64"/>
      <c r="F737" s="65"/>
    </row>
    <row r="738" spans="1:6" x14ac:dyDescent="0.25">
      <c r="A738" s="61"/>
      <c r="B738" s="61"/>
      <c r="C738" s="62"/>
      <c r="D738" s="63"/>
      <c r="E738" s="64"/>
      <c r="F738" s="65"/>
    </row>
    <row r="739" spans="1:6" x14ac:dyDescent="0.25">
      <c r="A739" s="61"/>
      <c r="B739" s="61"/>
      <c r="C739" s="62"/>
      <c r="D739" s="63"/>
      <c r="E739" s="64"/>
      <c r="F739" s="65"/>
    </row>
    <row r="740" spans="1:6" x14ac:dyDescent="0.25">
      <c r="A740" s="61"/>
      <c r="B740" s="61"/>
      <c r="C740" s="62"/>
      <c r="D740" s="63"/>
      <c r="E740" s="64"/>
      <c r="F740" s="65"/>
    </row>
    <row r="741" spans="1:6" x14ac:dyDescent="0.25">
      <c r="A741" s="61"/>
      <c r="B741" s="61"/>
      <c r="C741" s="62"/>
      <c r="D741" s="63"/>
      <c r="E741" s="64"/>
      <c r="F741" s="65"/>
    </row>
    <row r="742" spans="1:6" x14ac:dyDescent="0.25">
      <c r="A742" s="61"/>
      <c r="B742" s="61"/>
      <c r="C742" s="62"/>
      <c r="D742" s="63"/>
      <c r="E742" s="64"/>
      <c r="F742" s="65"/>
    </row>
    <row r="743" spans="1:6" x14ac:dyDescent="0.25">
      <c r="A743" s="61"/>
      <c r="B743" s="61"/>
      <c r="C743" s="62"/>
      <c r="D743" s="63"/>
      <c r="E743" s="64"/>
      <c r="F743" s="65"/>
    </row>
    <row r="744" spans="1:6" x14ac:dyDescent="0.25">
      <c r="A744" s="61"/>
      <c r="B744" s="61"/>
      <c r="C744" s="62"/>
      <c r="D744" s="63"/>
      <c r="E744" s="64"/>
      <c r="F744" s="65"/>
    </row>
    <row r="745" spans="1:6" x14ac:dyDescent="0.25">
      <c r="A745" s="61"/>
      <c r="B745" s="61"/>
      <c r="C745" s="62"/>
      <c r="D745" s="63"/>
      <c r="E745" s="64"/>
      <c r="F745" s="65"/>
    </row>
    <row r="746" spans="1:6" x14ac:dyDescent="0.25">
      <c r="A746" s="61"/>
      <c r="B746" s="61"/>
      <c r="C746" s="62"/>
      <c r="D746" s="63"/>
      <c r="E746" s="64"/>
      <c r="F746" s="65"/>
    </row>
    <row r="747" spans="1:6" x14ac:dyDescent="0.25">
      <c r="A747" s="61"/>
      <c r="B747" s="61"/>
      <c r="C747" s="62"/>
      <c r="D747" s="63"/>
      <c r="E747" s="64"/>
      <c r="F747" s="65"/>
    </row>
    <row r="748" spans="1:6" x14ac:dyDescent="0.25">
      <c r="A748" s="61"/>
      <c r="B748" s="61"/>
      <c r="C748" s="62"/>
      <c r="D748" s="63"/>
      <c r="E748" s="64"/>
      <c r="F748" s="65"/>
    </row>
    <row r="749" spans="1:6" x14ac:dyDescent="0.25">
      <c r="A749" s="61"/>
      <c r="B749" s="61"/>
      <c r="C749" s="62"/>
      <c r="D749" s="63"/>
      <c r="E749" s="64"/>
      <c r="F749" s="65"/>
    </row>
    <row r="750" spans="1:6" x14ac:dyDescent="0.25">
      <c r="A750" s="61"/>
      <c r="B750" s="61"/>
      <c r="C750" s="62"/>
      <c r="D750" s="63"/>
      <c r="E750" s="64"/>
      <c r="F750" s="65"/>
    </row>
    <row r="751" spans="1:6" x14ac:dyDescent="0.25">
      <c r="A751" s="61"/>
      <c r="B751" s="61"/>
      <c r="C751" s="62"/>
      <c r="D751" s="63"/>
      <c r="E751" s="64"/>
      <c r="F751" s="65"/>
    </row>
    <row r="752" spans="1:6" x14ac:dyDescent="0.25">
      <c r="A752" s="61"/>
      <c r="B752" s="61"/>
      <c r="C752" s="62"/>
      <c r="D752" s="63"/>
      <c r="E752" s="64"/>
      <c r="F752" s="65"/>
    </row>
    <row r="753" spans="1:6" x14ac:dyDescent="0.25">
      <c r="A753" s="61"/>
      <c r="B753" s="61"/>
      <c r="C753" s="62"/>
      <c r="D753" s="63"/>
      <c r="E753" s="64"/>
      <c r="F753" s="65"/>
    </row>
    <row r="754" spans="1:6" x14ac:dyDescent="0.25">
      <c r="A754" s="61"/>
      <c r="B754" s="61"/>
      <c r="C754" s="62"/>
      <c r="D754" s="63"/>
      <c r="E754" s="64"/>
      <c r="F754" s="65"/>
    </row>
    <row r="755" spans="1:6" x14ac:dyDescent="0.25">
      <c r="A755" s="61"/>
      <c r="B755" s="61"/>
      <c r="C755" s="62"/>
      <c r="D755" s="63"/>
      <c r="E755" s="64"/>
      <c r="F755" s="65"/>
    </row>
    <row r="756" spans="1:6" x14ac:dyDescent="0.25">
      <c r="A756" s="61"/>
      <c r="B756" s="61"/>
      <c r="C756" s="62"/>
      <c r="D756" s="63"/>
      <c r="E756" s="64"/>
      <c r="F756" s="65"/>
    </row>
    <row r="757" spans="1:6" x14ac:dyDescent="0.25">
      <c r="A757" s="61"/>
      <c r="B757" s="61"/>
      <c r="C757" s="62"/>
      <c r="D757" s="63"/>
      <c r="E757" s="64"/>
      <c r="F757" s="65"/>
    </row>
    <row r="758" spans="1:6" x14ac:dyDescent="0.25">
      <c r="A758" s="61"/>
      <c r="B758" s="61"/>
      <c r="C758" s="62"/>
      <c r="D758" s="63"/>
      <c r="E758" s="64"/>
      <c r="F758" s="65"/>
    </row>
    <row r="759" spans="1:6" x14ac:dyDescent="0.25">
      <c r="A759" s="61"/>
      <c r="B759" s="61"/>
      <c r="C759" s="62"/>
      <c r="D759" s="63"/>
      <c r="E759" s="64"/>
      <c r="F759" s="65"/>
    </row>
    <row r="760" spans="1:6" x14ac:dyDescent="0.25">
      <c r="A760" s="61"/>
      <c r="B760" s="61"/>
      <c r="C760" s="62"/>
      <c r="D760" s="63"/>
      <c r="E760" s="64"/>
      <c r="F760" s="65"/>
    </row>
    <row r="761" spans="1:6" x14ac:dyDescent="0.25">
      <c r="A761" s="61"/>
      <c r="B761" s="61"/>
      <c r="C761" s="62"/>
      <c r="D761" s="63"/>
      <c r="E761" s="64"/>
      <c r="F761" s="65"/>
    </row>
    <row r="762" spans="1:6" x14ac:dyDescent="0.25">
      <c r="A762" s="61"/>
      <c r="B762" s="61"/>
      <c r="C762" s="62"/>
      <c r="D762" s="63"/>
      <c r="E762" s="64"/>
      <c r="F762" s="65"/>
    </row>
    <row r="763" spans="1:6" x14ac:dyDescent="0.25">
      <c r="A763" s="61"/>
      <c r="B763" s="61"/>
      <c r="C763" s="62"/>
      <c r="D763" s="63"/>
      <c r="E763" s="64"/>
      <c r="F763" s="65"/>
    </row>
    <row r="764" spans="1:6" x14ac:dyDescent="0.25">
      <c r="A764" s="61"/>
      <c r="B764" s="61"/>
      <c r="C764" s="62"/>
      <c r="D764" s="63"/>
      <c r="E764" s="64"/>
      <c r="F764" s="65"/>
    </row>
    <row r="765" spans="1:6" x14ac:dyDescent="0.25">
      <c r="A765" s="61"/>
      <c r="B765" s="61"/>
      <c r="C765" s="62"/>
      <c r="D765" s="63"/>
      <c r="E765" s="64"/>
      <c r="F765" s="65"/>
    </row>
    <row r="766" spans="1:6" x14ac:dyDescent="0.25">
      <c r="A766" s="61"/>
      <c r="B766" s="61"/>
      <c r="C766" s="62"/>
      <c r="D766" s="63"/>
      <c r="E766" s="64"/>
      <c r="F766" s="65"/>
    </row>
    <row r="767" spans="1:6" x14ac:dyDescent="0.25">
      <c r="A767" s="61"/>
      <c r="B767" s="61"/>
      <c r="C767" s="62"/>
      <c r="D767" s="63"/>
      <c r="E767" s="64"/>
      <c r="F767" s="65"/>
    </row>
    <row r="768" spans="1:6" x14ac:dyDescent="0.25">
      <c r="A768" s="61"/>
      <c r="B768" s="61"/>
      <c r="C768" s="62"/>
      <c r="D768" s="63"/>
      <c r="E768" s="64"/>
      <c r="F768" s="65"/>
    </row>
    <row r="769" spans="1:6" x14ac:dyDescent="0.25">
      <c r="A769" s="61"/>
      <c r="B769" s="61"/>
      <c r="C769" s="62"/>
      <c r="D769" s="63"/>
      <c r="E769" s="64"/>
      <c r="F769" s="65"/>
    </row>
    <row r="770" spans="1:6" x14ac:dyDescent="0.25">
      <c r="A770" s="61"/>
      <c r="B770" s="61"/>
      <c r="C770" s="62"/>
      <c r="D770" s="63"/>
      <c r="E770" s="64"/>
      <c r="F770" s="65"/>
    </row>
    <row r="771" spans="1:6" x14ac:dyDescent="0.25">
      <c r="A771" s="61"/>
      <c r="B771" s="61"/>
      <c r="C771" s="62"/>
      <c r="D771" s="63"/>
      <c r="E771" s="64"/>
      <c r="F771" s="65"/>
    </row>
    <row r="772" spans="1:6" x14ac:dyDescent="0.25">
      <c r="A772" s="61"/>
      <c r="B772" s="61"/>
      <c r="C772" s="62"/>
      <c r="D772" s="63"/>
      <c r="E772" s="64"/>
      <c r="F772" s="65"/>
    </row>
    <row r="773" spans="1:6" x14ac:dyDescent="0.25">
      <c r="A773" s="61"/>
      <c r="B773" s="61"/>
      <c r="C773" s="62"/>
      <c r="D773" s="63"/>
      <c r="E773" s="64"/>
      <c r="F773" s="65"/>
    </row>
    <row r="774" spans="1:6" x14ac:dyDescent="0.25">
      <c r="A774" s="61"/>
      <c r="B774" s="61"/>
      <c r="C774" s="62"/>
      <c r="D774" s="63"/>
      <c r="E774" s="64"/>
      <c r="F774" s="65"/>
    </row>
    <row r="775" spans="1:6" x14ac:dyDescent="0.25">
      <c r="A775" s="61"/>
      <c r="B775" s="61"/>
      <c r="C775" s="62"/>
      <c r="D775" s="63"/>
      <c r="E775" s="64"/>
      <c r="F775" s="65"/>
    </row>
    <row r="776" spans="1:6" x14ac:dyDescent="0.25">
      <c r="A776" s="61"/>
      <c r="B776" s="61"/>
      <c r="C776" s="62"/>
      <c r="D776" s="63"/>
      <c r="E776" s="64"/>
      <c r="F776" s="65"/>
    </row>
    <row r="777" spans="1:6" x14ac:dyDescent="0.25">
      <c r="A777" s="61"/>
      <c r="B777" s="61"/>
      <c r="C777" s="62"/>
      <c r="D777" s="63"/>
      <c r="E777" s="64"/>
      <c r="F777" s="65"/>
    </row>
    <row r="778" spans="1:6" x14ac:dyDescent="0.25">
      <c r="A778" s="61"/>
      <c r="B778" s="61"/>
      <c r="C778" s="62"/>
      <c r="D778" s="63"/>
      <c r="E778" s="64"/>
      <c r="F778" s="65"/>
    </row>
    <row r="779" spans="1:6" x14ac:dyDescent="0.25">
      <c r="A779" s="61"/>
      <c r="B779" s="61"/>
      <c r="C779" s="62"/>
      <c r="D779" s="63"/>
      <c r="E779" s="64"/>
      <c r="F779" s="65"/>
    </row>
    <row r="780" spans="1:6" x14ac:dyDescent="0.25">
      <c r="A780" s="61"/>
      <c r="B780" s="61"/>
      <c r="C780" s="62"/>
      <c r="D780" s="63"/>
      <c r="E780" s="64"/>
      <c r="F780" s="65"/>
    </row>
    <row r="781" spans="1:6" x14ac:dyDescent="0.25">
      <c r="A781" s="61"/>
      <c r="B781" s="61"/>
      <c r="C781" s="62"/>
      <c r="D781" s="63"/>
      <c r="E781" s="64"/>
      <c r="F781" s="65"/>
    </row>
    <row r="782" spans="1:6" x14ac:dyDescent="0.25">
      <c r="A782" s="61"/>
      <c r="B782" s="61"/>
      <c r="C782" s="62"/>
      <c r="D782" s="63"/>
      <c r="E782" s="64"/>
      <c r="F782" s="65"/>
    </row>
    <row r="783" spans="1:6" x14ac:dyDescent="0.25">
      <c r="A783" s="61"/>
      <c r="B783" s="61"/>
      <c r="C783" s="62"/>
      <c r="D783" s="63"/>
      <c r="E783" s="64"/>
      <c r="F783" s="65"/>
    </row>
    <row r="784" spans="1:6" x14ac:dyDescent="0.25">
      <c r="A784" s="61"/>
      <c r="B784" s="61"/>
      <c r="C784" s="62"/>
      <c r="D784" s="63"/>
      <c r="E784" s="64"/>
      <c r="F784" s="65"/>
    </row>
    <row r="785" spans="1:6" x14ac:dyDescent="0.25">
      <c r="A785" s="61"/>
      <c r="B785" s="61"/>
      <c r="C785" s="62"/>
      <c r="D785" s="63"/>
      <c r="E785" s="64"/>
      <c r="F785" s="65"/>
    </row>
    <row r="786" spans="1:6" x14ac:dyDescent="0.25">
      <c r="A786" s="61"/>
      <c r="B786" s="61"/>
      <c r="C786" s="62"/>
      <c r="D786" s="63"/>
      <c r="E786" s="64"/>
      <c r="F786" s="65"/>
    </row>
    <row r="787" spans="1:6" x14ac:dyDescent="0.25">
      <c r="A787" s="61"/>
      <c r="B787" s="61"/>
      <c r="C787" s="62"/>
      <c r="D787" s="63"/>
      <c r="E787" s="64"/>
      <c r="F787" s="65"/>
    </row>
    <row r="788" spans="1:6" x14ac:dyDescent="0.25">
      <c r="A788" s="61"/>
      <c r="B788" s="61"/>
      <c r="C788" s="62"/>
      <c r="D788" s="63"/>
      <c r="E788" s="64"/>
      <c r="F788" s="65"/>
    </row>
    <row r="789" spans="1:6" x14ac:dyDescent="0.25">
      <c r="A789" s="61"/>
      <c r="B789" s="61"/>
      <c r="C789" s="62"/>
      <c r="D789" s="63"/>
      <c r="E789" s="64"/>
      <c r="F789" s="65"/>
    </row>
    <row r="790" spans="1:6" x14ac:dyDescent="0.25">
      <c r="A790" s="61"/>
      <c r="B790" s="61"/>
      <c r="C790" s="62"/>
      <c r="D790" s="63"/>
      <c r="E790" s="64"/>
      <c r="F790" s="65"/>
    </row>
    <row r="791" spans="1:6" x14ac:dyDescent="0.25">
      <c r="A791" s="61"/>
      <c r="B791" s="61"/>
      <c r="C791" s="62"/>
      <c r="D791" s="63"/>
      <c r="E791" s="64"/>
      <c r="F791" s="65"/>
    </row>
    <row r="792" spans="1:6" x14ac:dyDescent="0.25">
      <c r="A792" s="61"/>
      <c r="B792" s="61"/>
      <c r="C792" s="62"/>
      <c r="D792" s="63"/>
      <c r="E792" s="64"/>
      <c r="F792" s="65"/>
    </row>
    <row r="793" spans="1:6" x14ac:dyDescent="0.25">
      <c r="A793" s="61"/>
      <c r="B793" s="61"/>
      <c r="C793" s="62"/>
      <c r="D793" s="63"/>
      <c r="E793" s="64"/>
      <c r="F793" s="65"/>
    </row>
    <row r="794" spans="1:6" x14ac:dyDescent="0.25">
      <c r="A794" s="61"/>
      <c r="B794" s="61"/>
      <c r="C794" s="62"/>
      <c r="D794" s="63"/>
      <c r="E794" s="64"/>
      <c r="F794" s="65"/>
    </row>
    <row r="795" spans="1:6" x14ac:dyDescent="0.25">
      <c r="A795" s="61"/>
      <c r="B795" s="61"/>
      <c r="C795" s="62"/>
      <c r="D795" s="63"/>
      <c r="E795" s="64"/>
      <c r="F795" s="65"/>
    </row>
    <row r="796" spans="1:6" x14ac:dyDescent="0.25">
      <c r="A796" s="61"/>
      <c r="B796" s="61"/>
      <c r="C796" s="62"/>
      <c r="D796" s="63"/>
      <c r="E796" s="64"/>
      <c r="F796" s="65"/>
    </row>
    <row r="797" spans="1:6" x14ac:dyDescent="0.25">
      <c r="A797" s="61"/>
      <c r="B797" s="61"/>
      <c r="C797" s="62"/>
      <c r="D797" s="63"/>
      <c r="E797" s="64"/>
      <c r="F797" s="65"/>
    </row>
    <row r="798" spans="1:6" x14ac:dyDescent="0.25">
      <c r="A798" s="61"/>
      <c r="B798" s="61"/>
      <c r="C798" s="62"/>
      <c r="D798" s="63"/>
      <c r="E798" s="64"/>
      <c r="F798" s="65"/>
    </row>
    <row r="799" spans="1:6" x14ac:dyDescent="0.25">
      <c r="A799" s="61"/>
      <c r="B799" s="61"/>
      <c r="C799" s="62"/>
      <c r="D799" s="63"/>
      <c r="E799" s="64"/>
      <c r="F799" s="65"/>
    </row>
    <row r="800" spans="1:6" x14ac:dyDescent="0.25">
      <c r="A800" s="61"/>
      <c r="B800" s="61"/>
      <c r="C800" s="62"/>
      <c r="D800" s="63"/>
      <c r="E800" s="64"/>
      <c r="F800" s="65"/>
    </row>
    <row r="801" spans="1:6" x14ac:dyDescent="0.25">
      <c r="A801" s="61"/>
      <c r="B801" s="61"/>
      <c r="C801" s="62"/>
      <c r="D801" s="63"/>
      <c r="E801" s="64"/>
      <c r="F801" s="65"/>
    </row>
    <row r="802" spans="1:6" x14ac:dyDescent="0.25">
      <c r="A802" s="61"/>
      <c r="B802" s="61"/>
      <c r="C802" s="62"/>
      <c r="D802" s="63"/>
      <c r="E802" s="64"/>
      <c r="F802" s="65"/>
    </row>
    <row r="803" spans="1:6" x14ac:dyDescent="0.25">
      <c r="A803" s="61"/>
      <c r="B803" s="61"/>
      <c r="C803" s="62"/>
      <c r="D803" s="63"/>
      <c r="E803" s="64"/>
      <c r="F803" s="65"/>
    </row>
    <row r="804" spans="1:6" x14ac:dyDescent="0.25">
      <c r="A804" s="61"/>
      <c r="B804" s="61"/>
      <c r="C804" s="62"/>
      <c r="D804" s="63"/>
      <c r="E804" s="64"/>
      <c r="F804" s="65"/>
    </row>
    <row r="805" spans="1:6" x14ac:dyDescent="0.25">
      <c r="A805" s="61"/>
      <c r="B805" s="61"/>
      <c r="C805" s="62"/>
      <c r="D805" s="63"/>
      <c r="E805" s="64"/>
      <c r="F805" s="65"/>
    </row>
    <row r="806" spans="1:6" x14ac:dyDescent="0.25">
      <c r="A806" s="61"/>
      <c r="B806" s="61"/>
      <c r="C806" s="62"/>
      <c r="D806" s="63"/>
      <c r="E806" s="64"/>
      <c r="F806" s="65"/>
    </row>
    <row r="807" spans="1:6" x14ac:dyDescent="0.25">
      <c r="A807" s="61"/>
      <c r="B807" s="61"/>
      <c r="C807" s="62"/>
      <c r="D807" s="63"/>
      <c r="E807" s="64"/>
      <c r="F807" s="65"/>
    </row>
    <row r="808" spans="1:6" x14ac:dyDescent="0.25">
      <c r="A808" s="61"/>
      <c r="B808" s="61"/>
      <c r="C808" s="62"/>
      <c r="D808" s="63"/>
      <c r="E808" s="64"/>
      <c r="F808" s="65"/>
    </row>
    <row r="809" spans="1:6" x14ac:dyDescent="0.25">
      <c r="A809" s="61"/>
      <c r="B809" s="61"/>
      <c r="C809" s="62"/>
      <c r="D809" s="63"/>
      <c r="E809" s="64"/>
      <c r="F809" s="65"/>
    </row>
    <row r="810" spans="1:6" x14ac:dyDescent="0.25">
      <c r="A810" s="61"/>
      <c r="B810" s="61"/>
      <c r="C810" s="62"/>
      <c r="D810" s="63"/>
      <c r="E810" s="64"/>
      <c r="F810" s="65"/>
    </row>
    <row r="811" spans="1:6" x14ac:dyDescent="0.25">
      <c r="A811" s="61"/>
      <c r="B811" s="61"/>
      <c r="C811" s="62"/>
      <c r="D811" s="63"/>
      <c r="E811" s="59"/>
      <c r="F811" s="65"/>
    </row>
    <row r="812" spans="1:6" x14ac:dyDescent="0.25">
      <c r="A812" s="61"/>
      <c r="B812" s="61"/>
      <c r="C812" s="62"/>
      <c r="D812" s="63"/>
      <c r="E812" s="59"/>
      <c r="F812" s="65"/>
    </row>
    <row r="813" spans="1:6" x14ac:dyDescent="0.25">
      <c r="A813" s="61"/>
      <c r="B813" s="61"/>
      <c r="C813" s="62"/>
      <c r="D813" s="63"/>
      <c r="E813" s="59"/>
      <c r="F813" s="65"/>
    </row>
    <row r="814" spans="1:6" x14ac:dyDescent="0.25">
      <c r="A814" s="61"/>
      <c r="B814" s="61"/>
      <c r="C814" s="62"/>
      <c r="D814" s="58"/>
      <c r="E814" s="59"/>
      <c r="F814" s="65"/>
    </row>
    <row r="815" spans="1:6" x14ac:dyDescent="0.25">
      <c r="A815" s="61"/>
      <c r="B815" s="61"/>
      <c r="C815" s="62"/>
      <c r="D815" s="58"/>
      <c r="E815" s="59"/>
      <c r="F815" s="65"/>
    </row>
    <row r="816" spans="1:6" x14ac:dyDescent="0.25">
      <c r="A816" s="61"/>
      <c r="B816" s="61"/>
      <c r="C816" s="62"/>
      <c r="D816" s="58"/>
      <c r="E816" s="59"/>
      <c r="F816" s="65"/>
    </row>
    <row r="817" spans="1:6" x14ac:dyDescent="0.25">
      <c r="A817" s="61"/>
      <c r="B817" s="61"/>
      <c r="C817" s="62"/>
      <c r="D817" s="58"/>
      <c r="E817" s="59"/>
      <c r="F817" s="65"/>
    </row>
    <row r="818" spans="1:6" x14ac:dyDescent="0.25">
      <c r="A818" s="56"/>
      <c r="B818" s="56"/>
      <c r="C818" s="57"/>
      <c r="D818" s="58"/>
      <c r="E818" s="59"/>
      <c r="F818" s="60"/>
    </row>
    <row r="819" spans="1:6" x14ac:dyDescent="0.25">
      <c r="A819" s="56"/>
      <c r="B819" s="56"/>
      <c r="C819" s="57"/>
      <c r="D819" s="58"/>
      <c r="E819" s="59"/>
      <c r="F819" s="60"/>
    </row>
    <row r="820" spans="1:6" x14ac:dyDescent="0.25">
      <c r="A820" s="56"/>
      <c r="B820" s="56"/>
      <c r="C820" s="57"/>
      <c r="D820" s="58"/>
      <c r="E820" s="59"/>
      <c r="F820" s="60"/>
    </row>
    <row r="821" spans="1:6" x14ac:dyDescent="0.25">
      <c r="A821" s="56"/>
      <c r="B821" s="56"/>
      <c r="C821" s="57"/>
      <c r="D821" s="58"/>
      <c r="E821" s="59"/>
      <c r="F821" s="60"/>
    </row>
    <row r="822" spans="1:6" x14ac:dyDescent="0.25">
      <c r="A822" s="56"/>
      <c r="B822" s="56"/>
      <c r="C822" s="57"/>
      <c r="D822" s="58"/>
      <c r="E822" s="59"/>
      <c r="F822" s="60"/>
    </row>
    <row r="823" spans="1:6" x14ac:dyDescent="0.25">
      <c r="A823" s="56"/>
      <c r="B823" s="56"/>
      <c r="C823" s="57"/>
      <c r="D823" s="58"/>
      <c r="E823" s="59"/>
      <c r="F823" s="60"/>
    </row>
    <row r="824" spans="1:6" x14ac:dyDescent="0.25">
      <c r="A824" s="56"/>
      <c r="B824" s="56"/>
      <c r="C824" s="57"/>
      <c r="D824" s="58"/>
      <c r="E824" s="59"/>
      <c r="F824" s="60"/>
    </row>
    <row r="825" spans="1:6" x14ac:dyDescent="0.25">
      <c r="A825" s="56"/>
      <c r="B825" s="56"/>
      <c r="C825" s="57"/>
      <c r="D825" s="63"/>
      <c r="E825" s="64"/>
      <c r="F825" s="60"/>
    </row>
    <row r="826" spans="1:6" x14ac:dyDescent="0.25">
      <c r="A826" s="56"/>
      <c r="B826" s="56"/>
      <c r="C826" s="57"/>
      <c r="D826" s="63"/>
      <c r="E826" s="64"/>
      <c r="F826" s="60"/>
    </row>
    <row r="827" spans="1:6" x14ac:dyDescent="0.25">
      <c r="A827" s="56"/>
      <c r="B827" s="56"/>
      <c r="C827" s="57"/>
      <c r="D827" s="63"/>
      <c r="E827" s="64"/>
      <c r="F827" s="60"/>
    </row>
    <row r="828" spans="1:6" x14ac:dyDescent="0.25">
      <c r="A828" s="61"/>
      <c r="B828" s="61"/>
      <c r="C828" s="62"/>
      <c r="D828" s="63"/>
      <c r="E828" s="64"/>
      <c r="F828" s="65"/>
    </row>
    <row r="829" spans="1:6" x14ac:dyDescent="0.25">
      <c r="A829" s="61"/>
      <c r="B829" s="61"/>
      <c r="C829" s="62"/>
      <c r="D829" s="63"/>
      <c r="E829" s="64"/>
      <c r="F829" s="65"/>
    </row>
    <row r="830" spans="1:6" x14ac:dyDescent="0.25">
      <c r="A830" s="61"/>
      <c r="B830" s="61"/>
      <c r="C830" s="62"/>
      <c r="D830" s="63"/>
      <c r="E830" s="64"/>
      <c r="F830" s="65"/>
    </row>
    <row r="831" spans="1:6" x14ac:dyDescent="0.25">
      <c r="A831" s="61"/>
      <c r="B831" s="61"/>
      <c r="C831" s="62"/>
      <c r="D831" s="63"/>
      <c r="E831" s="64"/>
      <c r="F831" s="65"/>
    </row>
    <row r="832" spans="1:6" x14ac:dyDescent="0.25">
      <c r="A832" s="61"/>
      <c r="B832" s="61"/>
      <c r="C832" s="62"/>
      <c r="D832" s="63"/>
      <c r="E832" s="64"/>
      <c r="F832" s="65"/>
    </row>
    <row r="833" spans="1:6" x14ac:dyDescent="0.25">
      <c r="A833" s="61"/>
      <c r="B833" s="61"/>
      <c r="C833" s="62"/>
      <c r="D833" s="63"/>
      <c r="E833" s="64"/>
      <c r="F833" s="65"/>
    </row>
    <row r="834" spans="1:6" x14ac:dyDescent="0.25">
      <c r="A834" s="61"/>
      <c r="B834" s="61"/>
      <c r="C834" s="62"/>
      <c r="D834" s="63"/>
      <c r="E834" s="64"/>
      <c r="F834" s="65"/>
    </row>
    <row r="835" spans="1:6" x14ac:dyDescent="0.25">
      <c r="A835" s="61"/>
      <c r="B835" s="61"/>
      <c r="C835" s="62"/>
      <c r="D835" s="63"/>
      <c r="E835" s="64"/>
      <c r="F835" s="65"/>
    </row>
    <row r="836" spans="1:6" x14ac:dyDescent="0.25">
      <c r="A836" s="61"/>
      <c r="B836" s="61"/>
      <c r="C836" s="62"/>
      <c r="D836" s="63"/>
      <c r="E836" s="64"/>
      <c r="F836" s="65"/>
    </row>
    <row r="837" spans="1:6" x14ac:dyDescent="0.25">
      <c r="A837" s="61"/>
      <c r="B837" s="61"/>
      <c r="C837" s="62"/>
      <c r="D837" s="63"/>
      <c r="E837" s="64"/>
      <c r="F837" s="65"/>
    </row>
    <row r="838" spans="1:6" x14ac:dyDescent="0.25">
      <c r="A838" s="61"/>
      <c r="B838" s="61"/>
      <c r="C838" s="62"/>
      <c r="D838" s="63"/>
      <c r="E838" s="64"/>
      <c r="F838" s="65"/>
    </row>
    <row r="839" spans="1:6" x14ac:dyDescent="0.25">
      <c r="A839" s="61"/>
      <c r="B839" s="61"/>
      <c r="C839" s="62"/>
      <c r="D839" s="63"/>
      <c r="E839" s="64"/>
      <c r="F839" s="65"/>
    </row>
    <row r="840" spans="1:6" x14ac:dyDescent="0.25">
      <c r="A840" s="61"/>
      <c r="B840" s="61"/>
      <c r="C840" s="62"/>
      <c r="D840" s="63"/>
      <c r="E840" s="64"/>
      <c r="F840" s="65"/>
    </row>
    <row r="841" spans="1:6" x14ac:dyDescent="0.25">
      <c r="A841" s="61"/>
      <c r="B841" s="61"/>
      <c r="C841" s="62"/>
      <c r="D841" s="63"/>
      <c r="E841" s="64"/>
      <c r="F841" s="65"/>
    </row>
    <row r="842" spans="1:6" x14ac:dyDescent="0.25">
      <c r="A842" s="61"/>
      <c r="B842" s="61"/>
      <c r="C842" s="62"/>
      <c r="D842" s="63"/>
      <c r="E842" s="64"/>
      <c r="F842" s="65"/>
    </row>
    <row r="843" spans="1:6" x14ac:dyDescent="0.25">
      <c r="A843" s="61"/>
      <c r="B843" s="61"/>
      <c r="C843" s="62"/>
      <c r="D843" s="63"/>
      <c r="E843" s="64"/>
      <c r="F843" s="65"/>
    </row>
    <row r="844" spans="1:6" x14ac:dyDescent="0.25">
      <c r="A844" s="61"/>
      <c r="B844" s="61"/>
      <c r="C844" s="62"/>
      <c r="D844" s="63"/>
      <c r="E844" s="64"/>
      <c r="F844" s="65"/>
    </row>
    <row r="845" spans="1:6" x14ac:dyDescent="0.25">
      <c r="A845" s="61"/>
      <c r="B845" s="61"/>
      <c r="C845" s="62"/>
      <c r="D845" s="63"/>
      <c r="E845" s="64"/>
      <c r="F845" s="65"/>
    </row>
    <row r="846" spans="1:6" x14ac:dyDescent="0.25">
      <c r="A846" s="61"/>
      <c r="B846" s="61"/>
      <c r="C846" s="62"/>
      <c r="D846" s="63"/>
      <c r="E846" s="64"/>
      <c r="F846" s="65"/>
    </row>
    <row r="847" spans="1:6" x14ac:dyDescent="0.25">
      <c r="A847" s="61"/>
      <c r="B847" s="61"/>
      <c r="C847" s="62"/>
      <c r="D847" s="63"/>
      <c r="E847" s="64"/>
      <c r="F847" s="65"/>
    </row>
    <row r="848" spans="1:6" x14ac:dyDescent="0.25">
      <c r="A848" s="61"/>
      <c r="B848" s="61"/>
      <c r="C848" s="62"/>
      <c r="D848" s="63"/>
      <c r="E848" s="64"/>
      <c r="F848" s="65"/>
    </row>
    <row r="849" spans="1:6" x14ac:dyDescent="0.25">
      <c r="A849" s="61"/>
      <c r="B849" s="61"/>
      <c r="C849" s="62"/>
      <c r="D849" s="63"/>
      <c r="E849" s="64"/>
      <c r="F849" s="65"/>
    </row>
    <row r="850" spans="1:6" x14ac:dyDescent="0.25">
      <c r="A850" s="61"/>
      <c r="B850" s="61"/>
      <c r="C850" s="62"/>
      <c r="D850" s="63"/>
      <c r="E850" s="64"/>
      <c r="F850" s="65"/>
    </row>
    <row r="851" spans="1:6" x14ac:dyDescent="0.25">
      <c r="A851" s="61"/>
      <c r="B851" s="61"/>
      <c r="C851" s="62"/>
      <c r="D851" s="63"/>
      <c r="E851" s="64"/>
      <c r="F851" s="65"/>
    </row>
    <row r="852" spans="1:6" x14ac:dyDescent="0.25">
      <c r="A852" s="61"/>
      <c r="B852" s="61"/>
      <c r="C852" s="62"/>
      <c r="D852" s="63"/>
      <c r="E852" s="64"/>
      <c r="F852" s="65"/>
    </row>
    <row r="853" spans="1:6" x14ac:dyDescent="0.25">
      <c r="A853" s="61"/>
      <c r="B853" s="61"/>
      <c r="C853" s="62"/>
      <c r="D853" s="63"/>
      <c r="E853" s="64"/>
      <c r="F853" s="65"/>
    </row>
    <row r="854" spans="1:6" x14ac:dyDescent="0.25">
      <c r="A854" s="61"/>
      <c r="B854" s="61"/>
      <c r="C854" s="62"/>
      <c r="D854" s="63"/>
      <c r="E854" s="64"/>
      <c r="F854" s="65"/>
    </row>
    <row r="855" spans="1:6" x14ac:dyDescent="0.25">
      <c r="A855" s="61"/>
      <c r="B855" s="61"/>
      <c r="C855" s="62"/>
      <c r="D855" s="63"/>
      <c r="E855" s="64"/>
      <c r="F855" s="65"/>
    </row>
    <row r="856" spans="1:6" x14ac:dyDescent="0.25">
      <c r="A856" s="61"/>
      <c r="B856" s="61"/>
      <c r="C856" s="62"/>
      <c r="D856" s="63"/>
      <c r="E856" s="64"/>
      <c r="F856" s="65"/>
    </row>
    <row r="857" spans="1:6" x14ac:dyDescent="0.25">
      <c r="A857" s="61"/>
      <c r="B857" s="61"/>
      <c r="C857" s="62"/>
      <c r="D857" s="63"/>
      <c r="E857" s="64"/>
      <c r="F857" s="65"/>
    </row>
    <row r="858" spans="1:6" x14ac:dyDescent="0.25">
      <c r="A858" s="61"/>
      <c r="B858" s="61"/>
      <c r="C858" s="62"/>
      <c r="D858" s="63"/>
      <c r="E858" s="64"/>
      <c r="F858" s="65"/>
    </row>
    <row r="859" spans="1:6" x14ac:dyDescent="0.25">
      <c r="A859" s="61"/>
      <c r="B859" s="61"/>
      <c r="C859" s="62"/>
      <c r="D859" s="63"/>
      <c r="E859" s="64"/>
      <c r="F859" s="65"/>
    </row>
    <row r="860" spans="1:6" x14ac:dyDescent="0.25">
      <c r="A860" s="61"/>
      <c r="B860" s="61"/>
      <c r="C860" s="62"/>
      <c r="D860" s="63"/>
      <c r="E860" s="64"/>
      <c r="F860" s="65"/>
    </row>
    <row r="861" spans="1:6" x14ac:dyDescent="0.25">
      <c r="A861" s="61"/>
      <c r="B861" s="61"/>
      <c r="C861" s="62"/>
      <c r="D861" s="63"/>
      <c r="E861" s="64"/>
      <c r="F861" s="65"/>
    </row>
    <row r="862" spans="1:6" x14ac:dyDescent="0.25">
      <c r="A862" s="61"/>
      <c r="B862" s="61"/>
      <c r="C862" s="62"/>
      <c r="D862" s="63"/>
      <c r="E862" s="64"/>
      <c r="F862" s="65"/>
    </row>
    <row r="863" spans="1:6" x14ac:dyDescent="0.25">
      <c r="A863" s="61"/>
      <c r="B863" s="61"/>
      <c r="C863" s="62"/>
      <c r="D863" s="63"/>
      <c r="E863" s="64"/>
      <c r="F863" s="65"/>
    </row>
    <row r="864" spans="1:6" x14ac:dyDescent="0.25">
      <c r="A864" s="61"/>
      <c r="B864" s="61"/>
      <c r="C864" s="62"/>
      <c r="D864" s="63"/>
      <c r="E864" s="64"/>
      <c r="F864" s="65"/>
    </row>
    <row r="865" spans="1:6" x14ac:dyDescent="0.25">
      <c r="A865" s="61"/>
      <c r="B865" s="61"/>
      <c r="C865" s="62"/>
      <c r="D865" s="63"/>
      <c r="E865" s="64"/>
      <c r="F865" s="65"/>
    </row>
    <row r="866" spans="1:6" x14ac:dyDescent="0.25">
      <c r="A866" s="61"/>
      <c r="B866" s="61"/>
      <c r="C866" s="62"/>
      <c r="D866" s="63"/>
      <c r="E866" s="64"/>
      <c r="F866" s="65"/>
    </row>
    <row r="867" spans="1:6" x14ac:dyDescent="0.25">
      <c r="A867" s="61"/>
      <c r="B867" s="61"/>
      <c r="C867" s="62"/>
      <c r="D867" s="63"/>
      <c r="E867" s="64"/>
      <c r="F867" s="65"/>
    </row>
    <row r="868" spans="1:6" x14ac:dyDescent="0.25">
      <c r="A868" s="61"/>
      <c r="B868" s="61"/>
      <c r="C868" s="62"/>
      <c r="D868" s="63"/>
      <c r="E868" s="64"/>
      <c r="F868" s="65"/>
    </row>
    <row r="869" spans="1:6" x14ac:dyDescent="0.25">
      <c r="A869" s="61"/>
      <c r="B869" s="61"/>
      <c r="C869" s="62"/>
      <c r="D869" s="63"/>
      <c r="E869" s="64"/>
      <c r="F869" s="65"/>
    </row>
    <row r="870" spans="1:6" x14ac:dyDescent="0.25">
      <c r="A870" s="61"/>
      <c r="B870" s="61"/>
      <c r="C870" s="62"/>
      <c r="D870" s="63"/>
      <c r="E870" s="64"/>
      <c r="F870" s="65"/>
    </row>
    <row r="871" spans="1:6" x14ac:dyDescent="0.25">
      <c r="A871" s="61"/>
      <c r="B871" s="61"/>
      <c r="C871" s="62"/>
      <c r="D871" s="63"/>
      <c r="E871" s="64"/>
      <c r="F871" s="65"/>
    </row>
    <row r="872" spans="1:6" x14ac:dyDescent="0.25">
      <c r="A872" s="61"/>
      <c r="B872" s="61"/>
      <c r="C872" s="62"/>
      <c r="D872" s="63"/>
      <c r="E872" s="64"/>
      <c r="F872" s="65"/>
    </row>
    <row r="873" spans="1:6" x14ac:dyDescent="0.25">
      <c r="A873" s="61"/>
      <c r="B873" s="61"/>
      <c r="C873" s="62"/>
      <c r="D873" s="63"/>
      <c r="E873" s="64"/>
      <c r="F873" s="65"/>
    </row>
    <row r="874" spans="1:6" x14ac:dyDescent="0.25">
      <c r="A874" s="61"/>
      <c r="B874" s="61"/>
      <c r="C874" s="62"/>
      <c r="D874" s="63"/>
      <c r="E874" s="64"/>
      <c r="F874" s="65"/>
    </row>
    <row r="875" spans="1:6" x14ac:dyDescent="0.25">
      <c r="A875" s="61"/>
      <c r="B875" s="61"/>
      <c r="C875" s="62"/>
      <c r="D875" s="63"/>
      <c r="E875" s="64"/>
      <c r="F875" s="65"/>
    </row>
    <row r="876" spans="1:6" x14ac:dyDescent="0.25">
      <c r="A876" s="61"/>
      <c r="B876" s="61"/>
      <c r="C876" s="62"/>
      <c r="D876" s="63"/>
      <c r="E876" s="64"/>
      <c r="F876" s="65"/>
    </row>
    <row r="877" spans="1:6" x14ac:dyDescent="0.25">
      <c r="A877" s="61"/>
      <c r="B877" s="61"/>
      <c r="C877" s="62"/>
      <c r="D877" s="63"/>
      <c r="E877" s="64"/>
      <c r="F877" s="65"/>
    </row>
    <row r="878" spans="1:6" x14ac:dyDescent="0.25">
      <c r="A878" s="61"/>
      <c r="B878" s="61"/>
      <c r="C878" s="62"/>
      <c r="D878" s="63"/>
      <c r="E878" s="64"/>
      <c r="F878" s="65"/>
    </row>
    <row r="879" spans="1:6" x14ac:dyDescent="0.25">
      <c r="A879" s="61"/>
      <c r="B879" s="61"/>
      <c r="C879" s="62"/>
      <c r="D879" s="63"/>
      <c r="E879" s="64"/>
      <c r="F879" s="65"/>
    </row>
    <row r="880" spans="1:6" x14ac:dyDescent="0.25">
      <c r="A880" s="61"/>
      <c r="B880" s="61"/>
      <c r="C880" s="62"/>
      <c r="D880" s="63"/>
      <c r="E880" s="64"/>
      <c r="F880" s="65"/>
    </row>
    <row r="881" spans="1:6" x14ac:dyDescent="0.25">
      <c r="A881" s="61"/>
      <c r="B881" s="61"/>
      <c r="C881" s="62"/>
      <c r="D881" s="63"/>
      <c r="E881" s="64"/>
      <c r="F881" s="65"/>
    </row>
    <row r="882" spans="1:6" x14ac:dyDescent="0.25">
      <c r="A882" s="61"/>
      <c r="B882" s="61"/>
      <c r="C882" s="62"/>
      <c r="D882" s="63"/>
      <c r="E882" s="64"/>
      <c r="F882" s="65"/>
    </row>
    <row r="883" spans="1:6" x14ac:dyDescent="0.25">
      <c r="A883" s="61"/>
      <c r="B883" s="61"/>
      <c r="C883" s="62"/>
      <c r="D883" s="63"/>
      <c r="E883" s="64"/>
      <c r="F883" s="65"/>
    </row>
    <row r="884" spans="1:6" x14ac:dyDescent="0.25">
      <c r="A884" s="61"/>
      <c r="B884" s="61"/>
      <c r="C884" s="62"/>
      <c r="D884" s="63"/>
      <c r="E884" s="64"/>
      <c r="F884" s="65"/>
    </row>
    <row r="885" spans="1:6" x14ac:dyDescent="0.25">
      <c r="A885" s="61"/>
      <c r="B885" s="61"/>
      <c r="C885" s="62"/>
      <c r="D885" s="63"/>
      <c r="E885" s="64"/>
      <c r="F885" s="65"/>
    </row>
    <row r="886" spans="1:6" x14ac:dyDescent="0.25">
      <c r="A886" s="61"/>
      <c r="B886" s="61"/>
      <c r="C886" s="62"/>
      <c r="D886" s="63"/>
      <c r="E886" s="64"/>
      <c r="F886" s="65"/>
    </row>
    <row r="887" spans="1:6" x14ac:dyDescent="0.25">
      <c r="A887" s="61"/>
      <c r="B887" s="61"/>
      <c r="C887" s="62"/>
      <c r="D887" s="63"/>
      <c r="E887" s="64"/>
      <c r="F887" s="65"/>
    </row>
    <row r="888" spans="1:6" x14ac:dyDescent="0.25">
      <c r="A888" s="61"/>
      <c r="B888" s="61"/>
      <c r="C888" s="62"/>
      <c r="D888" s="63"/>
      <c r="E888" s="64"/>
      <c r="F888" s="65"/>
    </row>
    <row r="889" spans="1:6" x14ac:dyDescent="0.25">
      <c r="A889" s="61"/>
      <c r="B889" s="61"/>
      <c r="C889" s="62"/>
      <c r="D889" s="63"/>
      <c r="E889" s="64"/>
      <c r="F889" s="65"/>
    </row>
    <row r="890" spans="1:6" x14ac:dyDescent="0.25">
      <c r="A890" s="61"/>
      <c r="B890" s="61"/>
      <c r="C890" s="62"/>
      <c r="D890" s="63"/>
      <c r="E890" s="64"/>
      <c r="F890" s="65"/>
    </row>
    <row r="891" spans="1:6" x14ac:dyDescent="0.25">
      <c r="A891" s="61"/>
      <c r="B891" s="61"/>
      <c r="C891" s="62"/>
      <c r="D891" s="63"/>
      <c r="E891" s="64"/>
      <c r="F891" s="65"/>
    </row>
    <row r="892" spans="1:6" x14ac:dyDescent="0.25">
      <c r="A892" s="61"/>
      <c r="B892" s="61"/>
      <c r="C892" s="62"/>
      <c r="D892" s="63"/>
      <c r="E892" s="64"/>
      <c r="F892" s="65"/>
    </row>
    <row r="893" spans="1:6" x14ac:dyDescent="0.25">
      <c r="A893" s="61"/>
      <c r="B893" s="61"/>
      <c r="C893" s="62"/>
      <c r="D893" s="63"/>
      <c r="E893" s="64"/>
      <c r="F893" s="65"/>
    </row>
    <row r="894" spans="1:6" x14ac:dyDescent="0.25">
      <c r="A894" s="61"/>
      <c r="B894" s="61"/>
      <c r="C894" s="62"/>
      <c r="D894" s="63"/>
      <c r="E894" s="64"/>
      <c r="F894" s="65"/>
    </row>
    <row r="895" spans="1:6" x14ac:dyDescent="0.25">
      <c r="A895" s="61"/>
      <c r="B895" s="61"/>
      <c r="C895" s="62"/>
      <c r="D895" s="63"/>
      <c r="E895" s="64"/>
      <c r="F895" s="65"/>
    </row>
    <row r="896" spans="1:6" x14ac:dyDescent="0.25">
      <c r="A896" s="61"/>
      <c r="B896" s="61"/>
      <c r="C896" s="62"/>
      <c r="D896" s="63"/>
      <c r="E896" s="64"/>
      <c r="F896" s="65"/>
    </row>
    <row r="897" spans="1:6" x14ac:dyDescent="0.25">
      <c r="A897" s="61"/>
      <c r="B897" s="61"/>
      <c r="C897" s="62"/>
      <c r="D897" s="63"/>
      <c r="E897" s="64"/>
      <c r="F897" s="65"/>
    </row>
    <row r="898" spans="1:6" x14ac:dyDescent="0.25">
      <c r="A898" s="61"/>
      <c r="B898" s="61"/>
      <c r="C898" s="62"/>
      <c r="D898" s="63"/>
      <c r="E898" s="64"/>
      <c r="F898" s="65"/>
    </row>
    <row r="899" spans="1:6" x14ac:dyDescent="0.25">
      <c r="A899" s="61"/>
      <c r="B899" s="61"/>
      <c r="C899" s="62"/>
      <c r="D899" s="63"/>
      <c r="E899" s="64"/>
      <c r="F899" s="65"/>
    </row>
    <row r="900" spans="1:6" x14ac:dyDescent="0.25">
      <c r="A900" s="61"/>
      <c r="B900" s="61"/>
      <c r="C900" s="62"/>
      <c r="D900" s="63"/>
      <c r="E900" s="64"/>
      <c r="F900" s="65"/>
    </row>
    <row r="901" spans="1:6" x14ac:dyDescent="0.25">
      <c r="A901" s="61"/>
      <c r="B901" s="61"/>
      <c r="C901" s="62"/>
      <c r="D901" s="63"/>
      <c r="E901" s="64"/>
      <c r="F901" s="65"/>
    </row>
    <row r="902" spans="1:6" x14ac:dyDescent="0.25">
      <c r="A902" s="61"/>
      <c r="B902" s="61"/>
      <c r="C902" s="62"/>
      <c r="D902" s="63"/>
      <c r="E902" s="64"/>
      <c r="F902" s="65"/>
    </row>
    <row r="903" spans="1:6" x14ac:dyDescent="0.25">
      <c r="A903" s="61"/>
      <c r="B903" s="61"/>
      <c r="C903" s="62"/>
      <c r="D903" s="63"/>
      <c r="E903" s="64"/>
      <c r="F903" s="65"/>
    </row>
    <row r="904" spans="1:6" x14ac:dyDescent="0.25">
      <c r="A904" s="61"/>
      <c r="B904" s="61"/>
      <c r="C904" s="62"/>
      <c r="D904" s="63"/>
      <c r="E904" s="64"/>
      <c r="F904" s="65"/>
    </row>
    <row r="905" spans="1:6" x14ac:dyDescent="0.25">
      <c r="A905" s="61"/>
      <c r="B905" s="61"/>
      <c r="C905" s="62"/>
      <c r="D905" s="63"/>
      <c r="E905" s="64"/>
      <c r="F905" s="65"/>
    </row>
    <row r="906" spans="1:6" x14ac:dyDescent="0.25">
      <c r="A906" s="61"/>
      <c r="B906" s="61"/>
      <c r="C906" s="62"/>
      <c r="D906" s="63"/>
      <c r="E906" s="64"/>
      <c r="F906" s="65"/>
    </row>
    <row r="907" spans="1:6" x14ac:dyDescent="0.25">
      <c r="A907" s="61"/>
      <c r="B907" s="61"/>
      <c r="C907" s="62"/>
      <c r="D907" s="63"/>
      <c r="E907" s="64"/>
      <c r="F907" s="65"/>
    </row>
    <row r="908" spans="1:6" x14ac:dyDescent="0.25">
      <c r="A908" s="61"/>
      <c r="B908" s="61"/>
      <c r="C908" s="62"/>
      <c r="D908" s="63"/>
      <c r="E908" s="64"/>
      <c r="F908" s="65"/>
    </row>
    <row r="909" spans="1:6" x14ac:dyDescent="0.25">
      <c r="A909" s="61"/>
      <c r="B909" s="61"/>
      <c r="C909" s="62"/>
      <c r="D909" s="63"/>
      <c r="E909" s="64"/>
      <c r="F909" s="65"/>
    </row>
    <row r="910" spans="1:6" x14ac:dyDescent="0.25">
      <c r="A910" s="61"/>
      <c r="B910" s="61"/>
      <c r="C910" s="62"/>
      <c r="D910" s="63"/>
      <c r="E910" s="64"/>
      <c r="F910" s="65"/>
    </row>
    <row r="911" spans="1:6" x14ac:dyDescent="0.25">
      <c r="A911" s="61"/>
      <c r="B911" s="61"/>
      <c r="C911" s="62"/>
      <c r="D911" s="63"/>
      <c r="E911" s="64"/>
      <c r="F911" s="65"/>
    </row>
    <row r="912" spans="1:6" x14ac:dyDescent="0.25">
      <c r="A912" s="61"/>
      <c r="B912" s="61"/>
      <c r="C912" s="62"/>
      <c r="D912" s="63"/>
      <c r="E912" s="64"/>
      <c r="F912" s="65"/>
    </row>
    <row r="913" spans="1:6" x14ac:dyDescent="0.25">
      <c r="A913" s="61"/>
      <c r="B913" s="61"/>
      <c r="C913" s="62"/>
      <c r="D913" s="63"/>
      <c r="E913" s="64"/>
      <c r="F913" s="65"/>
    </row>
    <row r="914" spans="1:6" x14ac:dyDescent="0.25">
      <c r="A914" s="61"/>
      <c r="B914" s="61"/>
      <c r="C914" s="62"/>
      <c r="D914" s="63"/>
      <c r="E914" s="64"/>
      <c r="F914" s="65"/>
    </row>
    <row r="915" spans="1:6" x14ac:dyDescent="0.25">
      <c r="A915" s="61"/>
      <c r="B915" s="61"/>
      <c r="C915" s="62"/>
      <c r="D915" s="58"/>
      <c r="E915" s="59"/>
      <c r="F915" s="65"/>
    </row>
    <row r="916" spans="1:6" x14ac:dyDescent="0.25">
      <c r="A916" s="61"/>
      <c r="B916" s="61"/>
      <c r="C916" s="62"/>
      <c r="D916" s="58"/>
      <c r="E916" s="59"/>
      <c r="F916" s="65"/>
    </row>
    <row r="917" spans="1:6" x14ac:dyDescent="0.25">
      <c r="A917" s="61"/>
      <c r="B917" s="61"/>
      <c r="C917" s="62"/>
      <c r="D917" s="58"/>
      <c r="E917" s="59"/>
      <c r="F917" s="65"/>
    </row>
    <row r="918" spans="1:6" x14ac:dyDescent="0.25">
      <c r="A918" s="56"/>
      <c r="B918" s="56"/>
      <c r="C918" s="57"/>
      <c r="D918" s="58"/>
      <c r="E918" s="59"/>
      <c r="F918" s="60"/>
    </row>
    <row r="919" spans="1:6" x14ac:dyDescent="0.25">
      <c r="A919" s="56"/>
      <c r="B919" s="56"/>
      <c r="C919" s="57"/>
      <c r="D919" s="58"/>
      <c r="E919" s="59"/>
      <c r="F919" s="60"/>
    </row>
    <row r="920" spans="1:6" x14ac:dyDescent="0.25">
      <c r="A920" s="56"/>
      <c r="B920" s="56"/>
      <c r="C920" s="57"/>
      <c r="D920" s="58"/>
      <c r="E920" s="59"/>
      <c r="F920" s="60"/>
    </row>
    <row r="921" spans="1:6" x14ac:dyDescent="0.25">
      <c r="A921" s="56"/>
      <c r="B921" s="56"/>
      <c r="C921" s="57"/>
      <c r="D921" s="58"/>
      <c r="E921" s="59"/>
      <c r="F921" s="60"/>
    </row>
    <row r="922" spans="1:6" x14ac:dyDescent="0.25">
      <c r="A922" s="56"/>
      <c r="B922" s="56"/>
      <c r="C922" s="57"/>
      <c r="D922" s="58"/>
      <c r="E922" s="59"/>
      <c r="F922" s="60"/>
    </row>
    <row r="923" spans="1:6" x14ac:dyDescent="0.25">
      <c r="A923" s="56"/>
      <c r="B923" s="56"/>
      <c r="C923" s="57"/>
      <c r="D923" s="58"/>
      <c r="E923" s="59"/>
      <c r="F923" s="60"/>
    </row>
    <row r="924" spans="1:6" x14ac:dyDescent="0.25">
      <c r="A924" s="56"/>
      <c r="B924" s="56"/>
      <c r="C924" s="57"/>
      <c r="D924" s="58"/>
      <c r="E924" s="59"/>
      <c r="F924" s="60"/>
    </row>
    <row r="925" spans="1:6" x14ac:dyDescent="0.25">
      <c r="A925" s="56"/>
      <c r="B925" s="56"/>
      <c r="C925" s="57"/>
      <c r="D925" s="63"/>
      <c r="E925" s="64"/>
      <c r="F925" s="60"/>
    </row>
    <row r="926" spans="1:6" x14ac:dyDescent="0.25">
      <c r="A926" s="56"/>
      <c r="B926" s="56"/>
      <c r="C926" s="57"/>
      <c r="D926" s="63"/>
      <c r="E926" s="64"/>
      <c r="F926" s="60"/>
    </row>
    <row r="927" spans="1:6" x14ac:dyDescent="0.25">
      <c r="A927" s="56"/>
      <c r="B927" s="56"/>
      <c r="C927" s="57"/>
      <c r="D927" s="63"/>
      <c r="E927" s="64"/>
      <c r="F927" s="60"/>
    </row>
    <row r="928" spans="1:6" x14ac:dyDescent="0.25">
      <c r="A928" s="61"/>
      <c r="B928" s="61"/>
      <c r="C928" s="62"/>
      <c r="D928" s="63"/>
      <c r="E928" s="64"/>
      <c r="F928" s="65"/>
    </row>
    <row r="929" spans="1:6" x14ac:dyDescent="0.25">
      <c r="A929" s="61"/>
      <c r="B929" s="61"/>
      <c r="C929" s="62"/>
      <c r="D929" s="63"/>
      <c r="E929" s="64"/>
      <c r="F929" s="65"/>
    </row>
    <row r="930" spans="1:6" x14ac:dyDescent="0.25">
      <c r="A930" s="61"/>
      <c r="B930" s="61"/>
      <c r="C930" s="62"/>
      <c r="D930" s="63"/>
      <c r="E930" s="64"/>
      <c r="F930" s="65"/>
    </row>
    <row r="931" spans="1:6" x14ac:dyDescent="0.25">
      <c r="A931" s="61"/>
      <c r="B931" s="61"/>
      <c r="C931" s="62"/>
      <c r="D931" s="63"/>
      <c r="E931" s="64"/>
      <c r="F931" s="65"/>
    </row>
    <row r="932" spans="1:6" x14ac:dyDescent="0.25">
      <c r="A932" s="61"/>
      <c r="B932" s="61"/>
      <c r="C932" s="62"/>
      <c r="D932" s="63"/>
      <c r="E932" s="64"/>
      <c r="F932" s="65"/>
    </row>
    <row r="933" spans="1:6" x14ac:dyDescent="0.25">
      <c r="A933" s="61"/>
      <c r="B933" s="61"/>
      <c r="C933" s="62"/>
      <c r="D933" s="63"/>
      <c r="E933" s="64"/>
      <c r="F933" s="65"/>
    </row>
    <row r="934" spans="1:6" x14ac:dyDescent="0.25">
      <c r="A934" s="61"/>
      <c r="B934" s="61"/>
      <c r="C934" s="62"/>
      <c r="D934" s="63"/>
      <c r="E934" s="64"/>
      <c r="F934" s="65"/>
    </row>
    <row r="935" spans="1:6" x14ac:dyDescent="0.25">
      <c r="A935" s="61"/>
      <c r="B935" s="61"/>
      <c r="C935" s="62"/>
      <c r="D935" s="63"/>
      <c r="E935" s="64"/>
      <c r="F935" s="65"/>
    </row>
    <row r="936" spans="1:6" x14ac:dyDescent="0.25">
      <c r="A936" s="61"/>
      <c r="B936" s="61"/>
      <c r="C936" s="62"/>
      <c r="D936" s="63"/>
      <c r="E936" s="64"/>
      <c r="F936" s="65"/>
    </row>
    <row r="937" spans="1:6" x14ac:dyDescent="0.25">
      <c r="A937" s="61"/>
      <c r="B937" s="61"/>
      <c r="C937" s="62"/>
      <c r="D937" s="63"/>
      <c r="E937" s="64"/>
      <c r="F937" s="65"/>
    </row>
    <row r="938" spans="1:6" x14ac:dyDescent="0.25">
      <c r="A938" s="61"/>
      <c r="B938" s="61"/>
      <c r="C938" s="62"/>
      <c r="D938" s="63"/>
      <c r="E938" s="64"/>
      <c r="F938" s="65"/>
    </row>
    <row r="939" spans="1:6" x14ac:dyDescent="0.25">
      <c r="A939" s="61"/>
      <c r="B939" s="61"/>
      <c r="C939" s="62"/>
      <c r="D939" s="63"/>
      <c r="E939" s="64"/>
      <c r="F939" s="65"/>
    </row>
    <row r="940" spans="1:6" x14ac:dyDescent="0.25">
      <c r="A940" s="61"/>
      <c r="B940" s="61"/>
      <c r="C940" s="62"/>
      <c r="D940" s="63"/>
      <c r="E940" s="64"/>
      <c r="F940" s="65"/>
    </row>
    <row r="941" spans="1:6" x14ac:dyDescent="0.25">
      <c r="A941" s="61"/>
      <c r="B941" s="61"/>
      <c r="C941" s="62"/>
      <c r="D941" s="63"/>
      <c r="E941" s="64"/>
      <c r="F941" s="65"/>
    </row>
    <row r="942" spans="1:6" x14ac:dyDescent="0.25">
      <c r="A942" s="61"/>
      <c r="B942" s="61"/>
      <c r="C942" s="62"/>
      <c r="D942" s="63"/>
      <c r="E942" s="64"/>
      <c r="F942" s="65"/>
    </row>
    <row r="943" spans="1:6" x14ac:dyDescent="0.25">
      <c r="A943" s="61"/>
      <c r="B943" s="61"/>
      <c r="C943" s="62"/>
      <c r="D943" s="63"/>
      <c r="E943" s="64"/>
      <c r="F943" s="65"/>
    </row>
    <row r="944" spans="1:6" x14ac:dyDescent="0.25">
      <c r="A944" s="61"/>
      <c r="B944" s="61"/>
      <c r="C944" s="62"/>
      <c r="D944" s="63"/>
      <c r="E944" s="64"/>
      <c r="F944" s="65"/>
    </row>
    <row r="945" spans="1:6" x14ac:dyDescent="0.25">
      <c r="A945" s="61"/>
      <c r="B945" s="61"/>
      <c r="C945" s="62"/>
      <c r="D945" s="63"/>
      <c r="E945" s="64"/>
      <c r="F945" s="65"/>
    </row>
    <row r="946" spans="1:6" x14ac:dyDescent="0.25">
      <c r="A946" s="61"/>
      <c r="B946" s="61"/>
      <c r="C946" s="62"/>
      <c r="D946" s="63"/>
      <c r="E946" s="64"/>
      <c r="F946" s="65"/>
    </row>
    <row r="947" spans="1:6" x14ac:dyDescent="0.25">
      <c r="A947" s="61"/>
      <c r="B947" s="61"/>
      <c r="C947" s="62"/>
      <c r="D947" s="63"/>
      <c r="E947" s="64"/>
      <c r="F947" s="65"/>
    </row>
    <row r="948" spans="1:6" x14ac:dyDescent="0.25">
      <c r="A948" s="61"/>
      <c r="B948" s="61"/>
      <c r="C948" s="62"/>
      <c r="D948" s="63"/>
      <c r="E948" s="64"/>
      <c r="F948" s="65"/>
    </row>
    <row r="949" spans="1:6" x14ac:dyDescent="0.25">
      <c r="A949" s="61"/>
      <c r="B949" s="61"/>
      <c r="C949" s="62"/>
      <c r="D949" s="63"/>
      <c r="E949" s="64"/>
      <c r="F949" s="65"/>
    </row>
    <row r="950" spans="1:6" x14ac:dyDescent="0.25">
      <c r="A950" s="61"/>
      <c r="B950" s="61"/>
      <c r="C950" s="62"/>
      <c r="D950" s="63"/>
      <c r="E950" s="64"/>
      <c r="F950" s="65"/>
    </row>
    <row r="951" spans="1:6" x14ac:dyDescent="0.25">
      <c r="A951" s="61"/>
      <c r="B951" s="61"/>
      <c r="C951" s="62"/>
      <c r="D951" s="63"/>
      <c r="E951" s="64"/>
      <c r="F951" s="65"/>
    </row>
    <row r="952" spans="1:6" x14ac:dyDescent="0.25">
      <c r="A952" s="61"/>
      <c r="B952" s="61"/>
      <c r="C952" s="62"/>
      <c r="D952" s="63"/>
      <c r="E952" s="64"/>
      <c r="F952" s="65"/>
    </row>
    <row r="953" spans="1:6" x14ac:dyDescent="0.25">
      <c r="A953" s="61"/>
      <c r="B953" s="61"/>
      <c r="C953" s="62"/>
      <c r="D953" s="63"/>
      <c r="E953" s="64"/>
      <c r="F953" s="65"/>
    </row>
    <row r="954" spans="1:6" x14ac:dyDescent="0.25">
      <c r="A954" s="61"/>
      <c r="B954" s="61"/>
      <c r="C954" s="62"/>
      <c r="D954" s="63"/>
      <c r="E954" s="64"/>
      <c r="F954" s="65"/>
    </row>
    <row r="955" spans="1:6" x14ac:dyDescent="0.25">
      <c r="A955" s="61"/>
      <c r="B955" s="61"/>
      <c r="C955" s="62"/>
      <c r="D955" s="63"/>
      <c r="E955" s="64"/>
      <c r="F955" s="65"/>
    </row>
    <row r="956" spans="1:6" x14ac:dyDescent="0.25">
      <c r="A956" s="61"/>
      <c r="B956" s="61"/>
      <c r="C956" s="62"/>
      <c r="D956" s="63"/>
      <c r="E956" s="64"/>
      <c r="F956" s="65"/>
    </row>
    <row r="957" spans="1:6" x14ac:dyDescent="0.25">
      <c r="A957" s="61"/>
      <c r="B957" s="61"/>
      <c r="C957" s="62"/>
      <c r="D957" s="63"/>
      <c r="E957" s="64"/>
      <c r="F957" s="65"/>
    </row>
    <row r="958" spans="1:6" x14ac:dyDescent="0.25">
      <c r="A958" s="61"/>
      <c r="B958" s="61"/>
      <c r="C958" s="62"/>
      <c r="D958" s="63"/>
      <c r="E958" s="64"/>
      <c r="F958" s="65"/>
    </row>
    <row r="959" spans="1:6" x14ac:dyDescent="0.25">
      <c r="A959" s="61"/>
      <c r="B959" s="61"/>
      <c r="C959" s="62"/>
      <c r="D959" s="63"/>
      <c r="E959" s="64"/>
      <c r="F959" s="65"/>
    </row>
    <row r="960" spans="1:6" x14ac:dyDescent="0.25">
      <c r="A960" s="61"/>
      <c r="B960" s="61"/>
      <c r="C960" s="62"/>
      <c r="D960" s="63"/>
      <c r="E960" s="64"/>
      <c r="F960" s="65"/>
    </row>
    <row r="961" spans="1:6" x14ac:dyDescent="0.25">
      <c r="A961" s="61"/>
      <c r="B961" s="61"/>
      <c r="C961" s="62"/>
      <c r="D961" s="63"/>
      <c r="E961" s="64"/>
      <c r="F961" s="65"/>
    </row>
    <row r="962" spans="1:6" x14ac:dyDescent="0.25">
      <c r="A962" s="61"/>
      <c r="B962" s="61"/>
      <c r="C962" s="62"/>
      <c r="D962" s="63"/>
      <c r="E962" s="64"/>
      <c r="F962" s="65"/>
    </row>
    <row r="963" spans="1:6" x14ac:dyDescent="0.25">
      <c r="A963" s="61"/>
      <c r="B963" s="61"/>
      <c r="C963" s="62"/>
      <c r="D963" s="63"/>
      <c r="E963" s="64"/>
      <c r="F963" s="65"/>
    </row>
    <row r="964" spans="1:6" x14ac:dyDescent="0.25">
      <c r="A964" s="61"/>
      <c r="B964" s="61"/>
      <c r="C964" s="62"/>
      <c r="D964" s="63"/>
      <c r="E964" s="64"/>
      <c r="F964" s="65"/>
    </row>
    <row r="965" spans="1:6" x14ac:dyDescent="0.25">
      <c r="A965" s="61"/>
      <c r="B965" s="61"/>
      <c r="C965" s="62"/>
      <c r="D965" s="63"/>
      <c r="E965" s="64"/>
      <c r="F965" s="65"/>
    </row>
    <row r="966" spans="1:6" x14ac:dyDescent="0.25">
      <c r="A966" s="61"/>
      <c r="B966" s="61"/>
      <c r="C966" s="62"/>
      <c r="D966" s="63"/>
      <c r="E966" s="64"/>
      <c r="F966" s="65"/>
    </row>
    <row r="967" spans="1:6" x14ac:dyDescent="0.25">
      <c r="A967" s="61"/>
      <c r="B967" s="61"/>
      <c r="C967" s="62"/>
      <c r="D967" s="63"/>
      <c r="E967" s="64"/>
      <c r="F967" s="65"/>
    </row>
    <row r="968" spans="1:6" x14ac:dyDescent="0.25">
      <c r="A968" s="61"/>
      <c r="B968" s="61"/>
      <c r="C968" s="62"/>
      <c r="D968" s="63"/>
      <c r="E968" s="64"/>
      <c r="F968" s="65"/>
    </row>
    <row r="969" spans="1:6" x14ac:dyDescent="0.25">
      <c r="A969" s="61"/>
      <c r="B969" s="61"/>
      <c r="C969" s="62"/>
      <c r="D969" s="63"/>
      <c r="E969" s="64"/>
      <c r="F969" s="65"/>
    </row>
    <row r="970" spans="1:6" x14ac:dyDescent="0.25">
      <c r="A970" s="61"/>
      <c r="B970" s="61"/>
      <c r="C970" s="62"/>
      <c r="D970" s="63"/>
      <c r="E970" s="64"/>
      <c r="F970" s="65"/>
    </row>
    <row r="971" spans="1:6" x14ac:dyDescent="0.25">
      <c r="A971" s="61"/>
      <c r="B971" s="61"/>
      <c r="C971" s="62"/>
      <c r="D971" s="63"/>
      <c r="E971" s="64"/>
      <c r="F971" s="65"/>
    </row>
    <row r="972" spans="1:6" x14ac:dyDescent="0.25">
      <c r="A972" s="61"/>
      <c r="B972" s="61"/>
      <c r="C972" s="62"/>
      <c r="D972" s="63"/>
      <c r="E972" s="64"/>
      <c r="F972" s="65"/>
    </row>
    <row r="973" spans="1:6" x14ac:dyDescent="0.25">
      <c r="A973" s="61"/>
      <c r="B973" s="61"/>
      <c r="C973" s="62"/>
      <c r="D973" s="63"/>
      <c r="E973" s="64"/>
      <c r="F973" s="65"/>
    </row>
    <row r="974" spans="1:6" x14ac:dyDescent="0.25">
      <c r="A974" s="61"/>
      <c r="B974" s="61"/>
      <c r="C974" s="62"/>
      <c r="D974" s="63"/>
      <c r="E974" s="64"/>
      <c r="F974" s="65"/>
    </row>
    <row r="975" spans="1:6" x14ac:dyDescent="0.25">
      <c r="A975" s="61"/>
      <c r="B975" s="61"/>
      <c r="C975" s="62"/>
      <c r="D975" s="63"/>
      <c r="E975" s="64"/>
      <c r="F975" s="65"/>
    </row>
    <row r="976" spans="1:6" x14ac:dyDescent="0.25">
      <c r="A976" s="61"/>
      <c r="B976" s="61"/>
      <c r="C976" s="62"/>
      <c r="D976" s="63"/>
      <c r="E976" s="64"/>
      <c r="F976" s="65"/>
    </row>
    <row r="977" spans="1:6" x14ac:dyDescent="0.25">
      <c r="A977" s="61"/>
      <c r="B977" s="61"/>
      <c r="C977" s="62"/>
      <c r="D977" s="63"/>
      <c r="E977" s="64"/>
      <c r="F977" s="65"/>
    </row>
    <row r="978" spans="1:6" x14ac:dyDescent="0.25">
      <c r="A978" s="61"/>
      <c r="B978" s="61"/>
      <c r="C978" s="62"/>
      <c r="D978" s="63"/>
      <c r="E978" s="64"/>
      <c r="F978" s="65"/>
    </row>
    <row r="979" spans="1:6" x14ac:dyDescent="0.25">
      <c r="A979" s="61"/>
      <c r="B979" s="61"/>
      <c r="C979" s="62"/>
      <c r="D979" s="63"/>
      <c r="E979" s="64"/>
      <c r="F979" s="65"/>
    </row>
    <row r="980" spans="1:6" x14ac:dyDescent="0.25">
      <c r="A980" s="61"/>
      <c r="B980" s="61"/>
      <c r="C980" s="62"/>
      <c r="D980" s="63"/>
      <c r="E980" s="64"/>
      <c r="F980" s="65"/>
    </row>
    <row r="981" spans="1:6" x14ac:dyDescent="0.25">
      <c r="A981" s="61"/>
      <c r="B981" s="61"/>
      <c r="C981" s="62"/>
      <c r="D981" s="63"/>
      <c r="E981" s="64"/>
      <c r="F981" s="65"/>
    </row>
    <row r="982" spans="1:6" x14ac:dyDescent="0.25">
      <c r="A982" s="61"/>
      <c r="B982" s="61"/>
      <c r="C982" s="62"/>
      <c r="D982" s="63"/>
      <c r="E982" s="64"/>
      <c r="F982" s="65"/>
    </row>
    <row r="983" spans="1:6" x14ac:dyDescent="0.25">
      <c r="A983" s="61"/>
      <c r="B983" s="61"/>
      <c r="C983" s="62"/>
      <c r="D983" s="63"/>
      <c r="E983" s="64"/>
      <c r="F983" s="65"/>
    </row>
    <row r="984" spans="1:6" x14ac:dyDescent="0.25">
      <c r="A984" s="61"/>
      <c r="B984" s="61"/>
      <c r="C984" s="62"/>
      <c r="D984" s="63"/>
      <c r="E984" s="64"/>
      <c r="F984" s="65"/>
    </row>
    <row r="985" spans="1:6" x14ac:dyDescent="0.25">
      <c r="A985" s="61"/>
      <c r="B985" s="61"/>
      <c r="C985" s="62"/>
      <c r="D985" s="63"/>
      <c r="E985" s="64"/>
      <c r="F985" s="65"/>
    </row>
    <row r="986" spans="1:6" x14ac:dyDescent="0.25">
      <c r="A986" s="61"/>
      <c r="B986" s="61"/>
      <c r="C986" s="62"/>
      <c r="D986" s="63"/>
      <c r="E986" s="64"/>
      <c r="F986" s="65"/>
    </row>
    <row r="987" spans="1:6" x14ac:dyDescent="0.25">
      <c r="A987" s="61"/>
      <c r="B987" s="61"/>
      <c r="C987" s="62"/>
      <c r="D987" s="63"/>
      <c r="E987" s="64"/>
      <c r="F987" s="65"/>
    </row>
    <row r="988" spans="1:6" x14ac:dyDescent="0.25">
      <c r="A988" s="61"/>
      <c r="B988" s="61"/>
      <c r="C988" s="62"/>
      <c r="D988" s="63"/>
      <c r="E988" s="64"/>
      <c r="F988" s="65"/>
    </row>
    <row r="989" spans="1:6" x14ac:dyDescent="0.25">
      <c r="A989" s="61"/>
      <c r="B989" s="61"/>
      <c r="C989" s="62"/>
      <c r="D989" s="63"/>
      <c r="E989" s="64"/>
      <c r="F989" s="65"/>
    </row>
    <row r="990" spans="1:6" x14ac:dyDescent="0.25">
      <c r="A990" s="61"/>
      <c r="B990" s="61"/>
      <c r="C990" s="62"/>
      <c r="D990" s="63"/>
      <c r="E990" s="64"/>
      <c r="F990" s="65"/>
    </row>
    <row r="991" spans="1:6" x14ac:dyDescent="0.25">
      <c r="A991" s="61"/>
      <c r="B991" s="61"/>
      <c r="C991" s="62"/>
      <c r="D991" s="63"/>
      <c r="E991" s="64"/>
      <c r="F991" s="65"/>
    </row>
    <row r="992" spans="1:6" x14ac:dyDescent="0.25">
      <c r="A992" s="61"/>
      <c r="B992" s="61"/>
      <c r="C992" s="62"/>
      <c r="D992" s="63"/>
      <c r="E992" s="64"/>
      <c r="F992" s="65"/>
    </row>
    <row r="993" spans="1:6" x14ac:dyDescent="0.25">
      <c r="A993" s="61"/>
      <c r="B993" s="61"/>
      <c r="C993" s="62"/>
      <c r="D993" s="63"/>
      <c r="E993" s="64"/>
      <c r="F993" s="65"/>
    </row>
    <row r="994" spans="1:6" x14ac:dyDescent="0.25">
      <c r="A994" s="61"/>
      <c r="B994" s="61"/>
      <c r="C994" s="62"/>
      <c r="D994" s="63"/>
      <c r="E994" s="64"/>
      <c r="F994" s="65"/>
    </row>
    <row r="995" spans="1:6" x14ac:dyDescent="0.25">
      <c r="A995" s="61"/>
      <c r="B995" s="61"/>
      <c r="C995" s="62"/>
      <c r="D995" s="63"/>
      <c r="E995" s="64"/>
      <c r="F995" s="65"/>
    </row>
    <row r="996" spans="1:6" x14ac:dyDescent="0.25">
      <c r="A996" s="61"/>
      <c r="B996" s="61"/>
      <c r="C996" s="62"/>
      <c r="D996" s="63"/>
      <c r="E996" s="64"/>
      <c r="F996" s="65"/>
    </row>
    <row r="997" spans="1:6" x14ac:dyDescent="0.25">
      <c r="A997" s="61"/>
      <c r="B997" s="61"/>
      <c r="C997" s="62"/>
      <c r="D997" s="63"/>
      <c r="E997" s="64"/>
      <c r="F997" s="65"/>
    </row>
    <row r="998" spans="1:6" x14ac:dyDescent="0.25">
      <c r="A998" s="61"/>
      <c r="B998" s="61"/>
      <c r="C998" s="62"/>
      <c r="D998" s="63"/>
      <c r="E998" s="64"/>
      <c r="F998" s="65"/>
    </row>
    <row r="999" spans="1:6" x14ac:dyDescent="0.25">
      <c r="A999" s="61"/>
      <c r="B999" s="61"/>
      <c r="C999" s="62"/>
      <c r="D999" s="63"/>
      <c r="E999" s="64"/>
      <c r="F999" s="65"/>
    </row>
    <row r="1000" spans="1:6" x14ac:dyDescent="0.25">
      <c r="A1000" s="61"/>
      <c r="B1000" s="61"/>
      <c r="C1000" s="62"/>
      <c r="D1000" s="63"/>
      <c r="E1000" s="64"/>
      <c r="F1000" s="65"/>
    </row>
    <row r="1001" spans="1:6" x14ac:dyDescent="0.25">
      <c r="A1001" s="61"/>
      <c r="B1001" s="61"/>
      <c r="C1001" s="62"/>
      <c r="D1001" s="63"/>
      <c r="E1001" s="64"/>
      <c r="F1001" s="65"/>
    </row>
    <row r="1002" spans="1:6" x14ac:dyDescent="0.25">
      <c r="A1002" s="61"/>
      <c r="B1002" s="61"/>
      <c r="C1002" s="62"/>
      <c r="D1002" s="63"/>
      <c r="E1002" s="64"/>
      <c r="F1002" s="65"/>
    </row>
    <row r="1003" spans="1:6" x14ac:dyDescent="0.25">
      <c r="A1003" s="61"/>
      <c r="B1003" s="61"/>
      <c r="C1003" s="62"/>
      <c r="D1003" s="63"/>
      <c r="E1003" s="64"/>
      <c r="F1003" s="65"/>
    </row>
    <row r="1004" spans="1:6" x14ac:dyDescent="0.25">
      <c r="A1004" s="61"/>
      <c r="B1004" s="61"/>
      <c r="C1004" s="62"/>
      <c r="D1004" s="63"/>
      <c r="E1004" s="64"/>
      <c r="F1004" s="65"/>
    </row>
    <row r="1005" spans="1:6" x14ac:dyDescent="0.25">
      <c r="A1005" s="61"/>
      <c r="B1005" s="61"/>
      <c r="C1005" s="62"/>
      <c r="D1005" s="63"/>
      <c r="E1005" s="64"/>
      <c r="F1005" s="65"/>
    </row>
    <row r="1006" spans="1:6" x14ac:dyDescent="0.25">
      <c r="A1006" s="61"/>
      <c r="B1006" s="61"/>
      <c r="C1006" s="62"/>
      <c r="D1006" s="63"/>
      <c r="E1006" s="64"/>
      <c r="F1006" s="65"/>
    </row>
    <row r="1007" spans="1:6" x14ac:dyDescent="0.25">
      <c r="A1007" s="61"/>
      <c r="B1007" s="61"/>
      <c r="C1007" s="62"/>
      <c r="D1007" s="63"/>
      <c r="E1007" s="64"/>
      <c r="F1007" s="65"/>
    </row>
    <row r="1008" spans="1:6" x14ac:dyDescent="0.25">
      <c r="A1008" s="61"/>
      <c r="B1008" s="61"/>
      <c r="C1008" s="62"/>
      <c r="D1008" s="63"/>
      <c r="E1008" s="64"/>
      <c r="F1008" s="65"/>
    </row>
    <row r="1009" spans="1:6" x14ac:dyDescent="0.25">
      <c r="A1009" s="61"/>
      <c r="B1009" s="61"/>
      <c r="C1009" s="62"/>
      <c r="D1009" s="63"/>
      <c r="E1009" s="64"/>
      <c r="F1009" s="65"/>
    </row>
    <row r="1010" spans="1:6" x14ac:dyDescent="0.25">
      <c r="A1010" s="61"/>
      <c r="B1010" s="61"/>
      <c r="C1010" s="62"/>
      <c r="D1010" s="63"/>
      <c r="E1010" s="64"/>
      <c r="F1010" s="65"/>
    </row>
    <row r="1011" spans="1:6" x14ac:dyDescent="0.25">
      <c r="A1011" s="61"/>
      <c r="B1011" s="61"/>
      <c r="C1011" s="62"/>
      <c r="D1011" s="63"/>
      <c r="E1011" s="64"/>
      <c r="F1011" s="65"/>
    </row>
    <row r="1012" spans="1:6" x14ac:dyDescent="0.25">
      <c r="A1012" s="61"/>
      <c r="B1012" s="61"/>
      <c r="C1012" s="62"/>
      <c r="D1012" s="63"/>
      <c r="E1012" s="64"/>
      <c r="F1012" s="65"/>
    </row>
    <row r="1013" spans="1:6" x14ac:dyDescent="0.25">
      <c r="A1013" s="61"/>
      <c r="B1013" s="61"/>
      <c r="C1013" s="62"/>
      <c r="D1013" s="63"/>
      <c r="E1013" s="64"/>
      <c r="F1013" s="65"/>
    </row>
    <row r="1014" spans="1:6" x14ac:dyDescent="0.25">
      <c r="A1014" s="61"/>
      <c r="B1014" s="61"/>
      <c r="C1014" s="62"/>
      <c r="D1014" s="63"/>
      <c r="E1014" s="64"/>
      <c r="F1014" s="65"/>
    </row>
    <row r="1015" spans="1:6" x14ac:dyDescent="0.25">
      <c r="A1015" s="61"/>
      <c r="B1015" s="61"/>
      <c r="C1015" s="62"/>
      <c r="D1015" s="63"/>
      <c r="E1015" s="64"/>
      <c r="F1015" s="65"/>
    </row>
    <row r="1016" spans="1:6" x14ac:dyDescent="0.25">
      <c r="A1016" s="61"/>
      <c r="B1016" s="61"/>
      <c r="C1016" s="62"/>
      <c r="D1016" s="63"/>
      <c r="E1016" s="64"/>
      <c r="F1016" s="65"/>
    </row>
    <row r="1017" spans="1:6" x14ac:dyDescent="0.25">
      <c r="A1017" s="61"/>
      <c r="B1017" s="61"/>
      <c r="C1017" s="62"/>
      <c r="D1017" s="63"/>
      <c r="E1017" s="64"/>
      <c r="F1017" s="65"/>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PICurrCntrl_Per1() M'!A1" display="'PICurrCntrl_Per1() M'!A1"/>
    <hyperlink ref="A18" location="'PICurrCntrl_Per1() R'!A1" display="'PICurrCntrl_Per1() R'!A1"/>
    <hyperlink ref="A19" location="'PICurrCntrl_Per1() P'!A1" display="'PICurrCntrl_Per1() P'!A1"/>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X15"/>
  <sheetViews>
    <sheetView zoomScaleNormal="100" workbookViewId="0">
      <selection sqref="A1:B1"/>
    </sheetView>
  </sheetViews>
  <sheetFormatPr defaultRowHeight="15" x14ac:dyDescent="0.25"/>
  <cols>
    <col min="1" max="1" width="8.140625" bestFit="1" customWidth="1"/>
    <col min="2" max="2" width="255.7109375" bestFit="1" customWidth="1"/>
    <col min="3" max="3" width="7" bestFit="1" customWidth="1"/>
    <col min="4" max="4" width="6" bestFit="1" customWidth="1"/>
    <col min="5" max="6" width="16.7109375" bestFit="1" customWidth="1"/>
    <col min="7" max="7" width="11.140625" bestFit="1" customWidth="1"/>
    <col min="8" max="8" width="16" bestFit="1" customWidth="1"/>
    <col min="9" max="9" width="10.140625" bestFit="1" customWidth="1"/>
    <col min="10" max="10" width="16.28515625" bestFit="1" customWidth="1"/>
    <col min="11" max="11" width="11.85546875" bestFit="1" customWidth="1"/>
    <col min="12" max="13" width="12.85546875" bestFit="1" customWidth="1"/>
    <col min="14" max="17" width="14.85546875" bestFit="1" customWidth="1"/>
    <col min="18" max="18" width="15.28515625" bestFit="1" customWidth="1"/>
    <col min="19" max="19" width="3.28515625" bestFit="1" customWidth="1"/>
    <col min="20" max="20" width="8" bestFit="1" customWidth="1"/>
    <col min="21" max="21" width="7" bestFit="1" customWidth="1"/>
    <col min="22" max="22" width="6" bestFit="1" customWidth="1"/>
    <col min="23" max="24" width="3.28515625" bestFit="1" customWidth="1"/>
    <col min="25" max="26" width="6" bestFit="1" customWidth="1"/>
    <col min="27" max="27" width="9" bestFit="1" customWidth="1"/>
    <col min="28" max="28" width="6" bestFit="1" customWidth="1"/>
    <col min="29" max="29" width="9" bestFit="1" customWidth="1"/>
    <col min="30" max="31" width="6" bestFit="1" customWidth="1"/>
    <col min="32" max="32" width="3.28515625" bestFit="1" customWidth="1"/>
    <col min="33" max="33" width="5.7109375" bestFit="1" customWidth="1"/>
    <col min="34" max="34" width="8.7109375" bestFit="1" customWidth="1"/>
    <col min="35" max="35" width="8" bestFit="1" customWidth="1"/>
    <col min="36" max="36" width="11.140625" bestFit="1" customWidth="1"/>
    <col min="37" max="42" width="3.28515625" bestFit="1" customWidth="1"/>
    <col min="43" max="43" width="21.5703125" bestFit="1" customWidth="1"/>
    <col min="44" max="44" width="10" bestFit="1" customWidth="1"/>
    <col min="45" max="45" width="5" bestFit="1" customWidth="1"/>
    <col min="46" max="46" width="7" bestFit="1" customWidth="1"/>
    <col min="47" max="48" width="6.7109375" bestFit="1" customWidth="1"/>
    <col min="49" max="50" width="12" bestFit="1" customWidth="1"/>
    <col min="51" max="52" width="6.7109375" bestFit="1" customWidth="1"/>
    <col min="53" max="54" width="12" bestFit="1" customWidth="1"/>
    <col min="55" max="57" width="3.28515625" bestFit="1" customWidth="1"/>
    <col min="58" max="58" width="4.7109375" bestFit="1" customWidth="1"/>
    <col min="59" max="59" width="7" bestFit="1" customWidth="1"/>
    <col min="60" max="60" width="4.7109375" bestFit="1" customWidth="1"/>
    <col min="61" max="61" width="7" bestFit="1" customWidth="1"/>
    <col min="62" max="62" width="3.28515625" bestFit="1" customWidth="1"/>
    <col min="63" max="64" width="5" bestFit="1" customWidth="1"/>
    <col min="65" max="65" width="7.28515625" bestFit="1" customWidth="1"/>
    <col min="66" max="81" width="4.140625" bestFit="1" customWidth="1"/>
    <col min="82" max="82" width="7.28515625" bestFit="1" customWidth="1"/>
    <col min="83" max="83" width="12.7109375" bestFit="1" customWidth="1"/>
    <col min="84" max="87" width="7.28515625" bestFit="1" customWidth="1"/>
    <col min="88" max="88" width="12" bestFit="1" customWidth="1"/>
    <col min="89" max="89" width="12.7109375" bestFit="1" customWidth="1"/>
    <col min="90" max="93" width="7.28515625" bestFit="1" customWidth="1"/>
    <col min="94" max="94" width="12.7109375" bestFit="1" customWidth="1"/>
    <col min="95" max="95" width="7.28515625" bestFit="1" customWidth="1"/>
    <col min="96" max="96" width="12.7109375" bestFit="1" customWidth="1"/>
    <col min="97" max="97" width="12" bestFit="1" customWidth="1"/>
    <col min="98" max="98" width="9" bestFit="1" customWidth="1"/>
    <col min="99" max="99" width="7.28515625" bestFit="1" customWidth="1"/>
    <col min="100" max="100" width="10.5703125" bestFit="1" customWidth="1"/>
    <col min="101" max="101" width="12.42578125" bestFit="1" customWidth="1"/>
    <col min="102" max="102" width="10.5703125" bestFit="1" customWidth="1"/>
  </cols>
  <sheetData>
    <row r="1" spans="1:102" x14ac:dyDescent="0.25">
      <c r="A1" s="228" t="s">
        <v>102</v>
      </c>
      <c r="B1" s="229"/>
      <c r="C1" s="42" t="s">
        <v>90</v>
      </c>
      <c r="D1" s="54" t="s">
        <v>89</v>
      </c>
      <c r="E1" s="42"/>
      <c r="F1" s="54" t="s">
        <v>89</v>
      </c>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40"/>
      <c r="CW1" s="40"/>
      <c r="CX1" s="41"/>
    </row>
    <row r="2" spans="1:102" ht="60" customHeight="1" x14ac:dyDescent="0.25">
      <c r="A2" s="230" t="s">
        <v>61</v>
      </c>
      <c r="B2" s="231"/>
      <c r="C2" s="50" t="s">
        <v>91</v>
      </c>
      <c r="D2" s="50" t="s">
        <v>91</v>
      </c>
      <c r="E2" s="50" t="s">
        <v>91</v>
      </c>
      <c r="F2" s="50" t="s">
        <v>91</v>
      </c>
      <c r="G2" s="50" t="s">
        <v>91</v>
      </c>
      <c r="H2" s="50" t="s">
        <v>91</v>
      </c>
      <c r="I2" s="50" t="s">
        <v>91</v>
      </c>
      <c r="J2" s="50" t="s">
        <v>91</v>
      </c>
      <c r="K2" s="50" t="s">
        <v>91</v>
      </c>
      <c r="L2" s="50" t="s">
        <v>91</v>
      </c>
      <c r="M2" s="50" t="s">
        <v>91</v>
      </c>
      <c r="N2" s="50" t="s">
        <v>91</v>
      </c>
      <c r="O2" s="50" t="s">
        <v>91</v>
      </c>
      <c r="P2" s="50" t="s">
        <v>91</v>
      </c>
      <c r="Q2" s="50" t="s">
        <v>91</v>
      </c>
      <c r="R2" s="50" t="s">
        <v>91</v>
      </c>
      <c r="S2" s="50" t="s">
        <v>91</v>
      </c>
      <c r="T2" s="50" t="s">
        <v>91</v>
      </c>
      <c r="U2" s="50" t="s">
        <v>91</v>
      </c>
      <c r="V2" s="50" t="s">
        <v>91</v>
      </c>
      <c r="W2" s="50" t="s">
        <v>91</v>
      </c>
      <c r="X2" s="50" t="s">
        <v>91</v>
      </c>
      <c r="Y2" s="50" t="s">
        <v>91</v>
      </c>
      <c r="Z2" s="50" t="s">
        <v>91</v>
      </c>
      <c r="AA2" s="50" t="s">
        <v>91</v>
      </c>
      <c r="AB2" s="50" t="s">
        <v>91</v>
      </c>
      <c r="AC2" s="50" t="s">
        <v>91</v>
      </c>
      <c r="AD2" s="50" t="s">
        <v>91</v>
      </c>
      <c r="AE2" s="50" t="s">
        <v>91</v>
      </c>
      <c r="AF2" s="50" t="s">
        <v>91</v>
      </c>
      <c r="AG2" s="50" t="s">
        <v>91</v>
      </c>
      <c r="AH2" s="50" t="s">
        <v>91</v>
      </c>
      <c r="AI2" s="50" t="s">
        <v>91</v>
      </c>
      <c r="AJ2" s="50" t="s">
        <v>91</v>
      </c>
      <c r="AK2" s="50" t="s">
        <v>91</v>
      </c>
      <c r="AL2" s="50" t="s">
        <v>91</v>
      </c>
      <c r="AM2" s="50" t="s">
        <v>91</v>
      </c>
      <c r="AN2" s="50" t="s">
        <v>91</v>
      </c>
      <c r="AO2" s="50" t="s">
        <v>91</v>
      </c>
      <c r="AP2" s="50" t="s">
        <v>91</v>
      </c>
      <c r="AQ2" s="50" t="s">
        <v>91</v>
      </c>
      <c r="AR2" s="50" t="s">
        <v>91</v>
      </c>
      <c r="AS2" s="50" t="s">
        <v>91</v>
      </c>
      <c r="AT2" s="50" t="s">
        <v>91</v>
      </c>
      <c r="AU2" s="50" t="s">
        <v>91</v>
      </c>
      <c r="AV2" s="50" t="s">
        <v>91</v>
      </c>
      <c r="AW2" s="50" t="s">
        <v>91</v>
      </c>
      <c r="AX2" s="50" t="s">
        <v>91</v>
      </c>
      <c r="AY2" s="50" t="s">
        <v>91</v>
      </c>
      <c r="AZ2" s="50" t="s">
        <v>91</v>
      </c>
      <c r="BA2" s="50" t="s">
        <v>91</v>
      </c>
      <c r="BB2" s="50" t="s">
        <v>91</v>
      </c>
      <c r="BC2" s="50" t="s">
        <v>91</v>
      </c>
      <c r="BD2" s="50" t="s">
        <v>91</v>
      </c>
      <c r="BE2" s="50" t="s">
        <v>91</v>
      </c>
      <c r="BF2" s="50" t="s">
        <v>91</v>
      </c>
      <c r="BG2" s="50" t="s">
        <v>91</v>
      </c>
      <c r="BH2" s="50" t="s">
        <v>91</v>
      </c>
      <c r="BI2" s="50" t="s">
        <v>91</v>
      </c>
      <c r="BJ2" s="50" t="s">
        <v>91</v>
      </c>
      <c r="BK2" s="50" t="s">
        <v>91</v>
      </c>
      <c r="BL2" s="50" t="s">
        <v>91</v>
      </c>
      <c r="BM2" s="66" t="s">
        <v>152</v>
      </c>
      <c r="BN2" s="67" t="s">
        <v>83</v>
      </c>
      <c r="BO2" s="48" t="s">
        <v>83</v>
      </c>
      <c r="BP2" s="48" t="s">
        <v>83</v>
      </c>
      <c r="BQ2" s="48" t="s">
        <v>83</v>
      </c>
      <c r="BR2" s="48" t="s">
        <v>83</v>
      </c>
      <c r="BS2" s="48" t="s">
        <v>83</v>
      </c>
      <c r="BT2" s="48" t="s">
        <v>83</v>
      </c>
      <c r="BU2" s="48" t="s">
        <v>83</v>
      </c>
      <c r="BV2" s="48" t="s">
        <v>83</v>
      </c>
      <c r="BW2" s="48" t="s">
        <v>83</v>
      </c>
      <c r="BX2" s="48" t="s">
        <v>83</v>
      </c>
      <c r="BY2" s="48" t="s">
        <v>83</v>
      </c>
      <c r="BZ2" s="48" t="s">
        <v>83</v>
      </c>
      <c r="CA2" s="48" t="s">
        <v>83</v>
      </c>
      <c r="CB2" s="48" t="s">
        <v>83</v>
      </c>
      <c r="CC2" s="48" t="s">
        <v>83</v>
      </c>
      <c r="CD2" s="48" t="s">
        <v>92</v>
      </c>
      <c r="CE2" s="26" t="s">
        <v>84</v>
      </c>
      <c r="CF2" s="26" t="s">
        <v>84</v>
      </c>
      <c r="CG2" s="26" t="s">
        <v>84</v>
      </c>
      <c r="CH2" s="26" t="s">
        <v>84</v>
      </c>
      <c r="CI2" s="26" t="s">
        <v>84</v>
      </c>
      <c r="CJ2" s="26" t="s">
        <v>84</v>
      </c>
      <c r="CK2" s="26" t="s">
        <v>84</v>
      </c>
      <c r="CL2" s="26" t="s">
        <v>84</v>
      </c>
      <c r="CM2" s="26" t="s">
        <v>84</v>
      </c>
      <c r="CN2" s="26" t="s">
        <v>84</v>
      </c>
      <c r="CO2" s="26" t="s">
        <v>84</v>
      </c>
      <c r="CP2" s="26" t="s">
        <v>84</v>
      </c>
      <c r="CQ2" s="26" t="s">
        <v>84</v>
      </c>
      <c r="CR2" s="26" t="s">
        <v>84</v>
      </c>
      <c r="CS2" s="26" t="s">
        <v>84</v>
      </c>
      <c r="CT2" s="26" t="s">
        <v>84</v>
      </c>
      <c r="CU2" s="26" t="s">
        <v>93</v>
      </c>
      <c r="CV2" s="27" t="s">
        <v>24</v>
      </c>
      <c r="CW2" s="27" t="s">
        <v>86</v>
      </c>
      <c r="CX2" s="28" t="s">
        <v>88</v>
      </c>
    </row>
    <row r="3" spans="1:102" ht="206.25" x14ac:dyDescent="0.25">
      <c r="A3" s="29" t="s">
        <v>81</v>
      </c>
      <c r="B3" s="30" t="s">
        <v>82</v>
      </c>
      <c r="C3" s="49" t="s">
        <v>60</v>
      </c>
      <c r="D3" s="49" t="s">
        <v>63</v>
      </c>
      <c r="E3" s="49" t="s">
        <v>103</v>
      </c>
      <c r="F3" s="49" t="s">
        <v>107</v>
      </c>
      <c r="G3" s="49" t="s">
        <v>109</v>
      </c>
      <c r="H3" s="49" t="s">
        <v>111</v>
      </c>
      <c r="I3" s="49" t="s">
        <v>113</v>
      </c>
      <c r="J3" s="49" t="s">
        <v>115</v>
      </c>
      <c r="K3" s="49" t="s">
        <v>117</v>
      </c>
      <c r="L3" s="49" t="s">
        <v>119</v>
      </c>
      <c r="M3" s="49" t="s">
        <v>120</v>
      </c>
      <c r="N3" s="49" t="s">
        <v>122</v>
      </c>
      <c r="O3" s="49" t="s">
        <v>123</v>
      </c>
      <c r="P3" s="49" t="s">
        <v>124</v>
      </c>
      <c r="Q3" s="49" t="s">
        <v>126</v>
      </c>
      <c r="R3" s="49" t="s">
        <v>128</v>
      </c>
      <c r="S3" s="49" t="s">
        <v>2040</v>
      </c>
      <c r="T3" s="49" t="s">
        <v>130</v>
      </c>
      <c r="U3" s="49" t="s">
        <v>121</v>
      </c>
      <c r="V3" s="49" t="s">
        <v>118</v>
      </c>
      <c r="W3" s="49" t="s">
        <v>131</v>
      </c>
      <c r="X3" s="49" t="s">
        <v>132</v>
      </c>
      <c r="Y3" s="49" t="s">
        <v>148</v>
      </c>
      <c r="Z3" s="49" t="s">
        <v>147</v>
      </c>
      <c r="AA3" s="49" t="s">
        <v>133</v>
      </c>
      <c r="AB3" s="49" t="s">
        <v>125</v>
      </c>
      <c r="AC3" s="49" t="s">
        <v>134</v>
      </c>
      <c r="AD3" s="49" t="s">
        <v>127</v>
      </c>
      <c r="AE3" s="49" t="s">
        <v>135</v>
      </c>
      <c r="AF3" s="49" t="s">
        <v>136</v>
      </c>
      <c r="AG3" s="49" t="s">
        <v>149</v>
      </c>
      <c r="AH3" s="49" t="s">
        <v>137</v>
      </c>
      <c r="AI3" s="49" t="s">
        <v>138</v>
      </c>
      <c r="AJ3" s="49" t="s">
        <v>1297</v>
      </c>
      <c r="AK3" s="49" t="s">
        <v>140</v>
      </c>
      <c r="AL3" s="49" t="s">
        <v>141</v>
      </c>
      <c r="AM3" s="49" t="s">
        <v>142</v>
      </c>
      <c r="AN3" s="49" t="s">
        <v>143</v>
      </c>
      <c r="AO3" s="49" t="s">
        <v>144</v>
      </c>
      <c r="AP3" s="49" t="s">
        <v>75</v>
      </c>
      <c r="AQ3" s="49" t="s">
        <v>145</v>
      </c>
      <c r="AR3" s="49" t="s">
        <v>146</v>
      </c>
      <c r="AS3" s="49" t="s">
        <v>151</v>
      </c>
      <c r="AT3" s="49" t="s">
        <v>150</v>
      </c>
      <c r="AU3" s="49" t="s">
        <v>1286</v>
      </c>
      <c r="AV3" s="49" t="s">
        <v>1287</v>
      </c>
      <c r="AW3" s="49" t="s">
        <v>1288</v>
      </c>
      <c r="AX3" s="49" t="s">
        <v>1289</v>
      </c>
      <c r="AY3" s="49" t="s">
        <v>1276</v>
      </c>
      <c r="AZ3" s="49" t="s">
        <v>1277</v>
      </c>
      <c r="BA3" s="49" t="s">
        <v>1278</v>
      </c>
      <c r="BB3" s="49" t="s">
        <v>1279</v>
      </c>
      <c r="BC3" s="49" t="s">
        <v>1300</v>
      </c>
      <c r="BD3" s="49" t="s">
        <v>1299</v>
      </c>
      <c r="BE3" s="49" t="s">
        <v>1496</v>
      </c>
      <c r="BF3" s="49" t="s">
        <v>1497</v>
      </c>
      <c r="BG3" s="49" t="s">
        <v>1498</v>
      </c>
      <c r="BH3" s="49" t="s">
        <v>1499</v>
      </c>
      <c r="BI3" s="49" t="s">
        <v>1500</v>
      </c>
      <c r="BJ3" s="49" t="s">
        <v>2039</v>
      </c>
      <c r="BK3" s="49" t="s">
        <v>2041</v>
      </c>
      <c r="BL3" s="49" t="s">
        <v>2044</v>
      </c>
      <c r="BM3" s="49" t="s">
        <v>105</v>
      </c>
      <c r="BN3" s="31" t="s">
        <v>60</v>
      </c>
      <c r="BO3" s="31" t="s">
        <v>63</v>
      </c>
      <c r="BP3" s="31" t="s">
        <v>121</v>
      </c>
      <c r="BQ3" s="31" t="s">
        <v>118</v>
      </c>
      <c r="BR3" s="31" t="s">
        <v>104</v>
      </c>
      <c r="BS3" s="31" t="s">
        <v>108</v>
      </c>
      <c r="BT3" s="31" t="s">
        <v>110</v>
      </c>
      <c r="BU3" s="31" t="s">
        <v>112</v>
      </c>
      <c r="BV3" s="31" t="s">
        <v>114</v>
      </c>
      <c r="BW3" s="31" t="s">
        <v>116</v>
      </c>
      <c r="BX3" s="31" t="s">
        <v>1286</v>
      </c>
      <c r="BY3" s="31" t="s">
        <v>1287</v>
      </c>
      <c r="BZ3" s="31" t="s">
        <v>1276</v>
      </c>
      <c r="CA3" s="31" t="s">
        <v>1277</v>
      </c>
      <c r="CB3" s="31" t="s">
        <v>125</v>
      </c>
      <c r="CC3" s="31" t="s">
        <v>127</v>
      </c>
      <c r="CD3" s="31" t="s">
        <v>105</v>
      </c>
      <c r="CE3" s="32" t="s">
        <v>60</v>
      </c>
      <c r="CF3" s="32" t="s">
        <v>63</v>
      </c>
      <c r="CG3" s="32" t="s">
        <v>121</v>
      </c>
      <c r="CH3" s="32" t="s">
        <v>118</v>
      </c>
      <c r="CI3" s="32" t="s">
        <v>104</v>
      </c>
      <c r="CJ3" s="32" t="s">
        <v>108</v>
      </c>
      <c r="CK3" s="32" t="s">
        <v>110</v>
      </c>
      <c r="CL3" s="32" t="s">
        <v>112</v>
      </c>
      <c r="CM3" s="32" t="s">
        <v>114</v>
      </c>
      <c r="CN3" s="32" t="s">
        <v>116</v>
      </c>
      <c r="CO3" s="32" t="s">
        <v>1286</v>
      </c>
      <c r="CP3" s="32" t="s">
        <v>1287</v>
      </c>
      <c r="CQ3" s="32" t="s">
        <v>1276</v>
      </c>
      <c r="CR3" s="32" t="s">
        <v>1277</v>
      </c>
      <c r="CS3" s="32" t="s">
        <v>125</v>
      </c>
      <c r="CT3" s="32" t="s">
        <v>127</v>
      </c>
      <c r="CU3" s="32" t="s">
        <v>105</v>
      </c>
      <c r="CV3" s="27" t="s">
        <v>85</v>
      </c>
      <c r="CW3" s="27" t="s">
        <v>87</v>
      </c>
      <c r="CX3" s="28"/>
    </row>
    <row r="4" spans="1:102" ht="15" customHeight="1" x14ac:dyDescent="0.25">
      <c r="A4" s="33">
        <v>1</v>
      </c>
      <c r="B4" s="43" t="s">
        <v>1899</v>
      </c>
      <c r="C4" s="69">
        <v>0.33560000000000001</v>
      </c>
      <c r="D4" s="69">
        <v>0.85199999999999998</v>
      </c>
      <c r="E4" s="69" t="s">
        <v>341</v>
      </c>
      <c r="F4" s="69" t="s">
        <v>252</v>
      </c>
      <c r="G4" s="69" t="s">
        <v>539</v>
      </c>
      <c r="H4" s="69" t="s">
        <v>540</v>
      </c>
      <c r="I4" s="69" t="s">
        <v>541</v>
      </c>
      <c r="J4" s="69" t="s">
        <v>542</v>
      </c>
      <c r="K4" s="71" t="s">
        <v>2037</v>
      </c>
      <c r="L4" s="69" t="s">
        <v>457</v>
      </c>
      <c r="M4" s="69" t="s">
        <v>543</v>
      </c>
      <c r="N4" s="69" t="s">
        <v>187</v>
      </c>
      <c r="O4" s="69" t="s">
        <v>337</v>
      </c>
      <c r="P4" s="69" t="s">
        <v>318</v>
      </c>
      <c r="Q4" s="69" t="s">
        <v>392</v>
      </c>
      <c r="R4" s="69" t="s">
        <v>267</v>
      </c>
      <c r="S4" s="69"/>
      <c r="T4" s="69">
        <v>152.01599999999999</v>
      </c>
      <c r="U4" s="69">
        <v>1.0876999999999999</v>
      </c>
      <c r="V4" s="69">
        <v>6.1760000000000002</v>
      </c>
      <c r="W4" s="69">
        <v>0</v>
      </c>
      <c r="X4" s="69">
        <v>1</v>
      </c>
      <c r="Y4" s="69">
        <v>1.2E-2</v>
      </c>
      <c r="Z4" s="69">
        <v>0.17899999999999999</v>
      </c>
      <c r="AA4" s="69">
        <v>2475.8110000000001</v>
      </c>
      <c r="AB4" s="69">
        <v>0.433</v>
      </c>
      <c r="AC4" s="69">
        <v>2645.0639999999999</v>
      </c>
      <c r="AD4" s="69">
        <v>1.0999999999999999E-2</v>
      </c>
      <c r="AE4" s="69">
        <v>0.96199999999999997</v>
      </c>
      <c r="AF4" s="69">
        <v>1</v>
      </c>
      <c r="AG4" s="69">
        <v>-1.27</v>
      </c>
      <c r="AH4" s="69">
        <v>-198.286</v>
      </c>
      <c r="AI4" s="69">
        <v>114.947</v>
      </c>
      <c r="AJ4" s="69" t="s">
        <v>1428</v>
      </c>
      <c r="AK4" s="69">
        <v>1</v>
      </c>
      <c r="AL4" s="69">
        <v>1</v>
      </c>
      <c r="AM4" s="69">
        <v>0</v>
      </c>
      <c r="AN4" s="69">
        <v>0</v>
      </c>
      <c r="AO4" s="69">
        <v>0</v>
      </c>
      <c r="AP4" s="69">
        <v>0</v>
      </c>
      <c r="AQ4" s="72" t="s">
        <v>1760</v>
      </c>
      <c r="AR4" s="69" t="s">
        <v>544</v>
      </c>
      <c r="AS4" s="69">
        <v>1956</v>
      </c>
      <c r="AT4" s="69">
        <v>16.945</v>
      </c>
      <c r="AU4" s="69">
        <v>-43.17</v>
      </c>
      <c r="AV4" s="69">
        <v>-10.210000000000001</v>
      </c>
      <c r="AW4" s="69">
        <v>12079.872300000001</v>
      </c>
      <c r="AX4" s="69">
        <v>0.62070000000000003</v>
      </c>
      <c r="AY4" s="69">
        <v>-43.17</v>
      </c>
      <c r="AZ4" s="69">
        <v>-10.210000000000001</v>
      </c>
      <c r="BA4" s="69">
        <v>12079.872300000001</v>
      </c>
      <c r="BB4" s="69">
        <v>0.62070000000000003</v>
      </c>
      <c r="BC4" s="69">
        <v>1</v>
      </c>
      <c r="BD4" s="69">
        <v>1</v>
      </c>
      <c r="BE4" s="69">
        <v>0</v>
      </c>
      <c r="BF4" s="69">
        <v>-6.5</v>
      </c>
      <c r="BG4" s="69">
        <v>0.6149</v>
      </c>
      <c r="BH4" s="69">
        <v>-4.0999999999999996</v>
      </c>
      <c r="BI4" s="69">
        <v>7.7065000000000001</v>
      </c>
      <c r="BJ4" s="71">
        <v>0</v>
      </c>
      <c r="BK4" s="71">
        <v>0.1</v>
      </c>
      <c r="BL4" s="71">
        <v>10</v>
      </c>
      <c r="BM4" s="69">
        <v>2</v>
      </c>
      <c r="BN4" s="124" t="s">
        <v>89</v>
      </c>
      <c r="BO4" s="34" t="s">
        <v>89</v>
      </c>
      <c r="BP4" s="34" t="s">
        <v>89</v>
      </c>
      <c r="BQ4" s="34" t="s">
        <v>89</v>
      </c>
      <c r="BR4" s="34" t="s">
        <v>89</v>
      </c>
      <c r="BS4" s="34" t="s">
        <v>89</v>
      </c>
      <c r="BT4" s="34" t="s">
        <v>89</v>
      </c>
      <c r="BU4" s="34" t="s">
        <v>89</v>
      </c>
      <c r="BV4" s="34" t="s">
        <v>89</v>
      </c>
      <c r="BW4" s="34" t="s">
        <v>89</v>
      </c>
      <c r="BX4" s="34" t="s">
        <v>89</v>
      </c>
      <c r="BY4" s="34" t="s">
        <v>89</v>
      </c>
      <c r="BZ4" s="34" t="s">
        <v>89</v>
      </c>
      <c r="CA4" s="34" t="s">
        <v>89</v>
      </c>
      <c r="CB4" s="34" t="s">
        <v>89</v>
      </c>
      <c r="CC4" s="34" t="s">
        <v>89</v>
      </c>
      <c r="CD4" s="34" t="s">
        <v>89</v>
      </c>
      <c r="CE4" s="43">
        <v>1.4163911368147099E-4</v>
      </c>
      <c r="CF4" s="43">
        <v>1</v>
      </c>
      <c r="CG4" s="43">
        <v>0</v>
      </c>
      <c r="CH4" s="43">
        <v>0</v>
      </c>
      <c r="CI4" s="43">
        <v>-220</v>
      </c>
      <c r="CJ4" s="43">
        <v>3.7582653230980201E-2</v>
      </c>
      <c r="CK4" s="43">
        <v>-4.8098531728292997</v>
      </c>
      <c r="CL4" s="43">
        <v>0</v>
      </c>
      <c r="CM4" s="43">
        <v>65492</v>
      </c>
      <c r="CN4" s="43">
        <v>1956</v>
      </c>
      <c r="CO4" s="43">
        <v>15.196</v>
      </c>
      <c r="CP4" s="43">
        <v>-76571.705942588102</v>
      </c>
      <c r="CQ4" s="43">
        <v>5.3310000000000004</v>
      </c>
      <c r="CR4" s="43">
        <v>-76577.829148088102</v>
      </c>
      <c r="CS4" s="43">
        <v>0.74247637499999997</v>
      </c>
      <c r="CT4" s="43">
        <v>0.34163300000000002</v>
      </c>
      <c r="CU4" s="43">
        <v>1</v>
      </c>
      <c r="CV4" s="46" t="s">
        <v>89</v>
      </c>
      <c r="CW4" s="34">
        <v>7005</v>
      </c>
      <c r="CX4" s="35"/>
    </row>
    <row r="5" spans="1:102" ht="15" customHeight="1" thickBot="1" x14ac:dyDescent="0.3">
      <c r="A5" s="36">
        <v>2</v>
      </c>
      <c r="B5" s="44" t="s">
        <v>1900</v>
      </c>
      <c r="C5" s="167">
        <v>1</v>
      </c>
      <c r="D5" s="167">
        <v>1</v>
      </c>
      <c r="E5" s="167" t="s">
        <v>99</v>
      </c>
      <c r="F5" s="167" t="s">
        <v>99</v>
      </c>
      <c r="G5" s="167" t="s">
        <v>185</v>
      </c>
      <c r="H5" s="167" t="s">
        <v>186</v>
      </c>
      <c r="I5" s="167" t="s">
        <v>185</v>
      </c>
      <c r="J5" s="167" t="s">
        <v>186</v>
      </c>
      <c r="K5" s="169" t="s">
        <v>1920</v>
      </c>
      <c r="L5" s="167" t="s">
        <v>96</v>
      </c>
      <c r="M5" s="167" t="s">
        <v>96</v>
      </c>
      <c r="N5" s="167" t="s">
        <v>187</v>
      </c>
      <c r="O5" s="167" t="s">
        <v>187</v>
      </c>
      <c r="P5" s="167" t="s">
        <v>187</v>
      </c>
      <c r="Q5" s="167" t="s">
        <v>187</v>
      </c>
      <c r="R5" s="167" t="s">
        <v>99</v>
      </c>
      <c r="S5" s="167"/>
      <c r="T5" s="167">
        <v>220</v>
      </c>
      <c r="U5" s="167">
        <v>31</v>
      </c>
      <c r="V5" s="167">
        <v>31</v>
      </c>
      <c r="W5" s="167">
        <v>1</v>
      </c>
      <c r="X5" s="167">
        <v>1</v>
      </c>
      <c r="Y5" s="167">
        <v>0.2</v>
      </c>
      <c r="Z5" s="167">
        <v>0.2</v>
      </c>
      <c r="AA5" s="167">
        <v>8000</v>
      </c>
      <c r="AB5" s="167">
        <v>1</v>
      </c>
      <c r="AC5" s="167">
        <v>8000</v>
      </c>
      <c r="AD5" s="167">
        <v>1</v>
      </c>
      <c r="AE5" s="167">
        <v>1</v>
      </c>
      <c r="AF5" s="167">
        <v>1</v>
      </c>
      <c r="AG5" s="167">
        <v>25</v>
      </c>
      <c r="AH5" s="167">
        <v>220</v>
      </c>
      <c r="AI5" s="167">
        <v>220</v>
      </c>
      <c r="AJ5" s="167" t="s">
        <v>190</v>
      </c>
      <c r="AK5" s="167">
        <v>1</v>
      </c>
      <c r="AL5" s="167">
        <v>4</v>
      </c>
      <c r="AM5" s="167">
        <v>1</v>
      </c>
      <c r="AN5" s="167">
        <v>1</v>
      </c>
      <c r="AO5" s="167">
        <v>1</v>
      </c>
      <c r="AP5" s="167">
        <v>1</v>
      </c>
      <c r="AQ5" s="167" t="s">
        <v>188</v>
      </c>
      <c r="AR5" s="167" t="s">
        <v>189</v>
      </c>
      <c r="AS5" s="167">
        <v>5000</v>
      </c>
      <c r="AT5" s="167">
        <v>25</v>
      </c>
      <c r="AU5" s="200">
        <v>1350</v>
      </c>
      <c r="AV5" s="200">
        <v>1350</v>
      </c>
      <c r="AW5" s="200">
        <v>50928.581789999997</v>
      </c>
      <c r="AX5" s="200">
        <v>0.99682700099999999</v>
      </c>
      <c r="AY5" s="200">
        <v>1350</v>
      </c>
      <c r="AZ5" s="200">
        <v>1350</v>
      </c>
      <c r="BA5" s="200">
        <v>50928.581789999997</v>
      </c>
      <c r="BB5" s="200">
        <v>0.99682700099999999</v>
      </c>
      <c r="BC5" s="167">
        <v>1</v>
      </c>
      <c r="BD5" s="167">
        <v>1</v>
      </c>
      <c r="BE5" s="167">
        <v>1</v>
      </c>
      <c r="BF5" s="167">
        <v>0</v>
      </c>
      <c r="BG5" s="167">
        <v>31</v>
      </c>
      <c r="BH5" s="167">
        <v>0</v>
      </c>
      <c r="BI5" s="167">
        <v>31</v>
      </c>
      <c r="BJ5" s="167">
        <v>1</v>
      </c>
      <c r="BK5" s="167">
        <v>0.02</v>
      </c>
      <c r="BL5" s="69">
        <v>8000</v>
      </c>
      <c r="BM5" s="167">
        <v>2</v>
      </c>
      <c r="BN5" s="168" t="s">
        <v>89</v>
      </c>
      <c r="BO5" s="168" t="s">
        <v>89</v>
      </c>
      <c r="BP5" s="168" t="s">
        <v>89</v>
      </c>
      <c r="BQ5" s="168" t="s">
        <v>89</v>
      </c>
      <c r="BR5" s="168" t="s">
        <v>89</v>
      </c>
      <c r="BS5" s="168" t="s">
        <v>89</v>
      </c>
      <c r="BT5" s="168" t="s">
        <v>89</v>
      </c>
      <c r="BU5" s="168" t="s">
        <v>89</v>
      </c>
      <c r="BV5" s="168" t="s">
        <v>89</v>
      </c>
      <c r="BW5" s="168" t="s">
        <v>89</v>
      </c>
      <c r="BX5" s="168" t="s">
        <v>89</v>
      </c>
      <c r="BY5" s="168" t="s">
        <v>89</v>
      </c>
      <c r="BZ5" s="168" t="s">
        <v>89</v>
      </c>
      <c r="CA5" s="168" t="s">
        <v>89</v>
      </c>
      <c r="CB5" s="168" t="s">
        <v>89</v>
      </c>
      <c r="CC5" s="168" t="s">
        <v>89</v>
      </c>
      <c r="CD5" s="168" t="s">
        <v>89</v>
      </c>
      <c r="CE5" s="167">
        <v>-4.47056274847714</v>
      </c>
      <c r="CF5" s="167">
        <v>1</v>
      </c>
      <c r="CG5" s="167">
        <v>0</v>
      </c>
      <c r="CH5" s="167">
        <v>0</v>
      </c>
      <c r="CI5" s="167">
        <v>0</v>
      </c>
      <c r="CJ5" s="167">
        <v>21.920310216783001</v>
      </c>
      <c r="CK5" s="167">
        <v>21.920310216783001</v>
      </c>
      <c r="CL5" s="167">
        <v>0</v>
      </c>
      <c r="CM5" s="167">
        <v>40943</v>
      </c>
      <c r="CN5" s="167">
        <v>5000</v>
      </c>
      <c r="CO5" s="167">
        <v>1350</v>
      </c>
      <c r="CP5" s="167">
        <v>1350</v>
      </c>
      <c r="CQ5" s="167">
        <v>31</v>
      </c>
      <c r="CR5" s="167">
        <v>68536806.976815403</v>
      </c>
      <c r="CS5" s="167">
        <v>0</v>
      </c>
      <c r="CT5" s="167">
        <v>0</v>
      </c>
      <c r="CU5" s="167">
        <v>1</v>
      </c>
      <c r="CV5" s="201" t="s">
        <v>89</v>
      </c>
      <c r="CW5" s="37">
        <v>7300</v>
      </c>
      <c r="CX5" s="38"/>
    </row>
    <row r="6" spans="1:102"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row>
    <row r="7" spans="1:102" x14ac:dyDescent="0.25">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row>
    <row r="8" spans="1:102"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row>
    <row r="9" spans="1:102"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row>
    <row r="10" spans="1:102"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row>
    <row r="11" spans="1:102" x14ac:dyDescent="0.25">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row>
    <row r="12" spans="1:102"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row>
    <row r="13" spans="1:102"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row>
    <row r="14" spans="1:102"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row>
    <row r="15" spans="1:102"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row>
  </sheetData>
  <sheetProtection sheet="1" objects="1" scenarios="1"/>
  <mergeCells count="2">
    <mergeCell ref="A1:B1"/>
    <mergeCell ref="A2:B2"/>
  </mergeCells>
  <hyperlinks>
    <hyperlink ref="A1" location="'PICurrCntrl_Per1'!A1" display="'PICurrCntrl_Per1'!A1"/>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X197"/>
  <sheetViews>
    <sheetView zoomScaleNormal="100" workbookViewId="0">
      <selection sqref="A1:B1"/>
    </sheetView>
  </sheetViews>
  <sheetFormatPr defaultRowHeight="15" x14ac:dyDescent="0.25"/>
  <cols>
    <col min="1" max="1" width="8.140625" bestFit="1" customWidth="1"/>
    <col min="2" max="2" width="56.85546875" bestFit="1" customWidth="1"/>
    <col min="3" max="4" width="7" bestFit="1" customWidth="1"/>
    <col min="5" max="6" width="16.7109375" bestFit="1" customWidth="1"/>
    <col min="7" max="7" width="13.85546875" bestFit="1" customWidth="1"/>
    <col min="8" max="8" width="17.42578125" bestFit="1" customWidth="1"/>
    <col min="9" max="9" width="12.7109375" bestFit="1" customWidth="1"/>
    <col min="10" max="10" width="17.85546875" bestFit="1" customWidth="1"/>
    <col min="11" max="11" width="14.28515625" bestFit="1" customWidth="1"/>
    <col min="12" max="12" width="14.7109375" bestFit="1" customWidth="1"/>
    <col min="13" max="13" width="15.5703125" bestFit="1" customWidth="1"/>
    <col min="14" max="17" width="14.85546875" bestFit="1" customWidth="1"/>
    <col min="18" max="18" width="17.7109375" bestFit="1" customWidth="1"/>
    <col min="19" max="21" width="8.7109375" bestFit="1" customWidth="1"/>
    <col min="22" max="22" width="8" bestFit="1" customWidth="1"/>
    <col min="23" max="24" width="3.28515625" bestFit="1" customWidth="1"/>
    <col min="25" max="27" width="12" bestFit="1" customWidth="1"/>
    <col min="28" max="28" width="7" bestFit="1" customWidth="1"/>
    <col min="29" max="29" width="10" bestFit="1" customWidth="1"/>
    <col min="30" max="31" width="12" bestFit="1" customWidth="1"/>
    <col min="32" max="32" width="3.28515625" bestFit="1" customWidth="1"/>
    <col min="33" max="33" width="12.7109375" bestFit="1" customWidth="1"/>
    <col min="34" max="34" width="12" bestFit="1" customWidth="1"/>
    <col min="35" max="35" width="12.7109375" bestFit="1" customWidth="1"/>
    <col min="36" max="36" width="14.85546875" bestFit="1" customWidth="1"/>
    <col min="37" max="42" width="3.28515625" bestFit="1" customWidth="1"/>
    <col min="43" max="43" width="31.85546875" bestFit="1" customWidth="1"/>
    <col min="44" max="44" width="10" bestFit="1" customWidth="1"/>
    <col min="45" max="45" width="5" bestFit="1" customWidth="1"/>
    <col min="46" max="46" width="8" bestFit="1" customWidth="1"/>
    <col min="47" max="47" width="10" bestFit="1" customWidth="1"/>
    <col min="48" max="48" width="9" bestFit="1" customWidth="1"/>
    <col min="49" max="49" width="12.7109375" bestFit="1" customWidth="1"/>
    <col min="50" max="50" width="12.28515625" bestFit="1" customWidth="1"/>
    <col min="51" max="51" width="8" bestFit="1" customWidth="1"/>
    <col min="52" max="52" width="9" bestFit="1" customWidth="1"/>
    <col min="53" max="53" width="12.7109375" bestFit="1" customWidth="1"/>
    <col min="54" max="54" width="12.28515625" bestFit="1" customWidth="1"/>
    <col min="55" max="57" width="3.28515625" bestFit="1" customWidth="1"/>
    <col min="58" max="58" width="12.7109375" bestFit="1" customWidth="1"/>
    <col min="59" max="59" width="8" bestFit="1" customWidth="1"/>
    <col min="60" max="60" width="7.7109375" bestFit="1" customWidth="1"/>
    <col min="61" max="61" width="8" bestFit="1" customWidth="1"/>
    <col min="62" max="62" width="3.28515625" bestFit="1" customWidth="1"/>
    <col min="63" max="64" width="6" bestFit="1" customWidth="1"/>
    <col min="65" max="65" width="7.28515625" bestFit="1" customWidth="1"/>
    <col min="66" max="81" width="4.140625" bestFit="1" customWidth="1"/>
    <col min="82" max="82" width="7.28515625" bestFit="1" customWidth="1"/>
    <col min="83" max="86" width="12.7109375" bestFit="1" customWidth="1"/>
    <col min="87" max="87" width="9.7109375" bestFit="1" customWidth="1"/>
    <col min="88" max="89" width="12.7109375" bestFit="1" customWidth="1"/>
    <col min="90" max="92" width="7.28515625" bestFit="1" customWidth="1"/>
    <col min="93" max="93" width="10" bestFit="1" customWidth="1"/>
    <col min="94" max="94" width="12.7109375" bestFit="1" customWidth="1"/>
    <col min="95" max="95" width="8" bestFit="1" customWidth="1"/>
    <col min="96" max="96" width="12.7109375" bestFit="1" customWidth="1"/>
    <col min="97" max="98" width="12" bestFit="1" customWidth="1"/>
    <col min="99" max="99" width="7.28515625" bestFit="1" customWidth="1"/>
    <col min="100" max="100" width="10.5703125" bestFit="1" customWidth="1"/>
    <col min="101" max="101" width="12.42578125" bestFit="1" customWidth="1"/>
    <col min="102" max="102" width="10.5703125" bestFit="1" customWidth="1"/>
  </cols>
  <sheetData>
    <row r="1" spans="1:102" x14ac:dyDescent="0.25">
      <c r="A1" s="228" t="s">
        <v>102</v>
      </c>
      <c r="B1" s="229"/>
      <c r="C1" s="42" t="s">
        <v>90</v>
      </c>
      <c r="D1" s="54" t="s">
        <v>89</v>
      </c>
      <c r="E1" s="42"/>
      <c r="F1" s="54" t="s">
        <v>89</v>
      </c>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40"/>
      <c r="CW1" s="40"/>
      <c r="CX1" s="41"/>
    </row>
    <row r="2" spans="1:102" ht="60" customHeight="1" x14ac:dyDescent="0.25">
      <c r="A2" s="230" t="s">
        <v>80</v>
      </c>
      <c r="B2" s="231"/>
      <c r="C2" s="50" t="s">
        <v>91</v>
      </c>
      <c r="D2" s="50" t="s">
        <v>91</v>
      </c>
      <c r="E2" s="50" t="s">
        <v>91</v>
      </c>
      <c r="F2" s="50" t="s">
        <v>91</v>
      </c>
      <c r="G2" s="50" t="s">
        <v>91</v>
      </c>
      <c r="H2" s="50" t="s">
        <v>91</v>
      </c>
      <c r="I2" s="50" t="s">
        <v>91</v>
      </c>
      <c r="J2" s="50" t="s">
        <v>91</v>
      </c>
      <c r="K2" s="50" t="s">
        <v>91</v>
      </c>
      <c r="L2" s="50" t="s">
        <v>91</v>
      </c>
      <c r="M2" s="50" t="s">
        <v>91</v>
      </c>
      <c r="N2" s="50" t="s">
        <v>91</v>
      </c>
      <c r="O2" s="50" t="s">
        <v>91</v>
      </c>
      <c r="P2" s="50" t="s">
        <v>91</v>
      </c>
      <c r="Q2" s="50" t="s">
        <v>91</v>
      </c>
      <c r="R2" s="50" t="s">
        <v>91</v>
      </c>
      <c r="S2" s="50" t="s">
        <v>91</v>
      </c>
      <c r="T2" s="50" t="s">
        <v>91</v>
      </c>
      <c r="U2" s="50" t="s">
        <v>91</v>
      </c>
      <c r="V2" s="50" t="s">
        <v>91</v>
      </c>
      <c r="W2" s="50" t="s">
        <v>91</v>
      </c>
      <c r="X2" s="50" t="s">
        <v>91</v>
      </c>
      <c r="Y2" s="50" t="s">
        <v>91</v>
      </c>
      <c r="Z2" s="50" t="s">
        <v>91</v>
      </c>
      <c r="AA2" s="50" t="s">
        <v>91</v>
      </c>
      <c r="AB2" s="50" t="s">
        <v>91</v>
      </c>
      <c r="AC2" s="50" t="s">
        <v>91</v>
      </c>
      <c r="AD2" s="50" t="s">
        <v>91</v>
      </c>
      <c r="AE2" s="50" t="s">
        <v>91</v>
      </c>
      <c r="AF2" s="50" t="s">
        <v>91</v>
      </c>
      <c r="AG2" s="50" t="s">
        <v>91</v>
      </c>
      <c r="AH2" s="50" t="s">
        <v>91</v>
      </c>
      <c r="AI2" s="50" t="s">
        <v>91</v>
      </c>
      <c r="AJ2" s="50" t="s">
        <v>91</v>
      </c>
      <c r="AK2" s="50" t="s">
        <v>91</v>
      </c>
      <c r="AL2" s="50" t="s">
        <v>91</v>
      </c>
      <c r="AM2" s="50" t="s">
        <v>91</v>
      </c>
      <c r="AN2" s="50" t="s">
        <v>91</v>
      </c>
      <c r="AO2" s="50" t="s">
        <v>91</v>
      </c>
      <c r="AP2" s="50" t="s">
        <v>91</v>
      </c>
      <c r="AQ2" s="50" t="s">
        <v>91</v>
      </c>
      <c r="AR2" s="50" t="s">
        <v>91</v>
      </c>
      <c r="AS2" s="50" t="s">
        <v>91</v>
      </c>
      <c r="AT2" s="50" t="s">
        <v>91</v>
      </c>
      <c r="AU2" s="50" t="s">
        <v>91</v>
      </c>
      <c r="AV2" s="50" t="s">
        <v>91</v>
      </c>
      <c r="AW2" s="50" t="s">
        <v>91</v>
      </c>
      <c r="AX2" s="50" t="s">
        <v>91</v>
      </c>
      <c r="AY2" s="50" t="s">
        <v>91</v>
      </c>
      <c r="AZ2" s="50" t="s">
        <v>91</v>
      </c>
      <c r="BA2" s="50" t="s">
        <v>91</v>
      </c>
      <c r="BB2" s="50" t="s">
        <v>91</v>
      </c>
      <c r="BC2" s="50" t="s">
        <v>91</v>
      </c>
      <c r="BD2" s="50" t="s">
        <v>91</v>
      </c>
      <c r="BE2" s="50" t="s">
        <v>91</v>
      </c>
      <c r="BF2" s="50" t="s">
        <v>91</v>
      </c>
      <c r="BG2" s="50" t="s">
        <v>91</v>
      </c>
      <c r="BH2" s="50" t="s">
        <v>91</v>
      </c>
      <c r="BI2" s="50" t="s">
        <v>91</v>
      </c>
      <c r="BJ2" s="50" t="s">
        <v>91</v>
      </c>
      <c r="BK2" s="50" t="s">
        <v>91</v>
      </c>
      <c r="BL2" s="50" t="s">
        <v>91</v>
      </c>
      <c r="BM2" s="66" t="s">
        <v>152</v>
      </c>
      <c r="BN2" s="67" t="s">
        <v>83</v>
      </c>
      <c r="BO2" s="48" t="s">
        <v>83</v>
      </c>
      <c r="BP2" s="48" t="s">
        <v>83</v>
      </c>
      <c r="BQ2" s="48" t="s">
        <v>83</v>
      </c>
      <c r="BR2" s="48" t="s">
        <v>83</v>
      </c>
      <c r="BS2" s="48" t="s">
        <v>83</v>
      </c>
      <c r="BT2" s="48" t="s">
        <v>83</v>
      </c>
      <c r="BU2" s="48" t="s">
        <v>83</v>
      </c>
      <c r="BV2" s="48" t="s">
        <v>83</v>
      </c>
      <c r="BW2" s="48" t="s">
        <v>83</v>
      </c>
      <c r="BX2" s="48" t="s">
        <v>83</v>
      </c>
      <c r="BY2" s="48" t="s">
        <v>83</v>
      </c>
      <c r="BZ2" s="48" t="s">
        <v>83</v>
      </c>
      <c r="CA2" s="48" t="s">
        <v>83</v>
      </c>
      <c r="CB2" s="48" t="s">
        <v>83</v>
      </c>
      <c r="CC2" s="48" t="s">
        <v>83</v>
      </c>
      <c r="CD2" s="48" t="s">
        <v>92</v>
      </c>
      <c r="CE2" s="26" t="s">
        <v>84</v>
      </c>
      <c r="CF2" s="26" t="s">
        <v>84</v>
      </c>
      <c r="CG2" s="26" t="s">
        <v>84</v>
      </c>
      <c r="CH2" s="26" t="s">
        <v>84</v>
      </c>
      <c r="CI2" s="26" t="s">
        <v>84</v>
      </c>
      <c r="CJ2" s="26" t="s">
        <v>84</v>
      </c>
      <c r="CK2" s="26" t="s">
        <v>84</v>
      </c>
      <c r="CL2" s="26" t="s">
        <v>84</v>
      </c>
      <c r="CM2" s="26" t="s">
        <v>84</v>
      </c>
      <c r="CN2" s="26" t="s">
        <v>84</v>
      </c>
      <c r="CO2" s="26" t="s">
        <v>84</v>
      </c>
      <c r="CP2" s="26" t="s">
        <v>84</v>
      </c>
      <c r="CQ2" s="26" t="s">
        <v>84</v>
      </c>
      <c r="CR2" s="26" t="s">
        <v>84</v>
      </c>
      <c r="CS2" s="26" t="s">
        <v>84</v>
      </c>
      <c r="CT2" s="26" t="s">
        <v>84</v>
      </c>
      <c r="CU2" s="26" t="s">
        <v>93</v>
      </c>
      <c r="CV2" s="27" t="s">
        <v>24</v>
      </c>
      <c r="CW2" s="27" t="s">
        <v>86</v>
      </c>
      <c r="CX2" s="28" t="s">
        <v>88</v>
      </c>
    </row>
    <row r="3" spans="1:102" ht="206.25" x14ac:dyDescent="0.25">
      <c r="A3" s="29" t="s">
        <v>81</v>
      </c>
      <c r="B3" s="30" t="s">
        <v>82</v>
      </c>
      <c r="C3" s="49" t="s">
        <v>60</v>
      </c>
      <c r="D3" s="49" t="s">
        <v>63</v>
      </c>
      <c r="E3" s="49" t="s">
        <v>103</v>
      </c>
      <c r="F3" s="49" t="s">
        <v>107</v>
      </c>
      <c r="G3" s="49" t="s">
        <v>109</v>
      </c>
      <c r="H3" s="49" t="s">
        <v>111</v>
      </c>
      <c r="I3" s="49" t="s">
        <v>113</v>
      </c>
      <c r="J3" s="49" t="s">
        <v>115</v>
      </c>
      <c r="K3" s="49" t="s">
        <v>117</v>
      </c>
      <c r="L3" s="49" t="s">
        <v>119</v>
      </c>
      <c r="M3" s="49" t="s">
        <v>120</v>
      </c>
      <c r="N3" s="49" t="s">
        <v>122</v>
      </c>
      <c r="O3" s="49" t="s">
        <v>123</v>
      </c>
      <c r="P3" s="49" t="s">
        <v>124</v>
      </c>
      <c r="Q3" s="49" t="s">
        <v>126</v>
      </c>
      <c r="R3" s="49" t="s">
        <v>128</v>
      </c>
      <c r="S3" s="49" t="s">
        <v>2040</v>
      </c>
      <c r="T3" s="49" t="s">
        <v>130</v>
      </c>
      <c r="U3" s="49" t="s">
        <v>121</v>
      </c>
      <c r="V3" s="49" t="s">
        <v>118</v>
      </c>
      <c r="W3" s="49" t="s">
        <v>131</v>
      </c>
      <c r="X3" s="49" t="s">
        <v>132</v>
      </c>
      <c r="Y3" s="49" t="s">
        <v>148</v>
      </c>
      <c r="Z3" s="49" t="s">
        <v>147</v>
      </c>
      <c r="AA3" s="49" t="s">
        <v>133</v>
      </c>
      <c r="AB3" s="49" t="s">
        <v>125</v>
      </c>
      <c r="AC3" s="49" t="s">
        <v>134</v>
      </c>
      <c r="AD3" s="49" t="s">
        <v>127</v>
      </c>
      <c r="AE3" s="49" t="s">
        <v>135</v>
      </c>
      <c r="AF3" s="49" t="s">
        <v>136</v>
      </c>
      <c r="AG3" s="49" t="s">
        <v>149</v>
      </c>
      <c r="AH3" s="49" t="s">
        <v>137</v>
      </c>
      <c r="AI3" s="49" t="s">
        <v>138</v>
      </c>
      <c r="AJ3" s="49" t="s">
        <v>1297</v>
      </c>
      <c r="AK3" s="49" t="s">
        <v>140</v>
      </c>
      <c r="AL3" s="49" t="s">
        <v>141</v>
      </c>
      <c r="AM3" s="49" t="s">
        <v>142</v>
      </c>
      <c r="AN3" s="49" t="s">
        <v>143</v>
      </c>
      <c r="AO3" s="49" t="s">
        <v>144</v>
      </c>
      <c r="AP3" s="49" t="s">
        <v>75</v>
      </c>
      <c r="AQ3" s="49" t="s">
        <v>145</v>
      </c>
      <c r="AR3" s="49" t="s">
        <v>146</v>
      </c>
      <c r="AS3" s="49" t="s">
        <v>151</v>
      </c>
      <c r="AT3" s="49" t="s">
        <v>150</v>
      </c>
      <c r="AU3" s="49" t="s">
        <v>1286</v>
      </c>
      <c r="AV3" s="49" t="s">
        <v>1287</v>
      </c>
      <c r="AW3" s="49" t="s">
        <v>1288</v>
      </c>
      <c r="AX3" s="49" t="s">
        <v>1289</v>
      </c>
      <c r="AY3" s="49" t="s">
        <v>1276</v>
      </c>
      <c r="AZ3" s="49" t="s">
        <v>1277</v>
      </c>
      <c r="BA3" s="49" t="s">
        <v>1278</v>
      </c>
      <c r="BB3" s="49" t="s">
        <v>1279</v>
      </c>
      <c r="BC3" s="49" t="s">
        <v>1300</v>
      </c>
      <c r="BD3" s="49" t="s">
        <v>1299</v>
      </c>
      <c r="BE3" s="49" t="s">
        <v>1496</v>
      </c>
      <c r="BF3" s="49" t="s">
        <v>1497</v>
      </c>
      <c r="BG3" s="49" t="s">
        <v>1498</v>
      </c>
      <c r="BH3" s="49" t="s">
        <v>1499</v>
      </c>
      <c r="BI3" s="49" t="s">
        <v>1500</v>
      </c>
      <c r="BJ3" s="49" t="s">
        <v>2039</v>
      </c>
      <c r="BK3" s="49" t="s">
        <v>2041</v>
      </c>
      <c r="BL3" s="49" t="s">
        <v>2044</v>
      </c>
      <c r="BM3" s="49" t="s">
        <v>105</v>
      </c>
      <c r="BN3" s="76" t="s">
        <v>60</v>
      </c>
      <c r="BO3" s="76" t="s">
        <v>63</v>
      </c>
      <c r="BP3" s="76" t="s">
        <v>121</v>
      </c>
      <c r="BQ3" s="76" t="s">
        <v>118</v>
      </c>
      <c r="BR3" s="76" t="s">
        <v>104</v>
      </c>
      <c r="BS3" s="76" t="s">
        <v>108</v>
      </c>
      <c r="BT3" s="76" t="s">
        <v>110</v>
      </c>
      <c r="BU3" s="76" t="s">
        <v>112</v>
      </c>
      <c r="BV3" s="76" t="s">
        <v>114</v>
      </c>
      <c r="BW3" s="76" t="s">
        <v>116</v>
      </c>
      <c r="BX3" s="76" t="s">
        <v>1286</v>
      </c>
      <c r="BY3" s="76" t="s">
        <v>1287</v>
      </c>
      <c r="BZ3" s="76" t="s">
        <v>1276</v>
      </c>
      <c r="CA3" s="76" t="s">
        <v>1277</v>
      </c>
      <c r="CB3" s="76" t="s">
        <v>125</v>
      </c>
      <c r="CC3" s="76" t="s">
        <v>127</v>
      </c>
      <c r="CD3" s="76" t="s">
        <v>105</v>
      </c>
      <c r="CE3" s="32" t="s">
        <v>60</v>
      </c>
      <c r="CF3" s="32" t="s">
        <v>63</v>
      </c>
      <c r="CG3" s="32" t="s">
        <v>121</v>
      </c>
      <c r="CH3" s="32" t="s">
        <v>118</v>
      </c>
      <c r="CI3" s="32" t="s">
        <v>104</v>
      </c>
      <c r="CJ3" s="32" t="s">
        <v>108</v>
      </c>
      <c r="CK3" s="32" t="s">
        <v>110</v>
      </c>
      <c r="CL3" s="32" t="s">
        <v>112</v>
      </c>
      <c r="CM3" s="32" t="s">
        <v>114</v>
      </c>
      <c r="CN3" s="32" t="s">
        <v>116</v>
      </c>
      <c r="CO3" s="32" t="s">
        <v>1286</v>
      </c>
      <c r="CP3" s="32" t="s">
        <v>1287</v>
      </c>
      <c r="CQ3" s="32" t="s">
        <v>1276</v>
      </c>
      <c r="CR3" s="32" t="s">
        <v>1277</v>
      </c>
      <c r="CS3" s="32" t="s">
        <v>125</v>
      </c>
      <c r="CT3" s="32" t="s">
        <v>127</v>
      </c>
      <c r="CU3" s="32" t="s">
        <v>105</v>
      </c>
      <c r="CV3" s="27" t="s">
        <v>85</v>
      </c>
      <c r="CW3" s="27" t="s">
        <v>87</v>
      </c>
      <c r="CX3" s="28"/>
    </row>
    <row r="4" spans="1:102" ht="15" customHeight="1" x14ac:dyDescent="0.25">
      <c r="A4" s="33">
        <v>1</v>
      </c>
      <c r="B4" s="43" t="s">
        <v>219</v>
      </c>
      <c r="C4" s="51">
        <v>0</v>
      </c>
      <c r="D4" s="51">
        <v>0</v>
      </c>
      <c r="E4" s="51" t="s">
        <v>181</v>
      </c>
      <c r="F4" s="51" t="s">
        <v>181</v>
      </c>
      <c r="G4" s="51" t="s">
        <v>98</v>
      </c>
      <c r="H4" s="52" t="s">
        <v>182</v>
      </c>
      <c r="I4" s="51" t="s">
        <v>98</v>
      </c>
      <c r="J4" s="52" t="s">
        <v>182</v>
      </c>
      <c r="K4" s="52" t="s">
        <v>1919</v>
      </c>
      <c r="L4" s="51" t="s">
        <v>97</v>
      </c>
      <c r="M4" s="51" t="s">
        <v>97</v>
      </c>
      <c r="N4" s="51" t="s">
        <v>183</v>
      </c>
      <c r="O4" s="51" t="s">
        <v>183</v>
      </c>
      <c r="P4" s="51" t="s">
        <v>183</v>
      </c>
      <c r="Q4" s="51" t="s">
        <v>183</v>
      </c>
      <c r="R4" s="51" t="s">
        <v>181</v>
      </c>
      <c r="S4" s="51">
        <v>-220</v>
      </c>
      <c r="T4" s="51">
        <v>-220</v>
      </c>
      <c r="U4" s="52">
        <v>-31</v>
      </c>
      <c r="V4" s="52" t="s">
        <v>184</v>
      </c>
      <c r="W4" s="51">
        <v>0</v>
      </c>
      <c r="X4" s="51">
        <v>0</v>
      </c>
      <c r="Y4" s="51">
        <v>0</v>
      </c>
      <c r="Z4" s="51">
        <v>0</v>
      </c>
      <c r="AA4" s="51">
        <v>10</v>
      </c>
      <c r="AB4" s="51">
        <v>0</v>
      </c>
      <c r="AC4" s="51">
        <v>10</v>
      </c>
      <c r="AD4" s="51">
        <v>0</v>
      </c>
      <c r="AE4" s="51">
        <v>0.95</v>
      </c>
      <c r="AF4" s="51">
        <v>0</v>
      </c>
      <c r="AG4" s="51">
        <v>-25</v>
      </c>
      <c r="AH4" s="51">
        <v>-220</v>
      </c>
      <c r="AI4" s="51">
        <v>-220</v>
      </c>
      <c r="AJ4" s="51" t="s">
        <v>1405</v>
      </c>
      <c r="AK4" s="51">
        <v>0</v>
      </c>
      <c r="AL4" s="51">
        <v>0</v>
      </c>
      <c r="AM4" s="51">
        <v>0</v>
      </c>
      <c r="AN4" s="51">
        <v>0</v>
      </c>
      <c r="AO4" s="51">
        <v>0</v>
      </c>
      <c r="AP4" s="51">
        <v>0</v>
      </c>
      <c r="AQ4" s="51" t="s">
        <v>98</v>
      </c>
      <c r="AR4" s="51" t="s">
        <v>98</v>
      </c>
      <c r="AS4" s="52">
        <v>0</v>
      </c>
      <c r="AT4" s="51">
        <v>-25</v>
      </c>
      <c r="AU4" s="86">
        <v>-1350</v>
      </c>
      <c r="AV4" s="86">
        <v>-1350</v>
      </c>
      <c r="AW4" s="86">
        <v>-0.99681690099999998</v>
      </c>
      <c r="AX4" s="86">
        <v>1.96346E-5</v>
      </c>
      <c r="AY4" s="86">
        <v>-1350</v>
      </c>
      <c r="AZ4" s="86">
        <v>-1350</v>
      </c>
      <c r="BA4" s="86">
        <v>-0.99681690099999998</v>
      </c>
      <c r="BB4" s="86">
        <v>1.96346E-5</v>
      </c>
      <c r="BC4" s="51">
        <v>0</v>
      </c>
      <c r="BD4" s="51">
        <v>0</v>
      </c>
      <c r="BE4" s="52">
        <v>0</v>
      </c>
      <c r="BF4" s="52">
        <v>-31</v>
      </c>
      <c r="BG4" s="52">
        <v>0</v>
      </c>
      <c r="BH4" s="52">
        <v>-31</v>
      </c>
      <c r="BI4" s="52">
        <v>0</v>
      </c>
      <c r="BJ4" s="52">
        <v>0</v>
      </c>
      <c r="BK4" s="52">
        <v>0</v>
      </c>
      <c r="BL4" s="52">
        <v>10</v>
      </c>
      <c r="BM4" s="51">
        <v>2</v>
      </c>
      <c r="BN4" s="34" t="s">
        <v>89</v>
      </c>
      <c r="BO4" s="34" t="s">
        <v>89</v>
      </c>
      <c r="BP4" s="34" t="s">
        <v>89</v>
      </c>
      <c r="BQ4" s="34" t="s">
        <v>89</v>
      </c>
      <c r="BR4" s="34" t="s">
        <v>89</v>
      </c>
      <c r="BS4" s="34" t="s">
        <v>89</v>
      </c>
      <c r="BT4" s="34" t="s">
        <v>89</v>
      </c>
      <c r="BU4" s="34" t="s">
        <v>89</v>
      </c>
      <c r="BV4" s="34" t="s">
        <v>89</v>
      </c>
      <c r="BW4" s="34" t="s">
        <v>89</v>
      </c>
      <c r="BX4" s="34" t="s">
        <v>89</v>
      </c>
      <c r="BY4" s="34" t="s">
        <v>89</v>
      </c>
      <c r="BZ4" s="34" t="s">
        <v>89</v>
      </c>
      <c r="CA4" s="34" t="s">
        <v>89</v>
      </c>
      <c r="CB4" s="34" t="s">
        <v>89</v>
      </c>
      <c r="CC4" s="34" t="s">
        <v>89</v>
      </c>
      <c r="CD4" s="34" t="s">
        <v>89</v>
      </c>
      <c r="CE4" s="43">
        <v>2.5234978472170302</v>
      </c>
      <c r="CF4" s="43">
        <v>2.5234978472170302</v>
      </c>
      <c r="CG4" s="43">
        <v>0</v>
      </c>
      <c r="CH4" s="43">
        <v>0</v>
      </c>
      <c r="CI4" s="43">
        <v>220</v>
      </c>
      <c r="CJ4" s="43">
        <v>-3.3587333749503201</v>
      </c>
      <c r="CK4" s="43">
        <v>-3.3587810461527301</v>
      </c>
      <c r="CL4" s="43">
        <v>62259</v>
      </c>
      <c r="CM4" s="43">
        <v>8209</v>
      </c>
      <c r="CN4" s="43">
        <v>0</v>
      </c>
      <c r="CO4" s="43">
        <v>-1350</v>
      </c>
      <c r="CP4" s="43">
        <v>-1350</v>
      </c>
      <c r="CQ4" s="43">
        <v>-1350</v>
      </c>
      <c r="CR4" s="43">
        <v>-1350</v>
      </c>
      <c r="CS4" s="43">
        <v>1.25E-3</v>
      </c>
      <c r="CT4" s="43">
        <v>1.25E-3</v>
      </c>
      <c r="CU4" s="43">
        <v>1</v>
      </c>
      <c r="CV4" s="46" t="s">
        <v>89</v>
      </c>
      <c r="CW4" s="34"/>
      <c r="CX4" s="35"/>
    </row>
    <row r="5" spans="1:102" ht="15" customHeight="1" x14ac:dyDescent="0.25">
      <c r="A5" s="33">
        <v>2</v>
      </c>
      <c r="B5" s="43" t="s">
        <v>220</v>
      </c>
      <c r="C5" s="51">
        <v>1</v>
      </c>
      <c r="D5" s="51">
        <v>1</v>
      </c>
      <c r="E5" s="51" t="s">
        <v>99</v>
      </c>
      <c r="F5" s="51" t="s">
        <v>99</v>
      </c>
      <c r="G5" s="51" t="s">
        <v>185</v>
      </c>
      <c r="H5" s="51" t="s">
        <v>186</v>
      </c>
      <c r="I5" s="51" t="s">
        <v>185</v>
      </c>
      <c r="J5" s="51" t="s">
        <v>186</v>
      </c>
      <c r="K5" s="52" t="s">
        <v>1920</v>
      </c>
      <c r="L5" s="51" t="s">
        <v>96</v>
      </c>
      <c r="M5" s="51" t="s">
        <v>96</v>
      </c>
      <c r="N5" s="51" t="s">
        <v>187</v>
      </c>
      <c r="O5" s="51" t="s">
        <v>187</v>
      </c>
      <c r="P5" s="51" t="s">
        <v>187</v>
      </c>
      <c r="Q5" s="51" t="s">
        <v>187</v>
      </c>
      <c r="R5" s="51" t="s">
        <v>99</v>
      </c>
      <c r="S5" s="51">
        <v>220</v>
      </c>
      <c r="T5" s="51">
        <v>220</v>
      </c>
      <c r="U5" s="51">
        <v>31</v>
      </c>
      <c r="V5" s="51">
        <v>31</v>
      </c>
      <c r="W5" s="51">
        <v>1</v>
      </c>
      <c r="X5" s="51">
        <v>1</v>
      </c>
      <c r="Y5" s="51">
        <v>0.2</v>
      </c>
      <c r="Z5" s="51">
        <v>0.2</v>
      </c>
      <c r="AA5" s="51">
        <v>8000</v>
      </c>
      <c r="AB5" s="51">
        <v>1</v>
      </c>
      <c r="AC5" s="51">
        <v>8000</v>
      </c>
      <c r="AD5" s="51">
        <v>1</v>
      </c>
      <c r="AE5" s="51">
        <v>1</v>
      </c>
      <c r="AF5" s="51">
        <v>1</v>
      </c>
      <c r="AG5" s="51">
        <v>25</v>
      </c>
      <c r="AH5" s="51">
        <v>220</v>
      </c>
      <c r="AI5" s="51">
        <v>220</v>
      </c>
      <c r="AJ5" s="51" t="s">
        <v>190</v>
      </c>
      <c r="AK5" s="51">
        <v>1</v>
      </c>
      <c r="AL5" s="51">
        <v>4</v>
      </c>
      <c r="AM5" s="51">
        <v>1</v>
      </c>
      <c r="AN5" s="51">
        <v>1</v>
      </c>
      <c r="AO5" s="51">
        <v>1</v>
      </c>
      <c r="AP5" s="51">
        <v>1</v>
      </c>
      <c r="AQ5" s="51" t="s">
        <v>188</v>
      </c>
      <c r="AR5" s="51" t="s">
        <v>189</v>
      </c>
      <c r="AS5" s="51">
        <v>5000</v>
      </c>
      <c r="AT5" s="51">
        <v>25</v>
      </c>
      <c r="AU5" s="86">
        <v>1350</v>
      </c>
      <c r="AV5" s="86">
        <v>1350</v>
      </c>
      <c r="AW5" s="86">
        <v>50928.581789999997</v>
      </c>
      <c r="AX5" s="86">
        <v>0.99682700099999999</v>
      </c>
      <c r="AY5" s="86">
        <v>1350</v>
      </c>
      <c r="AZ5" s="86">
        <v>1350</v>
      </c>
      <c r="BA5" s="86">
        <v>50928.581789999997</v>
      </c>
      <c r="BB5" s="86">
        <v>0.99682700099999999</v>
      </c>
      <c r="BC5" s="51">
        <v>1</v>
      </c>
      <c r="BD5" s="51">
        <v>1</v>
      </c>
      <c r="BE5" s="51">
        <v>1</v>
      </c>
      <c r="BF5" s="51">
        <v>0</v>
      </c>
      <c r="BG5" s="51">
        <v>31</v>
      </c>
      <c r="BH5" s="51">
        <v>0</v>
      </c>
      <c r="BI5" s="51">
        <v>31</v>
      </c>
      <c r="BJ5" s="51">
        <v>1</v>
      </c>
      <c r="BK5" s="51">
        <v>1</v>
      </c>
      <c r="BL5" s="51">
        <v>8000</v>
      </c>
      <c r="BM5" s="51">
        <v>2</v>
      </c>
      <c r="BN5" s="34" t="s">
        <v>89</v>
      </c>
      <c r="BO5" s="34" t="s">
        <v>89</v>
      </c>
      <c r="BP5" s="34" t="s">
        <v>89</v>
      </c>
      <c r="BQ5" s="34" t="s">
        <v>89</v>
      </c>
      <c r="BR5" s="34" t="s">
        <v>89</v>
      </c>
      <c r="BS5" s="34" t="s">
        <v>89</v>
      </c>
      <c r="BT5" s="34" t="s">
        <v>89</v>
      </c>
      <c r="BU5" s="34" t="s">
        <v>89</v>
      </c>
      <c r="BV5" s="34" t="s">
        <v>89</v>
      </c>
      <c r="BW5" s="34" t="s">
        <v>89</v>
      </c>
      <c r="BX5" s="34" t="s">
        <v>89</v>
      </c>
      <c r="BY5" s="34" t="s">
        <v>89</v>
      </c>
      <c r="BZ5" s="34" t="s">
        <v>89</v>
      </c>
      <c r="CA5" s="34" t="s">
        <v>89</v>
      </c>
      <c r="CB5" s="34" t="s">
        <v>89</v>
      </c>
      <c r="CC5" s="34" t="s">
        <v>89</v>
      </c>
      <c r="CD5" s="34" t="s">
        <v>89</v>
      </c>
      <c r="CE5" s="43">
        <v>-4.47056274847714</v>
      </c>
      <c r="CF5" s="43">
        <v>1</v>
      </c>
      <c r="CG5" s="43">
        <v>0</v>
      </c>
      <c r="CH5" s="43">
        <v>0</v>
      </c>
      <c r="CI5" s="43">
        <v>-220</v>
      </c>
      <c r="CJ5" s="43">
        <v>21.920310216783001</v>
      </c>
      <c r="CK5" s="43">
        <v>21.920310216783001</v>
      </c>
      <c r="CL5" s="43">
        <v>0</v>
      </c>
      <c r="CM5" s="43">
        <v>40943</v>
      </c>
      <c r="CN5" s="43">
        <v>5000</v>
      </c>
      <c r="CO5" s="43">
        <v>1350</v>
      </c>
      <c r="CP5" s="43">
        <v>1350</v>
      </c>
      <c r="CQ5" s="43">
        <v>31</v>
      </c>
      <c r="CR5" s="43">
        <v>68536806.976815403</v>
      </c>
      <c r="CS5" s="43">
        <v>0</v>
      </c>
      <c r="CT5" s="43">
        <v>0</v>
      </c>
      <c r="CU5" s="43">
        <v>1</v>
      </c>
      <c r="CV5" s="46" t="s">
        <v>89</v>
      </c>
      <c r="CW5" s="34"/>
      <c r="CX5" s="35"/>
    </row>
    <row r="6" spans="1:102" ht="15" customHeight="1" x14ac:dyDescent="0.25">
      <c r="A6" s="33">
        <v>3</v>
      </c>
      <c r="B6" s="43" t="s">
        <v>221</v>
      </c>
      <c r="C6" s="43">
        <v>0.1908</v>
      </c>
      <c r="D6" s="43">
        <v>0.70799999999999996</v>
      </c>
      <c r="E6" s="51" t="s">
        <v>181</v>
      </c>
      <c r="F6" s="43" t="s">
        <v>191</v>
      </c>
      <c r="G6" s="43" t="s">
        <v>192</v>
      </c>
      <c r="H6" s="43" t="s">
        <v>193</v>
      </c>
      <c r="I6" s="43" t="s">
        <v>194</v>
      </c>
      <c r="J6" s="43" t="s">
        <v>195</v>
      </c>
      <c r="K6" s="53" t="s">
        <v>1921</v>
      </c>
      <c r="L6" s="43" t="s">
        <v>196</v>
      </c>
      <c r="M6" s="43" t="s">
        <v>197</v>
      </c>
      <c r="N6" s="43" t="s">
        <v>198</v>
      </c>
      <c r="O6" s="43" t="s">
        <v>199</v>
      </c>
      <c r="P6" s="43" t="s">
        <v>200</v>
      </c>
      <c r="Q6" s="43" t="s">
        <v>201</v>
      </c>
      <c r="R6" s="43" t="s">
        <v>202</v>
      </c>
      <c r="S6" s="43">
        <v>-82.298000000000002</v>
      </c>
      <c r="T6" s="43">
        <v>-181.929</v>
      </c>
      <c r="U6" s="43">
        <v>7.8213999999999997</v>
      </c>
      <c r="V6" s="43">
        <v>19.751000000000001</v>
      </c>
      <c r="W6" s="43">
        <v>1</v>
      </c>
      <c r="X6" s="43">
        <v>0</v>
      </c>
      <c r="Y6" s="43">
        <v>0.01</v>
      </c>
      <c r="Z6" s="43">
        <v>8.7999999999999995E-2</v>
      </c>
      <c r="AA6" s="43">
        <v>10.101000000000001</v>
      </c>
      <c r="AB6" s="43">
        <v>0.41699999999999998</v>
      </c>
      <c r="AC6" s="43">
        <v>4233.2</v>
      </c>
      <c r="AD6" s="43">
        <v>0.78700000000000003</v>
      </c>
      <c r="AE6" s="43">
        <v>0.95099999999999996</v>
      </c>
      <c r="AF6" s="43">
        <v>0</v>
      </c>
      <c r="AG6" s="43">
        <v>-1.5940000000000001</v>
      </c>
      <c r="AH6" s="43">
        <v>77.188999999999993</v>
      </c>
      <c r="AI6" s="43">
        <v>-72.426000000000002</v>
      </c>
      <c r="AJ6" s="43" t="s">
        <v>1411</v>
      </c>
      <c r="AK6" s="43">
        <v>0</v>
      </c>
      <c r="AL6" s="43">
        <v>2</v>
      </c>
      <c r="AM6" s="43">
        <v>0</v>
      </c>
      <c r="AN6" s="43">
        <v>1</v>
      </c>
      <c r="AO6" s="43">
        <v>0</v>
      </c>
      <c r="AP6" s="43">
        <v>0</v>
      </c>
      <c r="AQ6" s="68" t="s">
        <v>1751</v>
      </c>
      <c r="AR6" s="43" t="s">
        <v>204</v>
      </c>
      <c r="AS6" s="43">
        <v>4932</v>
      </c>
      <c r="AT6" s="43">
        <v>8.3569999999999993</v>
      </c>
      <c r="AU6" s="69">
        <v>267.12</v>
      </c>
      <c r="AV6" s="69">
        <v>-657.13</v>
      </c>
      <c r="AW6" s="69">
        <v>48410.0533</v>
      </c>
      <c r="AX6" s="43">
        <v>8.3599999999999994E-2</v>
      </c>
      <c r="AY6" s="69">
        <v>267.12</v>
      </c>
      <c r="AZ6" s="69">
        <v>-657.13</v>
      </c>
      <c r="BA6" s="69">
        <v>48410.0533</v>
      </c>
      <c r="BB6" s="43">
        <v>8.3599999999999994E-2</v>
      </c>
      <c r="BC6" s="43">
        <v>0</v>
      </c>
      <c r="BD6" s="43">
        <v>0</v>
      </c>
      <c r="BE6" s="43">
        <v>0</v>
      </c>
      <c r="BF6" s="53">
        <v>-0.5</v>
      </c>
      <c r="BG6" s="43">
        <v>25.197500000000002</v>
      </c>
      <c r="BH6" s="53">
        <v>-0.5</v>
      </c>
      <c r="BI6" s="53">
        <v>12.937200000000001</v>
      </c>
      <c r="BJ6" s="53">
        <v>0</v>
      </c>
      <c r="BK6" s="53">
        <v>0.1</v>
      </c>
      <c r="BL6" s="53">
        <v>11.2</v>
      </c>
      <c r="BM6" s="43">
        <v>2</v>
      </c>
      <c r="BN6" s="34" t="s">
        <v>89</v>
      </c>
      <c r="BO6" s="34" t="s">
        <v>89</v>
      </c>
      <c r="BP6" s="34" t="s">
        <v>89</v>
      </c>
      <c r="BQ6" s="34" t="s">
        <v>89</v>
      </c>
      <c r="BR6" s="34" t="s">
        <v>89</v>
      </c>
      <c r="BS6" s="34" t="s">
        <v>89</v>
      </c>
      <c r="BT6" s="34" t="s">
        <v>89</v>
      </c>
      <c r="BU6" s="34" t="s">
        <v>89</v>
      </c>
      <c r="BV6" s="34" t="s">
        <v>89</v>
      </c>
      <c r="BW6" s="34" t="s">
        <v>89</v>
      </c>
      <c r="BX6" s="34" t="s">
        <v>89</v>
      </c>
      <c r="BY6" s="34" t="s">
        <v>89</v>
      </c>
      <c r="BZ6" s="34" t="s">
        <v>89</v>
      </c>
      <c r="CA6" s="34" t="s">
        <v>89</v>
      </c>
      <c r="CB6" s="34" t="s">
        <v>89</v>
      </c>
      <c r="CC6" s="34" t="s">
        <v>89</v>
      </c>
      <c r="CD6" s="34" t="s">
        <v>89</v>
      </c>
      <c r="CE6" s="43">
        <v>2.1660469163918301E-2</v>
      </c>
      <c r="CF6" s="43">
        <v>-6.1162302788478201E-2</v>
      </c>
      <c r="CG6" s="43">
        <v>18.987646000000002</v>
      </c>
      <c r="CH6" s="43">
        <v>12.937200000000001</v>
      </c>
      <c r="CI6" s="43">
        <v>44.226999999999997</v>
      </c>
      <c r="CJ6" s="43">
        <v>9.0326539625636606</v>
      </c>
      <c r="CK6" s="43">
        <v>-10.1382203321622</v>
      </c>
      <c r="CL6" s="43">
        <v>62324</v>
      </c>
      <c r="CM6" s="43">
        <v>23874</v>
      </c>
      <c r="CN6" s="43">
        <v>1672</v>
      </c>
      <c r="CO6" s="43">
        <v>267.12</v>
      </c>
      <c r="CP6" s="43">
        <v>-657.13</v>
      </c>
      <c r="CQ6" s="43">
        <v>267.12</v>
      </c>
      <c r="CR6" s="43">
        <v>-657.13</v>
      </c>
      <c r="CS6" s="43">
        <v>0.41573737500000002</v>
      </c>
      <c r="CT6" s="43">
        <v>1</v>
      </c>
      <c r="CU6" s="43">
        <v>1</v>
      </c>
      <c r="CV6" s="46" t="s">
        <v>89</v>
      </c>
      <c r="CW6" s="34"/>
      <c r="CX6" s="35"/>
    </row>
    <row r="7" spans="1:102" ht="15" customHeight="1" x14ac:dyDescent="0.25">
      <c r="A7" s="33">
        <v>4</v>
      </c>
      <c r="B7" s="43" t="s">
        <v>222</v>
      </c>
      <c r="C7" s="43">
        <v>0.88090000000000002</v>
      </c>
      <c r="D7" s="43">
        <v>0.97899999999999998</v>
      </c>
      <c r="E7" s="51" t="s">
        <v>99</v>
      </c>
      <c r="F7" s="43" t="s">
        <v>153</v>
      </c>
      <c r="G7" s="43" t="s">
        <v>154</v>
      </c>
      <c r="H7" s="43" t="s">
        <v>155</v>
      </c>
      <c r="I7" s="43" t="s">
        <v>156</v>
      </c>
      <c r="J7" s="43" t="s">
        <v>157</v>
      </c>
      <c r="K7" s="53" t="s">
        <v>1922</v>
      </c>
      <c r="L7" s="43" t="s">
        <v>158</v>
      </c>
      <c r="M7" s="43" t="s">
        <v>159</v>
      </c>
      <c r="N7" s="43" t="s">
        <v>160</v>
      </c>
      <c r="O7" s="43" t="s">
        <v>161</v>
      </c>
      <c r="P7" s="43" t="s">
        <v>162</v>
      </c>
      <c r="Q7" s="43" t="s">
        <v>163</v>
      </c>
      <c r="R7" s="43" t="s">
        <v>164</v>
      </c>
      <c r="S7" s="43">
        <v>160.04400000000001</v>
      </c>
      <c r="T7" s="43">
        <v>-55.539000000000001</v>
      </c>
      <c r="U7" s="43">
        <v>8.0890000000000004</v>
      </c>
      <c r="V7" s="43">
        <v>-23.062000000000001</v>
      </c>
      <c r="W7" s="43">
        <v>0</v>
      </c>
      <c r="X7" s="43">
        <v>1</v>
      </c>
      <c r="Y7" s="43">
        <v>0.14199999999999999</v>
      </c>
      <c r="Z7" s="43">
        <v>0.19500000000000001</v>
      </c>
      <c r="AA7" s="43">
        <v>10</v>
      </c>
      <c r="AB7" s="43">
        <v>1</v>
      </c>
      <c r="AC7" s="43">
        <v>7088.3519999999999</v>
      </c>
      <c r="AD7" s="43">
        <v>0.63800000000000001</v>
      </c>
      <c r="AE7" s="43">
        <v>0.95599999999999996</v>
      </c>
      <c r="AF7" s="43">
        <v>0</v>
      </c>
      <c r="AG7" s="43">
        <v>-19.456</v>
      </c>
      <c r="AH7" s="43">
        <v>-145.16900000000001</v>
      </c>
      <c r="AI7" s="43">
        <v>83.948999999999998</v>
      </c>
      <c r="AJ7" s="43" t="s">
        <v>1412</v>
      </c>
      <c r="AK7" s="43">
        <v>0</v>
      </c>
      <c r="AL7" s="43">
        <v>2</v>
      </c>
      <c r="AM7" s="43">
        <v>1</v>
      </c>
      <c r="AN7" s="43">
        <v>1</v>
      </c>
      <c r="AO7" s="43">
        <v>1</v>
      </c>
      <c r="AP7" s="43">
        <v>1</v>
      </c>
      <c r="AQ7" s="68" t="s">
        <v>1752</v>
      </c>
      <c r="AR7" s="43" t="s">
        <v>166</v>
      </c>
      <c r="AS7" s="43">
        <v>335</v>
      </c>
      <c r="AT7" s="43">
        <v>-18.62</v>
      </c>
      <c r="AU7" s="69">
        <v>-657.1</v>
      </c>
      <c r="AV7" s="69">
        <v>-194.19</v>
      </c>
      <c r="AW7" s="69">
        <v>47050.16</v>
      </c>
      <c r="AX7" s="43">
        <v>2.29E-2</v>
      </c>
      <c r="AY7" s="69">
        <v>-657.1</v>
      </c>
      <c r="AZ7" s="69">
        <v>-194.19</v>
      </c>
      <c r="BA7" s="69">
        <v>47050.16</v>
      </c>
      <c r="BB7" s="43">
        <v>2.29E-2</v>
      </c>
      <c r="BC7" s="43">
        <v>0</v>
      </c>
      <c r="BD7" s="43">
        <v>0</v>
      </c>
      <c r="BE7" s="43">
        <v>0</v>
      </c>
      <c r="BF7" s="53">
        <v>-0.7</v>
      </c>
      <c r="BG7" s="43">
        <v>19.445</v>
      </c>
      <c r="BH7" s="53">
        <v>-0.7</v>
      </c>
      <c r="BI7" s="53">
        <v>17.912400000000002</v>
      </c>
      <c r="BJ7" s="53">
        <v>1</v>
      </c>
      <c r="BK7" s="53">
        <v>0.2</v>
      </c>
      <c r="BL7" s="53">
        <v>12.4</v>
      </c>
      <c r="BM7" s="43">
        <v>2</v>
      </c>
      <c r="BN7" s="34" t="s">
        <v>89</v>
      </c>
      <c r="BO7" s="34" t="s">
        <v>89</v>
      </c>
      <c r="BP7" s="34" t="s">
        <v>89</v>
      </c>
      <c r="BQ7" s="34" t="s">
        <v>89</v>
      </c>
      <c r="BR7" s="34" t="s">
        <v>89</v>
      </c>
      <c r="BS7" s="34" t="s">
        <v>89</v>
      </c>
      <c r="BT7" s="34" t="s">
        <v>89</v>
      </c>
      <c r="BU7" s="34" t="s">
        <v>89</v>
      </c>
      <c r="BV7" s="34" t="s">
        <v>89</v>
      </c>
      <c r="BW7" s="34" t="s">
        <v>89</v>
      </c>
      <c r="BX7" s="34" t="s">
        <v>89</v>
      </c>
      <c r="BY7" s="34" t="s">
        <v>89</v>
      </c>
      <c r="BZ7" s="34" t="s">
        <v>89</v>
      </c>
      <c r="CA7" s="34" t="s">
        <v>89</v>
      </c>
      <c r="CB7" s="34" t="s">
        <v>89</v>
      </c>
      <c r="CC7" s="34" t="s">
        <v>89</v>
      </c>
      <c r="CD7" s="34" t="s">
        <v>89</v>
      </c>
      <c r="CE7" s="43">
        <v>1</v>
      </c>
      <c r="CF7" s="43">
        <v>1</v>
      </c>
      <c r="CG7" s="43">
        <v>19.445</v>
      </c>
      <c r="CH7" s="43">
        <v>-0.7</v>
      </c>
      <c r="CI7" s="43">
        <v>115.495</v>
      </c>
      <c r="CJ7" s="43">
        <v>0.22</v>
      </c>
      <c r="CK7" s="43">
        <v>-19.183</v>
      </c>
      <c r="CL7" s="43">
        <v>50872</v>
      </c>
      <c r="CM7" s="43">
        <v>62923</v>
      </c>
      <c r="CN7" s="43">
        <v>315</v>
      </c>
      <c r="CO7" s="43">
        <v>-657.1</v>
      </c>
      <c r="CP7" s="43">
        <v>-194.19</v>
      </c>
      <c r="CQ7" s="43">
        <v>-657.1</v>
      </c>
      <c r="CR7" s="43">
        <v>-194.19</v>
      </c>
      <c r="CS7" s="43">
        <v>0.99875000000000003</v>
      </c>
      <c r="CT7" s="43">
        <v>0</v>
      </c>
      <c r="CU7" s="43">
        <v>1</v>
      </c>
      <c r="CV7" s="46" t="s">
        <v>89</v>
      </c>
      <c r="CW7" s="34"/>
      <c r="CX7" s="35"/>
    </row>
    <row r="8" spans="1:102" ht="15" customHeight="1" x14ac:dyDescent="0.25">
      <c r="A8" s="33">
        <v>5</v>
      </c>
      <c r="B8" s="43" t="s">
        <v>1877</v>
      </c>
      <c r="C8" s="43">
        <v>0.58840000000000003</v>
      </c>
      <c r="D8" s="43">
        <v>0.40699999999999997</v>
      </c>
      <c r="E8" s="51" t="s">
        <v>98</v>
      </c>
      <c r="F8" s="43" t="s">
        <v>167</v>
      </c>
      <c r="G8" s="43" t="s">
        <v>168</v>
      </c>
      <c r="H8" s="43" t="s">
        <v>169</v>
      </c>
      <c r="I8" s="43" t="s">
        <v>170</v>
      </c>
      <c r="J8" s="43" t="s">
        <v>171</v>
      </c>
      <c r="K8" s="69" t="s">
        <v>1923</v>
      </c>
      <c r="L8" s="43" t="s">
        <v>172</v>
      </c>
      <c r="M8" s="43" t="s">
        <v>173</v>
      </c>
      <c r="N8" s="43" t="s">
        <v>174</v>
      </c>
      <c r="O8" s="43" t="s">
        <v>175</v>
      </c>
      <c r="P8" s="43" t="s">
        <v>176</v>
      </c>
      <c r="Q8" s="43" t="s">
        <v>177</v>
      </c>
      <c r="R8" s="43" t="s">
        <v>178</v>
      </c>
      <c r="S8" s="43">
        <v>-65.19</v>
      </c>
      <c r="T8" s="43">
        <v>146.661</v>
      </c>
      <c r="U8" s="43">
        <v>24.839099999999998</v>
      </c>
      <c r="V8" s="43">
        <v>-6.7229999999999999</v>
      </c>
      <c r="W8" s="43">
        <v>1</v>
      </c>
      <c r="X8" s="43">
        <v>1</v>
      </c>
      <c r="Y8" s="43">
        <v>0.19900000000000001</v>
      </c>
      <c r="Z8" s="43">
        <v>2.5999999999999999E-2</v>
      </c>
      <c r="AA8" s="43">
        <v>2305.8620000000001</v>
      </c>
      <c r="AB8" s="43">
        <v>1.7000000000000001E-2</v>
      </c>
      <c r="AC8" s="43">
        <v>5143.2939999999999</v>
      </c>
      <c r="AD8" s="43">
        <v>0.65400000000000003</v>
      </c>
      <c r="AE8" s="43">
        <v>0.98399999999999999</v>
      </c>
      <c r="AF8" s="43">
        <v>0</v>
      </c>
      <c r="AG8" s="43">
        <v>18.100999999999999</v>
      </c>
      <c r="AH8" s="43">
        <v>-100.035</v>
      </c>
      <c r="AI8" s="43">
        <v>-144.667</v>
      </c>
      <c r="AJ8" s="43" t="s">
        <v>1411</v>
      </c>
      <c r="AK8" s="43">
        <v>0</v>
      </c>
      <c r="AL8" s="43">
        <v>1</v>
      </c>
      <c r="AM8" s="43">
        <v>0</v>
      </c>
      <c r="AN8" s="43">
        <v>0</v>
      </c>
      <c r="AO8" s="43">
        <v>0</v>
      </c>
      <c r="AP8" s="43">
        <v>0</v>
      </c>
      <c r="AQ8" s="68" t="s">
        <v>1753</v>
      </c>
      <c r="AR8" s="43" t="s">
        <v>180</v>
      </c>
      <c r="AS8" s="43">
        <v>4626</v>
      </c>
      <c r="AT8" s="43">
        <v>12.773</v>
      </c>
      <c r="AU8" s="69">
        <v>-43.17</v>
      </c>
      <c r="AV8" s="69">
        <v>386.22</v>
      </c>
      <c r="AW8" s="69">
        <v>47671.9738</v>
      </c>
      <c r="AX8" s="43">
        <v>0.66090000000000004</v>
      </c>
      <c r="AY8" s="69">
        <v>-43.17</v>
      </c>
      <c r="AZ8" s="69">
        <v>386.22</v>
      </c>
      <c r="BA8" s="69">
        <v>47671.9738</v>
      </c>
      <c r="BB8" s="43">
        <v>0.66090000000000004</v>
      </c>
      <c r="BC8" s="43">
        <v>0</v>
      </c>
      <c r="BD8" s="43">
        <v>0</v>
      </c>
      <c r="BE8" s="43">
        <v>0</v>
      </c>
      <c r="BF8" s="53">
        <v>-0.8</v>
      </c>
      <c r="BG8" s="43">
        <v>2.3315000000000001</v>
      </c>
      <c r="BH8" s="53">
        <v>-0.8</v>
      </c>
      <c r="BI8" s="53">
        <v>4.1471999999999998</v>
      </c>
      <c r="BJ8" s="53">
        <v>0</v>
      </c>
      <c r="BK8" s="53">
        <v>1E-3</v>
      </c>
      <c r="BL8" s="53">
        <v>13.6</v>
      </c>
      <c r="BM8" s="43">
        <v>2</v>
      </c>
      <c r="BN8" s="34" t="s">
        <v>89</v>
      </c>
      <c r="BO8" s="34" t="s">
        <v>89</v>
      </c>
      <c r="BP8" s="34" t="s">
        <v>89</v>
      </c>
      <c r="BQ8" s="34" t="s">
        <v>89</v>
      </c>
      <c r="BR8" s="34" t="s">
        <v>89</v>
      </c>
      <c r="BS8" s="34" t="s">
        <v>89</v>
      </c>
      <c r="BT8" s="34" t="s">
        <v>89</v>
      </c>
      <c r="BU8" s="34" t="s">
        <v>89</v>
      </c>
      <c r="BV8" s="34" t="s">
        <v>89</v>
      </c>
      <c r="BW8" s="34" t="s">
        <v>89</v>
      </c>
      <c r="BX8" s="34" t="s">
        <v>89</v>
      </c>
      <c r="BY8" s="34" t="s">
        <v>89</v>
      </c>
      <c r="BZ8" s="34" t="s">
        <v>89</v>
      </c>
      <c r="CA8" s="34" t="s">
        <v>89</v>
      </c>
      <c r="CB8" s="34" t="s">
        <v>89</v>
      </c>
      <c r="CC8" s="34" t="s">
        <v>89</v>
      </c>
      <c r="CD8" s="34" t="s">
        <v>89</v>
      </c>
      <c r="CE8" s="43">
        <v>-2.64005357684271</v>
      </c>
      <c r="CF8" s="43">
        <v>-1.8057461046946199</v>
      </c>
      <c r="CG8" s="43">
        <v>0</v>
      </c>
      <c r="CH8" s="43">
        <v>0</v>
      </c>
      <c r="CI8" s="43">
        <v>-81.471000000000004</v>
      </c>
      <c r="CJ8" s="43">
        <v>-12.611835586763201</v>
      </c>
      <c r="CK8" s="43">
        <v>6.1912449905618603</v>
      </c>
      <c r="CL8" s="43">
        <v>64487</v>
      </c>
      <c r="CM8" s="43">
        <v>17412</v>
      </c>
      <c r="CN8" s="43">
        <v>931</v>
      </c>
      <c r="CO8" s="43">
        <v>-43.17</v>
      </c>
      <c r="CP8" s="43">
        <v>386.22</v>
      </c>
      <c r="CQ8" s="43">
        <v>-43.17</v>
      </c>
      <c r="CR8" s="43">
        <v>386.22</v>
      </c>
      <c r="CS8" s="43">
        <v>0.30523275</v>
      </c>
      <c r="CT8" s="43">
        <v>1</v>
      </c>
      <c r="CU8" s="43">
        <v>1</v>
      </c>
      <c r="CV8" s="46" t="s">
        <v>89</v>
      </c>
      <c r="CW8" s="34"/>
      <c r="CX8" s="35"/>
    </row>
    <row r="9" spans="1:102" ht="15" customHeight="1" x14ac:dyDescent="0.25">
      <c r="A9" s="33">
        <v>6</v>
      </c>
      <c r="B9" s="43" t="s">
        <v>223</v>
      </c>
      <c r="C9" s="43">
        <v>0.89700000000000002</v>
      </c>
      <c r="D9" s="43">
        <v>0.65300000000000002</v>
      </c>
      <c r="E9" s="52" t="s">
        <v>224</v>
      </c>
      <c r="F9" s="43" t="s">
        <v>225</v>
      </c>
      <c r="G9" s="43" t="s">
        <v>226</v>
      </c>
      <c r="H9" s="43" t="s">
        <v>227</v>
      </c>
      <c r="I9" s="43" t="s">
        <v>228</v>
      </c>
      <c r="J9" s="43" t="s">
        <v>229</v>
      </c>
      <c r="K9" s="53" t="s">
        <v>1924</v>
      </c>
      <c r="L9" s="43" t="s">
        <v>230</v>
      </c>
      <c r="M9" s="43" t="s">
        <v>231</v>
      </c>
      <c r="N9" s="43" t="s">
        <v>232</v>
      </c>
      <c r="O9" s="43" t="s">
        <v>233</v>
      </c>
      <c r="P9" s="43" t="s">
        <v>234</v>
      </c>
      <c r="Q9" s="43" t="s">
        <v>235</v>
      </c>
      <c r="R9" s="43" t="s">
        <v>236</v>
      </c>
      <c r="S9" s="43">
        <v>-146.72300000000001</v>
      </c>
      <c r="T9" s="43">
        <v>-172.48500000000001</v>
      </c>
      <c r="U9" s="43">
        <v>16.496200000000002</v>
      </c>
      <c r="V9" s="43">
        <v>-17.585000000000001</v>
      </c>
      <c r="W9" s="43">
        <v>0</v>
      </c>
      <c r="X9" s="43">
        <v>1</v>
      </c>
      <c r="Y9" s="43">
        <v>7.8E-2</v>
      </c>
      <c r="Z9" s="43">
        <v>0.01</v>
      </c>
      <c r="AA9" s="43">
        <v>7811.4009999999998</v>
      </c>
      <c r="AB9" s="43">
        <v>4.2000000000000003E-2</v>
      </c>
      <c r="AC9" s="43">
        <v>5154.2179999999998</v>
      </c>
      <c r="AD9" s="43">
        <v>0.86199999999999999</v>
      </c>
      <c r="AE9" s="43">
        <v>0.97899999999999998</v>
      </c>
      <c r="AF9" s="43">
        <v>1</v>
      </c>
      <c r="AG9" s="43">
        <v>-20.100999999999999</v>
      </c>
      <c r="AH9" s="43">
        <v>-184.52199999999999</v>
      </c>
      <c r="AI9" s="43">
        <v>80.817999999999998</v>
      </c>
      <c r="AJ9" s="43" t="s">
        <v>1413</v>
      </c>
      <c r="AK9" s="43">
        <v>1</v>
      </c>
      <c r="AL9" s="43">
        <v>2</v>
      </c>
      <c r="AM9" s="43">
        <v>1</v>
      </c>
      <c r="AN9" s="43">
        <v>1</v>
      </c>
      <c r="AO9" s="43">
        <v>1</v>
      </c>
      <c r="AP9" s="43">
        <v>1</v>
      </c>
      <c r="AQ9" s="68" t="s">
        <v>1723</v>
      </c>
      <c r="AR9" s="43" t="s">
        <v>238</v>
      </c>
      <c r="AS9" s="43">
        <v>970</v>
      </c>
      <c r="AT9" s="43">
        <v>15.888</v>
      </c>
      <c r="AU9" s="69">
        <v>1118</v>
      </c>
      <c r="AV9" s="69">
        <v>-784.13</v>
      </c>
      <c r="AW9" s="69">
        <v>29506.534500000002</v>
      </c>
      <c r="AX9" s="43">
        <v>0.49930000000000002</v>
      </c>
      <c r="AY9" s="69">
        <v>0</v>
      </c>
      <c r="AZ9" s="69">
        <v>0</v>
      </c>
      <c r="BA9" s="69">
        <v>29506.534500000002</v>
      </c>
      <c r="BB9" s="43">
        <v>0.49930000000000002</v>
      </c>
      <c r="BC9" s="43">
        <v>1</v>
      </c>
      <c r="BD9" s="43">
        <v>1</v>
      </c>
      <c r="BE9" s="43">
        <v>0</v>
      </c>
      <c r="BF9" s="53">
        <v>-1.5</v>
      </c>
      <c r="BG9" s="43">
        <v>11.4308</v>
      </c>
      <c r="BH9" s="53">
        <v>-1.5</v>
      </c>
      <c r="BI9" s="53">
        <v>7.2478999999999996</v>
      </c>
      <c r="BJ9" s="53">
        <v>1</v>
      </c>
      <c r="BK9" s="53">
        <v>2E-3</v>
      </c>
      <c r="BL9" s="53">
        <v>14.8</v>
      </c>
      <c r="BM9" s="43">
        <v>2</v>
      </c>
      <c r="BN9" s="34" t="s">
        <v>89</v>
      </c>
      <c r="BO9" s="34" t="s">
        <v>89</v>
      </c>
      <c r="BP9" s="34" t="s">
        <v>89</v>
      </c>
      <c r="BQ9" s="34" t="s">
        <v>89</v>
      </c>
      <c r="BR9" s="34" t="s">
        <v>89</v>
      </c>
      <c r="BS9" s="34" t="s">
        <v>89</v>
      </c>
      <c r="BT9" s="34" t="s">
        <v>89</v>
      </c>
      <c r="BU9" s="34" t="s">
        <v>89</v>
      </c>
      <c r="BV9" s="34" t="s">
        <v>89</v>
      </c>
      <c r="BW9" s="34" t="s">
        <v>89</v>
      </c>
      <c r="BX9" s="34" t="s">
        <v>89</v>
      </c>
      <c r="BY9" s="34" t="s">
        <v>89</v>
      </c>
      <c r="BZ9" s="34" t="s">
        <v>89</v>
      </c>
      <c r="CA9" s="34" t="s">
        <v>89</v>
      </c>
      <c r="CB9" s="34" t="s">
        <v>89</v>
      </c>
      <c r="CC9" s="34" t="s">
        <v>89</v>
      </c>
      <c r="CD9" s="34" t="s">
        <v>89</v>
      </c>
      <c r="CE9" s="43">
        <v>5.5193747672627902</v>
      </c>
      <c r="CF9" s="43">
        <v>1</v>
      </c>
      <c r="CG9" s="43">
        <v>11.4308</v>
      </c>
      <c r="CH9" s="43">
        <v>-1.5</v>
      </c>
      <c r="CI9" s="43">
        <v>177.791</v>
      </c>
      <c r="CJ9" s="43">
        <v>10.6815265689072</v>
      </c>
      <c r="CK9" s="43">
        <v>-2.8474449853717498</v>
      </c>
      <c r="CL9" s="43">
        <v>0</v>
      </c>
      <c r="CM9" s="43">
        <v>29369</v>
      </c>
      <c r="CN9" s="43">
        <v>970</v>
      </c>
      <c r="CO9" s="43">
        <v>1118</v>
      </c>
      <c r="CP9" s="43">
        <v>-784.13</v>
      </c>
      <c r="CQ9" s="43">
        <v>22.614999999999998</v>
      </c>
      <c r="CR9" s="43">
        <v>11.291669499999999</v>
      </c>
      <c r="CS9" s="43">
        <v>0</v>
      </c>
      <c r="CT9" s="43">
        <v>0.21772274999999999</v>
      </c>
      <c r="CU9" s="43">
        <v>1</v>
      </c>
      <c r="CV9" s="46" t="s">
        <v>89</v>
      </c>
      <c r="CW9" s="34"/>
      <c r="CX9" s="35"/>
    </row>
    <row r="10" spans="1:102" ht="15" customHeight="1" x14ac:dyDescent="0.25">
      <c r="A10" s="33">
        <v>7</v>
      </c>
      <c r="B10" s="43" t="s">
        <v>239</v>
      </c>
      <c r="C10" s="43">
        <v>0.95440000000000003</v>
      </c>
      <c r="D10" s="43">
        <v>0.123</v>
      </c>
      <c r="E10" s="51" t="s">
        <v>240</v>
      </c>
      <c r="F10" s="43" t="s">
        <v>241</v>
      </c>
      <c r="G10" s="43" t="s">
        <v>242</v>
      </c>
      <c r="H10" s="43" t="s">
        <v>243</v>
      </c>
      <c r="I10" s="43" t="s">
        <v>244</v>
      </c>
      <c r="J10" s="43" t="s">
        <v>245</v>
      </c>
      <c r="K10" s="53" t="s">
        <v>1925</v>
      </c>
      <c r="L10" s="43" t="s">
        <v>246</v>
      </c>
      <c r="M10" s="43" t="s">
        <v>247</v>
      </c>
      <c r="N10" s="43" t="s">
        <v>248</v>
      </c>
      <c r="O10" s="43" t="s">
        <v>249</v>
      </c>
      <c r="P10" s="43" t="s">
        <v>250</v>
      </c>
      <c r="Q10" s="43" t="s">
        <v>251</v>
      </c>
      <c r="R10" s="43" t="s">
        <v>252</v>
      </c>
      <c r="S10" s="43">
        <v>-208.28800000000001</v>
      </c>
      <c r="T10" s="43">
        <v>39.793999999999997</v>
      </c>
      <c r="U10" s="43">
        <v>19.895800000000001</v>
      </c>
      <c r="V10" s="43">
        <v>-17.303000000000001</v>
      </c>
      <c r="W10" s="43">
        <v>1</v>
      </c>
      <c r="X10" s="43">
        <v>0</v>
      </c>
      <c r="Y10" s="43">
        <v>0.192</v>
      </c>
      <c r="Z10" s="43">
        <v>0.16500000000000001</v>
      </c>
      <c r="AA10" s="43">
        <v>2988.0659999999998</v>
      </c>
      <c r="AB10" s="43">
        <v>0.96099999999999997</v>
      </c>
      <c r="AC10" s="43">
        <v>1052.2180000000001</v>
      </c>
      <c r="AD10" s="43">
        <v>0.95899999999999996</v>
      </c>
      <c r="AE10" s="43">
        <v>0.997</v>
      </c>
      <c r="AF10" s="43">
        <v>1</v>
      </c>
      <c r="AG10" s="43">
        <v>-0.71499999999999997</v>
      </c>
      <c r="AH10" s="43">
        <v>-197.35499999999999</v>
      </c>
      <c r="AI10" s="43">
        <v>-44.258000000000003</v>
      </c>
      <c r="AJ10" s="43" t="s">
        <v>1414</v>
      </c>
      <c r="AK10" s="43">
        <v>1</v>
      </c>
      <c r="AL10" s="43">
        <v>3</v>
      </c>
      <c r="AM10" s="43">
        <v>1</v>
      </c>
      <c r="AN10" s="43">
        <v>0</v>
      </c>
      <c r="AO10" s="43">
        <v>1</v>
      </c>
      <c r="AP10" s="43">
        <v>1</v>
      </c>
      <c r="AQ10" s="68" t="s">
        <v>1754</v>
      </c>
      <c r="AR10" s="43" t="s">
        <v>254</v>
      </c>
      <c r="AS10" s="43">
        <v>1850</v>
      </c>
      <c r="AT10" s="43">
        <v>10.581</v>
      </c>
      <c r="AU10" s="69">
        <v>-627.17999999999995</v>
      </c>
      <c r="AV10" s="69">
        <v>947.74</v>
      </c>
      <c r="AW10" s="69">
        <v>39240.1705</v>
      </c>
      <c r="AX10" s="43">
        <v>0.2175</v>
      </c>
      <c r="AY10" s="69">
        <v>-627.17999999999995</v>
      </c>
      <c r="AZ10" s="69">
        <v>947.74</v>
      </c>
      <c r="BA10" s="69">
        <v>39240.1705</v>
      </c>
      <c r="BB10" s="43">
        <v>0.2175</v>
      </c>
      <c r="BC10" s="43">
        <v>1</v>
      </c>
      <c r="BD10" s="43">
        <v>1</v>
      </c>
      <c r="BE10" s="43">
        <v>0</v>
      </c>
      <c r="BF10" s="43">
        <v>-2.5</v>
      </c>
      <c r="BG10" s="43">
        <v>22.7896</v>
      </c>
      <c r="BH10" s="43">
        <v>-2.5</v>
      </c>
      <c r="BI10" s="43">
        <v>10.673999999999999</v>
      </c>
      <c r="BJ10" s="43">
        <v>0</v>
      </c>
      <c r="BK10" s="53">
        <v>3.0000000000000001E-3</v>
      </c>
      <c r="BL10" s="53">
        <v>16</v>
      </c>
      <c r="BM10" s="43">
        <v>2</v>
      </c>
      <c r="BN10" s="34" t="s">
        <v>89</v>
      </c>
      <c r="BO10" s="34" t="s">
        <v>89</v>
      </c>
      <c r="BP10" s="34" t="s">
        <v>89</v>
      </c>
      <c r="BQ10" s="34" t="s">
        <v>89</v>
      </c>
      <c r="BR10" s="34" t="s">
        <v>89</v>
      </c>
      <c r="BS10" s="34" t="s">
        <v>89</v>
      </c>
      <c r="BT10" s="34" t="s">
        <v>89</v>
      </c>
      <c r="BU10" s="34" t="s">
        <v>89</v>
      </c>
      <c r="BV10" s="34" t="s">
        <v>89</v>
      </c>
      <c r="BW10" s="34" t="s">
        <v>89</v>
      </c>
      <c r="BX10" s="34" t="s">
        <v>89</v>
      </c>
      <c r="BY10" s="34" t="s">
        <v>89</v>
      </c>
      <c r="BZ10" s="34" t="s">
        <v>89</v>
      </c>
      <c r="CA10" s="34" t="s">
        <v>89</v>
      </c>
      <c r="CB10" s="34" t="s">
        <v>89</v>
      </c>
      <c r="CC10" s="34" t="s">
        <v>89</v>
      </c>
      <c r="CD10" s="34" t="s">
        <v>89</v>
      </c>
      <c r="CE10" s="43">
        <v>0.107604795688511</v>
      </c>
      <c r="CF10" s="43">
        <v>1</v>
      </c>
      <c r="CG10" s="43">
        <v>0</v>
      </c>
      <c r="CH10" s="43">
        <v>0</v>
      </c>
      <c r="CI10" s="43">
        <v>220</v>
      </c>
      <c r="CJ10" s="43">
        <v>30.384954723424901</v>
      </c>
      <c r="CK10" s="43">
        <v>-5.6566045871546802</v>
      </c>
      <c r="CL10" s="43">
        <v>0</v>
      </c>
      <c r="CM10" s="43">
        <v>19052</v>
      </c>
      <c r="CN10" s="43">
        <v>1850</v>
      </c>
      <c r="CO10" s="43">
        <v>-627.17999999999995</v>
      </c>
      <c r="CP10" s="43">
        <v>947.74</v>
      </c>
      <c r="CQ10" s="43">
        <v>15.445</v>
      </c>
      <c r="CR10" s="43">
        <v>8088578.67139073</v>
      </c>
      <c r="CS10" s="43">
        <v>1</v>
      </c>
      <c r="CT10" s="43">
        <v>0.82747274999999998</v>
      </c>
      <c r="CU10" s="43">
        <v>1</v>
      </c>
      <c r="CV10" s="46" t="s">
        <v>89</v>
      </c>
      <c r="CW10" s="34"/>
      <c r="CX10" s="35"/>
    </row>
    <row r="11" spans="1:102" ht="15" customHeight="1" x14ac:dyDescent="0.25">
      <c r="A11" s="33">
        <v>8</v>
      </c>
      <c r="B11" s="43" t="s">
        <v>255</v>
      </c>
      <c r="C11" s="43">
        <v>0.91069999999999995</v>
      </c>
      <c r="D11" s="43">
        <v>0.74299999999999999</v>
      </c>
      <c r="E11" s="43" t="s">
        <v>203</v>
      </c>
      <c r="F11" s="51" t="s">
        <v>181</v>
      </c>
      <c r="G11" s="43" t="s">
        <v>205</v>
      </c>
      <c r="H11" s="43" t="s">
        <v>206</v>
      </c>
      <c r="I11" s="43" t="s">
        <v>207</v>
      </c>
      <c r="J11" s="43" t="s">
        <v>208</v>
      </c>
      <c r="K11" s="53" t="s">
        <v>1926</v>
      </c>
      <c r="L11" s="43" t="s">
        <v>209</v>
      </c>
      <c r="M11" s="43" t="s">
        <v>210</v>
      </c>
      <c r="N11" s="43" t="s">
        <v>211</v>
      </c>
      <c r="O11" s="43" t="s">
        <v>212</v>
      </c>
      <c r="P11" s="43" t="s">
        <v>213</v>
      </c>
      <c r="Q11" s="43" t="s">
        <v>214</v>
      </c>
      <c r="R11" s="43" t="s">
        <v>215</v>
      </c>
      <c r="S11" s="43">
        <v>31.587</v>
      </c>
      <c r="T11" s="43">
        <v>161.92099999999999</v>
      </c>
      <c r="U11" s="43">
        <v>18.052499999999998</v>
      </c>
      <c r="V11" s="43">
        <v>-6.4459999999999997</v>
      </c>
      <c r="W11" s="43">
        <v>0</v>
      </c>
      <c r="X11" s="43">
        <v>0</v>
      </c>
      <c r="Y11" s="43">
        <v>0.14000000000000001</v>
      </c>
      <c r="Z11" s="43">
        <v>7.0000000000000001E-3</v>
      </c>
      <c r="AA11" s="43">
        <v>5278.4780000000001</v>
      </c>
      <c r="AB11" s="43">
        <v>0.68200000000000005</v>
      </c>
      <c r="AC11" s="43">
        <v>6189.22</v>
      </c>
      <c r="AD11" s="43">
        <v>0.152</v>
      </c>
      <c r="AE11" s="43">
        <v>0.998</v>
      </c>
      <c r="AF11" s="43">
        <v>1</v>
      </c>
      <c r="AG11" s="43">
        <v>-17.170000000000002</v>
      </c>
      <c r="AH11" s="43">
        <v>152.01599999999999</v>
      </c>
      <c r="AI11" s="43">
        <v>-40.921999999999997</v>
      </c>
      <c r="AJ11" s="43" t="s">
        <v>1415</v>
      </c>
      <c r="AK11" s="43">
        <v>1</v>
      </c>
      <c r="AL11" s="43">
        <v>0</v>
      </c>
      <c r="AM11" s="43">
        <v>1</v>
      </c>
      <c r="AN11" s="43">
        <v>1</v>
      </c>
      <c r="AO11" s="43">
        <v>1</v>
      </c>
      <c r="AP11" s="43">
        <v>1</v>
      </c>
      <c r="AQ11" s="43" t="s">
        <v>217</v>
      </c>
      <c r="AR11" s="43" t="s">
        <v>218</v>
      </c>
      <c r="AS11" s="43">
        <v>4262</v>
      </c>
      <c r="AT11" s="43">
        <v>11.927</v>
      </c>
      <c r="AU11" s="69">
        <v>-1118</v>
      </c>
      <c r="AV11" s="69">
        <v>269.39999999999998</v>
      </c>
      <c r="AW11" s="69">
        <v>17955.152300000002</v>
      </c>
      <c r="AX11" s="43">
        <v>0.95899999999999996</v>
      </c>
      <c r="AY11" s="69">
        <v>-1118</v>
      </c>
      <c r="AZ11" s="69">
        <v>269.39999999999998</v>
      </c>
      <c r="BA11" s="69">
        <v>17955.152300000002</v>
      </c>
      <c r="BB11" s="43">
        <v>0.95899999999999996</v>
      </c>
      <c r="BC11" s="43">
        <v>1</v>
      </c>
      <c r="BD11" s="43">
        <v>1</v>
      </c>
      <c r="BE11" s="43">
        <v>0</v>
      </c>
      <c r="BF11" s="43">
        <v>-3.5</v>
      </c>
      <c r="BG11" s="43">
        <v>27.430499999999999</v>
      </c>
      <c r="BH11" s="43">
        <v>-3.5</v>
      </c>
      <c r="BI11" s="43">
        <v>30.551600000000001</v>
      </c>
      <c r="BJ11" s="43">
        <v>1</v>
      </c>
      <c r="BK11" s="53">
        <v>4.0000000000000001E-3</v>
      </c>
      <c r="BL11" s="53">
        <v>17.2</v>
      </c>
      <c r="BM11" s="43">
        <v>2</v>
      </c>
      <c r="BN11" s="34" t="s">
        <v>89</v>
      </c>
      <c r="BO11" s="34" t="s">
        <v>89</v>
      </c>
      <c r="BP11" s="34" t="s">
        <v>89</v>
      </c>
      <c r="BQ11" s="34" t="s">
        <v>89</v>
      </c>
      <c r="BR11" s="34" t="s">
        <v>89</v>
      </c>
      <c r="BS11" s="34" t="s">
        <v>89</v>
      </c>
      <c r="BT11" s="34" t="s">
        <v>89</v>
      </c>
      <c r="BU11" s="34" t="s">
        <v>89</v>
      </c>
      <c r="BV11" s="34" t="s">
        <v>89</v>
      </c>
      <c r="BW11" s="34" t="s">
        <v>89</v>
      </c>
      <c r="BX11" s="34" t="s">
        <v>89</v>
      </c>
      <c r="BY11" s="34" t="s">
        <v>89</v>
      </c>
      <c r="BZ11" s="34" t="s">
        <v>89</v>
      </c>
      <c r="CA11" s="34" t="s">
        <v>89</v>
      </c>
      <c r="CB11" s="34" t="s">
        <v>89</v>
      </c>
      <c r="CC11" s="34" t="s">
        <v>89</v>
      </c>
      <c r="CD11" s="34" t="s">
        <v>89</v>
      </c>
      <c r="CE11" s="43">
        <v>2.87608799913269</v>
      </c>
      <c r="CF11" s="43">
        <v>1</v>
      </c>
      <c r="CG11" s="43">
        <v>0</v>
      </c>
      <c r="CH11" s="43">
        <v>0</v>
      </c>
      <c r="CI11" s="43">
        <v>-146.69</v>
      </c>
      <c r="CJ11" s="43">
        <v>19.793863040891001</v>
      </c>
      <c r="CK11" s="43">
        <v>23.777359607796001</v>
      </c>
      <c r="CL11" s="43">
        <v>0</v>
      </c>
      <c r="CM11" s="43">
        <v>50414</v>
      </c>
      <c r="CN11" s="43">
        <v>4262</v>
      </c>
      <c r="CO11" s="43">
        <v>-1118</v>
      </c>
      <c r="CP11" s="43">
        <v>269.39999999999998</v>
      </c>
      <c r="CQ11" s="43">
        <v>27.847000000000001</v>
      </c>
      <c r="CR11" s="43">
        <v>4637750.7336785803</v>
      </c>
      <c r="CS11" s="43">
        <v>2.2190250000000002E-2</v>
      </c>
      <c r="CT11" s="43">
        <v>0</v>
      </c>
      <c r="CU11" s="43">
        <v>1</v>
      </c>
      <c r="CV11" s="46" t="s">
        <v>89</v>
      </c>
      <c r="CW11" s="34"/>
      <c r="CX11" s="35"/>
    </row>
    <row r="12" spans="1:102" ht="15" customHeight="1" x14ac:dyDescent="0.25">
      <c r="A12" s="33">
        <v>9</v>
      </c>
      <c r="B12" s="43" t="s">
        <v>256</v>
      </c>
      <c r="C12" s="43">
        <v>0.19470000000000001</v>
      </c>
      <c r="D12" s="43">
        <v>0.86</v>
      </c>
      <c r="E12" s="43" t="s">
        <v>165</v>
      </c>
      <c r="F12" s="51" t="s">
        <v>99</v>
      </c>
      <c r="G12" s="43" t="s">
        <v>257</v>
      </c>
      <c r="H12" s="43" t="s">
        <v>258</v>
      </c>
      <c r="I12" s="43" t="s">
        <v>259</v>
      </c>
      <c r="J12" s="43" t="s">
        <v>260</v>
      </c>
      <c r="K12" s="53" t="s">
        <v>1927</v>
      </c>
      <c r="L12" s="43" t="s">
        <v>261</v>
      </c>
      <c r="M12" s="43" t="s">
        <v>262</v>
      </c>
      <c r="N12" s="43" t="s">
        <v>263</v>
      </c>
      <c r="O12" s="43" t="s">
        <v>264</v>
      </c>
      <c r="P12" s="43" t="s">
        <v>265</v>
      </c>
      <c r="Q12" s="43" t="s">
        <v>266</v>
      </c>
      <c r="R12" s="43" t="s">
        <v>267</v>
      </c>
      <c r="S12" s="43">
        <v>-133.947</v>
      </c>
      <c r="T12" s="43">
        <v>177.76300000000001</v>
      </c>
      <c r="U12" s="43">
        <v>12.4979</v>
      </c>
      <c r="V12" s="43">
        <v>14.706</v>
      </c>
      <c r="W12" s="43">
        <v>1</v>
      </c>
      <c r="X12" s="43">
        <v>1</v>
      </c>
      <c r="Y12" s="43">
        <v>6.2E-2</v>
      </c>
      <c r="Z12" s="43">
        <v>0.17599999999999999</v>
      </c>
      <c r="AA12" s="43">
        <v>5764.1080000000002</v>
      </c>
      <c r="AB12" s="43">
        <v>0.42699999999999999</v>
      </c>
      <c r="AC12" s="43">
        <v>3350.9740000000002</v>
      </c>
      <c r="AD12" s="43">
        <v>0.47</v>
      </c>
      <c r="AE12" s="43">
        <v>0.95899999999999996</v>
      </c>
      <c r="AF12" s="43">
        <v>1</v>
      </c>
      <c r="AG12" s="43">
        <v>21.795000000000002</v>
      </c>
      <c r="AH12" s="43">
        <v>54.112000000000002</v>
      </c>
      <c r="AI12" s="43">
        <v>75.082999999999998</v>
      </c>
      <c r="AJ12" s="43" t="s">
        <v>1416</v>
      </c>
      <c r="AK12" s="43">
        <v>1</v>
      </c>
      <c r="AL12" s="43">
        <v>4</v>
      </c>
      <c r="AM12" s="43">
        <v>0</v>
      </c>
      <c r="AN12" s="43">
        <v>0</v>
      </c>
      <c r="AO12" s="43">
        <v>0</v>
      </c>
      <c r="AP12" s="43">
        <v>0</v>
      </c>
      <c r="AQ12" s="43" t="s">
        <v>269</v>
      </c>
      <c r="AR12" s="43" t="s">
        <v>270</v>
      </c>
      <c r="AS12" s="43">
        <v>3800</v>
      </c>
      <c r="AT12" s="43">
        <v>21.138000000000002</v>
      </c>
      <c r="AU12" s="69">
        <v>1118</v>
      </c>
      <c r="AV12" s="69">
        <v>-340.13</v>
      </c>
      <c r="AW12" s="69">
        <v>31081.1502</v>
      </c>
      <c r="AX12" s="43">
        <v>0.79769999999999996</v>
      </c>
      <c r="AY12" s="69">
        <v>1118</v>
      </c>
      <c r="AZ12" s="69">
        <v>-340.13</v>
      </c>
      <c r="BA12" s="69">
        <v>31081.1502</v>
      </c>
      <c r="BB12" s="43">
        <v>0.79769999999999996</v>
      </c>
      <c r="BC12" s="43">
        <v>1</v>
      </c>
      <c r="BD12" s="43">
        <v>1</v>
      </c>
      <c r="BE12" s="43">
        <v>0</v>
      </c>
      <c r="BF12" s="43">
        <v>-4.5</v>
      </c>
      <c r="BG12" s="43">
        <v>12.2736</v>
      </c>
      <c r="BH12" s="43">
        <v>-4.5</v>
      </c>
      <c r="BI12" s="43">
        <v>12.297800000000001</v>
      </c>
      <c r="BJ12" s="43">
        <v>0</v>
      </c>
      <c r="BK12" s="53">
        <v>5.0000000000000001E-3</v>
      </c>
      <c r="BL12" s="53">
        <v>18.399999999999999</v>
      </c>
      <c r="BM12" s="43">
        <v>2</v>
      </c>
      <c r="BN12" s="34" t="s">
        <v>89</v>
      </c>
      <c r="BO12" s="34" t="s">
        <v>89</v>
      </c>
      <c r="BP12" s="34" t="s">
        <v>89</v>
      </c>
      <c r="BQ12" s="34" t="s">
        <v>89</v>
      </c>
      <c r="BR12" s="34" t="s">
        <v>89</v>
      </c>
      <c r="BS12" s="34" t="s">
        <v>89</v>
      </c>
      <c r="BT12" s="34" t="s">
        <v>89</v>
      </c>
      <c r="BU12" s="34" t="s">
        <v>89</v>
      </c>
      <c r="BV12" s="34" t="s">
        <v>89</v>
      </c>
      <c r="BW12" s="34" t="s">
        <v>89</v>
      </c>
      <c r="BX12" s="34" t="s">
        <v>89</v>
      </c>
      <c r="BY12" s="34" t="s">
        <v>89</v>
      </c>
      <c r="BZ12" s="34" t="s">
        <v>89</v>
      </c>
      <c r="CA12" s="34" t="s">
        <v>89</v>
      </c>
      <c r="CB12" s="34" t="s">
        <v>89</v>
      </c>
      <c r="CC12" s="34" t="s">
        <v>89</v>
      </c>
      <c r="CD12" s="34" t="s">
        <v>89</v>
      </c>
      <c r="CE12" s="43">
        <v>-0.19709413767685999</v>
      </c>
      <c r="CF12" s="43">
        <v>1</v>
      </c>
      <c r="CG12" s="43">
        <v>0</v>
      </c>
      <c r="CH12" s="43">
        <v>0</v>
      </c>
      <c r="CI12" s="43">
        <v>116.22799999999999</v>
      </c>
      <c r="CJ12" s="43">
        <v>4.6302283526927797</v>
      </c>
      <c r="CK12" s="43">
        <v>-1.2461983798416201</v>
      </c>
      <c r="CL12" s="43">
        <v>0</v>
      </c>
      <c r="CM12" s="43">
        <v>20899</v>
      </c>
      <c r="CN12" s="43">
        <v>3800</v>
      </c>
      <c r="CO12" s="43">
        <v>1118</v>
      </c>
      <c r="CP12" s="43">
        <v>-340.13</v>
      </c>
      <c r="CQ12" s="43">
        <v>16.808</v>
      </c>
      <c r="CR12" s="43">
        <v>-8432085.3049588893</v>
      </c>
      <c r="CS12" s="43">
        <v>1</v>
      </c>
      <c r="CT12" s="43">
        <v>0.88887174999999996</v>
      </c>
      <c r="CU12" s="43">
        <v>1</v>
      </c>
      <c r="CV12" s="46" t="s">
        <v>89</v>
      </c>
      <c r="CW12" s="34"/>
      <c r="CX12" s="35"/>
    </row>
    <row r="13" spans="1:102" ht="15" customHeight="1" x14ac:dyDescent="0.25">
      <c r="A13" s="33">
        <v>10</v>
      </c>
      <c r="B13" s="43" t="s">
        <v>1797</v>
      </c>
      <c r="C13" s="43">
        <v>0.85650000000000004</v>
      </c>
      <c r="D13" s="43">
        <v>0.504</v>
      </c>
      <c r="E13" s="43" t="s">
        <v>179</v>
      </c>
      <c r="F13" s="51" t="s">
        <v>98</v>
      </c>
      <c r="G13" s="43" t="s">
        <v>271</v>
      </c>
      <c r="H13" s="43" t="s">
        <v>272</v>
      </c>
      <c r="I13" s="43" t="s">
        <v>273</v>
      </c>
      <c r="J13" s="43" t="s">
        <v>274</v>
      </c>
      <c r="K13" s="53" t="s">
        <v>1928</v>
      </c>
      <c r="L13" s="43" t="s">
        <v>275</v>
      </c>
      <c r="M13" s="43" t="s">
        <v>276</v>
      </c>
      <c r="N13" s="43" t="s">
        <v>277</v>
      </c>
      <c r="O13" s="43" t="s">
        <v>278</v>
      </c>
      <c r="P13" s="43" t="s">
        <v>279</v>
      </c>
      <c r="Q13" s="43" t="s">
        <v>280</v>
      </c>
      <c r="R13" s="43" t="s">
        <v>281</v>
      </c>
      <c r="S13" s="43">
        <v>209.05199999999999</v>
      </c>
      <c r="T13" s="43">
        <v>160.16</v>
      </c>
      <c r="U13" s="43">
        <v>12.7324</v>
      </c>
      <c r="V13" s="43">
        <v>5.1340000000000003</v>
      </c>
      <c r="W13" s="43">
        <v>0</v>
      </c>
      <c r="X13" s="43">
        <v>0</v>
      </c>
      <c r="Y13" s="43">
        <v>2.1000000000000001E-2</v>
      </c>
      <c r="Z13" s="43">
        <v>3.3000000000000002E-2</v>
      </c>
      <c r="AA13" s="43">
        <v>5287.2749999999996</v>
      </c>
      <c r="AB13" s="43">
        <v>0.11</v>
      </c>
      <c r="AC13" s="43">
        <v>3540.2170000000001</v>
      </c>
      <c r="AD13" s="43">
        <v>0.214</v>
      </c>
      <c r="AE13" s="43">
        <v>0.97499999999999998</v>
      </c>
      <c r="AF13" s="43">
        <v>0</v>
      </c>
      <c r="AG13" s="43">
        <v>0.85399999999999998</v>
      </c>
      <c r="AH13" s="43">
        <v>-17.690000000000001</v>
      </c>
      <c r="AI13" s="43">
        <v>74.066000000000003</v>
      </c>
      <c r="AJ13" s="43" t="s">
        <v>1417</v>
      </c>
      <c r="AK13" s="43">
        <v>0</v>
      </c>
      <c r="AL13" s="43">
        <v>0</v>
      </c>
      <c r="AM13" s="43">
        <v>0</v>
      </c>
      <c r="AN13" s="43">
        <v>0</v>
      </c>
      <c r="AO13" s="43">
        <v>0</v>
      </c>
      <c r="AP13" s="43">
        <v>0</v>
      </c>
      <c r="AQ13" s="68" t="s">
        <v>1791</v>
      </c>
      <c r="AR13" s="43" t="s">
        <v>283</v>
      </c>
      <c r="AS13" s="43">
        <v>2932</v>
      </c>
      <c r="AT13" s="43">
        <v>-2.35</v>
      </c>
      <c r="AU13" s="69">
        <v>570.70000000000005</v>
      </c>
      <c r="AV13" s="69">
        <v>-784.13</v>
      </c>
      <c r="AW13" s="69">
        <v>38607.815199999997</v>
      </c>
      <c r="AX13" s="43">
        <v>0.25319999999999998</v>
      </c>
      <c r="AY13" s="69">
        <v>570.70000000000005</v>
      </c>
      <c r="AZ13" s="69">
        <v>-784.13</v>
      </c>
      <c r="BA13" s="69">
        <v>38607.815199999997</v>
      </c>
      <c r="BB13" s="43">
        <v>0.25319999999999998</v>
      </c>
      <c r="BC13" s="43">
        <v>0</v>
      </c>
      <c r="BD13" s="43">
        <v>0</v>
      </c>
      <c r="BE13" s="43">
        <v>0</v>
      </c>
      <c r="BF13" s="43">
        <v>-6.6</v>
      </c>
      <c r="BG13" s="43">
        <v>28.433800000000002</v>
      </c>
      <c r="BH13" s="43">
        <v>-6.6</v>
      </c>
      <c r="BI13" s="43">
        <v>21.5352</v>
      </c>
      <c r="BJ13" s="43">
        <v>1</v>
      </c>
      <c r="BK13" s="53">
        <v>6.0000000000000001E-3</v>
      </c>
      <c r="BL13" s="53">
        <v>19.600000000000001</v>
      </c>
      <c r="BM13" s="43">
        <v>2</v>
      </c>
      <c r="BN13" s="34" t="s">
        <v>89</v>
      </c>
      <c r="BO13" s="34" t="s">
        <v>89</v>
      </c>
      <c r="BP13" s="34" t="s">
        <v>89</v>
      </c>
      <c r="BQ13" s="34" t="s">
        <v>89</v>
      </c>
      <c r="BR13" s="34" t="s">
        <v>89</v>
      </c>
      <c r="BS13" s="34" t="s">
        <v>89</v>
      </c>
      <c r="BT13" s="34" t="s">
        <v>89</v>
      </c>
      <c r="BU13" s="34" t="s">
        <v>89</v>
      </c>
      <c r="BV13" s="34" t="s">
        <v>89</v>
      </c>
      <c r="BW13" s="34" t="s">
        <v>89</v>
      </c>
      <c r="BX13" s="34" t="s">
        <v>89</v>
      </c>
      <c r="BY13" s="34" t="s">
        <v>89</v>
      </c>
      <c r="BZ13" s="34" t="s">
        <v>89</v>
      </c>
      <c r="CA13" s="34" t="s">
        <v>89</v>
      </c>
      <c r="CB13" s="34" t="s">
        <v>89</v>
      </c>
      <c r="CC13" s="34" t="s">
        <v>89</v>
      </c>
      <c r="CD13" s="34" t="s">
        <v>89</v>
      </c>
      <c r="CE13" s="43">
        <v>7.9918665387575995E-3</v>
      </c>
      <c r="CF13" s="43">
        <v>0.141633350930367</v>
      </c>
      <c r="CG13" s="43">
        <v>0</v>
      </c>
      <c r="CH13" s="43">
        <v>0</v>
      </c>
      <c r="CI13" s="43">
        <v>-220</v>
      </c>
      <c r="CJ13" s="43">
        <v>-4.6939530274325403</v>
      </c>
      <c r="CK13" s="43">
        <v>2.7273933372832202</v>
      </c>
      <c r="CL13" s="43">
        <v>63897</v>
      </c>
      <c r="CM13" s="43">
        <v>14650</v>
      </c>
      <c r="CN13" s="43">
        <v>597</v>
      </c>
      <c r="CO13" s="43">
        <v>570.70000000000005</v>
      </c>
      <c r="CP13" s="43">
        <v>-784.13</v>
      </c>
      <c r="CQ13" s="43">
        <v>570.70000000000005</v>
      </c>
      <c r="CR13" s="43">
        <v>-784.13</v>
      </c>
      <c r="CS13" s="43">
        <v>0.77090937500000001</v>
      </c>
      <c r="CT13" s="43">
        <v>0.65652712499999999</v>
      </c>
      <c r="CU13" s="43">
        <v>1</v>
      </c>
      <c r="CV13" s="46" t="s">
        <v>89</v>
      </c>
      <c r="CW13" s="34"/>
      <c r="CX13" s="35"/>
    </row>
    <row r="14" spans="1:102" ht="15" customHeight="1" x14ac:dyDescent="0.25">
      <c r="A14" s="33">
        <v>11</v>
      </c>
      <c r="B14" s="43" t="s">
        <v>284</v>
      </c>
      <c r="C14" s="43">
        <v>0.69269999999999998</v>
      </c>
      <c r="D14" s="43">
        <v>0.64300000000000002</v>
      </c>
      <c r="E14" s="43" t="s">
        <v>237</v>
      </c>
      <c r="F14" s="52" t="s">
        <v>224</v>
      </c>
      <c r="G14" s="43" t="s">
        <v>285</v>
      </c>
      <c r="H14" s="43" t="s">
        <v>286</v>
      </c>
      <c r="I14" s="43" t="s">
        <v>287</v>
      </c>
      <c r="J14" s="43" t="s">
        <v>288</v>
      </c>
      <c r="K14" s="53" t="s">
        <v>1929</v>
      </c>
      <c r="L14" s="43" t="s">
        <v>289</v>
      </c>
      <c r="M14" s="43" t="s">
        <v>196</v>
      </c>
      <c r="N14" s="43" t="s">
        <v>290</v>
      </c>
      <c r="O14" s="43" t="s">
        <v>291</v>
      </c>
      <c r="P14" s="43" t="s">
        <v>292</v>
      </c>
      <c r="Q14" s="43" t="s">
        <v>293</v>
      </c>
      <c r="R14" s="43" t="s">
        <v>294</v>
      </c>
      <c r="S14" s="43">
        <v>-200.55600000000001</v>
      </c>
      <c r="T14" s="43">
        <v>175.422</v>
      </c>
      <c r="U14" s="43">
        <v>27.855399999999999</v>
      </c>
      <c r="V14" s="43">
        <v>9.5060000000000002</v>
      </c>
      <c r="W14" s="43">
        <v>0</v>
      </c>
      <c r="X14" s="43">
        <v>0</v>
      </c>
      <c r="Y14" s="43">
        <v>0.192</v>
      </c>
      <c r="Z14" s="43">
        <v>0.13900000000000001</v>
      </c>
      <c r="AA14" s="43">
        <v>5215.4080000000004</v>
      </c>
      <c r="AB14" s="43">
        <v>0.59099999999999997</v>
      </c>
      <c r="AC14" s="43">
        <v>1901.9870000000001</v>
      </c>
      <c r="AD14" s="43">
        <v>0.36199999999999999</v>
      </c>
      <c r="AE14" s="43">
        <v>0.98599999999999999</v>
      </c>
      <c r="AF14" s="43">
        <v>0</v>
      </c>
      <c r="AG14" s="43">
        <v>-10.782</v>
      </c>
      <c r="AH14" s="43">
        <v>-214.82900000000001</v>
      </c>
      <c r="AI14" s="43">
        <v>-149.00299999999999</v>
      </c>
      <c r="AJ14" s="43" t="s">
        <v>1418</v>
      </c>
      <c r="AK14" s="43">
        <v>0</v>
      </c>
      <c r="AL14" s="43">
        <v>3</v>
      </c>
      <c r="AM14" s="43">
        <v>1</v>
      </c>
      <c r="AN14" s="43">
        <v>1</v>
      </c>
      <c r="AO14" s="43">
        <v>1</v>
      </c>
      <c r="AP14" s="43">
        <v>1</v>
      </c>
      <c r="AQ14" s="68" t="s">
        <v>1792</v>
      </c>
      <c r="AR14" s="43" t="s">
        <v>296</v>
      </c>
      <c r="AS14" s="43">
        <v>4611</v>
      </c>
      <c r="AT14" s="43">
        <v>0.375</v>
      </c>
      <c r="AU14" s="69">
        <v>0</v>
      </c>
      <c r="AV14" s="69">
        <v>386.22</v>
      </c>
      <c r="AW14" s="69">
        <v>21678.821899999999</v>
      </c>
      <c r="AX14" s="43">
        <v>9.4299999999999995E-2</v>
      </c>
      <c r="AY14" s="69">
        <v>0</v>
      </c>
      <c r="AZ14" s="69">
        <v>386.22</v>
      </c>
      <c r="BA14" s="69">
        <v>21678.821899999999</v>
      </c>
      <c r="BB14" s="43">
        <v>9.4299999999999995E-2</v>
      </c>
      <c r="BC14" s="43">
        <v>0</v>
      </c>
      <c r="BD14" s="43">
        <v>0</v>
      </c>
      <c r="BE14" s="43">
        <v>0</v>
      </c>
      <c r="BF14" s="43">
        <v>-4.5999999999999996</v>
      </c>
      <c r="BG14" s="43">
        <v>28.5717</v>
      </c>
      <c r="BH14" s="43">
        <v>-4.5999999999999996</v>
      </c>
      <c r="BI14" s="43">
        <v>10.9145</v>
      </c>
      <c r="BJ14" s="43">
        <v>0</v>
      </c>
      <c r="BK14" s="53">
        <v>7.0000000000000001E-3</v>
      </c>
      <c r="BL14" s="53">
        <v>20.8</v>
      </c>
      <c r="BM14" s="43">
        <v>2</v>
      </c>
      <c r="BN14" s="34" t="s">
        <v>89</v>
      </c>
      <c r="BO14" s="34" t="s">
        <v>89</v>
      </c>
      <c r="BP14" s="34" t="s">
        <v>89</v>
      </c>
      <c r="BQ14" s="34" t="s">
        <v>89</v>
      </c>
      <c r="BR14" s="34" t="s">
        <v>89</v>
      </c>
      <c r="BS14" s="34" t="s">
        <v>89</v>
      </c>
      <c r="BT14" s="34" t="s">
        <v>89</v>
      </c>
      <c r="BU14" s="34" t="s">
        <v>89</v>
      </c>
      <c r="BV14" s="34" t="s">
        <v>89</v>
      </c>
      <c r="BW14" s="34" t="s">
        <v>89</v>
      </c>
      <c r="BX14" s="34" t="s">
        <v>89</v>
      </c>
      <c r="BY14" s="34" t="s">
        <v>89</v>
      </c>
      <c r="BZ14" s="34" t="s">
        <v>89</v>
      </c>
      <c r="CA14" s="34" t="s">
        <v>89</v>
      </c>
      <c r="CB14" s="34" t="s">
        <v>89</v>
      </c>
      <c r="CC14" s="34" t="s">
        <v>89</v>
      </c>
      <c r="CD14" s="34" t="s">
        <v>89</v>
      </c>
      <c r="CE14" s="43">
        <v>3.1350656496137201</v>
      </c>
      <c r="CF14" s="43">
        <v>0.54746736222393899</v>
      </c>
      <c r="CG14" s="43">
        <v>0</v>
      </c>
      <c r="CH14" s="43">
        <v>0</v>
      </c>
      <c r="CI14" s="43">
        <v>-96.808999999999997</v>
      </c>
      <c r="CJ14" s="43">
        <v>-7.6418250909346996</v>
      </c>
      <c r="CK14" s="43">
        <v>18.552917487273</v>
      </c>
      <c r="CL14" s="43">
        <v>64618</v>
      </c>
      <c r="CM14" s="43">
        <v>63646</v>
      </c>
      <c r="CN14" s="43">
        <v>769</v>
      </c>
      <c r="CO14" s="43">
        <v>0</v>
      </c>
      <c r="CP14" s="43">
        <v>386.22</v>
      </c>
      <c r="CQ14" s="43">
        <v>0</v>
      </c>
      <c r="CR14" s="43">
        <v>386.22</v>
      </c>
      <c r="CS14" s="43">
        <v>0</v>
      </c>
      <c r="CT14" s="43">
        <v>0.124251625</v>
      </c>
      <c r="CU14" s="43">
        <v>1</v>
      </c>
      <c r="CV14" s="46" t="s">
        <v>89</v>
      </c>
      <c r="CW14" s="34"/>
      <c r="CX14" s="35"/>
    </row>
    <row r="15" spans="1:102" ht="15" customHeight="1" x14ac:dyDescent="0.25">
      <c r="A15" s="33">
        <v>12</v>
      </c>
      <c r="B15" s="43" t="s">
        <v>297</v>
      </c>
      <c r="C15" s="43">
        <v>0.58809999999999996</v>
      </c>
      <c r="D15" s="43">
        <v>0.17899999999999999</v>
      </c>
      <c r="E15" s="43" t="s">
        <v>253</v>
      </c>
      <c r="F15" s="51" t="s">
        <v>240</v>
      </c>
      <c r="G15" s="43" t="s">
        <v>298</v>
      </c>
      <c r="H15" s="43" t="s">
        <v>299</v>
      </c>
      <c r="I15" s="43" t="s">
        <v>300</v>
      </c>
      <c r="J15" s="43" t="s">
        <v>301</v>
      </c>
      <c r="K15" s="53" t="s">
        <v>1930</v>
      </c>
      <c r="L15" s="43" t="s">
        <v>302</v>
      </c>
      <c r="M15" s="43" t="s">
        <v>158</v>
      </c>
      <c r="N15" s="43" t="s">
        <v>303</v>
      </c>
      <c r="O15" s="43" t="s">
        <v>304</v>
      </c>
      <c r="P15" s="43" t="s">
        <v>305</v>
      </c>
      <c r="Q15" s="43" t="s">
        <v>306</v>
      </c>
      <c r="R15" s="43" t="s">
        <v>307</v>
      </c>
      <c r="S15" s="43">
        <v>67.489999999999995</v>
      </c>
      <c r="T15" s="43">
        <v>-8.4510000000000005</v>
      </c>
      <c r="U15" s="43">
        <v>6.2333999999999996</v>
      </c>
      <c r="V15" s="43">
        <v>24.774000000000001</v>
      </c>
      <c r="W15" s="43">
        <v>1</v>
      </c>
      <c r="X15" s="43">
        <v>1</v>
      </c>
      <c r="Y15" s="43">
        <v>0.10199999999999999</v>
      </c>
      <c r="Z15" s="43">
        <v>2.1000000000000001E-2</v>
      </c>
      <c r="AA15" s="43">
        <v>7975.7920000000004</v>
      </c>
      <c r="AB15" s="43">
        <v>0.127</v>
      </c>
      <c r="AC15" s="43">
        <v>3201.433</v>
      </c>
      <c r="AD15" s="43">
        <v>0.86</v>
      </c>
      <c r="AE15" s="43">
        <v>0.98399999999999999</v>
      </c>
      <c r="AF15" s="43">
        <v>1</v>
      </c>
      <c r="AG15" s="43">
        <v>3.0419999999999998</v>
      </c>
      <c r="AH15" s="43">
        <v>-96.331000000000003</v>
      </c>
      <c r="AI15" s="43">
        <v>-124.758</v>
      </c>
      <c r="AJ15" s="43" t="s">
        <v>1419</v>
      </c>
      <c r="AK15" s="43">
        <v>1</v>
      </c>
      <c r="AL15" s="43">
        <v>2</v>
      </c>
      <c r="AM15" s="43">
        <v>0</v>
      </c>
      <c r="AN15" s="43">
        <v>0</v>
      </c>
      <c r="AO15" s="43">
        <v>0</v>
      </c>
      <c r="AP15" s="43">
        <v>0</v>
      </c>
      <c r="AQ15" s="43" t="s">
        <v>308</v>
      </c>
      <c r="AR15" s="43" t="s">
        <v>309</v>
      </c>
      <c r="AS15" s="43">
        <v>3668</v>
      </c>
      <c r="AT15" s="43">
        <v>14.856</v>
      </c>
      <c r="AU15" s="69">
        <v>-627.17999999999995</v>
      </c>
      <c r="AV15" s="69">
        <v>-627.17999999999995</v>
      </c>
      <c r="AW15" s="69">
        <v>18254.674800000001</v>
      </c>
      <c r="AX15" s="43">
        <v>0.76649999999999996</v>
      </c>
      <c r="AY15" s="69">
        <v>-627.17999999999995</v>
      </c>
      <c r="AZ15" s="69">
        <v>-627.17999999999995</v>
      </c>
      <c r="BA15" s="69">
        <v>18254.674800000001</v>
      </c>
      <c r="BB15" s="43">
        <v>0.76649999999999996</v>
      </c>
      <c r="BC15" s="43">
        <v>1</v>
      </c>
      <c r="BD15" s="43">
        <v>1</v>
      </c>
      <c r="BE15" s="43">
        <v>0</v>
      </c>
      <c r="BF15" s="43">
        <v>-5.5</v>
      </c>
      <c r="BG15" s="43">
        <v>1.2664</v>
      </c>
      <c r="BH15" s="43">
        <v>-5.5</v>
      </c>
      <c r="BI15" s="43">
        <v>7.9724000000000004</v>
      </c>
      <c r="BJ15" s="43">
        <v>1</v>
      </c>
      <c r="BK15" s="53">
        <v>8.0000000000000002E-3</v>
      </c>
      <c r="BL15" s="53">
        <v>22</v>
      </c>
      <c r="BM15" s="43">
        <v>2</v>
      </c>
      <c r="BN15" s="34" t="s">
        <v>89</v>
      </c>
      <c r="BO15" s="34" t="s">
        <v>89</v>
      </c>
      <c r="BP15" s="34" t="s">
        <v>89</v>
      </c>
      <c r="BQ15" s="34" t="s">
        <v>89</v>
      </c>
      <c r="BR15" s="34" t="s">
        <v>89</v>
      </c>
      <c r="BS15" s="34" t="s">
        <v>89</v>
      </c>
      <c r="BT15" s="34" t="s">
        <v>89</v>
      </c>
      <c r="BU15" s="34" t="s">
        <v>89</v>
      </c>
      <c r="BV15" s="34" t="s">
        <v>89</v>
      </c>
      <c r="BW15" s="34" t="s">
        <v>89</v>
      </c>
      <c r="BX15" s="34" t="s">
        <v>89</v>
      </c>
      <c r="BY15" s="34" t="s">
        <v>89</v>
      </c>
      <c r="BZ15" s="34" t="s">
        <v>89</v>
      </c>
      <c r="CA15" s="34" t="s">
        <v>89</v>
      </c>
      <c r="CB15" s="34" t="s">
        <v>89</v>
      </c>
      <c r="CC15" s="34" t="s">
        <v>89</v>
      </c>
      <c r="CD15" s="34" t="s">
        <v>89</v>
      </c>
      <c r="CE15" s="43">
        <v>-2.83222602331877E-2</v>
      </c>
      <c r="CF15" s="43">
        <v>1</v>
      </c>
      <c r="CG15" s="43">
        <v>1.2664</v>
      </c>
      <c r="CH15" s="43">
        <v>7.9724000000000004</v>
      </c>
      <c r="CI15" s="43">
        <v>-220</v>
      </c>
      <c r="CJ15" s="43">
        <v>-4.9007085756367097</v>
      </c>
      <c r="CK15" s="43">
        <v>0.43526481213260898</v>
      </c>
      <c r="CL15" s="43">
        <v>0</v>
      </c>
      <c r="CM15" s="43">
        <v>52904</v>
      </c>
      <c r="CN15" s="43">
        <v>3668</v>
      </c>
      <c r="CO15" s="43">
        <v>-627.17999999999995</v>
      </c>
      <c r="CP15" s="43">
        <v>-627.17999999999995</v>
      </c>
      <c r="CQ15" s="43">
        <v>20.681000000000001</v>
      </c>
      <c r="CR15" s="43">
        <v>-8776098.0418090597</v>
      </c>
      <c r="CS15" s="43">
        <v>1</v>
      </c>
      <c r="CT15" s="43">
        <v>1</v>
      </c>
      <c r="CU15" s="43">
        <v>1</v>
      </c>
      <c r="CV15" s="46" t="s">
        <v>89</v>
      </c>
      <c r="CW15" s="34"/>
      <c r="CX15" s="35"/>
    </row>
    <row r="16" spans="1:102" ht="15" customHeight="1" x14ac:dyDescent="0.25">
      <c r="A16" s="33">
        <v>13</v>
      </c>
      <c r="B16" s="43" t="s">
        <v>310</v>
      </c>
      <c r="C16" s="43">
        <v>0.67149999999999999</v>
      </c>
      <c r="D16" s="43">
        <v>0.57199999999999995</v>
      </c>
      <c r="E16" s="43" t="s">
        <v>216</v>
      </c>
      <c r="F16" s="43" t="s">
        <v>311</v>
      </c>
      <c r="G16" s="51" t="s">
        <v>98</v>
      </c>
      <c r="H16" s="43" t="s">
        <v>312</v>
      </c>
      <c r="I16" s="43" t="s">
        <v>313</v>
      </c>
      <c r="J16" s="43" t="s">
        <v>314</v>
      </c>
      <c r="K16" s="53" t="s">
        <v>1931</v>
      </c>
      <c r="L16" s="43" t="s">
        <v>197</v>
      </c>
      <c r="M16" s="43" t="s">
        <v>172</v>
      </c>
      <c r="N16" s="43" t="s">
        <v>315</v>
      </c>
      <c r="O16" s="43" t="s">
        <v>316</v>
      </c>
      <c r="P16" s="43" t="s">
        <v>317</v>
      </c>
      <c r="Q16" s="43" t="s">
        <v>318</v>
      </c>
      <c r="R16" s="43" t="s">
        <v>319</v>
      </c>
      <c r="S16" s="43">
        <v>-146.17400000000001</v>
      </c>
      <c r="T16" s="43">
        <v>-35.143999999999998</v>
      </c>
      <c r="U16" s="43">
        <v>1.2566999999999999</v>
      </c>
      <c r="V16" s="43">
        <v>-14.548</v>
      </c>
      <c r="W16" s="43">
        <v>0</v>
      </c>
      <c r="X16" s="43">
        <v>1</v>
      </c>
      <c r="Y16" s="43">
        <v>0.129</v>
      </c>
      <c r="Z16" s="43">
        <v>0.17199999999999999</v>
      </c>
      <c r="AA16" s="43">
        <v>6335.3919999999998</v>
      </c>
      <c r="AB16" s="43">
        <v>0.24</v>
      </c>
      <c r="AC16" s="43">
        <v>7999.7430000000004</v>
      </c>
      <c r="AD16" s="43">
        <v>0.76</v>
      </c>
      <c r="AE16" s="43">
        <v>0.995</v>
      </c>
      <c r="AF16" s="43">
        <v>0</v>
      </c>
      <c r="AG16" s="43">
        <v>-1.0880000000000001</v>
      </c>
      <c r="AH16" s="43">
        <v>-168.113</v>
      </c>
      <c r="AI16" s="43">
        <v>50.061</v>
      </c>
      <c r="AJ16" s="43" t="s">
        <v>1411</v>
      </c>
      <c r="AK16" s="43">
        <v>0</v>
      </c>
      <c r="AL16" s="43">
        <v>0</v>
      </c>
      <c r="AM16" s="43">
        <v>0</v>
      </c>
      <c r="AN16" s="43">
        <v>0</v>
      </c>
      <c r="AO16" s="43">
        <v>0</v>
      </c>
      <c r="AP16" s="43">
        <v>0</v>
      </c>
      <c r="AQ16" s="68" t="s">
        <v>1793</v>
      </c>
      <c r="AR16" s="43" t="s">
        <v>320</v>
      </c>
      <c r="AS16" s="43">
        <v>4293</v>
      </c>
      <c r="AT16" s="43">
        <v>-2.5339999999999998</v>
      </c>
      <c r="AU16" s="69">
        <v>-43.17</v>
      </c>
      <c r="AV16" s="69">
        <v>-10.210000000000001</v>
      </c>
      <c r="AW16" s="69">
        <v>23862.955900000001</v>
      </c>
      <c r="AX16" s="43">
        <v>0.1391</v>
      </c>
      <c r="AY16" s="69">
        <v>-43.17</v>
      </c>
      <c r="AZ16" s="69">
        <v>-10.210000000000001</v>
      </c>
      <c r="BA16" s="69">
        <v>23862.955900000001</v>
      </c>
      <c r="BB16" s="43">
        <v>0.1391</v>
      </c>
      <c r="BC16" s="43">
        <v>0</v>
      </c>
      <c r="BD16" s="43">
        <v>0</v>
      </c>
      <c r="BE16" s="43">
        <v>0</v>
      </c>
      <c r="BF16" s="43">
        <v>-6.5</v>
      </c>
      <c r="BG16" s="43">
        <v>8.3556000000000008</v>
      </c>
      <c r="BH16" s="43">
        <v>-6.5</v>
      </c>
      <c r="BI16" s="43">
        <v>18.840399999999999</v>
      </c>
      <c r="BJ16" s="43">
        <v>0</v>
      </c>
      <c r="BK16" s="53">
        <v>8.9999999999999993E-3</v>
      </c>
      <c r="BL16" s="53">
        <v>23.2</v>
      </c>
      <c r="BM16" s="43">
        <v>2</v>
      </c>
      <c r="BN16" s="34" t="s">
        <v>89</v>
      </c>
      <c r="BO16" s="34" t="s">
        <v>89</v>
      </c>
      <c r="BP16" s="34" t="s">
        <v>89</v>
      </c>
      <c r="BQ16" s="34" t="s">
        <v>89</v>
      </c>
      <c r="BR16" s="34" t="s">
        <v>89</v>
      </c>
      <c r="BS16" s="34" t="s">
        <v>89</v>
      </c>
      <c r="BT16" s="34" t="s">
        <v>89</v>
      </c>
      <c r="BU16" s="34" t="s">
        <v>89</v>
      </c>
      <c r="BV16" s="34" t="s">
        <v>89</v>
      </c>
      <c r="BW16" s="34" t="s">
        <v>89</v>
      </c>
      <c r="BX16" s="34" t="s">
        <v>89</v>
      </c>
      <c r="BY16" s="34" t="s">
        <v>89</v>
      </c>
      <c r="BZ16" s="34" t="s">
        <v>89</v>
      </c>
      <c r="CA16" s="34" t="s">
        <v>89</v>
      </c>
      <c r="CB16" s="34" t="s">
        <v>89</v>
      </c>
      <c r="CC16" s="34" t="s">
        <v>89</v>
      </c>
      <c r="CD16" s="34" t="s">
        <v>89</v>
      </c>
      <c r="CE16" s="43">
        <v>7.9706633406455493E-3</v>
      </c>
      <c r="CF16" s="43">
        <v>1.3480444665087601E-2</v>
      </c>
      <c r="CG16" s="43">
        <v>0</v>
      </c>
      <c r="CH16" s="43">
        <v>0</v>
      </c>
      <c r="CI16" s="43">
        <v>212.905</v>
      </c>
      <c r="CJ16" s="43">
        <v>-0.681031796456529</v>
      </c>
      <c r="CK16" s="43">
        <v>14.1902770721475</v>
      </c>
      <c r="CL16" s="43">
        <v>65208</v>
      </c>
      <c r="CM16" s="43">
        <v>55785</v>
      </c>
      <c r="CN16" s="43">
        <v>1272</v>
      </c>
      <c r="CO16" s="43">
        <v>-43.17</v>
      </c>
      <c r="CP16" s="43">
        <v>-10.210000000000001</v>
      </c>
      <c r="CQ16" s="43">
        <v>-43.17</v>
      </c>
      <c r="CR16" s="43">
        <v>-10.210000000000001</v>
      </c>
      <c r="CS16" s="43">
        <v>1</v>
      </c>
      <c r="CT16" s="43">
        <v>1</v>
      </c>
      <c r="CU16" s="43">
        <v>1</v>
      </c>
      <c r="CV16" s="46" t="s">
        <v>89</v>
      </c>
      <c r="CW16" s="34"/>
      <c r="CX16" s="35"/>
    </row>
    <row r="17" spans="1:102" ht="15" customHeight="1" x14ac:dyDescent="0.25">
      <c r="A17" s="33">
        <v>14</v>
      </c>
      <c r="B17" s="43" t="s">
        <v>321</v>
      </c>
      <c r="C17" s="43">
        <v>0.62739999999999996</v>
      </c>
      <c r="D17" s="43">
        <v>0.52300000000000002</v>
      </c>
      <c r="E17" s="43" t="s">
        <v>268</v>
      </c>
      <c r="F17" s="43" t="s">
        <v>202</v>
      </c>
      <c r="G17" s="51" t="s">
        <v>185</v>
      </c>
      <c r="H17" s="43" t="s">
        <v>322</v>
      </c>
      <c r="I17" s="43" t="s">
        <v>323</v>
      </c>
      <c r="J17" s="43" t="s">
        <v>324</v>
      </c>
      <c r="K17" s="53" t="s">
        <v>1932</v>
      </c>
      <c r="L17" s="43" t="s">
        <v>159</v>
      </c>
      <c r="M17" s="43" t="s">
        <v>230</v>
      </c>
      <c r="N17" s="43" t="s">
        <v>325</v>
      </c>
      <c r="O17" s="43" t="s">
        <v>326</v>
      </c>
      <c r="P17" s="43" t="s">
        <v>327</v>
      </c>
      <c r="Q17" s="43" t="s">
        <v>328</v>
      </c>
      <c r="R17" s="43" t="s">
        <v>329</v>
      </c>
      <c r="S17" s="43">
        <v>-91.441999999999993</v>
      </c>
      <c r="T17" s="43">
        <v>79.688000000000002</v>
      </c>
      <c r="U17" s="43">
        <v>28.2577</v>
      </c>
      <c r="V17" s="43">
        <v>6.2080000000000002</v>
      </c>
      <c r="W17" s="43">
        <v>0</v>
      </c>
      <c r="X17" s="43">
        <v>0</v>
      </c>
      <c r="Y17" s="43">
        <v>0.182</v>
      </c>
      <c r="Z17" s="43">
        <v>2.9000000000000001E-2</v>
      </c>
      <c r="AA17" s="43">
        <v>5138.2669999999998</v>
      </c>
      <c r="AB17" s="43">
        <v>5.5E-2</v>
      </c>
      <c r="AC17" s="43">
        <v>1882.529</v>
      </c>
      <c r="AD17" s="43">
        <v>2.1000000000000001E-2</v>
      </c>
      <c r="AE17" s="43">
        <v>0.97799999999999998</v>
      </c>
      <c r="AF17" s="43">
        <v>1</v>
      </c>
      <c r="AG17" s="43">
        <v>-15.625</v>
      </c>
      <c r="AH17" s="43">
        <v>-5.6630000000000003</v>
      </c>
      <c r="AI17" s="43">
        <v>-207.91800000000001</v>
      </c>
      <c r="AJ17" s="43" t="s">
        <v>1407</v>
      </c>
      <c r="AK17" s="43">
        <v>0</v>
      </c>
      <c r="AL17" s="43">
        <v>0</v>
      </c>
      <c r="AM17" s="43">
        <v>1</v>
      </c>
      <c r="AN17" s="43">
        <v>1</v>
      </c>
      <c r="AO17" s="43">
        <v>1</v>
      </c>
      <c r="AP17" s="43">
        <v>1</v>
      </c>
      <c r="AQ17" s="43" t="s">
        <v>330</v>
      </c>
      <c r="AR17" s="43" t="s">
        <v>331</v>
      </c>
      <c r="AS17" s="43">
        <v>3506</v>
      </c>
      <c r="AT17" s="43">
        <v>3.1440000000000001</v>
      </c>
      <c r="AU17" s="69">
        <v>1118</v>
      </c>
      <c r="AV17" s="69">
        <v>570.70000000000005</v>
      </c>
      <c r="AW17" s="69">
        <v>1838.1208999999999</v>
      </c>
      <c r="AX17" s="43">
        <v>0.52390000000000003</v>
      </c>
      <c r="AY17" s="69">
        <v>1118</v>
      </c>
      <c r="AZ17" s="69">
        <v>570.70000000000005</v>
      </c>
      <c r="BA17" s="69">
        <v>1838.1208999999999</v>
      </c>
      <c r="BB17" s="43">
        <v>0.52390000000000003</v>
      </c>
      <c r="BC17" s="43">
        <v>0</v>
      </c>
      <c r="BD17" s="43">
        <v>0</v>
      </c>
      <c r="BE17" s="43">
        <v>0</v>
      </c>
      <c r="BF17" s="43">
        <v>-7.5</v>
      </c>
      <c r="BG17" s="43">
        <v>7.4977999999999998</v>
      </c>
      <c r="BH17" s="43">
        <v>-7.5</v>
      </c>
      <c r="BI17" s="43">
        <v>11.228400000000001</v>
      </c>
      <c r="BJ17" s="43">
        <v>1</v>
      </c>
      <c r="BK17" s="53">
        <v>0.01</v>
      </c>
      <c r="BL17" s="53">
        <v>24.4</v>
      </c>
      <c r="BM17" s="43">
        <v>2</v>
      </c>
      <c r="BN17" s="34" t="s">
        <v>89</v>
      </c>
      <c r="BO17" s="34" t="s">
        <v>89</v>
      </c>
      <c r="BP17" s="34" t="s">
        <v>89</v>
      </c>
      <c r="BQ17" s="34" t="s">
        <v>89</v>
      </c>
      <c r="BR17" s="34" t="s">
        <v>89</v>
      </c>
      <c r="BS17" s="34" t="s">
        <v>89</v>
      </c>
      <c r="BT17" s="34" t="s">
        <v>89</v>
      </c>
      <c r="BU17" s="34" t="s">
        <v>89</v>
      </c>
      <c r="BV17" s="34" t="s">
        <v>89</v>
      </c>
      <c r="BW17" s="34" t="s">
        <v>89</v>
      </c>
      <c r="BX17" s="34" t="s">
        <v>89</v>
      </c>
      <c r="BY17" s="34" t="s">
        <v>89</v>
      </c>
      <c r="BZ17" s="34" t="s">
        <v>89</v>
      </c>
      <c r="CA17" s="34" t="s">
        <v>89</v>
      </c>
      <c r="CB17" s="34" t="s">
        <v>89</v>
      </c>
      <c r="CC17" s="34" t="s">
        <v>89</v>
      </c>
      <c r="CD17" s="34" t="s">
        <v>89</v>
      </c>
      <c r="CE17" s="43">
        <v>2.8266869976907301</v>
      </c>
      <c r="CF17" s="43">
        <v>1</v>
      </c>
      <c r="CG17" s="43">
        <v>0</v>
      </c>
      <c r="CH17" s="43">
        <v>0</v>
      </c>
      <c r="CI17" s="43">
        <v>87.456000000000003</v>
      </c>
      <c r="CJ17" s="43">
        <v>-16.335398598278498</v>
      </c>
      <c r="CK17" s="43">
        <v>16.387343513802399</v>
      </c>
      <c r="CL17" s="43">
        <v>64094</v>
      </c>
      <c r="CM17" s="43">
        <v>29984</v>
      </c>
      <c r="CN17" s="43">
        <v>1407</v>
      </c>
      <c r="CO17" s="43">
        <v>1118</v>
      </c>
      <c r="CP17" s="43">
        <v>570.70000000000005</v>
      </c>
      <c r="CQ17" s="43">
        <v>1118</v>
      </c>
      <c r="CR17" s="43">
        <v>570.70000000000005</v>
      </c>
      <c r="CS17" s="43">
        <v>0</v>
      </c>
      <c r="CT17" s="43">
        <v>0</v>
      </c>
      <c r="CU17" s="43">
        <v>1</v>
      </c>
      <c r="CV17" s="46" t="s">
        <v>89</v>
      </c>
      <c r="CW17" s="34"/>
      <c r="CX17" s="35"/>
    </row>
    <row r="18" spans="1:102" ht="15" customHeight="1" x14ac:dyDescent="0.25">
      <c r="A18" s="33">
        <v>15</v>
      </c>
      <c r="B18" s="43" t="s">
        <v>332</v>
      </c>
      <c r="C18" s="43">
        <v>0.59430000000000005</v>
      </c>
      <c r="D18" s="43">
        <v>0.17899999999999999</v>
      </c>
      <c r="E18" s="43" t="s">
        <v>253</v>
      </c>
      <c r="F18" s="69" t="s">
        <v>240</v>
      </c>
      <c r="G18" s="51" t="s">
        <v>298</v>
      </c>
      <c r="H18" s="43" t="s">
        <v>299</v>
      </c>
      <c r="I18" s="43" t="s">
        <v>300</v>
      </c>
      <c r="J18" s="43" t="s">
        <v>301</v>
      </c>
      <c r="K18" s="53" t="s">
        <v>1933</v>
      </c>
      <c r="L18" s="43" t="s">
        <v>302</v>
      </c>
      <c r="M18" s="43" t="s">
        <v>158</v>
      </c>
      <c r="N18" s="43" t="s">
        <v>303</v>
      </c>
      <c r="O18" s="43" t="s">
        <v>304</v>
      </c>
      <c r="P18" s="43" t="s">
        <v>305</v>
      </c>
      <c r="Q18" s="43" t="s">
        <v>306</v>
      </c>
      <c r="R18" s="43" t="s">
        <v>307</v>
      </c>
      <c r="S18" s="43">
        <v>67.489999999999995</v>
      </c>
      <c r="T18" s="43">
        <v>-8.4510000000000005</v>
      </c>
      <c r="U18" s="43">
        <v>5.4593999999999996</v>
      </c>
      <c r="V18" s="43">
        <v>24.774000000000001</v>
      </c>
      <c r="W18" s="43">
        <v>1</v>
      </c>
      <c r="X18" s="43">
        <v>1</v>
      </c>
      <c r="Y18" s="43">
        <v>0.10199999999999999</v>
      </c>
      <c r="Z18" s="43">
        <v>2.1000000000000001E-2</v>
      </c>
      <c r="AA18" s="43">
        <v>7975.7920000000004</v>
      </c>
      <c r="AB18" s="43">
        <v>0.127</v>
      </c>
      <c r="AC18" s="43">
        <v>3201.433</v>
      </c>
      <c r="AD18" s="43">
        <v>0.86</v>
      </c>
      <c r="AE18" s="43">
        <v>0.98399999999999999</v>
      </c>
      <c r="AF18" s="43">
        <v>1</v>
      </c>
      <c r="AG18" s="43">
        <v>3.0419999999999998</v>
      </c>
      <c r="AH18" s="43">
        <v>-96.331000000000003</v>
      </c>
      <c r="AI18" s="43">
        <v>-124.758</v>
      </c>
      <c r="AJ18" s="43" t="s">
        <v>1408</v>
      </c>
      <c r="AK18" s="43">
        <v>1</v>
      </c>
      <c r="AL18" s="43">
        <v>2</v>
      </c>
      <c r="AM18" s="43">
        <v>0</v>
      </c>
      <c r="AN18" s="43">
        <v>0</v>
      </c>
      <c r="AO18" s="43">
        <v>0</v>
      </c>
      <c r="AP18" s="43">
        <v>0</v>
      </c>
      <c r="AQ18" s="43" t="s">
        <v>308</v>
      </c>
      <c r="AR18" s="43" t="s">
        <v>309</v>
      </c>
      <c r="AS18" s="43">
        <v>3668</v>
      </c>
      <c r="AT18" s="43">
        <v>14.856</v>
      </c>
      <c r="AU18" s="69">
        <v>-717.3</v>
      </c>
      <c r="AV18" s="69">
        <v>-38.799999999999997</v>
      </c>
      <c r="AW18" s="69">
        <v>30983.165099999998</v>
      </c>
      <c r="AX18" s="43">
        <v>0.63680000000000003</v>
      </c>
      <c r="AY18" s="69">
        <v>-717.3</v>
      </c>
      <c r="AZ18" s="69">
        <v>-38.799999999999997</v>
      </c>
      <c r="BA18" s="69">
        <v>30983.165099999998</v>
      </c>
      <c r="BB18" s="43">
        <v>0.63680000000000003</v>
      </c>
      <c r="BC18" s="43">
        <v>1</v>
      </c>
      <c r="BD18" s="43">
        <v>1</v>
      </c>
      <c r="BE18" s="43">
        <v>0</v>
      </c>
      <c r="BF18" s="43">
        <v>-2.6</v>
      </c>
      <c r="BG18" s="43">
        <v>18.680900000000001</v>
      </c>
      <c r="BH18" s="43">
        <v>-2.6</v>
      </c>
      <c r="BI18" s="43">
        <v>7.5693000000000001</v>
      </c>
      <c r="BJ18" s="43">
        <v>0</v>
      </c>
      <c r="BK18" s="53">
        <v>1.0999999999999999E-2</v>
      </c>
      <c r="BL18" s="53">
        <v>25.6</v>
      </c>
      <c r="BM18" s="43">
        <v>2</v>
      </c>
      <c r="BN18" s="34" t="s">
        <v>89</v>
      </c>
      <c r="BO18" s="34" t="s">
        <v>89</v>
      </c>
      <c r="BP18" s="34" t="s">
        <v>89</v>
      </c>
      <c r="BQ18" s="34" t="s">
        <v>89</v>
      </c>
      <c r="BR18" s="34" t="s">
        <v>89</v>
      </c>
      <c r="BS18" s="34" t="s">
        <v>89</v>
      </c>
      <c r="BT18" s="34" t="s">
        <v>89</v>
      </c>
      <c r="BU18" s="34" t="s">
        <v>89</v>
      </c>
      <c r="BV18" s="34" t="s">
        <v>89</v>
      </c>
      <c r="BW18" s="34" t="s">
        <v>89</v>
      </c>
      <c r="BX18" s="34" t="s">
        <v>89</v>
      </c>
      <c r="BY18" s="34" t="s">
        <v>89</v>
      </c>
      <c r="BZ18" s="34" t="s">
        <v>89</v>
      </c>
      <c r="CA18" s="34" t="s">
        <v>89</v>
      </c>
      <c r="CB18" s="34" t="s">
        <v>89</v>
      </c>
      <c r="CC18" s="34" t="s">
        <v>89</v>
      </c>
      <c r="CD18" s="34" t="s">
        <v>89</v>
      </c>
      <c r="CE18" s="43">
        <v>-1.0892867951609601E-2</v>
      </c>
      <c r="CF18" s="43">
        <v>1</v>
      </c>
      <c r="CG18" s="43">
        <v>5.4611994240000001</v>
      </c>
      <c r="CH18" s="43">
        <v>7.5693000000000001</v>
      </c>
      <c r="CI18" s="43">
        <v>-220</v>
      </c>
      <c r="CJ18" s="43">
        <v>-4.9172069166297003</v>
      </c>
      <c r="CK18" s="43">
        <v>0.16575928043104901</v>
      </c>
      <c r="CL18" s="43">
        <v>0</v>
      </c>
      <c r="CM18" s="43">
        <v>3191</v>
      </c>
      <c r="CN18" s="43">
        <v>3668</v>
      </c>
      <c r="CO18" s="43">
        <v>-717.3</v>
      </c>
      <c r="CP18" s="43">
        <v>-38.799999999999997</v>
      </c>
      <c r="CQ18" s="43">
        <v>24.847999999999999</v>
      </c>
      <c r="CR18" s="43">
        <v>-765968.03941798396</v>
      </c>
      <c r="CS18" s="43">
        <v>1</v>
      </c>
      <c r="CT18" s="43">
        <v>1</v>
      </c>
      <c r="CU18" s="43">
        <v>1</v>
      </c>
      <c r="CV18" s="46" t="s">
        <v>89</v>
      </c>
      <c r="CW18" s="34"/>
      <c r="CX18" s="35"/>
    </row>
    <row r="19" spans="1:102" ht="15" customHeight="1" x14ac:dyDescent="0.25">
      <c r="A19" s="33">
        <v>16</v>
      </c>
      <c r="B19" s="43" t="s">
        <v>333</v>
      </c>
      <c r="C19" s="43">
        <v>0.90210000000000001</v>
      </c>
      <c r="D19" s="43">
        <v>0.67500000000000004</v>
      </c>
      <c r="E19" s="43" t="s">
        <v>295</v>
      </c>
      <c r="F19" s="43" t="s">
        <v>178</v>
      </c>
      <c r="G19" s="43" t="s">
        <v>334</v>
      </c>
      <c r="H19" s="52" t="s">
        <v>182</v>
      </c>
      <c r="I19" s="43" t="s">
        <v>335</v>
      </c>
      <c r="J19" s="43" t="s">
        <v>336</v>
      </c>
      <c r="K19" s="53" t="s">
        <v>1934</v>
      </c>
      <c r="L19" s="43" t="s">
        <v>231</v>
      </c>
      <c r="M19" s="43" t="s">
        <v>209</v>
      </c>
      <c r="N19" s="43" t="s">
        <v>337</v>
      </c>
      <c r="O19" s="43" t="s">
        <v>338</v>
      </c>
      <c r="P19" s="43" t="s">
        <v>339</v>
      </c>
      <c r="Q19" s="43" t="s">
        <v>340</v>
      </c>
      <c r="R19" s="43" t="s">
        <v>341</v>
      </c>
      <c r="S19" s="43">
        <v>106.07299999999999</v>
      </c>
      <c r="T19" s="43">
        <v>-152.05099999999999</v>
      </c>
      <c r="U19" s="43">
        <v>20.0868</v>
      </c>
      <c r="V19" s="43">
        <v>15.917</v>
      </c>
      <c r="W19" s="43">
        <v>0</v>
      </c>
      <c r="X19" s="43">
        <v>1</v>
      </c>
      <c r="Y19" s="43">
        <v>0.189</v>
      </c>
      <c r="Z19" s="43">
        <v>2.9000000000000001E-2</v>
      </c>
      <c r="AA19" s="43">
        <v>6857.12</v>
      </c>
      <c r="AB19" s="43">
        <v>0.41799999999999998</v>
      </c>
      <c r="AC19" s="43">
        <v>2799.8760000000002</v>
      </c>
      <c r="AD19" s="43">
        <v>0.3</v>
      </c>
      <c r="AE19" s="43">
        <v>0.999</v>
      </c>
      <c r="AF19" s="43">
        <v>0</v>
      </c>
      <c r="AG19" s="43">
        <v>12.026</v>
      </c>
      <c r="AH19" s="43">
        <v>3.8929999999999998</v>
      </c>
      <c r="AI19" s="43">
        <v>136.34100000000001</v>
      </c>
      <c r="AJ19" s="43" t="s">
        <v>1409</v>
      </c>
      <c r="AK19" s="43">
        <v>1</v>
      </c>
      <c r="AL19" s="43">
        <v>1</v>
      </c>
      <c r="AM19" s="43">
        <v>0</v>
      </c>
      <c r="AN19" s="43">
        <v>0</v>
      </c>
      <c r="AO19" s="43">
        <v>0</v>
      </c>
      <c r="AP19" s="43">
        <v>0</v>
      </c>
      <c r="AQ19" s="68" t="s">
        <v>1794</v>
      </c>
      <c r="AR19" s="43" t="s">
        <v>342</v>
      </c>
      <c r="AS19" s="43">
        <v>3317</v>
      </c>
      <c r="AT19" s="43">
        <v>-23.265999999999998</v>
      </c>
      <c r="AU19" s="69">
        <v>1118</v>
      </c>
      <c r="AV19" s="69">
        <v>-194.19</v>
      </c>
      <c r="AW19" s="69">
        <v>8419.6921999999995</v>
      </c>
      <c r="AX19" s="43">
        <v>0.63480000000000003</v>
      </c>
      <c r="AY19" s="69">
        <v>1118</v>
      </c>
      <c r="AZ19" s="69">
        <v>-194.19</v>
      </c>
      <c r="BA19" s="69">
        <v>8419.6921999999995</v>
      </c>
      <c r="BB19" s="43">
        <v>0.63480000000000003</v>
      </c>
      <c r="BC19" s="43">
        <v>1</v>
      </c>
      <c r="BD19" s="43">
        <v>1</v>
      </c>
      <c r="BE19" s="43">
        <v>0</v>
      </c>
      <c r="BF19" s="53" t="s">
        <v>1914</v>
      </c>
      <c r="BG19" s="43">
        <v>18.243400000000001</v>
      </c>
      <c r="BH19" s="53" t="s">
        <v>1914</v>
      </c>
      <c r="BI19" s="43">
        <v>18.215199999999999</v>
      </c>
      <c r="BJ19" s="43">
        <v>1</v>
      </c>
      <c r="BK19" s="53">
        <v>1.2E-2</v>
      </c>
      <c r="BL19" s="53">
        <v>26.8</v>
      </c>
      <c r="BM19" s="43">
        <v>2</v>
      </c>
      <c r="BN19" s="34" t="s">
        <v>89</v>
      </c>
      <c r="BO19" s="34" t="s">
        <v>89</v>
      </c>
      <c r="BP19" s="34" t="s">
        <v>89</v>
      </c>
      <c r="BQ19" s="34" t="s">
        <v>89</v>
      </c>
      <c r="BR19" s="34" t="s">
        <v>89</v>
      </c>
      <c r="BS19" s="34" t="s">
        <v>89</v>
      </c>
      <c r="BT19" s="34" t="s">
        <v>89</v>
      </c>
      <c r="BU19" s="34" t="s">
        <v>89</v>
      </c>
      <c r="BV19" s="34" t="s">
        <v>89</v>
      </c>
      <c r="BW19" s="34" t="s">
        <v>89</v>
      </c>
      <c r="BX19" s="34" t="s">
        <v>89</v>
      </c>
      <c r="BY19" s="34" t="s">
        <v>89</v>
      </c>
      <c r="BZ19" s="34" t="s">
        <v>89</v>
      </c>
      <c r="CA19" s="34" t="s">
        <v>89</v>
      </c>
      <c r="CB19" s="34" t="s">
        <v>89</v>
      </c>
      <c r="CC19" s="34" t="s">
        <v>89</v>
      </c>
      <c r="CD19" s="34" t="s">
        <v>89</v>
      </c>
      <c r="CE19" s="43">
        <v>-6.10682645616097E-2</v>
      </c>
      <c r="CF19" s="43">
        <v>0.13449831282151001</v>
      </c>
      <c r="CG19" s="43">
        <v>0</v>
      </c>
      <c r="CH19" s="43">
        <v>0</v>
      </c>
      <c r="CI19" s="43">
        <v>-154.578</v>
      </c>
      <c r="CJ19" s="43">
        <v>4.4544365810824802</v>
      </c>
      <c r="CK19" s="43">
        <v>2.2600928620555001</v>
      </c>
      <c r="CL19" s="43">
        <v>0</v>
      </c>
      <c r="CM19" s="43">
        <v>14714</v>
      </c>
      <c r="CN19" s="43">
        <v>3317</v>
      </c>
      <c r="CO19" s="43">
        <v>1118</v>
      </c>
      <c r="CP19" s="43">
        <v>-194.19</v>
      </c>
      <c r="CQ19" s="43">
        <v>18.719000000000001</v>
      </c>
      <c r="CR19" s="43">
        <v>-1037189.12475507</v>
      </c>
      <c r="CS19" s="43">
        <v>1</v>
      </c>
      <c r="CT19" s="43">
        <v>0.64998449999999997</v>
      </c>
      <c r="CU19" s="43">
        <v>1</v>
      </c>
      <c r="CV19" s="46" t="s">
        <v>89</v>
      </c>
      <c r="CW19" s="34"/>
      <c r="CX19" s="35"/>
    </row>
    <row r="20" spans="1:102" ht="15" customHeight="1" x14ac:dyDescent="0.25">
      <c r="A20" s="33">
        <v>17</v>
      </c>
      <c r="B20" s="43" t="s">
        <v>343</v>
      </c>
      <c r="C20" s="43">
        <v>0.71220000000000006</v>
      </c>
      <c r="D20" s="43">
        <v>0.65100000000000002</v>
      </c>
      <c r="E20" s="43" t="s">
        <v>191</v>
      </c>
      <c r="F20" s="43" t="s">
        <v>236</v>
      </c>
      <c r="G20" s="43" t="s">
        <v>344</v>
      </c>
      <c r="H20" s="51" t="s">
        <v>186</v>
      </c>
      <c r="I20" s="43" t="s">
        <v>345</v>
      </c>
      <c r="J20" s="43" t="s">
        <v>346</v>
      </c>
      <c r="K20" s="53" t="s">
        <v>1935</v>
      </c>
      <c r="L20" s="43" t="s">
        <v>247</v>
      </c>
      <c r="M20" s="43" t="s">
        <v>261</v>
      </c>
      <c r="N20" s="43" t="s">
        <v>347</v>
      </c>
      <c r="O20" s="43" t="s">
        <v>348</v>
      </c>
      <c r="P20" s="43" t="s">
        <v>349</v>
      </c>
      <c r="Q20" s="43" t="s">
        <v>350</v>
      </c>
      <c r="R20" s="43" t="s">
        <v>203</v>
      </c>
      <c r="S20" s="43">
        <v>205.821</v>
      </c>
      <c r="T20" s="43">
        <v>-51.11</v>
      </c>
      <c r="U20" s="43">
        <v>13.3757</v>
      </c>
      <c r="V20" s="43">
        <v>-24.161999999999999</v>
      </c>
      <c r="W20" s="43">
        <v>0</v>
      </c>
      <c r="X20" s="43">
        <v>0</v>
      </c>
      <c r="Y20" s="43">
        <v>0.16700000000000001</v>
      </c>
      <c r="Z20" s="43">
        <v>4.3999999999999997E-2</v>
      </c>
      <c r="AA20" s="43">
        <v>3678.45</v>
      </c>
      <c r="AB20" s="43">
        <v>0.42399999999999999</v>
      </c>
      <c r="AC20" s="43">
        <v>7603.6019999999999</v>
      </c>
      <c r="AD20" s="43">
        <v>0.39500000000000002</v>
      </c>
      <c r="AE20" s="43">
        <v>0.99</v>
      </c>
      <c r="AF20" s="43">
        <v>1</v>
      </c>
      <c r="AG20" s="43">
        <v>24.521000000000001</v>
      </c>
      <c r="AH20" s="43">
        <v>45.378</v>
      </c>
      <c r="AI20" s="43">
        <v>59.731999999999999</v>
      </c>
      <c r="AJ20" s="43" t="s">
        <v>1410</v>
      </c>
      <c r="AK20" s="43">
        <v>1</v>
      </c>
      <c r="AL20" s="43">
        <v>1</v>
      </c>
      <c r="AM20" s="43">
        <v>0</v>
      </c>
      <c r="AN20" s="43">
        <v>1</v>
      </c>
      <c r="AO20" s="43">
        <v>0</v>
      </c>
      <c r="AP20" s="43">
        <v>0</v>
      </c>
      <c r="AQ20" s="43" t="s">
        <v>351</v>
      </c>
      <c r="AR20" s="43" t="s">
        <v>1482</v>
      </c>
      <c r="AS20" s="43">
        <v>3803</v>
      </c>
      <c r="AT20" s="43">
        <v>-20.186</v>
      </c>
      <c r="AU20" s="69">
        <v>-38.799999999999997</v>
      </c>
      <c r="AV20" s="69">
        <v>-194.19</v>
      </c>
      <c r="AW20" s="69">
        <v>12079.872300000001</v>
      </c>
      <c r="AX20" s="43">
        <v>0.29820000000000002</v>
      </c>
      <c r="AY20" s="69">
        <v>-38.799999999999997</v>
      </c>
      <c r="AZ20" s="69">
        <v>-194.19</v>
      </c>
      <c r="BA20" s="69">
        <v>12079.872300000001</v>
      </c>
      <c r="BB20" s="43">
        <v>0.29820000000000002</v>
      </c>
      <c r="BC20" s="43">
        <v>1</v>
      </c>
      <c r="BD20" s="43">
        <v>1</v>
      </c>
      <c r="BE20" s="43">
        <v>0</v>
      </c>
      <c r="BF20" s="43">
        <v>-4.5</v>
      </c>
      <c r="BG20" s="43">
        <v>8.9556000000000004</v>
      </c>
      <c r="BH20" s="43">
        <v>-4.5</v>
      </c>
      <c r="BI20" s="43">
        <v>30.1203</v>
      </c>
      <c r="BJ20" s="43">
        <v>0</v>
      </c>
      <c r="BK20" s="53">
        <v>1.2999999999999999E-2</v>
      </c>
      <c r="BL20" s="53">
        <v>28</v>
      </c>
      <c r="BM20" s="43">
        <v>2</v>
      </c>
      <c r="BN20" s="34" t="s">
        <v>89</v>
      </c>
      <c r="BO20" s="34" t="s">
        <v>89</v>
      </c>
      <c r="BP20" s="34" t="s">
        <v>89</v>
      </c>
      <c r="BQ20" s="34" t="s">
        <v>89</v>
      </c>
      <c r="BR20" s="34" t="s">
        <v>89</v>
      </c>
      <c r="BS20" s="34" t="s">
        <v>89</v>
      </c>
      <c r="BT20" s="34" t="s">
        <v>89</v>
      </c>
      <c r="BU20" s="34" t="s">
        <v>89</v>
      </c>
      <c r="BV20" s="34" t="s">
        <v>89</v>
      </c>
      <c r="BW20" s="34" t="s">
        <v>89</v>
      </c>
      <c r="BX20" s="34" t="s">
        <v>89</v>
      </c>
      <c r="BY20" s="34" t="s">
        <v>89</v>
      </c>
      <c r="BZ20" s="34" t="s">
        <v>89</v>
      </c>
      <c r="CA20" s="34" t="s">
        <v>89</v>
      </c>
      <c r="CB20" s="34" t="s">
        <v>89</v>
      </c>
      <c r="CC20" s="34" t="s">
        <v>89</v>
      </c>
      <c r="CD20" s="34" t="s">
        <v>89</v>
      </c>
      <c r="CE20" s="43">
        <v>-5.3296367075128197</v>
      </c>
      <c r="CF20" s="43">
        <v>1</v>
      </c>
      <c r="CG20" s="43">
        <v>0</v>
      </c>
      <c r="CH20" s="43">
        <v>0</v>
      </c>
      <c r="CI20" s="43">
        <v>-87.221000000000004</v>
      </c>
      <c r="CJ20" s="43">
        <v>-2.6840546557068299</v>
      </c>
      <c r="CK20" s="43">
        <v>-4.1591285872377703</v>
      </c>
      <c r="CL20" s="43">
        <v>0</v>
      </c>
      <c r="CM20" s="43">
        <v>14800</v>
      </c>
      <c r="CN20" s="43">
        <v>3803</v>
      </c>
      <c r="CO20" s="43">
        <v>-38.799999999999997</v>
      </c>
      <c r="CP20" s="43">
        <v>-194.19</v>
      </c>
      <c r="CQ20" s="43">
        <v>16.41</v>
      </c>
      <c r="CR20" s="43">
        <v>-699521.37455561396</v>
      </c>
      <c r="CS20" s="43">
        <v>0</v>
      </c>
      <c r="CT20" s="43">
        <v>1</v>
      </c>
      <c r="CU20" s="43">
        <v>1</v>
      </c>
      <c r="CV20" s="46" t="s">
        <v>89</v>
      </c>
      <c r="CW20" s="34"/>
      <c r="CX20" s="35"/>
    </row>
    <row r="21" spans="1:102" ht="15" customHeight="1" x14ac:dyDescent="0.25">
      <c r="A21" s="33">
        <v>18</v>
      </c>
      <c r="B21" s="43" t="s">
        <v>1878</v>
      </c>
      <c r="C21" s="43">
        <v>0.67620000000000002</v>
      </c>
      <c r="D21" s="43">
        <v>0.308</v>
      </c>
      <c r="E21" s="43" t="s">
        <v>153</v>
      </c>
      <c r="F21" s="43" t="s">
        <v>252</v>
      </c>
      <c r="G21" s="43" t="s">
        <v>352</v>
      </c>
      <c r="H21" s="51" t="s">
        <v>98</v>
      </c>
      <c r="I21" s="43" t="s">
        <v>353</v>
      </c>
      <c r="J21" s="43" t="s">
        <v>354</v>
      </c>
      <c r="K21" s="69" t="s">
        <v>1936</v>
      </c>
      <c r="L21" s="43" t="s">
        <v>210</v>
      </c>
      <c r="M21" s="43" t="s">
        <v>275</v>
      </c>
      <c r="N21" s="43" t="s">
        <v>355</v>
      </c>
      <c r="O21" s="43" t="s">
        <v>356</v>
      </c>
      <c r="P21" s="43" t="s">
        <v>357</v>
      </c>
      <c r="Q21" s="43" t="s">
        <v>358</v>
      </c>
      <c r="R21" s="43" t="s">
        <v>165</v>
      </c>
      <c r="S21" s="43">
        <v>-69.093999999999994</v>
      </c>
      <c r="T21" s="43">
        <v>76.534000000000006</v>
      </c>
      <c r="U21" s="43">
        <v>10.958500000000001</v>
      </c>
      <c r="V21" s="43">
        <v>30.77</v>
      </c>
      <c r="W21" s="43">
        <v>1</v>
      </c>
      <c r="X21" s="43">
        <v>1</v>
      </c>
      <c r="Y21" s="43">
        <v>8.4000000000000005E-2</v>
      </c>
      <c r="Z21" s="43">
        <v>0.105</v>
      </c>
      <c r="AA21" s="43">
        <v>2757.2530000000002</v>
      </c>
      <c r="AB21" s="43">
        <v>0.34699999999999998</v>
      </c>
      <c r="AC21" s="43">
        <v>7944.7120000000004</v>
      </c>
      <c r="AD21" s="43">
        <v>0.47099999999999997</v>
      </c>
      <c r="AE21" s="43">
        <v>0.95199999999999996</v>
      </c>
      <c r="AF21" s="43">
        <v>0</v>
      </c>
      <c r="AG21" s="43">
        <v>20.533999999999999</v>
      </c>
      <c r="AH21" s="43">
        <v>103.652</v>
      </c>
      <c r="AI21" s="43">
        <v>1.6220000000000001</v>
      </c>
      <c r="AJ21" s="43" t="s">
        <v>1411</v>
      </c>
      <c r="AK21" s="43">
        <v>1</v>
      </c>
      <c r="AL21" s="43">
        <v>0</v>
      </c>
      <c r="AM21" s="43">
        <v>1</v>
      </c>
      <c r="AN21" s="43">
        <v>1</v>
      </c>
      <c r="AO21" s="43">
        <v>1</v>
      </c>
      <c r="AP21" s="43">
        <v>1</v>
      </c>
      <c r="AQ21" s="43" t="s">
        <v>359</v>
      </c>
      <c r="AR21" s="43" t="s">
        <v>360</v>
      </c>
      <c r="AS21" s="43">
        <v>4003</v>
      </c>
      <c r="AT21" s="43">
        <v>-22.222999999999999</v>
      </c>
      <c r="AU21" s="69">
        <v>-657.1</v>
      </c>
      <c r="AV21" s="69">
        <v>20.7</v>
      </c>
      <c r="AW21" s="69">
        <v>47476.584799999997</v>
      </c>
      <c r="AX21" s="43">
        <v>0.33350000000000002</v>
      </c>
      <c r="AY21" s="69">
        <v>-657.1</v>
      </c>
      <c r="AZ21" s="69">
        <v>20.7</v>
      </c>
      <c r="BA21" s="69">
        <v>47476.584799999997</v>
      </c>
      <c r="BB21" s="43">
        <v>0.33350000000000002</v>
      </c>
      <c r="BC21" s="43">
        <v>1</v>
      </c>
      <c r="BD21" s="43">
        <v>1</v>
      </c>
      <c r="BE21" s="43">
        <v>0</v>
      </c>
      <c r="BF21" s="43">
        <v>-6.6</v>
      </c>
      <c r="BG21" s="43">
        <v>1.8734999999999999</v>
      </c>
      <c r="BH21" s="43">
        <v>-6.6</v>
      </c>
      <c r="BI21" s="43">
        <v>6.4654999999999996</v>
      </c>
      <c r="BJ21" s="43">
        <v>1</v>
      </c>
      <c r="BK21" s="53">
        <v>1.4E-2</v>
      </c>
      <c r="BL21" s="53">
        <v>29.2</v>
      </c>
      <c r="BM21" s="43">
        <v>2</v>
      </c>
      <c r="BN21" s="34" t="s">
        <v>89</v>
      </c>
      <c r="BO21" s="34" t="s">
        <v>89</v>
      </c>
      <c r="BP21" s="34" t="s">
        <v>89</v>
      </c>
      <c r="BQ21" s="34" t="s">
        <v>89</v>
      </c>
      <c r="BR21" s="34" t="s">
        <v>89</v>
      </c>
      <c r="BS21" s="34" t="s">
        <v>89</v>
      </c>
      <c r="BT21" s="34" t="s">
        <v>89</v>
      </c>
      <c r="BU21" s="34" t="s">
        <v>89</v>
      </c>
      <c r="BV21" s="34" t="s">
        <v>89</v>
      </c>
      <c r="BW21" s="34" t="s">
        <v>89</v>
      </c>
      <c r="BX21" s="34" t="s">
        <v>89</v>
      </c>
      <c r="BY21" s="34" t="s">
        <v>89</v>
      </c>
      <c r="BZ21" s="34" t="s">
        <v>89</v>
      </c>
      <c r="CA21" s="34" t="s">
        <v>89</v>
      </c>
      <c r="CB21" s="34" t="s">
        <v>89</v>
      </c>
      <c r="CC21" s="34" t="s">
        <v>89</v>
      </c>
      <c r="CD21" s="34" t="s">
        <v>89</v>
      </c>
      <c r="CE21" s="43">
        <v>1</v>
      </c>
      <c r="CF21" s="43">
        <v>1</v>
      </c>
      <c r="CG21" s="43">
        <v>0</v>
      </c>
      <c r="CH21" s="43">
        <v>0</v>
      </c>
      <c r="CI21" s="43">
        <v>-10.285</v>
      </c>
      <c r="CJ21" s="43">
        <v>27.504999999999999</v>
      </c>
      <c r="CK21" s="43">
        <v>-9.8520000000000003</v>
      </c>
      <c r="CL21" s="43">
        <v>0</v>
      </c>
      <c r="CM21" s="43">
        <v>36230</v>
      </c>
      <c r="CN21" s="43">
        <v>4003</v>
      </c>
      <c r="CO21" s="43">
        <v>-657.1</v>
      </c>
      <c r="CP21" s="43">
        <v>20.7</v>
      </c>
      <c r="CQ21" s="43">
        <v>16.638000000000002</v>
      </c>
      <c r="CR21" s="43">
        <v>327538.63526056003</v>
      </c>
      <c r="CS21" s="43">
        <v>2.3433749999999501E-3</v>
      </c>
      <c r="CT21" s="43">
        <v>0</v>
      </c>
      <c r="CU21" s="43">
        <v>1</v>
      </c>
      <c r="CV21" s="46" t="s">
        <v>89</v>
      </c>
      <c r="CW21" s="34"/>
      <c r="CX21" s="35"/>
    </row>
    <row r="22" spans="1:102" ht="15" customHeight="1" x14ac:dyDescent="0.25">
      <c r="A22" s="33">
        <v>19</v>
      </c>
      <c r="B22" s="43" t="s">
        <v>361</v>
      </c>
      <c r="C22" s="43">
        <v>0.3851</v>
      </c>
      <c r="D22" s="43">
        <v>0.82099999999999995</v>
      </c>
      <c r="E22" s="43" t="s">
        <v>167</v>
      </c>
      <c r="F22" s="43" t="s">
        <v>215</v>
      </c>
      <c r="G22" s="43" t="s">
        <v>362</v>
      </c>
      <c r="H22" s="51" t="s">
        <v>363</v>
      </c>
      <c r="I22" s="43" t="s">
        <v>345</v>
      </c>
      <c r="J22" s="43" t="s">
        <v>364</v>
      </c>
      <c r="K22" s="53" t="s">
        <v>1937</v>
      </c>
      <c r="L22" s="43" t="s">
        <v>262</v>
      </c>
      <c r="M22" s="43" t="s">
        <v>289</v>
      </c>
      <c r="N22" s="43" t="s">
        <v>365</v>
      </c>
      <c r="O22" s="43" t="s">
        <v>366</v>
      </c>
      <c r="P22" s="43" t="s">
        <v>367</v>
      </c>
      <c r="Q22" s="43" t="s">
        <v>368</v>
      </c>
      <c r="R22" s="43" t="s">
        <v>179</v>
      </c>
      <c r="S22" s="43">
        <v>-132.81299999999999</v>
      </c>
      <c r="T22" s="43">
        <v>-161.75200000000001</v>
      </c>
      <c r="U22" s="43">
        <v>4.8467000000000002</v>
      </c>
      <c r="V22" s="43">
        <v>11.643000000000001</v>
      </c>
      <c r="W22" s="43">
        <v>1</v>
      </c>
      <c r="X22" s="43">
        <v>0</v>
      </c>
      <c r="Y22" s="43">
        <v>0.158</v>
      </c>
      <c r="Z22" s="43">
        <v>2.3E-2</v>
      </c>
      <c r="AA22" s="43">
        <v>3636.038</v>
      </c>
      <c r="AB22" s="43">
        <v>0.76800000000000002</v>
      </c>
      <c r="AC22" s="43">
        <v>902.40800000000002</v>
      </c>
      <c r="AD22" s="43">
        <v>0.61</v>
      </c>
      <c r="AE22" s="43">
        <v>0.997</v>
      </c>
      <c r="AF22" s="43">
        <v>0</v>
      </c>
      <c r="AG22" s="43">
        <v>24.658999999999999</v>
      </c>
      <c r="AH22" s="43">
        <v>99.349000000000004</v>
      </c>
      <c r="AI22" s="43">
        <v>-126.64100000000001</v>
      </c>
      <c r="AJ22" s="43" t="s">
        <v>1412</v>
      </c>
      <c r="AK22" s="43">
        <v>1</v>
      </c>
      <c r="AL22" s="43">
        <v>2</v>
      </c>
      <c r="AM22" s="43">
        <v>0</v>
      </c>
      <c r="AN22" s="43">
        <v>1</v>
      </c>
      <c r="AO22" s="43">
        <v>0</v>
      </c>
      <c r="AP22" s="43">
        <v>0</v>
      </c>
      <c r="AQ22" s="68" t="s">
        <v>1724</v>
      </c>
      <c r="AR22" s="43" t="s">
        <v>369</v>
      </c>
      <c r="AS22" s="43">
        <v>1231</v>
      </c>
      <c r="AT22" s="43">
        <v>0.441</v>
      </c>
      <c r="AU22" s="69">
        <v>570.70000000000005</v>
      </c>
      <c r="AV22" s="69">
        <v>-340.13</v>
      </c>
      <c r="AW22" s="69">
        <v>3431.3733000000002</v>
      </c>
      <c r="AX22" s="43">
        <v>0.871</v>
      </c>
      <c r="AY22" s="69">
        <v>570.70000000000005</v>
      </c>
      <c r="AZ22" s="69">
        <v>-340.13</v>
      </c>
      <c r="BA22" s="69">
        <v>3431.3733000000002</v>
      </c>
      <c r="BB22" s="43">
        <v>0.871</v>
      </c>
      <c r="BC22" s="43">
        <v>1</v>
      </c>
      <c r="BD22" s="43">
        <v>1</v>
      </c>
      <c r="BE22" s="43">
        <v>0</v>
      </c>
      <c r="BF22" s="43">
        <v>-4.5999999999999996</v>
      </c>
      <c r="BG22" s="43">
        <v>22.118500000000001</v>
      </c>
      <c r="BH22" s="43">
        <v>-7.2</v>
      </c>
      <c r="BI22" s="43">
        <v>13.123699999999999</v>
      </c>
      <c r="BJ22" s="43">
        <v>0</v>
      </c>
      <c r="BK22" s="53">
        <v>1.4999999999999999E-2</v>
      </c>
      <c r="BL22" s="53">
        <v>30.4</v>
      </c>
      <c r="BM22" s="43">
        <v>2</v>
      </c>
      <c r="BN22" s="34" t="s">
        <v>89</v>
      </c>
      <c r="BO22" s="34" t="s">
        <v>89</v>
      </c>
      <c r="BP22" s="34" t="s">
        <v>89</v>
      </c>
      <c r="BQ22" s="34" t="s">
        <v>89</v>
      </c>
      <c r="BR22" s="34" t="s">
        <v>89</v>
      </c>
      <c r="BS22" s="34" t="s">
        <v>89</v>
      </c>
      <c r="BT22" s="34" t="s">
        <v>89</v>
      </c>
      <c r="BU22" s="34" t="s">
        <v>89</v>
      </c>
      <c r="BV22" s="34" t="s">
        <v>89</v>
      </c>
      <c r="BW22" s="34" t="s">
        <v>89</v>
      </c>
      <c r="BX22" s="34" t="s">
        <v>89</v>
      </c>
      <c r="BY22" s="34" t="s">
        <v>89</v>
      </c>
      <c r="BZ22" s="34" t="s">
        <v>89</v>
      </c>
      <c r="CA22" s="34" t="s">
        <v>89</v>
      </c>
      <c r="CB22" s="34" t="s">
        <v>89</v>
      </c>
      <c r="CC22" s="34" t="s">
        <v>89</v>
      </c>
      <c r="CD22" s="34" t="s">
        <v>89</v>
      </c>
      <c r="CE22" s="43">
        <v>-0.17704682585985701</v>
      </c>
      <c r="CF22" s="43">
        <v>4.2413858061425003E-3</v>
      </c>
      <c r="CG22" s="43">
        <v>22.118500000000001</v>
      </c>
      <c r="CH22" s="43">
        <v>13.123699999999999</v>
      </c>
      <c r="CI22" s="43">
        <v>220</v>
      </c>
      <c r="CJ22" s="43">
        <v>-4.1581807787978402</v>
      </c>
      <c r="CK22" s="43">
        <v>2.7495013385768998</v>
      </c>
      <c r="CL22" s="43">
        <v>0</v>
      </c>
      <c r="CM22" s="43">
        <v>36389</v>
      </c>
      <c r="CN22" s="43">
        <v>1231</v>
      </c>
      <c r="CO22" s="43">
        <v>570.70000000000005</v>
      </c>
      <c r="CP22" s="43">
        <v>-340.13</v>
      </c>
      <c r="CQ22" s="43">
        <v>22.353999999999999</v>
      </c>
      <c r="CR22" s="43">
        <v>-1016038.87342676</v>
      </c>
      <c r="CS22" s="43">
        <v>0.31349525</v>
      </c>
      <c r="CT22" s="43">
        <v>0.72280100000000003</v>
      </c>
      <c r="CU22" s="43">
        <v>1</v>
      </c>
      <c r="CV22" s="46" t="s">
        <v>89</v>
      </c>
      <c r="CW22" s="34"/>
      <c r="CX22" s="35"/>
    </row>
    <row r="23" spans="1:102" ht="15" customHeight="1" x14ac:dyDescent="0.25">
      <c r="A23" s="33">
        <v>20</v>
      </c>
      <c r="B23" s="43" t="s">
        <v>370</v>
      </c>
      <c r="C23" s="43">
        <v>0.10630000000000001</v>
      </c>
      <c r="D23" s="43">
        <v>0.317</v>
      </c>
      <c r="E23" s="43" t="s">
        <v>241</v>
      </c>
      <c r="F23" s="43" t="s">
        <v>281</v>
      </c>
      <c r="G23" s="43" t="s">
        <v>371</v>
      </c>
      <c r="H23" s="51" t="s">
        <v>372</v>
      </c>
      <c r="I23" s="43" t="s">
        <v>373</v>
      </c>
      <c r="J23" s="43" t="s">
        <v>374</v>
      </c>
      <c r="K23" s="53" t="s">
        <v>1938</v>
      </c>
      <c r="L23" s="43" t="s">
        <v>375</v>
      </c>
      <c r="M23" s="43" t="s">
        <v>197</v>
      </c>
      <c r="N23" s="43" t="s">
        <v>376</v>
      </c>
      <c r="O23" s="43" t="s">
        <v>377</v>
      </c>
      <c r="P23" s="43" t="s">
        <v>378</v>
      </c>
      <c r="Q23" s="43" t="s">
        <v>379</v>
      </c>
      <c r="R23" s="43" t="s">
        <v>253</v>
      </c>
      <c r="S23" s="43">
        <v>-91.441999999999993</v>
      </c>
      <c r="T23" s="43">
        <v>131.30600000000001</v>
      </c>
      <c r="U23" s="43">
        <v>22.644600000000001</v>
      </c>
      <c r="V23" s="43">
        <v>27.998999999999999</v>
      </c>
      <c r="W23" s="43">
        <v>1</v>
      </c>
      <c r="X23" s="43">
        <v>1</v>
      </c>
      <c r="Y23" s="43">
        <v>0.11799999999999999</v>
      </c>
      <c r="Z23" s="43">
        <v>0.19</v>
      </c>
      <c r="AA23" s="43">
        <v>4450.8509999999997</v>
      </c>
      <c r="AB23" s="43">
        <v>0.248</v>
      </c>
      <c r="AC23" s="43">
        <v>2508.8739999999998</v>
      </c>
      <c r="AD23" s="43">
        <v>0.60299999999999998</v>
      </c>
      <c r="AE23" s="43">
        <v>0.98499999999999999</v>
      </c>
      <c r="AF23" s="43">
        <v>0</v>
      </c>
      <c r="AG23" s="43">
        <v>10.37</v>
      </c>
      <c r="AH23" s="43">
        <v>41.177</v>
      </c>
      <c r="AI23" s="43">
        <v>-41.575000000000003</v>
      </c>
      <c r="AJ23" s="43" t="s">
        <v>1411</v>
      </c>
      <c r="AK23" s="43">
        <v>0</v>
      </c>
      <c r="AL23" s="43">
        <v>0</v>
      </c>
      <c r="AM23" s="43">
        <v>0</v>
      </c>
      <c r="AN23" s="43">
        <v>1</v>
      </c>
      <c r="AO23" s="43">
        <v>0</v>
      </c>
      <c r="AP23" s="43">
        <v>0</v>
      </c>
      <c r="AQ23" s="43" t="s">
        <v>380</v>
      </c>
      <c r="AR23" s="43" t="s">
        <v>381</v>
      </c>
      <c r="AS23" s="43">
        <v>727</v>
      </c>
      <c r="AT23" s="43">
        <v>11.961</v>
      </c>
      <c r="AU23" s="69">
        <v>0</v>
      </c>
      <c r="AV23" s="69">
        <v>22.24</v>
      </c>
      <c r="AW23" s="69">
        <v>13842.4781</v>
      </c>
      <c r="AX23" s="43">
        <v>0.91649999999999998</v>
      </c>
      <c r="AY23" s="69">
        <v>0</v>
      </c>
      <c r="AZ23" s="69">
        <v>22.24</v>
      </c>
      <c r="BA23" s="69">
        <v>13842.4781</v>
      </c>
      <c r="BB23" s="43">
        <v>0.91649999999999998</v>
      </c>
      <c r="BC23" s="43">
        <v>0</v>
      </c>
      <c r="BD23" s="43">
        <v>0</v>
      </c>
      <c r="BE23" s="43">
        <v>0</v>
      </c>
      <c r="BF23" s="43">
        <v>-5.5</v>
      </c>
      <c r="BG23" s="43">
        <v>18.4771</v>
      </c>
      <c r="BH23" s="43">
        <v>-8.1999999999999993</v>
      </c>
      <c r="BI23" s="43">
        <v>26.225300000000001</v>
      </c>
      <c r="BJ23" s="43">
        <v>1</v>
      </c>
      <c r="BK23" s="53">
        <v>1.6E-2</v>
      </c>
      <c r="BL23" s="53">
        <v>31.6</v>
      </c>
      <c r="BM23" s="43">
        <v>2</v>
      </c>
      <c r="BN23" s="34" t="s">
        <v>89</v>
      </c>
      <c r="BO23" s="34" t="s">
        <v>89</v>
      </c>
      <c r="BP23" s="34" t="s">
        <v>89</v>
      </c>
      <c r="BQ23" s="34" t="s">
        <v>89</v>
      </c>
      <c r="BR23" s="34" t="s">
        <v>89</v>
      </c>
      <c r="BS23" s="34" t="s">
        <v>89</v>
      </c>
      <c r="BT23" s="34" t="s">
        <v>89</v>
      </c>
      <c r="BU23" s="34" t="s">
        <v>89</v>
      </c>
      <c r="BV23" s="34" t="s">
        <v>89</v>
      </c>
      <c r="BW23" s="34" t="s">
        <v>89</v>
      </c>
      <c r="BX23" s="34" t="s">
        <v>89</v>
      </c>
      <c r="BY23" s="34" t="s">
        <v>89</v>
      </c>
      <c r="BZ23" s="34" t="s">
        <v>89</v>
      </c>
      <c r="CA23" s="34" t="s">
        <v>89</v>
      </c>
      <c r="CB23" s="34" t="s">
        <v>89</v>
      </c>
      <c r="CC23" s="34" t="s">
        <v>89</v>
      </c>
      <c r="CD23" s="34" t="s">
        <v>89</v>
      </c>
      <c r="CE23" s="43">
        <v>-2.1057357175022999</v>
      </c>
      <c r="CF23" s="43">
        <v>-2.4931511431599001</v>
      </c>
      <c r="CG23" s="43">
        <v>0</v>
      </c>
      <c r="CH23" s="43">
        <v>0</v>
      </c>
      <c r="CI23" s="43">
        <v>-147.988</v>
      </c>
      <c r="CJ23" s="43">
        <v>6.5204805695611503</v>
      </c>
      <c r="CK23" s="43">
        <v>-12.460924821652499</v>
      </c>
      <c r="CL23" s="43">
        <v>64552</v>
      </c>
      <c r="CM23" s="43">
        <v>53542</v>
      </c>
      <c r="CN23" s="43">
        <v>707</v>
      </c>
      <c r="CO23" s="43">
        <v>0</v>
      </c>
      <c r="CP23" s="43">
        <v>22.24</v>
      </c>
      <c r="CQ23" s="43">
        <v>0</v>
      </c>
      <c r="CR23" s="43">
        <v>22.24</v>
      </c>
      <c r="CS23" s="43">
        <v>0</v>
      </c>
      <c r="CT23" s="43">
        <v>0.91660925000000004</v>
      </c>
      <c r="CU23" s="43">
        <v>1</v>
      </c>
      <c r="CV23" s="46" t="s">
        <v>89</v>
      </c>
      <c r="CW23" s="34"/>
      <c r="CX23" s="35"/>
    </row>
    <row r="24" spans="1:102" ht="15" customHeight="1" x14ac:dyDescent="0.25">
      <c r="A24" s="33">
        <v>21</v>
      </c>
      <c r="B24" s="43" t="s">
        <v>382</v>
      </c>
      <c r="C24" s="43">
        <v>0.49590000000000001</v>
      </c>
      <c r="D24" s="43">
        <v>0.82099999999999995</v>
      </c>
      <c r="E24" s="43" t="s">
        <v>167</v>
      </c>
      <c r="F24" s="43" t="s">
        <v>215</v>
      </c>
      <c r="G24" s="43" t="s">
        <v>362</v>
      </c>
      <c r="H24" s="43" t="s">
        <v>383</v>
      </c>
      <c r="I24" s="51" t="s">
        <v>98</v>
      </c>
      <c r="J24" s="43" t="s">
        <v>364</v>
      </c>
      <c r="K24" s="53" t="s">
        <v>1939</v>
      </c>
      <c r="L24" s="43" t="s">
        <v>262</v>
      </c>
      <c r="M24" s="43" t="s">
        <v>289</v>
      </c>
      <c r="N24" s="43" t="s">
        <v>365</v>
      </c>
      <c r="O24" s="43" t="s">
        <v>366</v>
      </c>
      <c r="P24" s="43" t="s">
        <v>367</v>
      </c>
      <c r="Q24" s="43" t="s">
        <v>368</v>
      </c>
      <c r="R24" s="43" t="s">
        <v>179</v>
      </c>
      <c r="S24" s="43">
        <v>-132.81299999999999</v>
      </c>
      <c r="T24" s="43">
        <v>-161.75200000000001</v>
      </c>
      <c r="U24" s="43">
        <v>6.5662000000000003</v>
      </c>
      <c r="V24" s="43">
        <v>11.643000000000001</v>
      </c>
      <c r="W24" s="43">
        <v>1</v>
      </c>
      <c r="X24" s="43">
        <v>0</v>
      </c>
      <c r="Y24" s="43">
        <v>0.158</v>
      </c>
      <c r="Z24" s="43">
        <v>2.3E-2</v>
      </c>
      <c r="AA24" s="43">
        <v>3636.038</v>
      </c>
      <c r="AB24" s="43">
        <v>0.76800000000000002</v>
      </c>
      <c r="AC24" s="43">
        <v>902.40800000000002</v>
      </c>
      <c r="AD24" s="43">
        <v>0.61</v>
      </c>
      <c r="AE24" s="43">
        <v>0.997</v>
      </c>
      <c r="AF24" s="43">
        <v>0</v>
      </c>
      <c r="AG24" s="43">
        <v>24.658999999999999</v>
      </c>
      <c r="AH24" s="43">
        <v>99.349000000000004</v>
      </c>
      <c r="AI24" s="43">
        <v>-126.64100000000001</v>
      </c>
      <c r="AJ24" s="43" t="s">
        <v>1413</v>
      </c>
      <c r="AK24" s="43">
        <v>1</v>
      </c>
      <c r="AL24" s="43">
        <v>2</v>
      </c>
      <c r="AM24" s="43">
        <v>0</v>
      </c>
      <c r="AN24" s="43">
        <v>1</v>
      </c>
      <c r="AO24" s="43">
        <v>0</v>
      </c>
      <c r="AP24" s="43">
        <v>0</v>
      </c>
      <c r="AQ24" s="68" t="s">
        <v>1724</v>
      </c>
      <c r="AR24" s="43" t="s">
        <v>369</v>
      </c>
      <c r="AS24" s="43">
        <v>1231</v>
      </c>
      <c r="AT24" s="43">
        <v>0.441</v>
      </c>
      <c r="AU24" s="69">
        <v>0</v>
      </c>
      <c r="AV24" s="69">
        <v>-43.17</v>
      </c>
      <c r="AW24" s="69">
        <v>46503.7333</v>
      </c>
      <c r="AX24" s="43">
        <v>0.73</v>
      </c>
      <c r="AY24" s="69">
        <v>0</v>
      </c>
      <c r="AZ24" s="69">
        <v>-43.17</v>
      </c>
      <c r="BA24" s="69">
        <v>46503.7333</v>
      </c>
      <c r="BB24" s="43">
        <v>0.73</v>
      </c>
      <c r="BC24" s="43">
        <v>1</v>
      </c>
      <c r="BD24" s="43">
        <v>1</v>
      </c>
      <c r="BE24" s="43">
        <v>0</v>
      </c>
      <c r="BF24" s="43">
        <v>-6.5</v>
      </c>
      <c r="BG24" s="43">
        <v>14.8903</v>
      </c>
      <c r="BH24" s="43">
        <v>-9.1999999999999993</v>
      </c>
      <c r="BI24" s="43">
        <v>29.569500000000001</v>
      </c>
      <c r="BJ24" s="53">
        <v>0</v>
      </c>
      <c r="BK24" s="53">
        <v>1.7000000000000001E-2</v>
      </c>
      <c r="BL24" s="53">
        <v>32.799999999999997</v>
      </c>
      <c r="BM24" s="43">
        <v>2</v>
      </c>
      <c r="BN24" s="34" t="s">
        <v>89</v>
      </c>
      <c r="BO24" s="34" t="s">
        <v>89</v>
      </c>
      <c r="BP24" s="34" t="s">
        <v>89</v>
      </c>
      <c r="BQ24" s="34" t="s">
        <v>89</v>
      </c>
      <c r="BR24" s="34" t="s">
        <v>89</v>
      </c>
      <c r="BS24" s="34" t="s">
        <v>89</v>
      </c>
      <c r="BT24" s="34" t="s">
        <v>89</v>
      </c>
      <c r="BU24" s="34" t="s">
        <v>89</v>
      </c>
      <c r="BV24" s="34" t="s">
        <v>89</v>
      </c>
      <c r="BW24" s="34" t="s">
        <v>89</v>
      </c>
      <c r="BX24" s="34" t="s">
        <v>89</v>
      </c>
      <c r="BY24" s="34" t="s">
        <v>89</v>
      </c>
      <c r="BZ24" s="34" t="s">
        <v>89</v>
      </c>
      <c r="CA24" s="34" t="s">
        <v>89</v>
      </c>
      <c r="CB24" s="34" t="s">
        <v>89</v>
      </c>
      <c r="CC24" s="34" t="s">
        <v>89</v>
      </c>
      <c r="CD24" s="34" t="s">
        <v>89</v>
      </c>
      <c r="CE24" s="43">
        <v>-0.26317579890431803</v>
      </c>
      <c r="CF24" s="43">
        <v>6.3478379772796698E-3</v>
      </c>
      <c r="CG24" s="43">
        <v>6.5662000000000003</v>
      </c>
      <c r="CH24" s="43">
        <v>29.569500000000001</v>
      </c>
      <c r="CI24" s="43">
        <v>220</v>
      </c>
      <c r="CJ24" s="43">
        <v>-1.81267098677913</v>
      </c>
      <c r="CK24" s="43">
        <v>4.6437537503284103</v>
      </c>
      <c r="CL24" s="43">
        <v>0</v>
      </c>
      <c r="CM24" s="43">
        <v>49611</v>
      </c>
      <c r="CN24" s="43">
        <v>1231</v>
      </c>
      <c r="CO24" s="43">
        <v>0</v>
      </c>
      <c r="CP24" s="43">
        <v>-43.17</v>
      </c>
      <c r="CQ24" s="43">
        <v>20.254999999999999</v>
      </c>
      <c r="CR24" s="43">
        <v>-1465508.5154395299</v>
      </c>
      <c r="CS24" s="43">
        <v>0.31349525</v>
      </c>
      <c r="CT24" s="43">
        <v>0.72280100000000003</v>
      </c>
      <c r="CU24" s="43">
        <v>1</v>
      </c>
      <c r="CV24" s="46" t="s">
        <v>89</v>
      </c>
      <c r="CW24" s="34"/>
      <c r="CX24" s="35"/>
    </row>
    <row r="25" spans="1:102" ht="15" customHeight="1" x14ac:dyDescent="0.25">
      <c r="A25" s="33">
        <v>22</v>
      </c>
      <c r="B25" s="43" t="s">
        <v>361</v>
      </c>
      <c r="C25" s="43">
        <v>0.72360000000000002</v>
      </c>
      <c r="D25" s="43">
        <v>0.82099999999999995</v>
      </c>
      <c r="E25" s="43" t="s">
        <v>167</v>
      </c>
      <c r="F25" s="43" t="s">
        <v>215</v>
      </c>
      <c r="G25" s="43" t="s">
        <v>362</v>
      </c>
      <c r="H25" s="43" t="s">
        <v>363</v>
      </c>
      <c r="I25" s="51" t="s">
        <v>185</v>
      </c>
      <c r="J25" s="43" t="s">
        <v>364</v>
      </c>
      <c r="K25" s="53" t="s">
        <v>1940</v>
      </c>
      <c r="L25" s="43" t="s">
        <v>262</v>
      </c>
      <c r="M25" s="43" t="s">
        <v>289</v>
      </c>
      <c r="N25" s="43" t="s">
        <v>365</v>
      </c>
      <c r="O25" s="43" t="s">
        <v>366</v>
      </c>
      <c r="P25" s="43" t="s">
        <v>367</v>
      </c>
      <c r="Q25" s="43" t="s">
        <v>368</v>
      </c>
      <c r="R25" s="43" t="s">
        <v>179</v>
      </c>
      <c r="S25" s="43">
        <v>-132.81299999999999</v>
      </c>
      <c r="T25" s="43">
        <v>-161.75200000000001</v>
      </c>
      <c r="U25" s="43">
        <v>8.9810999999999996</v>
      </c>
      <c r="V25" s="43">
        <v>11.643000000000001</v>
      </c>
      <c r="W25" s="43">
        <v>1</v>
      </c>
      <c r="X25" s="43">
        <v>0</v>
      </c>
      <c r="Y25" s="43">
        <v>0.158</v>
      </c>
      <c r="Z25" s="43">
        <v>2.3E-2</v>
      </c>
      <c r="AA25" s="43">
        <v>3636.038</v>
      </c>
      <c r="AB25" s="43">
        <v>0.76800000000000002</v>
      </c>
      <c r="AC25" s="43">
        <v>902.40800000000002</v>
      </c>
      <c r="AD25" s="43">
        <v>0.61</v>
      </c>
      <c r="AE25" s="43">
        <v>0.997</v>
      </c>
      <c r="AF25" s="43">
        <v>0</v>
      </c>
      <c r="AG25" s="43">
        <v>24.658999999999999</v>
      </c>
      <c r="AH25" s="43">
        <v>99.349000000000004</v>
      </c>
      <c r="AI25" s="43">
        <v>-126.64100000000001</v>
      </c>
      <c r="AJ25" s="43" t="s">
        <v>1414</v>
      </c>
      <c r="AK25" s="43">
        <v>1</v>
      </c>
      <c r="AL25" s="43">
        <v>2</v>
      </c>
      <c r="AM25" s="43">
        <v>0</v>
      </c>
      <c r="AN25" s="43">
        <v>1</v>
      </c>
      <c r="AO25" s="43">
        <v>0</v>
      </c>
      <c r="AP25" s="43">
        <v>0</v>
      </c>
      <c r="AQ25" s="68" t="s">
        <v>1724</v>
      </c>
      <c r="AR25" s="43" t="s">
        <v>369</v>
      </c>
      <c r="AS25" s="43">
        <v>1231</v>
      </c>
      <c r="AT25" s="43">
        <v>0.441</v>
      </c>
      <c r="AU25" s="69">
        <v>-43.17</v>
      </c>
      <c r="AV25" s="69">
        <v>-43.17</v>
      </c>
      <c r="AW25" s="69">
        <v>42029.618900000001</v>
      </c>
      <c r="AX25" s="43">
        <v>0.31640000000000001</v>
      </c>
      <c r="AY25" s="69">
        <v>-43.17</v>
      </c>
      <c r="AZ25" s="69">
        <v>-43.17</v>
      </c>
      <c r="BA25" s="69">
        <v>42029.618900000001</v>
      </c>
      <c r="BB25" s="43">
        <v>0.31640000000000001</v>
      </c>
      <c r="BC25" s="43">
        <v>1</v>
      </c>
      <c r="BD25" s="43">
        <v>1</v>
      </c>
      <c r="BE25" s="43">
        <v>0</v>
      </c>
      <c r="BF25" s="43">
        <v>-7.5</v>
      </c>
      <c r="BG25" s="43">
        <v>12.4398</v>
      </c>
      <c r="BH25" s="43">
        <v>-10.199999999999999</v>
      </c>
      <c r="BI25" s="43">
        <v>2.7431999999999999</v>
      </c>
      <c r="BJ25" s="53">
        <v>1</v>
      </c>
      <c r="BK25" s="53">
        <v>1.7999999999999999E-2</v>
      </c>
      <c r="BL25" s="53">
        <v>34</v>
      </c>
      <c r="BM25" s="43">
        <v>2</v>
      </c>
      <c r="BN25" s="34" t="s">
        <v>89</v>
      </c>
      <c r="BO25" s="34" t="s">
        <v>89</v>
      </c>
      <c r="BP25" s="34" t="s">
        <v>89</v>
      </c>
      <c r="BQ25" s="34" t="s">
        <v>89</v>
      </c>
      <c r="BR25" s="34" t="s">
        <v>89</v>
      </c>
      <c r="BS25" s="34" t="s">
        <v>89</v>
      </c>
      <c r="BT25" s="34" t="s">
        <v>89</v>
      </c>
      <c r="BU25" s="34" t="s">
        <v>89</v>
      </c>
      <c r="BV25" s="34" t="s">
        <v>89</v>
      </c>
      <c r="BW25" s="34" t="s">
        <v>89</v>
      </c>
      <c r="BX25" s="34" t="s">
        <v>89</v>
      </c>
      <c r="BY25" s="34" t="s">
        <v>89</v>
      </c>
      <c r="BZ25" s="34" t="s">
        <v>89</v>
      </c>
      <c r="CA25" s="34" t="s">
        <v>89</v>
      </c>
      <c r="CB25" s="34" t="s">
        <v>89</v>
      </c>
      <c r="CC25" s="34" t="s">
        <v>89</v>
      </c>
      <c r="CD25" s="34" t="s">
        <v>89</v>
      </c>
      <c r="CE25" s="43">
        <v>-0.24094218363372499</v>
      </c>
      <c r="CF25" s="43">
        <v>5.8013094223823601E-3</v>
      </c>
      <c r="CG25" s="43">
        <v>12.4398</v>
      </c>
      <c r="CH25" s="43">
        <v>2.7431999999999999</v>
      </c>
      <c r="CI25" s="43">
        <v>220</v>
      </c>
      <c r="CJ25" s="43">
        <v>-4.2129101430202001</v>
      </c>
      <c r="CK25" s="43">
        <v>2.6648851995606702</v>
      </c>
      <c r="CL25" s="43">
        <v>0</v>
      </c>
      <c r="CM25" s="43">
        <v>36065</v>
      </c>
      <c r="CN25" s="43">
        <v>1231</v>
      </c>
      <c r="CO25" s="43">
        <v>-43.17</v>
      </c>
      <c r="CP25" s="43">
        <v>-43.17</v>
      </c>
      <c r="CQ25" s="43">
        <v>13.085000000000001</v>
      </c>
      <c r="CR25" s="43">
        <v>-574091.57909367303</v>
      </c>
      <c r="CS25" s="43">
        <v>0.31349525</v>
      </c>
      <c r="CT25" s="43">
        <v>0.72280100000000003</v>
      </c>
      <c r="CU25" s="43">
        <v>1</v>
      </c>
      <c r="CV25" s="46" t="s">
        <v>89</v>
      </c>
      <c r="CW25" s="34"/>
      <c r="CX25" s="35"/>
    </row>
    <row r="26" spans="1:102" ht="15" customHeight="1" x14ac:dyDescent="0.25">
      <c r="A26" s="33">
        <v>23</v>
      </c>
      <c r="B26" s="43" t="s">
        <v>384</v>
      </c>
      <c r="C26" s="43">
        <v>3.5099999999999999E-2</v>
      </c>
      <c r="D26" s="43">
        <v>0.317</v>
      </c>
      <c r="E26" s="43" t="s">
        <v>241</v>
      </c>
      <c r="F26" s="43" t="s">
        <v>281</v>
      </c>
      <c r="G26" s="43" t="s">
        <v>371</v>
      </c>
      <c r="H26" s="43" t="s">
        <v>372</v>
      </c>
      <c r="I26" s="51" t="s">
        <v>373</v>
      </c>
      <c r="J26" s="43" t="s">
        <v>374</v>
      </c>
      <c r="K26" s="53" t="s">
        <v>1941</v>
      </c>
      <c r="L26" s="43" t="s">
        <v>375</v>
      </c>
      <c r="M26" s="43" t="s">
        <v>197</v>
      </c>
      <c r="N26" s="43" t="s">
        <v>376</v>
      </c>
      <c r="O26" s="43" t="s">
        <v>377</v>
      </c>
      <c r="P26" s="43" t="s">
        <v>378</v>
      </c>
      <c r="Q26" s="43" t="s">
        <v>379</v>
      </c>
      <c r="R26" s="43" t="s">
        <v>253</v>
      </c>
      <c r="S26" s="43">
        <v>-91.441999999999993</v>
      </c>
      <c r="T26" s="43">
        <v>131.30600000000001</v>
      </c>
      <c r="U26" s="43">
        <v>30.671099999999999</v>
      </c>
      <c r="V26" s="43">
        <v>27.998999999999999</v>
      </c>
      <c r="W26" s="43">
        <v>1</v>
      </c>
      <c r="X26" s="43">
        <v>1</v>
      </c>
      <c r="Y26" s="43">
        <v>0.11799999999999999</v>
      </c>
      <c r="Z26" s="43">
        <v>0.19</v>
      </c>
      <c r="AA26" s="43">
        <v>4450.8509999999997</v>
      </c>
      <c r="AB26" s="43">
        <v>0.248</v>
      </c>
      <c r="AC26" s="43">
        <v>2508.8739999999998</v>
      </c>
      <c r="AD26" s="43">
        <v>0.60299999999999998</v>
      </c>
      <c r="AE26" s="43">
        <v>0.98499999999999999</v>
      </c>
      <c r="AF26" s="43">
        <v>0</v>
      </c>
      <c r="AG26" s="43">
        <v>10.37</v>
      </c>
      <c r="AH26" s="43">
        <v>41.177</v>
      </c>
      <c r="AI26" s="43">
        <v>-41.575000000000003</v>
      </c>
      <c r="AJ26" s="43" t="s">
        <v>1415</v>
      </c>
      <c r="AK26" s="43">
        <v>0</v>
      </c>
      <c r="AL26" s="43">
        <v>0</v>
      </c>
      <c r="AM26" s="43">
        <v>0</v>
      </c>
      <c r="AN26" s="43">
        <v>1</v>
      </c>
      <c r="AO26" s="43">
        <v>0</v>
      </c>
      <c r="AP26" s="43">
        <v>0</v>
      </c>
      <c r="AQ26" s="43" t="s">
        <v>380</v>
      </c>
      <c r="AR26" s="43" t="s">
        <v>381</v>
      </c>
      <c r="AS26" s="43">
        <v>727</v>
      </c>
      <c r="AT26" s="43">
        <v>11.961</v>
      </c>
      <c r="AU26" s="69">
        <v>1118</v>
      </c>
      <c r="AV26" s="69">
        <v>267.12</v>
      </c>
      <c r="AW26" s="69">
        <v>17234.504400000002</v>
      </c>
      <c r="AX26" s="43">
        <v>0.71330000000000005</v>
      </c>
      <c r="AY26" s="69">
        <v>1118</v>
      </c>
      <c r="AZ26" s="69">
        <v>267.12</v>
      </c>
      <c r="BA26" s="69">
        <v>17234.504400000002</v>
      </c>
      <c r="BB26" s="43">
        <v>0.71330000000000005</v>
      </c>
      <c r="BC26" s="43">
        <v>0</v>
      </c>
      <c r="BD26" s="43">
        <v>0</v>
      </c>
      <c r="BE26" s="43">
        <v>0</v>
      </c>
      <c r="BF26" s="43">
        <v>-2.6</v>
      </c>
      <c r="BG26" s="43">
        <v>28.111799999999999</v>
      </c>
      <c r="BH26" s="43">
        <v>-11.2</v>
      </c>
      <c r="BI26" s="43">
        <v>29.1569</v>
      </c>
      <c r="BJ26" s="53">
        <v>0</v>
      </c>
      <c r="BK26" s="53">
        <v>1.9E-2</v>
      </c>
      <c r="BL26" s="53">
        <v>35.200000000000003</v>
      </c>
      <c r="BM26" s="43">
        <v>2</v>
      </c>
      <c r="BN26" s="34" t="s">
        <v>89</v>
      </c>
      <c r="BO26" s="34" t="s">
        <v>89</v>
      </c>
      <c r="BP26" s="34" t="s">
        <v>89</v>
      </c>
      <c r="BQ26" s="34" t="s">
        <v>89</v>
      </c>
      <c r="BR26" s="34" t="s">
        <v>89</v>
      </c>
      <c r="BS26" s="34" t="s">
        <v>89</v>
      </c>
      <c r="BT26" s="34" t="s">
        <v>89</v>
      </c>
      <c r="BU26" s="34" t="s">
        <v>89</v>
      </c>
      <c r="BV26" s="34" t="s">
        <v>89</v>
      </c>
      <c r="BW26" s="34" t="s">
        <v>89</v>
      </c>
      <c r="BX26" s="34" t="s">
        <v>89</v>
      </c>
      <c r="BY26" s="34" t="s">
        <v>89</v>
      </c>
      <c r="BZ26" s="34" t="s">
        <v>89</v>
      </c>
      <c r="CA26" s="34" t="s">
        <v>89</v>
      </c>
      <c r="CB26" s="34" t="s">
        <v>89</v>
      </c>
      <c r="CC26" s="34" t="s">
        <v>89</v>
      </c>
      <c r="CD26" s="34" t="s">
        <v>89</v>
      </c>
      <c r="CE26" s="43">
        <v>-1.2026472734945699</v>
      </c>
      <c r="CF26" s="43">
        <v>-1.5020232714237001</v>
      </c>
      <c r="CG26" s="43">
        <v>0</v>
      </c>
      <c r="CH26" s="43">
        <v>0</v>
      </c>
      <c r="CI26" s="43">
        <v>-147.988</v>
      </c>
      <c r="CJ26" s="43">
        <v>11.639409460456999</v>
      </c>
      <c r="CK26" s="43">
        <v>-22.243422813381201</v>
      </c>
      <c r="CL26" s="43">
        <v>64552</v>
      </c>
      <c r="CM26" s="43">
        <v>58734</v>
      </c>
      <c r="CN26" s="43">
        <v>707</v>
      </c>
      <c r="CO26" s="43">
        <v>1118</v>
      </c>
      <c r="CP26" s="43">
        <v>267.12</v>
      </c>
      <c r="CQ26" s="43">
        <v>1118</v>
      </c>
      <c r="CR26" s="43">
        <v>267.12</v>
      </c>
      <c r="CS26" s="43">
        <v>0</v>
      </c>
      <c r="CT26" s="43">
        <v>0.91660925000000004</v>
      </c>
      <c r="CU26" s="43">
        <v>1</v>
      </c>
      <c r="CV26" s="46" t="s">
        <v>89</v>
      </c>
      <c r="CW26" s="34"/>
      <c r="CX26" s="35"/>
    </row>
    <row r="27" spans="1:102" ht="15" customHeight="1" x14ac:dyDescent="0.25">
      <c r="A27" s="33">
        <v>24</v>
      </c>
      <c r="B27" s="43" t="s">
        <v>385</v>
      </c>
      <c r="C27" s="43">
        <v>0.79410000000000003</v>
      </c>
      <c r="D27" s="43">
        <v>0.64100000000000001</v>
      </c>
      <c r="E27" s="43" t="s">
        <v>386</v>
      </c>
      <c r="F27" s="43" t="s">
        <v>294</v>
      </c>
      <c r="G27" s="43" t="s">
        <v>387</v>
      </c>
      <c r="H27" s="43" t="s">
        <v>388</v>
      </c>
      <c r="I27" s="43" t="s">
        <v>389</v>
      </c>
      <c r="J27" s="52" t="s">
        <v>182</v>
      </c>
      <c r="K27" s="53" t="s">
        <v>1942</v>
      </c>
      <c r="L27" s="43" t="s">
        <v>390</v>
      </c>
      <c r="M27" s="43" t="s">
        <v>159</v>
      </c>
      <c r="N27" s="43" t="s">
        <v>199</v>
      </c>
      <c r="O27" s="43" t="s">
        <v>391</v>
      </c>
      <c r="P27" s="43" t="s">
        <v>392</v>
      </c>
      <c r="Q27" s="43" t="s">
        <v>393</v>
      </c>
      <c r="R27" s="43" t="s">
        <v>216</v>
      </c>
      <c r="S27" s="43">
        <v>171.48599999999999</v>
      </c>
      <c r="T27" s="43">
        <v>19.614999999999998</v>
      </c>
      <c r="U27" s="43">
        <v>16.8354</v>
      </c>
      <c r="V27" s="43">
        <v>4.0449999999999999</v>
      </c>
      <c r="W27" s="43">
        <v>1</v>
      </c>
      <c r="X27" s="43">
        <v>0</v>
      </c>
      <c r="Y27" s="43">
        <v>0.193</v>
      </c>
      <c r="Z27" s="43">
        <v>0.183</v>
      </c>
      <c r="AA27" s="43">
        <v>897.58799999999997</v>
      </c>
      <c r="AB27" s="43">
        <v>0.46400000000000002</v>
      </c>
      <c r="AC27" s="43">
        <v>1232.52</v>
      </c>
      <c r="AD27" s="43">
        <v>0.40899999999999997</v>
      </c>
      <c r="AE27" s="43">
        <v>0.98099999999999998</v>
      </c>
      <c r="AF27" s="43">
        <v>0</v>
      </c>
      <c r="AG27" s="43">
        <v>-20.626000000000001</v>
      </c>
      <c r="AH27" s="43">
        <v>-30.779</v>
      </c>
      <c r="AI27" s="43">
        <v>48.84</v>
      </c>
      <c r="AJ27" s="43" t="s">
        <v>1416</v>
      </c>
      <c r="AK27" s="43">
        <v>0</v>
      </c>
      <c r="AL27" s="43">
        <v>4</v>
      </c>
      <c r="AM27" s="43">
        <v>0</v>
      </c>
      <c r="AN27" s="43">
        <v>0</v>
      </c>
      <c r="AO27" s="43">
        <v>0</v>
      </c>
      <c r="AP27" s="43">
        <v>0</v>
      </c>
      <c r="AQ27" s="68" t="s">
        <v>1795</v>
      </c>
      <c r="AR27" s="43" t="s">
        <v>394</v>
      </c>
      <c r="AS27" s="43">
        <v>3024</v>
      </c>
      <c r="AT27" s="43">
        <v>1.323</v>
      </c>
      <c r="AU27" s="69">
        <v>-717.3</v>
      </c>
      <c r="AV27" s="83">
        <v>267.12</v>
      </c>
      <c r="AW27" s="69">
        <v>20241.715100000001</v>
      </c>
      <c r="AX27" s="43">
        <v>0.22120000000000001</v>
      </c>
      <c r="AY27" s="69">
        <v>-717.3</v>
      </c>
      <c r="AZ27" s="83">
        <v>267.12</v>
      </c>
      <c r="BA27" s="69">
        <v>20241.715100000001</v>
      </c>
      <c r="BB27" s="43">
        <v>0.22120000000000001</v>
      </c>
      <c r="BC27" s="43">
        <v>0</v>
      </c>
      <c r="BD27" s="43">
        <v>0</v>
      </c>
      <c r="BE27" s="43">
        <v>0</v>
      </c>
      <c r="BF27" s="53" t="s">
        <v>1914</v>
      </c>
      <c r="BG27" s="43">
        <v>22.532499999999999</v>
      </c>
      <c r="BH27" s="43">
        <v>-12.2</v>
      </c>
      <c r="BI27" s="43">
        <v>17.755500000000001</v>
      </c>
      <c r="BJ27" s="53">
        <v>1</v>
      </c>
      <c r="BK27" s="53">
        <v>0.02</v>
      </c>
      <c r="BL27" s="53">
        <v>36.4</v>
      </c>
      <c r="BM27" s="43">
        <v>2</v>
      </c>
      <c r="BN27" s="34" t="s">
        <v>89</v>
      </c>
      <c r="BO27" s="34" t="s">
        <v>89</v>
      </c>
      <c r="BP27" s="34" t="s">
        <v>89</v>
      </c>
      <c r="BQ27" s="34" t="s">
        <v>89</v>
      </c>
      <c r="BR27" s="34" t="s">
        <v>89</v>
      </c>
      <c r="BS27" s="34" t="s">
        <v>89</v>
      </c>
      <c r="BT27" s="34" t="s">
        <v>89</v>
      </c>
      <c r="BU27" s="34" t="s">
        <v>89</v>
      </c>
      <c r="BV27" s="34" t="s">
        <v>89</v>
      </c>
      <c r="BW27" s="34" t="s">
        <v>89</v>
      </c>
      <c r="BX27" s="34" t="s">
        <v>89</v>
      </c>
      <c r="BY27" s="34" t="s">
        <v>89</v>
      </c>
      <c r="BZ27" s="34" t="s">
        <v>89</v>
      </c>
      <c r="CA27" s="34" t="s">
        <v>89</v>
      </c>
      <c r="CB27" s="34" t="s">
        <v>89</v>
      </c>
      <c r="CC27" s="34" t="s">
        <v>89</v>
      </c>
      <c r="CD27" s="34" t="s">
        <v>89</v>
      </c>
      <c r="CE27" s="43">
        <v>0.35837664355458698</v>
      </c>
      <c r="CF27" s="43">
        <v>-5.0647220958345901E-3</v>
      </c>
      <c r="CG27" s="43">
        <v>0</v>
      </c>
      <c r="CH27" s="43">
        <v>0</v>
      </c>
      <c r="CI27" s="43">
        <v>-220</v>
      </c>
      <c r="CJ27" s="43">
        <v>-1.5494032098539401</v>
      </c>
      <c r="CK27" s="43">
        <v>16.415689524390899</v>
      </c>
      <c r="CL27" s="43">
        <v>64290</v>
      </c>
      <c r="CM27" s="43">
        <v>22039</v>
      </c>
      <c r="CN27" s="43">
        <v>40</v>
      </c>
      <c r="CO27" s="43">
        <v>-717.3</v>
      </c>
      <c r="CP27" s="43">
        <v>267.12</v>
      </c>
      <c r="CQ27" s="43">
        <v>-717.3</v>
      </c>
      <c r="CR27" s="43">
        <v>267.12</v>
      </c>
      <c r="CS27" s="43">
        <v>0.57619849999999995</v>
      </c>
      <c r="CT27" s="43">
        <v>0.56306500000000004</v>
      </c>
      <c r="CU27" s="43">
        <v>1</v>
      </c>
      <c r="CV27" s="46" t="s">
        <v>89</v>
      </c>
      <c r="CW27" s="34"/>
      <c r="CX27" s="35"/>
    </row>
    <row r="28" spans="1:102" ht="15" customHeight="1" x14ac:dyDescent="0.25">
      <c r="A28" s="33">
        <v>25</v>
      </c>
      <c r="B28" s="43" t="s">
        <v>395</v>
      </c>
      <c r="C28" s="43">
        <v>0.1792</v>
      </c>
      <c r="D28" s="43">
        <v>0.25800000000000001</v>
      </c>
      <c r="E28" s="43" t="s">
        <v>396</v>
      </c>
      <c r="F28" s="43" t="s">
        <v>307</v>
      </c>
      <c r="G28" s="43" t="s">
        <v>397</v>
      </c>
      <c r="H28" s="43" t="s">
        <v>398</v>
      </c>
      <c r="I28" s="43" t="s">
        <v>399</v>
      </c>
      <c r="J28" s="51" t="s">
        <v>186</v>
      </c>
      <c r="K28" s="53" t="s">
        <v>1943</v>
      </c>
      <c r="L28" s="43" t="s">
        <v>401</v>
      </c>
      <c r="M28" s="43" t="s">
        <v>173</v>
      </c>
      <c r="N28" s="43" t="s">
        <v>161</v>
      </c>
      <c r="O28" s="43" t="s">
        <v>402</v>
      </c>
      <c r="P28" s="43" t="s">
        <v>403</v>
      </c>
      <c r="Q28" s="43" t="s">
        <v>265</v>
      </c>
      <c r="R28" s="43" t="s">
        <v>268</v>
      </c>
      <c r="S28" s="43">
        <v>106.07299999999999</v>
      </c>
      <c r="T28" s="43">
        <v>114.532</v>
      </c>
      <c r="U28" s="43">
        <v>5.4291999999999998</v>
      </c>
      <c r="V28" s="43">
        <v>15.087</v>
      </c>
      <c r="W28" s="43">
        <v>0</v>
      </c>
      <c r="X28" s="43">
        <v>0</v>
      </c>
      <c r="Y28" s="43">
        <v>0.17699999999999999</v>
      </c>
      <c r="Z28" s="43">
        <v>7.9000000000000001E-2</v>
      </c>
      <c r="AA28" s="43">
        <v>2048.799</v>
      </c>
      <c r="AB28" s="43">
        <v>0.6</v>
      </c>
      <c r="AC28" s="43">
        <v>3548.886</v>
      </c>
      <c r="AD28" s="43">
        <v>0.9</v>
      </c>
      <c r="AE28" s="43">
        <v>0.95099999999999996</v>
      </c>
      <c r="AF28" s="43">
        <v>0</v>
      </c>
      <c r="AG28" s="43">
        <v>21.003</v>
      </c>
      <c r="AH28" s="43">
        <v>-34.619</v>
      </c>
      <c r="AI28" s="43">
        <v>107.702</v>
      </c>
      <c r="AJ28" s="43" t="s">
        <v>1417</v>
      </c>
      <c r="AK28" s="43">
        <v>1</v>
      </c>
      <c r="AL28" s="43">
        <v>2</v>
      </c>
      <c r="AM28" s="43">
        <v>1</v>
      </c>
      <c r="AN28" s="43">
        <v>0</v>
      </c>
      <c r="AO28" s="43">
        <v>1</v>
      </c>
      <c r="AP28" s="43">
        <v>1</v>
      </c>
      <c r="AQ28" s="68" t="s">
        <v>1725</v>
      </c>
      <c r="AR28" s="43" t="s">
        <v>404</v>
      </c>
      <c r="AS28" s="43">
        <v>4540</v>
      </c>
      <c r="AT28" s="43">
        <v>-9.2639999999999993</v>
      </c>
      <c r="AU28" s="69">
        <v>1118</v>
      </c>
      <c r="AV28" s="69">
        <v>404.9</v>
      </c>
      <c r="AW28" s="69">
        <v>46120.502399999998</v>
      </c>
      <c r="AX28" s="43">
        <v>0.57830000000000004</v>
      </c>
      <c r="AY28" s="69">
        <v>1118</v>
      </c>
      <c r="AZ28" s="69">
        <v>404.9</v>
      </c>
      <c r="BA28" s="69">
        <v>46120.502399999998</v>
      </c>
      <c r="BB28" s="43">
        <v>0.57830000000000004</v>
      </c>
      <c r="BC28" s="43">
        <v>1</v>
      </c>
      <c r="BD28" s="43">
        <v>1</v>
      </c>
      <c r="BE28" s="43">
        <v>0</v>
      </c>
      <c r="BF28" s="43">
        <v>-4.5</v>
      </c>
      <c r="BG28" s="43">
        <v>13.229699999999999</v>
      </c>
      <c r="BH28" s="43">
        <v>-13.2</v>
      </c>
      <c r="BI28" s="43">
        <v>2.3953000000000002</v>
      </c>
      <c r="BJ28" s="43">
        <v>0</v>
      </c>
      <c r="BK28" s="53">
        <v>2.1000000000000001E-2</v>
      </c>
      <c r="BL28" s="53">
        <v>37.6</v>
      </c>
      <c r="BM28" s="43">
        <v>2</v>
      </c>
      <c r="BN28" s="34" t="s">
        <v>89</v>
      </c>
      <c r="BO28" s="34" t="s">
        <v>89</v>
      </c>
      <c r="BP28" s="34" t="s">
        <v>89</v>
      </c>
      <c r="BQ28" s="34" t="s">
        <v>89</v>
      </c>
      <c r="BR28" s="34" t="s">
        <v>89</v>
      </c>
      <c r="BS28" s="34" t="s">
        <v>89</v>
      </c>
      <c r="BT28" s="34" t="s">
        <v>89</v>
      </c>
      <c r="BU28" s="34" t="s">
        <v>89</v>
      </c>
      <c r="BV28" s="34" t="s">
        <v>89</v>
      </c>
      <c r="BW28" s="34" t="s">
        <v>89</v>
      </c>
      <c r="BX28" s="34" t="s">
        <v>89</v>
      </c>
      <c r="BY28" s="34" t="s">
        <v>89</v>
      </c>
      <c r="BZ28" s="34" t="s">
        <v>89</v>
      </c>
      <c r="CA28" s="34" t="s">
        <v>89</v>
      </c>
      <c r="CB28" s="34" t="s">
        <v>89</v>
      </c>
      <c r="CC28" s="34" t="s">
        <v>89</v>
      </c>
      <c r="CD28" s="34" t="s">
        <v>89</v>
      </c>
      <c r="CE28" s="43">
        <v>-0.35621784824374503</v>
      </c>
      <c r="CF28" s="43">
        <v>0.18328227380784601</v>
      </c>
      <c r="CG28" s="43">
        <v>-4.5</v>
      </c>
      <c r="CH28" s="43">
        <v>0.91002850560000004</v>
      </c>
      <c r="CI28" s="43">
        <v>-113.468</v>
      </c>
      <c r="CJ28" s="43">
        <v>1.37957533563166</v>
      </c>
      <c r="CK28" s="43">
        <v>-29.4487034161662</v>
      </c>
      <c r="CL28" s="43">
        <v>0</v>
      </c>
      <c r="CM28" s="43">
        <v>65271</v>
      </c>
      <c r="CN28" s="43">
        <v>4540</v>
      </c>
      <c r="CO28" s="43">
        <v>1118</v>
      </c>
      <c r="CP28" s="43">
        <v>404.9</v>
      </c>
      <c r="CQ28" s="43">
        <v>7.9279999999999999</v>
      </c>
      <c r="CR28" s="43">
        <v>10799936.0233662</v>
      </c>
      <c r="CS28" s="43">
        <v>0.85609987499999995</v>
      </c>
      <c r="CT28" s="43">
        <v>0.45638925000000002</v>
      </c>
      <c r="CU28" s="43">
        <v>1</v>
      </c>
      <c r="CV28" s="46" t="s">
        <v>89</v>
      </c>
      <c r="CW28" s="34"/>
      <c r="CX28" s="35"/>
    </row>
    <row r="29" spans="1:102" ht="15" customHeight="1" x14ac:dyDescent="0.25">
      <c r="A29" s="33">
        <v>26</v>
      </c>
      <c r="B29" s="43" t="s">
        <v>1879</v>
      </c>
      <c r="C29" s="43">
        <v>0.8125</v>
      </c>
      <c r="D29" s="43">
        <v>0.33200000000000002</v>
      </c>
      <c r="E29" s="43" t="s">
        <v>405</v>
      </c>
      <c r="F29" s="43" t="s">
        <v>319</v>
      </c>
      <c r="G29" s="43" t="s">
        <v>406</v>
      </c>
      <c r="H29" s="43" t="s">
        <v>407</v>
      </c>
      <c r="I29" s="43" t="s">
        <v>408</v>
      </c>
      <c r="J29" s="51" t="s">
        <v>98</v>
      </c>
      <c r="K29" s="53" t="s">
        <v>1944</v>
      </c>
      <c r="L29" s="43" t="s">
        <v>409</v>
      </c>
      <c r="M29" s="43" t="s">
        <v>231</v>
      </c>
      <c r="N29" s="43" t="s">
        <v>175</v>
      </c>
      <c r="O29" s="43" t="s">
        <v>410</v>
      </c>
      <c r="P29" s="43" t="s">
        <v>411</v>
      </c>
      <c r="Q29" s="43" t="s">
        <v>279</v>
      </c>
      <c r="R29" s="43" t="s">
        <v>412</v>
      </c>
      <c r="S29" s="43">
        <v>24.613</v>
      </c>
      <c r="T29" s="43">
        <v>34.787999999999997</v>
      </c>
      <c r="U29" s="43">
        <v>26.5946</v>
      </c>
      <c r="V29" s="43">
        <v>-9.2910000000000004</v>
      </c>
      <c r="W29" s="43">
        <v>0</v>
      </c>
      <c r="X29" s="43">
        <v>0</v>
      </c>
      <c r="Y29" s="43">
        <v>6.0999999999999999E-2</v>
      </c>
      <c r="Z29" s="43">
        <v>0.16400000000000001</v>
      </c>
      <c r="AA29" s="43">
        <v>3449.1080000000002</v>
      </c>
      <c r="AB29" s="43">
        <v>0.50900000000000001</v>
      </c>
      <c r="AC29" s="43">
        <v>7870.1</v>
      </c>
      <c r="AD29" s="43">
        <v>0.44700000000000001</v>
      </c>
      <c r="AE29" s="43">
        <v>0.98199999999999998</v>
      </c>
      <c r="AF29" s="43">
        <v>0</v>
      </c>
      <c r="AG29" s="43">
        <v>-13.459</v>
      </c>
      <c r="AH29" s="43">
        <v>177.047</v>
      </c>
      <c r="AI29" s="43">
        <v>5.7240000000000002</v>
      </c>
      <c r="AJ29" s="43" t="s">
        <v>1418</v>
      </c>
      <c r="AK29" s="43">
        <v>0</v>
      </c>
      <c r="AL29" s="43">
        <v>3</v>
      </c>
      <c r="AM29" s="43">
        <v>0</v>
      </c>
      <c r="AN29" s="43">
        <v>1</v>
      </c>
      <c r="AO29" s="43">
        <v>0</v>
      </c>
      <c r="AP29" s="43">
        <v>0</v>
      </c>
      <c r="AQ29" s="43" t="s">
        <v>413</v>
      </c>
      <c r="AR29" s="43" t="s">
        <v>414</v>
      </c>
      <c r="AS29" s="43">
        <v>808</v>
      </c>
      <c r="AT29" s="43">
        <v>12.714</v>
      </c>
      <c r="AU29" s="69">
        <v>-657.13</v>
      </c>
      <c r="AV29" s="69">
        <v>865.32</v>
      </c>
      <c r="AW29" s="69">
        <v>40399.562700000002</v>
      </c>
      <c r="AX29" s="43">
        <v>2.5600000000000001E-2</v>
      </c>
      <c r="AY29" s="69">
        <v>-657.13</v>
      </c>
      <c r="AZ29" s="69">
        <v>865.32</v>
      </c>
      <c r="BA29" s="69">
        <v>40399.562700000002</v>
      </c>
      <c r="BB29" s="43">
        <v>2.5600000000000001E-2</v>
      </c>
      <c r="BC29" s="43">
        <v>0</v>
      </c>
      <c r="BD29" s="43">
        <v>0</v>
      </c>
      <c r="BE29" s="43">
        <v>0</v>
      </c>
      <c r="BF29" s="43">
        <v>-6.6</v>
      </c>
      <c r="BG29" s="43">
        <v>16.1431</v>
      </c>
      <c r="BH29" s="43">
        <v>-14.2</v>
      </c>
      <c r="BI29" s="43">
        <v>17.957100000000001</v>
      </c>
      <c r="BJ29" s="43">
        <v>1</v>
      </c>
      <c r="BK29" s="53">
        <v>2.1999999999999999E-2</v>
      </c>
      <c r="BL29" s="53">
        <v>38.799999999999997</v>
      </c>
      <c r="BM29" s="43">
        <v>2</v>
      </c>
      <c r="BN29" s="34" t="s">
        <v>89</v>
      </c>
      <c r="BO29" s="34" t="s">
        <v>89</v>
      </c>
      <c r="BP29" s="34" t="s">
        <v>89</v>
      </c>
      <c r="BQ29" s="34" t="s">
        <v>89</v>
      </c>
      <c r="BR29" s="34" t="s">
        <v>89</v>
      </c>
      <c r="BS29" s="34" t="s">
        <v>89</v>
      </c>
      <c r="BT29" s="34" t="s">
        <v>89</v>
      </c>
      <c r="BU29" s="34" t="s">
        <v>89</v>
      </c>
      <c r="BV29" s="34" t="s">
        <v>89</v>
      </c>
      <c r="BW29" s="34" t="s">
        <v>89</v>
      </c>
      <c r="BX29" s="34" t="s">
        <v>89</v>
      </c>
      <c r="BY29" s="34" t="s">
        <v>89</v>
      </c>
      <c r="BZ29" s="34" t="s">
        <v>89</v>
      </c>
      <c r="CA29" s="34" t="s">
        <v>89</v>
      </c>
      <c r="CB29" s="34" t="s">
        <v>89</v>
      </c>
      <c r="CC29" s="34" t="s">
        <v>89</v>
      </c>
      <c r="CD29" s="34" t="s">
        <v>89</v>
      </c>
      <c r="CE29" s="43">
        <v>3.7548832813843598</v>
      </c>
      <c r="CF29" s="43">
        <v>-2.3125004328059902</v>
      </c>
      <c r="CG29" s="43">
        <v>0</v>
      </c>
      <c r="CH29" s="43">
        <v>0</v>
      </c>
      <c r="CI29" s="43">
        <v>-206.744</v>
      </c>
      <c r="CJ29" s="43">
        <v>-15.103433138480399</v>
      </c>
      <c r="CK29" s="43">
        <v>9.1640724148083894</v>
      </c>
      <c r="CL29" s="43">
        <v>64356</v>
      </c>
      <c r="CM29" s="43">
        <v>22830</v>
      </c>
      <c r="CN29" s="43">
        <v>1891</v>
      </c>
      <c r="CO29" s="43">
        <v>-657.13</v>
      </c>
      <c r="CP29" s="43">
        <v>865.32</v>
      </c>
      <c r="CQ29" s="43">
        <v>-657.13</v>
      </c>
      <c r="CR29" s="43">
        <v>865.32</v>
      </c>
      <c r="CS29" s="43">
        <v>7.78615E-2</v>
      </c>
      <c r="CT29" s="43">
        <v>1</v>
      </c>
      <c r="CU29" s="43">
        <v>1</v>
      </c>
      <c r="CV29" s="46" t="s">
        <v>89</v>
      </c>
      <c r="CW29" s="34"/>
      <c r="CX29" s="35"/>
    </row>
    <row r="30" spans="1:102" ht="15" customHeight="1" x14ac:dyDescent="0.25">
      <c r="A30" s="33">
        <v>27</v>
      </c>
      <c r="B30" s="43" t="s">
        <v>415</v>
      </c>
      <c r="C30" s="43">
        <v>3.4700000000000002E-2</v>
      </c>
      <c r="D30" s="43">
        <v>0.46</v>
      </c>
      <c r="E30" s="43" t="s">
        <v>416</v>
      </c>
      <c r="F30" s="43" t="s">
        <v>329</v>
      </c>
      <c r="G30" s="43" t="s">
        <v>417</v>
      </c>
      <c r="H30" s="43" t="s">
        <v>418</v>
      </c>
      <c r="I30" s="43" t="s">
        <v>419</v>
      </c>
      <c r="J30" s="52" t="s">
        <v>420</v>
      </c>
      <c r="K30" s="53" t="s">
        <v>1945</v>
      </c>
      <c r="L30" s="43" t="s">
        <v>421</v>
      </c>
      <c r="M30" s="43" t="s">
        <v>247</v>
      </c>
      <c r="N30" s="43" t="s">
        <v>233</v>
      </c>
      <c r="O30" s="43" t="s">
        <v>422</v>
      </c>
      <c r="P30" s="43" t="s">
        <v>423</v>
      </c>
      <c r="Q30" s="43" t="s">
        <v>292</v>
      </c>
      <c r="R30" s="43" t="s">
        <v>311</v>
      </c>
      <c r="S30" s="43">
        <v>-166.035</v>
      </c>
      <c r="T30" s="43">
        <v>91.930999999999997</v>
      </c>
      <c r="U30" s="43">
        <v>18.134599999999999</v>
      </c>
      <c r="V30" s="43">
        <v>21.468</v>
      </c>
      <c r="W30" s="43">
        <v>1</v>
      </c>
      <c r="X30" s="43">
        <v>0</v>
      </c>
      <c r="Y30" s="43">
        <v>7.0999999999999994E-2</v>
      </c>
      <c r="Z30" s="43">
        <v>2E-3</v>
      </c>
      <c r="AA30" s="43">
        <v>876.68499999999995</v>
      </c>
      <c r="AB30" s="43">
        <v>0.25700000000000001</v>
      </c>
      <c r="AC30" s="43">
        <v>2879.569</v>
      </c>
      <c r="AD30" s="43">
        <v>0.93300000000000005</v>
      </c>
      <c r="AE30" s="43">
        <v>0.96</v>
      </c>
      <c r="AF30" s="43">
        <v>1</v>
      </c>
      <c r="AG30" s="43">
        <v>10.731999999999999</v>
      </c>
      <c r="AH30" s="43">
        <v>-9.32</v>
      </c>
      <c r="AI30" s="43">
        <v>59.304000000000002</v>
      </c>
      <c r="AJ30" s="43" t="s">
        <v>1419</v>
      </c>
      <c r="AK30" s="43">
        <v>1</v>
      </c>
      <c r="AL30" s="43">
        <v>4</v>
      </c>
      <c r="AM30" s="43">
        <v>0</v>
      </c>
      <c r="AN30" s="43">
        <v>0</v>
      </c>
      <c r="AO30" s="43">
        <v>0</v>
      </c>
      <c r="AP30" s="43">
        <v>0</v>
      </c>
      <c r="AQ30" s="68" t="s">
        <v>1796</v>
      </c>
      <c r="AR30" s="43" t="s">
        <v>424</v>
      </c>
      <c r="AS30" s="43">
        <v>650</v>
      </c>
      <c r="AT30" s="43">
        <v>3.593</v>
      </c>
      <c r="AU30" s="69">
        <v>-194.19</v>
      </c>
      <c r="AV30" s="69">
        <v>-657.1</v>
      </c>
      <c r="AW30" s="69">
        <v>25640.406999999999</v>
      </c>
      <c r="AX30" s="43">
        <v>0.4</v>
      </c>
      <c r="AY30" s="69">
        <v>-194.19</v>
      </c>
      <c r="AZ30" s="69">
        <v>-657.1</v>
      </c>
      <c r="BA30" s="69">
        <v>25640.406999999999</v>
      </c>
      <c r="BB30" s="43">
        <v>0.4</v>
      </c>
      <c r="BC30" s="43">
        <v>1</v>
      </c>
      <c r="BD30" s="43">
        <v>1</v>
      </c>
      <c r="BE30" s="43">
        <v>0</v>
      </c>
      <c r="BF30" s="43">
        <v>-4.5999999999999996</v>
      </c>
      <c r="BG30" s="43">
        <v>5.4684999999999997</v>
      </c>
      <c r="BH30" s="43">
        <v>-15.2</v>
      </c>
      <c r="BI30" s="43">
        <v>3.0746000000000002</v>
      </c>
      <c r="BJ30" s="43">
        <v>0</v>
      </c>
      <c r="BK30" s="53">
        <v>2.3E-2</v>
      </c>
      <c r="BL30" s="53">
        <v>40</v>
      </c>
      <c r="BM30" s="43">
        <v>2</v>
      </c>
      <c r="BN30" s="34" t="s">
        <v>89</v>
      </c>
      <c r="BO30" s="34" t="s">
        <v>89</v>
      </c>
      <c r="BP30" s="34" t="s">
        <v>89</v>
      </c>
      <c r="BQ30" s="34" t="s">
        <v>89</v>
      </c>
      <c r="BR30" s="34" t="s">
        <v>89</v>
      </c>
      <c r="BS30" s="34" t="s">
        <v>89</v>
      </c>
      <c r="BT30" s="34" t="s">
        <v>89</v>
      </c>
      <c r="BU30" s="34" t="s">
        <v>89</v>
      </c>
      <c r="BV30" s="34" t="s">
        <v>89</v>
      </c>
      <c r="BW30" s="34" t="s">
        <v>89</v>
      </c>
      <c r="BX30" s="34" t="s">
        <v>89</v>
      </c>
      <c r="BY30" s="34" t="s">
        <v>89</v>
      </c>
      <c r="BZ30" s="34" t="s">
        <v>89</v>
      </c>
      <c r="CA30" s="34" t="s">
        <v>89</v>
      </c>
      <c r="CB30" s="34" t="s">
        <v>89</v>
      </c>
      <c r="CC30" s="34" t="s">
        <v>89</v>
      </c>
      <c r="CD30" s="34" t="s">
        <v>89</v>
      </c>
      <c r="CE30" s="43">
        <v>-0.26443386331351698</v>
      </c>
      <c r="CF30" s="43">
        <v>1</v>
      </c>
      <c r="CG30" s="43">
        <v>0</v>
      </c>
      <c r="CH30" s="43">
        <v>0</v>
      </c>
      <c r="CI30" s="43">
        <v>80.293000000000006</v>
      </c>
      <c r="CJ30" s="43">
        <v>0.116538616977045</v>
      </c>
      <c r="CK30" s="43">
        <v>-4.7985850779946704</v>
      </c>
      <c r="CL30" s="43">
        <v>0</v>
      </c>
      <c r="CM30" s="43">
        <v>20401</v>
      </c>
      <c r="CN30" s="43">
        <v>650</v>
      </c>
      <c r="CO30" s="43">
        <v>-194.19</v>
      </c>
      <c r="CP30" s="43">
        <v>-657.1</v>
      </c>
      <c r="CQ30" s="43">
        <v>20.681000000000001</v>
      </c>
      <c r="CR30" s="43">
        <v>-6739393.9794800002</v>
      </c>
      <c r="CS30" s="43">
        <v>0.36658562500000003</v>
      </c>
      <c r="CT30" s="43">
        <v>1</v>
      </c>
      <c r="CU30" s="43">
        <v>1</v>
      </c>
      <c r="CV30" s="46" t="s">
        <v>89</v>
      </c>
      <c r="CW30" s="34"/>
      <c r="CX30" s="35"/>
    </row>
    <row r="31" spans="1:102" ht="15" customHeight="1" x14ac:dyDescent="0.25">
      <c r="A31" s="33">
        <v>28</v>
      </c>
      <c r="B31" s="43" t="s">
        <v>425</v>
      </c>
      <c r="C31" s="43">
        <v>0.89970000000000006</v>
      </c>
      <c r="D31" s="43">
        <v>0.94399999999999995</v>
      </c>
      <c r="E31" s="43" t="s">
        <v>412</v>
      </c>
      <c r="F31" s="43" t="s">
        <v>426</v>
      </c>
      <c r="G31" s="43" t="s">
        <v>427</v>
      </c>
      <c r="H31" s="43" t="s">
        <v>428</v>
      </c>
      <c r="I31" s="43" t="s">
        <v>429</v>
      </c>
      <c r="J31" s="51" t="s">
        <v>430</v>
      </c>
      <c r="K31" s="53" t="s">
        <v>1946</v>
      </c>
      <c r="L31" s="43" t="s">
        <v>431</v>
      </c>
      <c r="M31" s="43" t="s">
        <v>210</v>
      </c>
      <c r="N31" s="43" t="s">
        <v>249</v>
      </c>
      <c r="O31" s="43" t="s">
        <v>432</v>
      </c>
      <c r="P31" s="43" t="s">
        <v>201</v>
      </c>
      <c r="Q31" s="43" t="s">
        <v>305</v>
      </c>
      <c r="R31" s="43" t="s">
        <v>202</v>
      </c>
      <c r="S31" s="43">
        <v>140.28899999999999</v>
      </c>
      <c r="T31" s="43">
        <v>21.475999999999999</v>
      </c>
      <c r="U31" s="43">
        <v>28.968399999999999</v>
      </c>
      <c r="V31" s="43">
        <v>24.893000000000001</v>
      </c>
      <c r="W31" s="43">
        <v>0</v>
      </c>
      <c r="X31" s="43">
        <v>1</v>
      </c>
      <c r="Y31" s="43">
        <v>5.3999999999999999E-2</v>
      </c>
      <c r="Z31" s="43">
        <v>0.112</v>
      </c>
      <c r="AA31" s="43">
        <v>5931.8239999999996</v>
      </c>
      <c r="AB31" s="43">
        <v>0.95099999999999996</v>
      </c>
      <c r="AC31" s="43">
        <v>3685.95</v>
      </c>
      <c r="AD31" s="43">
        <v>0.627</v>
      </c>
      <c r="AE31" s="43">
        <v>0.96099999999999997</v>
      </c>
      <c r="AF31" s="43">
        <v>1</v>
      </c>
      <c r="AG31" s="43">
        <v>2.4550000000000001</v>
      </c>
      <c r="AH31" s="43">
        <v>-161.352</v>
      </c>
      <c r="AI31" s="43">
        <v>20.614999999999998</v>
      </c>
      <c r="AJ31" s="43" t="s">
        <v>1411</v>
      </c>
      <c r="AK31" s="43">
        <v>0</v>
      </c>
      <c r="AL31" s="43">
        <v>1</v>
      </c>
      <c r="AM31" s="43">
        <v>0</v>
      </c>
      <c r="AN31" s="43">
        <v>1</v>
      </c>
      <c r="AO31" s="43">
        <v>0</v>
      </c>
      <c r="AP31" s="43">
        <v>0</v>
      </c>
      <c r="AQ31" s="43" t="s">
        <v>433</v>
      </c>
      <c r="AR31" s="43" t="s">
        <v>434</v>
      </c>
      <c r="AS31" s="43">
        <v>631</v>
      </c>
      <c r="AT31" s="43">
        <v>16.977</v>
      </c>
      <c r="AU31" s="69">
        <v>386.22</v>
      </c>
      <c r="AV31" s="69">
        <v>570.70000000000005</v>
      </c>
      <c r="AW31" s="69">
        <v>35039.040200000003</v>
      </c>
      <c r="AX31" s="43">
        <v>0.58799999999999997</v>
      </c>
      <c r="AY31" s="69">
        <v>386.22</v>
      </c>
      <c r="AZ31" s="69">
        <v>570.70000000000005</v>
      </c>
      <c r="BA31" s="69">
        <v>35039.040200000003</v>
      </c>
      <c r="BB31" s="43">
        <v>0.58799999999999997</v>
      </c>
      <c r="BC31" s="43">
        <v>0</v>
      </c>
      <c r="BD31" s="43">
        <v>0</v>
      </c>
      <c r="BE31" s="43">
        <v>0</v>
      </c>
      <c r="BF31" s="43">
        <v>-5.5</v>
      </c>
      <c r="BG31" s="43">
        <v>14.812200000000001</v>
      </c>
      <c r="BH31" s="43">
        <v>-16.5</v>
      </c>
      <c r="BI31" s="43">
        <v>1.0535000000000001</v>
      </c>
      <c r="BJ31" s="43">
        <v>1</v>
      </c>
      <c r="BK31" s="53">
        <v>2.4E-2</v>
      </c>
      <c r="BL31" s="53">
        <v>41.2</v>
      </c>
      <c r="BM31" s="43">
        <v>2</v>
      </c>
      <c r="BN31" s="34" t="s">
        <v>89</v>
      </c>
      <c r="BO31" s="34" t="s">
        <v>89</v>
      </c>
      <c r="BP31" s="34" t="s">
        <v>89</v>
      </c>
      <c r="BQ31" s="34" t="s">
        <v>89</v>
      </c>
      <c r="BR31" s="34" t="s">
        <v>89</v>
      </c>
      <c r="BS31" s="34" t="s">
        <v>89</v>
      </c>
      <c r="BT31" s="34" t="s">
        <v>89</v>
      </c>
      <c r="BU31" s="34" t="s">
        <v>89</v>
      </c>
      <c r="BV31" s="34" t="s">
        <v>89</v>
      </c>
      <c r="BW31" s="34" t="s">
        <v>89</v>
      </c>
      <c r="BX31" s="34" t="s">
        <v>89</v>
      </c>
      <c r="BY31" s="34" t="s">
        <v>89</v>
      </c>
      <c r="BZ31" s="34" t="s">
        <v>89</v>
      </c>
      <c r="CA31" s="34" t="s">
        <v>89</v>
      </c>
      <c r="CB31" s="34" t="s">
        <v>89</v>
      </c>
      <c r="CC31" s="34" t="s">
        <v>89</v>
      </c>
      <c r="CD31" s="34" t="s">
        <v>89</v>
      </c>
      <c r="CE31" s="43">
        <v>-0.182199582801337</v>
      </c>
      <c r="CF31" s="43">
        <v>1</v>
      </c>
      <c r="CG31" s="43">
        <v>0</v>
      </c>
      <c r="CH31" s="43">
        <v>0</v>
      </c>
      <c r="CI31" s="43">
        <v>-220</v>
      </c>
      <c r="CJ31" s="43">
        <v>-5.7917228481660503</v>
      </c>
      <c r="CK31" s="43">
        <v>-12.438895582445999</v>
      </c>
      <c r="CL31" s="43">
        <v>62980</v>
      </c>
      <c r="CM31" s="43">
        <v>24645</v>
      </c>
      <c r="CN31" s="43">
        <v>125</v>
      </c>
      <c r="CO31" s="43">
        <v>386.22</v>
      </c>
      <c r="CP31" s="43">
        <v>570.70000000000005</v>
      </c>
      <c r="CQ31" s="43">
        <v>386.22</v>
      </c>
      <c r="CR31" s="43">
        <v>570.70000000000005</v>
      </c>
      <c r="CS31" s="43">
        <v>0.20952200000000001</v>
      </c>
      <c r="CT31" s="43">
        <v>1</v>
      </c>
      <c r="CU31" s="43">
        <v>1</v>
      </c>
      <c r="CV31" s="46" t="s">
        <v>89</v>
      </c>
      <c r="CW31" s="34"/>
      <c r="CX31" s="35"/>
    </row>
    <row r="32" spans="1:102" ht="15" customHeight="1" x14ac:dyDescent="0.25">
      <c r="A32" s="33">
        <v>29</v>
      </c>
      <c r="B32" s="43" t="s">
        <v>435</v>
      </c>
      <c r="C32" s="43">
        <v>0.78680000000000005</v>
      </c>
      <c r="D32" s="43">
        <v>0.46</v>
      </c>
      <c r="E32" s="43" t="s">
        <v>416</v>
      </c>
      <c r="F32" s="43" t="s">
        <v>329</v>
      </c>
      <c r="G32" s="43" t="s">
        <v>417</v>
      </c>
      <c r="H32" s="43" t="s">
        <v>418</v>
      </c>
      <c r="I32" s="43" t="s">
        <v>419</v>
      </c>
      <c r="J32" s="43" t="s">
        <v>436</v>
      </c>
      <c r="K32" s="52" t="s">
        <v>1919</v>
      </c>
      <c r="L32" s="43" t="s">
        <v>421</v>
      </c>
      <c r="M32" s="43" t="s">
        <v>247</v>
      </c>
      <c r="N32" s="43" t="s">
        <v>233</v>
      </c>
      <c r="O32" s="43" t="s">
        <v>422</v>
      </c>
      <c r="P32" s="43" t="s">
        <v>423</v>
      </c>
      <c r="Q32" s="43" t="s">
        <v>292</v>
      </c>
      <c r="R32" s="43" t="s">
        <v>311</v>
      </c>
      <c r="S32" s="43">
        <v>-166.035</v>
      </c>
      <c r="T32" s="43">
        <v>91.930999999999997</v>
      </c>
      <c r="U32" s="43">
        <v>9.0520999999999994</v>
      </c>
      <c r="V32" s="43">
        <v>21.468</v>
      </c>
      <c r="W32" s="43">
        <v>1</v>
      </c>
      <c r="X32" s="43">
        <v>0</v>
      </c>
      <c r="Y32" s="43">
        <v>7.0999999999999994E-2</v>
      </c>
      <c r="Z32" s="43">
        <v>2E-3</v>
      </c>
      <c r="AA32" s="43">
        <v>876.68499999999995</v>
      </c>
      <c r="AB32" s="43">
        <v>0.25700000000000001</v>
      </c>
      <c r="AC32" s="43">
        <v>2879.569</v>
      </c>
      <c r="AD32" s="43">
        <v>0.93300000000000005</v>
      </c>
      <c r="AE32" s="43">
        <v>0.96</v>
      </c>
      <c r="AF32" s="43">
        <v>1</v>
      </c>
      <c r="AG32" s="43">
        <v>10.731999999999999</v>
      </c>
      <c r="AH32" s="43">
        <v>-9.32</v>
      </c>
      <c r="AI32" s="43">
        <v>59.304000000000002</v>
      </c>
      <c r="AJ32" s="43" t="s">
        <v>1412</v>
      </c>
      <c r="AK32" s="43">
        <v>1</v>
      </c>
      <c r="AL32" s="43">
        <v>4</v>
      </c>
      <c r="AM32" s="43">
        <v>0</v>
      </c>
      <c r="AN32" s="43">
        <v>0</v>
      </c>
      <c r="AO32" s="43">
        <v>0</v>
      </c>
      <c r="AP32" s="43">
        <v>0</v>
      </c>
      <c r="AQ32" s="68" t="s">
        <v>1796</v>
      </c>
      <c r="AR32" s="43" t="s">
        <v>424</v>
      </c>
      <c r="AS32" s="43">
        <v>650</v>
      </c>
      <c r="AT32" s="43">
        <v>3.593</v>
      </c>
      <c r="AU32" s="69">
        <v>-784.13</v>
      </c>
      <c r="AV32" s="69">
        <v>0</v>
      </c>
      <c r="AW32" s="69">
        <v>36325.425900000002</v>
      </c>
      <c r="AX32" s="43">
        <v>0.36599999999999999</v>
      </c>
      <c r="AY32" s="69">
        <v>-784.13</v>
      </c>
      <c r="AZ32" s="69">
        <v>0</v>
      </c>
      <c r="BA32" s="69">
        <v>36325.425900000002</v>
      </c>
      <c r="BB32" s="43">
        <v>0.36599999999999999</v>
      </c>
      <c r="BC32" s="43">
        <v>1</v>
      </c>
      <c r="BD32" s="43">
        <v>1</v>
      </c>
      <c r="BE32" s="43">
        <v>0</v>
      </c>
      <c r="BF32" s="43">
        <v>-6.5</v>
      </c>
      <c r="BG32" s="43">
        <v>27.751200000000001</v>
      </c>
      <c r="BH32" s="43">
        <v>-17.5</v>
      </c>
      <c r="BI32" s="43">
        <v>29.950099999999999</v>
      </c>
      <c r="BJ32" s="43">
        <v>0</v>
      </c>
      <c r="BK32" s="53">
        <v>2.5000000000000001E-2</v>
      </c>
      <c r="BL32" s="53">
        <v>42.4</v>
      </c>
      <c r="BM32" s="43">
        <v>2</v>
      </c>
      <c r="BN32" s="34" t="s">
        <v>89</v>
      </c>
      <c r="BO32" s="34" t="s">
        <v>89</v>
      </c>
      <c r="BP32" s="34" t="s">
        <v>89</v>
      </c>
      <c r="BQ32" s="34" t="s">
        <v>89</v>
      </c>
      <c r="BR32" s="34" t="s">
        <v>89</v>
      </c>
      <c r="BS32" s="34" t="s">
        <v>89</v>
      </c>
      <c r="BT32" s="34" t="s">
        <v>89</v>
      </c>
      <c r="BU32" s="34" t="s">
        <v>89</v>
      </c>
      <c r="BV32" s="34" t="s">
        <v>89</v>
      </c>
      <c r="BW32" s="34" t="s">
        <v>89</v>
      </c>
      <c r="BX32" s="34" t="s">
        <v>89</v>
      </c>
      <c r="BY32" s="34" t="s">
        <v>89</v>
      </c>
      <c r="BZ32" s="34" t="s">
        <v>89</v>
      </c>
      <c r="CA32" s="34" t="s">
        <v>89</v>
      </c>
      <c r="CB32" s="34" t="s">
        <v>89</v>
      </c>
      <c r="CC32" s="34" t="s">
        <v>89</v>
      </c>
      <c r="CD32" s="34" t="s">
        <v>89</v>
      </c>
      <c r="CE32" s="43">
        <v>-0.265517376243326</v>
      </c>
      <c r="CF32" s="43">
        <v>1</v>
      </c>
      <c r="CG32" s="43">
        <v>0</v>
      </c>
      <c r="CH32" s="43">
        <v>0</v>
      </c>
      <c r="CI32" s="43">
        <v>80.293000000000006</v>
      </c>
      <c r="CJ32" s="43">
        <v>-0.186279624426611</v>
      </c>
      <c r="CK32" s="43">
        <v>4.7963840444154897</v>
      </c>
      <c r="CL32" s="43">
        <v>0</v>
      </c>
      <c r="CM32" s="43">
        <v>32380</v>
      </c>
      <c r="CN32" s="43">
        <v>650</v>
      </c>
      <c r="CO32" s="43">
        <v>-784.13</v>
      </c>
      <c r="CP32" s="43">
        <v>0</v>
      </c>
      <c r="CQ32" s="43">
        <v>22.353999999999999</v>
      </c>
      <c r="CR32" s="43">
        <v>-278.81001600000002</v>
      </c>
      <c r="CS32" s="43">
        <v>0.36658562500000003</v>
      </c>
      <c r="CT32" s="43">
        <v>1</v>
      </c>
      <c r="CU32" s="43">
        <v>1</v>
      </c>
      <c r="CV32" s="46" t="s">
        <v>89</v>
      </c>
      <c r="CW32" s="34"/>
      <c r="CX32" s="35"/>
    </row>
    <row r="33" spans="1:102" ht="15" customHeight="1" x14ac:dyDescent="0.25">
      <c r="A33" s="33">
        <v>30</v>
      </c>
      <c r="B33" s="43" t="s">
        <v>437</v>
      </c>
      <c r="C33" s="43">
        <v>6.5799999999999997E-2</v>
      </c>
      <c r="D33" s="43">
        <v>0.94399999999999995</v>
      </c>
      <c r="E33" s="43" t="s">
        <v>412</v>
      </c>
      <c r="F33" s="43" t="s">
        <v>426</v>
      </c>
      <c r="G33" s="43" t="s">
        <v>427</v>
      </c>
      <c r="H33" s="43" t="s">
        <v>428</v>
      </c>
      <c r="I33" s="43" t="s">
        <v>429</v>
      </c>
      <c r="J33" s="43" t="s">
        <v>438</v>
      </c>
      <c r="K33" s="52" t="s">
        <v>1920</v>
      </c>
      <c r="L33" s="43" t="s">
        <v>431</v>
      </c>
      <c r="M33" s="43" t="s">
        <v>210</v>
      </c>
      <c r="N33" s="43" t="s">
        <v>249</v>
      </c>
      <c r="O33" s="43" t="s">
        <v>432</v>
      </c>
      <c r="P33" s="43" t="s">
        <v>201</v>
      </c>
      <c r="Q33" s="43" t="s">
        <v>305</v>
      </c>
      <c r="R33" s="43" t="s">
        <v>202</v>
      </c>
      <c r="S33" s="43">
        <v>140.28899999999999</v>
      </c>
      <c r="T33" s="43">
        <v>21.475999999999999</v>
      </c>
      <c r="U33" s="43">
        <v>16.392900000000001</v>
      </c>
      <c r="V33" s="43">
        <v>24.893000000000001</v>
      </c>
      <c r="W33" s="43">
        <v>0</v>
      </c>
      <c r="X33" s="43">
        <v>1</v>
      </c>
      <c r="Y33" s="43">
        <v>5.3999999999999999E-2</v>
      </c>
      <c r="Z33" s="43">
        <v>0.112</v>
      </c>
      <c r="AA33" s="43">
        <v>5931.8239999999996</v>
      </c>
      <c r="AB33" s="43">
        <v>0.95099999999999996</v>
      </c>
      <c r="AC33" s="43">
        <v>3685.95</v>
      </c>
      <c r="AD33" s="43">
        <v>0.627</v>
      </c>
      <c r="AE33" s="43">
        <v>0.96099999999999997</v>
      </c>
      <c r="AF33" s="43">
        <v>1</v>
      </c>
      <c r="AG33" s="43">
        <v>2.4550000000000001</v>
      </c>
      <c r="AH33" s="43">
        <v>-161.352</v>
      </c>
      <c r="AI33" s="43">
        <v>20.614999999999998</v>
      </c>
      <c r="AJ33" s="43" t="s">
        <v>1411</v>
      </c>
      <c r="AK33" s="43">
        <v>0</v>
      </c>
      <c r="AL33" s="43">
        <v>1</v>
      </c>
      <c r="AM33" s="43">
        <v>0</v>
      </c>
      <c r="AN33" s="43">
        <v>1</v>
      </c>
      <c r="AO33" s="43">
        <v>0</v>
      </c>
      <c r="AP33" s="43">
        <v>0</v>
      </c>
      <c r="AQ33" s="43" t="s">
        <v>433</v>
      </c>
      <c r="AR33" s="43" t="s">
        <v>434</v>
      </c>
      <c r="AS33" s="43">
        <v>631</v>
      </c>
      <c r="AT33" s="43">
        <v>16.977</v>
      </c>
      <c r="AU33" s="69">
        <v>947.74</v>
      </c>
      <c r="AV33" s="69">
        <v>0</v>
      </c>
      <c r="AW33" s="69">
        <v>10763.6551</v>
      </c>
      <c r="AX33" s="43">
        <v>0.22819999999999999</v>
      </c>
      <c r="AY33" s="69">
        <v>947.74</v>
      </c>
      <c r="AZ33" s="69">
        <v>0</v>
      </c>
      <c r="BA33" s="69">
        <v>10763.6551</v>
      </c>
      <c r="BB33" s="43">
        <v>0.22819999999999999</v>
      </c>
      <c r="BC33" s="43">
        <v>0</v>
      </c>
      <c r="BD33" s="43">
        <v>0</v>
      </c>
      <c r="BE33" s="43">
        <v>0</v>
      </c>
      <c r="BF33" s="43">
        <v>-7.5</v>
      </c>
      <c r="BG33" s="43">
        <v>14.1267</v>
      </c>
      <c r="BH33" s="43">
        <v>-18.5</v>
      </c>
      <c r="BI33" s="43">
        <v>14.7653</v>
      </c>
      <c r="BJ33" s="43">
        <v>1</v>
      </c>
      <c r="BK33" s="53">
        <v>2.5999999999999999E-2</v>
      </c>
      <c r="BL33" s="53">
        <v>43.6</v>
      </c>
      <c r="BM33" s="43">
        <v>2</v>
      </c>
      <c r="BN33" s="34" t="s">
        <v>89</v>
      </c>
      <c r="BO33" s="34" t="s">
        <v>89</v>
      </c>
      <c r="BP33" s="34" t="s">
        <v>89</v>
      </c>
      <c r="BQ33" s="34" t="s">
        <v>89</v>
      </c>
      <c r="BR33" s="34" t="s">
        <v>89</v>
      </c>
      <c r="BS33" s="34" t="s">
        <v>89</v>
      </c>
      <c r="BT33" s="34" t="s">
        <v>89</v>
      </c>
      <c r="BU33" s="34" t="s">
        <v>89</v>
      </c>
      <c r="BV33" s="34" t="s">
        <v>89</v>
      </c>
      <c r="BW33" s="34" t="s">
        <v>89</v>
      </c>
      <c r="BX33" s="34" t="s">
        <v>89</v>
      </c>
      <c r="BY33" s="34" t="s">
        <v>89</v>
      </c>
      <c r="BZ33" s="34" t="s">
        <v>89</v>
      </c>
      <c r="CA33" s="34" t="s">
        <v>89</v>
      </c>
      <c r="CB33" s="34" t="s">
        <v>89</v>
      </c>
      <c r="CC33" s="34" t="s">
        <v>89</v>
      </c>
      <c r="CD33" s="34" t="s">
        <v>89</v>
      </c>
      <c r="CE33" s="43">
        <v>-0.1954935590578</v>
      </c>
      <c r="CF33" s="43">
        <v>1</v>
      </c>
      <c r="CG33" s="43">
        <v>0</v>
      </c>
      <c r="CH33" s="43">
        <v>0</v>
      </c>
      <c r="CI33" s="43">
        <v>-220</v>
      </c>
      <c r="CJ33" s="43">
        <v>-7.0782330107570699</v>
      </c>
      <c r="CK33" s="43">
        <v>11.754522291713601</v>
      </c>
      <c r="CL33" s="43">
        <v>62980</v>
      </c>
      <c r="CM33" s="43">
        <v>27098</v>
      </c>
      <c r="CN33" s="43">
        <v>125</v>
      </c>
      <c r="CO33" s="43">
        <v>947.74</v>
      </c>
      <c r="CP33" s="43">
        <v>0</v>
      </c>
      <c r="CQ33" s="43">
        <v>947.74</v>
      </c>
      <c r="CR33" s="43">
        <v>0</v>
      </c>
      <c r="CS33" s="43">
        <v>0.20952200000000001</v>
      </c>
      <c r="CT33" s="43">
        <v>1</v>
      </c>
      <c r="CU33" s="43">
        <v>1</v>
      </c>
      <c r="CV33" s="46" t="s">
        <v>89</v>
      </c>
      <c r="CW33" s="34"/>
      <c r="CX33" s="35"/>
    </row>
    <row r="34" spans="1:102" ht="15" customHeight="1" x14ac:dyDescent="0.25">
      <c r="A34" s="33">
        <v>31</v>
      </c>
      <c r="B34" s="43" t="s">
        <v>1880</v>
      </c>
      <c r="C34" s="43">
        <v>0.19989999999999999</v>
      </c>
      <c r="D34" s="43">
        <v>0.30399999999999999</v>
      </c>
      <c r="E34" s="43" t="s">
        <v>311</v>
      </c>
      <c r="F34" s="43" t="s">
        <v>341</v>
      </c>
      <c r="G34" s="43" t="s">
        <v>439</v>
      </c>
      <c r="H34" s="43" t="s">
        <v>440</v>
      </c>
      <c r="I34" s="43" t="s">
        <v>441</v>
      </c>
      <c r="J34" s="43" t="s">
        <v>442</v>
      </c>
      <c r="K34" s="52" t="s">
        <v>98</v>
      </c>
      <c r="L34" s="43" t="s">
        <v>443</v>
      </c>
      <c r="M34" s="43" t="s">
        <v>262</v>
      </c>
      <c r="N34" s="43" t="s">
        <v>212</v>
      </c>
      <c r="O34" s="43" t="s">
        <v>248</v>
      </c>
      <c r="P34" s="43" t="s">
        <v>163</v>
      </c>
      <c r="Q34" s="43" t="s">
        <v>317</v>
      </c>
      <c r="R34" s="43" t="s">
        <v>164</v>
      </c>
      <c r="S34" s="43">
        <v>91.885000000000005</v>
      </c>
      <c r="T34" s="43">
        <v>-124.71</v>
      </c>
      <c r="U34" s="43">
        <v>3.4502999999999999</v>
      </c>
      <c r="V34" s="43">
        <v>-29.709</v>
      </c>
      <c r="W34" s="43">
        <v>1</v>
      </c>
      <c r="X34" s="43">
        <v>1</v>
      </c>
      <c r="Y34" s="43">
        <v>2.1000000000000001E-2</v>
      </c>
      <c r="Z34" s="43">
        <v>7.4999999999999997E-2</v>
      </c>
      <c r="AA34" s="43">
        <v>1279.3810000000001</v>
      </c>
      <c r="AB34" s="43">
        <v>0.73499999999999999</v>
      </c>
      <c r="AC34" s="43">
        <v>4881.5540000000001</v>
      </c>
      <c r="AD34" s="43">
        <v>0.152</v>
      </c>
      <c r="AE34" s="43">
        <v>0.99299999999999999</v>
      </c>
      <c r="AF34" s="43">
        <v>1</v>
      </c>
      <c r="AG34" s="43">
        <v>-10.722</v>
      </c>
      <c r="AH34" s="43">
        <v>-205.51499999999999</v>
      </c>
      <c r="AI34" s="43">
        <v>79.673000000000002</v>
      </c>
      <c r="AJ34" s="43" t="s">
        <v>1413</v>
      </c>
      <c r="AK34" s="43">
        <v>0</v>
      </c>
      <c r="AL34" s="43">
        <v>1</v>
      </c>
      <c r="AM34" s="43">
        <v>0</v>
      </c>
      <c r="AN34" s="43">
        <v>0</v>
      </c>
      <c r="AO34" s="43">
        <v>0</v>
      </c>
      <c r="AP34" s="43">
        <v>0</v>
      </c>
      <c r="AQ34" s="68" t="s">
        <v>1726</v>
      </c>
      <c r="AR34" s="43" t="s">
        <v>444</v>
      </c>
      <c r="AS34" s="43">
        <v>416</v>
      </c>
      <c r="AT34" s="43">
        <v>-13.000999999999999</v>
      </c>
      <c r="AU34" s="69">
        <v>269.39999999999998</v>
      </c>
      <c r="AV34" s="69">
        <v>-43.17</v>
      </c>
      <c r="AW34" s="69">
        <v>13385.907800000001</v>
      </c>
      <c r="AX34" s="43">
        <v>0.58950000000000002</v>
      </c>
      <c r="AY34" s="69">
        <v>269.39999999999998</v>
      </c>
      <c r="AZ34" s="69">
        <v>-43.17</v>
      </c>
      <c r="BA34" s="69">
        <v>13385.907800000001</v>
      </c>
      <c r="BB34" s="43">
        <v>0.58950000000000002</v>
      </c>
      <c r="BC34" s="43">
        <v>0</v>
      </c>
      <c r="BD34" s="43">
        <v>0</v>
      </c>
      <c r="BE34" s="43">
        <v>0</v>
      </c>
      <c r="BF34" s="43">
        <v>-2.6</v>
      </c>
      <c r="BG34" s="43">
        <v>15.132199999999999</v>
      </c>
      <c r="BH34" s="43">
        <v>-6.5</v>
      </c>
      <c r="BI34" s="43">
        <v>24.293500000000002</v>
      </c>
      <c r="BJ34" s="43">
        <v>0</v>
      </c>
      <c r="BK34" s="53">
        <v>2.7E-2</v>
      </c>
      <c r="BL34" s="53">
        <v>44.8</v>
      </c>
      <c r="BM34" s="43">
        <v>2</v>
      </c>
      <c r="BN34" s="34" t="s">
        <v>89</v>
      </c>
      <c r="BO34" s="34" t="s">
        <v>89</v>
      </c>
      <c r="BP34" s="34" t="s">
        <v>89</v>
      </c>
      <c r="BQ34" s="34" t="s">
        <v>89</v>
      </c>
      <c r="BR34" s="34" t="s">
        <v>89</v>
      </c>
      <c r="BS34" s="34" t="s">
        <v>89</v>
      </c>
      <c r="BT34" s="34" t="s">
        <v>89</v>
      </c>
      <c r="BU34" s="34" t="s">
        <v>89</v>
      </c>
      <c r="BV34" s="34" t="s">
        <v>89</v>
      </c>
      <c r="BW34" s="34" t="s">
        <v>89</v>
      </c>
      <c r="BX34" s="34" t="s">
        <v>89</v>
      </c>
      <c r="BY34" s="34" t="s">
        <v>89</v>
      </c>
      <c r="BZ34" s="34" t="s">
        <v>89</v>
      </c>
      <c r="CA34" s="34" t="s">
        <v>89</v>
      </c>
      <c r="CB34" s="34" t="s">
        <v>89</v>
      </c>
      <c r="CC34" s="34" t="s">
        <v>89</v>
      </c>
      <c r="CD34" s="34" t="s">
        <v>89</v>
      </c>
      <c r="CE34" s="43">
        <v>0.21124945636101</v>
      </c>
      <c r="CF34" s="43">
        <v>1</v>
      </c>
      <c r="CG34" s="43">
        <v>0</v>
      </c>
      <c r="CH34" s="43">
        <v>0</v>
      </c>
      <c r="CI34" s="43">
        <v>-180.202</v>
      </c>
      <c r="CJ34" s="43">
        <v>-1.8550897058381699</v>
      </c>
      <c r="CK34" s="43">
        <v>-20.027482613137298</v>
      </c>
      <c r="CL34" s="43">
        <v>65077</v>
      </c>
      <c r="CM34" s="43">
        <v>33731</v>
      </c>
      <c r="CN34" s="43">
        <v>1829</v>
      </c>
      <c r="CO34" s="43">
        <v>269.39999999999998</v>
      </c>
      <c r="CP34" s="43">
        <v>-43.17</v>
      </c>
      <c r="CQ34" s="43">
        <v>269.39999999999998</v>
      </c>
      <c r="CR34" s="43">
        <v>-43.17</v>
      </c>
      <c r="CS34" s="43">
        <v>0.89492262499999997</v>
      </c>
      <c r="CT34" s="43">
        <v>0.76219424999999996</v>
      </c>
      <c r="CU34" s="43">
        <v>1</v>
      </c>
      <c r="CV34" s="46" t="s">
        <v>89</v>
      </c>
      <c r="CW34" s="34"/>
      <c r="CX34" s="35"/>
    </row>
    <row r="35" spans="1:102" ht="15" customHeight="1" x14ac:dyDescent="0.25">
      <c r="A35" s="33">
        <v>32</v>
      </c>
      <c r="B35" s="43" t="s">
        <v>445</v>
      </c>
      <c r="C35" s="43">
        <v>0.24959999999999999</v>
      </c>
      <c r="D35" s="43">
        <v>0.57799999999999996</v>
      </c>
      <c r="E35" s="43" t="s">
        <v>202</v>
      </c>
      <c r="F35" s="43" t="s">
        <v>203</v>
      </c>
      <c r="G35" s="43" t="s">
        <v>446</v>
      </c>
      <c r="H35" s="43" t="s">
        <v>447</v>
      </c>
      <c r="I35" s="43" t="s">
        <v>448</v>
      </c>
      <c r="J35" s="43" t="s">
        <v>449</v>
      </c>
      <c r="K35" s="52" t="s">
        <v>1947</v>
      </c>
      <c r="L35" s="43" t="s">
        <v>450</v>
      </c>
      <c r="M35" s="43" t="s">
        <v>276</v>
      </c>
      <c r="N35" s="43" t="s">
        <v>264</v>
      </c>
      <c r="O35" s="43" t="s">
        <v>211</v>
      </c>
      <c r="P35" s="43" t="s">
        <v>177</v>
      </c>
      <c r="Q35" s="43" t="s">
        <v>327</v>
      </c>
      <c r="R35" s="43" t="s">
        <v>178</v>
      </c>
      <c r="S35" s="43">
        <v>-218.035</v>
      </c>
      <c r="T35" s="43">
        <v>-185.60900000000001</v>
      </c>
      <c r="U35" s="43">
        <v>20.1585</v>
      </c>
      <c r="V35" s="43">
        <v>-9.7669999999999995</v>
      </c>
      <c r="W35" s="43">
        <v>0</v>
      </c>
      <c r="X35" s="43">
        <v>1</v>
      </c>
      <c r="Y35" s="43">
        <v>6.3E-2</v>
      </c>
      <c r="Z35" s="43">
        <v>6.9000000000000006E-2</v>
      </c>
      <c r="AA35" s="43">
        <v>7139.8</v>
      </c>
      <c r="AB35" s="43">
        <v>0.98899999999999999</v>
      </c>
      <c r="AC35" s="43">
        <v>5357.1109999999999</v>
      </c>
      <c r="AD35" s="43">
        <v>0.86799999999999999</v>
      </c>
      <c r="AE35" s="43">
        <v>0.95</v>
      </c>
      <c r="AF35" s="43">
        <v>1</v>
      </c>
      <c r="AG35" s="43">
        <v>-7.6029999999999998</v>
      </c>
      <c r="AH35" s="43">
        <v>-118.848</v>
      </c>
      <c r="AI35" s="43">
        <v>0.48699999999999999</v>
      </c>
      <c r="AJ35" s="43" t="s">
        <v>1414</v>
      </c>
      <c r="AK35" s="43">
        <v>1</v>
      </c>
      <c r="AL35" s="43">
        <v>2</v>
      </c>
      <c r="AM35" s="43">
        <v>1</v>
      </c>
      <c r="AN35" s="43">
        <v>0</v>
      </c>
      <c r="AO35" s="43">
        <v>1</v>
      </c>
      <c r="AP35" s="43">
        <v>1</v>
      </c>
      <c r="AQ35" s="68" t="s">
        <v>1755</v>
      </c>
      <c r="AR35" s="43" t="s">
        <v>451</v>
      </c>
      <c r="AS35" s="43">
        <v>1059</v>
      </c>
      <c r="AT35" s="43">
        <v>-11.146000000000001</v>
      </c>
      <c r="AU35" s="69">
        <v>-340.13</v>
      </c>
      <c r="AV35" s="69">
        <v>1118</v>
      </c>
      <c r="AW35" s="69">
        <v>39404.4444</v>
      </c>
      <c r="AX35" s="43">
        <v>0.42309999999999998</v>
      </c>
      <c r="AY35" s="69">
        <v>-340.13</v>
      </c>
      <c r="AZ35" s="69">
        <v>1118</v>
      </c>
      <c r="BA35" s="69">
        <v>39404.4444</v>
      </c>
      <c r="BB35" s="43">
        <v>0.42309999999999998</v>
      </c>
      <c r="BC35" s="43">
        <v>1</v>
      </c>
      <c r="BD35" s="43">
        <v>1</v>
      </c>
      <c r="BE35" s="43">
        <v>0</v>
      </c>
      <c r="BF35" s="53" t="s">
        <v>1914</v>
      </c>
      <c r="BG35" s="43">
        <v>7.5427</v>
      </c>
      <c r="BH35" s="43">
        <v>-2.5</v>
      </c>
      <c r="BI35" s="43">
        <v>11.713800000000001</v>
      </c>
      <c r="BJ35" s="43">
        <v>1</v>
      </c>
      <c r="BK35" s="53">
        <v>2.8000000000000001E-2</v>
      </c>
      <c r="BL35" s="53">
        <v>46</v>
      </c>
      <c r="BM35" s="43">
        <v>2</v>
      </c>
      <c r="BN35" s="34" t="s">
        <v>89</v>
      </c>
      <c r="BO35" s="34" t="s">
        <v>89</v>
      </c>
      <c r="BP35" s="34" t="s">
        <v>89</v>
      </c>
      <c r="BQ35" s="34" t="s">
        <v>89</v>
      </c>
      <c r="BR35" s="34" t="s">
        <v>89</v>
      </c>
      <c r="BS35" s="34" t="s">
        <v>89</v>
      </c>
      <c r="BT35" s="34" t="s">
        <v>89</v>
      </c>
      <c r="BU35" s="34" t="s">
        <v>89</v>
      </c>
      <c r="BV35" s="34" t="s">
        <v>89</v>
      </c>
      <c r="BW35" s="34" t="s">
        <v>89</v>
      </c>
      <c r="BX35" s="34" t="s">
        <v>89</v>
      </c>
      <c r="BY35" s="34" t="s">
        <v>89</v>
      </c>
      <c r="BZ35" s="34" t="s">
        <v>89</v>
      </c>
      <c r="CA35" s="34" t="s">
        <v>89</v>
      </c>
      <c r="CB35" s="34" t="s">
        <v>89</v>
      </c>
      <c r="CC35" s="34" t="s">
        <v>89</v>
      </c>
      <c r="CD35" s="34" t="s">
        <v>89</v>
      </c>
      <c r="CE35" s="43">
        <v>0.48125800872570301</v>
      </c>
      <c r="CF35" s="43">
        <v>1</v>
      </c>
      <c r="CG35" s="43">
        <v>7.5427</v>
      </c>
      <c r="CH35" s="43">
        <v>11.713800000000001</v>
      </c>
      <c r="CI35" s="43">
        <v>198.559</v>
      </c>
      <c r="CJ35" s="43">
        <v>-23.650554106647</v>
      </c>
      <c r="CK35" s="43">
        <v>17.548612208621101</v>
      </c>
      <c r="CL35" s="43">
        <v>0</v>
      </c>
      <c r="CM35" s="43">
        <v>53620</v>
      </c>
      <c r="CN35" s="43">
        <v>1059</v>
      </c>
      <c r="CO35" s="43">
        <v>-340.13</v>
      </c>
      <c r="CP35" s="43">
        <v>1118</v>
      </c>
      <c r="CQ35" s="43">
        <v>15.445</v>
      </c>
      <c r="CR35" s="43">
        <v>18639181.461642001</v>
      </c>
      <c r="CS35" s="43">
        <v>1</v>
      </c>
      <c r="CT35" s="43">
        <v>0.198361125</v>
      </c>
      <c r="CU35" s="43">
        <v>1</v>
      </c>
      <c r="CV35" s="46" t="s">
        <v>89</v>
      </c>
      <c r="CW35" s="34"/>
      <c r="CX35" s="35"/>
    </row>
    <row r="36" spans="1:102" ht="15" customHeight="1" x14ac:dyDescent="0.25">
      <c r="A36" s="33">
        <v>33</v>
      </c>
      <c r="B36" s="43" t="s">
        <v>452</v>
      </c>
      <c r="C36" s="43">
        <v>6.6699999999999995E-2</v>
      </c>
      <c r="D36" s="43">
        <v>0.04</v>
      </c>
      <c r="E36" s="43" t="s">
        <v>164</v>
      </c>
      <c r="F36" s="43" t="s">
        <v>165</v>
      </c>
      <c r="G36" s="43" t="s">
        <v>453</v>
      </c>
      <c r="H36" s="43" t="s">
        <v>454</v>
      </c>
      <c r="I36" s="43" t="s">
        <v>455</v>
      </c>
      <c r="J36" s="43" t="s">
        <v>456</v>
      </c>
      <c r="K36" s="52" t="s">
        <v>2030</v>
      </c>
      <c r="L36" s="43" t="s">
        <v>457</v>
      </c>
      <c r="M36" s="43" t="s">
        <v>375</v>
      </c>
      <c r="N36" s="43" t="s">
        <v>278</v>
      </c>
      <c r="O36" s="43" t="s">
        <v>263</v>
      </c>
      <c r="P36" s="43" t="s">
        <v>235</v>
      </c>
      <c r="Q36" s="43" t="s">
        <v>458</v>
      </c>
      <c r="R36" s="43" t="s">
        <v>236</v>
      </c>
      <c r="S36" s="43">
        <v>-216.922</v>
      </c>
      <c r="T36" s="43">
        <v>163.56100000000001</v>
      </c>
      <c r="U36" s="43">
        <v>15.624700000000001</v>
      </c>
      <c r="V36" s="43">
        <v>10.564</v>
      </c>
      <c r="W36" s="43">
        <v>0</v>
      </c>
      <c r="X36" s="43">
        <v>1</v>
      </c>
      <c r="Y36" s="43">
        <v>0.17199999999999999</v>
      </c>
      <c r="Z36" s="43">
        <v>0.13800000000000001</v>
      </c>
      <c r="AA36" s="43">
        <v>1592.425</v>
      </c>
      <c r="AB36" s="43">
        <v>0.41799999999999998</v>
      </c>
      <c r="AC36" s="43">
        <v>5074.4639999999999</v>
      </c>
      <c r="AD36" s="43">
        <v>0.85199999999999998</v>
      </c>
      <c r="AE36" s="43">
        <v>0.97399999999999998</v>
      </c>
      <c r="AF36" s="43">
        <v>0</v>
      </c>
      <c r="AG36" s="43">
        <v>-13.407999999999999</v>
      </c>
      <c r="AH36" s="43">
        <v>-72.426000000000002</v>
      </c>
      <c r="AI36" s="43">
        <v>-190.441</v>
      </c>
      <c r="AJ36" s="43" t="s">
        <v>1415</v>
      </c>
      <c r="AK36" s="43">
        <v>0</v>
      </c>
      <c r="AL36" s="43">
        <v>0</v>
      </c>
      <c r="AM36" s="43">
        <v>1</v>
      </c>
      <c r="AN36" s="43">
        <v>1</v>
      </c>
      <c r="AO36" s="43">
        <v>1</v>
      </c>
      <c r="AP36" s="43">
        <v>1</v>
      </c>
      <c r="AQ36" s="43" t="s">
        <v>459</v>
      </c>
      <c r="AR36" s="43" t="s">
        <v>460</v>
      </c>
      <c r="AS36" s="43">
        <v>361</v>
      </c>
      <c r="AT36" s="43">
        <v>22.091000000000001</v>
      </c>
      <c r="AU36" s="69">
        <v>-784.13</v>
      </c>
      <c r="AV36" s="69">
        <v>-717.3</v>
      </c>
      <c r="AW36" s="69">
        <v>41423.937700000002</v>
      </c>
      <c r="AX36" s="43">
        <v>0.51629999999999998</v>
      </c>
      <c r="AY36" s="69">
        <v>-784.13</v>
      </c>
      <c r="AZ36" s="69">
        <v>-717.3</v>
      </c>
      <c r="BA36" s="69">
        <v>41423.937700000002</v>
      </c>
      <c r="BB36" s="43">
        <v>0.51629999999999998</v>
      </c>
      <c r="BC36" s="43">
        <v>0</v>
      </c>
      <c r="BD36" s="43">
        <v>0</v>
      </c>
      <c r="BE36" s="43">
        <v>0</v>
      </c>
      <c r="BF36" s="43">
        <v>-4.5</v>
      </c>
      <c r="BG36" s="43">
        <v>21.558499999999999</v>
      </c>
      <c r="BH36" s="43">
        <v>-2.8</v>
      </c>
      <c r="BI36" s="43">
        <v>8.2059999999999995</v>
      </c>
      <c r="BJ36" s="43">
        <v>0</v>
      </c>
      <c r="BK36" s="53">
        <v>2.9000000000000001E-2</v>
      </c>
      <c r="BL36" s="53">
        <v>47.2</v>
      </c>
      <c r="BM36" s="43">
        <v>2</v>
      </c>
      <c r="BN36" s="34" t="s">
        <v>89</v>
      </c>
      <c r="BO36" s="34" t="s">
        <v>89</v>
      </c>
      <c r="BP36" s="34" t="s">
        <v>89</v>
      </c>
      <c r="BQ36" s="34" t="s">
        <v>89</v>
      </c>
      <c r="BR36" s="34" t="s">
        <v>89</v>
      </c>
      <c r="BS36" s="34" t="s">
        <v>89</v>
      </c>
      <c r="BT36" s="34" t="s">
        <v>89</v>
      </c>
      <c r="BU36" s="34" t="s">
        <v>89</v>
      </c>
      <c r="BV36" s="34" t="s">
        <v>89</v>
      </c>
      <c r="BW36" s="34" t="s">
        <v>89</v>
      </c>
      <c r="BX36" s="34" t="s">
        <v>89</v>
      </c>
      <c r="BY36" s="34" t="s">
        <v>89</v>
      </c>
      <c r="BZ36" s="34" t="s">
        <v>89</v>
      </c>
      <c r="CA36" s="34" t="s">
        <v>89</v>
      </c>
      <c r="CB36" s="34" t="s">
        <v>89</v>
      </c>
      <c r="CC36" s="34" t="s">
        <v>89</v>
      </c>
      <c r="CD36" s="34" t="s">
        <v>89</v>
      </c>
      <c r="CE36" s="43">
        <v>1.53622023606849</v>
      </c>
      <c r="CF36" s="43">
        <v>-2.2132828961564499</v>
      </c>
      <c r="CG36" s="43">
        <v>0</v>
      </c>
      <c r="CH36" s="43">
        <v>0</v>
      </c>
      <c r="CI36" s="43">
        <v>-153.43100000000001</v>
      </c>
      <c r="CJ36" s="43">
        <v>26.3935842502238</v>
      </c>
      <c r="CK36" s="43">
        <v>6.2477712838116704</v>
      </c>
      <c r="CL36" s="43">
        <v>63832</v>
      </c>
      <c r="CM36" s="43">
        <v>46484</v>
      </c>
      <c r="CN36" s="43">
        <v>1069</v>
      </c>
      <c r="CO36" s="43">
        <v>-784.13</v>
      </c>
      <c r="CP36" s="43">
        <v>-717.3</v>
      </c>
      <c r="CQ36" s="43">
        <v>-784.13</v>
      </c>
      <c r="CR36" s="43">
        <v>-717.3</v>
      </c>
      <c r="CS36" s="43">
        <v>0.21894687500000001</v>
      </c>
      <c r="CT36" s="43">
        <v>0.217692</v>
      </c>
      <c r="CU36" s="43">
        <v>1</v>
      </c>
      <c r="CV36" s="46" t="s">
        <v>89</v>
      </c>
      <c r="CW36" s="34"/>
      <c r="CX36" s="35"/>
    </row>
    <row r="37" spans="1:102" ht="15" customHeight="1" x14ac:dyDescent="0.25">
      <c r="A37" s="33">
        <v>34</v>
      </c>
      <c r="B37" s="69" t="s">
        <v>461</v>
      </c>
      <c r="C37" s="43">
        <v>0.23530000000000001</v>
      </c>
      <c r="D37" s="43">
        <v>0.46</v>
      </c>
      <c r="E37" s="43" t="s">
        <v>178</v>
      </c>
      <c r="F37" s="43" t="s">
        <v>179</v>
      </c>
      <c r="G37" s="43" t="s">
        <v>462</v>
      </c>
      <c r="H37" s="43" t="s">
        <v>463</v>
      </c>
      <c r="I37" s="43" t="s">
        <v>464</v>
      </c>
      <c r="J37" s="43" t="s">
        <v>465</v>
      </c>
      <c r="K37" s="53" t="s">
        <v>1948</v>
      </c>
      <c r="L37" s="51" t="s">
        <v>97</v>
      </c>
      <c r="M37" s="43" t="s">
        <v>247</v>
      </c>
      <c r="N37" s="43" t="s">
        <v>233</v>
      </c>
      <c r="O37" s="43" t="s">
        <v>422</v>
      </c>
      <c r="P37" s="43" t="s">
        <v>423</v>
      </c>
      <c r="Q37" s="43" t="s">
        <v>292</v>
      </c>
      <c r="R37" s="43" t="s">
        <v>311</v>
      </c>
      <c r="S37" s="43">
        <v>-166.035</v>
      </c>
      <c r="T37" s="43">
        <v>91.930999999999997</v>
      </c>
      <c r="U37" s="43">
        <v>20.706199999999999</v>
      </c>
      <c r="V37" s="43">
        <v>-21.363</v>
      </c>
      <c r="W37" s="43">
        <v>1</v>
      </c>
      <c r="X37" s="43">
        <v>0</v>
      </c>
      <c r="Y37" s="43">
        <v>7.8E-2</v>
      </c>
      <c r="Z37" s="43">
        <v>1.7999999999999999E-2</v>
      </c>
      <c r="AA37" s="43">
        <v>5847.4719999999998</v>
      </c>
      <c r="AB37" s="43">
        <v>8.4000000000000005E-2</v>
      </c>
      <c r="AC37" s="43">
        <v>1025.5930000000001</v>
      </c>
      <c r="AD37" s="43">
        <v>0.88700000000000001</v>
      </c>
      <c r="AE37" s="43">
        <v>0.96099999999999997</v>
      </c>
      <c r="AF37" s="43">
        <v>0</v>
      </c>
      <c r="AG37" s="43">
        <v>-4.0810000000000004</v>
      </c>
      <c r="AH37" s="43">
        <v>83.948999999999998</v>
      </c>
      <c r="AI37" s="43">
        <v>83.948999999999998</v>
      </c>
      <c r="AJ37" s="43" t="s">
        <v>1416</v>
      </c>
      <c r="AK37" s="43">
        <v>0</v>
      </c>
      <c r="AL37" s="43">
        <v>2</v>
      </c>
      <c r="AM37" s="43">
        <v>1</v>
      </c>
      <c r="AN37" s="43">
        <v>0</v>
      </c>
      <c r="AO37" s="43">
        <v>1</v>
      </c>
      <c r="AP37" s="43">
        <v>1</v>
      </c>
      <c r="AQ37" s="43" t="s">
        <v>466</v>
      </c>
      <c r="AR37" s="43" t="s">
        <v>467</v>
      </c>
      <c r="AS37" s="69">
        <v>3069</v>
      </c>
      <c r="AT37" s="43">
        <v>7.8959999999999999</v>
      </c>
      <c r="AU37" s="69">
        <v>386.22</v>
      </c>
      <c r="AV37" s="69">
        <v>1118</v>
      </c>
      <c r="AW37" s="69">
        <v>4218.0965999999999</v>
      </c>
      <c r="AX37" s="43">
        <v>0.66559999999999997</v>
      </c>
      <c r="AY37" s="69">
        <v>386.22</v>
      </c>
      <c r="AZ37" s="69">
        <v>1118</v>
      </c>
      <c r="BA37" s="69">
        <v>4218.0965999999999</v>
      </c>
      <c r="BB37" s="43">
        <v>0.66559999999999997</v>
      </c>
      <c r="BC37" s="43">
        <v>0</v>
      </c>
      <c r="BD37" s="43">
        <v>0</v>
      </c>
      <c r="BE37" s="43">
        <v>0</v>
      </c>
      <c r="BF37" s="43">
        <v>-6.6</v>
      </c>
      <c r="BG37" s="43">
        <v>22.7974</v>
      </c>
      <c r="BH37" s="43">
        <v>-3.5</v>
      </c>
      <c r="BI37" s="43">
        <v>12.660399999999999</v>
      </c>
      <c r="BJ37" s="43">
        <v>1</v>
      </c>
      <c r="BK37" s="53">
        <v>0.03</v>
      </c>
      <c r="BL37" s="53">
        <v>48.4</v>
      </c>
      <c r="BM37" s="43">
        <v>2</v>
      </c>
      <c r="BN37" s="34" t="s">
        <v>89</v>
      </c>
      <c r="BO37" s="34" t="s">
        <v>89</v>
      </c>
      <c r="BP37" s="34" t="s">
        <v>89</v>
      </c>
      <c r="BQ37" s="34" t="s">
        <v>89</v>
      </c>
      <c r="BR37" s="34" t="s">
        <v>89</v>
      </c>
      <c r="BS37" s="34" t="s">
        <v>89</v>
      </c>
      <c r="BT37" s="34" t="s">
        <v>89</v>
      </c>
      <c r="BU37" s="34" t="s">
        <v>89</v>
      </c>
      <c r="BV37" s="34" t="s">
        <v>89</v>
      </c>
      <c r="BW37" s="34" t="s">
        <v>89</v>
      </c>
      <c r="BX37" s="34" t="s">
        <v>89</v>
      </c>
      <c r="BY37" s="34" t="s">
        <v>89</v>
      </c>
      <c r="BZ37" s="34" t="s">
        <v>89</v>
      </c>
      <c r="CA37" s="34" t="s">
        <v>89</v>
      </c>
      <c r="CB37" s="34" t="s">
        <v>89</v>
      </c>
      <c r="CC37" s="34" t="s">
        <v>89</v>
      </c>
      <c r="CD37" s="34" t="s">
        <v>89</v>
      </c>
      <c r="CE37" s="43">
        <v>8.00966981944089E-2</v>
      </c>
      <c r="CF37" s="43">
        <v>-0.108107198062685</v>
      </c>
      <c r="CG37" s="43">
        <v>22.7974</v>
      </c>
      <c r="CH37" s="43">
        <v>-3.5</v>
      </c>
      <c r="CI37" s="43">
        <v>220</v>
      </c>
      <c r="CJ37" s="43">
        <v>18.411719225888302</v>
      </c>
      <c r="CK37" s="43">
        <v>-0.56700940711692405</v>
      </c>
      <c r="CL37" s="43">
        <v>62980</v>
      </c>
      <c r="CM37" s="43">
        <v>51519</v>
      </c>
      <c r="CN37" s="43">
        <v>988</v>
      </c>
      <c r="CO37" s="43">
        <v>386.22</v>
      </c>
      <c r="CP37" s="43">
        <v>1118</v>
      </c>
      <c r="CQ37" s="43">
        <v>386.22</v>
      </c>
      <c r="CR37" s="43">
        <v>1118</v>
      </c>
      <c r="CS37" s="43">
        <v>0.81493400000000005</v>
      </c>
      <c r="CT37" s="43">
        <v>0.75880087500000004</v>
      </c>
      <c r="CU37" s="43">
        <v>1</v>
      </c>
      <c r="CV37" s="46" t="s">
        <v>89</v>
      </c>
      <c r="CW37" s="34"/>
      <c r="CX37" s="35"/>
    </row>
    <row r="38" spans="1:102" ht="15" customHeight="1" x14ac:dyDescent="0.25">
      <c r="A38" s="33">
        <v>35</v>
      </c>
      <c r="B38" s="43" t="s">
        <v>468</v>
      </c>
      <c r="C38" s="43">
        <v>0.90410000000000001</v>
      </c>
      <c r="D38" s="43">
        <v>0.94399999999999995</v>
      </c>
      <c r="E38" s="43" t="s">
        <v>236</v>
      </c>
      <c r="F38" s="43" t="s">
        <v>237</v>
      </c>
      <c r="G38" s="43" t="s">
        <v>469</v>
      </c>
      <c r="H38" s="43" t="s">
        <v>470</v>
      </c>
      <c r="I38" s="43" t="s">
        <v>471</v>
      </c>
      <c r="J38" s="43" t="s">
        <v>472</v>
      </c>
      <c r="K38" s="69" t="s">
        <v>1949</v>
      </c>
      <c r="L38" s="51" t="s">
        <v>96</v>
      </c>
      <c r="M38" s="43" t="s">
        <v>210</v>
      </c>
      <c r="N38" s="43" t="s">
        <v>249</v>
      </c>
      <c r="O38" s="43" t="s">
        <v>432</v>
      </c>
      <c r="P38" s="43" t="s">
        <v>201</v>
      </c>
      <c r="Q38" s="43" t="s">
        <v>305</v>
      </c>
      <c r="R38" s="43" t="s">
        <v>202</v>
      </c>
      <c r="S38" s="43">
        <v>140.28899999999999</v>
      </c>
      <c r="T38" s="43">
        <v>21.475999999999999</v>
      </c>
      <c r="U38" s="43">
        <v>28.342600000000001</v>
      </c>
      <c r="V38" s="43">
        <v>3.1539999999999999</v>
      </c>
      <c r="W38" s="43">
        <v>0</v>
      </c>
      <c r="X38" s="43">
        <v>0</v>
      </c>
      <c r="Y38" s="43">
        <v>6.8000000000000005E-2</v>
      </c>
      <c r="Z38" s="43">
        <v>0.18099999999999999</v>
      </c>
      <c r="AA38" s="43">
        <v>1867.1289999999999</v>
      </c>
      <c r="AB38" s="43">
        <v>0.499</v>
      </c>
      <c r="AC38" s="43">
        <v>506.59899999999999</v>
      </c>
      <c r="AD38" s="43">
        <v>0.82599999999999996</v>
      </c>
      <c r="AE38" s="43">
        <v>0.97199999999999998</v>
      </c>
      <c r="AF38" s="43">
        <v>1</v>
      </c>
      <c r="AG38" s="43">
        <v>7.3849999999999998</v>
      </c>
      <c r="AH38" s="43">
        <v>-144.667</v>
      </c>
      <c r="AI38" s="43">
        <v>-144.667</v>
      </c>
      <c r="AJ38" s="43" t="s">
        <v>1417</v>
      </c>
      <c r="AK38" s="43">
        <v>0</v>
      </c>
      <c r="AL38" s="43">
        <v>1</v>
      </c>
      <c r="AM38" s="43">
        <v>1</v>
      </c>
      <c r="AN38" s="43">
        <v>0</v>
      </c>
      <c r="AO38" s="43">
        <v>1</v>
      </c>
      <c r="AP38" s="43">
        <v>1</v>
      </c>
      <c r="AQ38" s="68" t="s">
        <v>1756</v>
      </c>
      <c r="AR38" s="43" t="s">
        <v>473</v>
      </c>
      <c r="AS38" s="69">
        <v>3103</v>
      </c>
      <c r="AT38" s="43">
        <v>-23.056000000000001</v>
      </c>
      <c r="AU38" s="69">
        <v>-627.17999999999995</v>
      </c>
      <c r="AV38" s="69">
        <v>-657.13</v>
      </c>
      <c r="AW38" s="69">
        <v>21877.377899999999</v>
      </c>
      <c r="AX38" s="43">
        <v>0.36359999999999998</v>
      </c>
      <c r="AY38" s="69">
        <v>-627.17999999999995</v>
      </c>
      <c r="AZ38" s="69">
        <v>-657.13</v>
      </c>
      <c r="BA38" s="69">
        <v>21877.377899999999</v>
      </c>
      <c r="BB38" s="43">
        <v>0.36359999999999998</v>
      </c>
      <c r="BC38" s="43">
        <v>0</v>
      </c>
      <c r="BD38" s="43">
        <v>0</v>
      </c>
      <c r="BE38" s="43">
        <v>0</v>
      </c>
      <c r="BF38" s="43">
        <v>-4.5999999999999996</v>
      </c>
      <c r="BG38" s="43">
        <v>15.474</v>
      </c>
      <c r="BH38" s="43">
        <v>-1.5</v>
      </c>
      <c r="BI38" s="43">
        <v>1.1362000000000001</v>
      </c>
      <c r="BJ38" s="43">
        <v>0</v>
      </c>
      <c r="BK38" s="53">
        <v>3.1E-2</v>
      </c>
      <c r="BL38" s="53">
        <v>49.6</v>
      </c>
      <c r="BM38" s="43">
        <v>2</v>
      </c>
      <c r="BN38" s="34" t="s">
        <v>89</v>
      </c>
      <c r="BO38" s="34" t="s">
        <v>89</v>
      </c>
      <c r="BP38" s="34" t="s">
        <v>89</v>
      </c>
      <c r="BQ38" s="34" t="s">
        <v>89</v>
      </c>
      <c r="BR38" s="34" t="s">
        <v>89</v>
      </c>
      <c r="BS38" s="34" t="s">
        <v>89</v>
      </c>
      <c r="BT38" s="34" t="s">
        <v>89</v>
      </c>
      <c r="BU38" s="34" t="s">
        <v>89</v>
      </c>
      <c r="BV38" s="34" t="s">
        <v>89</v>
      </c>
      <c r="BW38" s="34" t="s">
        <v>89</v>
      </c>
      <c r="BX38" s="34" t="s">
        <v>89</v>
      </c>
      <c r="BY38" s="34" t="s">
        <v>89</v>
      </c>
      <c r="BZ38" s="34" t="s">
        <v>89</v>
      </c>
      <c r="CA38" s="34" t="s">
        <v>89</v>
      </c>
      <c r="CB38" s="34" t="s">
        <v>89</v>
      </c>
      <c r="CC38" s="34" t="s">
        <v>89</v>
      </c>
      <c r="CD38" s="34" t="s">
        <v>89</v>
      </c>
      <c r="CE38" s="43">
        <v>-1.9719200382771002E-2</v>
      </c>
      <c r="CF38" s="43">
        <v>1</v>
      </c>
      <c r="CG38" s="43">
        <v>0</v>
      </c>
      <c r="CH38" s="43">
        <v>0</v>
      </c>
      <c r="CI38" s="43">
        <v>-170.90799999999999</v>
      </c>
      <c r="CJ38" s="43">
        <v>-7.6771987486453703</v>
      </c>
      <c r="CK38" s="43">
        <v>0.66580925650967704</v>
      </c>
      <c r="CL38" s="43">
        <v>63700</v>
      </c>
      <c r="CM38" s="43">
        <v>33744</v>
      </c>
      <c r="CN38" s="43">
        <v>1360</v>
      </c>
      <c r="CO38" s="43">
        <v>-627.17999999999995</v>
      </c>
      <c r="CP38" s="43">
        <v>-657.13</v>
      </c>
      <c r="CQ38" s="43">
        <v>-627.17999999999995</v>
      </c>
      <c r="CR38" s="43">
        <v>-657.13</v>
      </c>
      <c r="CS38" s="43">
        <v>0.73239112500000003</v>
      </c>
      <c r="CT38" s="43">
        <v>0.76267512500000001</v>
      </c>
      <c r="CU38" s="43">
        <v>1</v>
      </c>
      <c r="CV38" s="46" t="s">
        <v>89</v>
      </c>
      <c r="CW38" s="34"/>
      <c r="CX38" s="35"/>
    </row>
    <row r="39" spans="1:102" ht="15" customHeight="1" x14ac:dyDescent="0.25">
      <c r="A39" s="33">
        <v>36</v>
      </c>
      <c r="B39" s="43" t="s">
        <v>1892</v>
      </c>
      <c r="C39" s="43">
        <v>0.33929999999999999</v>
      </c>
      <c r="D39" s="43">
        <v>0.30399999999999999</v>
      </c>
      <c r="E39" s="43" t="s">
        <v>252</v>
      </c>
      <c r="F39" s="43" t="s">
        <v>253</v>
      </c>
      <c r="G39" s="43" t="s">
        <v>474</v>
      </c>
      <c r="H39" s="43" t="s">
        <v>475</v>
      </c>
      <c r="I39" s="43" t="s">
        <v>476</v>
      </c>
      <c r="J39" s="43" t="s">
        <v>477</v>
      </c>
      <c r="K39" s="53" t="s">
        <v>1950</v>
      </c>
      <c r="L39" s="51" t="s">
        <v>98</v>
      </c>
      <c r="M39" s="43" t="s">
        <v>262</v>
      </c>
      <c r="N39" s="43" t="s">
        <v>212</v>
      </c>
      <c r="O39" s="43" t="s">
        <v>248</v>
      </c>
      <c r="P39" s="43" t="s">
        <v>163</v>
      </c>
      <c r="Q39" s="43" t="s">
        <v>317</v>
      </c>
      <c r="R39" s="43" t="s">
        <v>164</v>
      </c>
      <c r="S39" s="43">
        <v>91.885000000000005</v>
      </c>
      <c r="T39" s="43">
        <v>-124.71</v>
      </c>
      <c r="U39" s="43">
        <v>22.6252</v>
      </c>
      <c r="V39" s="43">
        <v>17.513000000000002</v>
      </c>
      <c r="W39" s="43">
        <v>0</v>
      </c>
      <c r="X39" s="43">
        <v>1</v>
      </c>
      <c r="Y39" s="43">
        <v>0.14199999999999999</v>
      </c>
      <c r="Z39" s="43">
        <v>0.156</v>
      </c>
      <c r="AA39" s="43">
        <v>211.85499999999999</v>
      </c>
      <c r="AB39" s="43">
        <v>0.96</v>
      </c>
      <c r="AC39" s="43">
        <v>1900.1769999999999</v>
      </c>
      <c r="AD39" s="43">
        <v>3.6999999999999998E-2</v>
      </c>
      <c r="AE39" s="43">
        <v>0.95899999999999996</v>
      </c>
      <c r="AF39" s="43">
        <v>0</v>
      </c>
      <c r="AG39" s="43">
        <v>-10.656000000000001</v>
      </c>
      <c r="AH39" s="43">
        <v>80.817999999999998</v>
      </c>
      <c r="AI39" s="43">
        <v>-184.52199999999999</v>
      </c>
      <c r="AJ39" s="43" t="s">
        <v>1418</v>
      </c>
      <c r="AK39" s="43">
        <v>0</v>
      </c>
      <c r="AL39" s="43">
        <v>4</v>
      </c>
      <c r="AM39" s="43">
        <v>0</v>
      </c>
      <c r="AN39" s="43">
        <v>0</v>
      </c>
      <c r="AO39" s="43">
        <v>0</v>
      </c>
      <c r="AP39" s="43">
        <v>0</v>
      </c>
      <c r="AQ39" s="68" t="s">
        <v>1727</v>
      </c>
      <c r="AR39" s="43" t="s">
        <v>478</v>
      </c>
      <c r="AS39" s="69">
        <v>758</v>
      </c>
      <c r="AT39" s="43">
        <v>6.91</v>
      </c>
      <c r="AU39" s="69">
        <v>-10.210000000000001</v>
      </c>
      <c r="AV39" s="69">
        <v>-194.19</v>
      </c>
      <c r="AW39" s="69">
        <v>33920.540699999998</v>
      </c>
      <c r="AX39" s="43">
        <v>0.58389999999999997</v>
      </c>
      <c r="AY39" s="69">
        <v>-10.210000000000001</v>
      </c>
      <c r="AZ39" s="69">
        <v>-194.19</v>
      </c>
      <c r="BA39" s="69">
        <v>33920.540699999998</v>
      </c>
      <c r="BB39" s="43">
        <v>0.58389999999999997</v>
      </c>
      <c r="BC39" s="43">
        <v>0</v>
      </c>
      <c r="BD39" s="43">
        <v>0</v>
      </c>
      <c r="BE39" s="43">
        <v>0</v>
      </c>
      <c r="BF39" s="43">
        <v>-5.5</v>
      </c>
      <c r="BG39" s="43">
        <v>21.046900000000001</v>
      </c>
      <c r="BH39" s="43">
        <v>-3.6</v>
      </c>
      <c r="BI39" s="43">
        <v>13.5791</v>
      </c>
      <c r="BJ39" s="43">
        <v>1</v>
      </c>
      <c r="BK39" s="53">
        <v>3.2000000000000001E-2</v>
      </c>
      <c r="BL39" s="53">
        <v>50.8</v>
      </c>
      <c r="BM39" s="43">
        <v>2</v>
      </c>
      <c r="BN39" s="34" t="s">
        <v>89</v>
      </c>
      <c r="BO39" s="34" t="s">
        <v>89</v>
      </c>
      <c r="BP39" s="34" t="s">
        <v>89</v>
      </c>
      <c r="BQ39" s="34" t="s">
        <v>89</v>
      </c>
      <c r="BR39" s="34" t="s">
        <v>89</v>
      </c>
      <c r="BS39" s="34" t="s">
        <v>89</v>
      </c>
      <c r="BT39" s="34" t="s">
        <v>89</v>
      </c>
      <c r="BU39" s="34" t="s">
        <v>89</v>
      </c>
      <c r="BV39" s="34" t="s">
        <v>89</v>
      </c>
      <c r="BW39" s="34" t="s">
        <v>89</v>
      </c>
      <c r="BX39" s="34" t="s">
        <v>89</v>
      </c>
      <c r="BY39" s="34" t="s">
        <v>89</v>
      </c>
      <c r="BZ39" s="34" t="s">
        <v>89</v>
      </c>
      <c r="CA39" s="34" t="s">
        <v>89</v>
      </c>
      <c r="CB39" s="34" t="s">
        <v>89</v>
      </c>
      <c r="CC39" s="34" t="s">
        <v>89</v>
      </c>
      <c r="CD39" s="34" t="s">
        <v>89</v>
      </c>
      <c r="CE39" s="43">
        <v>0.43514840354652901</v>
      </c>
      <c r="CF39" s="43">
        <v>-0.21837817930540701</v>
      </c>
      <c r="CG39" s="43">
        <v>0</v>
      </c>
      <c r="CH39" s="43">
        <v>0</v>
      </c>
      <c r="CI39" s="43">
        <v>-113.349</v>
      </c>
      <c r="CJ39" s="43">
        <v>-9.6250136208542294</v>
      </c>
      <c r="CK39" s="43">
        <v>14.317987414663801</v>
      </c>
      <c r="CL39" s="43">
        <v>62849</v>
      </c>
      <c r="CM39" s="43">
        <v>32104</v>
      </c>
      <c r="CN39" s="43">
        <v>1422</v>
      </c>
      <c r="CO39" s="43">
        <v>-10.210000000000001</v>
      </c>
      <c r="CP39" s="43">
        <v>-194.19</v>
      </c>
      <c r="CQ39" s="43">
        <v>-10.210000000000001</v>
      </c>
      <c r="CR39" s="43">
        <v>-194.19</v>
      </c>
      <c r="CS39" s="43">
        <v>0.98648187499999995</v>
      </c>
      <c r="CT39" s="43">
        <v>0.27452212500000001</v>
      </c>
      <c r="CU39" s="43">
        <v>1</v>
      </c>
      <c r="CV39" s="46" t="s">
        <v>89</v>
      </c>
      <c r="CW39" s="34"/>
      <c r="CX39" s="35"/>
    </row>
    <row r="40" spans="1:102" ht="15" customHeight="1" x14ac:dyDescent="0.25">
      <c r="A40" s="33">
        <v>37</v>
      </c>
      <c r="B40" s="43" t="s">
        <v>479</v>
      </c>
      <c r="C40" s="43">
        <v>0.874</v>
      </c>
      <c r="D40" s="43">
        <v>0.57799999999999996</v>
      </c>
      <c r="E40" s="43" t="s">
        <v>215</v>
      </c>
      <c r="F40" s="43" t="s">
        <v>216</v>
      </c>
      <c r="G40" s="43" t="s">
        <v>480</v>
      </c>
      <c r="H40" s="43" t="s">
        <v>481</v>
      </c>
      <c r="I40" s="43" t="s">
        <v>482</v>
      </c>
      <c r="J40" s="43" t="s">
        <v>483</v>
      </c>
      <c r="K40" s="53" t="s">
        <v>1951</v>
      </c>
      <c r="L40" s="52" t="s">
        <v>484</v>
      </c>
      <c r="M40" s="43" t="s">
        <v>276</v>
      </c>
      <c r="N40" s="43" t="s">
        <v>264</v>
      </c>
      <c r="O40" s="43" t="s">
        <v>211</v>
      </c>
      <c r="P40" s="43" t="s">
        <v>177</v>
      </c>
      <c r="Q40" s="43" t="s">
        <v>327</v>
      </c>
      <c r="R40" s="43" t="s">
        <v>178</v>
      </c>
      <c r="S40" s="43">
        <v>-218.035</v>
      </c>
      <c r="T40" s="43">
        <v>-185.60900000000001</v>
      </c>
      <c r="U40" s="43">
        <v>15.498200000000001</v>
      </c>
      <c r="V40" s="43">
        <v>-17.087</v>
      </c>
      <c r="W40" s="43">
        <v>0</v>
      </c>
      <c r="X40" s="43">
        <v>0</v>
      </c>
      <c r="Y40" s="43">
        <v>0.13900000000000001</v>
      </c>
      <c r="Z40" s="43">
        <v>0.189</v>
      </c>
      <c r="AA40" s="43">
        <v>670.24800000000005</v>
      </c>
      <c r="AB40" s="43">
        <v>0.63500000000000001</v>
      </c>
      <c r="AC40" s="43">
        <v>2501.0639999999999</v>
      </c>
      <c r="AD40" s="43">
        <v>0.82</v>
      </c>
      <c r="AE40" s="43">
        <v>0.97499999999999998</v>
      </c>
      <c r="AF40" s="43">
        <v>1</v>
      </c>
      <c r="AG40" s="43">
        <v>10.207000000000001</v>
      </c>
      <c r="AH40" s="43">
        <v>-44.258000000000003</v>
      </c>
      <c r="AI40" s="43">
        <v>-197.35499999999999</v>
      </c>
      <c r="AJ40" s="43" t="s">
        <v>1420</v>
      </c>
      <c r="AK40" s="43">
        <v>1</v>
      </c>
      <c r="AL40" s="43">
        <v>0</v>
      </c>
      <c r="AM40" s="43">
        <v>0</v>
      </c>
      <c r="AN40" s="43">
        <v>0</v>
      </c>
      <c r="AO40" s="43">
        <v>0</v>
      </c>
      <c r="AP40" s="43">
        <v>0</v>
      </c>
      <c r="AQ40" s="43" t="s">
        <v>485</v>
      </c>
      <c r="AR40" s="43" t="s">
        <v>486</v>
      </c>
      <c r="AS40" s="71">
        <v>1734</v>
      </c>
      <c r="AT40" s="43">
        <v>0.90600000000000003</v>
      </c>
      <c r="AU40" s="69">
        <v>570.70000000000005</v>
      </c>
      <c r="AV40" s="69">
        <v>386.22</v>
      </c>
      <c r="AW40" s="69">
        <v>20769.322100000001</v>
      </c>
      <c r="AX40" s="43">
        <v>0.51300000000000001</v>
      </c>
      <c r="AY40" s="69">
        <v>570.70000000000005</v>
      </c>
      <c r="AZ40" s="69">
        <v>386.22</v>
      </c>
      <c r="BA40" s="69">
        <v>20769.322100000001</v>
      </c>
      <c r="BB40" s="43">
        <v>0.51300000000000001</v>
      </c>
      <c r="BC40" s="43">
        <v>1</v>
      </c>
      <c r="BD40" s="43">
        <v>1</v>
      </c>
      <c r="BE40" s="43">
        <v>0</v>
      </c>
      <c r="BF40" s="43">
        <v>-6.5</v>
      </c>
      <c r="BG40" s="43">
        <v>19.844999999999999</v>
      </c>
      <c r="BH40" s="43">
        <v>-4.8</v>
      </c>
      <c r="BI40" s="43">
        <v>8.5832999999999995</v>
      </c>
      <c r="BJ40" s="43">
        <v>0</v>
      </c>
      <c r="BK40" s="53">
        <v>3.3000000000000002E-2</v>
      </c>
      <c r="BL40" s="53">
        <v>52</v>
      </c>
      <c r="BM40" s="43">
        <v>2</v>
      </c>
      <c r="BN40" s="34" t="s">
        <v>89</v>
      </c>
      <c r="BO40" s="34" t="s">
        <v>89</v>
      </c>
      <c r="BP40" s="34" t="s">
        <v>89</v>
      </c>
      <c r="BQ40" s="34" t="s">
        <v>89</v>
      </c>
      <c r="BR40" s="34" t="s">
        <v>89</v>
      </c>
      <c r="BS40" s="34" t="s">
        <v>89</v>
      </c>
      <c r="BT40" s="34" t="s">
        <v>89</v>
      </c>
      <c r="BU40" s="34" t="s">
        <v>89</v>
      </c>
      <c r="BV40" s="34" t="s">
        <v>89</v>
      </c>
      <c r="BW40" s="34" t="s">
        <v>89</v>
      </c>
      <c r="BX40" s="34" t="s">
        <v>89</v>
      </c>
      <c r="BY40" s="34" t="s">
        <v>89</v>
      </c>
      <c r="BZ40" s="34" t="s">
        <v>89</v>
      </c>
      <c r="CA40" s="34" t="s">
        <v>89</v>
      </c>
      <c r="CB40" s="34" t="s">
        <v>89</v>
      </c>
      <c r="CC40" s="34" t="s">
        <v>89</v>
      </c>
      <c r="CD40" s="34" t="s">
        <v>89</v>
      </c>
      <c r="CE40" s="43">
        <v>-6.7587170527677606E-5</v>
      </c>
      <c r="CF40" s="43">
        <v>1</v>
      </c>
      <c r="CG40" s="43">
        <v>0</v>
      </c>
      <c r="CH40" s="43">
        <v>0</v>
      </c>
      <c r="CI40" s="43">
        <v>220</v>
      </c>
      <c r="CJ40" s="43">
        <v>-1.55157759672633E-2</v>
      </c>
      <c r="CK40" s="43">
        <v>30.224996017546399</v>
      </c>
      <c r="CL40" s="43">
        <v>0</v>
      </c>
      <c r="CM40" s="43">
        <v>14615</v>
      </c>
      <c r="CN40" s="43">
        <v>1734</v>
      </c>
      <c r="CO40" s="43">
        <v>-23.448</v>
      </c>
      <c r="CP40" s="43">
        <v>4115324.3895660099</v>
      </c>
      <c r="CQ40" s="43">
        <v>26.681000000000001</v>
      </c>
      <c r="CR40" s="43">
        <v>4115350.1057430101</v>
      </c>
      <c r="CS40" s="43">
        <v>0.718781</v>
      </c>
      <c r="CT40" s="43">
        <v>1</v>
      </c>
      <c r="CU40" s="43">
        <v>1</v>
      </c>
      <c r="CV40" s="46" t="s">
        <v>89</v>
      </c>
      <c r="CW40" s="34"/>
      <c r="CX40" s="35"/>
    </row>
    <row r="41" spans="1:102" ht="15" customHeight="1" x14ac:dyDescent="0.25">
      <c r="A41" s="33">
        <v>38</v>
      </c>
      <c r="B41" s="43" t="s">
        <v>487</v>
      </c>
      <c r="C41" s="43">
        <v>0.44590000000000002</v>
      </c>
      <c r="D41" s="43">
        <v>0.04</v>
      </c>
      <c r="E41" s="43" t="s">
        <v>267</v>
      </c>
      <c r="F41" s="43" t="s">
        <v>268</v>
      </c>
      <c r="G41" s="43" t="s">
        <v>488</v>
      </c>
      <c r="H41" s="43" t="s">
        <v>489</v>
      </c>
      <c r="I41" s="43" t="s">
        <v>490</v>
      </c>
      <c r="J41" s="43" t="s">
        <v>491</v>
      </c>
      <c r="K41" s="53" t="s">
        <v>1952</v>
      </c>
      <c r="L41" s="51" t="s">
        <v>492</v>
      </c>
      <c r="M41" s="43" t="s">
        <v>375</v>
      </c>
      <c r="N41" s="43" t="s">
        <v>278</v>
      </c>
      <c r="O41" s="43" t="s">
        <v>263</v>
      </c>
      <c r="P41" s="43" t="s">
        <v>235</v>
      </c>
      <c r="Q41" s="43" t="s">
        <v>458</v>
      </c>
      <c r="R41" s="43" t="s">
        <v>236</v>
      </c>
      <c r="S41" s="43">
        <v>-216.922</v>
      </c>
      <c r="T41" s="43">
        <v>163.56100000000001</v>
      </c>
      <c r="U41" s="43">
        <v>8.1972000000000005</v>
      </c>
      <c r="V41" s="43">
        <v>-23.818999999999999</v>
      </c>
      <c r="W41" s="43">
        <v>0</v>
      </c>
      <c r="X41" s="43">
        <v>1</v>
      </c>
      <c r="Y41" s="43">
        <v>3.3000000000000002E-2</v>
      </c>
      <c r="Z41" s="43">
        <v>0.105</v>
      </c>
      <c r="AA41" s="43">
        <v>3129.085</v>
      </c>
      <c r="AB41" s="43">
        <v>0.14099999999999999</v>
      </c>
      <c r="AC41" s="43">
        <v>51.442</v>
      </c>
      <c r="AD41" s="43">
        <v>6.7000000000000004E-2</v>
      </c>
      <c r="AE41" s="43">
        <v>0.96199999999999997</v>
      </c>
      <c r="AF41" s="43">
        <v>0</v>
      </c>
      <c r="AG41" s="43">
        <v>10.233000000000001</v>
      </c>
      <c r="AH41" s="43">
        <v>-40.921999999999997</v>
      </c>
      <c r="AI41" s="43">
        <v>152.01599999999999</v>
      </c>
      <c r="AJ41" s="43" t="s">
        <v>1421</v>
      </c>
      <c r="AK41" s="43">
        <v>0</v>
      </c>
      <c r="AL41" s="43">
        <v>2</v>
      </c>
      <c r="AM41" s="43">
        <v>1</v>
      </c>
      <c r="AN41" s="43">
        <v>1</v>
      </c>
      <c r="AO41" s="43">
        <v>1</v>
      </c>
      <c r="AP41" s="43">
        <v>1</v>
      </c>
      <c r="AQ41" s="68" t="s">
        <v>1757</v>
      </c>
      <c r="AR41" s="43" t="s">
        <v>493</v>
      </c>
      <c r="AS41" s="69">
        <v>4045</v>
      </c>
      <c r="AT41" s="43">
        <v>-11.798</v>
      </c>
      <c r="AU41" s="69">
        <v>-38.799999999999997</v>
      </c>
      <c r="AV41" s="69">
        <v>-784.13</v>
      </c>
      <c r="AW41" s="69">
        <v>38607.815199999997</v>
      </c>
      <c r="AX41" s="43">
        <v>1.5E-3</v>
      </c>
      <c r="AY41" s="69">
        <v>-38.799999999999997</v>
      </c>
      <c r="AZ41" s="69">
        <v>-784.13</v>
      </c>
      <c r="BA41" s="69">
        <v>38607.815199999997</v>
      </c>
      <c r="BB41" s="43">
        <v>1.5E-3</v>
      </c>
      <c r="BC41" s="43">
        <v>0</v>
      </c>
      <c r="BD41" s="43">
        <v>0</v>
      </c>
      <c r="BE41" s="43">
        <v>0</v>
      </c>
      <c r="BF41" s="43">
        <v>-7.5</v>
      </c>
      <c r="BG41" s="43">
        <v>14.264099999999999</v>
      </c>
      <c r="BH41" s="43">
        <v>-7.5</v>
      </c>
      <c r="BI41" s="43">
        <v>1.5481</v>
      </c>
      <c r="BJ41" s="43">
        <v>1</v>
      </c>
      <c r="BK41" s="53">
        <v>3.4000000000000002E-2</v>
      </c>
      <c r="BL41" s="53">
        <v>53.2</v>
      </c>
      <c r="BM41" s="43">
        <v>2</v>
      </c>
      <c r="BN41" s="34" t="s">
        <v>89</v>
      </c>
      <c r="BO41" s="34" t="s">
        <v>89</v>
      </c>
      <c r="BP41" s="34" t="s">
        <v>89</v>
      </c>
      <c r="BQ41" s="34" t="s">
        <v>89</v>
      </c>
      <c r="BR41" s="34" t="s">
        <v>89</v>
      </c>
      <c r="BS41" s="34" t="s">
        <v>89</v>
      </c>
      <c r="BT41" s="34" t="s">
        <v>89</v>
      </c>
      <c r="BU41" s="34" t="s">
        <v>89</v>
      </c>
      <c r="BV41" s="34" t="s">
        <v>89</v>
      </c>
      <c r="BW41" s="34" t="s">
        <v>89</v>
      </c>
      <c r="BX41" s="34" t="s">
        <v>89</v>
      </c>
      <c r="BY41" s="34" t="s">
        <v>89</v>
      </c>
      <c r="BZ41" s="34" t="s">
        <v>89</v>
      </c>
      <c r="CA41" s="34" t="s">
        <v>89</v>
      </c>
      <c r="CB41" s="34" t="s">
        <v>89</v>
      </c>
      <c r="CC41" s="34" t="s">
        <v>89</v>
      </c>
      <c r="CD41" s="34" t="s">
        <v>89</v>
      </c>
      <c r="CE41" s="43">
        <v>-1.5383118425734601</v>
      </c>
      <c r="CF41" s="43">
        <v>3.2414138614295398</v>
      </c>
      <c r="CG41" s="43">
        <v>12.331413680000001</v>
      </c>
      <c r="CH41" s="43">
        <v>-7.5</v>
      </c>
      <c r="CI41" s="43">
        <v>217.148</v>
      </c>
      <c r="CJ41" s="43">
        <v>10.009271984418501</v>
      </c>
      <c r="CK41" s="43">
        <v>-15.5712664567899</v>
      </c>
      <c r="CL41" s="43">
        <v>63045</v>
      </c>
      <c r="CM41" s="43">
        <v>50259</v>
      </c>
      <c r="CN41" s="43">
        <v>429</v>
      </c>
      <c r="CO41" s="43">
        <v>-38.799999999999997</v>
      </c>
      <c r="CP41" s="43">
        <v>-784.13</v>
      </c>
      <c r="CQ41" s="43">
        <v>-38.799999999999997</v>
      </c>
      <c r="CR41" s="43">
        <v>-784.13</v>
      </c>
      <c r="CS41" s="43">
        <v>0</v>
      </c>
      <c r="CT41" s="43">
        <v>6.0569749999999999E-2</v>
      </c>
      <c r="CU41" s="43">
        <v>1</v>
      </c>
      <c r="CV41" s="46" t="s">
        <v>89</v>
      </c>
      <c r="CW41" s="34"/>
      <c r="CX41" s="35"/>
    </row>
    <row r="42" spans="1:102" ht="15" customHeight="1" x14ac:dyDescent="0.25">
      <c r="A42" s="33">
        <v>39</v>
      </c>
      <c r="B42" s="43" t="s">
        <v>494</v>
      </c>
      <c r="C42" s="43">
        <v>0.3695</v>
      </c>
      <c r="D42" s="43">
        <v>0.47599999999999998</v>
      </c>
      <c r="E42" s="43" t="s">
        <v>281</v>
      </c>
      <c r="F42" s="43" t="s">
        <v>412</v>
      </c>
      <c r="G42" s="43" t="s">
        <v>495</v>
      </c>
      <c r="H42" s="43" t="s">
        <v>496</v>
      </c>
      <c r="I42" s="43" t="s">
        <v>497</v>
      </c>
      <c r="J42" s="43" t="s">
        <v>498</v>
      </c>
      <c r="K42" s="53" t="s">
        <v>1953</v>
      </c>
      <c r="L42" s="43" t="s">
        <v>499</v>
      </c>
      <c r="M42" s="51" t="s">
        <v>97</v>
      </c>
      <c r="N42" s="43" t="s">
        <v>291</v>
      </c>
      <c r="O42" s="43" t="s">
        <v>277</v>
      </c>
      <c r="P42" s="43" t="s">
        <v>251</v>
      </c>
      <c r="Q42" s="43" t="s">
        <v>339</v>
      </c>
      <c r="R42" s="43" t="s">
        <v>252</v>
      </c>
      <c r="S42" s="43">
        <v>-82.298000000000002</v>
      </c>
      <c r="T42" s="43">
        <v>-209.71600000000001</v>
      </c>
      <c r="U42" s="43">
        <v>15.6709</v>
      </c>
      <c r="V42" s="43">
        <v>5.1529999999999996</v>
      </c>
      <c r="W42" s="43">
        <v>1</v>
      </c>
      <c r="X42" s="43">
        <v>0</v>
      </c>
      <c r="Y42" s="43">
        <v>0.19</v>
      </c>
      <c r="Z42" s="43">
        <v>1.2999999999999999E-2</v>
      </c>
      <c r="AA42" s="43">
        <v>3473.0639999999999</v>
      </c>
      <c r="AB42" s="43">
        <v>0.69899999999999995</v>
      </c>
      <c r="AC42" s="43">
        <v>466.73500000000001</v>
      </c>
      <c r="AD42" s="43">
        <v>0.82799999999999996</v>
      </c>
      <c r="AE42" s="43">
        <v>0.95799999999999996</v>
      </c>
      <c r="AF42" s="43">
        <v>0</v>
      </c>
      <c r="AG42" s="43">
        <v>22.213999999999999</v>
      </c>
      <c r="AH42" s="43">
        <v>75.082999999999998</v>
      </c>
      <c r="AI42" s="43">
        <v>54.112000000000002</v>
      </c>
      <c r="AJ42" s="43" t="s">
        <v>1422</v>
      </c>
      <c r="AK42" s="43">
        <v>0</v>
      </c>
      <c r="AL42" s="43">
        <v>2</v>
      </c>
      <c r="AM42" s="43">
        <v>0</v>
      </c>
      <c r="AN42" s="43">
        <v>1</v>
      </c>
      <c r="AO42" s="43">
        <v>0</v>
      </c>
      <c r="AP42" s="43">
        <v>0</v>
      </c>
      <c r="AQ42" s="68" t="s">
        <v>1728</v>
      </c>
      <c r="AR42" s="43" t="s">
        <v>500</v>
      </c>
      <c r="AS42" s="43">
        <v>1747</v>
      </c>
      <c r="AT42" s="43">
        <v>-4.2649999999999997</v>
      </c>
      <c r="AU42" s="69">
        <v>-194.19</v>
      </c>
      <c r="AV42" s="69">
        <v>947.74</v>
      </c>
      <c r="AW42" s="69">
        <v>21678.821899999999</v>
      </c>
      <c r="AX42" s="43">
        <v>0.86209999999999998</v>
      </c>
      <c r="AY42" s="69">
        <v>-194.19</v>
      </c>
      <c r="AZ42" s="69">
        <v>947.74</v>
      </c>
      <c r="BA42" s="69">
        <v>21678.821899999999</v>
      </c>
      <c r="BB42" s="43">
        <v>0.86209999999999998</v>
      </c>
      <c r="BC42" s="43">
        <v>0</v>
      </c>
      <c r="BD42" s="43">
        <v>0</v>
      </c>
      <c r="BE42" s="43">
        <v>0</v>
      </c>
      <c r="BF42" s="69">
        <v>-2.6</v>
      </c>
      <c r="BG42" s="69">
        <v>17.029699999999998</v>
      </c>
      <c r="BH42" s="69">
        <v>-2.6</v>
      </c>
      <c r="BI42" s="69">
        <v>13.2995</v>
      </c>
      <c r="BJ42" s="53">
        <v>0</v>
      </c>
      <c r="BK42" s="53">
        <v>3.5000000000000003E-2</v>
      </c>
      <c r="BL42" s="53">
        <v>54.4</v>
      </c>
      <c r="BM42" s="43">
        <v>2</v>
      </c>
      <c r="BN42" s="34" t="s">
        <v>89</v>
      </c>
      <c r="BO42" s="34" t="s">
        <v>89</v>
      </c>
      <c r="BP42" s="34" t="s">
        <v>89</v>
      </c>
      <c r="BQ42" s="34" t="s">
        <v>89</v>
      </c>
      <c r="BR42" s="34" t="s">
        <v>89</v>
      </c>
      <c r="BS42" s="34" t="s">
        <v>89</v>
      </c>
      <c r="BT42" s="34" t="s">
        <v>89</v>
      </c>
      <c r="BU42" s="34" t="s">
        <v>89</v>
      </c>
      <c r="BV42" s="34" t="s">
        <v>89</v>
      </c>
      <c r="BW42" s="34" t="s">
        <v>89</v>
      </c>
      <c r="BX42" s="34" t="s">
        <v>89</v>
      </c>
      <c r="BY42" s="34" t="s">
        <v>89</v>
      </c>
      <c r="BZ42" s="34" t="s">
        <v>89</v>
      </c>
      <c r="CA42" s="34" t="s">
        <v>89</v>
      </c>
      <c r="CB42" s="34" t="s">
        <v>89</v>
      </c>
      <c r="CC42" s="34" t="s">
        <v>89</v>
      </c>
      <c r="CD42" s="34" t="s">
        <v>89</v>
      </c>
      <c r="CE42" s="43">
        <v>-0.100729858837606</v>
      </c>
      <c r="CF42" s="43">
        <v>2.50280812821525E-2</v>
      </c>
      <c r="CG42" s="43">
        <v>17.029699999999998</v>
      </c>
      <c r="CH42" s="43">
        <v>-2.6</v>
      </c>
      <c r="CI42" s="43">
        <v>220</v>
      </c>
      <c r="CJ42" s="43">
        <v>1.4032916435887099</v>
      </c>
      <c r="CK42" s="43">
        <v>5.2791906210412698</v>
      </c>
      <c r="CL42" s="43">
        <v>62783</v>
      </c>
      <c r="CM42" s="43">
        <v>49833</v>
      </c>
      <c r="CN42" s="43">
        <v>721</v>
      </c>
      <c r="CO42" s="43">
        <v>-194.19</v>
      </c>
      <c r="CP42" s="43">
        <v>947.74</v>
      </c>
      <c r="CQ42" s="43">
        <v>-194.19</v>
      </c>
      <c r="CR42" s="43">
        <v>947.74</v>
      </c>
      <c r="CS42" s="43">
        <v>0.26486700000000002</v>
      </c>
      <c r="CT42" s="43">
        <v>0.88634187499999995</v>
      </c>
      <c r="CU42" s="43">
        <v>1</v>
      </c>
      <c r="CV42" s="46" t="s">
        <v>89</v>
      </c>
      <c r="CW42" s="34"/>
      <c r="CX42" s="35"/>
    </row>
    <row r="43" spans="1:102" ht="15" customHeight="1" x14ac:dyDescent="0.25">
      <c r="A43" s="33">
        <v>40</v>
      </c>
      <c r="B43" s="43" t="s">
        <v>501</v>
      </c>
      <c r="C43" s="43">
        <v>0.24460000000000001</v>
      </c>
      <c r="D43" s="43">
        <v>0.73599999999999999</v>
      </c>
      <c r="E43" s="43" t="s">
        <v>294</v>
      </c>
      <c r="F43" s="43" t="s">
        <v>311</v>
      </c>
      <c r="G43" s="43" t="s">
        <v>502</v>
      </c>
      <c r="H43" s="43" t="s">
        <v>503</v>
      </c>
      <c r="I43" s="43" t="s">
        <v>504</v>
      </c>
      <c r="J43" s="43" t="s">
        <v>505</v>
      </c>
      <c r="K43" s="53" t="s">
        <v>1954</v>
      </c>
      <c r="L43" s="43" t="s">
        <v>506</v>
      </c>
      <c r="M43" s="51" t="s">
        <v>96</v>
      </c>
      <c r="N43" s="43" t="s">
        <v>304</v>
      </c>
      <c r="O43" s="43" t="s">
        <v>290</v>
      </c>
      <c r="P43" s="43" t="s">
        <v>214</v>
      </c>
      <c r="Q43" s="43" t="s">
        <v>349</v>
      </c>
      <c r="R43" s="43" t="s">
        <v>215</v>
      </c>
      <c r="S43" s="43">
        <v>160.04400000000001</v>
      </c>
      <c r="T43" s="43">
        <v>77.188999999999993</v>
      </c>
      <c r="U43" s="43">
        <v>15.4618</v>
      </c>
      <c r="V43" s="43">
        <v>-18.459</v>
      </c>
      <c r="W43" s="43">
        <v>1</v>
      </c>
      <c r="X43" s="43">
        <v>0</v>
      </c>
      <c r="Y43" s="43">
        <v>9.0999999999999998E-2</v>
      </c>
      <c r="Z43" s="43">
        <v>0.17100000000000001</v>
      </c>
      <c r="AA43" s="43">
        <v>1865.1759999999999</v>
      </c>
      <c r="AB43" s="43">
        <v>0.495</v>
      </c>
      <c r="AC43" s="43">
        <v>7841.0110000000004</v>
      </c>
      <c r="AD43" s="43">
        <v>0.51</v>
      </c>
      <c r="AE43" s="43">
        <v>0.97199999999999998</v>
      </c>
      <c r="AF43" s="43">
        <v>1</v>
      </c>
      <c r="AG43" s="43">
        <v>-15.96</v>
      </c>
      <c r="AH43" s="43">
        <v>74.066000000000003</v>
      </c>
      <c r="AI43" s="43">
        <v>-17.690000000000001</v>
      </c>
      <c r="AJ43" s="43" t="s">
        <v>1423</v>
      </c>
      <c r="AK43" s="43">
        <v>1</v>
      </c>
      <c r="AL43" s="43">
        <v>2</v>
      </c>
      <c r="AM43" s="43">
        <v>1</v>
      </c>
      <c r="AN43" s="43">
        <v>1</v>
      </c>
      <c r="AO43" s="43">
        <v>1</v>
      </c>
      <c r="AP43" s="43">
        <v>1</v>
      </c>
      <c r="AQ43" s="68" t="s">
        <v>1758</v>
      </c>
      <c r="AR43" s="43" t="s">
        <v>507</v>
      </c>
      <c r="AS43" s="43">
        <v>951</v>
      </c>
      <c r="AT43" s="43">
        <v>16.297999999999998</v>
      </c>
      <c r="AU43" s="69">
        <v>-194.19</v>
      </c>
      <c r="AV43" s="69">
        <v>269.39999999999998</v>
      </c>
      <c r="AW43" s="69">
        <v>18254.674800000001</v>
      </c>
      <c r="AX43" s="43">
        <v>0.2452</v>
      </c>
      <c r="AY43" s="69">
        <v>-194.19</v>
      </c>
      <c r="AZ43" s="69">
        <v>269.39999999999998</v>
      </c>
      <c r="BA43" s="69">
        <v>18254.674800000001</v>
      </c>
      <c r="BB43" s="43">
        <v>0.2452</v>
      </c>
      <c r="BC43" s="43">
        <v>1</v>
      </c>
      <c r="BD43" s="43">
        <v>1</v>
      </c>
      <c r="BE43" s="43">
        <v>0</v>
      </c>
      <c r="BF43" s="71" t="s">
        <v>1914</v>
      </c>
      <c r="BG43" s="69">
        <v>14.1114</v>
      </c>
      <c r="BH43" s="69">
        <v>-4.5</v>
      </c>
      <c r="BI43" s="69">
        <v>4.5277000000000003</v>
      </c>
      <c r="BJ43" s="53">
        <v>1</v>
      </c>
      <c r="BK43" s="53">
        <v>3.5999999999999997E-2</v>
      </c>
      <c r="BL43" s="53">
        <v>55.6</v>
      </c>
      <c r="BM43" s="43">
        <v>2</v>
      </c>
      <c r="BN43" s="34" t="s">
        <v>89</v>
      </c>
      <c r="BO43" s="34" t="s">
        <v>89</v>
      </c>
      <c r="BP43" s="34" t="s">
        <v>89</v>
      </c>
      <c r="BQ43" s="34" t="s">
        <v>89</v>
      </c>
      <c r="BR43" s="34" t="s">
        <v>89</v>
      </c>
      <c r="BS43" s="34" t="s">
        <v>89</v>
      </c>
      <c r="BT43" s="34" t="s">
        <v>89</v>
      </c>
      <c r="BU43" s="34" t="s">
        <v>89</v>
      </c>
      <c r="BV43" s="34" t="s">
        <v>89</v>
      </c>
      <c r="BW43" s="34" t="s">
        <v>89</v>
      </c>
      <c r="BX43" s="34" t="s">
        <v>89</v>
      </c>
      <c r="BY43" s="34" t="s">
        <v>89</v>
      </c>
      <c r="BZ43" s="34" t="s">
        <v>89</v>
      </c>
      <c r="CA43" s="34" t="s">
        <v>89</v>
      </c>
      <c r="CB43" s="34" t="s">
        <v>89</v>
      </c>
      <c r="CC43" s="34" t="s">
        <v>89</v>
      </c>
      <c r="CD43" s="34" t="s">
        <v>89</v>
      </c>
      <c r="CE43" s="43">
        <v>2.9417849210922502</v>
      </c>
      <c r="CF43" s="43">
        <v>1</v>
      </c>
      <c r="CG43" s="43">
        <v>-3.5</v>
      </c>
      <c r="CH43" s="43">
        <v>4.5277000000000003</v>
      </c>
      <c r="CI43" s="43">
        <v>-220</v>
      </c>
      <c r="CJ43" s="43">
        <v>-14.9265562329277</v>
      </c>
      <c r="CK43" s="43">
        <v>26.175090124491401</v>
      </c>
      <c r="CL43" s="43">
        <v>0</v>
      </c>
      <c r="CM43" s="43">
        <v>39682</v>
      </c>
      <c r="CN43" s="43">
        <v>951</v>
      </c>
      <c r="CO43" s="43">
        <v>-194.19</v>
      </c>
      <c r="CP43" s="43">
        <v>269.39999999999998</v>
      </c>
      <c r="CQ43" s="43">
        <v>20.72</v>
      </c>
      <c r="CR43" s="43">
        <v>1205804.3278586201</v>
      </c>
      <c r="CS43" s="43">
        <v>0.261853</v>
      </c>
      <c r="CT43" s="43">
        <v>0</v>
      </c>
      <c r="CU43" s="43">
        <v>1</v>
      </c>
      <c r="CV43" s="46" t="s">
        <v>89</v>
      </c>
      <c r="CW43" s="34"/>
      <c r="CX43" s="35"/>
    </row>
    <row r="44" spans="1:102" ht="15" customHeight="1" x14ac:dyDescent="0.25">
      <c r="A44" s="33">
        <v>41</v>
      </c>
      <c r="B44" s="43" t="s">
        <v>1891</v>
      </c>
      <c r="C44" s="43">
        <v>0.47799999999999998</v>
      </c>
      <c r="D44" s="43">
        <v>0.499</v>
      </c>
      <c r="E44" s="43" t="s">
        <v>307</v>
      </c>
      <c r="F44" s="43" t="s">
        <v>202</v>
      </c>
      <c r="G44" s="43" t="s">
        <v>508</v>
      </c>
      <c r="H44" s="43" t="s">
        <v>509</v>
      </c>
      <c r="I44" s="43" t="s">
        <v>510</v>
      </c>
      <c r="J44" s="43" t="s">
        <v>511</v>
      </c>
      <c r="K44" s="53" t="s">
        <v>1955</v>
      </c>
      <c r="L44" s="43" t="s">
        <v>421</v>
      </c>
      <c r="M44" s="51" t="s">
        <v>98</v>
      </c>
      <c r="N44" s="43" t="s">
        <v>316</v>
      </c>
      <c r="O44" s="43" t="s">
        <v>303</v>
      </c>
      <c r="P44" s="43" t="s">
        <v>266</v>
      </c>
      <c r="Q44" s="43" t="s">
        <v>357</v>
      </c>
      <c r="R44" s="43" t="s">
        <v>267</v>
      </c>
      <c r="S44" s="43">
        <v>-65.19</v>
      </c>
      <c r="T44" s="43">
        <v>-145.16900000000001</v>
      </c>
      <c r="U44" s="43">
        <v>30.300699999999999</v>
      </c>
      <c r="V44" s="43">
        <v>-4.0780000000000003</v>
      </c>
      <c r="W44" s="43">
        <v>1</v>
      </c>
      <c r="X44" s="43">
        <v>0</v>
      </c>
      <c r="Y44" s="43">
        <v>1.7999999999999999E-2</v>
      </c>
      <c r="Z44" s="43">
        <v>6.5000000000000002E-2</v>
      </c>
      <c r="AA44" s="43">
        <v>4784.5309999999999</v>
      </c>
      <c r="AB44" s="43">
        <v>0.26500000000000001</v>
      </c>
      <c r="AC44" s="43">
        <v>1499.3989999999999</v>
      </c>
      <c r="AD44" s="43">
        <v>0.44400000000000001</v>
      </c>
      <c r="AE44" s="43">
        <v>0.96099999999999997</v>
      </c>
      <c r="AF44" s="43">
        <v>0</v>
      </c>
      <c r="AG44" s="43">
        <v>-21.076000000000001</v>
      </c>
      <c r="AH44" s="43">
        <v>-149.00299999999999</v>
      </c>
      <c r="AI44" s="43">
        <v>-214.82900000000001</v>
      </c>
      <c r="AJ44" s="43" t="s">
        <v>1424</v>
      </c>
      <c r="AK44" s="43">
        <v>0</v>
      </c>
      <c r="AL44" s="43">
        <v>3</v>
      </c>
      <c r="AM44" s="43">
        <v>0</v>
      </c>
      <c r="AN44" s="43">
        <v>0</v>
      </c>
      <c r="AO44" s="43">
        <v>0</v>
      </c>
      <c r="AP44" s="43">
        <v>0</v>
      </c>
      <c r="AQ44" s="68" t="s">
        <v>1729</v>
      </c>
      <c r="AR44" s="43" t="s">
        <v>512</v>
      </c>
      <c r="AS44" s="43">
        <v>1164</v>
      </c>
      <c r="AT44" s="43">
        <v>22.457000000000001</v>
      </c>
      <c r="AU44" s="69">
        <v>20.7</v>
      </c>
      <c r="AV44" s="69">
        <v>-340.13</v>
      </c>
      <c r="AW44" s="69">
        <v>23862.955900000001</v>
      </c>
      <c r="AX44" s="43">
        <v>0.40489999999999998</v>
      </c>
      <c r="AY44" s="69">
        <v>20.7</v>
      </c>
      <c r="AZ44" s="69">
        <v>-340.13</v>
      </c>
      <c r="BA44" s="69">
        <v>23862.955900000001</v>
      </c>
      <c r="BB44" s="43">
        <v>0.40489999999999998</v>
      </c>
      <c r="BC44" s="43">
        <v>0</v>
      </c>
      <c r="BD44" s="43">
        <v>0</v>
      </c>
      <c r="BE44" s="43">
        <v>0</v>
      </c>
      <c r="BF44" s="69">
        <v>-4.5</v>
      </c>
      <c r="BG44" s="69">
        <v>12.356199999999999</v>
      </c>
      <c r="BH44" s="69">
        <v>-4.5999999999999996</v>
      </c>
      <c r="BI44" s="69">
        <v>3.7265999999999999</v>
      </c>
      <c r="BJ44" s="53">
        <v>0</v>
      </c>
      <c r="BK44" s="53">
        <v>3.6999999999999998E-2</v>
      </c>
      <c r="BL44" s="53">
        <v>56.8</v>
      </c>
      <c r="BM44" s="43">
        <v>2</v>
      </c>
      <c r="BN44" s="34" t="s">
        <v>89</v>
      </c>
      <c r="BO44" s="34" t="s">
        <v>89</v>
      </c>
      <c r="BP44" s="34" t="s">
        <v>89</v>
      </c>
      <c r="BQ44" s="34" t="s">
        <v>89</v>
      </c>
      <c r="BR44" s="34" t="s">
        <v>89</v>
      </c>
      <c r="BS44" s="34" t="s">
        <v>89</v>
      </c>
      <c r="BT44" s="34" t="s">
        <v>89</v>
      </c>
      <c r="BU44" s="34" t="s">
        <v>89</v>
      </c>
      <c r="BV44" s="34" t="s">
        <v>89</v>
      </c>
      <c r="BW44" s="34" t="s">
        <v>89</v>
      </c>
      <c r="BX44" s="34" t="s">
        <v>89</v>
      </c>
      <c r="BY44" s="34" t="s">
        <v>89</v>
      </c>
      <c r="BZ44" s="34" t="s">
        <v>89</v>
      </c>
      <c r="CA44" s="34" t="s">
        <v>89</v>
      </c>
      <c r="CB44" s="34" t="s">
        <v>89</v>
      </c>
      <c r="CC44" s="34" t="s">
        <v>89</v>
      </c>
      <c r="CD44" s="34" t="s">
        <v>89</v>
      </c>
      <c r="CE44" s="43">
        <v>0.27725066643060198</v>
      </c>
      <c r="CF44" s="43">
        <v>-0.269157976262415</v>
      </c>
      <c r="CG44" s="43">
        <v>0</v>
      </c>
      <c r="CH44" s="43">
        <v>0</v>
      </c>
      <c r="CI44" s="43">
        <v>44.323999999999998</v>
      </c>
      <c r="CJ44" s="43">
        <v>13.5686498715006</v>
      </c>
      <c r="CK44" s="43">
        <v>17.179435833607201</v>
      </c>
      <c r="CL44" s="43">
        <v>62980</v>
      </c>
      <c r="CM44" s="43">
        <v>35750</v>
      </c>
      <c r="CN44" s="43">
        <v>1034</v>
      </c>
      <c r="CO44" s="43">
        <v>20.7</v>
      </c>
      <c r="CP44" s="43">
        <v>-340.13</v>
      </c>
      <c r="CQ44" s="43">
        <v>20.7</v>
      </c>
      <c r="CR44" s="43">
        <v>-340.13</v>
      </c>
      <c r="CS44" s="43">
        <v>0.86306637500000005</v>
      </c>
      <c r="CT44" s="43">
        <v>0.631424875</v>
      </c>
      <c r="CU44" s="43">
        <v>1</v>
      </c>
      <c r="CV44" s="46" t="s">
        <v>89</v>
      </c>
      <c r="CW44" s="34"/>
      <c r="CX44" s="35"/>
    </row>
    <row r="45" spans="1:102" ht="15" customHeight="1" x14ac:dyDescent="0.25">
      <c r="A45" s="33">
        <v>42</v>
      </c>
      <c r="B45" s="43" t="s">
        <v>513</v>
      </c>
      <c r="C45" s="43">
        <v>1.9599999999999999E-2</v>
      </c>
      <c r="D45" s="43">
        <v>3.5000000000000003E-2</v>
      </c>
      <c r="E45" s="43" t="s">
        <v>319</v>
      </c>
      <c r="F45" s="43" t="s">
        <v>164</v>
      </c>
      <c r="G45" s="43" t="s">
        <v>514</v>
      </c>
      <c r="H45" s="43" t="s">
        <v>515</v>
      </c>
      <c r="I45" s="43" t="s">
        <v>516</v>
      </c>
      <c r="J45" s="43" t="s">
        <v>517</v>
      </c>
      <c r="K45" s="53" t="s">
        <v>1956</v>
      </c>
      <c r="L45" s="43" t="s">
        <v>431</v>
      </c>
      <c r="M45" s="51" t="s">
        <v>518</v>
      </c>
      <c r="N45" s="43" t="s">
        <v>326</v>
      </c>
      <c r="O45" s="43" t="s">
        <v>315</v>
      </c>
      <c r="P45" s="43" t="s">
        <v>280</v>
      </c>
      <c r="Q45" s="43" t="s">
        <v>367</v>
      </c>
      <c r="R45" s="43" t="s">
        <v>281</v>
      </c>
      <c r="S45" s="43">
        <v>-146.72300000000001</v>
      </c>
      <c r="T45" s="43">
        <v>-100.035</v>
      </c>
      <c r="U45" s="43">
        <v>12.4247</v>
      </c>
      <c r="V45" s="43">
        <v>0.98199999999999998</v>
      </c>
      <c r="W45" s="43">
        <v>0</v>
      </c>
      <c r="X45" s="43">
        <v>0</v>
      </c>
      <c r="Y45" s="43">
        <v>0.19700000000000001</v>
      </c>
      <c r="Z45" s="43">
        <v>0.16600000000000001</v>
      </c>
      <c r="AA45" s="43">
        <v>6671.0010000000002</v>
      </c>
      <c r="AB45" s="43">
        <v>0.59299999999999997</v>
      </c>
      <c r="AC45" s="43">
        <v>3327.9520000000002</v>
      </c>
      <c r="AD45" s="43">
        <v>0.63900000000000001</v>
      </c>
      <c r="AE45" s="43">
        <v>0.96899999999999997</v>
      </c>
      <c r="AF45" s="43">
        <v>0</v>
      </c>
      <c r="AG45" s="43">
        <v>12.797000000000001</v>
      </c>
      <c r="AH45" s="43">
        <v>-124.758</v>
      </c>
      <c r="AI45" s="43">
        <v>-96.331000000000003</v>
      </c>
      <c r="AJ45" s="43" t="s">
        <v>1425</v>
      </c>
      <c r="AK45" s="43">
        <v>0</v>
      </c>
      <c r="AL45" s="43">
        <v>2</v>
      </c>
      <c r="AM45" s="43">
        <v>0</v>
      </c>
      <c r="AN45" s="43">
        <v>0</v>
      </c>
      <c r="AO45" s="43">
        <v>0</v>
      </c>
      <c r="AP45" s="43">
        <v>0</v>
      </c>
      <c r="AQ45" s="68" t="s">
        <v>1730</v>
      </c>
      <c r="AR45" s="43" t="s">
        <v>519</v>
      </c>
      <c r="AS45" s="43">
        <v>3660</v>
      </c>
      <c r="AT45" s="43">
        <v>-5.27</v>
      </c>
      <c r="AU45" s="69">
        <v>-340.13</v>
      </c>
      <c r="AV45" s="69">
        <v>-784.13</v>
      </c>
      <c r="AW45" s="69">
        <v>1838.1208999999999</v>
      </c>
      <c r="AX45" s="43">
        <v>0.16109999999999999</v>
      </c>
      <c r="AY45" s="69">
        <v>-340.13</v>
      </c>
      <c r="AZ45" s="69">
        <v>-784.13</v>
      </c>
      <c r="BA45" s="69">
        <v>1838.1208999999999</v>
      </c>
      <c r="BB45" s="43">
        <v>0.16109999999999999</v>
      </c>
      <c r="BC45" s="43">
        <v>0</v>
      </c>
      <c r="BD45" s="43">
        <v>0</v>
      </c>
      <c r="BE45" s="43">
        <v>0</v>
      </c>
      <c r="BF45" s="69">
        <v>-6.6</v>
      </c>
      <c r="BG45" s="69">
        <v>4.8658000000000001</v>
      </c>
      <c r="BH45" s="69">
        <v>-4.7</v>
      </c>
      <c r="BI45" s="69">
        <v>13.847099999999999</v>
      </c>
      <c r="BJ45" s="53">
        <v>1</v>
      </c>
      <c r="BK45" s="53">
        <v>3.7999999999999999E-2</v>
      </c>
      <c r="BL45" s="53">
        <v>58</v>
      </c>
      <c r="BM45" s="43">
        <v>2</v>
      </c>
      <c r="BN45" s="34" t="s">
        <v>89</v>
      </c>
      <c r="BO45" s="34" t="s">
        <v>89</v>
      </c>
      <c r="BP45" s="34" t="s">
        <v>89</v>
      </c>
      <c r="BQ45" s="34" t="s">
        <v>89</v>
      </c>
      <c r="BR45" s="34" t="s">
        <v>89</v>
      </c>
      <c r="BS45" s="34" t="s">
        <v>89</v>
      </c>
      <c r="BT45" s="34" t="s">
        <v>89</v>
      </c>
      <c r="BU45" s="34" t="s">
        <v>89</v>
      </c>
      <c r="BV45" s="34" t="s">
        <v>89</v>
      </c>
      <c r="BW45" s="34" t="s">
        <v>89</v>
      </c>
      <c r="BX45" s="34" t="s">
        <v>89</v>
      </c>
      <c r="BY45" s="34" t="s">
        <v>89</v>
      </c>
      <c r="BZ45" s="34" t="s">
        <v>89</v>
      </c>
      <c r="CA45" s="34" t="s">
        <v>89</v>
      </c>
      <c r="CB45" s="34" t="s">
        <v>89</v>
      </c>
      <c r="CC45" s="34" t="s">
        <v>89</v>
      </c>
      <c r="CD45" s="34" t="s">
        <v>89</v>
      </c>
      <c r="CE45" s="43">
        <v>-2.7099937375464799E-2</v>
      </c>
      <c r="CF45" s="43">
        <v>1.44114966885694E-2</v>
      </c>
      <c r="CG45" s="43">
        <v>4.8658000000000001</v>
      </c>
      <c r="CH45" s="43">
        <v>13.847099999999999</v>
      </c>
      <c r="CI45" s="43">
        <v>220</v>
      </c>
      <c r="CJ45" s="43">
        <v>-13.7118544177013</v>
      </c>
      <c r="CK45" s="43">
        <v>-15.415003825046799</v>
      </c>
      <c r="CL45" s="43">
        <v>63504</v>
      </c>
      <c r="CM45" s="43">
        <v>14093</v>
      </c>
      <c r="CN45" s="43">
        <v>593</v>
      </c>
      <c r="CO45" s="43">
        <v>-340.13</v>
      </c>
      <c r="CP45" s="43">
        <v>-784.13</v>
      </c>
      <c r="CQ45" s="43">
        <v>-340.13</v>
      </c>
      <c r="CR45" s="43">
        <v>-784.13</v>
      </c>
      <c r="CS45" s="43">
        <v>1</v>
      </c>
      <c r="CT45" s="43">
        <v>1</v>
      </c>
      <c r="CU45" s="43">
        <v>1</v>
      </c>
      <c r="CV45" s="46" t="s">
        <v>89</v>
      </c>
      <c r="CW45" s="34"/>
      <c r="CX45" s="35"/>
    </row>
    <row r="46" spans="1:102" ht="15" customHeight="1" x14ac:dyDescent="0.25">
      <c r="A46" s="33">
        <v>43</v>
      </c>
      <c r="B46" s="43" t="s">
        <v>520</v>
      </c>
      <c r="C46" s="43">
        <v>4.4299999999999999E-2</v>
      </c>
      <c r="D46" s="43">
        <v>0.129</v>
      </c>
      <c r="E46" s="43" t="s">
        <v>329</v>
      </c>
      <c r="F46" s="43" t="s">
        <v>178</v>
      </c>
      <c r="G46" s="43" t="s">
        <v>521</v>
      </c>
      <c r="H46" s="43" t="s">
        <v>522</v>
      </c>
      <c r="I46" s="43" t="s">
        <v>523</v>
      </c>
      <c r="J46" s="43" t="s">
        <v>524</v>
      </c>
      <c r="K46" s="53" t="s">
        <v>1957</v>
      </c>
      <c r="L46" s="43" t="s">
        <v>443</v>
      </c>
      <c r="M46" s="51" t="s">
        <v>525</v>
      </c>
      <c r="N46" s="43" t="s">
        <v>526</v>
      </c>
      <c r="O46" s="43" t="s">
        <v>325</v>
      </c>
      <c r="P46" s="43" t="s">
        <v>293</v>
      </c>
      <c r="Q46" s="43" t="s">
        <v>527</v>
      </c>
      <c r="R46" s="43" t="s">
        <v>215</v>
      </c>
      <c r="S46" s="43">
        <v>-208.28800000000001</v>
      </c>
      <c r="T46" s="43">
        <v>-184.52199999999999</v>
      </c>
      <c r="U46" s="43">
        <v>24.312799999999999</v>
      </c>
      <c r="V46" s="43">
        <v>22.489000000000001</v>
      </c>
      <c r="W46" s="43">
        <v>0</v>
      </c>
      <c r="X46" s="43">
        <v>0</v>
      </c>
      <c r="Y46" s="43">
        <v>0.112</v>
      </c>
      <c r="Z46" s="43">
        <v>6.0999999999999999E-2</v>
      </c>
      <c r="AA46" s="43">
        <v>1324.8009999999999</v>
      </c>
      <c r="AB46" s="43">
        <v>0.28699999999999998</v>
      </c>
      <c r="AC46" s="43">
        <v>754.98099999999999</v>
      </c>
      <c r="AD46" s="43">
        <v>0.20300000000000001</v>
      </c>
      <c r="AE46" s="43">
        <v>0.95699999999999996</v>
      </c>
      <c r="AF46" s="43">
        <v>0</v>
      </c>
      <c r="AG46" s="43">
        <v>0.54200000000000004</v>
      </c>
      <c r="AH46" s="43">
        <v>50.061</v>
      </c>
      <c r="AI46" s="43">
        <v>-168.113</v>
      </c>
      <c r="AJ46" s="43" t="s">
        <v>1426</v>
      </c>
      <c r="AK46" s="43">
        <v>0</v>
      </c>
      <c r="AL46" s="43">
        <v>0</v>
      </c>
      <c r="AM46" s="43">
        <v>0</v>
      </c>
      <c r="AN46" s="43">
        <v>1</v>
      </c>
      <c r="AO46" s="43">
        <v>0</v>
      </c>
      <c r="AP46" s="43">
        <v>0</v>
      </c>
      <c r="AQ46" s="43" t="s">
        <v>528</v>
      </c>
      <c r="AR46" s="43" t="s">
        <v>529</v>
      </c>
      <c r="AS46" s="43">
        <v>2573</v>
      </c>
      <c r="AT46" s="43">
        <v>5.8109999999999999</v>
      </c>
      <c r="AU46" s="69">
        <v>22.24</v>
      </c>
      <c r="AV46" s="69">
        <v>386.22</v>
      </c>
      <c r="AW46" s="69">
        <v>30983.165099999998</v>
      </c>
      <c r="AX46" s="43">
        <v>0.32819999999999999</v>
      </c>
      <c r="AY46" s="69">
        <v>22.24</v>
      </c>
      <c r="AZ46" s="69">
        <v>386.22</v>
      </c>
      <c r="BA46" s="69">
        <v>30983.165099999998</v>
      </c>
      <c r="BB46" s="43">
        <v>0.32819999999999999</v>
      </c>
      <c r="BC46" s="43">
        <v>0</v>
      </c>
      <c r="BD46" s="43">
        <v>0</v>
      </c>
      <c r="BE46" s="43">
        <v>0</v>
      </c>
      <c r="BF46" s="69">
        <v>-4.5999999999999996</v>
      </c>
      <c r="BG46" s="69">
        <v>26.785499999999999</v>
      </c>
      <c r="BH46" s="69">
        <v>-4.8</v>
      </c>
      <c r="BI46" s="69">
        <v>14.0341</v>
      </c>
      <c r="BJ46" s="43">
        <v>0</v>
      </c>
      <c r="BK46" s="53">
        <v>3.9E-2</v>
      </c>
      <c r="BL46" s="53">
        <v>59.2</v>
      </c>
      <c r="BM46" s="43">
        <v>2</v>
      </c>
      <c r="BN46" s="34" t="s">
        <v>89</v>
      </c>
      <c r="BO46" s="34" t="s">
        <v>89</v>
      </c>
      <c r="BP46" s="34" t="s">
        <v>89</v>
      </c>
      <c r="BQ46" s="34" t="s">
        <v>89</v>
      </c>
      <c r="BR46" s="34" t="s">
        <v>89</v>
      </c>
      <c r="BS46" s="34" t="s">
        <v>89</v>
      </c>
      <c r="BT46" s="34" t="s">
        <v>89</v>
      </c>
      <c r="BU46" s="34" t="s">
        <v>89</v>
      </c>
      <c r="BV46" s="34" t="s">
        <v>89</v>
      </c>
      <c r="BW46" s="34" t="s">
        <v>89</v>
      </c>
      <c r="BX46" s="34" t="s">
        <v>89</v>
      </c>
      <c r="BY46" s="34" t="s">
        <v>89</v>
      </c>
      <c r="BZ46" s="34" t="s">
        <v>89</v>
      </c>
      <c r="CA46" s="34" t="s">
        <v>89</v>
      </c>
      <c r="CB46" s="34" t="s">
        <v>89</v>
      </c>
      <c r="CC46" s="34" t="s">
        <v>89</v>
      </c>
      <c r="CD46" s="34" t="s">
        <v>89</v>
      </c>
      <c r="CE46" s="43">
        <v>3.2335963069844098E-2</v>
      </c>
      <c r="CF46" s="43">
        <v>-0.29027902004436901</v>
      </c>
      <c r="CG46" s="43">
        <v>0</v>
      </c>
      <c r="CH46" s="43">
        <v>0</v>
      </c>
      <c r="CI46" s="43">
        <v>220</v>
      </c>
      <c r="CJ46" s="43">
        <v>-8.3702113015109791</v>
      </c>
      <c r="CK46" s="43">
        <v>8.0198064647433291</v>
      </c>
      <c r="CL46" s="43">
        <v>62717</v>
      </c>
      <c r="CM46" s="43">
        <v>31516</v>
      </c>
      <c r="CN46" s="43">
        <v>96</v>
      </c>
      <c r="CO46" s="43">
        <v>22.24</v>
      </c>
      <c r="CP46" s="43">
        <v>386.22</v>
      </c>
      <c r="CQ46" s="43">
        <v>22.24</v>
      </c>
      <c r="CR46" s="43">
        <v>386.22</v>
      </c>
      <c r="CS46" s="43">
        <v>0.121399875</v>
      </c>
      <c r="CT46" s="43">
        <v>0.297372625</v>
      </c>
      <c r="CU46" s="43">
        <v>1</v>
      </c>
      <c r="CV46" s="46" t="s">
        <v>89</v>
      </c>
      <c r="CW46" s="34"/>
      <c r="CX46" s="35"/>
    </row>
    <row r="47" spans="1:102" ht="15" customHeight="1" x14ac:dyDescent="0.25">
      <c r="A47" s="33">
        <v>44</v>
      </c>
      <c r="B47" s="43" t="s">
        <v>530</v>
      </c>
      <c r="C47" s="43">
        <v>0.16980000000000001</v>
      </c>
      <c r="D47" s="43">
        <v>0.65</v>
      </c>
      <c r="E47" s="43" t="s">
        <v>426</v>
      </c>
      <c r="F47" s="43" t="s">
        <v>236</v>
      </c>
      <c r="G47" s="43" t="s">
        <v>531</v>
      </c>
      <c r="H47" s="43" t="s">
        <v>532</v>
      </c>
      <c r="I47" s="43" t="s">
        <v>533</v>
      </c>
      <c r="J47" s="43" t="s">
        <v>534</v>
      </c>
      <c r="K47" s="53" t="s">
        <v>1958</v>
      </c>
      <c r="L47" s="43" t="s">
        <v>450</v>
      </c>
      <c r="M47" s="43" t="s">
        <v>535</v>
      </c>
      <c r="N47" s="51" t="s">
        <v>183</v>
      </c>
      <c r="O47" s="43" t="s">
        <v>536</v>
      </c>
      <c r="P47" s="43" t="s">
        <v>306</v>
      </c>
      <c r="Q47" s="43" t="s">
        <v>378</v>
      </c>
      <c r="R47" s="43" t="s">
        <v>215</v>
      </c>
      <c r="S47" s="43">
        <v>31.587</v>
      </c>
      <c r="T47" s="43">
        <v>-197.35499999999999</v>
      </c>
      <c r="U47" s="43">
        <v>18.077200000000001</v>
      </c>
      <c r="V47" s="43">
        <v>-4.9669999999999996</v>
      </c>
      <c r="W47" s="43">
        <v>1</v>
      </c>
      <c r="X47" s="43">
        <v>1</v>
      </c>
      <c r="Y47" s="43">
        <v>2.7E-2</v>
      </c>
      <c r="Z47" s="43">
        <v>7.0000000000000007E-2</v>
      </c>
      <c r="AA47" s="43">
        <v>771.37300000000005</v>
      </c>
      <c r="AB47" s="43">
        <v>0.60299999999999998</v>
      </c>
      <c r="AC47" s="43">
        <v>798.94</v>
      </c>
      <c r="AD47" s="43">
        <v>0.88700000000000001</v>
      </c>
      <c r="AE47" s="43">
        <v>0.996</v>
      </c>
      <c r="AF47" s="43">
        <v>0</v>
      </c>
      <c r="AG47" s="43">
        <v>-20.119</v>
      </c>
      <c r="AH47" s="43">
        <v>-207.91800000000001</v>
      </c>
      <c r="AI47" s="43">
        <v>-5.6630000000000003</v>
      </c>
      <c r="AJ47" s="43" t="s">
        <v>1427</v>
      </c>
      <c r="AK47" s="43">
        <v>0</v>
      </c>
      <c r="AL47" s="43">
        <v>1</v>
      </c>
      <c r="AM47" s="43">
        <v>0</v>
      </c>
      <c r="AN47" s="43">
        <v>0</v>
      </c>
      <c r="AO47" s="43">
        <v>0</v>
      </c>
      <c r="AP47" s="43">
        <v>0</v>
      </c>
      <c r="AQ47" s="68" t="s">
        <v>1759</v>
      </c>
      <c r="AR47" s="43" t="s">
        <v>537</v>
      </c>
      <c r="AS47" s="43">
        <v>1243</v>
      </c>
      <c r="AT47" s="43">
        <v>-7.0910000000000002</v>
      </c>
      <c r="AU47" s="69">
        <v>-43.17</v>
      </c>
      <c r="AV47" s="69">
        <v>-627.17999999999995</v>
      </c>
      <c r="AW47" s="69">
        <v>8419.6921999999995</v>
      </c>
      <c r="AX47" s="43">
        <v>1.5100000000000001E-2</v>
      </c>
      <c r="AY47" s="69">
        <v>-43.17</v>
      </c>
      <c r="AZ47" s="69">
        <v>-627.17999999999995</v>
      </c>
      <c r="BA47" s="69">
        <v>8419.6921999999995</v>
      </c>
      <c r="BB47" s="43">
        <v>1.5100000000000001E-2</v>
      </c>
      <c r="BC47" s="43">
        <v>0</v>
      </c>
      <c r="BD47" s="43">
        <v>0</v>
      </c>
      <c r="BE47" s="43">
        <v>0</v>
      </c>
      <c r="BF47" s="43">
        <v>-5.5</v>
      </c>
      <c r="BG47" s="43">
        <v>10.933400000000001</v>
      </c>
      <c r="BH47" s="69">
        <v>-4.9000000000000004</v>
      </c>
      <c r="BI47" s="69">
        <v>18.698599999999999</v>
      </c>
      <c r="BJ47" s="43">
        <v>1</v>
      </c>
      <c r="BK47" s="53">
        <v>0.04</v>
      </c>
      <c r="BL47" s="53">
        <v>60.4</v>
      </c>
      <c r="BM47" s="43">
        <v>2</v>
      </c>
      <c r="BN47" s="34" t="s">
        <v>89</v>
      </c>
      <c r="BO47" s="34" t="s">
        <v>89</v>
      </c>
      <c r="BP47" s="34" t="s">
        <v>89</v>
      </c>
      <c r="BQ47" s="34" t="s">
        <v>89</v>
      </c>
      <c r="BR47" s="34" t="s">
        <v>89</v>
      </c>
      <c r="BS47" s="34" t="s">
        <v>89</v>
      </c>
      <c r="BT47" s="34" t="s">
        <v>89</v>
      </c>
      <c r="BU47" s="34" t="s">
        <v>89</v>
      </c>
      <c r="BV47" s="34" t="s">
        <v>89</v>
      </c>
      <c r="BW47" s="34" t="s">
        <v>89</v>
      </c>
      <c r="BX47" s="34" t="s">
        <v>89</v>
      </c>
      <c r="BY47" s="34" t="s">
        <v>89</v>
      </c>
      <c r="BZ47" s="34" t="s">
        <v>89</v>
      </c>
      <c r="CA47" s="34" t="s">
        <v>89</v>
      </c>
      <c r="CB47" s="34" t="s">
        <v>89</v>
      </c>
      <c r="CC47" s="34" t="s">
        <v>89</v>
      </c>
      <c r="CD47" s="34" t="s">
        <v>89</v>
      </c>
      <c r="CE47" s="43">
        <v>0.12649007262517201</v>
      </c>
      <c r="CF47" s="43">
        <v>4.8482595765150099E-2</v>
      </c>
      <c r="CG47" s="43">
        <v>0</v>
      </c>
      <c r="CH47" s="43">
        <v>0</v>
      </c>
      <c r="CI47" s="43">
        <v>-52.267000000000003</v>
      </c>
      <c r="CJ47" s="43">
        <v>-4.2684029739957101E-2</v>
      </c>
      <c r="CK47" s="43">
        <v>-26.254525302644598</v>
      </c>
      <c r="CL47" s="43">
        <v>65273</v>
      </c>
      <c r="CM47" s="43">
        <v>31072</v>
      </c>
      <c r="CN47" s="43">
        <v>367</v>
      </c>
      <c r="CO47" s="43">
        <v>-43.17</v>
      </c>
      <c r="CP47" s="43">
        <v>-627.17999999999995</v>
      </c>
      <c r="CQ47" s="43">
        <v>-43.17</v>
      </c>
      <c r="CR47" s="43">
        <v>-627.17999999999995</v>
      </c>
      <c r="CS47" s="43">
        <v>0.69942162500000005</v>
      </c>
      <c r="CT47" s="43">
        <v>0.98686750000000001</v>
      </c>
      <c r="CU47" s="43">
        <v>1</v>
      </c>
      <c r="CV47" s="46" t="s">
        <v>89</v>
      </c>
      <c r="CW47" s="34"/>
      <c r="CX47" s="35"/>
    </row>
    <row r="48" spans="1:102" ht="15" customHeight="1" x14ac:dyDescent="0.25">
      <c r="A48" s="33">
        <v>45</v>
      </c>
      <c r="B48" s="43" t="s">
        <v>538</v>
      </c>
      <c r="C48" s="43">
        <v>0.33560000000000001</v>
      </c>
      <c r="D48" s="43">
        <v>0.85199999999999998</v>
      </c>
      <c r="E48" s="43" t="s">
        <v>341</v>
      </c>
      <c r="F48" s="43" t="s">
        <v>252</v>
      </c>
      <c r="G48" s="43" t="s">
        <v>539</v>
      </c>
      <c r="H48" s="43" t="s">
        <v>540</v>
      </c>
      <c r="I48" s="43" t="s">
        <v>541</v>
      </c>
      <c r="J48" s="43" t="s">
        <v>542</v>
      </c>
      <c r="K48" s="53" t="s">
        <v>1959</v>
      </c>
      <c r="L48" s="43" t="s">
        <v>457</v>
      </c>
      <c r="M48" s="43" t="s">
        <v>543</v>
      </c>
      <c r="N48" s="51" t="s">
        <v>187</v>
      </c>
      <c r="O48" s="43" t="s">
        <v>337</v>
      </c>
      <c r="P48" s="43" t="s">
        <v>318</v>
      </c>
      <c r="Q48" s="43" t="s">
        <v>392</v>
      </c>
      <c r="R48" s="43" t="s">
        <v>267</v>
      </c>
      <c r="S48" s="43">
        <v>-133.947</v>
      </c>
      <c r="T48" s="43">
        <v>152.01599999999999</v>
      </c>
      <c r="U48" s="43">
        <v>1.0876999999999999</v>
      </c>
      <c r="V48" s="43">
        <v>6.1760000000000002</v>
      </c>
      <c r="W48" s="43">
        <v>0</v>
      </c>
      <c r="X48" s="43">
        <v>1</v>
      </c>
      <c r="Y48" s="43">
        <v>1.2E-2</v>
      </c>
      <c r="Z48" s="43">
        <v>0.17899999999999999</v>
      </c>
      <c r="AA48" s="43">
        <v>2475.8110000000001</v>
      </c>
      <c r="AB48" s="43">
        <v>0.433</v>
      </c>
      <c r="AC48" s="43">
        <v>2645.0639999999999</v>
      </c>
      <c r="AD48" s="43">
        <v>1.0999999999999999E-2</v>
      </c>
      <c r="AE48" s="43">
        <v>0.96199999999999997</v>
      </c>
      <c r="AF48" s="43">
        <v>1</v>
      </c>
      <c r="AG48" s="43">
        <v>-1.27</v>
      </c>
      <c r="AH48" s="43">
        <v>-198.286</v>
      </c>
      <c r="AI48" s="43">
        <v>114.947</v>
      </c>
      <c r="AJ48" s="43" t="s">
        <v>1428</v>
      </c>
      <c r="AK48" s="43">
        <v>1</v>
      </c>
      <c r="AL48" s="43">
        <v>1</v>
      </c>
      <c r="AM48" s="43">
        <v>0</v>
      </c>
      <c r="AN48" s="43">
        <v>0</v>
      </c>
      <c r="AO48" s="43">
        <v>0</v>
      </c>
      <c r="AP48" s="43">
        <v>0</v>
      </c>
      <c r="AQ48" s="68" t="s">
        <v>1760</v>
      </c>
      <c r="AR48" s="43" t="s">
        <v>544</v>
      </c>
      <c r="AS48" s="43">
        <v>1956</v>
      </c>
      <c r="AT48" s="43">
        <v>16.945</v>
      </c>
      <c r="AU48" s="69">
        <v>-43.17</v>
      </c>
      <c r="AV48" s="69">
        <v>-10.210000000000001</v>
      </c>
      <c r="AW48" s="69">
        <v>12079.872300000001</v>
      </c>
      <c r="AX48" s="43">
        <v>0.62070000000000003</v>
      </c>
      <c r="AY48" s="69">
        <v>-43.17</v>
      </c>
      <c r="AZ48" s="69">
        <v>-10.210000000000001</v>
      </c>
      <c r="BA48" s="69">
        <v>12079.872300000001</v>
      </c>
      <c r="BB48" s="43">
        <v>0.62070000000000003</v>
      </c>
      <c r="BC48" s="43">
        <v>1</v>
      </c>
      <c r="BD48" s="43">
        <v>1</v>
      </c>
      <c r="BE48" s="43">
        <v>0</v>
      </c>
      <c r="BF48" s="43">
        <v>-6.5</v>
      </c>
      <c r="BG48" s="43">
        <v>0.6149</v>
      </c>
      <c r="BH48" s="69">
        <v>-4.0999999999999996</v>
      </c>
      <c r="BI48" s="69">
        <v>7.7065000000000001</v>
      </c>
      <c r="BJ48" s="43">
        <v>0</v>
      </c>
      <c r="BK48" s="53">
        <v>4.1000000000000002E-2</v>
      </c>
      <c r="BL48" s="53">
        <v>61.6</v>
      </c>
      <c r="BM48" s="43">
        <v>2</v>
      </c>
      <c r="BN48" s="34" t="s">
        <v>89</v>
      </c>
      <c r="BO48" s="34" t="s">
        <v>89</v>
      </c>
      <c r="BP48" s="34" t="s">
        <v>89</v>
      </c>
      <c r="BQ48" s="34" t="s">
        <v>89</v>
      </c>
      <c r="BR48" s="34" t="s">
        <v>89</v>
      </c>
      <c r="BS48" s="34" t="s">
        <v>89</v>
      </c>
      <c r="BT48" s="34" t="s">
        <v>89</v>
      </c>
      <c r="BU48" s="34" t="s">
        <v>89</v>
      </c>
      <c r="BV48" s="34" t="s">
        <v>89</v>
      </c>
      <c r="BW48" s="34" t="s">
        <v>89</v>
      </c>
      <c r="BX48" s="34" t="s">
        <v>89</v>
      </c>
      <c r="BY48" s="34" t="s">
        <v>89</v>
      </c>
      <c r="BZ48" s="34" t="s">
        <v>89</v>
      </c>
      <c r="CA48" s="34" t="s">
        <v>89</v>
      </c>
      <c r="CB48" s="34" t="s">
        <v>89</v>
      </c>
      <c r="CC48" s="34" t="s">
        <v>89</v>
      </c>
      <c r="CD48" s="34" t="s">
        <v>89</v>
      </c>
      <c r="CE48" s="43">
        <v>1.4249155999013601E-4</v>
      </c>
      <c r="CF48" s="43">
        <v>1</v>
      </c>
      <c r="CG48" s="43">
        <v>0</v>
      </c>
      <c r="CH48" s="43">
        <v>0</v>
      </c>
      <c r="CI48" s="43">
        <v>-220</v>
      </c>
      <c r="CJ48" s="43">
        <v>1.73219492341639E-2</v>
      </c>
      <c r="CK48" s="43">
        <v>-4.80996880967795</v>
      </c>
      <c r="CL48" s="43">
        <v>0</v>
      </c>
      <c r="CM48" s="43">
        <v>30128</v>
      </c>
      <c r="CN48" s="43">
        <v>1956</v>
      </c>
      <c r="CO48" s="43">
        <v>15.196</v>
      </c>
      <c r="CP48" s="43">
        <v>-76571.705942588102</v>
      </c>
      <c r="CQ48" s="43">
        <v>5.3310000000000004</v>
      </c>
      <c r="CR48" s="43">
        <v>-76577.829148088102</v>
      </c>
      <c r="CS48" s="43">
        <v>0.74247637499999997</v>
      </c>
      <c r="CT48" s="43">
        <v>0.34163300000000002</v>
      </c>
      <c r="CU48" s="43">
        <v>1</v>
      </c>
      <c r="CV48" s="46" t="s">
        <v>89</v>
      </c>
      <c r="CW48" s="34"/>
      <c r="CX48" s="35"/>
    </row>
    <row r="49" spans="1:102" ht="15" customHeight="1" x14ac:dyDescent="0.25">
      <c r="A49" s="33">
        <v>46</v>
      </c>
      <c r="B49" s="43" t="s">
        <v>545</v>
      </c>
      <c r="C49" s="43">
        <v>0.97609999999999997</v>
      </c>
      <c r="D49" s="43">
        <v>0.83699999999999997</v>
      </c>
      <c r="E49" s="43" t="s">
        <v>546</v>
      </c>
      <c r="F49" s="43" t="s">
        <v>215</v>
      </c>
      <c r="G49" s="43" t="s">
        <v>547</v>
      </c>
      <c r="H49" s="43" t="s">
        <v>548</v>
      </c>
      <c r="I49" s="43" t="s">
        <v>549</v>
      </c>
      <c r="J49" s="43" t="s">
        <v>550</v>
      </c>
      <c r="K49" s="53" t="s">
        <v>1960</v>
      </c>
      <c r="L49" s="43" t="s">
        <v>551</v>
      </c>
      <c r="M49" s="43" t="s">
        <v>552</v>
      </c>
      <c r="N49" s="51" t="s">
        <v>356</v>
      </c>
      <c r="O49" s="43" t="s">
        <v>347</v>
      </c>
      <c r="P49" s="43" t="s">
        <v>328</v>
      </c>
      <c r="Q49" s="43" t="s">
        <v>403</v>
      </c>
      <c r="R49" s="43" t="s">
        <v>281</v>
      </c>
      <c r="S49" s="43">
        <v>-105.246</v>
      </c>
      <c r="T49" s="43">
        <v>54.112000000000002</v>
      </c>
      <c r="U49" s="43">
        <v>11.531499999999999</v>
      </c>
      <c r="V49" s="43">
        <v>2.4140000000000001</v>
      </c>
      <c r="W49" s="43">
        <v>0</v>
      </c>
      <c r="X49" s="43">
        <v>1</v>
      </c>
      <c r="Y49" s="43">
        <v>2.9000000000000001E-2</v>
      </c>
      <c r="Z49" s="43">
        <v>4.2999999999999997E-2</v>
      </c>
      <c r="AA49" s="43">
        <v>4075.9789999999998</v>
      </c>
      <c r="AB49" s="43">
        <v>0.89100000000000001</v>
      </c>
      <c r="AC49" s="43">
        <v>1135.191</v>
      </c>
      <c r="AD49" s="43">
        <v>0.76700000000000002</v>
      </c>
      <c r="AE49" s="43">
        <v>0.95799999999999996</v>
      </c>
      <c r="AF49" s="43">
        <v>1</v>
      </c>
      <c r="AG49" s="43">
        <v>-11.457000000000001</v>
      </c>
      <c r="AH49" s="43">
        <v>136.34100000000001</v>
      </c>
      <c r="AI49" s="43">
        <v>3.8929999999999998</v>
      </c>
      <c r="AJ49" s="43" t="s">
        <v>1429</v>
      </c>
      <c r="AK49" s="43">
        <v>1</v>
      </c>
      <c r="AL49" s="43">
        <v>0</v>
      </c>
      <c r="AM49" s="43">
        <v>1</v>
      </c>
      <c r="AN49" s="43">
        <v>1</v>
      </c>
      <c r="AO49" s="43">
        <v>1</v>
      </c>
      <c r="AP49" s="43">
        <v>1</v>
      </c>
      <c r="AQ49" s="68" t="s">
        <v>1761</v>
      </c>
      <c r="AR49" s="43" t="s">
        <v>553</v>
      </c>
      <c r="AS49" s="43">
        <v>1889</v>
      </c>
      <c r="AT49" s="43">
        <v>0.67</v>
      </c>
      <c r="AU49" s="69">
        <v>267.12</v>
      </c>
      <c r="AV49" s="69">
        <v>570.70000000000005</v>
      </c>
      <c r="AW49" s="69">
        <v>47476.584799999997</v>
      </c>
      <c r="AX49" s="43">
        <v>0.87829999999999997</v>
      </c>
      <c r="AY49" s="69">
        <v>267.12</v>
      </c>
      <c r="AZ49" s="69">
        <v>570.70000000000005</v>
      </c>
      <c r="BA49" s="69">
        <v>47476.584799999997</v>
      </c>
      <c r="BB49" s="43">
        <v>0.87829999999999997</v>
      </c>
      <c r="BC49" s="43">
        <v>1</v>
      </c>
      <c r="BD49" s="43">
        <v>1</v>
      </c>
      <c r="BE49" s="43">
        <v>0</v>
      </c>
      <c r="BF49" s="43">
        <v>-7.5</v>
      </c>
      <c r="BG49" s="43">
        <v>0.20569999999999999</v>
      </c>
      <c r="BH49" s="43">
        <v>-7.5</v>
      </c>
      <c r="BI49" s="43">
        <v>6.8696999999999999</v>
      </c>
      <c r="BJ49" s="43">
        <v>1</v>
      </c>
      <c r="BK49" s="53">
        <v>4.2000000000000003E-2</v>
      </c>
      <c r="BL49" s="53">
        <v>62.8</v>
      </c>
      <c r="BM49" s="43">
        <v>2</v>
      </c>
      <c r="BN49" s="34" t="s">
        <v>89</v>
      </c>
      <c r="BO49" s="34" t="s">
        <v>89</v>
      </c>
      <c r="BP49" s="34" t="s">
        <v>89</v>
      </c>
      <c r="BQ49" s="34" t="s">
        <v>89</v>
      </c>
      <c r="BR49" s="34" t="s">
        <v>89</v>
      </c>
      <c r="BS49" s="34" t="s">
        <v>89</v>
      </c>
      <c r="BT49" s="34" t="s">
        <v>89</v>
      </c>
      <c r="BU49" s="34" t="s">
        <v>89</v>
      </c>
      <c r="BV49" s="34" t="s">
        <v>89</v>
      </c>
      <c r="BW49" s="34" t="s">
        <v>89</v>
      </c>
      <c r="BX49" s="34" t="s">
        <v>89</v>
      </c>
      <c r="BY49" s="34" t="s">
        <v>89</v>
      </c>
      <c r="BZ49" s="34" t="s">
        <v>89</v>
      </c>
      <c r="CA49" s="34" t="s">
        <v>89</v>
      </c>
      <c r="CB49" s="34" t="s">
        <v>89</v>
      </c>
      <c r="CC49" s="34" t="s">
        <v>89</v>
      </c>
      <c r="CD49" s="34" t="s">
        <v>89</v>
      </c>
      <c r="CE49" s="43">
        <v>0.31195484178972999</v>
      </c>
      <c r="CF49" s="43">
        <v>1</v>
      </c>
      <c r="CG49" s="43">
        <v>0</v>
      </c>
      <c r="CH49" s="43">
        <v>0</v>
      </c>
      <c r="CI49" s="43">
        <v>-106.254</v>
      </c>
      <c r="CJ49" s="43">
        <v>11.552237786312199</v>
      </c>
      <c r="CK49" s="43">
        <v>27.359038837804601</v>
      </c>
      <c r="CL49" s="43">
        <v>0</v>
      </c>
      <c r="CM49" s="43">
        <v>25896</v>
      </c>
      <c r="CN49" s="43">
        <v>1889</v>
      </c>
      <c r="CO49" s="43">
        <v>267.12</v>
      </c>
      <c r="CP49" s="43">
        <v>570.70000000000005</v>
      </c>
      <c r="CQ49" s="43">
        <v>20.582999999999998</v>
      </c>
      <c r="CR49" s="43">
        <v>23797691.8936546</v>
      </c>
      <c r="CS49" s="43">
        <v>0.38150262499999998</v>
      </c>
      <c r="CT49" s="43">
        <v>0.62510112500000004</v>
      </c>
      <c r="CU49" s="43">
        <v>1</v>
      </c>
      <c r="CV49" s="46" t="s">
        <v>89</v>
      </c>
      <c r="CW49" s="34"/>
      <c r="CX49" s="35"/>
    </row>
    <row r="50" spans="1:102" ht="15" customHeight="1" x14ac:dyDescent="0.25">
      <c r="A50" s="33">
        <v>47</v>
      </c>
      <c r="B50" s="43" t="s">
        <v>554</v>
      </c>
      <c r="C50" s="43">
        <v>0.12839999999999999</v>
      </c>
      <c r="D50" s="43">
        <v>0.42799999999999999</v>
      </c>
      <c r="E50" s="43" t="s">
        <v>555</v>
      </c>
      <c r="F50" s="43" t="s">
        <v>267</v>
      </c>
      <c r="G50" s="43" t="s">
        <v>556</v>
      </c>
      <c r="H50" s="43" t="s">
        <v>557</v>
      </c>
      <c r="I50" s="43" t="s">
        <v>558</v>
      </c>
      <c r="J50" s="43" t="s">
        <v>559</v>
      </c>
      <c r="K50" s="53" t="s">
        <v>1961</v>
      </c>
      <c r="L50" s="43" t="s">
        <v>560</v>
      </c>
      <c r="M50" s="43" t="s">
        <v>499</v>
      </c>
      <c r="N50" s="43" t="s">
        <v>366</v>
      </c>
      <c r="O50" s="51" t="s">
        <v>183</v>
      </c>
      <c r="P50" s="43" t="s">
        <v>561</v>
      </c>
      <c r="Q50" s="43" t="s">
        <v>411</v>
      </c>
      <c r="R50" s="43" t="s">
        <v>294</v>
      </c>
      <c r="S50" s="43">
        <v>-213.02699999999999</v>
      </c>
      <c r="T50" s="43">
        <v>-17.690000000000001</v>
      </c>
      <c r="U50" s="43">
        <v>10.270799999999999</v>
      </c>
      <c r="V50" s="43">
        <v>17.890999999999998</v>
      </c>
      <c r="W50" s="43">
        <v>1</v>
      </c>
      <c r="X50" s="43">
        <v>1</v>
      </c>
      <c r="Y50" s="43">
        <v>0.16400000000000001</v>
      </c>
      <c r="Z50" s="43">
        <v>4.7E-2</v>
      </c>
      <c r="AA50" s="43">
        <v>6201.1369999999997</v>
      </c>
      <c r="AB50" s="43">
        <v>0.97899999999999998</v>
      </c>
      <c r="AC50" s="43">
        <v>194.55699999999999</v>
      </c>
      <c r="AD50" s="43">
        <v>0.84499999999999997</v>
      </c>
      <c r="AE50" s="43">
        <v>0.97199999999999998</v>
      </c>
      <c r="AF50" s="43">
        <v>0</v>
      </c>
      <c r="AG50" s="43">
        <v>-12.818</v>
      </c>
      <c r="AH50" s="43">
        <v>59.731999999999999</v>
      </c>
      <c r="AI50" s="43">
        <v>45.378</v>
      </c>
      <c r="AJ50" s="43" t="s">
        <v>1430</v>
      </c>
      <c r="AK50" s="43">
        <v>0</v>
      </c>
      <c r="AL50" s="43">
        <v>0</v>
      </c>
      <c r="AM50" s="43">
        <v>1</v>
      </c>
      <c r="AN50" s="43">
        <v>1</v>
      </c>
      <c r="AO50" s="43">
        <v>1</v>
      </c>
      <c r="AP50" s="43">
        <v>1</v>
      </c>
      <c r="AQ50" s="68" t="s">
        <v>1762</v>
      </c>
      <c r="AR50" s="43" t="s">
        <v>562</v>
      </c>
      <c r="AS50" s="43">
        <v>4409</v>
      </c>
      <c r="AT50" s="43">
        <v>12.358000000000001</v>
      </c>
      <c r="AU50" s="83">
        <v>267.12</v>
      </c>
      <c r="AV50" s="69">
        <v>-38.799999999999997</v>
      </c>
      <c r="AW50" s="69">
        <v>3431.3733000000002</v>
      </c>
      <c r="AX50" s="43">
        <v>0.43640000000000001</v>
      </c>
      <c r="AY50" s="83">
        <v>267.12</v>
      </c>
      <c r="AZ50" s="69">
        <v>-38.799999999999997</v>
      </c>
      <c r="BA50" s="69">
        <v>3431.3733000000002</v>
      </c>
      <c r="BB50" s="43">
        <v>0.43640000000000001</v>
      </c>
      <c r="BC50" s="43">
        <v>0</v>
      </c>
      <c r="BD50" s="43">
        <v>0</v>
      </c>
      <c r="BE50" s="43">
        <v>0</v>
      </c>
      <c r="BF50" s="43">
        <v>-2.6</v>
      </c>
      <c r="BG50" s="43">
        <v>4.6994999999999996</v>
      </c>
      <c r="BH50" s="43">
        <v>-2.6</v>
      </c>
      <c r="BI50" s="43">
        <v>26.1525</v>
      </c>
      <c r="BJ50" s="43">
        <v>0</v>
      </c>
      <c r="BK50" s="53">
        <v>4.2999999999999997E-2</v>
      </c>
      <c r="BL50" s="53">
        <v>64</v>
      </c>
      <c r="BM50" s="43">
        <v>2</v>
      </c>
      <c r="BN50" s="34" t="s">
        <v>89</v>
      </c>
      <c r="BO50" s="34" t="s">
        <v>89</v>
      </c>
      <c r="BP50" s="34" t="s">
        <v>89</v>
      </c>
      <c r="BQ50" s="34" t="s">
        <v>89</v>
      </c>
      <c r="BR50" s="34" t="s">
        <v>89</v>
      </c>
      <c r="BS50" s="34" t="s">
        <v>89</v>
      </c>
      <c r="BT50" s="34" t="s">
        <v>89</v>
      </c>
      <c r="BU50" s="34" t="s">
        <v>89</v>
      </c>
      <c r="BV50" s="34" t="s">
        <v>89</v>
      </c>
      <c r="BW50" s="34" t="s">
        <v>89</v>
      </c>
      <c r="BX50" s="34" t="s">
        <v>89</v>
      </c>
      <c r="BY50" s="34" t="s">
        <v>89</v>
      </c>
      <c r="BZ50" s="34" t="s">
        <v>89</v>
      </c>
      <c r="CA50" s="34" t="s">
        <v>89</v>
      </c>
      <c r="CB50" s="34" t="s">
        <v>89</v>
      </c>
      <c r="CC50" s="34" t="s">
        <v>89</v>
      </c>
      <c r="CD50" s="34" t="s">
        <v>89</v>
      </c>
      <c r="CE50" s="43">
        <v>1.75212158530812</v>
      </c>
      <c r="CF50" s="43">
        <v>-1.4009367179555401</v>
      </c>
      <c r="CG50" s="43">
        <v>0</v>
      </c>
      <c r="CH50" s="43">
        <v>0</v>
      </c>
      <c r="CI50" s="43">
        <v>110.46899999999999</v>
      </c>
      <c r="CJ50" s="43">
        <v>-21.183518232786302</v>
      </c>
      <c r="CK50" s="43">
        <v>20.572837852148801</v>
      </c>
      <c r="CL50" s="43">
        <v>63700</v>
      </c>
      <c r="CM50" s="43">
        <v>6165</v>
      </c>
      <c r="CN50" s="43">
        <v>1690</v>
      </c>
      <c r="CO50" s="43">
        <v>267.12</v>
      </c>
      <c r="CP50" s="43">
        <v>-38.799999999999997</v>
      </c>
      <c r="CQ50" s="43">
        <v>267.12</v>
      </c>
      <c r="CR50" s="43">
        <v>-38.799999999999997</v>
      </c>
      <c r="CS50" s="43">
        <v>0.20385787499999999</v>
      </c>
      <c r="CT50" s="43">
        <v>0.82068037500000002</v>
      </c>
      <c r="CU50" s="43">
        <v>1</v>
      </c>
      <c r="CV50" s="46" t="s">
        <v>89</v>
      </c>
      <c r="CW50" s="34"/>
      <c r="CX50" s="35"/>
    </row>
    <row r="51" spans="1:102" ht="15" customHeight="1" x14ac:dyDescent="0.25">
      <c r="A51" s="33">
        <v>48</v>
      </c>
      <c r="B51" s="43" t="s">
        <v>563</v>
      </c>
      <c r="C51" s="43">
        <v>0.59360000000000002</v>
      </c>
      <c r="D51" s="43">
        <v>0.29099999999999998</v>
      </c>
      <c r="E51" s="43" t="s">
        <v>564</v>
      </c>
      <c r="F51" s="43" t="s">
        <v>281</v>
      </c>
      <c r="G51" s="43" t="s">
        <v>565</v>
      </c>
      <c r="H51" s="43" t="s">
        <v>566</v>
      </c>
      <c r="I51" s="43" t="s">
        <v>567</v>
      </c>
      <c r="J51" s="43" t="s">
        <v>568</v>
      </c>
      <c r="K51" s="53" t="s">
        <v>1962</v>
      </c>
      <c r="L51" s="43" t="s">
        <v>569</v>
      </c>
      <c r="M51" s="43" t="s">
        <v>506</v>
      </c>
      <c r="N51" s="43" t="s">
        <v>570</v>
      </c>
      <c r="O51" s="51" t="s">
        <v>187</v>
      </c>
      <c r="P51" s="43" t="s">
        <v>340</v>
      </c>
      <c r="Q51" s="43" t="s">
        <v>423</v>
      </c>
      <c r="R51" s="43" t="s">
        <v>307</v>
      </c>
      <c r="S51" s="43">
        <v>-212.63300000000001</v>
      </c>
      <c r="T51" s="43">
        <v>-214.82900000000001</v>
      </c>
      <c r="U51" s="43">
        <v>5.7888999999999999</v>
      </c>
      <c r="V51" s="43">
        <v>15.653</v>
      </c>
      <c r="W51" s="43">
        <v>1</v>
      </c>
      <c r="X51" s="43">
        <v>0</v>
      </c>
      <c r="Y51" s="43">
        <v>0.11899999999999999</v>
      </c>
      <c r="Z51" s="43">
        <v>4.2999999999999997E-2</v>
      </c>
      <c r="AA51" s="43">
        <v>4211.1559999999999</v>
      </c>
      <c r="AB51" s="43">
        <v>0.61</v>
      </c>
      <c r="AC51" s="43">
        <v>3085.3290000000002</v>
      </c>
      <c r="AD51" s="43">
        <v>0.96</v>
      </c>
      <c r="AE51" s="43">
        <v>0.99099999999999999</v>
      </c>
      <c r="AF51" s="43">
        <v>0</v>
      </c>
      <c r="AG51" s="43">
        <v>-20.366</v>
      </c>
      <c r="AH51" s="43">
        <v>1.6220000000000001</v>
      </c>
      <c r="AI51" s="43">
        <v>103.652</v>
      </c>
      <c r="AJ51" s="43" t="s">
        <v>1431</v>
      </c>
      <c r="AK51" s="43">
        <v>0</v>
      </c>
      <c r="AL51" s="43">
        <v>1</v>
      </c>
      <c r="AM51" s="43">
        <v>1</v>
      </c>
      <c r="AN51" s="43">
        <v>0</v>
      </c>
      <c r="AO51" s="43">
        <v>1</v>
      </c>
      <c r="AP51" s="43">
        <v>1</v>
      </c>
      <c r="AQ51" s="68" t="s">
        <v>1763</v>
      </c>
      <c r="AR51" s="43" t="s">
        <v>571</v>
      </c>
      <c r="AS51" s="43">
        <v>4487</v>
      </c>
      <c r="AT51" s="43">
        <v>8.9809999999999999</v>
      </c>
      <c r="AU51" s="69">
        <v>404.9</v>
      </c>
      <c r="AV51" s="69">
        <v>-194.19</v>
      </c>
      <c r="AW51" s="69">
        <v>13842.4781</v>
      </c>
      <c r="AX51" s="43">
        <v>0.35709999999999997</v>
      </c>
      <c r="AY51" s="69">
        <v>404.9</v>
      </c>
      <c r="AZ51" s="69">
        <v>-194.19</v>
      </c>
      <c r="BA51" s="69">
        <v>13842.4781</v>
      </c>
      <c r="BB51" s="43">
        <v>0.35709999999999997</v>
      </c>
      <c r="BC51" s="43">
        <v>0</v>
      </c>
      <c r="BD51" s="43">
        <v>0</v>
      </c>
      <c r="BE51" s="43">
        <v>0</v>
      </c>
      <c r="BF51" s="43">
        <v>-12.5</v>
      </c>
      <c r="BG51" s="43">
        <v>13.200100000000001</v>
      </c>
      <c r="BH51" s="43">
        <v>-12.5</v>
      </c>
      <c r="BI51" s="43">
        <v>8.8340999999999994</v>
      </c>
      <c r="BJ51" s="43">
        <v>1</v>
      </c>
      <c r="BK51" s="53">
        <v>4.3999999999999997E-2</v>
      </c>
      <c r="BL51" s="53">
        <v>65.2</v>
      </c>
      <c r="BM51" s="43">
        <v>2</v>
      </c>
      <c r="BN51" s="34" t="s">
        <v>89</v>
      </c>
      <c r="BO51" s="34" t="s">
        <v>89</v>
      </c>
      <c r="BP51" s="34" t="s">
        <v>89</v>
      </c>
      <c r="BQ51" s="34" t="s">
        <v>89</v>
      </c>
      <c r="BR51" s="34" t="s">
        <v>89</v>
      </c>
      <c r="BS51" s="34" t="s">
        <v>89</v>
      </c>
      <c r="BT51" s="34" t="s">
        <v>89</v>
      </c>
      <c r="BU51" s="34" t="s">
        <v>89</v>
      </c>
      <c r="BV51" s="34" t="s">
        <v>89</v>
      </c>
      <c r="BW51" s="34" t="s">
        <v>89</v>
      </c>
      <c r="BX51" s="34" t="s">
        <v>89</v>
      </c>
      <c r="BY51" s="34" t="s">
        <v>89</v>
      </c>
      <c r="BZ51" s="34" t="s">
        <v>89</v>
      </c>
      <c r="CA51" s="34" t="s">
        <v>89</v>
      </c>
      <c r="CB51" s="34" t="s">
        <v>89</v>
      </c>
      <c r="CC51" s="34" t="s">
        <v>89</v>
      </c>
      <c r="CD51" s="34" t="s">
        <v>89</v>
      </c>
      <c r="CE51" s="43">
        <v>6.8991582271453203E-2</v>
      </c>
      <c r="CF51" s="43">
        <v>-2.5756525708257601E-2</v>
      </c>
      <c r="CG51" s="43">
        <v>0</v>
      </c>
      <c r="CH51" s="43">
        <v>0</v>
      </c>
      <c r="CI51" s="43">
        <v>220</v>
      </c>
      <c r="CJ51" s="43">
        <v>3.6129982129884</v>
      </c>
      <c r="CK51" s="43">
        <v>8.3610422010598402</v>
      </c>
      <c r="CL51" s="43">
        <v>64946</v>
      </c>
      <c r="CM51" s="43">
        <v>14887</v>
      </c>
      <c r="CN51" s="43">
        <v>1743</v>
      </c>
      <c r="CO51" s="43">
        <v>404.9</v>
      </c>
      <c r="CP51" s="43">
        <v>-194.19</v>
      </c>
      <c r="CQ51" s="43">
        <v>404.9</v>
      </c>
      <c r="CR51" s="43">
        <v>-194.19</v>
      </c>
      <c r="CS51" s="43">
        <v>1</v>
      </c>
      <c r="CT51" s="43">
        <v>0.57433387499999999</v>
      </c>
      <c r="CU51" s="43">
        <v>1</v>
      </c>
      <c r="CV51" s="46" t="s">
        <v>89</v>
      </c>
      <c r="CW51" s="34"/>
      <c r="CX51" s="35"/>
    </row>
    <row r="52" spans="1:102" ht="15" customHeight="1" x14ac:dyDescent="0.25">
      <c r="A52" s="33">
        <v>49</v>
      </c>
      <c r="B52" s="43" t="s">
        <v>572</v>
      </c>
      <c r="C52" s="43">
        <v>0.61939999999999995</v>
      </c>
      <c r="D52" s="43">
        <v>0.78400000000000003</v>
      </c>
      <c r="E52" s="43" t="s">
        <v>573</v>
      </c>
      <c r="F52" s="43" t="s">
        <v>215</v>
      </c>
      <c r="G52" s="43" t="s">
        <v>574</v>
      </c>
      <c r="H52" s="43" t="s">
        <v>575</v>
      </c>
      <c r="I52" s="43" t="s">
        <v>576</v>
      </c>
      <c r="J52" s="43" t="s">
        <v>577</v>
      </c>
      <c r="K52" s="53" t="s">
        <v>1963</v>
      </c>
      <c r="L52" s="43" t="s">
        <v>578</v>
      </c>
      <c r="M52" s="43" t="s">
        <v>421</v>
      </c>
      <c r="N52" s="43" t="s">
        <v>377</v>
      </c>
      <c r="O52" s="51" t="s">
        <v>198</v>
      </c>
      <c r="P52" s="43" t="s">
        <v>350</v>
      </c>
      <c r="Q52" s="43" t="s">
        <v>318</v>
      </c>
      <c r="R52" s="43" t="s">
        <v>319</v>
      </c>
      <c r="S52" s="43">
        <v>205.821</v>
      </c>
      <c r="T52" s="43">
        <v>-96.331000000000003</v>
      </c>
      <c r="U52" s="43">
        <v>14.2783</v>
      </c>
      <c r="V52" s="43">
        <v>-19.359000000000002</v>
      </c>
      <c r="W52" s="43">
        <v>0</v>
      </c>
      <c r="X52" s="43">
        <v>0</v>
      </c>
      <c r="Y52" s="43">
        <v>0.1</v>
      </c>
      <c r="Z52" s="43">
        <v>0.121</v>
      </c>
      <c r="AA52" s="43">
        <v>7813.0339999999997</v>
      </c>
      <c r="AB52" s="43">
        <v>0.79200000000000004</v>
      </c>
      <c r="AC52" s="43">
        <v>6623.8469999999998</v>
      </c>
      <c r="AD52" s="43">
        <v>0.08</v>
      </c>
      <c r="AE52" s="43">
        <v>0.95199999999999996</v>
      </c>
      <c r="AF52" s="43">
        <v>1</v>
      </c>
      <c r="AG52" s="43">
        <v>-24.574000000000002</v>
      </c>
      <c r="AH52" s="43">
        <v>-126.64100000000001</v>
      </c>
      <c r="AI52" s="43">
        <v>99.349000000000004</v>
      </c>
      <c r="AJ52" s="43" t="s">
        <v>1432</v>
      </c>
      <c r="AK52" s="43">
        <v>1</v>
      </c>
      <c r="AL52" s="43">
        <v>1</v>
      </c>
      <c r="AM52" s="43">
        <v>1</v>
      </c>
      <c r="AN52" s="43">
        <v>0</v>
      </c>
      <c r="AO52" s="43">
        <v>1</v>
      </c>
      <c r="AP52" s="43">
        <v>1</v>
      </c>
      <c r="AQ52" s="68" t="s">
        <v>1764</v>
      </c>
      <c r="AR52" s="43" t="s">
        <v>579</v>
      </c>
      <c r="AS52" s="43">
        <v>2730</v>
      </c>
      <c r="AT52" s="43">
        <v>-11.367000000000001</v>
      </c>
      <c r="AU52" s="69">
        <v>865.32</v>
      </c>
      <c r="AV52" s="69">
        <v>-194.19</v>
      </c>
      <c r="AW52" s="69">
        <v>46503.7333</v>
      </c>
      <c r="AX52" s="43">
        <v>0.1986</v>
      </c>
      <c r="AY52" s="69">
        <v>865.32</v>
      </c>
      <c r="AZ52" s="69">
        <v>-194.19</v>
      </c>
      <c r="BA52" s="69">
        <v>46503.7333</v>
      </c>
      <c r="BB52" s="43">
        <v>0.1986</v>
      </c>
      <c r="BC52" s="43">
        <v>1</v>
      </c>
      <c r="BD52" s="43">
        <v>1</v>
      </c>
      <c r="BE52" s="43">
        <v>0</v>
      </c>
      <c r="BF52" s="43">
        <v>-25.6</v>
      </c>
      <c r="BG52" s="43">
        <v>5.7751999999999999</v>
      </c>
      <c r="BH52" s="43">
        <v>-25.6</v>
      </c>
      <c r="BI52" s="43">
        <v>30.100100000000001</v>
      </c>
      <c r="BJ52" s="43">
        <v>0</v>
      </c>
      <c r="BK52" s="53">
        <v>4.4999999999999998E-2</v>
      </c>
      <c r="BL52" s="53">
        <v>66.400000000000006</v>
      </c>
      <c r="BM52" s="43">
        <v>2</v>
      </c>
      <c r="BN52" s="34" t="s">
        <v>89</v>
      </c>
      <c r="BO52" s="34" t="s">
        <v>89</v>
      </c>
      <c r="BP52" s="34" t="s">
        <v>89</v>
      </c>
      <c r="BQ52" s="34" t="s">
        <v>89</v>
      </c>
      <c r="BR52" s="34" t="s">
        <v>89</v>
      </c>
      <c r="BS52" s="34" t="s">
        <v>89</v>
      </c>
      <c r="BT52" s="34" t="s">
        <v>89</v>
      </c>
      <c r="BU52" s="34" t="s">
        <v>89</v>
      </c>
      <c r="BV52" s="34" t="s">
        <v>89</v>
      </c>
      <c r="BW52" s="34" t="s">
        <v>89</v>
      </c>
      <c r="BX52" s="34" t="s">
        <v>89</v>
      </c>
      <c r="BY52" s="34" t="s">
        <v>89</v>
      </c>
      <c r="BZ52" s="34" t="s">
        <v>89</v>
      </c>
      <c r="CA52" s="34" t="s">
        <v>89</v>
      </c>
      <c r="CB52" s="34" t="s">
        <v>89</v>
      </c>
      <c r="CC52" s="34" t="s">
        <v>89</v>
      </c>
      <c r="CD52" s="34" t="s">
        <v>89</v>
      </c>
      <c r="CE52" s="43">
        <v>3.6616534389463702</v>
      </c>
      <c r="CF52" s="43">
        <v>1</v>
      </c>
      <c r="CG52" s="43">
        <v>0</v>
      </c>
      <c r="CH52" s="43">
        <v>0</v>
      </c>
      <c r="CI52" s="43">
        <v>6.3239999999999998</v>
      </c>
      <c r="CJ52" s="43">
        <v>-4.1812501155240298</v>
      </c>
      <c r="CK52" s="43">
        <v>2.2748071284023799</v>
      </c>
      <c r="CL52" s="43">
        <v>0</v>
      </c>
      <c r="CM52" s="43">
        <v>10742</v>
      </c>
      <c r="CN52" s="43">
        <v>2730</v>
      </c>
      <c r="CO52" s="43">
        <v>865.32</v>
      </c>
      <c r="CP52" s="43">
        <v>-194.19</v>
      </c>
      <c r="CQ52" s="43">
        <v>10.972</v>
      </c>
      <c r="CR52" s="43">
        <v>-1793295.1783568601</v>
      </c>
      <c r="CS52" s="43">
        <v>1</v>
      </c>
      <c r="CT52" s="43">
        <v>0</v>
      </c>
      <c r="CU52" s="43">
        <v>1</v>
      </c>
      <c r="CV52" s="46" t="s">
        <v>89</v>
      </c>
      <c r="CW52" s="34"/>
      <c r="CX52" s="35"/>
    </row>
    <row r="53" spans="1:102" ht="15" customHeight="1" x14ac:dyDescent="0.25">
      <c r="A53" s="33">
        <v>50</v>
      </c>
      <c r="B53" s="43" t="s">
        <v>580</v>
      </c>
      <c r="C53" s="43">
        <v>0.91959999999999997</v>
      </c>
      <c r="D53" s="43">
        <v>0.872</v>
      </c>
      <c r="E53" s="43" t="s">
        <v>203</v>
      </c>
      <c r="F53" s="43" t="s">
        <v>165</v>
      </c>
      <c r="G53" s="43" t="s">
        <v>581</v>
      </c>
      <c r="H53" s="43" t="s">
        <v>582</v>
      </c>
      <c r="I53" s="43" t="s">
        <v>583</v>
      </c>
      <c r="J53" s="43" t="s">
        <v>584</v>
      </c>
      <c r="K53" s="69" t="s">
        <v>1964</v>
      </c>
      <c r="L53" s="43" t="s">
        <v>585</v>
      </c>
      <c r="M53" s="43" t="s">
        <v>431</v>
      </c>
      <c r="N53" s="43" t="s">
        <v>391</v>
      </c>
      <c r="O53" s="43" t="s">
        <v>160</v>
      </c>
      <c r="P53" s="51" t="s">
        <v>183</v>
      </c>
      <c r="Q53" s="43" t="s">
        <v>328</v>
      </c>
      <c r="R53" s="43" t="s">
        <v>329</v>
      </c>
      <c r="S53" s="43">
        <v>-69.093999999999994</v>
      </c>
      <c r="T53" s="43">
        <v>-168.113</v>
      </c>
      <c r="U53" s="43">
        <v>18.220199999999998</v>
      </c>
      <c r="V53" s="43">
        <v>29.68</v>
      </c>
      <c r="W53" s="43">
        <v>0</v>
      </c>
      <c r="X53" s="43">
        <v>1</v>
      </c>
      <c r="Y53" s="43">
        <v>0.08</v>
      </c>
      <c r="Z53" s="43">
        <v>0.1</v>
      </c>
      <c r="AA53" s="43">
        <v>712.45799999999997</v>
      </c>
      <c r="AB53" s="43">
        <v>0.78500000000000003</v>
      </c>
      <c r="AC53" s="43">
        <v>303.72899999999998</v>
      </c>
      <c r="AD53" s="43">
        <v>0.55400000000000005</v>
      </c>
      <c r="AE53" s="43">
        <v>0.97699999999999998</v>
      </c>
      <c r="AF53" s="43">
        <v>0</v>
      </c>
      <c r="AG53" s="43">
        <v>-24.327000000000002</v>
      </c>
      <c r="AH53" s="43">
        <v>121.994</v>
      </c>
      <c r="AI53" s="43">
        <v>80.546000000000006</v>
      </c>
      <c r="AJ53" s="43" t="s">
        <v>1433</v>
      </c>
      <c r="AK53" s="43">
        <v>0</v>
      </c>
      <c r="AL53" s="43">
        <v>1</v>
      </c>
      <c r="AM53" s="43">
        <v>0</v>
      </c>
      <c r="AN53" s="43">
        <v>1</v>
      </c>
      <c r="AO53" s="43">
        <v>0</v>
      </c>
      <c r="AP53" s="43">
        <v>0</v>
      </c>
      <c r="AQ53" s="68" t="s">
        <v>1765</v>
      </c>
      <c r="AR53" s="43" t="s">
        <v>586</v>
      </c>
      <c r="AS53" s="43">
        <v>4498</v>
      </c>
      <c r="AT53" s="43">
        <v>-18.082000000000001</v>
      </c>
      <c r="AU53" s="69">
        <v>267.12</v>
      </c>
      <c r="AV53" s="69">
        <v>20.7</v>
      </c>
      <c r="AW53" s="69">
        <v>42029.618900000001</v>
      </c>
      <c r="AX53" s="43">
        <v>7.8399999999999997E-2</v>
      </c>
      <c r="AY53" s="69">
        <v>267.12</v>
      </c>
      <c r="AZ53" s="69">
        <v>20.7</v>
      </c>
      <c r="BA53" s="69">
        <v>42029.618900000001</v>
      </c>
      <c r="BB53" s="43">
        <v>7.8399999999999997E-2</v>
      </c>
      <c r="BC53" s="43">
        <v>0</v>
      </c>
      <c r="BD53" s="43">
        <v>0</v>
      </c>
      <c r="BE53" s="43">
        <v>0</v>
      </c>
      <c r="BF53" s="43">
        <v>-10.5</v>
      </c>
      <c r="BG53" s="43">
        <v>12.552099999999999</v>
      </c>
      <c r="BH53" s="43">
        <v>-10.5</v>
      </c>
      <c r="BI53" s="43">
        <v>8.1704000000000008</v>
      </c>
      <c r="BJ53" s="43">
        <v>1</v>
      </c>
      <c r="BK53" s="53">
        <v>4.5999999999999999E-2</v>
      </c>
      <c r="BL53" s="53">
        <v>67.599999999999994</v>
      </c>
      <c r="BM53" s="43">
        <v>2</v>
      </c>
      <c r="BN53" s="34" t="s">
        <v>89</v>
      </c>
      <c r="BO53" s="34" t="s">
        <v>89</v>
      </c>
      <c r="BP53" s="34" t="s">
        <v>89</v>
      </c>
      <c r="BQ53" s="34" t="s">
        <v>89</v>
      </c>
      <c r="BR53" s="34" t="s">
        <v>89</v>
      </c>
      <c r="BS53" s="34" t="s">
        <v>89</v>
      </c>
      <c r="BT53" s="34" t="s">
        <v>89</v>
      </c>
      <c r="BU53" s="34" t="s">
        <v>89</v>
      </c>
      <c r="BV53" s="34" t="s">
        <v>89</v>
      </c>
      <c r="BW53" s="34" t="s">
        <v>89</v>
      </c>
      <c r="BX53" s="34" t="s">
        <v>89</v>
      </c>
      <c r="BY53" s="34" t="s">
        <v>89</v>
      </c>
      <c r="BZ53" s="34" t="s">
        <v>89</v>
      </c>
      <c r="CA53" s="34" t="s">
        <v>89</v>
      </c>
      <c r="CB53" s="34" t="s">
        <v>89</v>
      </c>
      <c r="CC53" s="34" t="s">
        <v>89</v>
      </c>
      <c r="CD53" s="34" t="s">
        <v>89</v>
      </c>
      <c r="CE53" s="43">
        <v>1.0219144940704701</v>
      </c>
      <c r="CF53" s="43">
        <v>0.77037206157357296</v>
      </c>
      <c r="CG53" s="43">
        <v>0</v>
      </c>
      <c r="CH53" s="43">
        <v>0</v>
      </c>
      <c r="CI53" s="43">
        <v>154.90899999999999</v>
      </c>
      <c r="CJ53" s="43">
        <v>-17.378975940833499</v>
      </c>
      <c r="CK53" s="43">
        <v>16.4044071644647</v>
      </c>
      <c r="CL53" s="43">
        <v>64028</v>
      </c>
      <c r="CM53" s="43">
        <v>26905</v>
      </c>
      <c r="CN53" s="43">
        <v>452</v>
      </c>
      <c r="CO53" s="43">
        <v>267.12</v>
      </c>
      <c r="CP53" s="43">
        <v>20.7</v>
      </c>
      <c r="CQ53" s="43">
        <v>267.12</v>
      </c>
      <c r="CR53" s="43">
        <v>20.7</v>
      </c>
      <c r="CS53" s="43">
        <v>0.69594275000000005</v>
      </c>
      <c r="CT53" s="43">
        <v>0.59196612500000001</v>
      </c>
      <c r="CU53" s="43">
        <v>1</v>
      </c>
      <c r="CV53" s="46" t="s">
        <v>89</v>
      </c>
      <c r="CW53" s="34"/>
      <c r="CX53" s="35"/>
    </row>
    <row r="54" spans="1:102" ht="15" customHeight="1" x14ac:dyDescent="0.25">
      <c r="A54" s="33">
        <v>51</v>
      </c>
      <c r="B54" s="43" t="s">
        <v>587</v>
      </c>
      <c r="C54" s="43">
        <v>0.42870000000000003</v>
      </c>
      <c r="D54" s="43">
        <v>0.92700000000000005</v>
      </c>
      <c r="E54" s="43" t="s">
        <v>165</v>
      </c>
      <c r="F54" s="43" t="s">
        <v>179</v>
      </c>
      <c r="G54" s="43" t="s">
        <v>588</v>
      </c>
      <c r="H54" s="43" t="s">
        <v>589</v>
      </c>
      <c r="I54" s="43" t="s">
        <v>590</v>
      </c>
      <c r="J54" s="43" t="s">
        <v>591</v>
      </c>
      <c r="K54" s="53" t="s">
        <v>1965</v>
      </c>
      <c r="L54" s="43" t="s">
        <v>592</v>
      </c>
      <c r="M54" s="43" t="s">
        <v>443</v>
      </c>
      <c r="N54" s="43" t="s">
        <v>402</v>
      </c>
      <c r="O54" s="43" t="s">
        <v>174</v>
      </c>
      <c r="P54" s="51" t="s">
        <v>187</v>
      </c>
      <c r="Q54" s="43" t="s">
        <v>561</v>
      </c>
      <c r="R54" s="43" t="s">
        <v>426</v>
      </c>
      <c r="S54" s="43">
        <v>-132.81299999999999</v>
      </c>
      <c r="T54" s="43">
        <v>-5.6630000000000003</v>
      </c>
      <c r="U54" s="43">
        <v>16.042300000000001</v>
      </c>
      <c r="V54" s="43">
        <v>-25.501000000000001</v>
      </c>
      <c r="W54" s="43">
        <v>1</v>
      </c>
      <c r="X54" s="43">
        <v>0</v>
      </c>
      <c r="Y54" s="43">
        <v>0.17499999999999999</v>
      </c>
      <c r="Z54" s="43">
        <v>2.8000000000000001E-2</v>
      </c>
      <c r="AA54" s="43">
        <v>642.70000000000005</v>
      </c>
      <c r="AB54" s="43">
        <v>0.47199999999999998</v>
      </c>
      <c r="AC54" s="43">
        <v>7742.2709999999997</v>
      </c>
      <c r="AD54" s="43">
        <v>0.79600000000000004</v>
      </c>
      <c r="AE54" s="43">
        <v>0.96799999999999997</v>
      </c>
      <c r="AF54" s="43">
        <v>1</v>
      </c>
      <c r="AG54" s="43">
        <v>6.3550000000000004</v>
      </c>
      <c r="AH54" s="43">
        <v>-41.575000000000003</v>
      </c>
      <c r="AI54" s="43">
        <v>41.177</v>
      </c>
      <c r="AJ54" s="43" t="s">
        <v>1434</v>
      </c>
      <c r="AK54" s="43">
        <v>1</v>
      </c>
      <c r="AL54" s="43">
        <v>0</v>
      </c>
      <c r="AM54" s="43">
        <v>0</v>
      </c>
      <c r="AN54" s="43">
        <v>0</v>
      </c>
      <c r="AO54" s="43">
        <v>0</v>
      </c>
      <c r="AP54" s="43">
        <v>0</v>
      </c>
      <c r="AQ54" s="68" t="s">
        <v>1766</v>
      </c>
      <c r="AR54" s="43" t="s">
        <v>593</v>
      </c>
      <c r="AS54" s="43">
        <v>3770</v>
      </c>
      <c r="AT54" s="43">
        <v>21.119</v>
      </c>
      <c r="AU54" s="69">
        <v>-657.1</v>
      </c>
      <c r="AV54" s="69">
        <v>-340.13</v>
      </c>
      <c r="AW54" s="69">
        <v>17234.504400000002</v>
      </c>
      <c r="AX54" s="43">
        <v>5.3800000000000001E-2</v>
      </c>
      <c r="AY54" s="69">
        <v>-657.1</v>
      </c>
      <c r="AZ54" s="69">
        <v>-340.13</v>
      </c>
      <c r="BA54" s="69">
        <v>17234.504400000002</v>
      </c>
      <c r="BB54" s="43">
        <v>5.3800000000000001E-2</v>
      </c>
      <c r="BC54" s="43">
        <v>1</v>
      </c>
      <c r="BD54" s="43">
        <v>1</v>
      </c>
      <c r="BE54" s="43">
        <v>0</v>
      </c>
      <c r="BF54" s="43">
        <v>-11.6</v>
      </c>
      <c r="BG54" s="43">
        <v>19.888200000000001</v>
      </c>
      <c r="BH54" s="43">
        <v>-11.6</v>
      </c>
      <c r="BI54" s="43">
        <v>20.689399999999999</v>
      </c>
      <c r="BJ54" s="43">
        <v>0</v>
      </c>
      <c r="BK54" s="53">
        <v>4.7E-2</v>
      </c>
      <c r="BL54" s="53">
        <v>68.800000000000097</v>
      </c>
      <c r="BM54" s="43">
        <v>2</v>
      </c>
      <c r="BN54" s="34" t="s">
        <v>89</v>
      </c>
      <c r="BO54" s="34" t="s">
        <v>89</v>
      </c>
      <c r="BP54" s="34" t="s">
        <v>89</v>
      </c>
      <c r="BQ54" s="34" t="s">
        <v>89</v>
      </c>
      <c r="BR54" s="34" t="s">
        <v>89</v>
      </c>
      <c r="BS54" s="34" t="s">
        <v>89</v>
      </c>
      <c r="BT54" s="34" t="s">
        <v>89</v>
      </c>
      <c r="BU54" s="34" t="s">
        <v>89</v>
      </c>
      <c r="BV54" s="34" t="s">
        <v>89</v>
      </c>
      <c r="BW54" s="34" t="s">
        <v>89</v>
      </c>
      <c r="BX54" s="34" t="s">
        <v>89</v>
      </c>
      <c r="BY54" s="34" t="s">
        <v>89</v>
      </c>
      <c r="BZ54" s="34" t="s">
        <v>89</v>
      </c>
      <c r="CA54" s="34" t="s">
        <v>89</v>
      </c>
      <c r="CB54" s="34" t="s">
        <v>89</v>
      </c>
      <c r="CC54" s="34" t="s">
        <v>89</v>
      </c>
      <c r="CD54" s="34" t="s">
        <v>89</v>
      </c>
      <c r="CE54" s="43">
        <v>-5.0054603246505302E-3</v>
      </c>
      <c r="CF54" s="43">
        <v>1</v>
      </c>
      <c r="CG54" s="43">
        <v>0</v>
      </c>
      <c r="CH54" s="43">
        <v>0</v>
      </c>
      <c r="CI54" s="43">
        <v>220</v>
      </c>
      <c r="CJ54" s="43">
        <v>0.74427948676931999</v>
      </c>
      <c r="CK54" s="43">
        <v>4.7824311856601103</v>
      </c>
      <c r="CL54" s="43">
        <v>0</v>
      </c>
      <c r="CM54" s="43">
        <v>54349</v>
      </c>
      <c r="CN54" s="43">
        <v>3770</v>
      </c>
      <c r="CO54" s="43">
        <v>-657.1</v>
      </c>
      <c r="CP54" s="43">
        <v>-340.13</v>
      </c>
      <c r="CQ54" s="43">
        <v>21.341000000000001</v>
      </c>
      <c r="CR54" s="43">
        <v>-315408.29644277401</v>
      </c>
      <c r="CS54" s="43">
        <v>0.55233750000000004</v>
      </c>
      <c r="CT54" s="43">
        <v>1</v>
      </c>
      <c r="CU54" s="43">
        <v>1</v>
      </c>
      <c r="CV54" s="46" t="s">
        <v>89</v>
      </c>
      <c r="CW54" s="34"/>
      <c r="CX54" s="35"/>
    </row>
    <row r="55" spans="1:102" ht="15" customHeight="1" x14ac:dyDescent="0.25">
      <c r="A55" s="33">
        <v>52</v>
      </c>
      <c r="B55" s="43" t="s">
        <v>594</v>
      </c>
      <c r="C55" s="43">
        <v>0.71689999999999998</v>
      </c>
      <c r="D55" s="43">
        <v>0.54400000000000004</v>
      </c>
      <c r="E55" s="43" t="s">
        <v>179</v>
      </c>
      <c r="F55" s="43" t="s">
        <v>237</v>
      </c>
      <c r="G55" s="43" t="s">
        <v>595</v>
      </c>
      <c r="H55" s="43" t="s">
        <v>596</v>
      </c>
      <c r="I55" s="43" t="s">
        <v>597</v>
      </c>
      <c r="J55" s="43" t="s">
        <v>598</v>
      </c>
      <c r="K55" s="53" t="s">
        <v>1966</v>
      </c>
      <c r="L55" s="43" t="s">
        <v>599</v>
      </c>
      <c r="M55" s="43" t="s">
        <v>450</v>
      </c>
      <c r="N55" s="43" t="s">
        <v>410</v>
      </c>
      <c r="O55" s="43" t="s">
        <v>232</v>
      </c>
      <c r="P55" s="51" t="s">
        <v>600</v>
      </c>
      <c r="Q55" s="43" t="s">
        <v>340</v>
      </c>
      <c r="R55" s="43" t="s">
        <v>341</v>
      </c>
      <c r="S55" s="43">
        <v>-146.17400000000001</v>
      </c>
      <c r="T55" s="43">
        <v>114.947</v>
      </c>
      <c r="U55" s="43">
        <v>22.5016</v>
      </c>
      <c r="V55" s="43">
        <v>28.815999999999999</v>
      </c>
      <c r="W55" s="43">
        <v>0</v>
      </c>
      <c r="X55" s="43">
        <v>1</v>
      </c>
      <c r="Y55" s="43">
        <v>3.5000000000000003E-2</v>
      </c>
      <c r="Z55" s="43">
        <v>0.11</v>
      </c>
      <c r="AA55" s="43">
        <v>4748.8860000000004</v>
      </c>
      <c r="AB55" s="43">
        <v>0.56000000000000005</v>
      </c>
      <c r="AC55" s="43">
        <v>5014.0780000000004</v>
      </c>
      <c r="AD55" s="43">
        <v>0.125</v>
      </c>
      <c r="AE55" s="43">
        <v>0.96299999999999997</v>
      </c>
      <c r="AF55" s="43">
        <v>0</v>
      </c>
      <c r="AG55" s="43">
        <v>-5.8419999999999996</v>
      </c>
      <c r="AH55" s="43">
        <v>48.84</v>
      </c>
      <c r="AI55" s="43">
        <v>-30.779</v>
      </c>
      <c r="AJ55" s="43" t="s">
        <v>1406</v>
      </c>
      <c r="AK55" s="43">
        <v>0</v>
      </c>
      <c r="AL55" s="43">
        <v>3</v>
      </c>
      <c r="AM55" s="43">
        <v>0</v>
      </c>
      <c r="AN55" s="43">
        <v>1</v>
      </c>
      <c r="AO55" s="43">
        <v>0</v>
      </c>
      <c r="AP55" s="43">
        <v>0</v>
      </c>
      <c r="AQ55" s="68" t="s">
        <v>1767</v>
      </c>
      <c r="AR55" s="43" t="s">
        <v>601</v>
      </c>
      <c r="AS55" s="43">
        <v>4190</v>
      </c>
      <c r="AT55" s="43">
        <v>-16.992999999999999</v>
      </c>
      <c r="AU55" s="69">
        <v>-43.17</v>
      </c>
      <c r="AV55" s="69">
        <v>-657.1</v>
      </c>
      <c r="AW55" s="69">
        <v>20241.715100000001</v>
      </c>
      <c r="AX55" s="43">
        <v>0.12429999999999999</v>
      </c>
      <c r="AY55" s="69">
        <v>-43.17</v>
      </c>
      <c r="AZ55" s="69">
        <v>-657.1</v>
      </c>
      <c r="BA55" s="69">
        <v>20241.715100000001</v>
      </c>
      <c r="BB55" s="43">
        <v>0.12429999999999999</v>
      </c>
      <c r="BC55" s="43">
        <v>0</v>
      </c>
      <c r="BD55" s="43">
        <v>0</v>
      </c>
      <c r="BE55" s="43">
        <v>0</v>
      </c>
      <c r="BF55" s="43">
        <v>-30.2</v>
      </c>
      <c r="BG55" s="43">
        <v>30.939800000000002</v>
      </c>
      <c r="BH55" s="43">
        <v>-30.2</v>
      </c>
      <c r="BI55" s="43">
        <v>8.6865000000000006</v>
      </c>
      <c r="BJ55" s="43">
        <v>1</v>
      </c>
      <c r="BK55" s="53">
        <v>4.8000000000000001E-2</v>
      </c>
      <c r="BL55" s="53">
        <v>70.000000000000099</v>
      </c>
      <c r="BM55" s="43">
        <v>2</v>
      </c>
      <c r="BN55" s="34" t="s">
        <v>89</v>
      </c>
      <c r="BO55" s="34" t="s">
        <v>89</v>
      </c>
      <c r="BP55" s="34" t="s">
        <v>89</v>
      </c>
      <c r="BQ55" s="34" t="s">
        <v>89</v>
      </c>
      <c r="BR55" s="34" t="s">
        <v>89</v>
      </c>
      <c r="BS55" s="34" t="s">
        <v>89</v>
      </c>
      <c r="BT55" s="34" t="s">
        <v>89</v>
      </c>
      <c r="BU55" s="34" t="s">
        <v>89</v>
      </c>
      <c r="BV55" s="34" t="s">
        <v>89</v>
      </c>
      <c r="BW55" s="34" t="s">
        <v>89</v>
      </c>
      <c r="BX55" s="34" t="s">
        <v>89</v>
      </c>
      <c r="BY55" s="34" t="s">
        <v>89</v>
      </c>
      <c r="BZ55" s="34" t="s">
        <v>89</v>
      </c>
      <c r="CA55" s="34" t="s">
        <v>89</v>
      </c>
      <c r="CB55" s="34" t="s">
        <v>89</v>
      </c>
      <c r="CC55" s="34" t="s">
        <v>89</v>
      </c>
      <c r="CD55" s="34" t="s">
        <v>89</v>
      </c>
      <c r="CE55" s="43">
        <v>1.9710584006346901</v>
      </c>
      <c r="CF55" s="43">
        <v>4.4738092550429398</v>
      </c>
      <c r="CG55" s="43">
        <v>0</v>
      </c>
      <c r="CH55" s="43">
        <v>0</v>
      </c>
      <c r="CI55" s="43">
        <v>-33.963000000000001</v>
      </c>
      <c r="CJ55" s="43">
        <v>18.543644976195299</v>
      </c>
      <c r="CK55" s="43">
        <v>-19.8871387193998</v>
      </c>
      <c r="CL55" s="43">
        <v>63111</v>
      </c>
      <c r="CM55" s="43">
        <v>4933</v>
      </c>
      <c r="CN55" s="43">
        <v>778</v>
      </c>
      <c r="CO55" s="43">
        <v>-43.17</v>
      </c>
      <c r="CP55" s="43">
        <v>-657.1</v>
      </c>
      <c r="CQ55" s="43">
        <v>-43.17</v>
      </c>
      <c r="CR55" s="43">
        <v>-657.1</v>
      </c>
      <c r="CS55" s="43">
        <v>0</v>
      </c>
      <c r="CT55" s="43">
        <v>0.75175974999999995</v>
      </c>
      <c r="CU55" s="43">
        <v>1</v>
      </c>
      <c r="CV55" s="46" t="s">
        <v>89</v>
      </c>
      <c r="CW55" s="34"/>
      <c r="CX55" s="35"/>
    </row>
    <row r="56" spans="1:102" ht="15" customHeight="1" x14ac:dyDescent="0.25">
      <c r="A56" s="33">
        <v>53</v>
      </c>
      <c r="B56" s="43" t="s">
        <v>602</v>
      </c>
      <c r="C56" s="43">
        <v>0.72030000000000005</v>
      </c>
      <c r="D56" s="43">
        <v>1.6E-2</v>
      </c>
      <c r="E56" s="43" t="s">
        <v>237</v>
      </c>
      <c r="F56" s="43" t="s">
        <v>253</v>
      </c>
      <c r="G56" s="43" t="s">
        <v>603</v>
      </c>
      <c r="H56" s="43" t="s">
        <v>604</v>
      </c>
      <c r="I56" s="43" t="s">
        <v>605</v>
      </c>
      <c r="J56" s="43" t="s">
        <v>606</v>
      </c>
      <c r="K56" s="53" t="s">
        <v>1967</v>
      </c>
      <c r="L56" s="43" t="s">
        <v>607</v>
      </c>
      <c r="M56" s="43" t="s">
        <v>457</v>
      </c>
      <c r="N56" s="43" t="s">
        <v>422</v>
      </c>
      <c r="O56" s="43" t="s">
        <v>248</v>
      </c>
      <c r="P56" s="43" t="s">
        <v>379</v>
      </c>
      <c r="Q56" s="51" t="s">
        <v>183</v>
      </c>
      <c r="R56" s="43" t="s">
        <v>203</v>
      </c>
      <c r="S56" s="43">
        <v>-91.441999999999993</v>
      </c>
      <c r="T56" s="43">
        <v>3.8929999999999998</v>
      </c>
      <c r="U56" s="43">
        <v>25.705200000000001</v>
      </c>
      <c r="V56" s="43">
        <v>-11.57</v>
      </c>
      <c r="W56" s="43">
        <v>1</v>
      </c>
      <c r="X56" s="43">
        <v>0</v>
      </c>
      <c r="Y56" s="43">
        <v>0.151</v>
      </c>
      <c r="Z56" s="43">
        <v>0.04</v>
      </c>
      <c r="AA56" s="43">
        <v>5850.6440000000002</v>
      </c>
      <c r="AB56" s="43">
        <v>0.745</v>
      </c>
      <c r="AC56" s="43">
        <v>2794.1619999999998</v>
      </c>
      <c r="AD56" s="43">
        <v>0.30599999999999999</v>
      </c>
      <c r="AE56" s="43">
        <v>0.98699999999999999</v>
      </c>
      <c r="AF56" s="43">
        <v>0</v>
      </c>
      <c r="AG56" s="43">
        <v>-12.866</v>
      </c>
      <c r="AH56" s="43">
        <v>107.702</v>
      </c>
      <c r="AI56" s="43">
        <v>-34.619</v>
      </c>
      <c r="AJ56" s="43" t="s">
        <v>1435</v>
      </c>
      <c r="AK56" s="43">
        <v>0</v>
      </c>
      <c r="AL56" s="43">
        <v>0</v>
      </c>
      <c r="AM56" s="43">
        <v>1</v>
      </c>
      <c r="AN56" s="43">
        <v>0</v>
      </c>
      <c r="AO56" s="43">
        <v>1</v>
      </c>
      <c r="AP56" s="43">
        <v>1</v>
      </c>
      <c r="AQ56" s="68" t="s">
        <v>1768</v>
      </c>
      <c r="AR56" s="43" t="s">
        <v>608</v>
      </c>
      <c r="AS56" s="43">
        <v>23</v>
      </c>
      <c r="AT56" s="43">
        <v>6.202</v>
      </c>
      <c r="AU56" s="69">
        <v>1118</v>
      </c>
      <c r="AV56" s="69">
        <v>570.70000000000005</v>
      </c>
      <c r="AW56" s="69">
        <v>46120.502399999998</v>
      </c>
      <c r="AX56" s="43">
        <v>0.1071</v>
      </c>
      <c r="AY56" s="69">
        <v>1118</v>
      </c>
      <c r="AZ56" s="69">
        <v>570.70000000000005</v>
      </c>
      <c r="BA56" s="69">
        <v>46120.502399999998</v>
      </c>
      <c r="BB56" s="43">
        <v>0.1071</v>
      </c>
      <c r="BC56" s="43">
        <v>0</v>
      </c>
      <c r="BD56" s="43">
        <v>0</v>
      </c>
      <c r="BE56" s="43">
        <v>0</v>
      </c>
      <c r="BF56" s="43">
        <v>-9.65</v>
      </c>
      <c r="BG56" s="43">
        <v>8.7579999999999991</v>
      </c>
      <c r="BH56" s="43">
        <v>-9.65</v>
      </c>
      <c r="BI56" s="43">
        <v>5.2485999999999997</v>
      </c>
      <c r="BJ56" s="43">
        <v>0</v>
      </c>
      <c r="BK56" s="53">
        <v>4.9000000000000002E-2</v>
      </c>
      <c r="BL56" s="53">
        <v>71.200000000000102</v>
      </c>
      <c r="BM56" s="43">
        <v>2</v>
      </c>
      <c r="BN56" s="34" t="s">
        <v>89</v>
      </c>
      <c r="BO56" s="34" t="s">
        <v>89</v>
      </c>
      <c r="BP56" s="34" t="s">
        <v>89</v>
      </c>
      <c r="BQ56" s="34" t="s">
        <v>89</v>
      </c>
      <c r="BR56" s="34" t="s">
        <v>89</v>
      </c>
      <c r="BS56" s="34" t="s">
        <v>89</v>
      </c>
      <c r="BT56" s="34" t="s">
        <v>89</v>
      </c>
      <c r="BU56" s="34" t="s">
        <v>89</v>
      </c>
      <c r="BV56" s="34" t="s">
        <v>89</v>
      </c>
      <c r="BW56" s="34" t="s">
        <v>89</v>
      </c>
      <c r="BX56" s="34" t="s">
        <v>89</v>
      </c>
      <c r="BY56" s="34" t="s">
        <v>89</v>
      </c>
      <c r="BZ56" s="34" t="s">
        <v>89</v>
      </c>
      <c r="CA56" s="34" t="s">
        <v>89</v>
      </c>
      <c r="CB56" s="34" t="s">
        <v>89</v>
      </c>
      <c r="CC56" s="34" t="s">
        <v>89</v>
      </c>
      <c r="CD56" s="34" t="s">
        <v>89</v>
      </c>
      <c r="CE56" s="43">
        <v>1</v>
      </c>
      <c r="CF56" s="43">
        <v>1</v>
      </c>
      <c r="CG56" s="43">
        <v>0</v>
      </c>
      <c r="CH56" s="43">
        <v>0</v>
      </c>
      <c r="CI56" s="43">
        <v>-34.393999999999998</v>
      </c>
      <c r="CJ56" s="43">
        <v>-11.707000000000001</v>
      </c>
      <c r="CK56" s="43">
        <v>4.3609999999999998</v>
      </c>
      <c r="CL56" s="43">
        <v>27056</v>
      </c>
      <c r="CM56" s="43">
        <v>25821</v>
      </c>
      <c r="CN56" s="43">
        <v>1044</v>
      </c>
      <c r="CO56" s="43">
        <v>1118</v>
      </c>
      <c r="CP56" s="43">
        <v>570.70000000000005</v>
      </c>
      <c r="CQ56" s="43">
        <v>1118</v>
      </c>
      <c r="CR56" s="43">
        <v>570.70000000000005</v>
      </c>
      <c r="CS56" s="43">
        <v>1</v>
      </c>
      <c r="CT56" s="43">
        <v>0</v>
      </c>
      <c r="CU56" s="43">
        <v>1</v>
      </c>
      <c r="CV56" s="46" t="s">
        <v>89</v>
      </c>
      <c r="CW56" s="34"/>
      <c r="CX56" s="35"/>
    </row>
    <row r="57" spans="1:102" ht="15" customHeight="1" x14ac:dyDescent="0.25">
      <c r="A57" s="33">
        <v>54</v>
      </c>
      <c r="B57" s="43" t="s">
        <v>609</v>
      </c>
      <c r="C57" s="43">
        <v>4.4299999999999999E-2</v>
      </c>
      <c r="D57" s="43">
        <v>0.14199999999999999</v>
      </c>
      <c r="E57" s="43" t="s">
        <v>253</v>
      </c>
      <c r="F57" s="43" t="s">
        <v>216</v>
      </c>
      <c r="G57" s="43" t="s">
        <v>610</v>
      </c>
      <c r="H57" s="43" t="s">
        <v>611</v>
      </c>
      <c r="I57" s="43" t="s">
        <v>612</v>
      </c>
      <c r="J57" s="43" t="s">
        <v>613</v>
      </c>
      <c r="K57" s="53" t="s">
        <v>1968</v>
      </c>
      <c r="L57" s="43" t="s">
        <v>614</v>
      </c>
      <c r="M57" s="43" t="s">
        <v>551</v>
      </c>
      <c r="N57" s="43" t="s">
        <v>432</v>
      </c>
      <c r="O57" s="43" t="s">
        <v>316</v>
      </c>
      <c r="P57" s="43" t="s">
        <v>393</v>
      </c>
      <c r="Q57" s="51" t="s">
        <v>187</v>
      </c>
      <c r="R57" s="43" t="s">
        <v>165</v>
      </c>
      <c r="S57" s="43">
        <v>171.48599999999999</v>
      </c>
      <c r="T57" s="43">
        <v>45.378</v>
      </c>
      <c r="U57" s="43">
        <v>28.1572</v>
      </c>
      <c r="V57" s="43">
        <v>20.100999999999999</v>
      </c>
      <c r="W57" s="43">
        <v>0</v>
      </c>
      <c r="X57" s="43">
        <v>0</v>
      </c>
      <c r="Y57" s="43">
        <v>8.9999999999999993E-3</v>
      </c>
      <c r="Z57" s="43">
        <v>3.0000000000000001E-3</v>
      </c>
      <c r="AA57" s="43">
        <v>3971.3389999999999</v>
      </c>
      <c r="AB57" s="43">
        <v>0.47699999999999998</v>
      </c>
      <c r="AC57" s="43">
        <v>5639.3040000000001</v>
      </c>
      <c r="AD57" s="43">
        <v>0.255</v>
      </c>
      <c r="AE57" s="43">
        <v>0.96</v>
      </c>
      <c r="AF57" s="43">
        <v>1</v>
      </c>
      <c r="AG57" s="43">
        <v>24.934000000000001</v>
      </c>
      <c r="AH57" s="43">
        <v>5.7240000000000002</v>
      </c>
      <c r="AI57" s="43">
        <v>177.047</v>
      </c>
      <c r="AJ57" s="43" t="s">
        <v>1436</v>
      </c>
      <c r="AK57" s="43">
        <v>1</v>
      </c>
      <c r="AL57" s="43">
        <v>1</v>
      </c>
      <c r="AM57" s="43">
        <v>1</v>
      </c>
      <c r="AN57" s="43">
        <v>0</v>
      </c>
      <c r="AO57" s="43">
        <v>1</v>
      </c>
      <c r="AP57" s="43">
        <v>1</v>
      </c>
      <c r="AQ57" s="43" t="s">
        <v>1731</v>
      </c>
      <c r="AR57" s="43" t="s">
        <v>615</v>
      </c>
      <c r="AS57" s="43">
        <v>4147</v>
      </c>
      <c r="AT57" s="43">
        <v>-16.542999999999999</v>
      </c>
      <c r="AU57" s="69">
        <v>-627.17999999999995</v>
      </c>
      <c r="AV57" s="69">
        <v>0</v>
      </c>
      <c r="AW57" s="69">
        <v>40399.562700000002</v>
      </c>
      <c r="AX57" s="43">
        <v>0.74239999999999995</v>
      </c>
      <c r="AY57" s="69">
        <v>-627.17999999999995</v>
      </c>
      <c r="AZ57" s="69">
        <v>0</v>
      </c>
      <c r="BA57" s="69">
        <v>40399.562700000002</v>
      </c>
      <c r="BB57" s="43">
        <v>0.74239999999999995</v>
      </c>
      <c r="BC57" s="43">
        <v>1</v>
      </c>
      <c r="BD57" s="43">
        <v>1</v>
      </c>
      <c r="BE57" s="43">
        <v>0</v>
      </c>
      <c r="BF57" s="43">
        <v>-22.41</v>
      </c>
      <c r="BG57" s="43">
        <v>4.1192000000000002</v>
      </c>
      <c r="BH57" s="43">
        <v>-22.41</v>
      </c>
      <c r="BI57" s="43">
        <v>17.717500000000001</v>
      </c>
      <c r="BJ57" s="43">
        <v>1</v>
      </c>
      <c r="BK57" s="53">
        <v>0.05</v>
      </c>
      <c r="BL57" s="53">
        <v>72.400000000000105</v>
      </c>
      <c r="BM57" s="43">
        <v>2</v>
      </c>
      <c r="BN57" s="34" t="s">
        <v>89</v>
      </c>
      <c r="BO57" s="34" t="s">
        <v>89</v>
      </c>
      <c r="BP57" s="34" t="s">
        <v>89</v>
      </c>
      <c r="BQ57" s="34" t="s">
        <v>89</v>
      </c>
      <c r="BR57" s="34" t="s">
        <v>89</v>
      </c>
      <c r="BS57" s="34" t="s">
        <v>89</v>
      </c>
      <c r="BT57" s="34" t="s">
        <v>89</v>
      </c>
      <c r="BU57" s="34" t="s">
        <v>89</v>
      </c>
      <c r="BV57" s="34" t="s">
        <v>89</v>
      </c>
      <c r="BW57" s="34" t="s">
        <v>89</v>
      </c>
      <c r="BX57" s="34" t="s">
        <v>89</v>
      </c>
      <c r="BY57" s="34" t="s">
        <v>89</v>
      </c>
      <c r="BZ57" s="34" t="s">
        <v>89</v>
      </c>
      <c r="CA57" s="34" t="s">
        <v>89</v>
      </c>
      <c r="CB57" s="34" t="s">
        <v>89</v>
      </c>
      <c r="CC57" s="34" t="s">
        <v>89</v>
      </c>
      <c r="CD57" s="34" t="s">
        <v>89</v>
      </c>
      <c r="CE57" s="43">
        <v>-3.6295033867868298</v>
      </c>
      <c r="CF57" s="43">
        <v>1</v>
      </c>
      <c r="CG57" s="43">
        <v>0</v>
      </c>
      <c r="CH57" s="43">
        <v>0</v>
      </c>
      <c r="CI57" s="43">
        <v>-220</v>
      </c>
      <c r="CJ57" s="43">
        <v>-4.3507442585312601</v>
      </c>
      <c r="CK57" s="43">
        <v>2.02756612638338</v>
      </c>
      <c r="CL57" s="43">
        <v>0</v>
      </c>
      <c r="CM57" s="43">
        <v>54377</v>
      </c>
      <c r="CN57" s="43">
        <v>4147</v>
      </c>
      <c r="CO57" s="43">
        <v>-627.17999999999995</v>
      </c>
      <c r="CP57" s="43">
        <v>0</v>
      </c>
      <c r="CQ57" s="43">
        <v>24.72</v>
      </c>
      <c r="CR57" s="43">
        <v>-447.26630399999999</v>
      </c>
      <c r="CS57" s="43">
        <v>0.97341737500000003</v>
      </c>
      <c r="CT57" s="43">
        <v>0</v>
      </c>
      <c r="CU57" s="43">
        <v>1</v>
      </c>
      <c r="CV57" s="46" t="s">
        <v>89</v>
      </c>
      <c r="CW57" s="34"/>
      <c r="CX57" s="35"/>
    </row>
    <row r="58" spans="1:102" ht="15" customHeight="1" x14ac:dyDescent="0.25">
      <c r="A58" s="33">
        <v>55</v>
      </c>
      <c r="B58" s="43" t="s">
        <v>616</v>
      </c>
      <c r="C58" s="43">
        <v>0.61160000000000003</v>
      </c>
      <c r="D58" s="43">
        <v>0.14499999999999999</v>
      </c>
      <c r="E58" s="43" t="s">
        <v>216</v>
      </c>
      <c r="F58" s="43" t="s">
        <v>268</v>
      </c>
      <c r="G58" s="43" t="s">
        <v>617</v>
      </c>
      <c r="H58" s="43" t="s">
        <v>618</v>
      </c>
      <c r="I58" s="43" t="s">
        <v>619</v>
      </c>
      <c r="J58" s="43" t="s">
        <v>620</v>
      </c>
      <c r="K58" s="71" t="s">
        <v>1969</v>
      </c>
      <c r="L58" s="43" t="s">
        <v>621</v>
      </c>
      <c r="M58" s="43" t="s">
        <v>560</v>
      </c>
      <c r="N58" s="43" t="s">
        <v>349</v>
      </c>
      <c r="O58" s="43" t="s">
        <v>327</v>
      </c>
      <c r="P58" s="43" t="s">
        <v>160</v>
      </c>
      <c r="Q58" s="51" t="s">
        <v>368</v>
      </c>
      <c r="R58" s="43" t="s">
        <v>179</v>
      </c>
      <c r="S58" s="69">
        <v>106.07299999999999</v>
      </c>
      <c r="T58" s="43">
        <v>103.652</v>
      </c>
      <c r="U58" s="43">
        <v>18.509699999999999</v>
      </c>
      <c r="V58" s="43">
        <v>-24.684000000000001</v>
      </c>
      <c r="W58" s="43">
        <v>0</v>
      </c>
      <c r="X58" s="43">
        <v>1</v>
      </c>
      <c r="Y58" s="43">
        <v>0.155</v>
      </c>
      <c r="Z58" s="43">
        <v>0.114</v>
      </c>
      <c r="AA58" s="43">
        <v>4766.6930000000002</v>
      </c>
      <c r="AB58" s="43">
        <v>3.9E-2</v>
      </c>
      <c r="AC58" s="43">
        <v>7056.6260000000002</v>
      </c>
      <c r="AD58" s="43">
        <v>0.84799999999999998</v>
      </c>
      <c r="AE58" s="43">
        <v>0.99</v>
      </c>
      <c r="AF58" s="43">
        <v>0</v>
      </c>
      <c r="AG58" s="43">
        <v>-14.327999999999999</v>
      </c>
      <c r="AH58" s="43">
        <v>59.304000000000002</v>
      </c>
      <c r="AI58" s="43">
        <v>-9.32</v>
      </c>
      <c r="AJ58" s="43" t="s">
        <v>1409</v>
      </c>
      <c r="AK58" s="43">
        <v>0</v>
      </c>
      <c r="AL58" s="43">
        <v>4</v>
      </c>
      <c r="AM58" s="43">
        <v>1</v>
      </c>
      <c r="AN58" s="43">
        <v>1</v>
      </c>
      <c r="AO58" s="43">
        <v>1</v>
      </c>
      <c r="AP58" s="43">
        <v>1</v>
      </c>
      <c r="AQ58" s="68" t="s">
        <v>1769</v>
      </c>
      <c r="AR58" s="43" t="s">
        <v>622</v>
      </c>
      <c r="AS58" s="43">
        <v>155</v>
      </c>
      <c r="AT58" s="43">
        <v>-7.08</v>
      </c>
      <c r="AU58" s="69">
        <v>-1118</v>
      </c>
      <c r="AV58" s="69">
        <v>0</v>
      </c>
      <c r="AW58" s="69">
        <v>25640.406999999999</v>
      </c>
      <c r="AX58" s="43">
        <v>0.97150000000000003</v>
      </c>
      <c r="AY58" s="69">
        <v>-1118</v>
      </c>
      <c r="AZ58" s="69">
        <v>0</v>
      </c>
      <c r="BA58" s="69">
        <v>25640.406999999999</v>
      </c>
      <c r="BB58" s="43">
        <v>0.97150000000000003</v>
      </c>
      <c r="BC58" s="43">
        <v>0</v>
      </c>
      <c r="BD58" s="43">
        <v>0</v>
      </c>
      <c r="BE58" s="43">
        <v>0</v>
      </c>
      <c r="BF58" s="43">
        <v>-8.69</v>
      </c>
      <c r="BG58" s="43">
        <v>9.7984000000000009</v>
      </c>
      <c r="BH58" s="43">
        <v>-8.69</v>
      </c>
      <c r="BI58" s="43">
        <v>2.7444000000000002</v>
      </c>
      <c r="BJ58" s="43">
        <v>0</v>
      </c>
      <c r="BK58" s="53">
        <v>5.0999999999999997E-2</v>
      </c>
      <c r="BL58" s="53">
        <v>73.600000000000094</v>
      </c>
      <c r="BM58" s="43">
        <v>2</v>
      </c>
      <c r="BN58" s="34" t="s">
        <v>89</v>
      </c>
      <c r="BO58" s="34" t="s">
        <v>89</v>
      </c>
      <c r="BP58" s="34" t="s">
        <v>89</v>
      </c>
      <c r="BQ58" s="34" t="s">
        <v>89</v>
      </c>
      <c r="BR58" s="34" t="s">
        <v>89</v>
      </c>
      <c r="BS58" s="34" t="s">
        <v>89</v>
      </c>
      <c r="BT58" s="34" t="s">
        <v>89</v>
      </c>
      <c r="BU58" s="34" t="s">
        <v>89</v>
      </c>
      <c r="BV58" s="34" t="s">
        <v>89</v>
      </c>
      <c r="BW58" s="34" t="s">
        <v>89</v>
      </c>
      <c r="BX58" s="34" t="s">
        <v>89</v>
      </c>
      <c r="BY58" s="34" t="s">
        <v>89</v>
      </c>
      <c r="BZ58" s="34" t="s">
        <v>89</v>
      </c>
      <c r="CA58" s="34" t="s">
        <v>89</v>
      </c>
      <c r="CB58" s="34" t="s">
        <v>89</v>
      </c>
      <c r="CC58" s="34" t="s">
        <v>89</v>
      </c>
      <c r="CD58" s="34" t="s">
        <v>89</v>
      </c>
      <c r="CE58" s="43">
        <v>3.7563231314992098</v>
      </c>
      <c r="CF58" s="43">
        <v>2.20500659717238</v>
      </c>
      <c r="CG58" s="43">
        <v>0</v>
      </c>
      <c r="CH58" s="43">
        <v>0</v>
      </c>
      <c r="CI58" s="43">
        <v>-220</v>
      </c>
      <c r="CJ58" s="43">
        <v>-20.2797811736616</v>
      </c>
      <c r="CK58" s="43">
        <v>4.9206365596842598</v>
      </c>
      <c r="CL58" s="43">
        <v>64880</v>
      </c>
      <c r="CM58" s="43">
        <v>31800</v>
      </c>
      <c r="CN58" s="43">
        <v>898</v>
      </c>
      <c r="CO58" s="43">
        <v>-1118</v>
      </c>
      <c r="CP58" s="43">
        <v>0</v>
      </c>
      <c r="CQ58" s="43">
        <v>-1118</v>
      </c>
      <c r="CR58" s="43">
        <v>0</v>
      </c>
      <c r="CS58" s="43">
        <v>0</v>
      </c>
      <c r="CT58" s="43">
        <v>0</v>
      </c>
      <c r="CU58" s="43">
        <v>1</v>
      </c>
      <c r="CV58" s="46" t="s">
        <v>89</v>
      </c>
      <c r="CW58" s="34"/>
      <c r="CX58" s="35"/>
    </row>
    <row r="59" spans="1:102" ht="15" customHeight="1" x14ac:dyDescent="0.25">
      <c r="A59" s="33">
        <v>56</v>
      </c>
      <c r="B59" s="43" t="s">
        <v>623</v>
      </c>
      <c r="C59" s="43">
        <v>4.7800000000000002E-2</v>
      </c>
      <c r="D59" s="43">
        <v>0.80200000000000005</v>
      </c>
      <c r="E59" s="43" t="s">
        <v>268</v>
      </c>
      <c r="F59" s="43" t="s">
        <v>282</v>
      </c>
      <c r="G59" s="43" t="s">
        <v>624</v>
      </c>
      <c r="H59" s="43" t="s">
        <v>625</v>
      </c>
      <c r="I59" s="43" t="s">
        <v>626</v>
      </c>
      <c r="J59" s="43" t="s">
        <v>627</v>
      </c>
      <c r="K59" s="53" t="s">
        <v>1970</v>
      </c>
      <c r="L59" s="43" t="s">
        <v>628</v>
      </c>
      <c r="M59" s="43" t="s">
        <v>569</v>
      </c>
      <c r="N59" s="43" t="s">
        <v>357</v>
      </c>
      <c r="O59" s="43" t="s">
        <v>458</v>
      </c>
      <c r="P59" s="43" t="s">
        <v>174</v>
      </c>
      <c r="Q59" s="43" t="s">
        <v>160</v>
      </c>
      <c r="R59" s="51" t="s">
        <v>181</v>
      </c>
      <c r="S59" s="69">
        <v>-91.441999999999993</v>
      </c>
      <c r="T59" s="43">
        <v>99.349000000000004</v>
      </c>
      <c r="U59" s="43">
        <v>8.5999999999999993E-2</v>
      </c>
      <c r="V59" s="43">
        <v>-18.975999999999999</v>
      </c>
      <c r="W59" s="43">
        <v>1</v>
      </c>
      <c r="X59" s="43">
        <v>0</v>
      </c>
      <c r="Y59" s="43">
        <v>6.0000000000000001E-3</v>
      </c>
      <c r="Z59" s="43">
        <v>0.08</v>
      </c>
      <c r="AA59" s="43">
        <v>7521.9120000000003</v>
      </c>
      <c r="AB59" s="43">
        <v>0.94199999999999995</v>
      </c>
      <c r="AC59" s="43">
        <v>5032.4309999999996</v>
      </c>
      <c r="AD59" s="43">
        <v>0.61899999999999999</v>
      </c>
      <c r="AE59" s="43">
        <v>0.96799999999999997</v>
      </c>
      <c r="AF59" s="43">
        <v>0</v>
      </c>
      <c r="AG59" s="43">
        <v>10.394</v>
      </c>
      <c r="AH59" s="43">
        <v>20.614999999999998</v>
      </c>
      <c r="AI59" s="43">
        <v>-161.352</v>
      </c>
      <c r="AJ59" s="43" t="s">
        <v>1412</v>
      </c>
      <c r="AK59" s="43">
        <v>0</v>
      </c>
      <c r="AL59" s="43">
        <v>3</v>
      </c>
      <c r="AM59" s="43">
        <v>1</v>
      </c>
      <c r="AN59" s="43">
        <v>0</v>
      </c>
      <c r="AO59" s="43">
        <v>1</v>
      </c>
      <c r="AP59" s="43">
        <v>1</v>
      </c>
      <c r="AQ59" s="68" t="s">
        <v>1770</v>
      </c>
      <c r="AR59" s="43" t="s">
        <v>629</v>
      </c>
      <c r="AS59" s="43">
        <v>1115</v>
      </c>
      <c r="AT59" s="43">
        <v>10.564</v>
      </c>
      <c r="AU59" s="69">
        <v>1118</v>
      </c>
      <c r="AV59" s="69">
        <v>-43.17</v>
      </c>
      <c r="AW59" s="69">
        <v>35039.040200000003</v>
      </c>
      <c r="AX59" s="43">
        <v>0.57030000000000003</v>
      </c>
      <c r="AY59" s="69">
        <v>1118</v>
      </c>
      <c r="AZ59" s="69">
        <v>-43.17</v>
      </c>
      <c r="BA59" s="69">
        <v>35039.040200000003</v>
      </c>
      <c r="BB59" s="43">
        <v>0.57030000000000003</v>
      </c>
      <c r="BC59" s="43">
        <v>0</v>
      </c>
      <c r="BD59" s="43">
        <v>0</v>
      </c>
      <c r="BE59" s="43">
        <v>0</v>
      </c>
      <c r="BF59" s="43">
        <v>-4.57</v>
      </c>
      <c r="BG59" s="43">
        <v>21.293500000000002</v>
      </c>
      <c r="BH59" s="43">
        <v>-4.57</v>
      </c>
      <c r="BI59" s="43">
        <v>17.172000000000001</v>
      </c>
      <c r="BJ59" s="43">
        <v>1</v>
      </c>
      <c r="BK59" s="53">
        <v>5.1999999999999998E-2</v>
      </c>
      <c r="BL59" s="53">
        <v>74.800000000000097</v>
      </c>
      <c r="BM59" s="43">
        <v>2</v>
      </c>
      <c r="BN59" s="34" t="s">
        <v>89</v>
      </c>
      <c r="BO59" s="34" t="s">
        <v>89</v>
      </c>
      <c r="BP59" s="34" t="s">
        <v>89</v>
      </c>
      <c r="BQ59" s="34" t="s">
        <v>89</v>
      </c>
      <c r="BR59" s="34" t="s">
        <v>89</v>
      </c>
      <c r="BS59" s="34" t="s">
        <v>89</v>
      </c>
      <c r="BT59" s="34" t="s">
        <v>89</v>
      </c>
      <c r="BU59" s="34" t="s">
        <v>89</v>
      </c>
      <c r="BV59" s="34" t="s">
        <v>89</v>
      </c>
      <c r="BW59" s="34" t="s">
        <v>89</v>
      </c>
      <c r="BX59" s="34" t="s">
        <v>89</v>
      </c>
      <c r="BY59" s="34" t="s">
        <v>89</v>
      </c>
      <c r="BZ59" s="34" t="s">
        <v>89</v>
      </c>
      <c r="CA59" s="34" t="s">
        <v>89</v>
      </c>
      <c r="CB59" s="34" t="s">
        <v>89</v>
      </c>
      <c r="CC59" s="34" t="s">
        <v>89</v>
      </c>
      <c r="CD59" s="34" t="s">
        <v>89</v>
      </c>
      <c r="CE59" s="43">
        <v>-0.64372603695332797</v>
      </c>
      <c r="CF59" s="43">
        <v>-0.66781483561317201</v>
      </c>
      <c r="CG59" s="43">
        <v>0</v>
      </c>
      <c r="CH59" s="43">
        <v>0</v>
      </c>
      <c r="CI59" s="43">
        <v>67.795000000000002</v>
      </c>
      <c r="CJ59" s="43">
        <v>-23.093513328315801</v>
      </c>
      <c r="CK59" s="43">
        <v>-6.2455459144899601</v>
      </c>
      <c r="CL59" s="43">
        <v>63438</v>
      </c>
      <c r="CM59" s="43">
        <v>62165</v>
      </c>
      <c r="CN59" s="43">
        <v>1216</v>
      </c>
      <c r="CO59" s="43">
        <v>1118</v>
      </c>
      <c r="CP59" s="43">
        <v>-43.17</v>
      </c>
      <c r="CQ59" s="43">
        <v>1118</v>
      </c>
      <c r="CR59" s="43">
        <v>-43.17</v>
      </c>
      <c r="CS59" s="43">
        <v>1</v>
      </c>
      <c r="CT59" s="43">
        <v>0</v>
      </c>
      <c r="CU59" s="43">
        <v>1</v>
      </c>
      <c r="CV59" s="46" t="s">
        <v>89</v>
      </c>
      <c r="CW59" s="34"/>
      <c r="CX59" s="35"/>
    </row>
    <row r="60" spans="1:102" ht="15" customHeight="1" x14ac:dyDescent="0.25">
      <c r="A60" s="33">
        <v>57</v>
      </c>
      <c r="B60" s="43" t="s">
        <v>630</v>
      </c>
      <c r="C60" s="43">
        <v>0.79800000000000004</v>
      </c>
      <c r="D60" s="43">
        <v>0.69899999999999995</v>
      </c>
      <c r="E60" s="43" t="s">
        <v>282</v>
      </c>
      <c r="F60" s="43" t="s">
        <v>295</v>
      </c>
      <c r="G60" s="43" t="s">
        <v>631</v>
      </c>
      <c r="H60" s="43" t="s">
        <v>632</v>
      </c>
      <c r="I60" s="43" t="s">
        <v>633</v>
      </c>
      <c r="J60" s="43" t="s">
        <v>634</v>
      </c>
      <c r="K60" s="53" t="s">
        <v>1971</v>
      </c>
      <c r="L60" s="43" t="s">
        <v>635</v>
      </c>
      <c r="M60" s="43" t="s">
        <v>578</v>
      </c>
      <c r="N60" s="43" t="s">
        <v>367</v>
      </c>
      <c r="O60" s="43" t="s">
        <v>339</v>
      </c>
      <c r="P60" s="43" t="s">
        <v>232</v>
      </c>
      <c r="Q60" s="43" t="s">
        <v>174</v>
      </c>
      <c r="R60" s="51" t="s">
        <v>99</v>
      </c>
      <c r="S60" s="69">
        <v>67.489999999999995</v>
      </c>
      <c r="T60" s="43">
        <v>80.546000000000006</v>
      </c>
      <c r="U60" s="43">
        <v>10.5852</v>
      </c>
      <c r="V60" s="43">
        <v>1.2789999999999999</v>
      </c>
      <c r="W60" s="43">
        <v>0</v>
      </c>
      <c r="X60" s="43">
        <v>0</v>
      </c>
      <c r="Y60" s="43">
        <v>4.3999999999999997E-2</v>
      </c>
      <c r="Z60" s="43">
        <v>0.16300000000000001</v>
      </c>
      <c r="AA60" s="43">
        <v>6822.0590000000002</v>
      </c>
      <c r="AB60" s="43">
        <v>0.374</v>
      </c>
      <c r="AC60" s="43">
        <v>5157.0519999999997</v>
      </c>
      <c r="AD60" s="43">
        <v>0.74399999999999999</v>
      </c>
      <c r="AE60" s="43">
        <v>0.998</v>
      </c>
      <c r="AF60" s="43">
        <v>0</v>
      </c>
      <c r="AG60" s="43">
        <v>11.996</v>
      </c>
      <c r="AH60" s="43">
        <v>79.673000000000002</v>
      </c>
      <c r="AI60" s="43">
        <v>-205.51499999999999</v>
      </c>
      <c r="AJ60" s="43" t="s">
        <v>1411</v>
      </c>
      <c r="AK60" s="43">
        <v>0</v>
      </c>
      <c r="AL60" s="43">
        <v>3</v>
      </c>
      <c r="AM60" s="43">
        <v>0</v>
      </c>
      <c r="AN60" s="43">
        <v>0</v>
      </c>
      <c r="AO60" s="43">
        <v>0</v>
      </c>
      <c r="AP60" s="43">
        <v>0</v>
      </c>
      <c r="AQ60" s="68" t="s">
        <v>1771</v>
      </c>
      <c r="AR60" s="43" t="s">
        <v>636</v>
      </c>
      <c r="AS60" s="43">
        <v>1366</v>
      </c>
      <c r="AT60" s="43">
        <v>-19.587</v>
      </c>
      <c r="AU60" s="69">
        <v>570.70000000000005</v>
      </c>
      <c r="AV60" s="69">
        <v>1118</v>
      </c>
      <c r="AW60" s="69">
        <v>36325.425900000002</v>
      </c>
      <c r="AX60" s="43">
        <v>0.28799999999999998</v>
      </c>
      <c r="AY60" s="69">
        <v>570.70000000000005</v>
      </c>
      <c r="AZ60" s="69">
        <v>1118</v>
      </c>
      <c r="BA60" s="69">
        <v>36325.425900000002</v>
      </c>
      <c r="BB60" s="43">
        <v>0.28799999999999998</v>
      </c>
      <c r="BC60" s="43">
        <v>0</v>
      </c>
      <c r="BD60" s="43">
        <v>0</v>
      </c>
      <c r="BE60" s="43">
        <v>0</v>
      </c>
      <c r="BF60" s="43">
        <v>-25.6</v>
      </c>
      <c r="BG60" s="43">
        <v>17.061699999999998</v>
      </c>
      <c r="BH60" s="43">
        <v>-25.6</v>
      </c>
      <c r="BI60" s="43">
        <v>6.4980000000000002</v>
      </c>
      <c r="BJ60" s="53">
        <v>0</v>
      </c>
      <c r="BK60" s="53">
        <v>5.2999999999999999E-2</v>
      </c>
      <c r="BL60" s="53">
        <v>76.000000000000099</v>
      </c>
      <c r="BM60" s="43">
        <v>2</v>
      </c>
      <c r="BN60" s="34" t="s">
        <v>89</v>
      </c>
      <c r="BO60" s="34" t="s">
        <v>89</v>
      </c>
      <c r="BP60" s="34" t="s">
        <v>89</v>
      </c>
      <c r="BQ60" s="34" t="s">
        <v>89</v>
      </c>
      <c r="BR60" s="34" t="s">
        <v>89</v>
      </c>
      <c r="BS60" s="34" t="s">
        <v>89</v>
      </c>
      <c r="BT60" s="34" t="s">
        <v>89</v>
      </c>
      <c r="BU60" s="34" t="s">
        <v>89</v>
      </c>
      <c r="BV60" s="34" t="s">
        <v>89</v>
      </c>
      <c r="BW60" s="34" t="s">
        <v>89</v>
      </c>
      <c r="BX60" s="34" t="s">
        <v>89</v>
      </c>
      <c r="BY60" s="34" t="s">
        <v>89</v>
      </c>
      <c r="BZ60" s="34" t="s">
        <v>89</v>
      </c>
      <c r="CA60" s="34" t="s">
        <v>89</v>
      </c>
      <c r="CB60" s="34" t="s">
        <v>89</v>
      </c>
      <c r="CC60" s="34" t="s">
        <v>89</v>
      </c>
      <c r="CD60" s="34" t="s">
        <v>89</v>
      </c>
      <c r="CE60" s="43">
        <v>-3.4885107279879597E-2</v>
      </c>
      <c r="CF60" s="43">
        <v>6.5341924682443306E-2</v>
      </c>
      <c r="CG60" s="43">
        <v>0</v>
      </c>
      <c r="CH60" s="43">
        <v>0</v>
      </c>
      <c r="CI60" s="43">
        <v>61.015999999999998</v>
      </c>
      <c r="CJ60" s="43">
        <v>-3.9862457754937899</v>
      </c>
      <c r="CK60" s="43">
        <v>-13.6805153019356</v>
      </c>
      <c r="CL60" s="43">
        <v>65404</v>
      </c>
      <c r="CM60" s="43">
        <v>41402</v>
      </c>
      <c r="CN60" s="43">
        <v>1528</v>
      </c>
      <c r="CO60" s="43">
        <v>570.70000000000005</v>
      </c>
      <c r="CP60" s="43">
        <v>1118</v>
      </c>
      <c r="CQ60" s="43">
        <v>570.70000000000005</v>
      </c>
      <c r="CR60" s="43">
        <v>1118</v>
      </c>
      <c r="CS60" s="43">
        <v>1</v>
      </c>
      <c r="CT60" s="43">
        <v>1</v>
      </c>
      <c r="CU60" s="43">
        <v>1</v>
      </c>
      <c r="CV60" s="46" t="s">
        <v>89</v>
      </c>
      <c r="CW60" s="34"/>
      <c r="CX60" s="35"/>
    </row>
    <row r="61" spans="1:102" ht="15" customHeight="1" x14ac:dyDescent="0.25">
      <c r="A61" s="33">
        <v>58</v>
      </c>
      <c r="B61" s="43" t="s">
        <v>1881</v>
      </c>
      <c r="C61" s="43">
        <v>0.89149999999999996</v>
      </c>
      <c r="D61" s="43">
        <v>9.4E-2</v>
      </c>
      <c r="E61" s="43" t="s">
        <v>295</v>
      </c>
      <c r="F61" s="43" t="s">
        <v>191</v>
      </c>
      <c r="G61" s="43" t="s">
        <v>637</v>
      </c>
      <c r="H61" s="43" t="s">
        <v>638</v>
      </c>
      <c r="I61" s="43" t="s">
        <v>639</v>
      </c>
      <c r="J61" s="43" t="s">
        <v>640</v>
      </c>
      <c r="K61" s="53" t="s">
        <v>1972</v>
      </c>
      <c r="L61" s="43" t="s">
        <v>641</v>
      </c>
      <c r="M61" s="43" t="s">
        <v>585</v>
      </c>
      <c r="N61" s="43" t="s">
        <v>527</v>
      </c>
      <c r="O61" s="43" t="s">
        <v>349</v>
      </c>
      <c r="P61" s="43" t="s">
        <v>248</v>
      </c>
      <c r="Q61" s="43" t="s">
        <v>232</v>
      </c>
      <c r="R61" s="51" t="s">
        <v>98</v>
      </c>
      <c r="S61" s="69">
        <v>-146.17400000000001</v>
      </c>
      <c r="T61" s="43">
        <v>41.177</v>
      </c>
      <c r="U61" s="43">
        <v>13.0853</v>
      </c>
      <c r="V61" s="43">
        <v>-9.5559999999999992</v>
      </c>
      <c r="W61" s="43">
        <v>0</v>
      </c>
      <c r="X61" s="43">
        <v>0</v>
      </c>
      <c r="Y61" s="43">
        <v>2.9000000000000001E-2</v>
      </c>
      <c r="Z61" s="43">
        <v>0.11899999999999999</v>
      </c>
      <c r="AA61" s="43">
        <v>1549.328</v>
      </c>
      <c r="AB61" s="43">
        <v>0.44400000000000001</v>
      </c>
      <c r="AC61" s="43">
        <v>6542.35</v>
      </c>
      <c r="AD61" s="43">
        <v>0.81599999999999995</v>
      </c>
      <c r="AE61" s="43">
        <v>0.97099999999999997</v>
      </c>
      <c r="AF61" s="43">
        <v>0</v>
      </c>
      <c r="AG61" s="43">
        <v>7.4480000000000004</v>
      </c>
      <c r="AH61" s="43">
        <v>0.48699999999999999</v>
      </c>
      <c r="AI61" s="43">
        <v>-118.848</v>
      </c>
      <c r="AJ61" s="43" t="s">
        <v>1413</v>
      </c>
      <c r="AK61" s="43">
        <v>0</v>
      </c>
      <c r="AL61" s="43">
        <v>0</v>
      </c>
      <c r="AM61" s="43">
        <v>0</v>
      </c>
      <c r="AN61" s="43">
        <v>0</v>
      </c>
      <c r="AO61" s="43">
        <v>0</v>
      </c>
      <c r="AP61" s="43">
        <v>0</v>
      </c>
      <c r="AQ61" s="68" t="s">
        <v>1732</v>
      </c>
      <c r="AR61" s="43" t="s">
        <v>642</v>
      </c>
      <c r="AS61" s="43">
        <v>3490</v>
      </c>
      <c r="AT61" s="43">
        <v>0.35199999999999998</v>
      </c>
      <c r="AU61" s="69">
        <v>0</v>
      </c>
      <c r="AV61" s="69">
        <v>-717.3</v>
      </c>
      <c r="AW61" s="69">
        <v>10763.6551</v>
      </c>
      <c r="AX61" s="43">
        <v>0.85260000000000002</v>
      </c>
      <c r="AY61" s="69">
        <v>0</v>
      </c>
      <c r="AZ61" s="69">
        <v>-717.3</v>
      </c>
      <c r="BA61" s="69">
        <v>10763.6551</v>
      </c>
      <c r="BB61" s="43">
        <v>0.85260000000000002</v>
      </c>
      <c r="BC61" s="43">
        <v>0</v>
      </c>
      <c r="BD61" s="43">
        <v>0</v>
      </c>
      <c r="BE61" s="43">
        <v>0</v>
      </c>
      <c r="BF61" s="43">
        <v>-10.5</v>
      </c>
      <c r="BG61" s="43">
        <v>14.594799999999999</v>
      </c>
      <c r="BH61" s="43">
        <v>-10.5</v>
      </c>
      <c r="BI61" s="43">
        <v>17.6065</v>
      </c>
      <c r="BJ61" s="53">
        <v>1</v>
      </c>
      <c r="BK61" s="53">
        <v>5.3999999999999999E-2</v>
      </c>
      <c r="BL61" s="53">
        <v>77.200000000000102</v>
      </c>
      <c r="BM61" s="43">
        <v>2</v>
      </c>
      <c r="BN61" s="34" t="s">
        <v>89</v>
      </c>
      <c r="BO61" s="34" t="s">
        <v>89</v>
      </c>
      <c r="BP61" s="34" t="s">
        <v>89</v>
      </c>
      <c r="BQ61" s="34" t="s">
        <v>89</v>
      </c>
      <c r="BR61" s="34" t="s">
        <v>89</v>
      </c>
      <c r="BS61" s="34" t="s">
        <v>89</v>
      </c>
      <c r="BT61" s="34" t="s">
        <v>89</v>
      </c>
      <c r="BU61" s="34" t="s">
        <v>89</v>
      </c>
      <c r="BV61" s="34" t="s">
        <v>89</v>
      </c>
      <c r="BW61" s="34" t="s">
        <v>89</v>
      </c>
      <c r="BX61" s="34" t="s">
        <v>89</v>
      </c>
      <c r="BY61" s="34" t="s">
        <v>89</v>
      </c>
      <c r="BZ61" s="34" t="s">
        <v>89</v>
      </c>
      <c r="CA61" s="34" t="s">
        <v>89</v>
      </c>
      <c r="CB61" s="34" t="s">
        <v>89</v>
      </c>
      <c r="CC61" s="34" t="s">
        <v>89</v>
      </c>
      <c r="CD61" s="34" t="s">
        <v>89</v>
      </c>
      <c r="CE61" s="43">
        <v>-4.4333647365213703E-2</v>
      </c>
      <c r="CF61" s="43">
        <v>4.5082338707800301E-3</v>
      </c>
      <c r="CG61" s="43">
        <v>0</v>
      </c>
      <c r="CH61" s="43">
        <v>0</v>
      </c>
      <c r="CI61" s="43">
        <v>-95.558999999999997</v>
      </c>
      <c r="CJ61" s="43">
        <v>10.735587370062101</v>
      </c>
      <c r="CK61" s="43">
        <v>-16.4791337835394</v>
      </c>
      <c r="CL61" s="43">
        <v>63635</v>
      </c>
      <c r="CM61" s="43">
        <v>38648</v>
      </c>
      <c r="CN61" s="43">
        <v>934</v>
      </c>
      <c r="CO61" s="43">
        <v>0</v>
      </c>
      <c r="CP61" s="43">
        <v>-717.3</v>
      </c>
      <c r="CQ61" s="43">
        <v>0</v>
      </c>
      <c r="CR61" s="43">
        <v>-717.3</v>
      </c>
      <c r="CS61" s="43">
        <v>0.63766599999999996</v>
      </c>
      <c r="CT61" s="43">
        <v>1</v>
      </c>
      <c r="CU61" s="43">
        <v>1</v>
      </c>
      <c r="CV61" s="46" t="s">
        <v>89</v>
      </c>
      <c r="CW61" s="34"/>
      <c r="CX61" s="35"/>
    </row>
    <row r="62" spans="1:102" ht="15" customHeight="1" x14ac:dyDescent="0.25">
      <c r="A62" s="33">
        <v>59</v>
      </c>
      <c r="B62" s="43" t="s">
        <v>643</v>
      </c>
      <c r="C62" s="43">
        <v>0.25130000000000002</v>
      </c>
      <c r="D62" s="43">
        <v>0.68200000000000005</v>
      </c>
      <c r="E62" s="43" t="s">
        <v>191</v>
      </c>
      <c r="F62" s="43" t="s">
        <v>153</v>
      </c>
      <c r="G62" s="43" t="s">
        <v>644</v>
      </c>
      <c r="H62" s="43" t="s">
        <v>645</v>
      </c>
      <c r="I62" s="43" t="s">
        <v>646</v>
      </c>
      <c r="J62" s="43" t="s">
        <v>647</v>
      </c>
      <c r="K62" s="53" t="s">
        <v>1973</v>
      </c>
      <c r="L62" s="43" t="s">
        <v>648</v>
      </c>
      <c r="M62" s="43" t="s">
        <v>592</v>
      </c>
      <c r="N62" s="43" t="s">
        <v>378</v>
      </c>
      <c r="O62" s="43" t="s">
        <v>357</v>
      </c>
      <c r="P62" s="43" t="s">
        <v>357</v>
      </c>
      <c r="Q62" s="43" t="s">
        <v>248</v>
      </c>
      <c r="R62" s="52" t="s">
        <v>224</v>
      </c>
      <c r="S62" s="71">
        <v>-91.441999999999993</v>
      </c>
      <c r="T62" s="43">
        <v>-30.779</v>
      </c>
      <c r="U62" s="43">
        <v>13.237</v>
      </c>
      <c r="V62" s="43">
        <v>23.056000000000001</v>
      </c>
      <c r="W62" s="43">
        <v>0</v>
      </c>
      <c r="X62" s="43">
        <v>0</v>
      </c>
      <c r="Y62" s="43">
        <v>0.109</v>
      </c>
      <c r="Z62" s="43">
        <v>0.109</v>
      </c>
      <c r="AA62" s="43">
        <v>2384.9830000000002</v>
      </c>
      <c r="AB62" s="43">
        <v>0.20799999999999999</v>
      </c>
      <c r="AC62" s="43">
        <v>3626.4279999999999</v>
      </c>
      <c r="AD62" s="43">
        <v>0.45100000000000001</v>
      </c>
      <c r="AE62" s="43">
        <v>0.97</v>
      </c>
      <c r="AF62" s="43">
        <v>1</v>
      </c>
      <c r="AG62" s="43">
        <v>-12.548</v>
      </c>
      <c r="AH62" s="43">
        <v>-190.441</v>
      </c>
      <c r="AI62" s="43">
        <v>-72.426000000000002</v>
      </c>
      <c r="AJ62" s="43" t="s">
        <v>1414</v>
      </c>
      <c r="AK62" s="43">
        <v>1</v>
      </c>
      <c r="AL62" s="43">
        <v>4</v>
      </c>
      <c r="AM62" s="43">
        <v>1</v>
      </c>
      <c r="AN62" s="43">
        <v>0</v>
      </c>
      <c r="AO62" s="43">
        <v>1</v>
      </c>
      <c r="AP62" s="43">
        <v>1</v>
      </c>
      <c r="AQ62" s="68" t="s">
        <v>1772</v>
      </c>
      <c r="AR62" s="43" t="s">
        <v>649</v>
      </c>
      <c r="AS62" s="43">
        <v>2326</v>
      </c>
      <c r="AT62" s="43">
        <v>-9.8610000000000007</v>
      </c>
      <c r="AU62" s="69">
        <v>-627.17999999999995</v>
      </c>
      <c r="AV62" s="69">
        <v>1118</v>
      </c>
      <c r="AW62" s="43">
        <v>68.573300000000003</v>
      </c>
      <c r="AX62" s="43">
        <v>0.9577</v>
      </c>
      <c r="AY62" s="69">
        <v>-627.17999999999995</v>
      </c>
      <c r="AZ62" s="69">
        <v>1118</v>
      </c>
      <c r="BA62" s="43">
        <v>68.573300000000003</v>
      </c>
      <c r="BB62" s="43">
        <v>0.9577</v>
      </c>
      <c r="BC62" s="43">
        <v>1</v>
      </c>
      <c r="BD62" s="43">
        <v>1</v>
      </c>
      <c r="BE62" s="43">
        <v>0</v>
      </c>
      <c r="BF62" s="43">
        <v>-11.6</v>
      </c>
      <c r="BG62" s="43">
        <v>26.0413</v>
      </c>
      <c r="BH62" s="43">
        <v>-11.6</v>
      </c>
      <c r="BI62" s="43">
        <v>25.869599999999998</v>
      </c>
      <c r="BJ62" s="53">
        <v>0</v>
      </c>
      <c r="BK62" s="53">
        <v>5.5E-2</v>
      </c>
      <c r="BL62" s="53">
        <v>78.400000000000105</v>
      </c>
      <c r="BM62" s="43">
        <v>2</v>
      </c>
      <c r="BN62" s="34" t="s">
        <v>89</v>
      </c>
      <c r="BO62" s="34" t="s">
        <v>89</v>
      </c>
      <c r="BP62" s="34" t="s">
        <v>89</v>
      </c>
      <c r="BQ62" s="34" t="s">
        <v>89</v>
      </c>
      <c r="BR62" s="34" t="s">
        <v>89</v>
      </c>
      <c r="BS62" s="34" t="s">
        <v>89</v>
      </c>
      <c r="BT62" s="34" t="s">
        <v>89</v>
      </c>
      <c r="BU62" s="34" t="s">
        <v>89</v>
      </c>
      <c r="BV62" s="34" t="s">
        <v>89</v>
      </c>
      <c r="BW62" s="34" t="s">
        <v>89</v>
      </c>
      <c r="BX62" s="34" t="s">
        <v>89</v>
      </c>
      <c r="BY62" s="34" t="s">
        <v>89</v>
      </c>
      <c r="BZ62" s="34" t="s">
        <v>89</v>
      </c>
      <c r="CA62" s="34" t="s">
        <v>89</v>
      </c>
      <c r="CB62" s="34" t="s">
        <v>89</v>
      </c>
      <c r="CC62" s="34" t="s">
        <v>89</v>
      </c>
      <c r="CD62" s="34" t="s">
        <v>89</v>
      </c>
      <c r="CE62" s="43">
        <v>1.1697608201143499</v>
      </c>
      <c r="CF62" s="43">
        <v>1</v>
      </c>
      <c r="CG62" s="43">
        <v>0</v>
      </c>
      <c r="CH62" s="43">
        <v>0</v>
      </c>
      <c r="CI62" s="43">
        <v>220</v>
      </c>
      <c r="CJ62" s="43">
        <v>8.3759389557801995</v>
      </c>
      <c r="CK62" s="43">
        <v>-28.879898659951099</v>
      </c>
      <c r="CL62" s="43">
        <v>0</v>
      </c>
      <c r="CM62" s="43">
        <v>12225</v>
      </c>
      <c r="CN62" s="43">
        <v>2326</v>
      </c>
      <c r="CO62" s="43">
        <v>-627.17999999999995</v>
      </c>
      <c r="CP62" s="43">
        <v>1118</v>
      </c>
      <c r="CQ62" s="43">
        <v>15.445</v>
      </c>
      <c r="CR62" s="43">
        <v>72836.163430879998</v>
      </c>
      <c r="CS62" s="43">
        <v>0.50612287499999997</v>
      </c>
      <c r="CT62" s="43">
        <v>0</v>
      </c>
      <c r="CU62" s="43">
        <v>1</v>
      </c>
      <c r="CV62" s="46" t="s">
        <v>89</v>
      </c>
      <c r="CW62" s="34"/>
      <c r="CX62" s="35"/>
    </row>
    <row r="63" spans="1:102" ht="15" customHeight="1" x14ac:dyDescent="0.25">
      <c r="A63" s="33">
        <v>60</v>
      </c>
      <c r="B63" s="43" t="s">
        <v>650</v>
      </c>
      <c r="C63" s="43">
        <v>0.86470000000000002</v>
      </c>
      <c r="D63" s="43">
        <v>0.99199999999999999</v>
      </c>
      <c r="E63" s="43" t="s">
        <v>153</v>
      </c>
      <c r="F63" s="43" t="s">
        <v>167</v>
      </c>
      <c r="G63" s="43" t="s">
        <v>651</v>
      </c>
      <c r="H63" s="43" t="s">
        <v>652</v>
      </c>
      <c r="I63" s="43" t="s">
        <v>653</v>
      </c>
      <c r="J63" s="43" t="s">
        <v>654</v>
      </c>
      <c r="K63" s="53" t="s">
        <v>1974</v>
      </c>
      <c r="L63" s="43" t="s">
        <v>655</v>
      </c>
      <c r="M63" s="43" t="s">
        <v>599</v>
      </c>
      <c r="N63" s="43" t="s">
        <v>392</v>
      </c>
      <c r="O63" s="43" t="s">
        <v>367</v>
      </c>
      <c r="P63" s="43" t="s">
        <v>367</v>
      </c>
      <c r="Q63" s="43" t="s">
        <v>316</v>
      </c>
      <c r="R63" s="51" t="s">
        <v>240</v>
      </c>
      <c r="S63" s="69">
        <v>171.48599999999999</v>
      </c>
      <c r="T63" s="43">
        <v>-34.619</v>
      </c>
      <c r="U63" s="43">
        <v>1.8139000000000001</v>
      </c>
      <c r="V63" s="43">
        <v>15.3</v>
      </c>
      <c r="W63" s="43">
        <v>0</v>
      </c>
      <c r="X63" s="43">
        <v>0</v>
      </c>
      <c r="Y63" s="43">
        <v>0.16</v>
      </c>
      <c r="Z63" s="43">
        <v>0.13300000000000001</v>
      </c>
      <c r="AA63" s="43">
        <v>2035.49</v>
      </c>
      <c r="AB63" s="43">
        <v>0.442</v>
      </c>
      <c r="AC63" s="43">
        <v>5391.2889999999998</v>
      </c>
      <c r="AD63" s="43">
        <v>0.184</v>
      </c>
      <c r="AE63" s="43">
        <v>0.99099999999999999</v>
      </c>
      <c r="AF63" s="43">
        <v>1</v>
      </c>
      <c r="AG63" s="43">
        <v>-13.34</v>
      </c>
      <c r="AH63" s="43">
        <v>83.948999999999998</v>
      </c>
      <c r="AI63" s="43">
        <v>83.948999999999998</v>
      </c>
      <c r="AJ63" s="43" t="s">
        <v>1415</v>
      </c>
      <c r="AK63" s="43">
        <v>1</v>
      </c>
      <c r="AL63" s="43">
        <v>0</v>
      </c>
      <c r="AM63" s="43">
        <v>0</v>
      </c>
      <c r="AN63" s="43">
        <v>1</v>
      </c>
      <c r="AO63" s="43">
        <v>0</v>
      </c>
      <c r="AP63" s="43">
        <v>0</v>
      </c>
      <c r="AQ63" s="68" t="s">
        <v>1773</v>
      </c>
      <c r="AR63" s="43" t="s">
        <v>656</v>
      </c>
      <c r="AS63" s="43">
        <v>2340</v>
      </c>
      <c r="AT63" s="43">
        <v>12.082000000000001</v>
      </c>
      <c r="AU63" s="69">
        <v>-43.17</v>
      </c>
      <c r="AV63" s="69">
        <v>-657.13</v>
      </c>
      <c r="AW63" s="43">
        <v>50.754399999999997</v>
      </c>
      <c r="AX63" s="43">
        <v>0.53620000000000001</v>
      </c>
      <c r="AY63" s="69">
        <v>-43.17</v>
      </c>
      <c r="AZ63" s="69">
        <v>-657.13</v>
      </c>
      <c r="BA63" s="43">
        <v>50.754399999999997</v>
      </c>
      <c r="BB63" s="43">
        <v>0.53620000000000001</v>
      </c>
      <c r="BC63" s="43">
        <v>1</v>
      </c>
      <c r="BD63" s="43">
        <v>1</v>
      </c>
      <c r="BE63" s="43">
        <v>0</v>
      </c>
      <c r="BF63" s="43">
        <v>-30.2</v>
      </c>
      <c r="BG63" s="43">
        <v>26.739699999999999</v>
      </c>
      <c r="BH63" s="43">
        <v>-11.1</v>
      </c>
      <c r="BI63" s="43">
        <v>19.5212</v>
      </c>
      <c r="BJ63" s="53">
        <v>1</v>
      </c>
      <c r="BK63" s="53">
        <v>5.6000000000000001E-2</v>
      </c>
      <c r="BL63" s="53">
        <v>79.600000000000094</v>
      </c>
      <c r="BM63" s="43">
        <v>2</v>
      </c>
      <c r="BN63" s="34" t="s">
        <v>89</v>
      </c>
      <c r="BO63" s="34" t="s">
        <v>89</v>
      </c>
      <c r="BP63" s="34" t="s">
        <v>89</v>
      </c>
      <c r="BQ63" s="34" t="s">
        <v>89</v>
      </c>
      <c r="BR63" s="34" t="s">
        <v>89</v>
      </c>
      <c r="BS63" s="34" t="s">
        <v>89</v>
      </c>
      <c r="BT63" s="34" t="s">
        <v>89</v>
      </c>
      <c r="BU63" s="34" t="s">
        <v>89</v>
      </c>
      <c r="BV63" s="34" t="s">
        <v>89</v>
      </c>
      <c r="BW63" s="34" t="s">
        <v>89</v>
      </c>
      <c r="BX63" s="34" t="s">
        <v>89</v>
      </c>
      <c r="BY63" s="34" t="s">
        <v>89</v>
      </c>
      <c r="BZ63" s="34" t="s">
        <v>89</v>
      </c>
      <c r="CA63" s="34" t="s">
        <v>89</v>
      </c>
      <c r="CB63" s="34" t="s">
        <v>89</v>
      </c>
      <c r="CC63" s="34" t="s">
        <v>89</v>
      </c>
      <c r="CD63" s="34" t="s">
        <v>89</v>
      </c>
      <c r="CE63" s="43">
        <v>7.1934234471542499E-2</v>
      </c>
      <c r="CF63" s="43">
        <v>1</v>
      </c>
      <c r="CG63" s="43">
        <v>0</v>
      </c>
      <c r="CH63" s="43">
        <v>0</v>
      </c>
      <c r="CI63" s="43">
        <v>-99.412000000000006</v>
      </c>
      <c r="CJ63" s="43">
        <v>-0.59147708992007797</v>
      </c>
      <c r="CK63" s="43">
        <v>-4.9195711044866197</v>
      </c>
      <c r="CL63" s="43">
        <v>0</v>
      </c>
      <c r="CM63" s="43">
        <v>41053</v>
      </c>
      <c r="CN63" s="43">
        <v>2340</v>
      </c>
      <c r="CO63" s="43">
        <v>-43.17</v>
      </c>
      <c r="CP63" s="43">
        <v>-657.13</v>
      </c>
      <c r="CQ63" s="43">
        <v>25.486999999999998</v>
      </c>
      <c r="CR63" s="43">
        <v>-17892.952107766399</v>
      </c>
      <c r="CS63" s="43">
        <v>0.18756375</v>
      </c>
      <c r="CT63" s="43">
        <v>0.857911125</v>
      </c>
      <c r="CU63" s="43">
        <v>1</v>
      </c>
      <c r="CV63" s="46" t="s">
        <v>89</v>
      </c>
      <c r="CW63" s="34"/>
      <c r="CX63" s="35"/>
    </row>
    <row r="64" spans="1:102" ht="15" customHeight="1" x14ac:dyDescent="0.25">
      <c r="A64" s="33">
        <v>61</v>
      </c>
      <c r="B64" s="43" t="s">
        <v>2054</v>
      </c>
      <c r="C64" s="43">
        <v>0.6361</v>
      </c>
      <c r="D64" s="43">
        <v>0.49</v>
      </c>
      <c r="E64" s="43" t="s">
        <v>167</v>
      </c>
      <c r="F64" s="43" t="s">
        <v>225</v>
      </c>
      <c r="G64" s="43" t="s">
        <v>657</v>
      </c>
      <c r="H64" s="43" t="s">
        <v>658</v>
      </c>
      <c r="I64" s="43" t="s">
        <v>659</v>
      </c>
      <c r="J64" s="43" t="s">
        <v>660</v>
      </c>
      <c r="K64" s="53" t="s">
        <v>1975</v>
      </c>
      <c r="L64" s="43" t="s">
        <v>661</v>
      </c>
      <c r="M64" s="43" t="s">
        <v>607</v>
      </c>
      <c r="N64" s="43" t="s">
        <v>403</v>
      </c>
      <c r="O64" s="43" t="s">
        <v>527</v>
      </c>
      <c r="P64" s="43" t="s">
        <v>527</v>
      </c>
      <c r="Q64" s="43" t="s">
        <v>662</v>
      </c>
      <c r="R64" s="43" t="s">
        <v>281</v>
      </c>
      <c r="S64" s="51">
        <v>-220</v>
      </c>
      <c r="T64" s="43">
        <v>177.047</v>
      </c>
      <c r="U64" s="43">
        <v>27.245000000000001</v>
      </c>
      <c r="V64" s="43">
        <v>-18.565999999999999</v>
      </c>
      <c r="W64" s="43">
        <v>1</v>
      </c>
      <c r="X64" s="43">
        <v>0</v>
      </c>
      <c r="Y64" s="43">
        <v>0.11899999999999999</v>
      </c>
      <c r="Z64" s="43">
        <v>6.3E-2</v>
      </c>
      <c r="AA64" s="43">
        <v>1046.925</v>
      </c>
      <c r="AB64" s="43">
        <v>0.376</v>
      </c>
      <c r="AC64" s="43">
        <v>1066.558</v>
      </c>
      <c r="AD64" s="43">
        <v>5.2999999999999999E-2</v>
      </c>
      <c r="AE64" s="43">
        <v>0.96</v>
      </c>
      <c r="AF64" s="43">
        <v>1</v>
      </c>
      <c r="AG64" s="43">
        <v>-0.66900000000000004</v>
      </c>
      <c r="AH64" s="43">
        <v>-144.667</v>
      </c>
      <c r="AI64" s="43">
        <v>-144.667</v>
      </c>
      <c r="AJ64" s="43" t="s">
        <v>1416</v>
      </c>
      <c r="AK64" s="43">
        <v>1</v>
      </c>
      <c r="AL64" s="43">
        <v>2</v>
      </c>
      <c r="AM64" s="43">
        <v>1</v>
      </c>
      <c r="AN64" s="43">
        <v>1</v>
      </c>
      <c r="AO64" s="43">
        <v>1</v>
      </c>
      <c r="AP64" s="43">
        <v>1</v>
      </c>
      <c r="AQ64" s="68" t="s">
        <v>1774</v>
      </c>
      <c r="AR64" s="43" t="s">
        <v>663</v>
      </c>
      <c r="AS64" s="43">
        <v>3783</v>
      </c>
      <c r="AT64" s="43">
        <v>13.826000000000001</v>
      </c>
      <c r="AU64" s="69">
        <v>1118</v>
      </c>
      <c r="AV64" s="69">
        <v>-194.19</v>
      </c>
      <c r="AW64" s="43">
        <v>33.736199999999997</v>
      </c>
      <c r="AX64" s="43">
        <v>0.6663</v>
      </c>
      <c r="AY64" s="69">
        <v>1118</v>
      </c>
      <c r="AZ64" s="69">
        <v>-194.19</v>
      </c>
      <c r="BA64" s="43">
        <v>33.736199999999997</v>
      </c>
      <c r="BB64" s="43">
        <v>0.6663</v>
      </c>
      <c r="BC64" s="43">
        <v>1</v>
      </c>
      <c r="BD64" s="43">
        <v>1</v>
      </c>
      <c r="BE64" s="43">
        <v>0</v>
      </c>
      <c r="BF64" s="43">
        <v>-9.65</v>
      </c>
      <c r="BG64" s="43">
        <v>29.712800000000001</v>
      </c>
      <c r="BH64" s="43">
        <v>-11.2</v>
      </c>
      <c r="BI64" s="43">
        <v>13.9659</v>
      </c>
      <c r="BJ64" s="43">
        <v>0</v>
      </c>
      <c r="BK64" s="53">
        <v>5.7000000000000002E-2</v>
      </c>
      <c r="BL64" s="53">
        <v>80.800000000000097</v>
      </c>
      <c r="BM64" s="43">
        <v>2</v>
      </c>
      <c r="BN64" s="34" t="s">
        <v>89</v>
      </c>
      <c r="BO64" s="34" t="s">
        <v>89</v>
      </c>
      <c r="BP64" s="34" t="s">
        <v>89</v>
      </c>
      <c r="BQ64" s="34" t="s">
        <v>89</v>
      </c>
      <c r="BR64" s="34" t="s">
        <v>89</v>
      </c>
      <c r="BS64" s="34" t="s">
        <v>89</v>
      </c>
      <c r="BT64" s="34" t="s">
        <v>89</v>
      </c>
      <c r="BU64" s="34" t="s">
        <v>89</v>
      </c>
      <c r="BV64" s="34" t="s">
        <v>89</v>
      </c>
      <c r="BW64" s="34" t="s">
        <v>89</v>
      </c>
      <c r="BX64" s="34" t="s">
        <v>89</v>
      </c>
      <c r="BY64" s="34" t="s">
        <v>89</v>
      </c>
      <c r="BZ64" s="34" t="s">
        <v>89</v>
      </c>
      <c r="CA64" s="34" t="s">
        <v>89</v>
      </c>
      <c r="CB64" s="34" t="s">
        <v>89</v>
      </c>
      <c r="CC64" s="34" t="s">
        <v>89</v>
      </c>
      <c r="CD64" s="34" t="s">
        <v>89</v>
      </c>
      <c r="CE64" s="43">
        <v>0.57056781820820401</v>
      </c>
      <c r="CF64" s="43">
        <v>1</v>
      </c>
      <c r="CG64" s="43">
        <v>29.712800000000001</v>
      </c>
      <c r="CH64" s="43">
        <v>13.9659</v>
      </c>
      <c r="CI64" s="43">
        <v>80.448999999999998</v>
      </c>
      <c r="CJ64" s="43">
        <v>0.35735522110963103</v>
      </c>
      <c r="CK64" s="43">
        <v>-4.7866791459158504</v>
      </c>
      <c r="CL64" s="43">
        <v>0</v>
      </c>
      <c r="CM64" s="43">
        <v>2143</v>
      </c>
      <c r="CN64" s="43">
        <v>3783</v>
      </c>
      <c r="CO64" s="43">
        <v>1118</v>
      </c>
      <c r="CP64" s="43">
        <v>-194.19</v>
      </c>
      <c r="CQ64" s="43">
        <v>19.167999999999999</v>
      </c>
      <c r="CR64" s="43">
        <v>-3607.3912949514001</v>
      </c>
      <c r="CS64" s="43">
        <v>0.24513437499999999</v>
      </c>
      <c r="CT64" s="43">
        <v>0</v>
      </c>
      <c r="CU64" s="43">
        <v>1</v>
      </c>
      <c r="CV64" s="46" t="s">
        <v>89</v>
      </c>
      <c r="CW64" s="34"/>
      <c r="CX64" s="35"/>
    </row>
    <row r="65" spans="1:102" ht="15" customHeight="1" x14ac:dyDescent="0.25">
      <c r="A65" s="33">
        <v>62</v>
      </c>
      <c r="B65" s="43" t="s">
        <v>2055</v>
      </c>
      <c r="C65" s="43">
        <v>0.62180000000000002</v>
      </c>
      <c r="D65" s="43">
        <v>0.88700000000000001</v>
      </c>
      <c r="E65" s="43" t="s">
        <v>225</v>
      </c>
      <c r="F65" s="43" t="s">
        <v>241</v>
      </c>
      <c r="G65" s="43" t="s">
        <v>664</v>
      </c>
      <c r="H65" s="43" t="s">
        <v>665</v>
      </c>
      <c r="I65" s="43" t="s">
        <v>666</v>
      </c>
      <c r="J65" s="43" t="s">
        <v>667</v>
      </c>
      <c r="K65" s="53" t="s">
        <v>1976</v>
      </c>
      <c r="L65" s="43" t="s">
        <v>668</v>
      </c>
      <c r="M65" s="43" t="s">
        <v>614</v>
      </c>
      <c r="N65" s="43" t="s">
        <v>339</v>
      </c>
      <c r="O65" s="43" t="s">
        <v>378</v>
      </c>
      <c r="P65" s="43" t="s">
        <v>378</v>
      </c>
      <c r="Q65" s="43" t="s">
        <v>669</v>
      </c>
      <c r="R65" s="43" t="s">
        <v>215</v>
      </c>
      <c r="S65" s="51">
        <v>220</v>
      </c>
      <c r="T65" s="43">
        <v>-9.32</v>
      </c>
      <c r="U65" s="43">
        <v>11.2662</v>
      </c>
      <c r="V65" s="43">
        <v>-15.76</v>
      </c>
      <c r="W65" s="43">
        <v>1</v>
      </c>
      <c r="X65" s="43">
        <v>0</v>
      </c>
      <c r="Y65" s="43">
        <v>5.2999999999999999E-2</v>
      </c>
      <c r="Z65" s="43">
        <v>5.1999999999999998E-2</v>
      </c>
      <c r="AA65" s="43">
        <v>6758.0749999999998</v>
      </c>
      <c r="AB65" s="43">
        <v>0.38</v>
      </c>
      <c r="AC65" s="43">
        <v>7037.7</v>
      </c>
      <c r="AD65" s="43">
        <v>0.152</v>
      </c>
      <c r="AE65" s="43">
        <v>0.98599999999999999</v>
      </c>
      <c r="AF65" s="43">
        <v>1</v>
      </c>
      <c r="AG65" s="43">
        <v>-22.661999999999999</v>
      </c>
      <c r="AH65" s="43">
        <v>-126.64100000000001</v>
      </c>
      <c r="AI65" s="43">
        <v>80.817999999999998</v>
      </c>
      <c r="AJ65" s="43" t="s">
        <v>1417</v>
      </c>
      <c r="AK65" s="43">
        <v>1</v>
      </c>
      <c r="AL65" s="43">
        <v>2</v>
      </c>
      <c r="AM65" s="43">
        <v>0</v>
      </c>
      <c r="AN65" s="43">
        <v>1</v>
      </c>
      <c r="AO65" s="43">
        <v>0</v>
      </c>
      <c r="AP65" s="43">
        <v>0</v>
      </c>
      <c r="AQ65" s="68" t="s">
        <v>1733</v>
      </c>
      <c r="AR65" s="43" t="s">
        <v>670</v>
      </c>
      <c r="AS65" s="43">
        <v>4523</v>
      </c>
      <c r="AT65" s="43">
        <v>-24.710999999999999</v>
      </c>
      <c r="AU65" s="69">
        <v>-717.3</v>
      </c>
      <c r="AV65" s="69">
        <v>386.22</v>
      </c>
      <c r="AW65" s="43">
        <v>65.226100000000002</v>
      </c>
      <c r="AX65" s="43">
        <v>0.80459999999999998</v>
      </c>
      <c r="AY65" s="69">
        <v>-717.3</v>
      </c>
      <c r="AZ65" s="69">
        <v>386.22</v>
      </c>
      <c r="BA65" s="43">
        <v>65.226100000000002</v>
      </c>
      <c r="BB65" s="43">
        <v>0.80459999999999998</v>
      </c>
      <c r="BC65" s="43">
        <v>1</v>
      </c>
      <c r="BD65" s="43">
        <v>1</v>
      </c>
      <c r="BE65" s="43">
        <v>0</v>
      </c>
      <c r="BF65" s="43">
        <v>-22.41</v>
      </c>
      <c r="BG65" s="43">
        <v>18.145</v>
      </c>
      <c r="BH65" s="43">
        <v>-11.3</v>
      </c>
      <c r="BI65" s="43">
        <v>18.4785</v>
      </c>
      <c r="BJ65" s="43">
        <v>1</v>
      </c>
      <c r="BK65" s="53">
        <v>5.8000000000000003E-2</v>
      </c>
      <c r="BL65" s="53">
        <v>82.000000000000099</v>
      </c>
      <c r="BM65" s="43">
        <v>2</v>
      </c>
      <c r="BN65" s="34" t="s">
        <v>89</v>
      </c>
      <c r="BO65" s="34" t="s">
        <v>89</v>
      </c>
      <c r="BP65" s="34" t="s">
        <v>89</v>
      </c>
      <c r="BQ65" s="34" t="s">
        <v>89</v>
      </c>
      <c r="BR65" s="34" t="s">
        <v>89</v>
      </c>
      <c r="BS65" s="34" t="s">
        <v>89</v>
      </c>
      <c r="BT65" s="34" t="s">
        <v>89</v>
      </c>
      <c r="BU65" s="34" t="s">
        <v>89</v>
      </c>
      <c r="BV65" s="34" t="s">
        <v>89</v>
      </c>
      <c r="BW65" s="34" t="s">
        <v>89</v>
      </c>
      <c r="BX65" s="34" t="s">
        <v>89</v>
      </c>
      <c r="BY65" s="34" t="s">
        <v>89</v>
      </c>
      <c r="BZ65" s="34" t="s">
        <v>89</v>
      </c>
      <c r="CA65" s="34" t="s">
        <v>89</v>
      </c>
      <c r="CB65" s="34" t="s">
        <v>89</v>
      </c>
      <c r="CC65" s="34" t="s">
        <v>89</v>
      </c>
      <c r="CD65" s="34" t="s">
        <v>89</v>
      </c>
      <c r="CE65" s="43">
        <v>3.0292300248462301</v>
      </c>
      <c r="CF65" s="43">
        <v>1</v>
      </c>
      <c r="CG65" s="43">
        <v>18.145</v>
      </c>
      <c r="CH65" s="43">
        <v>-11.3</v>
      </c>
      <c r="CI65" s="43">
        <v>1.77599999999998</v>
      </c>
      <c r="CJ65" s="43">
        <v>19.8459976961942</v>
      </c>
      <c r="CK65" s="43">
        <v>23.2468649809529</v>
      </c>
      <c r="CL65" s="43">
        <v>0</v>
      </c>
      <c r="CM65" s="43">
        <v>6009</v>
      </c>
      <c r="CN65" s="43">
        <v>4523</v>
      </c>
      <c r="CO65" s="43">
        <v>-717.3</v>
      </c>
      <c r="CP65" s="43">
        <v>386.22</v>
      </c>
      <c r="CQ65" s="43">
        <v>5.5679999999999996</v>
      </c>
      <c r="CR65" s="43">
        <v>19696.5213783732</v>
      </c>
      <c r="CS65" s="43">
        <v>0</v>
      </c>
      <c r="CT65" s="43">
        <v>1</v>
      </c>
      <c r="CU65" s="43">
        <v>1</v>
      </c>
      <c r="CV65" s="46" t="s">
        <v>89</v>
      </c>
      <c r="CW65" s="34"/>
      <c r="CX65" s="35"/>
    </row>
    <row r="66" spans="1:102" ht="15" customHeight="1" x14ac:dyDescent="0.25">
      <c r="A66" s="33">
        <v>63</v>
      </c>
      <c r="B66" s="43" t="s">
        <v>2056</v>
      </c>
      <c r="C66" s="43">
        <v>0.84760000000000002</v>
      </c>
      <c r="D66" s="43">
        <v>0.49399999999999999</v>
      </c>
      <c r="E66" s="43" t="s">
        <v>241</v>
      </c>
      <c r="F66" s="43" t="s">
        <v>386</v>
      </c>
      <c r="G66" s="43" t="s">
        <v>671</v>
      </c>
      <c r="H66" s="43" t="s">
        <v>672</v>
      </c>
      <c r="I66" s="43" t="s">
        <v>673</v>
      </c>
      <c r="J66" s="43" t="s">
        <v>674</v>
      </c>
      <c r="K66" s="53" t="s">
        <v>1977</v>
      </c>
      <c r="L66" s="43" t="s">
        <v>675</v>
      </c>
      <c r="M66" s="43" t="s">
        <v>621</v>
      </c>
      <c r="N66" s="43" t="s">
        <v>349</v>
      </c>
      <c r="O66" s="43" t="s">
        <v>392</v>
      </c>
      <c r="P66" s="43" t="s">
        <v>392</v>
      </c>
      <c r="Q66" s="43" t="s">
        <v>676</v>
      </c>
      <c r="R66" s="43" t="s">
        <v>215</v>
      </c>
      <c r="S66" s="51">
        <v>0</v>
      </c>
      <c r="T66" s="43">
        <v>-161.352</v>
      </c>
      <c r="U66" s="43">
        <v>29.064599999999999</v>
      </c>
      <c r="V66" s="43">
        <v>-14.045999999999999</v>
      </c>
      <c r="W66" s="43">
        <v>1</v>
      </c>
      <c r="X66" s="43">
        <v>1</v>
      </c>
      <c r="Y66" s="43">
        <v>8.1000000000000003E-2</v>
      </c>
      <c r="Z66" s="43">
        <v>0.17299999999999999</v>
      </c>
      <c r="AA66" s="43">
        <v>3945.7820000000002</v>
      </c>
      <c r="AB66" s="43">
        <v>0.63600000000000001</v>
      </c>
      <c r="AC66" s="43">
        <v>7691.6859999999997</v>
      </c>
      <c r="AD66" s="43">
        <v>0.79200000000000004</v>
      </c>
      <c r="AE66" s="43">
        <v>0.96899999999999997</v>
      </c>
      <c r="AF66" s="43">
        <v>0</v>
      </c>
      <c r="AG66" s="43">
        <v>-10.263999999999999</v>
      </c>
      <c r="AH66" s="43">
        <v>121.994</v>
      </c>
      <c r="AI66" s="43">
        <v>-44.258000000000003</v>
      </c>
      <c r="AJ66" s="43" t="s">
        <v>1418</v>
      </c>
      <c r="AK66" s="43">
        <v>0</v>
      </c>
      <c r="AL66" s="43">
        <v>0</v>
      </c>
      <c r="AM66" s="43">
        <v>0</v>
      </c>
      <c r="AN66" s="43">
        <v>1</v>
      </c>
      <c r="AO66" s="43">
        <v>0</v>
      </c>
      <c r="AP66" s="43">
        <v>0</v>
      </c>
      <c r="AQ66" s="68" t="s">
        <v>1775</v>
      </c>
      <c r="AR66" s="43" t="s">
        <v>677</v>
      </c>
      <c r="AS66" s="43">
        <v>129</v>
      </c>
      <c r="AT66" s="43">
        <v>11.282999999999999</v>
      </c>
      <c r="AU66" s="69">
        <v>1118</v>
      </c>
      <c r="AV66" s="69">
        <v>-784.13</v>
      </c>
      <c r="AW66" s="43">
        <v>25.8</v>
      </c>
      <c r="AX66" s="43">
        <v>0.40029999999999999</v>
      </c>
      <c r="AY66" s="69">
        <v>1118</v>
      </c>
      <c r="AZ66" s="69">
        <v>-784.13</v>
      </c>
      <c r="BA66" s="43">
        <v>25.8</v>
      </c>
      <c r="BB66" s="43">
        <v>0.40029999999999999</v>
      </c>
      <c r="BC66" s="43">
        <v>0</v>
      </c>
      <c r="BD66" s="43">
        <v>0</v>
      </c>
      <c r="BE66" s="43">
        <v>0</v>
      </c>
      <c r="BF66" s="43">
        <v>-8.69</v>
      </c>
      <c r="BG66" s="43">
        <v>0.51470000000000005</v>
      </c>
      <c r="BH66" s="43">
        <v>-11.4</v>
      </c>
      <c r="BI66" s="43">
        <v>15.365600000000001</v>
      </c>
      <c r="BJ66" s="43">
        <v>0</v>
      </c>
      <c r="BK66" s="53">
        <v>5.8999999999999997E-2</v>
      </c>
      <c r="BL66" s="53">
        <v>83.200000000000102</v>
      </c>
      <c r="BM66" s="43">
        <v>2</v>
      </c>
      <c r="BN66" s="34" t="s">
        <v>89</v>
      </c>
      <c r="BO66" s="34" t="s">
        <v>89</v>
      </c>
      <c r="BP66" s="34" t="s">
        <v>89</v>
      </c>
      <c r="BQ66" s="34" t="s">
        <v>89</v>
      </c>
      <c r="BR66" s="34" t="s">
        <v>89</v>
      </c>
      <c r="BS66" s="34" t="s">
        <v>89</v>
      </c>
      <c r="BT66" s="34" t="s">
        <v>89</v>
      </c>
      <c r="BU66" s="34" t="s">
        <v>89</v>
      </c>
      <c r="BV66" s="34" t="s">
        <v>89</v>
      </c>
      <c r="BW66" s="34" t="s">
        <v>89</v>
      </c>
      <c r="BX66" s="34" t="s">
        <v>89</v>
      </c>
      <c r="BY66" s="34" t="s">
        <v>89</v>
      </c>
      <c r="BZ66" s="34" t="s">
        <v>89</v>
      </c>
      <c r="CA66" s="34" t="s">
        <v>89</v>
      </c>
      <c r="CB66" s="34" t="s">
        <v>89</v>
      </c>
      <c r="CC66" s="34" t="s">
        <v>89</v>
      </c>
      <c r="CD66" s="34" t="s">
        <v>89</v>
      </c>
      <c r="CE66" s="43">
        <v>0.46665596435751899</v>
      </c>
      <c r="CF66" s="43">
        <v>-0.42245682433289899</v>
      </c>
      <c r="CG66" s="43">
        <v>0</v>
      </c>
      <c r="CH66" s="43">
        <v>0</v>
      </c>
      <c r="CI66" s="43">
        <v>53.228000000000002</v>
      </c>
      <c r="CJ66" s="43">
        <v>-16.801421549310501</v>
      </c>
      <c r="CK66" s="43">
        <v>-4.6473288950175098</v>
      </c>
      <c r="CL66" s="43">
        <v>63504</v>
      </c>
      <c r="CM66" s="43">
        <v>51059</v>
      </c>
      <c r="CN66" s="43">
        <v>1418</v>
      </c>
      <c r="CO66" s="43">
        <v>1118</v>
      </c>
      <c r="CP66" s="43">
        <v>-784.13</v>
      </c>
      <c r="CQ66" s="43">
        <v>1118</v>
      </c>
      <c r="CR66" s="43">
        <v>-784.13</v>
      </c>
      <c r="CS66" s="43">
        <v>0.14277724999999999</v>
      </c>
      <c r="CT66" s="43">
        <v>1</v>
      </c>
      <c r="CU66" s="43">
        <v>1</v>
      </c>
      <c r="CV66" s="46" t="s">
        <v>89</v>
      </c>
      <c r="CW66" s="34"/>
      <c r="CX66" s="35"/>
    </row>
    <row r="67" spans="1:102" ht="15" customHeight="1" x14ac:dyDescent="0.25">
      <c r="A67" s="33">
        <v>64</v>
      </c>
      <c r="B67" s="43" t="s">
        <v>2057</v>
      </c>
      <c r="C67" s="43">
        <v>0.2898</v>
      </c>
      <c r="D67" s="43">
        <v>0.13</v>
      </c>
      <c r="E67" s="43" t="s">
        <v>386</v>
      </c>
      <c r="F67" s="43" t="s">
        <v>396</v>
      </c>
      <c r="G67" s="43" t="s">
        <v>678</v>
      </c>
      <c r="H67" s="43" t="s">
        <v>679</v>
      </c>
      <c r="I67" s="43" t="s">
        <v>680</v>
      </c>
      <c r="J67" s="43" t="s">
        <v>681</v>
      </c>
      <c r="K67" s="53" t="s">
        <v>1978</v>
      </c>
      <c r="L67" s="43" t="s">
        <v>682</v>
      </c>
      <c r="M67" s="43" t="s">
        <v>628</v>
      </c>
      <c r="N67" s="43" t="s">
        <v>357</v>
      </c>
      <c r="O67" s="43" t="s">
        <v>403</v>
      </c>
      <c r="P67" s="43" t="s">
        <v>403</v>
      </c>
      <c r="Q67" s="43" t="s">
        <v>683</v>
      </c>
      <c r="R67" s="43" t="s">
        <v>267</v>
      </c>
      <c r="S67" s="51">
        <v>-115.697</v>
      </c>
      <c r="T67" s="43">
        <v>-205.51499999999999</v>
      </c>
      <c r="U67" s="43">
        <v>2.8990999999999998</v>
      </c>
      <c r="V67" s="43">
        <v>9.6479999999999997</v>
      </c>
      <c r="W67" s="43">
        <v>1</v>
      </c>
      <c r="X67" s="43">
        <v>1</v>
      </c>
      <c r="Y67" s="43">
        <v>0.10100000000000001</v>
      </c>
      <c r="Z67" s="43">
        <v>7.0999999999999994E-2</v>
      </c>
      <c r="AA67" s="43">
        <v>1611.49</v>
      </c>
      <c r="AB67" s="43">
        <v>0.71299999999999997</v>
      </c>
      <c r="AC67" s="43">
        <v>5394.18</v>
      </c>
      <c r="AD67" s="43">
        <v>0.72599999999999998</v>
      </c>
      <c r="AE67" s="43">
        <v>0.995</v>
      </c>
      <c r="AF67" s="43">
        <v>0</v>
      </c>
      <c r="AG67" s="43">
        <v>-22.169</v>
      </c>
      <c r="AH67" s="43">
        <v>-41.575000000000003</v>
      </c>
      <c r="AI67" s="43">
        <v>-40.921999999999997</v>
      </c>
      <c r="AJ67" s="43" t="s">
        <v>1420</v>
      </c>
      <c r="AK67" s="43">
        <v>0</v>
      </c>
      <c r="AL67" s="43">
        <v>1</v>
      </c>
      <c r="AM67" s="43">
        <v>1</v>
      </c>
      <c r="AN67" s="43">
        <v>0</v>
      </c>
      <c r="AO67" s="43">
        <v>1</v>
      </c>
      <c r="AP67" s="43">
        <v>1</v>
      </c>
      <c r="AQ67" s="68" t="s">
        <v>1734</v>
      </c>
      <c r="AR67" s="43" t="s">
        <v>684</v>
      </c>
      <c r="AS67" s="43">
        <v>662</v>
      </c>
      <c r="AT67" s="43">
        <v>-5.5149999999999997</v>
      </c>
      <c r="AU67" s="69">
        <v>-38.799999999999997</v>
      </c>
      <c r="AV67" s="69">
        <v>947.74</v>
      </c>
      <c r="AW67" s="43">
        <v>70.113200000000006</v>
      </c>
      <c r="AX67" s="43">
        <v>0.63119999999999998</v>
      </c>
      <c r="AY67" s="69">
        <v>-38.799999999999997</v>
      </c>
      <c r="AZ67" s="69">
        <v>947.74</v>
      </c>
      <c r="BA67" s="43">
        <v>70.113200000000006</v>
      </c>
      <c r="BB67" s="43">
        <v>0.63119999999999998</v>
      </c>
      <c r="BC67" s="43">
        <v>0</v>
      </c>
      <c r="BD67" s="43">
        <v>0</v>
      </c>
      <c r="BE67" s="43">
        <v>0</v>
      </c>
      <c r="BF67" s="43">
        <v>-4.57</v>
      </c>
      <c r="BG67" s="43">
        <v>16.9649</v>
      </c>
      <c r="BH67" s="43">
        <v>-11.6</v>
      </c>
      <c r="BI67" s="43">
        <v>2.9855999999999998</v>
      </c>
      <c r="BJ67" s="43">
        <v>1</v>
      </c>
      <c r="BK67" s="53">
        <v>0.06</v>
      </c>
      <c r="BL67" s="53">
        <v>84.400000000000105</v>
      </c>
      <c r="BM67" s="43">
        <v>2</v>
      </c>
      <c r="BN67" s="34" t="s">
        <v>89</v>
      </c>
      <c r="BO67" s="34" t="s">
        <v>89</v>
      </c>
      <c r="BP67" s="34" t="s">
        <v>89</v>
      </c>
      <c r="BQ67" s="34" t="s">
        <v>89</v>
      </c>
      <c r="BR67" s="34" t="s">
        <v>89</v>
      </c>
      <c r="BS67" s="34" t="s">
        <v>89</v>
      </c>
      <c r="BT67" s="34" t="s">
        <v>89</v>
      </c>
      <c r="BU67" s="34" t="s">
        <v>89</v>
      </c>
      <c r="BV67" s="34" t="s">
        <v>89</v>
      </c>
      <c r="BW67" s="34" t="s">
        <v>89</v>
      </c>
      <c r="BX67" s="34" t="s">
        <v>89</v>
      </c>
      <c r="BY67" s="34" t="s">
        <v>89</v>
      </c>
      <c r="BZ67" s="34" t="s">
        <v>89</v>
      </c>
      <c r="CA67" s="34" t="s">
        <v>89</v>
      </c>
      <c r="CB67" s="34" t="s">
        <v>89</v>
      </c>
      <c r="CC67" s="34" t="s">
        <v>89</v>
      </c>
      <c r="CD67" s="34" t="s">
        <v>89</v>
      </c>
      <c r="CE67" s="43">
        <v>1.06179974265846</v>
      </c>
      <c r="CF67" s="43">
        <v>0.30023109764061201</v>
      </c>
      <c r="CG67" s="43">
        <v>0</v>
      </c>
      <c r="CH67" s="43">
        <v>0</v>
      </c>
      <c r="CI67" s="43">
        <v>167.97300000000001</v>
      </c>
      <c r="CJ67" s="43">
        <v>14.9078397929323</v>
      </c>
      <c r="CK67" s="43">
        <v>-24.753247895787101</v>
      </c>
      <c r="CL67" s="43">
        <v>65208</v>
      </c>
      <c r="CM67" s="43">
        <v>46639</v>
      </c>
      <c r="CN67" s="43">
        <v>1842</v>
      </c>
      <c r="CO67" s="43">
        <v>-38.799999999999997</v>
      </c>
      <c r="CP67" s="43">
        <v>947.74</v>
      </c>
      <c r="CQ67" s="43">
        <v>-38.799999999999997</v>
      </c>
      <c r="CR67" s="43">
        <v>947.74</v>
      </c>
      <c r="CS67" s="43">
        <v>0.91443624999999995</v>
      </c>
      <c r="CT67" s="43">
        <v>5.1727499999999899E-2</v>
      </c>
      <c r="CU67" s="43">
        <v>1</v>
      </c>
      <c r="CV67" s="46" t="s">
        <v>89</v>
      </c>
      <c r="CW67" s="34"/>
      <c r="CX67" s="35"/>
    </row>
    <row r="68" spans="1:102" ht="15" customHeight="1" x14ac:dyDescent="0.25">
      <c r="A68" s="33">
        <v>65</v>
      </c>
      <c r="B68" s="43" t="s">
        <v>2058</v>
      </c>
      <c r="C68" s="43">
        <v>6.6000000000000003E-2</v>
      </c>
      <c r="D68" s="43">
        <v>0.66500000000000004</v>
      </c>
      <c r="E68" s="43" t="s">
        <v>396</v>
      </c>
      <c r="F68" s="43" t="s">
        <v>405</v>
      </c>
      <c r="G68" s="43" t="s">
        <v>685</v>
      </c>
      <c r="H68" s="43" t="s">
        <v>686</v>
      </c>
      <c r="I68" s="43" t="s">
        <v>687</v>
      </c>
      <c r="J68" s="43" t="s">
        <v>688</v>
      </c>
      <c r="K68" s="53" t="s">
        <v>1979</v>
      </c>
      <c r="L68" s="43" t="s">
        <v>689</v>
      </c>
      <c r="M68" s="43" t="s">
        <v>635</v>
      </c>
      <c r="N68" s="43" t="s">
        <v>367</v>
      </c>
      <c r="O68" s="43" t="s">
        <v>411</v>
      </c>
      <c r="P68" s="43" t="s">
        <v>662</v>
      </c>
      <c r="Q68" s="43" t="s">
        <v>690</v>
      </c>
      <c r="R68" s="43" t="s">
        <v>281</v>
      </c>
      <c r="S68" s="51">
        <v>140.47</v>
      </c>
      <c r="T68" s="43">
        <v>-118.848</v>
      </c>
      <c r="U68" s="43">
        <v>24.754999999999999</v>
      </c>
      <c r="V68" s="43">
        <v>6.1230000000000002</v>
      </c>
      <c r="W68" s="43">
        <v>0</v>
      </c>
      <c r="X68" s="43">
        <v>1</v>
      </c>
      <c r="Y68" s="43">
        <v>2.3E-2</v>
      </c>
      <c r="Z68" s="43">
        <v>7.2999999999999995E-2</v>
      </c>
      <c r="AA68" s="43">
        <v>2358.2179999999998</v>
      </c>
      <c r="AB68" s="43">
        <v>0.47299999999999998</v>
      </c>
      <c r="AC68" s="43">
        <v>5388.9229999999998</v>
      </c>
      <c r="AD68" s="43">
        <v>8.9999999999999993E-3</v>
      </c>
      <c r="AE68" s="43">
        <v>0.98499999999999999</v>
      </c>
      <c r="AF68" s="43">
        <v>1</v>
      </c>
      <c r="AG68" s="43">
        <v>22.661999999999999</v>
      </c>
      <c r="AH68" s="43">
        <v>48.84</v>
      </c>
      <c r="AI68" s="43">
        <v>75.082999999999998</v>
      </c>
      <c r="AJ68" s="43" t="s">
        <v>1421</v>
      </c>
      <c r="AK68" s="43">
        <v>1</v>
      </c>
      <c r="AL68" s="43">
        <v>4</v>
      </c>
      <c r="AM68" s="43">
        <v>0</v>
      </c>
      <c r="AN68" s="43">
        <v>0</v>
      </c>
      <c r="AO68" s="43">
        <v>0</v>
      </c>
      <c r="AP68" s="43">
        <v>0</v>
      </c>
      <c r="AQ68" s="68" t="s">
        <v>1776</v>
      </c>
      <c r="AR68" s="43" t="s">
        <v>691</v>
      </c>
      <c r="AS68" s="43">
        <v>917</v>
      </c>
      <c r="AT68" s="43">
        <v>12.311</v>
      </c>
      <c r="AU68" s="69">
        <v>-657.1</v>
      </c>
      <c r="AV68" s="69">
        <v>269.39999999999998</v>
      </c>
      <c r="AW68" s="43">
        <v>8.6293000000000006</v>
      </c>
      <c r="AX68" s="43">
        <v>0.43490000000000001</v>
      </c>
      <c r="AY68" s="69">
        <v>-657.1</v>
      </c>
      <c r="AZ68" s="69">
        <v>269.39999999999998</v>
      </c>
      <c r="BA68" s="43">
        <v>8.6293000000000006</v>
      </c>
      <c r="BB68" s="43">
        <v>0.43490000000000001</v>
      </c>
      <c r="BC68" s="43">
        <v>1</v>
      </c>
      <c r="BD68" s="43">
        <v>1</v>
      </c>
      <c r="BE68" s="43">
        <v>0</v>
      </c>
      <c r="BF68" s="43">
        <v>-25.6</v>
      </c>
      <c r="BG68" s="43">
        <v>25.026</v>
      </c>
      <c r="BH68" s="43">
        <v>-25.6</v>
      </c>
      <c r="BI68" s="43">
        <v>8.8111999999999995</v>
      </c>
      <c r="BJ68" s="43">
        <v>0</v>
      </c>
      <c r="BK68" s="53">
        <v>6.0999999999999999E-2</v>
      </c>
      <c r="BL68" s="53">
        <v>85.600000000000094</v>
      </c>
      <c r="BM68" s="43">
        <v>2</v>
      </c>
      <c r="BN68" s="34" t="s">
        <v>89</v>
      </c>
      <c r="BO68" s="34" t="s">
        <v>89</v>
      </c>
      <c r="BP68" s="34" t="s">
        <v>89</v>
      </c>
      <c r="BQ68" s="34" t="s">
        <v>89</v>
      </c>
      <c r="BR68" s="34" t="s">
        <v>89</v>
      </c>
      <c r="BS68" s="34" t="s">
        <v>89</v>
      </c>
      <c r="BT68" s="34" t="s">
        <v>89</v>
      </c>
      <c r="BU68" s="34" t="s">
        <v>89</v>
      </c>
      <c r="BV68" s="34" t="s">
        <v>89</v>
      </c>
      <c r="BW68" s="34" t="s">
        <v>89</v>
      </c>
      <c r="BX68" s="34" t="s">
        <v>89</v>
      </c>
      <c r="BY68" s="34" t="s">
        <v>89</v>
      </c>
      <c r="BZ68" s="34" t="s">
        <v>89</v>
      </c>
      <c r="CA68" s="34" t="s">
        <v>89</v>
      </c>
      <c r="CB68" s="34" t="s">
        <v>89</v>
      </c>
      <c r="CC68" s="34" t="s">
        <v>89</v>
      </c>
      <c r="CD68" s="34" t="s">
        <v>89</v>
      </c>
      <c r="CE68" s="43">
        <v>-0.54379952164857903</v>
      </c>
      <c r="CF68" s="43">
        <v>1</v>
      </c>
      <c r="CG68" s="43">
        <v>0</v>
      </c>
      <c r="CH68" s="43">
        <v>0</v>
      </c>
      <c r="CI68" s="43">
        <v>169.74700000000001</v>
      </c>
      <c r="CJ68" s="43">
        <v>7.1012773861870002</v>
      </c>
      <c r="CK68" s="43">
        <v>-29.697779117038898</v>
      </c>
      <c r="CL68" s="43">
        <v>0</v>
      </c>
      <c r="CM68" s="43">
        <v>59290</v>
      </c>
      <c r="CN68" s="43">
        <v>917</v>
      </c>
      <c r="CO68" s="43">
        <v>-11.94</v>
      </c>
      <c r="CP68" s="43">
        <v>720.06106835800006</v>
      </c>
      <c r="CQ68" s="43">
        <v>16.882000000000001</v>
      </c>
      <c r="CR68" s="43">
        <v>732.59575615799997</v>
      </c>
      <c r="CS68" s="43">
        <v>0.76777724999999997</v>
      </c>
      <c r="CT68" s="43">
        <v>0.68261537500000002</v>
      </c>
      <c r="CU68" s="43">
        <v>1</v>
      </c>
      <c r="CV68" s="46" t="s">
        <v>89</v>
      </c>
      <c r="CW68" s="34"/>
      <c r="CX68" s="35"/>
    </row>
    <row r="69" spans="1:102" ht="15" customHeight="1" x14ac:dyDescent="0.25">
      <c r="A69" s="33">
        <v>66</v>
      </c>
      <c r="B69" s="43" t="s">
        <v>692</v>
      </c>
      <c r="C69" s="43">
        <v>0.18509999999999999</v>
      </c>
      <c r="D69" s="43">
        <v>0.51600000000000001</v>
      </c>
      <c r="E69" s="43" t="s">
        <v>405</v>
      </c>
      <c r="F69" s="43" t="s">
        <v>416</v>
      </c>
      <c r="G69" s="43" t="s">
        <v>693</v>
      </c>
      <c r="H69" s="43" t="s">
        <v>694</v>
      </c>
      <c r="I69" s="43" t="s">
        <v>695</v>
      </c>
      <c r="J69" s="43" t="s">
        <v>696</v>
      </c>
      <c r="K69" s="53" t="s">
        <v>1980</v>
      </c>
      <c r="L69" s="43" t="s">
        <v>697</v>
      </c>
      <c r="M69" s="43" t="s">
        <v>641</v>
      </c>
      <c r="N69" s="43" t="s">
        <v>527</v>
      </c>
      <c r="O69" s="43" t="s">
        <v>423</v>
      </c>
      <c r="P69" s="43" t="s">
        <v>669</v>
      </c>
      <c r="Q69" s="43" t="s">
        <v>698</v>
      </c>
      <c r="R69" s="43" t="s">
        <v>294</v>
      </c>
      <c r="S69" s="43">
        <v>-216.922</v>
      </c>
      <c r="T69" s="51">
        <v>-220</v>
      </c>
      <c r="U69" s="43">
        <v>1.0261</v>
      </c>
      <c r="V69" s="43">
        <v>15.028</v>
      </c>
      <c r="W69" s="43">
        <v>0</v>
      </c>
      <c r="X69" s="43">
        <v>1</v>
      </c>
      <c r="Y69" s="43">
        <v>0.2</v>
      </c>
      <c r="Z69" s="43">
        <v>0.16500000000000001</v>
      </c>
      <c r="AA69" s="43">
        <v>3275.2620000000002</v>
      </c>
      <c r="AB69" s="43">
        <v>0.65700000000000003</v>
      </c>
      <c r="AC69" s="43">
        <v>2711.15</v>
      </c>
      <c r="AD69" s="43">
        <v>0.433</v>
      </c>
      <c r="AE69" s="43">
        <v>1</v>
      </c>
      <c r="AF69" s="43">
        <v>0</v>
      </c>
      <c r="AG69" s="43">
        <v>19.026</v>
      </c>
      <c r="AH69" s="43">
        <v>107.702</v>
      </c>
      <c r="AI69" s="43">
        <v>74.066000000000003</v>
      </c>
      <c r="AJ69" s="43" t="s">
        <v>1422</v>
      </c>
      <c r="AK69" s="43">
        <v>0</v>
      </c>
      <c r="AL69" s="43">
        <v>2</v>
      </c>
      <c r="AM69" s="43">
        <v>0</v>
      </c>
      <c r="AN69" s="43">
        <v>1</v>
      </c>
      <c r="AO69" s="43">
        <v>0</v>
      </c>
      <c r="AP69" s="43">
        <v>0</v>
      </c>
      <c r="AQ69" s="68" t="s">
        <v>1735</v>
      </c>
      <c r="AR69" s="43" t="s">
        <v>699</v>
      </c>
      <c r="AS69" s="43">
        <v>3897</v>
      </c>
      <c r="AT69" s="43">
        <v>1.5149999999999999</v>
      </c>
      <c r="AU69" s="69">
        <v>570.70000000000005</v>
      </c>
      <c r="AV69" s="69">
        <v>-340.13</v>
      </c>
      <c r="AW69" s="43">
        <v>12.612</v>
      </c>
      <c r="AX69" s="43">
        <v>0.79010000000000002</v>
      </c>
      <c r="AY69" s="69">
        <v>570.70000000000005</v>
      </c>
      <c r="AZ69" s="69">
        <v>-340.13</v>
      </c>
      <c r="BA69" s="43">
        <v>12.612</v>
      </c>
      <c r="BB69" s="43">
        <v>0.79010000000000002</v>
      </c>
      <c r="BC69" s="43">
        <v>0</v>
      </c>
      <c r="BD69" s="43">
        <v>0</v>
      </c>
      <c r="BE69" s="43">
        <v>0</v>
      </c>
      <c r="BF69" s="43">
        <v>-10.5</v>
      </c>
      <c r="BG69" s="43">
        <v>19.193899999999999</v>
      </c>
      <c r="BH69" s="43">
        <v>-10.5</v>
      </c>
      <c r="BI69" s="43">
        <v>25.790800000000001</v>
      </c>
      <c r="BJ69" s="43">
        <v>1</v>
      </c>
      <c r="BK69" s="53">
        <v>6.2E-2</v>
      </c>
      <c r="BL69" s="53">
        <v>86.800000000000097</v>
      </c>
      <c r="BM69" s="43">
        <v>2</v>
      </c>
      <c r="BN69" s="34" t="s">
        <v>89</v>
      </c>
      <c r="BO69" s="34" t="s">
        <v>89</v>
      </c>
      <c r="BP69" s="34" t="s">
        <v>89</v>
      </c>
      <c r="BQ69" s="34" t="s">
        <v>89</v>
      </c>
      <c r="BR69" s="34" t="s">
        <v>89</v>
      </c>
      <c r="BS69" s="34" t="s">
        <v>89</v>
      </c>
      <c r="BT69" s="34" t="s">
        <v>89</v>
      </c>
      <c r="BU69" s="34" t="s">
        <v>89</v>
      </c>
      <c r="BV69" s="34" t="s">
        <v>89</v>
      </c>
      <c r="BW69" s="34" t="s">
        <v>89</v>
      </c>
      <c r="BX69" s="34" t="s">
        <v>89</v>
      </c>
      <c r="BY69" s="34" t="s">
        <v>89</v>
      </c>
      <c r="BZ69" s="34" t="s">
        <v>89</v>
      </c>
      <c r="CA69" s="34" t="s">
        <v>89</v>
      </c>
      <c r="CB69" s="34" t="s">
        <v>89</v>
      </c>
      <c r="CC69" s="34" t="s">
        <v>89</v>
      </c>
      <c r="CD69" s="34" t="s">
        <v>89</v>
      </c>
      <c r="CE69" s="43">
        <v>-0.10941396746829</v>
      </c>
      <c r="CF69" s="43">
        <v>-3.0896841537106298E-3</v>
      </c>
      <c r="CG69" s="43">
        <v>19.193899999999999</v>
      </c>
      <c r="CH69" s="43">
        <v>-10.5</v>
      </c>
      <c r="CI69" s="43">
        <v>220</v>
      </c>
      <c r="CJ69" s="43">
        <v>2.6958574314366999</v>
      </c>
      <c r="CK69" s="43">
        <v>-5.0244558620180504</v>
      </c>
      <c r="CL69" s="43">
        <v>65536</v>
      </c>
      <c r="CM69" s="43">
        <v>57181</v>
      </c>
      <c r="CN69" s="43">
        <v>589</v>
      </c>
      <c r="CO69" s="43">
        <v>570.70000000000005</v>
      </c>
      <c r="CP69" s="43">
        <v>-340.13</v>
      </c>
      <c r="CQ69" s="43">
        <v>570.70000000000005</v>
      </c>
      <c r="CR69" s="43">
        <v>-340.13</v>
      </c>
      <c r="CS69" s="43">
        <v>0.24759225000000001</v>
      </c>
      <c r="CT69" s="43">
        <v>0.77189375000000005</v>
      </c>
      <c r="CU69" s="43">
        <v>1</v>
      </c>
      <c r="CV69" s="46" t="s">
        <v>89</v>
      </c>
      <c r="CW69" s="34"/>
      <c r="CX69" s="35"/>
    </row>
    <row r="70" spans="1:102" ht="15" customHeight="1" x14ac:dyDescent="0.25">
      <c r="A70" s="33">
        <v>67</v>
      </c>
      <c r="B70" s="43" t="s">
        <v>700</v>
      </c>
      <c r="C70" s="43">
        <v>0.76819999999999999</v>
      </c>
      <c r="D70" s="43">
        <v>0.67</v>
      </c>
      <c r="E70" s="43" t="s">
        <v>416</v>
      </c>
      <c r="F70" s="43" t="s">
        <v>412</v>
      </c>
      <c r="G70" s="43" t="s">
        <v>701</v>
      </c>
      <c r="H70" s="43" t="s">
        <v>702</v>
      </c>
      <c r="I70" s="43" t="s">
        <v>703</v>
      </c>
      <c r="J70" s="43" t="s">
        <v>704</v>
      </c>
      <c r="K70" s="53" t="s">
        <v>1981</v>
      </c>
      <c r="L70" s="43" t="s">
        <v>705</v>
      </c>
      <c r="M70" s="43" t="s">
        <v>648</v>
      </c>
      <c r="N70" s="43" t="s">
        <v>706</v>
      </c>
      <c r="O70" s="43" t="s">
        <v>201</v>
      </c>
      <c r="P70" s="43" t="s">
        <v>676</v>
      </c>
      <c r="Q70" s="43" t="s">
        <v>707</v>
      </c>
      <c r="R70" s="43" t="s">
        <v>307</v>
      </c>
      <c r="S70" s="43">
        <v>-82.298000000000002</v>
      </c>
      <c r="T70" s="51">
        <v>220</v>
      </c>
      <c r="U70" s="43">
        <v>11.645200000000001</v>
      </c>
      <c r="V70" s="43">
        <v>-1.194</v>
      </c>
      <c r="W70" s="43">
        <v>1</v>
      </c>
      <c r="X70" s="43">
        <v>0</v>
      </c>
      <c r="Y70" s="43">
        <v>0.114</v>
      </c>
      <c r="Z70" s="43">
        <v>3.6999999999999998E-2</v>
      </c>
      <c r="AA70" s="43">
        <v>220.78800000000001</v>
      </c>
      <c r="AB70" s="43">
        <v>0.93100000000000005</v>
      </c>
      <c r="AC70" s="43">
        <v>5103.4629999999997</v>
      </c>
      <c r="AD70" s="43">
        <v>0.89300000000000002</v>
      </c>
      <c r="AE70" s="43">
        <v>0.96899999999999997</v>
      </c>
      <c r="AF70" s="43">
        <v>1</v>
      </c>
      <c r="AG70" s="43">
        <v>7.1589999999999998</v>
      </c>
      <c r="AH70" s="43">
        <v>5.7240000000000002</v>
      </c>
      <c r="AI70" s="43">
        <v>-149.00299999999999</v>
      </c>
      <c r="AJ70" s="43" t="s">
        <v>1437</v>
      </c>
      <c r="AK70" s="43">
        <v>1</v>
      </c>
      <c r="AL70" s="43">
        <v>0</v>
      </c>
      <c r="AM70" s="43">
        <v>0</v>
      </c>
      <c r="AN70" s="43">
        <v>0</v>
      </c>
      <c r="AO70" s="43">
        <v>0</v>
      </c>
      <c r="AP70" s="43">
        <v>0</v>
      </c>
      <c r="AQ70" s="43" t="s">
        <v>1736</v>
      </c>
      <c r="AR70" s="43" t="s">
        <v>708</v>
      </c>
      <c r="AS70" s="43">
        <v>4983</v>
      </c>
      <c r="AT70" s="43">
        <v>6.9409999999999998</v>
      </c>
      <c r="AU70" s="69">
        <v>0</v>
      </c>
      <c r="AV70" s="69">
        <v>-784.13</v>
      </c>
      <c r="AW70" s="43">
        <v>42.0777</v>
      </c>
      <c r="AX70" s="43">
        <v>0.45069999999999999</v>
      </c>
      <c r="AY70" s="69">
        <v>0</v>
      </c>
      <c r="AZ70" s="69">
        <v>-784.13</v>
      </c>
      <c r="BA70" s="43">
        <v>42.0777</v>
      </c>
      <c r="BB70" s="43">
        <v>0.45069999999999999</v>
      </c>
      <c r="BC70" s="43">
        <v>1</v>
      </c>
      <c r="BD70" s="43">
        <v>1</v>
      </c>
      <c r="BE70" s="43">
        <v>0</v>
      </c>
      <c r="BF70" s="43">
        <v>-11.6</v>
      </c>
      <c r="BG70" s="43">
        <v>18.9482</v>
      </c>
      <c r="BH70" s="43">
        <v>-11.6</v>
      </c>
      <c r="BI70" s="43">
        <v>2.4878999999999998</v>
      </c>
      <c r="BJ70" s="43">
        <v>0</v>
      </c>
      <c r="BK70" s="53">
        <v>6.3E-2</v>
      </c>
      <c r="BL70" s="53">
        <v>88.000000000000099</v>
      </c>
      <c r="BM70" s="43">
        <v>2</v>
      </c>
      <c r="BN70" s="34" t="s">
        <v>89</v>
      </c>
      <c r="BO70" s="34" t="s">
        <v>89</v>
      </c>
      <c r="BP70" s="34" t="s">
        <v>89</v>
      </c>
      <c r="BQ70" s="34" t="s">
        <v>89</v>
      </c>
      <c r="BR70" s="34" t="s">
        <v>89</v>
      </c>
      <c r="BS70" s="34" t="s">
        <v>89</v>
      </c>
      <c r="BT70" s="34" t="s">
        <v>89</v>
      </c>
      <c r="BU70" s="34" t="s">
        <v>89</v>
      </c>
      <c r="BV70" s="34" t="s">
        <v>89</v>
      </c>
      <c r="BW70" s="34" t="s">
        <v>89</v>
      </c>
      <c r="BX70" s="34" t="s">
        <v>89</v>
      </c>
      <c r="BY70" s="34" t="s">
        <v>89</v>
      </c>
      <c r="BZ70" s="34" t="s">
        <v>89</v>
      </c>
      <c r="CA70" s="34" t="s">
        <v>89</v>
      </c>
      <c r="CB70" s="34" t="s">
        <v>89</v>
      </c>
      <c r="CC70" s="34" t="s">
        <v>89</v>
      </c>
      <c r="CD70" s="34" t="s">
        <v>89</v>
      </c>
      <c r="CE70" s="43">
        <v>-3.8922358936398999E-3</v>
      </c>
      <c r="CF70" s="43">
        <v>1</v>
      </c>
      <c r="CG70" s="43">
        <v>0</v>
      </c>
      <c r="CH70" s="43">
        <v>0</v>
      </c>
      <c r="CI70" s="43">
        <v>-131.51300000000001</v>
      </c>
      <c r="CJ70" s="43">
        <v>0.26439296535950801</v>
      </c>
      <c r="CK70" s="43">
        <v>4.8377806233714704</v>
      </c>
      <c r="CL70" s="43">
        <v>0</v>
      </c>
      <c r="CM70" s="43">
        <v>9965</v>
      </c>
      <c r="CN70" s="43">
        <v>4983</v>
      </c>
      <c r="CO70" s="43">
        <v>0</v>
      </c>
      <c r="CP70" s="43">
        <v>-784.13</v>
      </c>
      <c r="CQ70" s="43">
        <v>28.36</v>
      </c>
      <c r="CR70" s="43">
        <v>-14857.7883242807</v>
      </c>
      <c r="CS70" s="43">
        <v>0.95859850000000002</v>
      </c>
      <c r="CT70" s="43">
        <v>1</v>
      </c>
      <c r="CU70" s="43">
        <v>1</v>
      </c>
      <c r="CV70" s="46" t="s">
        <v>89</v>
      </c>
      <c r="CW70" s="34"/>
      <c r="CX70" s="35"/>
    </row>
    <row r="71" spans="1:102" ht="15" customHeight="1" x14ac:dyDescent="0.25">
      <c r="A71" s="33">
        <v>68</v>
      </c>
      <c r="B71" s="43" t="s">
        <v>1882</v>
      </c>
      <c r="C71" s="43">
        <v>0.95789999999999997</v>
      </c>
      <c r="D71" s="43">
        <v>0.73199999999999998</v>
      </c>
      <c r="E71" s="43" t="s">
        <v>412</v>
      </c>
      <c r="F71" s="43" t="s">
        <v>311</v>
      </c>
      <c r="G71" s="43" t="s">
        <v>709</v>
      </c>
      <c r="H71" s="43" t="s">
        <v>710</v>
      </c>
      <c r="I71" s="43" t="s">
        <v>711</v>
      </c>
      <c r="J71" s="43" t="s">
        <v>712</v>
      </c>
      <c r="K71" s="53" t="s">
        <v>1982</v>
      </c>
      <c r="L71" s="43" t="s">
        <v>713</v>
      </c>
      <c r="M71" s="43" t="s">
        <v>655</v>
      </c>
      <c r="N71" s="43" t="s">
        <v>714</v>
      </c>
      <c r="O71" s="43" t="s">
        <v>662</v>
      </c>
      <c r="P71" s="43" t="s">
        <v>683</v>
      </c>
      <c r="Q71" s="43" t="s">
        <v>715</v>
      </c>
      <c r="R71" s="43" t="s">
        <v>341</v>
      </c>
      <c r="S71" s="43">
        <v>160.04400000000001</v>
      </c>
      <c r="T71" s="51">
        <v>0</v>
      </c>
      <c r="U71" s="43">
        <v>29.922499999999999</v>
      </c>
      <c r="V71" s="43">
        <v>-18.152999999999999</v>
      </c>
      <c r="W71" s="43">
        <v>0</v>
      </c>
      <c r="X71" s="43">
        <v>0</v>
      </c>
      <c r="Y71" s="43">
        <v>0.03</v>
      </c>
      <c r="Z71" s="43">
        <v>6.8000000000000005E-2</v>
      </c>
      <c r="AA71" s="43">
        <v>1457.7280000000001</v>
      </c>
      <c r="AB71" s="43">
        <v>0.90800000000000003</v>
      </c>
      <c r="AC71" s="43">
        <v>4901.4669999999996</v>
      </c>
      <c r="AD71" s="43">
        <v>0.222</v>
      </c>
      <c r="AE71" s="43">
        <v>0.997</v>
      </c>
      <c r="AF71" s="43">
        <v>0</v>
      </c>
      <c r="AG71" s="43">
        <v>13.868</v>
      </c>
      <c r="AH71" s="43">
        <v>59.304000000000002</v>
      </c>
      <c r="AI71" s="43">
        <v>-124.758</v>
      </c>
      <c r="AJ71" s="43" t="s">
        <v>1424</v>
      </c>
      <c r="AK71" s="43">
        <v>0</v>
      </c>
      <c r="AL71" s="43">
        <v>1</v>
      </c>
      <c r="AM71" s="43">
        <v>0</v>
      </c>
      <c r="AN71" s="43">
        <v>1</v>
      </c>
      <c r="AO71" s="43">
        <v>0</v>
      </c>
      <c r="AP71" s="43">
        <v>0</v>
      </c>
      <c r="AQ71" s="43" t="s">
        <v>1737</v>
      </c>
      <c r="AR71" s="43" t="s">
        <v>716</v>
      </c>
      <c r="AS71" s="43">
        <v>3029</v>
      </c>
      <c r="AT71" s="43">
        <v>24.821000000000002</v>
      </c>
      <c r="AU71" s="69">
        <v>0</v>
      </c>
      <c r="AV71" s="69">
        <v>386.22</v>
      </c>
      <c r="AW71" s="43">
        <v>42.284500000000001</v>
      </c>
      <c r="AX71" s="43">
        <v>0.87009999999999998</v>
      </c>
      <c r="AY71" s="69">
        <v>0</v>
      </c>
      <c r="AZ71" s="69">
        <v>386.22</v>
      </c>
      <c r="BA71" s="43">
        <v>42.284500000000001</v>
      </c>
      <c r="BB71" s="43">
        <v>0.87009999999999998</v>
      </c>
      <c r="BC71" s="43">
        <v>0</v>
      </c>
      <c r="BD71" s="43">
        <v>0</v>
      </c>
      <c r="BE71" s="43">
        <v>0</v>
      </c>
      <c r="BF71" s="43">
        <v>-30.2</v>
      </c>
      <c r="BG71" s="43">
        <v>30.2349</v>
      </c>
      <c r="BH71" s="43">
        <v>-30.2</v>
      </c>
      <c r="BI71" s="43">
        <v>12.7781</v>
      </c>
      <c r="BJ71" s="43">
        <v>1</v>
      </c>
      <c r="BK71" s="53">
        <v>6.4000000000000001E-2</v>
      </c>
      <c r="BL71" s="53">
        <v>89.200000000000102</v>
      </c>
      <c r="BM71" s="43">
        <v>2</v>
      </c>
      <c r="BN71" s="34" t="s">
        <v>89</v>
      </c>
      <c r="BO71" s="34" t="s">
        <v>89</v>
      </c>
      <c r="BP71" s="34" t="s">
        <v>89</v>
      </c>
      <c r="BQ71" s="34" t="s">
        <v>89</v>
      </c>
      <c r="BR71" s="34" t="s">
        <v>89</v>
      </c>
      <c r="BS71" s="34" t="s">
        <v>89</v>
      </c>
      <c r="BT71" s="34" t="s">
        <v>89</v>
      </c>
      <c r="BU71" s="34" t="s">
        <v>89</v>
      </c>
      <c r="BV71" s="34" t="s">
        <v>89</v>
      </c>
      <c r="BW71" s="34" t="s">
        <v>89</v>
      </c>
      <c r="BX71" s="34" t="s">
        <v>89</v>
      </c>
      <c r="BY71" s="34" t="s">
        <v>89</v>
      </c>
      <c r="BZ71" s="34" t="s">
        <v>89</v>
      </c>
      <c r="CA71" s="34" t="s">
        <v>89</v>
      </c>
      <c r="CB71" s="34" t="s">
        <v>89</v>
      </c>
      <c r="CC71" s="34" t="s">
        <v>89</v>
      </c>
      <c r="CD71" s="34" t="s">
        <v>89</v>
      </c>
      <c r="CE71" s="43">
        <v>-0.15980599231700801</v>
      </c>
      <c r="CF71" s="43">
        <v>-0.295964764956614</v>
      </c>
      <c r="CG71" s="43">
        <v>0</v>
      </c>
      <c r="CH71" s="43">
        <v>0</v>
      </c>
      <c r="CI71" s="43">
        <v>-220</v>
      </c>
      <c r="CJ71" s="43">
        <v>16.2910944618875</v>
      </c>
      <c r="CK71" s="43">
        <v>-15.824656115993699</v>
      </c>
      <c r="CL71" s="43">
        <v>65339</v>
      </c>
      <c r="CM71" s="43">
        <v>47309</v>
      </c>
      <c r="CN71" s="43">
        <v>1207</v>
      </c>
      <c r="CO71" s="43">
        <v>0</v>
      </c>
      <c r="CP71" s="43">
        <v>386.22</v>
      </c>
      <c r="CQ71" s="43">
        <v>0</v>
      </c>
      <c r="CR71" s="43">
        <v>386.22</v>
      </c>
      <c r="CS71" s="43">
        <v>0.72578399999999998</v>
      </c>
      <c r="CT71" s="43">
        <v>0.83468337500000001</v>
      </c>
      <c r="CU71" s="43">
        <v>1</v>
      </c>
      <c r="CV71" s="46" t="s">
        <v>89</v>
      </c>
      <c r="CW71" s="34"/>
      <c r="CX71" s="35"/>
    </row>
    <row r="72" spans="1:102" ht="15" customHeight="1" x14ac:dyDescent="0.25">
      <c r="A72" s="33">
        <v>69</v>
      </c>
      <c r="B72" s="43" t="s">
        <v>717</v>
      </c>
      <c r="C72" s="43">
        <v>0.78539999999999999</v>
      </c>
      <c r="D72" s="43">
        <v>4.4999999999999998E-2</v>
      </c>
      <c r="E72" s="43" t="s">
        <v>311</v>
      </c>
      <c r="F72" s="43" t="s">
        <v>202</v>
      </c>
      <c r="G72" s="43" t="s">
        <v>718</v>
      </c>
      <c r="H72" s="43" t="s">
        <v>719</v>
      </c>
      <c r="I72" s="43" t="s">
        <v>720</v>
      </c>
      <c r="J72" s="43" t="s">
        <v>721</v>
      </c>
      <c r="K72" s="53" t="s">
        <v>1983</v>
      </c>
      <c r="L72" s="43" t="s">
        <v>722</v>
      </c>
      <c r="M72" s="43" t="s">
        <v>661</v>
      </c>
      <c r="N72" s="43" t="s">
        <v>723</v>
      </c>
      <c r="O72" s="43" t="s">
        <v>669</v>
      </c>
      <c r="P72" s="43" t="s">
        <v>690</v>
      </c>
      <c r="Q72" s="43" t="s">
        <v>724</v>
      </c>
      <c r="R72" s="43" t="s">
        <v>546</v>
      </c>
      <c r="S72" s="43">
        <v>-65.19</v>
      </c>
      <c r="T72" s="51">
        <v>70.656000000000006</v>
      </c>
      <c r="U72" s="43">
        <v>24.064599999999999</v>
      </c>
      <c r="V72" s="43">
        <v>-6.9089999999999998</v>
      </c>
      <c r="W72" s="43">
        <v>1</v>
      </c>
      <c r="X72" s="43">
        <v>1</v>
      </c>
      <c r="Y72" s="43">
        <v>0.191</v>
      </c>
      <c r="Z72" s="43">
        <v>5.8000000000000003E-2</v>
      </c>
      <c r="AA72" s="43">
        <v>5655.9480000000003</v>
      </c>
      <c r="AB72" s="43">
        <v>2.5000000000000001E-2</v>
      </c>
      <c r="AC72" s="43">
        <v>4407.6220000000003</v>
      </c>
      <c r="AD72" s="43">
        <v>0.72399999999999998</v>
      </c>
      <c r="AE72" s="43">
        <v>0.98599999999999999</v>
      </c>
      <c r="AF72" s="43">
        <v>0</v>
      </c>
      <c r="AG72" s="43">
        <v>-5.8090000000000002</v>
      </c>
      <c r="AH72" s="43">
        <v>20.614999999999998</v>
      </c>
      <c r="AI72" s="43">
        <v>50.061</v>
      </c>
      <c r="AJ72" s="43" t="s">
        <v>1425</v>
      </c>
      <c r="AK72" s="43">
        <v>0</v>
      </c>
      <c r="AL72" s="43">
        <v>1</v>
      </c>
      <c r="AM72" s="43">
        <v>1</v>
      </c>
      <c r="AN72" s="43">
        <v>0</v>
      </c>
      <c r="AO72" s="43">
        <v>1</v>
      </c>
      <c r="AP72" s="43">
        <v>1</v>
      </c>
      <c r="AQ72" s="68" t="s">
        <v>1777</v>
      </c>
      <c r="AR72" s="43" t="s">
        <v>725</v>
      </c>
      <c r="AS72" s="43">
        <v>2959</v>
      </c>
      <c r="AT72" s="43">
        <v>1.5169999999999999</v>
      </c>
      <c r="AU72" s="69">
        <v>-43.17</v>
      </c>
      <c r="AV72" s="69">
        <v>-627.17999999999995</v>
      </c>
      <c r="AW72" s="43">
        <v>43.754300000000001</v>
      </c>
      <c r="AX72" s="43">
        <v>0.50029999999999997</v>
      </c>
      <c r="AY72" s="69">
        <v>-43.17</v>
      </c>
      <c r="AZ72" s="69">
        <v>-627.17999999999995</v>
      </c>
      <c r="BA72" s="43">
        <v>43.754300000000001</v>
      </c>
      <c r="BB72" s="43">
        <v>0.50029999999999997</v>
      </c>
      <c r="BC72" s="43">
        <v>0</v>
      </c>
      <c r="BD72" s="43">
        <v>0</v>
      </c>
      <c r="BE72" s="43">
        <v>0</v>
      </c>
      <c r="BF72" s="43">
        <v>-9.65</v>
      </c>
      <c r="BG72" s="43">
        <v>13.882999999999999</v>
      </c>
      <c r="BH72" s="43">
        <v>-9.65</v>
      </c>
      <c r="BI72" s="43">
        <v>10.6549</v>
      </c>
      <c r="BJ72" s="43">
        <v>0</v>
      </c>
      <c r="BK72" s="53">
        <v>6.5000000000000002E-2</v>
      </c>
      <c r="BL72" s="53">
        <v>90.400000000000105</v>
      </c>
      <c r="BM72" s="43">
        <v>2</v>
      </c>
      <c r="BN72" s="34" t="s">
        <v>89</v>
      </c>
      <c r="BO72" s="34" t="s">
        <v>89</v>
      </c>
      <c r="BP72" s="34" t="s">
        <v>89</v>
      </c>
      <c r="BQ72" s="34" t="s">
        <v>89</v>
      </c>
      <c r="BR72" s="34" t="s">
        <v>89</v>
      </c>
      <c r="BS72" s="34" t="s">
        <v>89</v>
      </c>
      <c r="BT72" s="34" t="s">
        <v>89</v>
      </c>
      <c r="BU72" s="34" t="s">
        <v>89</v>
      </c>
      <c r="BV72" s="34" t="s">
        <v>89</v>
      </c>
      <c r="BW72" s="34" t="s">
        <v>89</v>
      </c>
      <c r="BX72" s="34" t="s">
        <v>89</v>
      </c>
      <c r="BY72" s="34" t="s">
        <v>89</v>
      </c>
      <c r="BZ72" s="34" t="s">
        <v>89</v>
      </c>
      <c r="CA72" s="34" t="s">
        <v>89</v>
      </c>
      <c r="CB72" s="34" t="s">
        <v>89</v>
      </c>
      <c r="CC72" s="34" t="s">
        <v>89</v>
      </c>
      <c r="CD72" s="34" t="s">
        <v>89</v>
      </c>
      <c r="CE72" s="43">
        <v>0.36915273569185603</v>
      </c>
      <c r="CF72" s="43">
        <v>-2.45354068794452E-2</v>
      </c>
      <c r="CG72" s="43">
        <v>0</v>
      </c>
      <c r="CH72" s="43">
        <v>0</v>
      </c>
      <c r="CI72" s="43">
        <v>-72.188999999999993</v>
      </c>
      <c r="CJ72" s="43">
        <v>20.682729557262601</v>
      </c>
      <c r="CK72" s="43">
        <v>-10.772269079174199</v>
      </c>
      <c r="CL72" s="43">
        <v>64618</v>
      </c>
      <c r="CM72" s="43">
        <v>6989</v>
      </c>
      <c r="CN72" s="43">
        <v>921</v>
      </c>
      <c r="CO72" s="43">
        <v>-43.17</v>
      </c>
      <c r="CP72" s="43">
        <v>-627.17999999999995</v>
      </c>
      <c r="CQ72" s="43">
        <v>-43.17</v>
      </c>
      <c r="CR72" s="43">
        <v>-627.17999999999995</v>
      </c>
      <c r="CS72" s="43">
        <v>0.73199349999999996</v>
      </c>
      <c r="CT72" s="43">
        <v>0.17304725000000001</v>
      </c>
      <c r="CU72" s="43">
        <v>1</v>
      </c>
      <c r="CV72" s="46" t="s">
        <v>89</v>
      </c>
      <c r="CW72" s="34"/>
      <c r="CX72" s="35"/>
    </row>
    <row r="73" spans="1:102" ht="15" customHeight="1" x14ac:dyDescent="0.25">
      <c r="A73" s="33">
        <v>70</v>
      </c>
      <c r="B73" s="43" t="s">
        <v>726</v>
      </c>
      <c r="C73" s="43">
        <v>0.53090000000000004</v>
      </c>
      <c r="D73" s="43">
        <v>0.67800000000000005</v>
      </c>
      <c r="E73" s="43" t="s">
        <v>202</v>
      </c>
      <c r="F73" s="43" t="s">
        <v>164</v>
      </c>
      <c r="G73" s="43" t="s">
        <v>727</v>
      </c>
      <c r="H73" s="43" t="s">
        <v>728</v>
      </c>
      <c r="I73" s="43" t="s">
        <v>729</v>
      </c>
      <c r="J73" s="43" t="s">
        <v>730</v>
      </c>
      <c r="K73" s="53" t="s">
        <v>1984</v>
      </c>
      <c r="L73" s="43" t="s">
        <v>731</v>
      </c>
      <c r="M73" s="43" t="s">
        <v>668</v>
      </c>
      <c r="N73" s="43" t="s">
        <v>732</v>
      </c>
      <c r="O73" s="43" t="s">
        <v>676</v>
      </c>
      <c r="P73" s="43" t="s">
        <v>698</v>
      </c>
      <c r="Q73" s="43" t="s">
        <v>733</v>
      </c>
      <c r="R73" s="43" t="s">
        <v>555</v>
      </c>
      <c r="S73" s="43">
        <v>-216.922</v>
      </c>
      <c r="T73" s="51">
        <v>-111.97</v>
      </c>
      <c r="U73" s="43">
        <v>11.619899999999999</v>
      </c>
      <c r="V73" s="43">
        <v>-14.807</v>
      </c>
      <c r="W73" s="43">
        <v>0</v>
      </c>
      <c r="X73" s="43">
        <v>0</v>
      </c>
      <c r="Y73" s="43">
        <v>6.7000000000000004E-2</v>
      </c>
      <c r="Z73" s="43">
        <v>6.6000000000000003E-2</v>
      </c>
      <c r="AA73" s="43">
        <v>7814.1139999999996</v>
      </c>
      <c r="AB73" s="43">
        <v>8.2000000000000003E-2</v>
      </c>
      <c r="AC73" s="43">
        <v>3404.46</v>
      </c>
      <c r="AD73" s="43">
        <v>0.129</v>
      </c>
      <c r="AE73" s="43">
        <v>0.97899999999999998</v>
      </c>
      <c r="AF73" s="43">
        <v>0</v>
      </c>
      <c r="AG73" s="43">
        <v>-21.841999999999999</v>
      </c>
      <c r="AH73" s="43">
        <v>79.673000000000002</v>
      </c>
      <c r="AI73" s="43">
        <v>-207.91800000000001</v>
      </c>
      <c r="AJ73" s="43" t="s">
        <v>1426</v>
      </c>
      <c r="AK73" s="43">
        <v>0</v>
      </c>
      <c r="AL73" s="43">
        <v>4</v>
      </c>
      <c r="AM73" s="43">
        <v>1</v>
      </c>
      <c r="AN73" s="43">
        <v>0</v>
      </c>
      <c r="AO73" s="43">
        <v>1</v>
      </c>
      <c r="AP73" s="43">
        <v>1</v>
      </c>
      <c r="AQ73" s="68" t="s">
        <v>1738</v>
      </c>
      <c r="AR73" s="43" t="s">
        <v>734</v>
      </c>
      <c r="AS73" s="43">
        <v>1011</v>
      </c>
      <c r="AT73" s="43">
        <v>-0.1</v>
      </c>
      <c r="AU73" s="69">
        <v>1118</v>
      </c>
      <c r="AV73" s="69">
        <v>-10.210000000000001</v>
      </c>
      <c r="AW73" s="43">
        <v>16.2424</v>
      </c>
      <c r="AX73" s="43">
        <v>0.40010000000000001</v>
      </c>
      <c r="AY73" s="69">
        <v>1118</v>
      </c>
      <c r="AZ73" s="69">
        <v>-10.210000000000001</v>
      </c>
      <c r="BA73" s="43">
        <v>16.2424</v>
      </c>
      <c r="BB73" s="43">
        <v>0.40010000000000001</v>
      </c>
      <c r="BC73" s="43">
        <v>0</v>
      </c>
      <c r="BD73" s="43">
        <v>0</v>
      </c>
      <c r="BE73" s="43">
        <v>0</v>
      </c>
      <c r="BF73" s="43">
        <v>-22.41</v>
      </c>
      <c r="BG73" s="43">
        <v>30.2788</v>
      </c>
      <c r="BH73" s="43">
        <v>-22.41</v>
      </c>
      <c r="BI73" s="43">
        <v>23.741599999999998</v>
      </c>
      <c r="BJ73" s="43">
        <v>1</v>
      </c>
      <c r="BK73" s="53">
        <v>6.6000000000000003E-2</v>
      </c>
      <c r="BL73" s="53">
        <v>91.600000000000094</v>
      </c>
      <c r="BM73" s="43">
        <v>2</v>
      </c>
      <c r="BN73" s="34" t="s">
        <v>89</v>
      </c>
      <c r="BO73" s="34" t="s">
        <v>89</v>
      </c>
      <c r="BP73" s="34" t="s">
        <v>89</v>
      </c>
      <c r="BQ73" s="34" t="s">
        <v>89</v>
      </c>
      <c r="BR73" s="34" t="s">
        <v>89</v>
      </c>
      <c r="BS73" s="34" t="s">
        <v>89</v>
      </c>
      <c r="BT73" s="34" t="s">
        <v>89</v>
      </c>
      <c r="BU73" s="34" t="s">
        <v>89</v>
      </c>
      <c r="BV73" s="34" t="s">
        <v>89</v>
      </c>
      <c r="BW73" s="34" t="s">
        <v>89</v>
      </c>
      <c r="BX73" s="34" t="s">
        <v>89</v>
      </c>
      <c r="BY73" s="34" t="s">
        <v>89</v>
      </c>
      <c r="BZ73" s="34" t="s">
        <v>89</v>
      </c>
      <c r="CA73" s="34" t="s">
        <v>89</v>
      </c>
      <c r="CB73" s="34" t="s">
        <v>89</v>
      </c>
      <c r="CC73" s="34" t="s">
        <v>89</v>
      </c>
      <c r="CD73" s="34" t="s">
        <v>89</v>
      </c>
      <c r="CE73" s="43">
        <v>1</v>
      </c>
      <c r="CF73" s="43">
        <v>1</v>
      </c>
      <c r="CG73" s="43">
        <v>0</v>
      </c>
      <c r="CH73" s="43">
        <v>0</v>
      </c>
      <c r="CI73" s="43">
        <v>123.807</v>
      </c>
      <c r="CJ73" s="43">
        <v>-6.0010000000000003</v>
      </c>
      <c r="CK73" s="43">
        <v>-11.015000000000001</v>
      </c>
      <c r="CL73" s="43">
        <v>56799</v>
      </c>
      <c r="CM73" s="43">
        <v>14368</v>
      </c>
      <c r="CN73" s="43">
        <v>15</v>
      </c>
      <c r="CO73" s="43">
        <v>1118</v>
      </c>
      <c r="CP73" s="43">
        <v>-10.210000000000001</v>
      </c>
      <c r="CQ73" s="43">
        <v>1118</v>
      </c>
      <c r="CR73" s="43">
        <v>-10.210000000000001</v>
      </c>
      <c r="CS73" s="43">
        <v>1</v>
      </c>
      <c r="CT73" s="43">
        <v>0</v>
      </c>
      <c r="CU73" s="43">
        <v>1</v>
      </c>
      <c r="CV73" s="46" t="s">
        <v>89</v>
      </c>
      <c r="CW73" s="34"/>
      <c r="CX73" s="35"/>
    </row>
    <row r="74" spans="1:102" ht="15" customHeight="1" x14ac:dyDescent="0.25">
      <c r="A74" s="33">
        <v>71</v>
      </c>
      <c r="B74" s="43" t="s">
        <v>735</v>
      </c>
      <c r="C74" s="43">
        <v>0.38619999999999999</v>
      </c>
      <c r="D74" s="51">
        <v>0</v>
      </c>
      <c r="E74" s="43" t="s">
        <v>236</v>
      </c>
      <c r="F74" s="43" t="s">
        <v>178</v>
      </c>
      <c r="G74" s="43" t="s">
        <v>736</v>
      </c>
      <c r="H74" s="43" t="s">
        <v>737</v>
      </c>
      <c r="I74" s="43" t="s">
        <v>738</v>
      </c>
      <c r="J74" s="43" t="s">
        <v>739</v>
      </c>
      <c r="K74" s="53" t="s">
        <v>1985</v>
      </c>
      <c r="L74" s="43" t="s">
        <v>740</v>
      </c>
      <c r="M74" s="43" t="s">
        <v>675</v>
      </c>
      <c r="N74" s="43" t="s">
        <v>741</v>
      </c>
      <c r="O74" s="43" t="s">
        <v>683</v>
      </c>
      <c r="P74" s="43" t="s">
        <v>707</v>
      </c>
      <c r="Q74" s="43" t="s">
        <v>742</v>
      </c>
      <c r="R74" s="43" t="s">
        <v>564</v>
      </c>
      <c r="S74" s="43">
        <v>138.595</v>
      </c>
      <c r="T74" s="43">
        <v>-72.426000000000002</v>
      </c>
      <c r="U74" s="43">
        <v>28.909400000000002</v>
      </c>
      <c r="V74" s="43">
        <v>-19.669</v>
      </c>
      <c r="W74" s="43">
        <v>0</v>
      </c>
      <c r="X74" s="43">
        <v>1</v>
      </c>
      <c r="Y74" s="43">
        <v>6.7000000000000004E-2</v>
      </c>
      <c r="Z74" s="43">
        <v>0.126</v>
      </c>
      <c r="AA74" s="43">
        <v>2013.575</v>
      </c>
      <c r="AB74" s="43">
        <v>0.26100000000000001</v>
      </c>
      <c r="AC74" s="43">
        <v>944.63900000000001</v>
      </c>
      <c r="AD74" s="43">
        <v>0.72899999999999998</v>
      </c>
      <c r="AE74" s="43">
        <v>0.98799999999999999</v>
      </c>
      <c r="AF74" s="43">
        <v>0</v>
      </c>
      <c r="AG74" s="43">
        <v>-8.6449999999999996</v>
      </c>
      <c r="AH74" s="43">
        <v>0.48699999999999999</v>
      </c>
      <c r="AI74" s="43">
        <v>-198.286</v>
      </c>
      <c r="AJ74" s="43" t="s">
        <v>1438</v>
      </c>
      <c r="AK74" s="43">
        <v>0</v>
      </c>
      <c r="AL74" s="43">
        <v>2</v>
      </c>
      <c r="AM74" s="43">
        <v>0</v>
      </c>
      <c r="AN74" s="43">
        <v>0</v>
      </c>
      <c r="AO74" s="43">
        <v>0</v>
      </c>
      <c r="AP74" s="43">
        <v>0</v>
      </c>
      <c r="AQ74" s="68" t="s">
        <v>1739</v>
      </c>
      <c r="AR74" s="43" t="s">
        <v>743</v>
      </c>
      <c r="AS74" s="43">
        <v>3142</v>
      </c>
      <c r="AT74" s="43">
        <v>-10.352</v>
      </c>
      <c r="AU74" s="69">
        <v>-717.3</v>
      </c>
      <c r="AV74" s="69">
        <v>570.70000000000005</v>
      </c>
      <c r="AW74" s="43">
        <v>83.480800000000002</v>
      </c>
      <c r="AX74" s="43">
        <v>0.74570000000000003</v>
      </c>
      <c r="AY74" s="69">
        <v>-717.3</v>
      </c>
      <c r="AZ74" s="69">
        <v>570.70000000000005</v>
      </c>
      <c r="BA74" s="43">
        <v>83.480800000000002</v>
      </c>
      <c r="BB74" s="43">
        <v>0.74570000000000003</v>
      </c>
      <c r="BC74" s="43">
        <v>0</v>
      </c>
      <c r="BD74" s="43">
        <v>0</v>
      </c>
      <c r="BE74" s="43">
        <v>0</v>
      </c>
      <c r="BF74" s="43">
        <v>-8.69</v>
      </c>
      <c r="BG74" s="43">
        <v>27.689699999999998</v>
      </c>
      <c r="BH74" s="43">
        <v>-8.69</v>
      </c>
      <c r="BI74" s="43">
        <v>0.69479999999999997</v>
      </c>
      <c r="BJ74" s="43">
        <v>0</v>
      </c>
      <c r="BK74" s="53">
        <v>6.7000000000000004E-2</v>
      </c>
      <c r="BL74" s="53">
        <v>92.800000000000097</v>
      </c>
      <c r="BM74" s="43">
        <v>2</v>
      </c>
      <c r="BN74" s="34" t="s">
        <v>89</v>
      </c>
      <c r="BO74" s="34" t="s">
        <v>89</v>
      </c>
      <c r="BP74" s="34" t="s">
        <v>89</v>
      </c>
      <c r="BQ74" s="34" t="s">
        <v>89</v>
      </c>
      <c r="BR74" s="34" t="s">
        <v>89</v>
      </c>
      <c r="BS74" s="34" t="s">
        <v>89</v>
      </c>
      <c r="BT74" s="34" t="s">
        <v>89</v>
      </c>
      <c r="BU74" s="34" t="s">
        <v>89</v>
      </c>
      <c r="BV74" s="34" t="s">
        <v>89</v>
      </c>
      <c r="BW74" s="34" t="s">
        <v>89</v>
      </c>
      <c r="BX74" s="34" t="s">
        <v>89</v>
      </c>
      <c r="BY74" s="34" t="s">
        <v>89</v>
      </c>
      <c r="BZ74" s="34" t="s">
        <v>89</v>
      </c>
      <c r="CA74" s="34" t="s">
        <v>89</v>
      </c>
      <c r="CB74" s="34" t="s">
        <v>89</v>
      </c>
      <c r="CC74" s="34" t="s">
        <v>89</v>
      </c>
      <c r="CD74" s="34" t="s">
        <v>89</v>
      </c>
      <c r="CE74" s="43">
        <v>3.8770463799513002E-2</v>
      </c>
      <c r="CF74" s="43">
        <v>4.5629292083993703E-2</v>
      </c>
      <c r="CG74" s="43">
        <v>14.445048</v>
      </c>
      <c r="CH74" s="43">
        <v>0.69479999999999997</v>
      </c>
      <c r="CI74" s="43">
        <v>-198.982</v>
      </c>
      <c r="CJ74" s="43">
        <v>20.0723141297937</v>
      </c>
      <c r="CK74" s="43">
        <v>1.3201467105149201</v>
      </c>
      <c r="CL74" s="43">
        <v>64749</v>
      </c>
      <c r="CM74" s="43">
        <v>34051</v>
      </c>
      <c r="CN74" s="43">
        <v>678</v>
      </c>
      <c r="CO74" s="43">
        <v>-717.3</v>
      </c>
      <c r="CP74" s="43">
        <v>570.70000000000005</v>
      </c>
      <c r="CQ74" s="43">
        <v>-717.3</v>
      </c>
      <c r="CR74" s="43">
        <v>570.70000000000005</v>
      </c>
      <c r="CS74" s="43">
        <v>0.51269687500000005</v>
      </c>
      <c r="CT74" s="43">
        <v>0.84707987500000004</v>
      </c>
      <c r="CU74" s="43">
        <v>1</v>
      </c>
      <c r="CV74" s="46" t="s">
        <v>89</v>
      </c>
      <c r="CW74" s="34"/>
      <c r="CX74" s="35"/>
    </row>
    <row r="75" spans="1:102" ht="15" customHeight="1" x14ac:dyDescent="0.25">
      <c r="A75" s="33">
        <v>72</v>
      </c>
      <c r="B75" s="43" t="s">
        <v>744</v>
      </c>
      <c r="C75" s="43">
        <v>0.2581</v>
      </c>
      <c r="D75" s="51">
        <v>1</v>
      </c>
      <c r="E75" s="43" t="s">
        <v>252</v>
      </c>
      <c r="F75" s="43" t="s">
        <v>236</v>
      </c>
      <c r="G75" s="43" t="s">
        <v>745</v>
      </c>
      <c r="H75" s="43" t="s">
        <v>746</v>
      </c>
      <c r="I75" s="43" t="s">
        <v>747</v>
      </c>
      <c r="J75" s="43" t="s">
        <v>748</v>
      </c>
      <c r="K75" s="53" t="s">
        <v>1986</v>
      </c>
      <c r="L75" s="43" t="s">
        <v>749</v>
      </c>
      <c r="M75" s="43" t="s">
        <v>682</v>
      </c>
      <c r="N75" s="43" t="s">
        <v>750</v>
      </c>
      <c r="O75" s="43" t="s">
        <v>690</v>
      </c>
      <c r="P75" s="43" t="s">
        <v>715</v>
      </c>
      <c r="Q75" s="43" t="s">
        <v>751</v>
      </c>
      <c r="R75" s="43" t="s">
        <v>573</v>
      </c>
      <c r="S75" s="43">
        <v>-100.283</v>
      </c>
      <c r="T75" s="43">
        <v>83.948999999999998</v>
      </c>
      <c r="U75" s="43">
        <v>19.386900000000001</v>
      </c>
      <c r="V75" s="43">
        <v>24.065999999999999</v>
      </c>
      <c r="W75" s="69">
        <v>0</v>
      </c>
      <c r="X75" s="43">
        <v>0</v>
      </c>
      <c r="Y75" s="43">
        <v>0.17899999999999999</v>
      </c>
      <c r="Z75" s="43">
        <v>0.126</v>
      </c>
      <c r="AA75" s="43">
        <v>7558.6019999999999</v>
      </c>
      <c r="AB75" s="43">
        <v>0.47899999999999998</v>
      </c>
      <c r="AC75" s="43">
        <v>3548.4229999999998</v>
      </c>
      <c r="AD75" s="43">
        <v>0.88200000000000001</v>
      </c>
      <c r="AE75" s="43">
        <v>0.98499999999999999</v>
      </c>
      <c r="AF75" s="43">
        <v>0</v>
      </c>
      <c r="AG75" s="43">
        <v>-4.8010000000000002</v>
      </c>
      <c r="AH75" s="43">
        <v>-190.441</v>
      </c>
      <c r="AI75" s="43">
        <v>136.34100000000001</v>
      </c>
      <c r="AJ75" s="43" t="s">
        <v>1428</v>
      </c>
      <c r="AK75" s="43">
        <v>0</v>
      </c>
      <c r="AL75" s="43">
        <v>4</v>
      </c>
      <c r="AM75" s="43">
        <v>1</v>
      </c>
      <c r="AN75" s="43">
        <v>0</v>
      </c>
      <c r="AO75" s="43">
        <v>1</v>
      </c>
      <c r="AP75" s="43">
        <v>1</v>
      </c>
      <c r="AQ75" s="68" t="s">
        <v>1740</v>
      </c>
      <c r="AR75" s="43" t="s">
        <v>752</v>
      </c>
      <c r="AS75" s="43">
        <v>4704</v>
      </c>
      <c r="AT75" s="43">
        <v>19.475000000000001</v>
      </c>
      <c r="AU75" s="69">
        <v>1118</v>
      </c>
      <c r="AV75" s="69">
        <v>-38.799999999999997</v>
      </c>
      <c r="AW75" s="43">
        <v>65.649500000000003</v>
      </c>
      <c r="AX75" s="43">
        <v>0.84340000000000004</v>
      </c>
      <c r="AY75" s="69">
        <v>1118</v>
      </c>
      <c r="AZ75" s="69">
        <v>-38.799999999999997</v>
      </c>
      <c r="BA75" s="43">
        <v>65.649500000000003</v>
      </c>
      <c r="BB75" s="43">
        <v>0.84340000000000004</v>
      </c>
      <c r="BC75" s="43">
        <v>0</v>
      </c>
      <c r="BD75" s="43">
        <v>0</v>
      </c>
      <c r="BE75" s="43">
        <v>0</v>
      </c>
      <c r="BF75" s="43">
        <v>-4.57</v>
      </c>
      <c r="BG75" s="43">
        <v>9.7278000000000002</v>
      </c>
      <c r="BH75" s="43">
        <v>-4.57</v>
      </c>
      <c r="BI75" s="43">
        <v>24.485399999999998</v>
      </c>
      <c r="BJ75" s="43">
        <v>1</v>
      </c>
      <c r="BK75" s="53">
        <v>6.8000000000000005E-2</v>
      </c>
      <c r="BL75" s="53">
        <v>94.000000000000099</v>
      </c>
      <c r="BM75" s="43">
        <v>2</v>
      </c>
      <c r="BN75" s="34" t="s">
        <v>89</v>
      </c>
      <c r="BO75" s="34" t="s">
        <v>89</v>
      </c>
      <c r="BP75" s="34" t="s">
        <v>89</v>
      </c>
      <c r="BQ75" s="34" t="s">
        <v>89</v>
      </c>
      <c r="BR75" s="34" t="s">
        <v>89</v>
      </c>
      <c r="BS75" s="34" t="s">
        <v>89</v>
      </c>
      <c r="BT75" s="34" t="s">
        <v>89</v>
      </c>
      <c r="BU75" s="34" t="s">
        <v>89</v>
      </c>
      <c r="BV75" s="34" t="s">
        <v>89</v>
      </c>
      <c r="BW75" s="34" t="s">
        <v>89</v>
      </c>
      <c r="BX75" s="34" t="s">
        <v>89</v>
      </c>
      <c r="BY75" s="34" t="s">
        <v>89</v>
      </c>
      <c r="BZ75" s="34" t="s">
        <v>89</v>
      </c>
      <c r="CA75" s="34" t="s">
        <v>89</v>
      </c>
      <c r="CB75" s="34" t="s">
        <v>89</v>
      </c>
      <c r="CC75" s="34" t="s">
        <v>89</v>
      </c>
      <c r="CD75" s="34" t="s">
        <v>89</v>
      </c>
      <c r="CE75" s="43">
        <v>0.114014559789812</v>
      </c>
      <c r="CF75" s="43">
        <v>-0.361441701217395</v>
      </c>
      <c r="CG75" s="43">
        <v>0</v>
      </c>
      <c r="CH75" s="43">
        <v>0</v>
      </c>
      <c r="CI75" s="43">
        <v>-197.001</v>
      </c>
      <c r="CJ75" s="43">
        <v>7.4700780005230403</v>
      </c>
      <c r="CK75" s="43">
        <v>1.26023026440677</v>
      </c>
      <c r="CL75" s="43">
        <v>64552</v>
      </c>
      <c r="CM75" s="43">
        <v>33200</v>
      </c>
      <c r="CN75" s="43">
        <v>1844</v>
      </c>
      <c r="CO75" s="43">
        <v>1118</v>
      </c>
      <c r="CP75" s="43">
        <v>-38.799999999999997</v>
      </c>
      <c r="CQ75" s="43">
        <v>1118</v>
      </c>
      <c r="CR75" s="43">
        <v>-38.799999999999997</v>
      </c>
      <c r="CS75" s="43">
        <v>1</v>
      </c>
      <c r="CT75" s="43">
        <v>0.43844712499999999</v>
      </c>
      <c r="CU75" s="43">
        <v>1</v>
      </c>
      <c r="CV75" s="46" t="s">
        <v>89</v>
      </c>
      <c r="CW75" s="34"/>
      <c r="CX75" s="35"/>
    </row>
    <row r="76" spans="1:102" ht="15" customHeight="1" x14ac:dyDescent="0.25">
      <c r="A76" s="33">
        <v>73</v>
      </c>
      <c r="B76" s="43" t="s">
        <v>1835</v>
      </c>
      <c r="C76" s="43">
        <v>0.154</v>
      </c>
      <c r="D76" s="52" t="s">
        <v>1798</v>
      </c>
      <c r="E76" s="43" t="s">
        <v>215</v>
      </c>
      <c r="F76" s="43" t="s">
        <v>252</v>
      </c>
      <c r="G76" s="43" t="s">
        <v>753</v>
      </c>
      <c r="H76" s="43" t="s">
        <v>754</v>
      </c>
      <c r="I76" s="43" t="s">
        <v>755</v>
      </c>
      <c r="J76" s="43" t="s">
        <v>756</v>
      </c>
      <c r="K76" s="53" t="s">
        <v>1987</v>
      </c>
      <c r="L76" s="43" t="s">
        <v>757</v>
      </c>
      <c r="M76" s="43" t="s">
        <v>689</v>
      </c>
      <c r="N76" s="43" t="s">
        <v>758</v>
      </c>
      <c r="O76" s="43" t="s">
        <v>698</v>
      </c>
      <c r="P76" s="43" t="s">
        <v>724</v>
      </c>
      <c r="Q76" s="43" t="s">
        <v>759</v>
      </c>
      <c r="R76" s="43" t="s">
        <v>203</v>
      </c>
      <c r="S76" s="43">
        <v>-68.676000000000002</v>
      </c>
      <c r="T76" s="43">
        <v>-144.667</v>
      </c>
      <c r="U76" s="43">
        <v>19.606200000000001</v>
      </c>
      <c r="V76" s="43">
        <v>-21.933</v>
      </c>
      <c r="W76" s="69">
        <v>1</v>
      </c>
      <c r="X76" s="43">
        <v>0</v>
      </c>
      <c r="Y76" s="43">
        <v>0.129</v>
      </c>
      <c r="Z76" s="43">
        <v>8.4000000000000005E-2</v>
      </c>
      <c r="AA76" s="43">
        <v>2668.018</v>
      </c>
      <c r="AB76" s="43">
        <v>0.32400000000000001</v>
      </c>
      <c r="AC76" s="43">
        <v>791.74800000000005</v>
      </c>
      <c r="AD76" s="43">
        <v>0.54</v>
      </c>
      <c r="AE76" s="43">
        <v>0.96399999999999997</v>
      </c>
      <c r="AF76" s="43">
        <v>1</v>
      </c>
      <c r="AG76" s="43">
        <v>1.1950000000000001</v>
      </c>
      <c r="AH76" s="43">
        <v>83.948999999999998</v>
      </c>
      <c r="AI76" s="43">
        <v>59.731999999999999</v>
      </c>
      <c r="AJ76" s="43" t="s">
        <v>1429</v>
      </c>
      <c r="AK76" s="43">
        <v>1</v>
      </c>
      <c r="AL76" s="43">
        <v>0</v>
      </c>
      <c r="AM76" s="43">
        <v>1</v>
      </c>
      <c r="AN76" s="43">
        <v>0</v>
      </c>
      <c r="AO76" s="43">
        <v>1</v>
      </c>
      <c r="AP76" s="43">
        <v>1</v>
      </c>
      <c r="AQ76" s="68" t="s">
        <v>1741</v>
      </c>
      <c r="AR76" s="43" t="s">
        <v>760</v>
      </c>
      <c r="AS76" s="43">
        <v>654</v>
      </c>
      <c r="AT76" s="43">
        <v>-18.664999999999999</v>
      </c>
      <c r="AU76" s="69">
        <v>-657.13</v>
      </c>
      <c r="AV76" s="69">
        <v>-194.19</v>
      </c>
      <c r="AW76" s="43">
        <v>95.354600000000005</v>
      </c>
      <c r="AX76" s="43">
        <v>0.24149999999999999</v>
      </c>
      <c r="AY76" s="69">
        <v>-657.13</v>
      </c>
      <c r="AZ76" s="69">
        <v>-194.19</v>
      </c>
      <c r="BA76" s="43">
        <v>95.354600000000005</v>
      </c>
      <c r="BB76" s="43">
        <v>0.24149999999999999</v>
      </c>
      <c r="BC76" s="43">
        <v>1</v>
      </c>
      <c r="BD76" s="43">
        <v>1</v>
      </c>
      <c r="BE76" s="43">
        <v>0</v>
      </c>
      <c r="BF76" s="43">
        <v>-25.6</v>
      </c>
      <c r="BG76" s="43">
        <v>13.446300000000001</v>
      </c>
      <c r="BH76" s="43">
        <v>-25.6</v>
      </c>
      <c r="BI76" s="43">
        <v>19.671800000000001</v>
      </c>
      <c r="BJ76" s="43">
        <v>0</v>
      </c>
      <c r="BK76" s="53">
        <v>6.9000000000000006E-2</v>
      </c>
      <c r="BL76" s="53">
        <v>95.200000000000102</v>
      </c>
      <c r="BM76" s="43">
        <v>2</v>
      </c>
      <c r="BN76" s="34" t="s">
        <v>89</v>
      </c>
      <c r="BO76" s="34" t="s">
        <v>89</v>
      </c>
      <c r="BP76" s="34" t="s">
        <v>89</v>
      </c>
      <c r="BQ76" s="34" t="s">
        <v>89</v>
      </c>
      <c r="BR76" s="34" t="s">
        <v>89</v>
      </c>
      <c r="BS76" s="34" t="s">
        <v>89</v>
      </c>
      <c r="BT76" s="34" t="s">
        <v>89</v>
      </c>
      <c r="BU76" s="34" t="s">
        <v>89</v>
      </c>
      <c r="BV76" s="34" t="s">
        <v>89</v>
      </c>
      <c r="BW76" s="34" t="s">
        <v>89</v>
      </c>
      <c r="BX76" s="34" t="s">
        <v>89</v>
      </c>
      <c r="BY76" s="34" t="s">
        <v>89</v>
      </c>
      <c r="BZ76" s="34" t="s">
        <v>89</v>
      </c>
      <c r="CA76" s="34" t="s">
        <v>89</v>
      </c>
      <c r="CB76" s="34" t="s">
        <v>89</v>
      </c>
      <c r="CC76" s="34" t="s">
        <v>89</v>
      </c>
      <c r="CD76" s="34" t="s">
        <v>89</v>
      </c>
      <c r="CE76" s="43">
        <v>-1.0879427681281201E-3</v>
      </c>
      <c r="CF76" s="43">
        <v>1</v>
      </c>
      <c r="CG76" s="43">
        <v>0</v>
      </c>
      <c r="CH76" s="43">
        <v>0</v>
      </c>
      <c r="CI76" s="43">
        <v>220</v>
      </c>
      <c r="CJ76" s="43">
        <v>1.6963729404090899</v>
      </c>
      <c r="CK76" s="43">
        <v>4.51162042364468</v>
      </c>
      <c r="CL76" s="43">
        <v>0</v>
      </c>
      <c r="CM76" s="43">
        <v>39056</v>
      </c>
      <c r="CN76" s="43">
        <v>654</v>
      </c>
      <c r="CO76" s="43">
        <v>-657.13</v>
      </c>
      <c r="CP76" s="43">
        <v>-194.19</v>
      </c>
      <c r="CQ76" s="43">
        <v>20.582999999999998</v>
      </c>
      <c r="CR76" s="43">
        <v>-4625.5598109209996</v>
      </c>
      <c r="CS76" s="43">
        <v>0.65750224999999995</v>
      </c>
      <c r="CT76" s="43">
        <v>0.44103150000000002</v>
      </c>
      <c r="CU76" s="43">
        <v>1</v>
      </c>
      <c r="CV76" s="46" t="s">
        <v>89</v>
      </c>
      <c r="CW76" s="34"/>
      <c r="CX76" s="35"/>
    </row>
    <row r="77" spans="1:102" ht="15" customHeight="1" x14ac:dyDescent="0.25">
      <c r="A77" s="33">
        <v>74</v>
      </c>
      <c r="B77" s="43" t="s">
        <v>761</v>
      </c>
      <c r="C77" s="51">
        <v>0</v>
      </c>
      <c r="D77" s="43">
        <v>0.32200000000000001</v>
      </c>
      <c r="E77" s="43" t="s">
        <v>267</v>
      </c>
      <c r="F77" s="43" t="s">
        <v>215</v>
      </c>
      <c r="G77" s="43" t="s">
        <v>762</v>
      </c>
      <c r="H77" s="43" t="s">
        <v>763</v>
      </c>
      <c r="I77" s="43" t="s">
        <v>764</v>
      </c>
      <c r="J77" s="43" t="s">
        <v>765</v>
      </c>
      <c r="K77" s="53" t="s">
        <v>1988</v>
      </c>
      <c r="L77" s="43" t="s">
        <v>766</v>
      </c>
      <c r="M77" s="43" t="s">
        <v>697</v>
      </c>
      <c r="N77" s="43" t="s">
        <v>767</v>
      </c>
      <c r="O77" s="43" t="s">
        <v>707</v>
      </c>
      <c r="P77" s="43" t="s">
        <v>733</v>
      </c>
      <c r="Q77" s="43" t="s">
        <v>768</v>
      </c>
      <c r="R77" s="43" t="s">
        <v>165</v>
      </c>
      <c r="S77" s="43">
        <v>-139.90700000000001</v>
      </c>
      <c r="T77" s="43">
        <v>80.817999999999998</v>
      </c>
      <c r="U77" s="43">
        <v>3.9561999999999999</v>
      </c>
      <c r="V77" s="43">
        <v>-14.85</v>
      </c>
      <c r="W77" s="43">
        <v>0</v>
      </c>
      <c r="X77" s="69">
        <v>0</v>
      </c>
      <c r="Y77" s="43">
        <v>4.8000000000000001E-2</v>
      </c>
      <c r="Z77" s="43">
        <v>0.188</v>
      </c>
      <c r="AA77" s="43">
        <v>6474.7520000000004</v>
      </c>
      <c r="AB77" s="43">
        <v>0.53900000000000003</v>
      </c>
      <c r="AC77" s="43">
        <v>5821.5569999999998</v>
      </c>
      <c r="AD77" s="43">
        <v>0.67100000000000004</v>
      </c>
      <c r="AE77" s="43">
        <v>0.97199999999999998</v>
      </c>
      <c r="AF77" s="43">
        <v>1</v>
      </c>
      <c r="AG77" s="43">
        <v>21.838000000000001</v>
      </c>
      <c r="AH77" s="43">
        <v>-144.667</v>
      </c>
      <c r="AI77" s="43">
        <v>1.6220000000000001</v>
      </c>
      <c r="AJ77" s="43" t="s">
        <v>1439</v>
      </c>
      <c r="AK77" s="43">
        <v>1</v>
      </c>
      <c r="AL77" s="43">
        <v>2</v>
      </c>
      <c r="AM77" s="43">
        <v>1</v>
      </c>
      <c r="AN77" s="43">
        <v>1</v>
      </c>
      <c r="AO77" s="43">
        <v>1</v>
      </c>
      <c r="AP77" s="43">
        <v>1</v>
      </c>
      <c r="AQ77" s="68" t="s">
        <v>1742</v>
      </c>
      <c r="AR77" s="43" t="s">
        <v>769</v>
      </c>
      <c r="AS77" s="43">
        <v>1246</v>
      </c>
      <c r="AT77" s="43">
        <v>-10.965999999999999</v>
      </c>
      <c r="AU77" s="69">
        <v>-194.19</v>
      </c>
      <c r="AV77" s="69">
        <v>-194.19</v>
      </c>
      <c r="AW77" s="43">
        <v>68.892600000000002</v>
      </c>
      <c r="AX77" s="43">
        <v>0.91110000000000002</v>
      </c>
      <c r="AY77" s="69">
        <v>-194.19</v>
      </c>
      <c r="AZ77" s="69">
        <v>-194.19</v>
      </c>
      <c r="BA77" s="43">
        <v>68.892600000000002</v>
      </c>
      <c r="BB77" s="43">
        <v>0.91110000000000002</v>
      </c>
      <c r="BC77" s="43">
        <v>1</v>
      </c>
      <c r="BD77" s="43">
        <v>1</v>
      </c>
      <c r="BE77" s="43">
        <v>0</v>
      </c>
      <c r="BF77" s="43">
        <v>-10.5</v>
      </c>
      <c r="BG77" s="43">
        <v>16.0122</v>
      </c>
      <c r="BH77" s="43">
        <v>-10.5</v>
      </c>
      <c r="BI77" s="43">
        <v>28.8399</v>
      </c>
      <c r="BJ77" s="43">
        <v>1</v>
      </c>
      <c r="BK77" s="53">
        <v>7.0000000000000007E-2</v>
      </c>
      <c r="BL77" s="53">
        <v>96.400000000000105</v>
      </c>
      <c r="BM77" s="43">
        <v>2</v>
      </c>
      <c r="BN77" s="34" t="s">
        <v>89</v>
      </c>
      <c r="BO77" s="34" t="s">
        <v>89</v>
      </c>
      <c r="BP77" s="34" t="s">
        <v>89</v>
      </c>
      <c r="BQ77" s="34" t="s">
        <v>89</v>
      </c>
      <c r="BR77" s="34" t="s">
        <v>89</v>
      </c>
      <c r="BS77" s="34" t="s">
        <v>89</v>
      </c>
      <c r="BT77" s="34" t="s">
        <v>89</v>
      </c>
      <c r="BU77" s="34" t="s">
        <v>89</v>
      </c>
      <c r="BV77" s="34" t="s">
        <v>89</v>
      </c>
      <c r="BW77" s="34" t="s">
        <v>89</v>
      </c>
      <c r="BX77" s="34" t="s">
        <v>89</v>
      </c>
      <c r="BY77" s="34" t="s">
        <v>89</v>
      </c>
      <c r="BZ77" s="34" t="s">
        <v>89</v>
      </c>
      <c r="CA77" s="34" t="s">
        <v>89</v>
      </c>
      <c r="CB77" s="34" t="s">
        <v>89</v>
      </c>
      <c r="CC77" s="34" t="s">
        <v>89</v>
      </c>
      <c r="CD77" s="34" t="s">
        <v>89</v>
      </c>
      <c r="CE77" s="43">
        <v>-2.2032647132965999</v>
      </c>
      <c r="CF77" s="43">
        <v>1</v>
      </c>
      <c r="CG77" s="43">
        <v>16.0122</v>
      </c>
      <c r="CH77" s="43">
        <v>28.8399</v>
      </c>
      <c r="CI77" s="43">
        <v>220</v>
      </c>
      <c r="CJ77" s="43">
        <v>-3.55194179030131</v>
      </c>
      <c r="CK77" s="43">
        <v>3.31712368149141</v>
      </c>
      <c r="CL77" s="43">
        <v>0</v>
      </c>
      <c r="CM77" s="43">
        <v>32280</v>
      </c>
      <c r="CN77" s="43">
        <v>1246</v>
      </c>
      <c r="CO77" s="43">
        <v>-194.19</v>
      </c>
      <c r="CP77" s="43">
        <v>-194.19</v>
      </c>
      <c r="CQ77" s="43">
        <v>28.093</v>
      </c>
      <c r="CR77" s="43">
        <v>-12340.2581906334</v>
      </c>
      <c r="CS77" s="43">
        <v>0</v>
      </c>
      <c r="CT77" s="43">
        <v>0</v>
      </c>
      <c r="CU77" s="43">
        <v>1</v>
      </c>
      <c r="CV77" s="46" t="s">
        <v>89</v>
      </c>
      <c r="CW77" s="34"/>
      <c r="CX77" s="35"/>
    </row>
    <row r="78" spans="1:102" ht="15" customHeight="1" x14ac:dyDescent="0.25">
      <c r="A78" s="33">
        <v>75</v>
      </c>
      <c r="B78" s="43" t="s">
        <v>770</v>
      </c>
      <c r="C78" s="51">
        <v>1</v>
      </c>
      <c r="D78" s="43">
        <v>0.14199999999999999</v>
      </c>
      <c r="E78" s="43" t="s">
        <v>281</v>
      </c>
      <c r="F78" s="43" t="s">
        <v>267</v>
      </c>
      <c r="G78" s="43" t="s">
        <v>771</v>
      </c>
      <c r="H78" s="43" t="s">
        <v>772</v>
      </c>
      <c r="I78" s="43" t="s">
        <v>773</v>
      </c>
      <c r="J78" s="43" t="s">
        <v>774</v>
      </c>
      <c r="K78" s="53" t="s">
        <v>1989</v>
      </c>
      <c r="L78" s="43" t="s">
        <v>775</v>
      </c>
      <c r="M78" s="43" t="s">
        <v>705</v>
      </c>
      <c r="N78" s="43" t="s">
        <v>776</v>
      </c>
      <c r="O78" s="43" t="s">
        <v>715</v>
      </c>
      <c r="P78" s="43" t="s">
        <v>742</v>
      </c>
      <c r="Q78" s="43" t="s">
        <v>669</v>
      </c>
      <c r="R78" s="43" t="s">
        <v>179</v>
      </c>
      <c r="S78" s="43">
        <v>-82.298000000000002</v>
      </c>
      <c r="T78" s="43">
        <v>-44.258000000000003</v>
      </c>
      <c r="U78" s="43">
        <v>15.5336</v>
      </c>
      <c r="V78" s="43">
        <v>-21.56</v>
      </c>
      <c r="W78" s="43">
        <v>0</v>
      </c>
      <c r="X78" s="69">
        <v>1</v>
      </c>
      <c r="Y78" s="43">
        <v>0.17599999999999999</v>
      </c>
      <c r="Z78" s="43">
        <v>8.6999999999999994E-2</v>
      </c>
      <c r="AA78" s="43">
        <v>6937.76</v>
      </c>
      <c r="AB78" s="43">
        <v>0.47299999999999998</v>
      </c>
      <c r="AC78" s="43">
        <v>3932.2130000000002</v>
      </c>
      <c r="AD78" s="43">
        <v>4.1000000000000002E-2</v>
      </c>
      <c r="AE78" s="43">
        <v>0.96799999999999997</v>
      </c>
      <c r="AF78" s="43">
        <v>1</v>
      </c>
      <c r="AG78" s="43">
        <v>14.731999999999999</v>
      </c>
      <c r="AH78" s="43">
        <v>-44.258000000000003</v>
      </c>
      <c r="AI78" s="43">
        <v>-126.64100000000001</v>
      </c>
      <c r="AJ78" s="43" t="s">
        <v>1440</v>
      </c>
      <c r="AK78" s="43">
        <v>0</v>
      </c>
      <c r="AL78" s="43">
        <v>0</v>
      </c>
      <c r="AM78" s="43">
        <v>1</v>
      </c>
      <c r="AN78" s="43">
        <v>1</v>
      </c>
      <c r="AO78" s="43">
        <v>1</v>
      </c>
      <c r="AP78" s="43">
        <v>1</v>
      </c>
      <c r="AQ78" s="68" t="s">
        <v>1743</v>
      </c>
      <c r="AR78" s="43" t="s">
        <v>777</v>
      </c>
      <c r="AS78" s="43">
        <v>1865</v>
      </c>
      <c r="AT78" s="43">
        <v>9.24</v>
      </c>
      <c r="AU78" s="69">
        <v>386.22</v>
      </c>
      <c r="AV78" s="69">
        <v>20.7</v>
      </c>
      <c r="AW78" s="43">
        <v>82.128299999999996</v>
      </c>
      <c r="AX78" s="43">
        <v>0.39660000000000001</v>
      </c>
      <c r="AY78" s="69">
        <v>386.22</v>
      </c>
      <c r="AZ78" s="69">
        <v>20.7</v>
      </c>
      <c r="BA78" s="43">
        <v>82.128299999999996</v>
      </c>
      <c r="BB78" s="43">
        <v>0.39660000000000001</v>
      </c>
      <c r="BC78" s="43">
        <v>0</v>
      </c>
      <c r="BD78" s="43">
        <v>0</v>
      </c>
      <c r="BE78" s="43">
        <v>0</v>
      </c>
      <c r="BF78" s="43">
        <v>-11.6</v>
      </c>
      <c r="BG78" s="43">
        <v>28.543500000000002</v>
      </c>
      <c r="BH78" s="43">
        <v>-12.6</v>
      </c>
      <c r="BI78" s="43">
        <v>2.1294</v>
      </c>
      <c r="BJ78" s="53">
        <v>0</v>
      </c>
      <c r="BK78" s="53">
        <v>7.0999999999999994E-2</v>
      </c>
      <c r="BL78" s="53">
        <v>97.600000000000094</v>
      </c>
      <c r="BM78" s="43">
        <v>2</v>
      </c>
      <c r="BN78" s="34" t="s">
        <v>89</v>
      </c>
      <c r="BO78" s="34" t="s">
        <v>89</v>
      </c>
      <c r="BP78" s="34" t="s">
        <v>89</v>
      </c>
      <c r="BQ78" s="34" t="s">
        <v>89</v>
      </c>
      <c r="BR78" s="34" t="s">
        <v>89</v>
      </c>
      <c r="BS78" s="34" t="s">
        <v>89</v>
      </c>
      <c r="BT78" s="34" t="s">
        <v>89</v>
      </c>
      <c r="BU78" s="34" t="s">
        <v>89</v>
      </c>
      <c r="BV78" s="34" t="s">
        <v>89</v>
      </c>
      <c r="BW78" s="34" t="s">
        <v>89</v>
      </c>
      <c r="BX78" s="34" t="s">
        <v>89</v>
      </c>
      <c r="BY78" s="34" t="s">
        <v>89</v>
      </c>
      <c r="BZ78" s="34" t="s">
        <v>89</v>
      </c>
      <c r="CA78" s="34" t="s">
        <v>89</v>
      </c>
      <c r="CB78" s="34" t="s">
        <v>89</v>
      </c>
      <c r="CC78" s="34" t="s">
        <v>89</v>
      </c>
      <c r="CD78" s="34" t="s">
        <v>89</v>
      </c>
      <c r="CE78" s="43">
        <v>1</v>
      </c>
      <c r="CF78" s="43">
        <v>1</v>
      </c>
      <c r="CG78" s="43">
        <v>0</v>
      </c>
      <c r="CH78" s="43">
        <v>0</v>
      </c>
      <c r="CI78" s="43">
        <v>14.101000000000001</v>
      </c>
      <c r="CJ78" s="43">
        <v>0.432</v>
      </c>
      <c r="CK78" s="43">
        <v>15.22</v>
      </c>
      <c r="CL78" s="43">
        <v>49741</v>
      </c>
      <c r="CM78" s="43">
        <v>16399</v>
      </c>
      <c r="CN78" s="43">
        <v>1715</v>
      </c>
      <c r="CO78" s="43">
        <v>386.22</v>
      </c>
      <c r="CP78" s="43">
        <v>20.7</v>
      </c>
      <c r="CQ78" s="43">
        <v>386.22</v>
      </c>
      <c r="CR78" s="43">
        <v>20.7</v>
      </c>
      <c r="CS78" s="43">
        <v>0</v>
      </c>
      <c r="CT78" s="43">
        <v>0</v>
      </c>
      <c r="CU78" s="43">
        <v>1</v>
      </c>
      <c r="CV78" s="46" t="s">
        <v>89</v>
      </c>
      <c r="CW78" s="34"/>
      <c r="CX78" s="35"/>
    </row>
    <row r="79" spans="1:102" ht="15" customHeight="1" x14ac:dyDescent="0.25">
      <c r="A79" s="33">
        <v>76</v>
      </c>
      <c r="B79" s="43" t="s">
        <v>1722</v>
      </c>
      <c r="C79" s="51">
        <v>0.53520000000000001</v>
      </c>
      <c r="D79" s="43">
        <v>0.52500000000000002</v>
      </c>
      <c r="E79" s="43" t="s">
        <v>294</v>
      </c>
      <c r="F79" s="43" t="s">
        <v>281</v>
      </c>
      <c r="G79" s="43" t="s">
        <v>778</v>
      </c>
      <c r="H79" s="43" t="s">
        <v>779</v>
      </c>
      <c r="I79" s="43" t="s">
        <v>780</v>
      </c>
      <c r="J79" s="43" t="s">
        <v>781</v>
      </c>
      <c r="K79" s="53" t="s">
        <v>1990</v>
      </c>
      <c r="L79" s="43" t="s">
        <v>782</v>
      </c>
      <c r="M79" s="43" t="s">
        <v>713</v>
      </c>
      <c r="N79" s="43" t="s">
        <v>662</v>
      </c>
      <c r="O79" s="43" t="s">
        <v>724</v>
      </c>
      <c r="P79" s="43" t="s">
        <v>751</v>
      </c>
      <c r="Q79" s="43" t="s">
        <v>706</v>
      </c>
      <c r="R79" s="43" t="s">
        <v>237</v>
      </c>
      <c r="S79" s="43">
        <v>160.04400000000001</v>
      </c>
      <c r="T79" s="43">
        <v>-40.921999999999997</v>
      </c>
      <c r="U79" s="43">
        <v>28.482600000000001</v>
      </c>
      <c r="V79" s="43">
        <v>1.1200000000000001</v>
      </c>
      <c r="W79" s="43">
        <v>0</v>
      </c>
      <c r="X79" s="43">
        <v>0</v>
      </c>
      <c r="Y79" s="43">
        <v>3.4000000000000002E-2</v>
      </c>
      <c r="Z79" s="43">
        <v>0.11</v>
      </c>
      <c r="AA79" s="43">
        <v>1146.662</v>
      </c>
      <c r="AB79" s="43">
        <v>0.13400000000000001</v>
      </c>
      <c r="AC79" s="43">
        <v>4987.5659999999998</v>
      </c>
      <c r="AD79" s="43">
        <v>3.9E-2</v>
      </c>
      <c r="AE79" s="43">
        <v>0.98499999999999999</v>
      </c>
      <c r="AF79" s="69">
        <v>0</v>
      </c>
      <c r="AG79" s="43">
        <v>20.904</v>
      </c>
      <c r="AH79" s="69">
        <v>-40.921999999999997</v>
      </c>
      <c r="AI79" s="69">
        <v>121.994</v>
      </c>
      <c r="AJ79" s="69" t="s">
        <v>1441</v>
      </c>
      <c r="AK79" s="69">
        <v>1</v>
      </c>
      <c r="AL79" s="69">
        <v>1</v>
      </c>
      <c r="AM79" s="69">
        <v>0</v>
      </c>
      <c r="AN79" s="69">
        <v>1</v>
      </c>
      <c r="AO79" s="69">
        <v>0</v>
      </c>
      <c r="AP79" s="43">
        <v>0</v>
      </c>
      <c r="AQ79" s="43" t="s">
        <v>1744</v>
      </c>
      <c r="AR79" s="43" t="s">
        <v>783</v>
      </c>
      <c r="AS79" s="43">
        <v>812</v>
      </c>
      <c r="AT79" s="43">
        <v>-4.7709999999999999</v>
      </c>
      <c r="AU79" s="69">
        <v>-784.13</v>
      </c>
      <c r="AV79" s="69">
        <v>-340.13</v>
      </c>
      <c r="AW79" s="43">
        <v>79.878900000000002</v>
      </c>
      <c r="AX79" s="43">
        <v>0.45569999999999999</v>
      </c>
      <c r="AY79" s="69">
        <v>-784.13</v>
      </c>
      <c r="AZ79" s="69">
        <v>-340.13</v>
      </c>
      <c r="BA79" s="43">
        <v>79.878900000000002</v>
      </c>
      <c r="BB79" s="43">
        <v>0.45569999999999999</v>
      </c>
      <c r="BC79" s="69">
        <v>1</v>
      </c>
      <c r="BD79" s="69">
        <v>1</v>
      </c>
      <c r="BE79" s="43">
        <v>0</v>
      </c>
      <c r="BF79" s="43">
        <v>-30.2</v>
      </c>
      <c r="BG79" s="43">
        <v>20.630299999999998</v>
      </c>
      <c r="BH79" s="43">
        <v>-30.2</v>
      </c>
      <c r="BI79" s="43">
        <v>9.0112000000000005</v>
      </c>
      <c r="BJ79" s="53">
        <v>1</v>
      </c>
      <c r="BK79" s="53">
        <v>7.1999999999999995E-2</v>
      </c>
      <c r="BL79" s="53">
        <v>98.800000000000097</v>
      </c>
      <c r="BM79" s="43">
        <v>2</v>
      </c>
      <c r="BN79" s="34" t="s">
        <v>89</v>
      </c>
      <c r="BO79" s="34" t="s">
        <v>89</v>
      </c>
      <c r="BP79" s="34" t="s">
        <v>89</v>
      </c>
      <c r="BQ79" s="34" t="s">
        <v>89</v>
      </c>
      <c r="BR79" s="34" t="s">
        <v>89</v>
      </c>
      <c r="BS79" s="34" t="s">
        <v>89</v>
      </c>
      <c r="BT79" s="34" t="s">
        <v>89</v>
      </c>
      <c r="BU79" s="34" t="s">
        <v>89</v>
      </c>
      <c r="BV79" s="34" t="s">
        <v>89</v>
      </c>
      <c r="BW79" s="34" t="s">
        <v>89</v>
      </c>
      <c r="BX79" s="34" t="s">
        <v>89</v>
      </c>
      <c r="BY79" s="34" t="s">
        <v>89</v>
      </c>
      <c r="BZ79" s="34" t="s">
        <v>89</v>
      </c>
      <c r="CA79" s="34" t="s">
        <v>89</v>
      </c>
      <c r="CB79" s="34" t="s">
        <v>89</v>
      </c>
      <c r="CC79" s="34" t="s">
        <v>89</v>
      </c>
      <c r="CD79" s="34" t="s">
        <v>89</v>
      </c>
      <c r="CE79" s="43">
        <v>-4.7243613751041797</v>
      </c>
      <c r="CF79" s="43">
        <v>1.6943240388148699</v>
      </c>
      <c r="CG79" s="43">
        <v>0</v>
      </c>
      <c r="CH79" s="43">
        <v>0</v>
      </c>
      <c r="CI79" s="43">
        <v>-94.509</v>
      </c>
      <c r="CJ79" s="43">
        <v>-4.26297975719209</v>
      </c>
      <c r="CK79" s="43">
        <v>-2.4662985605498902</v>
      </c>
      <c r="CL79" s="43">
        <v>0</v>
      </c>
      <c r="CM79" s="43">
        <v>18926</v>
      </c>
      <c r="CN79" s="43">
        <v>812</v>
      </c>
      <c r="CO79" s="43">
        <v>-784.13</v>
      </c>
      <c r="CP79" s="43">
        <v>-340.13</v>
      </c>
      <c r="CQ79" s="43">
        <v>18.556000000000001</v>
      </c>
      <c r="CR79" s="43">
        <v>-12729.881185914899</v>
      </c>
      <c r="CS79" s="43">
        <v>0</v>
      </c>
      <c r="CT79" s="43">
        <v>0.66244575000000006</v>
      </c>
      <c r="CU79" s="43">
        <v>1</v>
      </c>
      <c r="CV79" s="46" t="s">
        <v>89</v>
      </c>
      <c r="CW79" s="34"/>
      <c r="CX79" s="35"/>
    </row>
    <row r="80" spans="1:102" ht="15" customHeight="1" x14ac:dyDescent="0.25">
      <c r="A80" s="33">
        <v>77</v>
      </c>
      <c r="B80" s="43" t="s">
        <v>784</v>
      </c>
      <c r="C80" s="43">
        <v>0.94530000000000003</v>
      </c>
      <c r="D80" s="43">
        <v>0.113</v>
      </c>
      <c r="E80" s="43" t="s">
        <v>307</v>
      </c>
      <c r="F80" s="43" t="s">
        <v>294</v>
      </c>
      <c r="G80" s="43" t="s">
        <v>785</v>
      </c>
      <c r="H80" s="43" t="s">
        <v>786</v>
      </c>
      <c r="I80" s="43" t="s">
        <v>787</v>
      </c>
      <c r="J80" s="43" t="s">
        <v>788</v>
      </c>
      <c r="K80" s="53" t="s">
        <v>1991</v>
      </c>
      <c r="L80" s="43" t="s">
        <v>789</v>
      </c>
      <c r="M80" s="43" t="s">
        <v>766</v>
      </c>
      <c r="N80" s="43" t="s">
        <v>706</v>
      </c>
      <c r="O80" s="43" t="s">
        <v>669</v>
      </c>
      <c r="P80" s="43" t="s">
        <v>248</v>
      </c>
      <c r="Q80" s="43" t="s">
        <v>422</v>
      </c>
      <c r="R80" s="43" t="s">
        <v>191</v>
      </c>
      <c r="S80" s="43">
        <v>209.05199999999999</v>
      </c>
      <c r="T80" s="43">
        <v>-207.91800000000001</v>
      </c>
      <c r="U80" s="51">
        <v>-31</v>
      </c>
      <c r="V80" s="43">
        <v>-22.202999999999999</v>
      </c>
      <c r="W80" s="43">
        <v>1</v>
      </c>
      <c r="X80" s="43">
        <v>0</v>
      </c>
      <c r="Y80" s="43">
        <v>5.0999999999999997E-2</v>
      </c>
      <c r="Z80" s="43">
        <v>9.2999999999999999E-2</v>
      </c>
      <c r="AA80" s="43">
        <v>7138.0119999999997</v>
      </c>
      <c r="AB80" s="43">
        <v>0.216</v>
      </c>
      <c r="AC80" s="43">
        <v>7847.91</v>
      </c>
      <c r="AD80" s="43">
        <v>2.3E-2</v>
      </c>
      <c r="AE80" s="43">
        <v>0.98599999999999999</v>
      </c>
      <c r="AF80" s="69">
        <v>1</v>
      </c>
      <c r="AG80" s="43">
        <v>-5.1890000000000001</v>
      </c>
      <c r="AH80" s="69">
        <v>75.082999999999998</v>
      </c>
      <c r="AI80" s="69">
        <v>-41.575000000000003</v>
      </c>
      <c r="AJ80" s="69" t="s">
        <v>1442</v>
      </c>
      <c r="AK80" s="69">
        <v>1</v>
      </c>
      <c r="AL80" s="69">
        <v>2</v>
      </c>
      <c r="AM80" s="69">
        <v>0</v>
      </c>
      <c r="AN80" s="69">
        <v>1</v>
      </c>
      <c r="AO80" s="69">
        <v>0</v>
      </c>
      <c r="AP80" s="43">
        <v>0</v>
      </c>
      <c r="AQ80" s="68" t="s">
        <v>1778</v>
      </c>
      <c r="AR80" s="43" t="s">
        <v>790</v>
      </c>
      <c r="AS80" s="43">
        <v>744</v>
      </c>
      <c r="AT80" s="43">
        <v>-7.391</v>
      </c>
      <c r="AU80" s="69">
        <v>947.74</v>
      </c>
      <c r="AV80" s="69">
        <v>-717.3</v>
      </c>
      <c r="AW80" s="43">
        <v>94.203999999999994</v>
      </c>
      <c r="AX80" s="43">
        <v>0.32300000000000001</v>
      </c>
      <c r="AY80" s="69">
        <v>947.74</v>
      </c>
      <c r="AZ80" s="69">
        <v>-717.3</v>
      </c>
      <c r="BA80" s="43">
        <v>94.203999999999994</v>
      </c>
      <c r="BB80" s="43">
        <v>0.32300000000000001</v>
      </c>
      <c r="BC80" s="69">
        <v>1</v>
      </c>
      <c r="BD80" s="69">
        <v>1</v>
      </c>
      <c r="BE80" s="43">
        <v>0</v>
      </c>
      <c r="BF80" s="43">
        <v>-9.65</v>
      </c>
      <c r="BG80" s="43">
        <v>5.0777000000000001</v>
      </c>
      <c r="BH80" s="43">
        <v>-9.65</v>
      </c>
      <c r="BI80" s="43">
        <v>3.5505</v>
      </c>
      <c r="BJ80" s="53">
        <v>0</v>
      </c>
      <c r="BK80" s="53">
        <v>7.2999999999999995E-2</v>
      </c>
      <c r="BL80" s="53">
        <v>100</v>
      </c>
      <c r="BM80" s="43">
        <v>2</v>
      </c>
      <c r="BN80" s="34" t="s">
        <v>89</v>
      </c>
      <c r="BO80" s="34" t="s">
        <v>89</v>
      </c>
      <c r="BP80" s="34" t="s">
        <v>89</v>
      </c>
      <c r="BQ80" s="34" t="s">
        <v>89</v>
      </c>
      <c r="BR80" s="34" t="s">
        <v>89</v>
      </c>
      <c r="BS80" s="34" t="s">
        <v>89</v>
      </c>
      <c r="BT80" s="34" t="s">
        <v>89</v>
      </c>
      <c r="BU80" s="34" t="s">
        <v>89</v>
      </c>
      <c r="BV80" s="34" t="s">
        <v>89</v>
      </c>
      <c r="BW80" s="34" t="s">
        <v>89</v>
      </c>
      <c r="BX80" s="34" t="s">
        <v>89</v>
      </c>
      <c r="BY80" s="34" t="s">
        <v>89</v>
      </c>
      <c r="BZ80" s="34" t="s">
        <v>89</v>
      </c>
      <c r="CA80" s="34" t="s">
        <v>89</v>
      </c>
      <c r="CB80" s="34" t="s">
        <v>89</v>
      </c>
      <c r="CC80" s="34" t="s">
        <v>89</v>
      </c>
      <c r="CD80" s="34" t="s">
        <v>89</v>
      </c>
      <c r="CE80" s="43">
        <v>1.0211260348837301</v>
      </c>
      <c r="CF80" s="43">
        <v>1</v>
      </c>
      <c r="CG80" s="43">
        <v>-9.65</v>
      </c>
      <c r="CH80" s="43">
        <v>3.5505</v>
      </c>
      <c r="CI80" s="43">
        <v>-167.16900000000001</v>
      </c>
      <c r="CJ80" s="43">
        <v>-3.38360177047119</v>
      </c>
      <c r="CK80" s="43">
        <v>3.5855458522886399</v>
      </c>
      <c r="CL80" s="43">
        <v>0</v>
      </c>
      <c r="CM80" s="43">
        <v>46884</v>
      </c>
      <c r="CN80" s="43">
        <v>744</v>
      </c>
      <c r="CO80" s="43">
        <v>947.74</v>
      </c>
      <c r="CP80" s="43">
        <v>-717.3</v>
      </c>
      <c r="CQ80" s="43">
        <v>21.373000000000001</v>
      </c>
      <c r="CR80" s="43">
        <v>-21512.9034326</v>
      </c>
      <c r="CS80" s="43">
        <v>0</v>
      </c>
      <c r="CT80" s="43">
        <v>1</v>
      </c>
      <c r="CU80" s="43">
        <v>1</v>
      </c>
      <c r="CV80" s="46" t="s">
        <v>89</v>
      </c>
      <c r="CW80" s="34"/>
      <c r="CX80" s="35"/>
    </row>
    <row r="81" spans="1:102" ht="15" customHeight="1" x14ac:dyDescent="0.25">
      <c r="A81" s="33">
        <v>78</v>
      </c>
      <c r="B81" s="43" t="s">
        <v>791</v>
      </c>
      <c r="C81" s="43">
        <v>0.93230000000000002</v>
      </c>
      <c r="D81" s="43">
        <v>4.7E-2</v>
      </c>
      <c r="E81" s="43" t="s">
        <v>319</v>
      </c>
      <c r="F81" s="43" t="s">
        <v>307</v>
      </c>
      <c r="G81" s="43" t="s">
        <v>792</v>
      </c>
      <c r="H81" s="43" t="s">
        <v>793</v>
      </c>
      <c r="I81" s="43" t="s">
        <v>794</v>
      </c>
      <c r="J81" s="43" t="s">
        <v>795</v>
      </c>
      <c r="K81" s="53" t="s">
        <v>1992</v>
      </c>
      <c r="L81" s="43" t="s">
        <v>796</v>
      </c>
      <c r="M81" s="43" t="s">
        <v>775</v>
      </c>
      <c r="N81" s="43" t="s">
        <v>714</v>
      </c>
      <c r="O81" s="43" t="s">
        <v>706</v>
      </c>
      <c r="P81" s="43" t="s">
        <v>316</v>
      </c>
      <c r="Q81" s="43" t="s">
        <v>432</v>
      </c>
      <c r="R81" s="43" t="s">
        <v>153</v>
      </c>
      <c r="S81" s="43">
        <v>-200.55600000000001</v>
      </c>
      <c r="T81" s="43">
        <v>-198.286</v>
      </c>
      <c r="U81" s="51">
        <v>31</v>
      </c>
      <c r="V81" s="43">
        <v>26.664000000000001</v>
      </c>
      <c r="W81" s="43">
        <v>1</v>
      </c>
      <c r="X81" s="43">
        <v>0</v>
      </c>
      <c r="Y81" s="43">
        <v>0.17899999999999999</v>
      </c>
      <c r="Z81" s="43">
        <v>5.7000000000000002E-2</v>
      </c>
      <c r="AA81" s="43">
        <v>1416.7059999999999</v>
      </c>
      <c r="AB81" s="43">
        <v>0.81</v>
      </c>
      <c r="AC81" s="43">
        <v>5107.1779999999999</v>
      </c>
      <c r="AD81" s="43">
        <v>4.9000000000000002E-2</v>
      </c>
      <c r="AE81" s="43">
        <v>0.98399999999999999</v>
      </c>
      <c r="AF81" s="69">
        <v>0</v>
      </c>
      <c r="AG81" s="43">
        <v>-11.759</v>
      </c>
      <c r="AH81" s="43">
        <v>-190.441</v>
      </c>
      <c r="AI81" s="43">
        <v>-190.441</v>
      </c>
      <c r="AJ81" s="43" t="s">
        <v>1443</v>
      </c>
      <c r="AK81" s="69">
        <v>0</v>
      </c>
      <c r="AL81" s="69">
        <v>3</v>
      </c>
      <c r="AM81" s="69">
        <v>1</v>
      </c>
      <c r="AN81" s="69">
        <v>0</v>
      </c>
      <c r="AO81" s="69">
        <v>1</v>
      </c>
      <c r="AP81" s="43">
        <v>1</v>
      </c>
      <c r="AQ81" s="68" t="s">
        <v>1745</v>
      </c>
      <c r="AR81" s="43" t="s">
        <v>797</v>
      </c>
      <c r="AS81" s="43">
        <v>253</v>
      </c>
      <c r="AT81" s="43">
        <v>-7.63</v>
      </c>
      <c r="AU81" s="69">
        <v>269.39999999999998</v>
      </c>
      <c r="AV81" s="69">
        <v>-453.03</v>
      </c>
      <c r="AW81" s="43">
        <v>6.9640000000000004</v>
      </c>
      <c r="AX81" s="43">
        <v>0.33169999999999999</v>
      </c>
      <c r="AY81" s="69">
        <v>269.39999999999998</v>
      </c>
      <c r="AZ81" s="69">
        <v>-453.03</v>
      </c>
      <c r="BA81" s="43">
        <v>6.9640000000000004</v>
      </c>
      <c r="BB81" s="43">
        <v>0.33169999999999999</v>
      </c>
      <c r="BC81" s="69">
        <v>0</v>
      </c>
      <c r="BD81" s="69">
        <v>0</v>
      </c>
      <c r="BE81" s="43">
        <v>0</v>
      </c>
      <c r="BF81" s="43">
        <v>-22.41</v>
      </c>
      <c r="BG81" s="43">
        <v>24.858699999999999</v>
      </c>
      <c r="BH81" s="43">
        <v>-22.41</v>
      </c>
      <c r="BI81" s="43">
        <v>8.0227000000000004</v>
      </c>
      <c r="BJ81" s="53">
        <v>1</v>
      </c>
      <c r="BK81" s="53">
        <v>7.3999999999999996E-2</v>
      </c>
      <c r="BL81" s="53">
        <v>101.2</v>
      </c>
      <c r="BM81" s="43">
        <v>2</v>
      </c>
      <c r="BN81" s="34" t="s">
        <v>89</v>
      </c>
      <c r="BO81" s="34" t="s">
        <v>89</v>
      </c>
      <c r="BP81" s="34" t="s">
        <v>89</v>
      </c>
      <c r="BQ81" s="34" t="s">
        <v>89</v>
      </c>
      <c r="BR81" s="34" t="s">
        <v>89</v>
      </c>
      <c r="BS81" s="34" t="s">
        <v>89</v>
      </c>
      <c r="BT81" s="34" t="s">
        <v>89</v>
      </c>
      <c r="BU81" s="34" t="s">
        <v>89</v>
      </c>
      <c r="BV81" s="34" t="s">
        <v>89</v>
      </c>
      <c r="BW81" s="34" t="s">
        <v>89</v>
      </c>
      <c r="BX81" s="34" t="s">
        <v>89</v>
      </c>
      <c r="BY81" s="34" t="s">
        <v>89</v>
      </c>
      <c r="BZ81" s="34" t="s">
        <v>89</v>
      </c>
      <c r="CA81" s="34" t="s">
        <v>89</v>
      </c>
      <c r="CB81" s="34" t="s">
        <v>89</v>
      </c>
      <c r="CC81" s="34" t="s">
        <v>89</v>
      </c>
      <c r="CD81" s="34" t="s">
        <v>89</v>
      </c>
      <c r="CE81" s="43">
        <v>3.0253879513898898</v>
      </c>
      <c r="CF81" s="43">
        <v>2.0859815097009902</v>
      </c>
      <c r="CG81" s="43">
        <v>0</v>
      </c>
      <c r="CH81" s="43">
        <v>0</v>
      </c>
      <c r="CI81" s="43">
        <v>220</v>
      </c>
      <c r="CJ81" s="43">
        <v>7.3597506019463799</v>
      </c>
      <c r="CK81" s="43">
        <v>0.15122055933606801</v>
      </c>
      <c r="CL81" s="43">
        <v>64487</v>
      </c>
      <c r="CM81" s="43">
        <v>43437</v>
      </c>
      <c r="CN81" s="43">
        <v>1110</v>
      </c>
      <c r="CO81" s="43">
        <v>269.39999999999998</v>
      </c>
      <c r="CP81" s="43">
        <v>-453.03</v>
      </c>
      <c r="CQ81" s="43">
        <v>269.39999999999998</v>
      </c>
      <c r="CR81" s="43">
        <v>-453.03</v>
      </c>
      <c r="CS81" s="43">
        <v>0.98708825</v>
      </c>
      <c r="CT81" s="43">
        <v>0</v>
      </c>
      <c r="CU81" s="43">
        <v>1</v>
      </c>
      <c r="CV81" s="46" t="s">
        <v>89</v>
      </c>
      <c r="CW81" s="34"/>
      <c r="CX81" s="35"/>
    </row>
    <row r="82" spans="1:102" ht="15" customHeight="1" x14ac:dyDescent="0.25">
      <c r="A82" s="33">
        <v>79</v>
      </c>
      <c r="B82" s="43" t="s">
        <v>1651</v>
      </c>
      <c r="C82" s="43">
        <v>0.9909</v>
      </c>
      <c r="D82" s="43">
        <v>0.30399999999999999</v>
      </c>
      <c r="E82" s="43" t="s">
        <v>329</v>
      </c>
      <c r="F82" s="43" t="s">
        <v>319</v>
      </c>
      <c r="G82" s="43" t="s">
        <v>798</v>
      </c>
      <c r="H82" s="43" t="s">
        <v>799</v>
      </c>
      <c r="I82" s="43" t="s">
        <v>800</v>
      </c>
      <c r="J82" s="43" t="s">
        <v>801</v>
      </c>
      <c r="K82" s="53" t="s">
        <v>1993</v>
      </c>
      <c r="L82" s="43" t="s">
        <v>802</v>
      </c>
      <c r="M82" s="43" t="s">
        <v>782</v>
      </c>
      <c r="N82" s="43" t="s">
        <v>662</v>
      </c>
      <c r="O82" s="43" t="s">
        <v>232</v>
      </c>
      <c r="P82" s="43" t="s">
        <v>662</v>
      </c>
      <c r="Q82" s="43" t="s">
        <v>349</v>
      </c>
      <c r="R82" s="43" t="s">
        <v>167</v>
      </c>
      <c r="S82" s="43">
        <v>67.489999999999995</v>
      </c>
      <c r="T82" s="43">
        <v>136.34100000000001</v>
      </c>
      <c r="U82" s="52">
        <v>0</v>
      </c>
      <c r="V82" s="43">
        <v>-18.792000000000002</v>
      </c>
      <c r="W82" s="43">
        <v>1</v>
      </c>
      <c r="X82" s="43">
        <v>0</v>
      </c>
      <c r="Y82" s="43">
        <v>1.9E-2</v>
      </c>
      <c r="Z82" s="43">
        <v>0.182</v>
      </c>
      <c r="AA82" s="43">
        <v>5043.0709999999999</v>
      </c>
      <c r="AB82" s="43">
        <v>0.93600000000000005</v>
      </c>
      <c r="AC82" s="43">
        <v>1949.6420000000001</v>
      </c>
      <c r="AD82" s="43">
        <v>0.96699999999999997</v>
      </c>
      <c r="AE82" s="43">
        <v>0.97</v>
      </c>
      <c r="AF82" s="69">
        <v>1</v>
      </c>
      <c r="AG82" s="43">
        <v>19.059999999999999</v>
      </c>
      <c r="AH82" s="43">
        <v>83.948999999999998</v>
      </c>
      <c r="AI82" s="43">
        <v>83.948999999999998</v>
      </c>
      <c r="AJ82" s="43" t="s">
        <v>1444</v>
      </c>
      <c r="AK82" s="69">
        <v>1</v>
      </c>
      <c r="AL82" s="69">
        <v>1</v>
      </c>
      <c r="AM82" s="69">
        <v>0</v>
      </c>
      <c r="AN82" s="69">
        <v>0</v>
      </c>
      <c r="AO82" s="69">
        <v>0</v>
      </c>
      <c r="AP82" s="43">
        <v>0</v>
      </c>
      <c r="AQ82" s="68" t="s">
        <v>1779</v>
      </c>
      <c r="AR82" s="43" t="s">
        <v>803</v>
      </c>
      <c r="AS82" s="43">
        <v>4760</v>
      </c>
      <c r="AT82" s="43">
        <v>14.734</v>
      </c>
      <c r="AU82" s="69">
        <v>-340.13</v>
      </c>
      <c r="AV82" s="69">
        <v>-826.24</v>
      </c>
      <c r="AW82" s="43">
        <v>12.8742</v>
      </c>
      <c r="AX82" s="43">
        <v>0.75819999999999999</v>
      </c>
      <c r="AY82" s="69">
        <v>-340.13</v>
      </c>
      <c r="AZ82" s="69">
        <v>-826.24</v>
      </c>
      <c r="BA82" s="43">
        <v>12.8742</v>
      </c>
      <c r="BB82" s="43">
        <v>0.75819999999999999</v>
      </c>
      <c r="BC82" s="69">
        <v>1</v>
      </c>
      <c r="BD82" s="69">
        <v>1</v>
      </c>
      <c r="BE82" s="43">
        <v>0</v>
      </c>
      <c r="BF82" s="43">
        <v>-8.69</v>
      </c>
      <c r="BG82" s="43">
        <v>5.7484000000000002</v>
      </c>
      <c r="BH82" s="43">
        <v>-8.69</v>
      </c>
      <c r="BI82" s="43">
        <v>21.309899999999999</v>
      </c>
      <c r="BJ82" s="43">
        <v>0</v>
      </c>
      <c r="BK82" s="53">
        <v>7.4999999999999997E-2</v>
      </c>
      <c r="BL82" s="53">
        <v>102.4</v>
      </c>
      <c r="BM82" s="43">
        <v>2</v>
      </c>
      <c r="BN82" s="34" t="s">
        <v>89</v>
      </c>
      <c r="BO82" s="34" t="s">
        <v>89</v>
      </c>
      <c r="BP82" s="34" t="s">
        <v>89</v>
      </c>
      <c r="BQ82" s="34" t="s">
        <v>89</v>
      </c>
      <c r="BR82" s="34" t="s">
        <v>89</v>
      </c>
      <c r="BS82" s="34" t="s">
        <v>89</v>
      </c>
      <c r="BT82" s="34" t="s">
        <v>89</v>
      </c>
      <c r="BU82" s="34" t="s">
        <v>89</v>
      </c>
      <c r="BV82" s="34" t="s">
        <v>89</v>
      </c>
      <c r="BW82" s="34" t="s">
        <v>89</v>
      </c>
      <c r="BX82" s="34" t="s">
        <v>89</v>
      </c>
      <c r="BY82" s="34" t="s">
        <v>89</v>
      </c>
      <c r="BZ82" s="34" t="s">
        <v>89</v>
      </c>
      <c r="CA82" s="34" t="s">
        <v>89</v>
      </c>
      <c r="CB82" s="34" t="s">
        <v>89</v>
      </c>
      <c r="CC82" s="34" t="s">
        <v>89</v>
      </c>
      <c r="CD82" s="34" t="s">
        <v>89</v>
      </c>
      <c r="CE82" s="43">
        <v>-2.5000778726587E-2</v>
      </c>
      <c r="CF82" s="43">
        <v>1</v>
      </c>
      <c r="CG82" s="43">
        <v>0</v>
      </c>
      <c r="CH82" s="43">
        <v>0</v>
      </c>
      <c r="CI82" s="43">
        <v>-111.946</v>
      </c>
      <c r="CJ82" s="43">
        <v>-1.98729990992325</v>
      </c>
      <c r="CK82" s="43">
        <v>4.4241540511174602</v>
      </c>
      <c r="CL82" s="43">
        <v>0</v>
      </c>
      <c r="CM82" s="43">
        <v>40956</v>
      </c>
      <c r="CN82" s="43">
        <v>4760</v>
      </c>
      <c r="CO82" s="43">
        <v>-340.13</v>
      </c>
      <c r="CP82" s="43">
        <v>-826.24</v>
      </c>
      <c r="CQ82" s="43">
        <v>18.951000000000001</v>
      </c>
      <c r="CR82" s="43">
        <v>-8308.6270416656007</v>
      </c>
      <c r="CS82" s="43">
        <v>1</v>
      </c>
      <c r="CT82" s="43">
        <v>1</v>
      </c>
      <c r="CU82" s="43">
        <v>1</v>
      </c>
      <c r="CV82" s="46" t="s">
        <v>89</v>
      </c>
      <c r="CW82" s="34"/>
      <c r="CX82" s="35"/>
    </row>
    <row r="83" spans="1:102" ht="15" customHeight="1" x14ac:dyDescent="0.25">
      <c r="A83" s="33">
        <v>80</v>
      </c>
      <c r="B83" s="43" t="s">
        <v>804</v>
      </c>
      <c r="C83" s="43">
        <v>0.70240000000000002</v>
      </c>
      <c r="D83" s="43">
        <v>0.20799999999999999</v>
      </c>
      <c r="E83" s="43" t="s">
        <v>426</v>
      </c>
      <c r="F83" s="43" t="s">
        <v>329</v>
      </c>
      <c r="G83" s="43" t="s">
        <v>805</v>
      </c>
      <c r="H83" s="43" t="s">
        <v>806</v>
      </c>
      <c r="I83" s="43" t="s">
        <v>807</v>
      </c>
      <c r="J83" s="43" t="s">
        <v>808</v>
      </c>
      <c r="K83" s="53" t="s">
        <v>1994</v>
      </c>
      <c r="L83" s="43" t="s">
        <v>809</v>
      </c>
      <c r="M83" s="43" t="s">
        <v>810</v>
      </c>
      <c r="N83" s="43" t="s">
        <v>669</v>
      </c>
      <c r="O83" s="43" t="s">
        <v>248</v>
      </c>
      <c r="P83" s="43" t="s">
        <v>669</v>
      </c>
      <c r="Q83" s="43" t="s">
        <v>357</v>
      </c>
      <c r="R83" s="43" t="s">
        <v>225</v>
      </c>
      <c r="S83" s="43">
        <v>37.454999999999998</v>
      </c>
      <c r="T83" s="43">
        <v>59.731999999999999</v>
      </c>
      <c r="U83" s="51">
        <v>13.4132</v>
      </c>
      <c r="V83" s="43">
        <v>-9.8629999999999995</v>
      </c>
      <c r="W83" s="43">
        <v>1</v>
      </c>
      <c r="X83" s="43">
        <v>0</v>
      </c>
      <c r="Y83" s="43">
        <v>6.6000000000000003E-2</v>
      </c>
      <c r="Z83" s="43">
        <v>9.7000000000000003E-2</v>
      </c>
      <c r="AA83" s="43">
        <v>3857.375</v>
      </c>
      <c r="AB83" s="43">
        <v>0.14499999999999999</v>
      </c>
      <c r="AC83" s="43">
        <v>2438.9229999999998</v>
      </c>
      <c r="AD83" s="43">
        <v>0.996</v>
      </c>
      <c r="AE83" s="43">
        <v>0.97099999999999997</v>
      </c>
      <c r="AF83" s="69">
        <v>0</v>
      </c>
      <c r="AG83" s="43">
        <v>-12.481999999999999</v>
      </c>
      <c r="AH83" s="43">
        <v>-144.667</v>
      </c>
      <c r="AI83" s="43">
        <v>-144.667</v>
      </c>
      <c r="AJ83" s="43" t="s">
        <v>1445</v>
      </c>
      <c r="AK83" s="69">
        <v>0</v>
      </c>
      <c r="AL83" s="69">
        <v>3</v>
      </c>
      <c r="AM83" s="69">
        <v>1</v>
      </c>
      <c r="AN83" s="69">
        <v>1</v>
      </c>
      <c r="AO83" s="69">
        <v>1</v>
      </c>
      <c r="AP83" s="43">
        <v>1</v>
      </c>
      <c r="AQ83" s="68" t="s">
        <v>1746</v>
      </c>
      <c r="AR83" s="43" t="s">
        <v>811</v>
      </c>
      <c r="AS83" s="43">
        <v>1062</v>
      </c>
      <c r="AT83" s="43">
        <v>10.776999999999999</v>
      </c>
      <c r="AU83" s="69">
        <v>-784.13</v>
      </c>
      <c r="AV83" s="69">
        <v>-43.17</v>
      </c>
      <c r="AW83" s="43">
        <v>5.0521000000000003</v>
      </c>
      <c r="AX83" s="43">
        <v>0.22270000000000001</v>
      </c>
      <c r="AY83" s="69">
        <v>-784.13</v>
      </c>
      <c r="AZ83" s="69">
        <v>-43.17</v>
      </c>
      <c r="BA83" s="43">
        <v>5.0521000000000003</v>
      </c>
      <c r="BB83" s="43">
        <v>0.22270000000000001</v>
      </c>
      <c r="BC83" s="69">
        <v>0</v>
      </c>
      <c r="BD83" s="69">
        <v>0</v>
      </c>
      <c r="BE83" s="43">
        <v>0</v>
      </c>
      <c r="BF83" s="43">
        <v>-4.57</v>
      </c>
      <c r="BG83" s="43">
        <v>8.9540000000000006</v>
      </c>
      <c r="BH83" s="43">
        <v>-4.57</v>
      </c>
      <c r="BI83" s="43">
        <v>1.7943</v>
      </c>
      <c r="BJ83" s="43">
        <v>1</v>
      </c>
      <c r="BK83" s="53">
        <v>7.5999999999999998E-2</v>
      </c>
      <c r="BL83" s="53">
        <v>103.6</v>
      </c>
      <c r="BM83" s="43">
        <v>2</v>
      </c>
      <c r="BN83" s="34" t="s">
        <v>89</v>
      </c>
      <c r="BO83" s="34" t="s">
        <v>89</v>
      </c>
      <c r="BP83" s="34" t="s">
        <v>89</v>
      </c>
      <c r="BQ83" s="34" t="s">
        <v>89</v>
      </c>
      <c r="BR83" s="34" t="s">
        <v>89</v>
      </c>
      <c r="BS83" s="34" t="s">
        <v>89</v>
      </c>
      <c r="BT83" s="34" t="s">
        <v>89</v>
      </c>
      <c r="BU83" s="34" t="s">
        <v>89</v>
      </c>
      <c r="BV83" s="34" t="s">
        <v>89</v>
      </c>
      <c r="BW83" s="34" t="s">
        <v>89</v>
      </c>
      <c r="BX83" s="34" t="s">
        <v>89</v>
      </c>
      <c r="BY83" s="34" t="s">
        <v>89</v>
      </c>
      <c r="BZ83" s="34" t="s">
        <v>89</v>
      </c>
      <c r="CA83" s="34" t="s">
        <v>89</v>
      </c>
      <c r="CB83" s="34" t="s">
        <v>89</v>
      </c>
      <c r="CC83" s="34" t="s">
        <v>89</v>
      </c>
      <c r="CD83" s="34" t="s">
        <v>89</v>
      </c>
      <c r="CE83" s="43">
        <v>3.5596221694782901</v>
      </c>
      <c r="CF83" s="43">
        <v>-2.2170669485024099</v>
      </c>
      <c r="CG83" s="43">
        <v>0</v>
      </c>
      <c r="CH83" s="43">
        <v>0</v>
      </c>
      <c r="CI83" s="43">
        <v>-85.55</v>
      </c>
      <c r="CJ83" s="43">
        <v>-10.6555310394575</v>
      </c>
      <c r="CK83" s="43">
        <v>12.0980510693387</v>
      </c>
      <c r="CL83" s="43">
        <v>63635</v>
      </c>
      <c r="CM83" s="43">
        <v>656</v>
      </c>
      <c r="CN83" s="43">
        <v>383</v>
      </c>
      <c r="CO83" s="43">
        <v>-784.13</v>
      </c>
      <c r="CP83" s="43">
        <v>-43.17</v>
      </c>
      <c r="CQ83" s="43">
        <v>-784.13</v>
      </c>
      <c r="CR83" s="43">
        <v>-43.17</v>
      </c>
      <c r="CS83" s="43">
        <v>0</v>
      </c>
      <c r="CT83" s="43">
        <v>0.691134625</v>
      </c>
      <c r="CU83" s="43">
        <v>1</v>
      </c>
      <c r="CV83" s="46" t="s">
        <v>89</v>
      </c>
      <c r="CW83" s="34"/>
      <c r="CX83" s="35"/>
    </row>
    <row r="84" spans="1:102" ht="15" customHeight="1" x14ac:dyDescent="0.25">
      <c r="A84" s="33">
        <v>81</v>
      </c>
      <c r="B84" s="43" t="s">
        <v>812</v>
      </c>
      <c r="C84" s="43">
        <v>0.34570000000000001</v>
      </c>
      <c r="D84" s="43">
        <v>8.5000000000000006E-2</v>
      </c>
      <c r="E84" s="43" t="s">
        <v>341</v>
      </c>
      <c r="F84" s="43" t="s">
        <v>426</v>
      </c>
      <c r="G84" s="43" t="s">
        <v>813</v>
      </c>
      <c r="H84" s="43" t="s">
        <v>814</v>
      </c>
      <c r="I84" s="43" t="s">
        <v>815</v>
      </c>
      <c r="J84" s="43" t="s">
        <v>816</v>
      </c>
      <c r="K84" s="53" t="s">
        <v>1995</v>
      </c>
      <c r="L84" s="43" t="s">
        <v>817</v>
      </c>
      <c r="M84" s="43" t="s">
        <v>818</v>
      </c>
      <c r="N84" s="43" t="s">
        <v>676</v>
      </c>
      <c r="O84" s="43" t="s">
        <v>316</v>
      </c>
      <c r="P84" s="43" t="s">
        <v>676</v>
      </c>
      <c r="Q84" s="43" t="s">
        <v>367</v>
      </c>
      <c r="R84" s="43" t="s">
        <v>241</v>
      </c>
      <c r="S84" s="43">
        <v>94.314999999999998</v>
      </c>
      <c r="T84" s="43">
        <v>1.6220000000000001</v>
      </c>
      <c r="U84" s="52">
        <v>-5.6913999999999998</v>
      </c>
      <c r="V84" s="43">
        <v>-27.606000000000002</v>
      </c>
      <c r="W84" s="43">
        <v>0</v>
      </c>
      <c r="X84" s="43">
        <v>0</v>
      </c>
      <c r="Y84" s="43">
        <v>0.10199999999999999</v>
      </c>
      <c r="Z84" s="43">
        <v>6.3E-2</v>
      </c>
      <c r="AA84" s="43">
        <v>3045.5430000000001</v>
      </c>
      <c r="AB84" s="43">
        <v>0.35499999999999998</v>
      </c>
      <c r="AC84" s="43">
        <v>4138.3440000000001</v>
      </c>
      <c r="AD84" s="43">
        <v>0.85199999999999998</v>
      </c>
      <c r="AE84" s="43">
        <v>0.99099999999999999</v>
      </c>
      <c r="AF84" s="69">
        <v>1</v>
      </c>
      <c r="AG84" s="43">
        <v>-2.839</v>
      </c>
      <c r="AH84" s="69">
        <v>50.061</v>
      </c>
      <c r="AI84" s="69">
        <v>59.304000000000002</v>
      </c>
      <c r="AJ84" s="69" t="s">
        <v>1446</v>
      </c>
      <c r="AK84" s="69">
        <v>1</v>
      </c>
      <c r="AL84" s="69">
        <v>0</v>
      </c>
      <c r="AM84" s="69">
        <v>0</v>
      </c>
      <c r="AN84" s="69">
        <v>0</v>
      </c>
      <c r="AO84" s="69">
        <v>0</v>
      </c>
      <c r="AP84" s="43">
        <v>0</v>
      </c>
      <c r="AQ84" s="68" t="s">
        <v>1780</v>
      </c>
      <c r="AR84" s="43" t="s">
        <v>819</v>
      </c>
      <c r="AS84" s="43">
        <v>4</v>
      </c>
      <c r="AT84" s="43">
        <v>-14.176</v>
      </c>
      <c r="AU84" s="69">
        <v>386.22</v>
      </c>
      <c r="AV84" s="69">
        <v>-43.17</v>
      </c>
      <c r="AW84" s="43">
        <v>69.302899999999994</v>
      </c>
      <c r="AX84" s="43">
        <v>0.38390000000000002</v>
      </c>
      <c r="AY84" s="69">
        <v>386.22</v>
      </c>
      <c r="AZ84" s="69">
        <v>-43.17</v>
      </c>
      <c r="BA84" s="43">
        <v>69.302899999999994</v>
      </c>
      <c r="BB84" s="43">
        <v>0.38390000000000002</v>
      </c>
      <c r="BC84" s="69">
        <v>1</v>
      </c>
      <c r="BD84" s="69">
        <v>1</v>
      </c>
      <c r="BE84" s="43">
        <v>0</v>
      </c>
      <c r="BF84" s="43">
        <v>-25.6</v>
      </c>
      <c r="BG84" s="43">
        <v>16.668199999999999</v>
      </c>
      <c r="BH84" s="43">
        <v>-25.6</v>
      </c>
      <c r="BI84" s="43">
        <v>18.954899999999999</v>
      </c>
      <c r="BJ84" s="43">
        <v>0</v>
      </c>
      <c r="BK84" s="53">
        <v>7.6999999999999999E-2</v>
      </c>
      <c r="BL84" s="53">
        <v>104.8</v>
      </c>
      <c r="BM84" s="43">
        <v>2</v>
      </c>
      <c r="BN84" s="34" t="s">
        <v>89</v>
      </c>
      <c r="BO84" s="34" t="s">
        <v>89</v>
      </c>
      <c r="BP84" s="34" t="s">
        <v>89</v>
      </c>
      <c r="BQ84" s="34" t="s">
        <v>89</v>
      </c>
      <c r="BR84" s="34" t="s">
        <v>89</v>
      </c>
      <c r="BS84" s="34" t="s">
        <v>89</v>
      </c>
      <c r="BT84" s="34" t="s">
        <v>89</v>
      </c>
      <c r="BU84" s="34" t="s">
        <v>89</v>
      </c>
      <c r="BV84" s="34" t="s">
        <v>89</v>
      </c>
      <c r="BW84" s="34" t="s">
        <v>89</v>
      </c>
      <c r="BX84" s="34" t="s">
        <v>89</v>
      </c>
      <c r="BY84" s="34" t="s">
        <v>89</v>
      </c>
      <c r="BZ84" s="34" t="s">
        <v>89</v>
      </c>
      <c r="CA84" s="34" t="s">
        <v>89</v>
      </c>
      <c r="CB84" s="34" t="s">
        <v>89</v>
      </c>
      <c r="CC84" s="34" t="s">
        <v>89</v>
      </c>
      <c r="CD84" s="34" t="s">
        <v>89</v>
      </c>
      <c r="CE84" s="43">
        <v>1.5375855584363501E-3</v>
      </c>
      <c r="CF84" s="43">
        <v>1</v>
      </c>
      <c r="CG84" s="43">
        <v>0</v>
      </c>
      <c r="CH84" s="43">
        <v>0</v>
      </c>
      <c r="CI84" s="43">
        <v>-220</v>
      </c>
      <c r="CJ84" s="43">
        <v>1.1726861519449401</v>
      </c>
      <c r="CK84" s="43">
        <v>-4.8142322533334996</v>
      </c>
      <c r="CL84" s="43">
        <v>0</v>
      </c>
      <c r="CM84" s="43">
        <v>24467</v>
      </c>
      <c r="CN84" s="43">
        <v>4</v>
      </c>
      <c r="CO84" s="43">
        <v>23.452000000000002</v>
      </c>
      <c r="CP84" s="43">
        <v>-991.28131669269999</v>
      </c>
      <c r="CQ84" s="43">
        <v>13.363</v>
      </c>
      <c r="CR84" s="43">
        <v>-995.15448379270003</v>
      </c>
      <c r="CS84" s="43">
        <v>0.73569287500000002</v>
      </c>
      <c r="CT84" s="43">
        <v>1</v>
      </c>
      <c r="CU84" s="43">
        <v>1</v>
      </c>
      <c r="CV84" s="46" t="s">
        <v>89</v>
      </c>
      <c r="CW84" s="34"/>
      <c r="CX84" s="35"/>
    </row>
    <row r="85" spans="1:102" ht="15" customHeight="1" x14ac:dyDescent="0.25">
      <c r="A85" s="33">
        <v>82</v>
      </c>
      <c r="B85" s="43" t="s">
        <v>820</v>
      </c>
      <c r="C85" s="43">
        <v>0.2014</v>
      </c>
      <c r="D85" s="43">
        <v>0.56499999999999995</v>
      </c>
      <c r="E85" s="43" t="s">
        <v>203</v>
      </c>
      <c r="F85" s="43" t="s">
        <v>341</v>
      </c>
      <c r="G85" s="43" t="s">
        <v>821</v>
      </c>
      <c r="H85" s="43" t="s">
        <v>822</v>
      </c>
      <c r="I85" s="43" t="s">
        <v>823</v>
      </c>
      <c r="J85" s="43" t="s">
        <v>824</v>
      </c>
      <c r="K85" s="53" t="s">
        <v>1996</v>
      </c>
      <c r="L85" s="43" t="s">
        <v>825</v>
      </c>
      <c r="M85" s="43" t="s">
        <v>826</v>
      </c>
      <c r="N85" s="43" t="s">
        <v>683</v>
      </c>
      <c r="O85" s="43" t="s">
        <v>662</v>
      </c>
      <c r="P85" s="43" t="s">
        <v>683</v>
      </c>
      <c r="Q85" s="43" t="s">
        <v>527</v>
      </c>
      <c r="R85" s="43" t="s">
        <v>386</v>
      </c>
      <c r="S85" s="43">
        <v>212.45599999999999</v>
      </c>
      <c r="T85" s="43">
        <v>-126.64100000000001</v>
      </c>
      <c r="U85" s="43">
        <v>0.2</v>
      </c>
      <c r="V85" s="51">
        <v>-31</v>
      </c>
      <c r="W85" s="43">
        <v>0</v>
      </c>
      <c r="X85" s="43">
        <v>1</v>
      </c>
      <c r="Y85" s="43">
        <v>8.8999999999999996E-2</v>
      </c>
      <c r="Z85" s="43">
        <v>0.156</v>
      </c>
      <c r="AA85" s="43">
        <v>874.49800000000005</v>
      </c>
      <c r="AB85" s="43">
        <v>0.66100000000000003</v>
      </c>
      <c r="AC85" s="43">
        <v>1758.5309999999999</v>
      </c>
      <c r="AD85" s="43">
        <v>0.60699999999999998</v>
      </c>
      <c r="AE85" s="43">
        <v>0.96499999999999997</v>
      </c>
      <c r="AF85" s="69">
        <v>0</v>
      </c>
      <c r="AG85" s="43">
        <v>13.84</v>
      </c>
      <c r="AH85" s="69">
        <v>-207.91800000000001</v>
      </c>
      <c r="AI85" s="69">
        <v>20.614999999999998</v>
      </c>
      <c r="AJ85" s="69" t="s">
        <v>1408</v>
      </c>
      <c r="AK85" s="69">
        <v>0</v>
      </c>
      <c r="AL85" s="69">
        <v>2</v>
      </c>
      <c r="AM85" s="69">
        <v>0</v>
      </c>
      <c r="AN85" s="69">
        <v>1</v>
      </c>
      <c r="AO85" s="69">
        <v>0</v>
      </c>
      <c r="AP85" s="43">
        <v>0</v>
      </c>
      <c r="AQ85" s="68" t="s">
        <v>1781</v>
      </c>
      <c r="AR85" s="43" t="s">
        <v>827</v>
      </c>
      <c r="AS85" s="43">
        <v>2780</v>
      </c>
      <c r="AT85" s="43">
        <v>7.3440000000000003</v>
      </c>
      <c r="AU85" s="69">
        <v>-627.17999999999995</v>
      </c>
      <c r="AV85" s="69">
        <v>-43.17</v>
      </c>
      <c r="AW85" s="43">
        <v>56.77</v>
      </c>
      <c r="AX85" s="43">
        <v>0.20039999999999999</v>
      </c>
      <c r="AY85" s="69">
        <v>-627.17999999999995</v>
      </c>
      <c r="AZ85" s="69">
        <v>-43.17</v>
      </c>
      <c r="BA85" s="43">
        <v>56.77</v>
      </c>
      <c r="BB85" s="43">
        <v>0.20039999999999999</v>
      </c>
      <c r="BC85" s="69">
        <v>0</v>
      </c>
      <c r="BD85" s="69">
        <v>0</v>
      </c>
      <c r="BE85" s="43">
        <v>0</v>
      </c>
      <c r="BF85" s="43">
        <v>-10.5</v>
      </c>
      <c r="BG85" s="43">
        <v>18.919599999999999</v>
      </c>
      <c r="BH85" s="43">
        <v>-10.5</v>
      </c>
      <c r="BI85" s="43">
        <v>6.2485999999999997</v>
      </c>
      <c r="BJ85" s="43">
        <v>1</v>
      </c>
      <c r="BK85" s="53">
        <v>7.8E-2</v>
      </c>
      <c r="BL85" s="53">
        <v>106</v>
      </c>
      <c r="BM85" s="43">
        <v>2</v>
      </c>
      <c r="BN85" s="34" t="s">
        <v>89</v>
      </c>
      <c r="BO85" s="34" t="s">
        <v>89</v>
      </c>
      <c r="BP85" s="34" t="s">
        <v>89</v>
      </c>
      <c r="BQ85" s="34" t="s">
        <v>89</v>
      </c>
      <c r="BR85" s="34" t="s">
        <v>89</v>
      </c>
      <c r="BS85" s="34" t="s">
        <v>89</v>
      </c>
      <c r="BT85" s="34" t="s">
        <v>89</v>
      </c>
      <c r="BU85" s="34" t="s">
        <v>89</v>
      </c>
      <c r="BV85" s="34" t="s">
        <v>89</v>
      </c>
      <c r="BW85" s="34" t="s">
        <v>89</v>
      </c>
      <c r="BX85" s="34" t="s">
        <v>89</v>
      </c>
      <c r="BY85" s="34" t="s">
        <v>89</v>
      </c>
      <c r="BZ85" s="34" t="s">
        <v>89</v>
      </c>
      <c r="CA85" s="34" t="s">
        <v>89</v>
      </c>
      <c r="CB85" s="34" t="s">
        <v>89</v>
      </c>
      <c r="CC85" s="34" t="s">
        <v>89</v>
      </c>
      <c r="CD85" s="34" t="s">
        <v>89</v>
      </c>
      <c r="CE85" s="43">
        <v>-0.96359586778498796</v>
      </c>
      <c r="CF85" s="43">
        <v>-0.47266288927899602</v>
      </c>
      <c r="CG85" s="43">
        <v>18.919599999999999</v>
      </c>
      <c r="CH85" s="43">
        <v>-10.5</v>
      </c>
      <c r="CI85" s="43">
        <v>-168.113</v>
      </c>
      <c r="CJ85" s="43">
        <v>-18.179681764737801</v>
      </c>
      <c r="CK85" s="43">
        <v>15.635184711261299</v>
      </c>
      <c r="CL85" s="43">
        <v>63242</v>
      </c>
      <c r="CM85" s="43">
        <v>11167</v>
      </c>
      <c r="CN85" s="43">
        <v>1211</v>
      </c>
      <c r="CO85" s="43">
        <v>-627.17999999999995</v>
      </c>
      <c r="CP85" s="43">
        <v>-43.17</v>
      </c>
      <c r="CQ85" s="43">
        <v>-627.17999999999995</v>
      </c>
      <c r="CR85" s="43">
        <v>-43.17</v>
      </c>
      <c r="CS85" s="43">
        <v>0.55168775000000003</v>
      </c>
      <c r="CT85" s="43">
        <v>0.82681637500000005</v>
      </c>
      <c r="CU85" s="43">
        <v>1</v>
      </c>
      <c r="CV85" s="46" t="s">
        <v>89</v>
      </c>
      <c r="CW85" s="34"/>
      <c r="CX85" s="35"/>
    </row>
    <row r="86" spans="1:102" ht="15" customHeight="1" x14ac:dyDescent="0.25">
      <c r="A86" s="33">
        <v>83</v>
      </c>
      <c r="B86" s="43" t="s">
        <v>828</v>
      </c>
      <c r="C86" s="43">
        <v>0.41949999999999998</v>
      </c>
      <c r="D86" s="43">
        <v>0.22700000000000001</v>
      </c>
      <c r="E86" s="43" t="s">
        <v>165</v>
      </c>
      <c r="F86" s="43" t="s">
        <v>546</v>
      </c>
      <c r="G86" s="43" t="s">
        <v>829</v>
      </c>
      <c r="H86" s="43" t="s">
        <v>830</v>
      </c>
      <c r="I86" s="43" t="s">
        <v>831</v>
      </c>
      <c r="J86" s="43" t="s">
        <v>832</v>
      </c>
      <c r="K86" s="53" t="s">
        <v>1997</v>
      </c>
      <c r="L86" s="43" t="s">
        <v>833</v>
      </c>
      <c r="M86" s="43" t="s">
        <v>834</v>
      </c>
      <c r="N86" s="43" t="s">
        <v>690</v>
      </c>
      <c r="O86" s="43" t="s">
        <v>669</v>
      </c>
      <c r="P86" s="43" t="s">
        <v>690</v>
      </c>
      <c r="Q86" s="43" t="s">
        <v>378</v>
      </c>
      <c r="R86" s="43" t="s">
        <v>396</v>
      </c>
      <c r="S86" s="43">
        <v>-108.124</v>
      </c>
      <c r="T86" s="43">
        <v>121.994</v>
      </c>
      <c r="U86" s="43">
        <v>27.8124</v>
      </c>
      <c r="V86" s="51">
        <v>31</v>
      </c>
      <c r="W86" s="43">
        <v>1</v>
      </c>
      <c r="X86" s="43">
        <v>1</v>
      </c>
      <c r="Y86" s="43">
        <v>0.13200000000000001</v>
      </c>
      <c r="Z86" s="43">
        <v>3.1E-2</v>
      </c>
      <c r="AA86" s="43">
        <v>6833.2280000000001</v>
      </c>
      <c r="AB86" s="43">
        <v>0.26200000000000001</v>
      </c>
      <c r="AC86" s="43">
        <v>3531.652</v>
      </c>
      <c r="AD86" s="43">
        <v>0.38300000000000001</v>
      </c>
      <c r="AE86" s="43">
        <v>0.98199999999999998</v>
      </c>
      <c r="AF86" s="69">
        <v>0</v>
      </c>
      <c r="AG86" s="43">
        <v>-19.14</v>
      </c>
      <c r="AH86" s="69">
        <v>-198.286</v>
      </c>
      <c r="AI86" s="43">
        <v>-190.441</v>
      </c>
      <c r="AJ86" s="43" t="s">
        <v>1447</v>
      </c>
      <c r="AK86" s="69">
        <v>0</v>
      </c>
      <c r="AL86" s="69">
        <v>2</v>
      </c>
      <c r="AM86" s="69">
        <v>0</v>
      </c>
      <c r="AN86" s="69">
        <v>0</v>
      </c>
      <c r="AO86" s="69">
        <v>0</v>
      </c>
      <c r="AP86" s="43">
        <v>0</v>
      </c>
      <c r="AQ86" s="68" t="s">
        <v>1747</v>
      </c>
      <c r="AR86" s="43" t="s">
        <v>835</v>
      </c>
      <c r="AS86" s="43">
        <v>3088</v>
      </c>
      <c r="AT86" s="43">
        <v>-21.727</v>
      </c>
      <c r="AU86" s="69">
        <v>-10.210000000000001</v>
      </c>
      <c r="AV86" s="69">
        <v>-304.94</v>
      </c>
      <c r="AW86" s="43">
        <v>95.180400000000006</v>
      </c>
      <c r="AX86" s="43">
        <v>0.65169999999999995</v>
      </c>
      <c r="AY86" s="69">
        <v>-10.210000000000001</v>
      </c>
      <c r="AZ86" s="69">
        <v>-304.94</v>
      </c>
      <c r="BA86" s="43">
        <v>95.180400000000006</v>
      </c>
      <c r="BB86" s="43">
        <v>0.65169999999999995</v>
      </c>
      <c r="BC86" s="69">
        <v>0</v>
      </c>
      <c r="BD86" s="69">
        <v>0</v>
      </c>
      <c r="BE86" s="43">
        <v>0</v>
      </c>
      <c r="BF86" s="43">
        <v>-11.6</v>
      </c>
      <c r="BG86" s="43">
        <v>27.860299999999999</v>
      </c>
      <c r="BH86" s="43">
        <v>-11.6</v>
      </c>
      <c r="BI86" s="43">
        <v>23.777699999999999</v>
      </c>
      <c r="BJ86" s="43">
        <v>0</v>
      </c>
      <c r="BK86" s="53">
        <v>7.9000000000000001E-2</v>
      </c>
      <c r="BL86" s="53">
        <v>107.2</v>
      </c>
      <c r="BM86" s="43">
        <v>2</v>
      </c>
      <c r="BN86" s="34" t="s">
        <v>89</v>
      </c>
      <c r="BO86" s="34" t="s">
        <v>89</v>
      </c>
      <c r="BP86" s="34" t="s">
        <v>89</v>
      </c>
      <c r="BQ86" s="34" t="s">
        <v>89</v>
      </c>
      <c r="BR86" s="34" t="s">
        <v>89</v>
      </c>
      <c r="BS86" s="34" t="s">
        <v>89</v>
      </c>
      <c r="BT86" s="34" t="s">
        <v>89</v>
      </c>
      <c r="BU86" s="34" t="s">
        <v>89</v>
      </c>
      <c r="BV86" s="34" t="s">
        <v>89</v>
      </c>
      <c r="BW86" s="34" t="s">
        <v>89</v>
      </c>
      <c r="BX86" s="34" t="s">
        <v>89</v>
      </c>
      <c r="BY86" s="34" t="s">
        <v>89</v>
      </c>
      <c r="BZ86" s="34" t="s">
        <v>89</v>
      </c>
      <c r="CA86" s="34" t="s">
        <v>89</v>
      </c>
      <c r="CB86" s="34" t="s">
        <v>89</v>
      </c>
      <c r="CC86" s="34" t="s">
        <v>89</v>
      </c>
      <c r="CD86" s="34" t="s">
        <v>89</v>
      </c>
      <c r="CE86" s="43">
        <v>5.4842143530318598E-2</v>
      </c>
      <c r="CF86" s="43">
        <v>6.1885705736535401E-2</v>
      </c>
      <c r="CG86" s="43">
        <v>27.860299999999999</v>
      </c>
      <c r="CH86" s="43">
        <v>23.777699999999999</v>
      </c>
      <c r="CI86" s="43">
        <v>146.17400000000001</v>
      </c>
      <c r="CJ86" s="43">
        <v>23.6892407779794</v>
      </c>
      <c r="CK86" s="43">
        <v>15.848004600628601</v>
      </c>
      <c r="CL86" s="43">
        <v>64356</v>
      </c>
      <c r="CM86" s="43">
        <v>37333</v>
      </c>
      <c r="CN86" s="43">
        <v>735</v>
      </c>
      <c r="CO86" s="43">
        <v>-10.210000000000001</v>
      </c>
      <c r="CP86" s="43">
        <v>-304.94</v>
      </c>
      <c r="CQ86" s="43">
        <v>-10.210000000000001</v>
      </c>
      <c r="CR86" s="43">
        <v>-304.94</v>
      </c>
      <c r="CS86" s="43">
        <v>1</v>
      </c>
      <c r="CT86" s="43">
        <v>0.82445650000000004</v>
      </c>
      <c r="CU86" s="43">
        <v>1</v>
      </c>
      <c r="CV86" s="46" t="s">
        <v>89</v>
      </c>
      <c r="CW86" s="34"/>
      <c r="CX86" s="35"/>
    </row>
    <row r="87" spans="1:102" ht="15" customHeight="1" x14ac:dyDescent="0.25">
      <c r="A87" s="33">
        <v>84</v>
      </c>
      <c r="B87" s="43" t="s">
        <v>1883</v>
      </c>
      <c r="C87" s="43">
        <v>0.61519999999999997</v>
      </c>
      <c r="D87" s="43">
        <v>0.52100000000000002</v>
      </c>
      <c r="E87" s="43" t="s">
        <v>179</v>
      </c>
      <c r="F87" s="43" t="s">
        <v>555</v>
      </c>
      <c r="G87" s="43" t="s">
        <v>836</v>
      </c>
      <c r="H87" s="43" t="s">
        <v>837</v>
      </c>
      <c r="I87" s="43" t="s">
        <v>838</v>
      </c>
      <c r="J87" s="43" t="s">
        <v>839</v>
      </c>
      <c r="K87" s="53" t="s">
        <v>1998</v>
      </c>
      <c r="L87" s="43" t="s">
        <v>840</v>
      </c>
      <c r="M87" s="43" t="s">
        <v>841</v>
      </c>
      <c r="N87" s="43" t="s">
        <v>698</v>
      </c>
      <c r="O87" s="43" t="s">
        <v>676</v>
      </c>
      <c r="P87" s="43" t="s">
        <v>698</v>
      </c>
      <c r="Q87" s="43" t="s">
        <v>392</v>
      </c>
      <c r="R87" s="43" t="s">
        <v>405</v>
      </c>
      <c r="S87" s="43">
        <v>-76.876999999999995</v>
      </c>
      <c r="T87" s="43">
        <v>-41.575000000000003</v>
      </c>
      <c r="U87" s="43">
        <v>22.090299999999999</v>
      </c>
      <c r="V87" s="51">
        <v>0</v>
      </c>
      <c r="W87" s="43">
        <v>0</v>
      </c>
      <c r="X87" s="43">
        <v>1</v>
      </c>
      <c r="Y87" s="43">
        <v>1.2999999999999999E-2</v>
      </c>
      <c r="Z87" s="43">
        <v>0.123</v>
      </c>
      <c r="AA87" s="43">
        <v>7388.5879999999997</v>
      </c>
      <c r="AB87" s="43">
        <v>0.182</v>
      </c>
      <c r="AC87" s="43">
        <v>4638.152</v>
      </c>
      <c r="AD87" s="43">
        <v>0.35</v>
      </c>
      <c r="AE87" s="43">
        <v>0.98199999999999998</v>
      </c>
      <c r="AF87" s="69">
        <v>1</v>
      </c>
      <c r="AG87" s="43">
        <v>-11.058</v>
      </c>
      <c r="AH87" s="69">
        <v>136.34100000000001</v>
      </c>
      <c r="AI87" s="43">
        <v>83.948999999999998</v>
      </c>
      <c r="AJ87" s="43" t="s">
        <v>1407</v>
      </c>
      <c r="AK87" s="69">
        <v>1</v>
      </c>
      <c r="AL87" s="69">
        <v>0</v>
      </c>
      <c r="AM87" s="69">
        <v>0</v>
      </c>
      <c r="AN87" s="69">
        <v>0</v>
      </c>
      <c r="AO87" s="69">
        <v>0</v>
      </c>
      <c r="AP87" s="43">
        <v>0</v>
      </c>
      <c r="AQ87" s="68" t="s">
        <v>1782</v>
      </c>
      <c r="AR87" s="43" t="s">
        <v>842</v>
      </c>
      <c r="AS87" s="43">
        <v>4554</v>
      </c>
      <c r="AT87" s="43">
        <v>14.974</v>
      </c>
      <c r="AU87" s="69">
        <v>570.70000000000005</v>
      </c>
      <c r="AV87" s="69">
        <v>-38.799999999999997</v>
      </c>
      <c r="AW87" s="43">
        <v>78.154300000000006</v>
      </c>
      <c r="AX87" s="43">
        <v>0.47239999999999999</v>
      </c>
      <c r="AY87" s="69">
        <v>570.70000000000005</v>
      </c>
      <c r="AZ87" s="69">
        <v>-38.799999999999997</v>
      </c>
      <c r="BA87" s="43">
        <v>78.154300000000006</v>
      </c>
      <c r="BB87" s="43">
        <v>0.47239999999999999</v>
      </c>
      <c r="BC87" s="69">
        <v>1</v>
      </c>
      <c r="BD87" s="69">
        <v>1</v>
      </c>
      <c r="BE87" s="43">
        <v>0</v>
      </c>
      <c r="BF87" s="43">
        <v>-30.2</v>
      </c>
      <c r="BG87" s="43">
        <v>10.2996</v>
      </c>
      <c r="BH87" s="43">
        <v>-30.2</v>
      </c>
      <c r="BI87" s="43">
        <v>9.5885999999999996</v>
      </c>
      <c r="BJ87" s="43">
        <v>1</v>
      </c>
      <c r="BK87" s="53">
        <v>0.08</v>
      </c>
      <c r="BL87" s="53">
        <v>108.4</v>
      </c>
      <c r="BM87" s="43">
        <v>2</v>
      </c>
      <c r="BN87" s="34" t="s">
        <v>89</v>
      </c>
      <c r="BO87" s="34" t="s">
        <v>89</v>
      </c>
      <c r="BP87" s="34" t="s">
        <v>89</v>
      </c>
      <c r="BQ87" s="34" t="s">
        <v>89</v>
      </c>
      <c r="BR87" s="34" t="s">
        <v>89</v>
      </c>
      <c r="BS87" s="34" t="s">
        <v>89</v>
      </c>
      <c r="BT87" s="34" t="s">
        <v>89</v>
      </c>
      <c r="BU87" s="34" t="s">
        <v>89</v>
      </c>
      <c r="BV87" s="34" t="s">
        <v>89</v>
      </c>
      <c r="BW87" s="34" t="s">
        <v>89</v>
      </c>
      <c r="BX87" s="34" t="s">
        <v>89</v>
      </c>
      <c r="BY87" s="34" t="s">
        <v>89</v>
      </c>
      <c r="BZ87" s="34" t="s">
        <v>89</v>
      </c>
      <c r="CA87" s="34" t="s">
        <v>89</v>
      </c>
      <c r="CB87" s="34" t="s">
        <v>89</v>
      </c>
      <c r="CC87" s="34" t="s">
        <v>89</v>
      </c>
      <c r="CD87" s="34" t="s">
        <v>89</v>
      </c>
      <c r="CE87" s="43">
        <v>1.50068289959241E-2</v>
      </c>
      <c r="CF87" s="43">
        <v>1</v>
      </c>
      <c r="CG87" s="43">
        <v>0</v>
      </c>
      <c r="CH87" s="43">
        <v>0</v>
      </c>
      <c r="CI87" s="43">
        <v>53.262</v>
      </c>
      <c r="CJ87" s="43">
        <v>4.1590479407998702</v>
      </c>
      <c r="CK87" s="43">
        <v>-2.6096781843990602</v>
      </c>
      <c r="CL87" s="43">
        <v>0</v>
      </c>
      <c r="CM87" s="43">
        <v>52479</v>
      </c>
      <c r="CN87" s="43">
        <v>4554</v>
      </c>
      <c r="CO87" s="43">
        <v>570.70000000000005</v>
      </c>
      <c r="CP87" s="43">
        <v>-38.799999999999997</v>
      </c>
      <c r="CQ87" s="43">
        <v>21.298999999999999</v>
      </c>
      <c r="CR87" s="43">
        <v>-1152.839215616</v>
      </c>
      <c r="CS87" s="43">
        <v>1</v>
      </c>
      <c r="CT87" s="43">
        <v>0.92976899999999996</v>
      </c>
      <c r="CU87" s="43">
        <v>1</v>
      </c>
      <c r="CV87" s="46" t="s">
        <v>89</v>
      </c>
      <c r="CW87" s="34"/>
      <c r="CX87" s="35"/>
    </row>
    <row r="88" spans="1:102" ht="15" customHeight="1" x14ac:dyDescent="0.25">
      <c r="A88" s="33">
        <v>85</v>
      </c>
      <c r="B88" s="43" t="s">
        <v>843</v>
      </c>
      <c r="C88" s="43">
        <v>0.34289999999999998</v>
      </c>
      <c r="D88" s="43">
        <v>0.68700000000000006</v>
      </c>
      <c r="E88" s="43" t="s">
        <v>237</v>
      </c>
      <c r="F88" s="43" t="s">
        <v>564</v>
      </c>
      <c r="G88" s="43" t="s">
        <v>844</v>
      </c>
      <c r="H88" s="43" t="s">
        <v>845</v>
      </c>
      <c r="I88" s="43" t="s">
        <v>846</v>
      </c>
      <c r="J88" s="43" t="s">
        <v>847</v>
      </c>
      <c r="K88" s="53" t="s">
        <v>1999</v>
      </c>
      <c r="L88" s="43" t="s">
        <v>848</v>
      </c>
      <c r="M88" s="43" t="s">
        <v>789</v>
      </c>
      <c r="N88" s="43" t="s">
        <v>707</v>
      </c>
      <c r="O88" s="43" t="s">
        <v>683</v>
      </c>
      <c r="P88" s="43" t="s">
        <v>707</v>
      </c>
      <c r="Q88" s="43" t="s">
        <v>403</v>
      </c>
      <c r="R88" s="43" t="s">
        <v>416</v>
      </c>
      <c r="S88" s="43">
        <v>191.369</v>
      </c>
      <c r="T88" s="43">
        <v>48.84</v>
      </c>
      <c r="U88" s="43">
        <v>24.097200000000001</v>
      </c>
      <c r="V88" s="51">
        <v>17.977</v>
      </c>
      <c r="W88" s="43">
        <v>1</v>
      </c>
      <c r="X88" s="43">
        <v>1</v>
      </c>
      <c r="Y88" s="43">
        <v>0.19</v>
      </c>
      <c r="Z88" s="43">
        <v>1.9E-2</v>
      </c>
      <c r="AA88" s="43">
        <v>329.42599999999999</v>
      </c>
      <c r="AB88" s="43">
        <v>0.51200000000000001</v>
      </c>
      <c r="AC88" s="43">
        <v>4506.1149999999998</v>
      </c>
      <c r="AD88" s="43">
        <v>0.27500000000000002</v>
      </c>
      <c r="AE88" s="43">
        <v>0.98699999999999999</v>
      </c>
      <c r="AF88" s="69">
        <v>0</v>
      </c>
      <c r="AG88" s="43">
        <v>17.582999999999998</v>
      </c>
      <c r="AH88" s="69">
        <v>59.731999999999999</v>
      </c>
      <c r="AI88" s="43">
        <v>-144.667</v>
      </c>
      <c r="AJ88" s="43" t="s">
        <v>1448</v>
      </c>
      <c r="AK88" s="69">
        <v>0</v>
      </c>
      <c r="AL88" s="69">
        <v>4</v>
      </c>
      <c r="AM88" s="69">
        <v>0</v>
      </c>
      <c r="AN88" s="69">
        <v>1</v>
      </c>
      <c r="AO88" s="69">
        <v>0</v>
      </c>
      <c r="AP88" s="43">
        <v>0</v>
      </c>
      <c r="AQ88" s="68" t="s">
        <v>1783</v>
      </c>
      <c r="AR88" s="43" t="s">
        <v>849</v>
      </c>
      <c r="AS88" s="43">
        <v>3203</v>
      </c>
      <c r="AT88" s="43">
        <v>3.367</v>
      </c>
      <c r="AU88" s="69">
        <v>-38.799999999999997</v>
      </c>
      <c r="AV88" s="69">
        <v>-43.17</v>
      </c>
      <c r="AW88" s="43">
        <v>68.423000000000002</v>
      </c>
      <c r="AX88" s="43">
        <v>0.4451</v>
      </c>
      <c r="AY88" s="69">
        <v>-38.799999999999997</v>
      </c>
      <c r="AZ88" s="69">
        <v>-43.17</v>
      </c>
      <c r="BA88" s="43">
        <v>68.423000000000002</v>
      </c>
      <c r="BB88" s="43">
        <v>0.4451</v>
      </c>
      <c r="BC88" s="69">
        <v>0</v>
      </c>
      <c r="BD88" s="69">
        <v>0</v>
      </c>
      <c r="BE88" s="43">
        <v>0</v>
      </c>
      <c r="BF88" s="43">
        <v>-9.65</v>
      </c>
      <c r="BG88" s="43">
        <v>30.883600000000001</v>
      </c>
      <c r="BH88" s="43">
        <v>-9.65</v>
      </c>
      <c r="BI88" s="43">
        <v>29.810199999999998</v>
      </c>
      <c r="BJ88" s="43">
        <v>0</v>
      </c>
      <c r="BK88" s="53">
        <v>8.1000000000000003E-2</v>
      </c>
      <c r="BL88" s="53">
        <v>109.6</v>
      </c>
      <c r="BM88" s="43">
        <v>2</v>
      </c>
      <c r="BN88" s="34" t="s">
        <v>89</v>
      </c>
      <c r="BO88" s="34" t="s">
        <v>89</v>
      </c>
      <c r="BP88" s="34" t="s">
        <v>89</v>
      </c>
      <c r="BQ88" s="34" t="s">
        <v>89</v>
      </c>
      <c r="BR88" s="34" t="s">
        <v>89</v>
      </c>
      <c r="BS88" s="34" t="s">
        <v>89</v>
      </c>
      <c r="BT88" s="34" t="s">
        <v>89</v>
      </c>
      <c r="BU88" s="34" t="s">
        <v>89</v>
      </c>
      <c r="BV88" s="34" t="s">
        <v>89</v>
      </c>
      <c r="BW88" s="34" t="s">
        <v>89</v>
      </c>
      <c r="BX88" s="34" t="s">
        <v>89</v>
      </c>
      <c r="BY88" s="34" t="s">
        <v>89</v>
      </c>
      <c r="BZ88" s="34" t="s">
        <v>89</v>
      </c>
      <c r="CA88" s="34" t="s">
        <v>89</v>
      </c>
      <c r="CB88" s="34" t="s">
        <v>89</v>
      </c>
      <c r="CC88" s="34" t="s">
        <v>89</v>
      </c>
      <c r="CD88" s="34" t="s">
        <v>89</v>
      </c>
      <c r="CE88" s="43">
        <v>-3.6224822029126899E-2</v>
      </c>
      <c r="CF88" s="43">
        <v>-5.1664958765289997E-3</v>
      </c>
      <c r="CG88" s="43">
        <v>0</v>
      </c>
      <c r="CH88" s="43">
        <v>0</v>
      </c>
      <c r="CI88" s="43">
        <v>-220</v>
      </c>
      <c r="CJ88" s="43">
        <v>10.024206042537401</v>
      </c>
      <c r="CK88" s="43">
        <v>-18.546684603970501</v>
      </c>
      <c r="CL88" s="43">
        <v>64684</v>
      </c>
      <c r="CM88" s="43">
        <v>19630</v>
      </c>
      <c r="CN88" s="43">
        <v>1543</v>
      </c>
      <c r="CO88" s="43">
        <v>-38.799999999999997</v>
      </c>
      <c r="CP88" s="43">
        <v>-43.17</v>
      </c>
      <c r="CQ88" s="43">
        <v>-38.799999999999997</v>
      </c>
      <c r="CR88" s="43">
        <v>-43.17</v>
      </c>
      <c r="CS88" s="43">
        <v>0.47082174999999998</v>
      </c>
      <c r="CT88" s="43">
        <v>0.83826437499999995</v>
      </c>
      <c r="CU88" s="43">
        <v>1</v>
      </c>
      <c r="CV88" s="46" t="s">
        <v>89</v>
      </c>
      <c r="CW88" s="34"/>
      <c r="CX88" s="35"/>
    </row>
    <row r="89" spans="1:102" ht="15" customHeight="1" x14ac:dyDescent="0.25">
      <c r="A89" s="33">
        <v>86</v>
      </c>
      <c r="B89" s="43" t="s">
        <v>850</v>
      </c>
      <c r="C89" s="43">
        <v>0.1331</v>
      </c>
      <c r="D89" s="43">
        <v>0.14299999999999999</v>
      </c>
      <c r="E89" s="43" t="s">
        <v>253</v>
      </c>
      <c r="F89" s="43" t="s">
        <v>573</v>
      </c>
      <c r="G89" s="43" t="s">
        <v>851</v>
      </c>
      <c r="H89" s="43" t="s">
        <v>852</v>
      </c>
      <c r="I89" s="43" t="s">
        <v>853</v>
      </c>
      <c r="J89" s="43" t="s">
        <v>854</v>
      </c>
      <c r="K89" s="53" t="s">
        <v>2000</v>
      </c>
      <c r="L89" s="43" t="s">
        <v>855</v>
      </c>
      <c r="M89" s="43" t="s">
        <v>796</v>
      </c>
      <c r="N89" s="43" t="s">
        <v>715</v>
      </c>
      <c r="O89" s="43" t="s">
        <v>690</v>
      </c>
      <c r="P89" s="43" t="s">
        <v>767</v>
      </c>
      <c r="Q89" s="43" t="s">
        <v>339</v>
      </c>
      <c r="R89" s="43" t="s">
        <v>412</v>
      </c>
      <c r="S89" s="43">
        <v>-147.34299999999999</v>
      </c>
      <c r="T89" s="43">
        <v>107.702</v>
      </c>
      <c r="U89" s="43">
        <v>25.122699999999998</v>
      </c>
      <c r="V89" s="51">
        <v>-22.457999999999998</v>
      </c>
      <c r="W89" s="43">
        <v>0</v>
      </c>
      <c r="X89" s="43">
        <v>0</v>
      </c>
      <c r="Y89" s="43">
        <v>0.17100000000000001</v>
      </c>
      <c r="Z89" s="43">
        <v>0.18099999999999999</v>
      </c>
      <c r="AA89" s="43">
        <v>6782.7120000000004</v>
      </c>
      <c r="AB89" s="43">
        <v>0.84799999999999998</v>
      </c>
      <c r="AC89" s="43">
        <v>1518.8879999999999</v>
      </c>
      <c r="AD89" s="43">
        <v>0.224</v>
      </c>
      <c r="AE89" s="43">
        <v>0.97199999999999998</v>
      </c>
      <c r="AF89" s="69">
        <v>0</v>
      </c>
      <c r="AG89" s="43">
        <v>10.515000000000001</v>
      </c>
      <c r="AH89" s="69">
        <v>1.6220000000000001</v>
      </c>
      <c r="AI89" s="43">
        <v>-144.667</v>
      </c>
      <c r="AJ89" s="43" t="s">
        <v>1436</v>
      </c>
      <c r="AK89" s="69">
        <v>0</v>
      </c>
      <c r="AL89" s="69">
        <v>3</v>
      </c>
      <c r="AM89" s="69">
        <v>1</v>
      </c>
      <c r="AN89" s="69">
        <v>0</v>
      </c>
      <c r="AO89" s="69">
        <v>1</v>
      </c>
      <c r="AP89" s="43">
        <v>1</v>
      </c>
      <c r="AQ89" s="68" t="s">
        <v>1784</v>
      </c>
      <c r="AR89" s="43" t="s">
        <v>856</v>
      </c>
      <c r="AS89" s="43">
        <v>1472</v>
      </c>
      <c r="AT89" s="43">
        <v>-6.5720000000000001</v>
      </c>
      <c r="AU89" s="69">
        <v>-194.19</v>
      </c>
      <c r="AV89" s="69">
        <v>-1048.76</v>
      </c>
      <c r="AW89" s="43">
        <v>0.98719999999999997</v>
      </c>
      <c r="AX89" s="43">
        <v>0.67610000000000003</v>
      </c>
      <c r="AY89" s="69">
        <v>-194.19</v>
      </c>
      <c r="AZ89" s="69">
        <v>-1048.76</v>
      </c>
      <c r="BA89" s="43">
        <v>0.98719999999999997</v>
      </c>
      <c r="BB89" s="43">
        <v>0.67610000000000003</v>
      </c>
      <c r="BC89" s="69">
        <v>0</v>
      </c>
      <c r="BD89" s="69">
        <v>0</v>
      </c>
      <c r="BE89" s="43">
        <v>0</v>
      </c>
      <c r="BF89" s="43">
        <v>-22.41</v>
      </c>
      <c r="BG89" s="43">
        <v>24.4651</v>
      </c>
      <c r="BH89" s="43">
        <v>-22.41</v>
      </c>
      <c r="BI89" s="43">
        <v>24.433</v>
      </c>
      <c r="BJ89" s="43">
        <v>1</v>
      </c>
      <c r="BK89" s="53">
        <v>8.2000000000000003E-2</v>
      </c>
      <c r="BL89" s="53">
        <v>110.8</v>
      </c>
      <c r="BM89" s="43">
        <v>2</v>
      </c>
      <c r="BN89" s="34" t="s">
        <v>89</v>
      </c>
      <c r="BO89" s="34" t="s">
        <v>89</v>
      </c>
      <c r="BP89" s="34" t="s">
        <v>89</v>
      </c>
      <c r="BQ89" s="34" t="s">
        <v>89</v>
      </c>
      <c r="BR89" s="34" t="s">
        <v>89</v>
      </c>
      <c r="BS89" s="34" t="s">
        <v>89</v>
      </c>
      <c r="BT89" s="34" t="s">
        <v>89</v>
      </c>
      <c r="BU89" s="34" t="s">
        <v>89</v>
      </c>
      <c r="BV89" s="34" t="s">
        <v>89</v>
      </c>
      <c r="BW89" s="34" t="s">
        <v>89</v>
      </c>
      <c r="BX89" s="34" t="s">
        <v>89</v>
      </c>
      <c r="BY89" s="34" t="s">
        <v>89</v>
      </c>
      <c r="BZ89" s="34" t="s">
        <v>89</v>
      </c>
      <c r="CA89" s="34" t="s">
        <v>89</v>
      </c>
      <c r="CB89" s="34" t="s">
        <v>89</v>
      </c>
      <c r="CC89" s="34" t="s">
        <v>89</v>
      </c>
      <c r="CD89" s="34" t="s">
        <v>89</v>
      </c>
      <c r="CE89" s="43">
        <v>-1.4942549289143401</v>
      </c>
      <c r="CF89" s="43">
        <v>1.2625742939170299</v>
      </c>
      <c r="CG89" s="43">
        <v>0</v>
      </c>
      <c r="CH89" s="43">
        <v>0</v>
      </c>
      <c r="CI89" s="43">
        <v>11.657</v>
      </c>
      <c r="CJ89" s="43">
        <v>-18.906066520054701</v>
      </c>
      <c r="CK89" s="43">
        <v>14.828949517914801</v>
      </c>
      <c r="CL89" s="43">
        <v>63700</v>
      </c>
      <c r="CM89" s="43">
        <v>9388</v>
      </c>
      <c r="CN89" s="43">
        <v>1636</v>
      </c>
      <c r="CO89" s="43">
        <v>-194.19</v>
      </c>
      <c r="CP89" s="43">
        <v>-1048.76</v>
      </c>
      <c r="CQ89" s="43">
        <v>-194.19</v>
      </c>
      <c r="CR89" s="43">
        <v>-1048.76</v>
      </c>
      <c r="CS89" s="43">
        <v>1</v>
      </c>
      <c r="CT89" s="43">
        <v>3.4139000000000003E-2</v>
      </c>
      <c r="CU89" s="43">
        <v>1</v>
      </c>
      <c r="CV89" s="46" t="s">
        <v>89</v>
      </c>
      <c r="CW89" s="34"/>
      <c r="CX89" s="35"/>
    </row>
    <row r="90" spans="1:102" ht="15" customHeight="1" x14ac:dyDescent="0.25">
      <c r="A90" s="33">
        <v>87</v>
      </c>
      <c r="B90" s="43" t="s">
        <v>1893</v>
      </c>
      <c r="C90" s="43">
        <v>0.56699999999999995</v>
      </c>
      <c r="D90" s="43">
        <v>9.9000000000000005E-2</v>
      </c>
      <c r="E90" s="43" t="s">
        <v>216</v>
      </c>
      <c r="F90" s="43" t="s">
        <v>203</v>
      </c>
      <c r="G90" s="43" t="s">
        <v>857</v>
      </c>
      <c r="H90" s="43" t="s">
        <v>858</v>
      </c>
      <c r="I90" s="43" t="s">
        <v>859</v>
      </c>
      <c r="J90" s="43" t="s">
        <v>860</v>
      </c>
      <c r="K90" s="53" t="s">
        <v>2001</v>
      </c>
      <c r="L90" s="43" t="s">
        <v>861</v>
      </c>
      <c r="M90" s="43" t="s">
        <v>802</v>
      </c>
      <c r="N90" s="43" t="s">
        <v>724</v>
      </c>
      <c r="O90" s="43" t="s">
        <v>698</v>
      </c>
      <c r="P90" s="43" t="s">
        <v>776</v>
      </c>
      <c r="Q90" s="43" t="s">
        <v>349</v>
      </c>
      <c r="R90" s="43" t="s">
        <v>311</v>
      </c>
      <c r="S90" s="43">
        <v>6.1890000000000001</v>
      </c>
      <c r="T90" s="43">
        <v>5.7240000000000002</v>
      </c>
      <c r="U90" s="43">
        <v>25.581700000000001</v>
      </c>
      <c r="V90" s="43">
        <v>-22.486999999999998</v>
      </c>
      <c r="W90" s="51">
        <v>0</v>
      </c>
      <c r="X90" s="43">
        <v>0</v>
      </c>
      <c r="Y90" s="43">
        <v>1.4999999999999999E-2</v>
      </c>
      <c r="Z90" s="43">
        <v>2.1999999999999999E-2</v>
      </c>
      <c r="AA90" s="43">
        <v>2259.4189999999999</v>
      </c>
      <c r="AB90" s="43">
        <v>0.76900000000000002</v>
      </c>
      <c r="AC90" s="43">
        <v>6958.5529999999999</v>
      </c>
      <c r="AD90" s="43">
        <v>0.68600000000000005</v>
      </c>
      <c r="AE90" s="43">
        <v>0.96299999999999997</v>
      </c>
      <c r="AF90" s="69">
        <v>0</v>
      </c>
      <c r="AG90" s="43">
        <v>-24.707999999999998</v>
      </c>
      <c r="AH90" s="69">
        <v>-126.64100000000001</v>
      </c>
      <c r="AI90" s="69">
        <v>-144.667</v>
      </c>
      <c r="AJ90" s="69" t="s">
        <v>1438</v>
      </c>
      <c r="AK90" s="69">
        <v>0</v>
      </c>
      <c r="AL90" s="69">
        <v>0</v>
      </c>
      <c r="AM90" s="69">
        <v>1</v>
      </c>
      <c r="AN90" s="69">
        <v>0</v>
      </c>
      <c r="AO90" s="69">
        <v>1</v>
      </c>
      <c r="AP90" s="43">
        <v>1</v>
      </c>
      <c r="AQ90" s="68" t="s">
        <v>1748</v>
      </c>
      <c r="AR90" s="43" t="s">
        <v>862</v>
      </c>
      <c r="AS90" s="43">
        <v>1694</v>
      </c>
      <c r="AT90" s="43">
        <v>7.7309999999999999</v>
      </c>
      <c r="AU90" s="69">
        <v>-194.19</v>
      </c>
      <c r="AV90" s="69">
        <v>412.24</v>
      </c>
      <c r="AW90" s="43">
        <v>64.453100000000006</v>
      </c>
      <c r="AX90" s="43">
        <v>0.97009999999999996</v>
      </c>
      <c r="AY90" s="69">
        <v>-194.19</v>
      </c>
      <c r="AZ90" s="69">
        <v>412.24</v>
      </c>
      <c r="BA90" s="43">
        <v>64.453100000000006</v>
      </c>
      <c r="BB90" s="43">
        <v>0.97009999999999996</v>
      </c>
      <c r="BC90" s="69">
        <v>0</v>
      </c>
      <c r="BD90" s="69">
        <v>0</v>
      </c>
      <c r="BE90" s="43">
        <v>0</v>
      </c>
      <c r="BF90" s="43">
        <v>-8.69</v>
      </c>
      <c r="BG90" s="43">
        <v>0.55049999999999999</v>
      </c>
      <c r="BH90" s="43">
        <v>-8.69</v>
      </c>
      <c r="BI90" s="43">
        <v>14.960699999999999</v>
      </c>
      <c r="BJ90" s="43">
        <v>0</v>
      </c>
      <c r="BK90" s="53">
        <v>8.3000000000000004E-2</v>
      </c>
      <c r="BL90" s="53">
        <v>112</v>
      </c>
      <c r="BM90" s="43">
        <v>2</v>
      </c>
      <c r="BN90" s="34" t="s">
        <v>89</v>
      </c>
      <c r="BO90" s="34" t="s">
        <v>89</v>
      </c>
      <c r="BP90" s="34" t="s">
        <v>89</v>
      </c>
      <c r="BQ90" s="34" t="s">
        <v>89</v>
      </c>
      <c r="BR90" s="34" t="s">
        <v>89</v>
      </c>
      <c r="BS90" s="34" t="s">
        <v>89</v>
      </c>
      <c r="BT90" s="34" t="s">
        <v>89</v>
      </c>
      <c r="BU90" s="34" t="s">
        <v>89</v>
      </c>
      <c r="BV90" s="34" t="s">
        <v>89</v>
      </c>
      <c r="BW90" s="34" t="s">
        <v>89</v>
      </c>
      <c r="BX90" s="34" t="s">
        <v>89</v>
      </c>
      <c r="BY90" s="34" t="s">
        <v>89</v>
      </c>
      <c r="BZ90" s="34" t="s">
        <v>89</v>
      </c>
      <c r="CA90" s="34" t="s">
        <v>89</v>
      </c>
      <c r="CB90" s="34" t="s">
        <v>89</v>
      </c>
      <c r="CC90" s="34" t="s">
        <v>89</v>
      </c>
      <c r="CD90" s="34" t="s">
        <v>89</v>
      </c>
      <c r="CE90" s="43">
        <v>1</v>
      </c>
      <c r="CF90" s="43">
        <v>1</v>
      </c>
      <c r="CG90" s="43">
        <v>0</v>
      </c>
      <c r="CH90" s="43">
        <v>0</v>
      </c>
      <c r="CI90" s="43">
        <v>-198.309</v>
      </c>
      <c r="CJ90" s="43">
        <v>8.5510000000000002</v>
      </c>
      <c r="CK90" s="43">
        <v>12.616</v>
      </c>
      <c r="CL90" s="43">
        <v>43962</v>
      </c>
      <c r="CM90" s="43">
        <v>59873</v>
      </c>
      <c r="CN90" s="43">
        <v>1371</v>
      </c>
      <c r="CO90" s="43">
        <v>-194.19</v>
      </c>
      <c r="CP90" s="43">
        <v>412.24</v>
      </c>
      <c r="CQ90" s="43">
        <v>-194.19</v>
      </c>
      <c r="CR90" s="43">
        <v>412.24</v>
      </c>
      <c r="CS90" s="43">
        <v>1</v>
      </c>
      <c r="CT90" s="43">
        <v>0</v>
      </c>
      <c r="CU90" s="43">
        <v>1</v>
      </c>
      <c r="CV90" s="46" t="s">
        <v>89</v>
      </c>
      <c r="CW90" s="34"/>
      <c r="CX90" s="35"/>
    </row>
    <row r="91" spans="1:102" ht="15" customHeight="1" x14ac:dyDescent="0.25">
      <c r="A91" s="33">
        <v>88</v>
      </c>
      <c r="B91" s="43" t="s">
        <v>1894</v>
      </c>
      <c r="C91" s="43">
        <v>5.6099999999999997E-2</v>
      </c>
      <c r="D91" s="43">
        <v>4.7E-2</v>
      </c>
      <c r="E91" s="43" t="s">
        <v>268</v>
      </c>
      <c r="F91" s="43" t="s">
        <v>165</v>
      </c>
      <c r="G91" s="43" t="s">
        <v>863</v>
      </c>
      <c r="H91" s="43" t="s">
        <v>864</v>
      </c>
      <c r="I91" s="43" t="s">
        <v>865</v>
      </c>
      <c r="J91" s="43" t="s">
        <v>866</v>
      </c>
      <c r="K91" s="53" t="s">
        <v>2002</v>
      </c>
      <c r="L91" s="43" t="s">
        <v>867</v>
      </c>
      <c r="M91" s="43" t="s">
        <v>809</v>
      </c>
      <c r="N91" s="43" t="s">
        <v>733</v>
      </c>
      <c r="O91" s="43" t="s">
        <v>707</v>
      </c>
      <c r="P91" s="43" t="s">
        <v>662</v>
      </c>
      <c r="Q91" s="43" t="s">
        <v>357</v>
      </c>
      <c r="R91" s="43" t="s">
        <v>202</v>
      </c>
      <c r="S91" s="43">
        <v>-105.246</v>
      </c>
      <c r="T91" s="43">
        <v>59.304000000000002</v>
      </c>
      <c r="U91" s="43">
        <v>3.1303000000000001</v>
      </c>
      <c r="V91" s="43">
        <v>29.196999999999999</v>
      </c>
      <c r="W91" s="51">
        <v>1</v>
      </c>
      <c r="X91" s="43">
        <v>1</v>
      </c>
      <c r="Y91" s="43">
        <v>0.19700000000000001</v>
      </c>
      <c r="Z91" s="43">
        <v>4.5999999999999999E-2</v>
      </c>
      <c r="AA91" s="43">
        <v>3135.04</v>
      </c>
      <c r="AB91" s="43">
        <v>0.60299999999999998</v>
      </c>
      <c r="AC91" s="43">
        <v>6729.45</v>
      </c>
      <c r="AD91" s="43">
        <v>4.4999999999999998E-2</v>
      </c>
      <c r="AE91" s="43">
        <v>0.98099999999999998</v>
      </c>
      <c r="AF91" s="69">
        <v>0</v>
      </c>
      <c r="AG91" s="43">
        <v>-15.981999999999999</v>
      </c>
      <c r="AH91" s="69">
        <v>-34.619</v>
      </c>
      <c r="AI91" s="69">
        <v>-34.619</v>
      </c>
      <c r="AJ91" s="69" t="s">
        <v>1445</v>
      </c>
      <c r="AK91" s="69">
        <v>0</v>
      </c>
      <c r="AL91" s="69">
        <v>1</v>
      </c>
      <c r="AM91" s="69">
        <v>0</v>
      </c>
      <c r="AN91" s="69">
        <v>0</v>
      </c>
      <c r="AO91" s="69">
        <v>0</v>
      </c>
      <c r="AP91" s="43">
        <v>0</v>
      </c>
      <c r="AQ91" s="43" t="s">
        <v>1749</v>
      </c>
      <c r="AR91" s="43" t="s">
        <v>868</v>
      </c>
      <c r="AS91" s="43">
        <v>4486</v>
      </c>
      <c r="AT91" s="43">
        <v>-19.806999999999999</v>
      </c>
      <c r="AU91" s="69">
        <v>20.7</v>
      </c>
      <c r="AV91" s="69">
        <v>-43.17</v>
      </c>
      <c r="AW91" s="43">
        <v>4.4523000000000001</v>
      </c>
      <c r="AX91" s="43">
        <v>0.59050000000000002</v>
      </c>
      <c r="AY91" s="69">
        <v>20.7</v>
      </c>
      <c r="AZ91" s="69">
        <v>-43.17</v>
      </c>
      <c r="BA91" s="43">
        <v>4.4523000000000001</v>
      </c>
      <c r="BB91" s="43">
        <v>0.59050000000000002</v>
      </c>
      <c r="BC91" s="69">
        <v>0</v>
      </c>
      <c r="BD91" s="69">
        <v>0</v>
      </c>
      <c r="BE91" s="43">
        <v>0</v>
      </c>
      <c r="BF91" s="43">
        <v>-4.57</v>
      </c>
      <c r="BG91" s="43">
        <v>30.714400000000001</v>
      </c>
      <c r="BH91" s="43">
        <v>-4.57</v>
      </c>
      <c r="BI91" s="43">
        <v>18.1432</v>
      </c>
      <c r="BJ91" s="43">
        <v>1</v>
      </c>
      <c r="BK91" s="53">
        <v>8.4000000000000005E-2</v>
      </c>
      <c r="BL91" s="53">
        <v>113.2</v>
      </c>
      <c r="BM91" s="43">
        <v>2</v>
      </c>
      <c r="BN91" s="34" t="s">
        <v>89</v>
      </c>
      <c r="BO91" s="34" t="s">
        <v>89</v>
      </c>
      <c r="BP91" s="34" t="s">
        <v>89</v>
      </c>
      <c r="BQ91" s="34" t="s">
        <v>89</v>
      </c>
      <c r="BR91" s="34" t="s">
        <v>89</v>
      </c>
      <c r="BS91" s="34" t="s">
        <v>89</v>
      </c>
      <c r="BT91" s="34" t="s">
        <v>89</v>
      </c>
      <c r="BU91" s="34" t="s">
        <v>89</v>
      </c>
      <c r="BV91" s="34" t="s">
        <v>89</v>
      </c>
      <c r="BW91" s="34" t="s">
        <v>89</v>
      </c>
      <c r="BX91" s="34" t="s">
        <v>89</v>
      </c>
      <c r="BY91" s="34" t="s">
        <v>89</v>
      </c>
      <c r="BZ91" s="34" t="s">
        <v>89</v>
      </c>
      <c r="CA91" s="34" t="s">
        <v>89</v>
      </c>
      <c r="CB91" s="34" t="s">
        <v>89</v>
      </c>
      <c r="CC91" s="34" t="s">
        <v>89</v>
      </c>
      <c r="CD91" s="34" t="s">
        <v>89</v>
      </c>
      <c r="CE91" s="43">
        <v>6.0794172102155299E-2</v>
      </c>
      <c r="CF91" s="43">
        <v>7.4484453263345005E-2</v>
      </c>
      <c r="CG91" s="43">
        <v>0</v>
      </c>
      <c r="CH91" s="43">
        <v>0</v>
      </c>
      <c r="CI91" s="43">
        <v>-88.004999999999995</v>
      </c>
      <c r="CJ91" s="43">
        <v>4.5992677904554498</v>
      </c>
      <c r="CK91" s="43">
        <v>-13.193719054549</v>
      </c>
      <c r="CL91" s="43">
        <v>64290</v>
      </c>
      <c r="CM91" s="43">
        <v>63960</v>
      </c>
      <c r="CN91" s="43">
        <v>1236</v>
      </c>
      <c r="CO91" s="43">
        <v>20.7</v>
      </c>
      <c r="CP91" s="43">
        <v>-43.17</v>
      </c>
      <c r="CQ91" s="43">
        <v>20.7</v>
      </c>
      <c r="CR91" s="43">
        <v>-43.17</v>
      </c>
      <c r="CS91" s="43">
        <v>0.99487999999999999</v>
      </c>
      <c r="CT91" s="43">
        <v>0.88618125000000003</v>
      </c>
      <c r="CU91" s="43">
        <v>1</v>
      </c>
      <c r="CV91" s="46" t="s">
        <v>89</v>
      </c>
      <c r="CW91" s="34"/>
      <c r="CX91" s="35"/>
    </row>
    <row r="92" spans="1:102" ht="15" customHeight="1" x14ac:dyDescent="0.25">
      <c r="A92" s="33">
        <v>89</v>
      </c>
      <c r="B92" s="43" t="s">
        <v>1399</v>
      </c>
      <c r="C92" s="43">
        <v>8.1799999999999998E-2</v>
      </c>
      <c r="D92" s="43">
        <v>0.72499999999999998</v>
      </c>
      <c r="E92" s="43" t="s">
        <v>412</v>
      </c>
      <c r="F92" s="43" t="s">
        <v>179</v>
      </c>
      <c r="G92" s="43" t="s">
        <v>869</v>
      </c>
      <c r="H92" s="43" t="s">
        <v>870</v>
      </c>
      <c r="I92" s="43" t="s">
        <v>871</v>
      </c>
      <c r="J92" s="43" t="s">
        <v>872</v>
      </c>
      <c r="K92" s="53" t="s">
        <v>2003</v>
      </c>
      <c r="L92" s="43" t="s">
        <v>873</v>
      </c>
      <c r="M92" s="43" t="s">
        <v>817</v>
      </c>
      <c r="N92" s="43" t="s">
        <v>742</v>
      </c>
      <c r="O92" s="43" t="s">
        <v>767</v>
      </c>
      <c r="P92" s="43" t="s">
        <v>669</v>
      </c>
      <c r="Q92" s="43" t="s">
        <v>367</v>
      </c>
      <c r="R92" s="43" t="s">
        <v>236</v>
      </c>
      <c r="S92" s="43">
        <v>-213.02699999999999</v>
      </c>
      <c r="T92" s="43">
        <v>20.614999999999998</v>
      </c>
      <c r="U92" s="43">
        <v>1.4462999999999999</v>
      </c>
      <c r="V92" s="43">
        <v>-23.161000000000001</v>
      </c>
      <c r="W92" s="43">
        <v>0</v>
      </c>
      <c r="X92" s="51">
        <v>0</v>
      </c>
      <c r="Y92" s="43">
        <v>0.14599999999999999</v>
      </c>
      <c r="Z92" s="43">
        <v>4.0000000000000001E-3</v>
      </c>
      <c r="AA92" s="43">
        <v>3946.5030000000002</v>
      </c>
      <c r="AB92" s="43">
        <v>1.7999999999999999E-2</v>
      </c>
      <c r="AC92" s="43">
        <v>3683.893</v>
      </c>
      <c r="AD92" s="43">
        <v>0.06</v>
      </c>
      <c r="AE92" s="43">
        <v>0.96199999999999997</v>
      </c>
      <c r="AF92" s="69">
        <v>0</v>
      </c>
      <c r="AG92" s="43">
        <v>-1.58</v>
      </c>
      <c r="AH92" s="69">
        <v>177.047</v>
      </c>
      <c r="AI92" s="69">
        <v>177.047</v>
      </c>
      <c r="AJ92" s="69" t="s">
        <v>1446</v>
      </c>
      <c r="AK92" s="69">
        <v>0</v>
      </c>
      <c r="AL92" s="69">
        <v>1</v>
      </c>
      <c r="AM92" s="69">
        <v>1</v>
      </c>
      <c r="AN92" s="69">
        <v>0</v>
      </c>
      <c r="AO92" s="69">
        <v>1</v>
      </c>
      <c r="AP92" s="43">
        <v>1</v>
      </c>
      <c r="AQ92" s="68" t="s">
        <v>1750</v>
      </c>
      <c r="AR92" s="43" t="s">
        <v>874</v>
      </c>
      <c r="AS92" s="43">
        <v>4823</v>
      </c>
      <c r="AT92" s="43">
        <v>24.847000000000001</v>
      </c>
      <c r="AU92" s="69">
        <v>-340.13</v>
      </c>
      <c r="AV92" s="69">
        <v>-1048.76</v>
      </c>
      <c r="AW92" s="43">
        <v>64.245900000000006</v>
      </c>
      <c r="AX92" s="43">
        <v>5.1299999999999998E-2</v>
      </c>
      <c r="AY92" s="69">
        <v>-340.13</v>
      </c>
      <c r="AZ92" s="69">
        <v>-1048.76</v>
      </c>
      <c r="BA92" s="43">
        <v>64.245900000000006</v>
      </c>
      <c r="BB92" s="43">
        <v>5.1299999999999998E-2</v>
      </c>
      <c r="BC92" s="69">
        <v>0</v>
      </c>
      <c r="BD92" s="69">
        <v>0</v>
      </c>
      <c r="BE92" s="43">
        <v>0</v>
      </c>
      <c r="BF92" s="43">
        <v>-25.6</v>
      </c>
      <c r="BG92" s="43">
        <v>23.561299999999999</v>
      </c>
      <c r="BH92" s="43">
        <v>-25.6</v>
      </c>
      <c r="BI92" s="43">
        <v>5.5042999999999997</v>
      </c>
      <c r="BJ92" s="43">
        <v>0</v>
      </c>
      <c r="BK92" s="53">
        <v>8.5000000000000006E-2</v>
      </c>
      <c r="BL92" s="53">
        <v>114.4</v>
      </c>
      <c r="BM92" s="43">
        <v>2</v>
      </c>
      <c r="BN92" s="34" t="s">
        <v>89</v>
      </c>
      <c r="BO92" s="34" t="s">
        <v>89</v>
      </c>
      <c r="BP92" s="34" t="s">
        <v>89</v>
      </c>
      <c r="BQ92" s="34" t="s">
        <v>89</v>
      </c>
      <c r="BR92" s="34" t="s">
        <v>89</v>
      </c>
      <c r="BS92" s="34" t="s">
        <v>89</v>
      </c>
      <c r="BT92" s="34" t="s">
        <v>89</v>
      </c>
      <c r="BU92" s="34" t="s">
        <v>89</v>
      </c>
      <c r="BV92" s="34" t="s">
        <v>89</v>
      </c>
      <c r="BW92" s="34" t="s">
        <v>89</v>
      </c>
      <c r="BX92" s="34" t="s">
        <v>89</v>
      </c>
      <c r="BY92" s="34" t="s">
        <v>89</v>
      </c>
      <c r="BZ92" s="34" t="s">
        <v>89</v>
      </c>
      <c r="CA92" s="34" t="s">
        <v>89</v>
      </c>
      <c r="CB92" s="34" t="s">
        <v>89</v>
      </c>
      <c r="CC92" s="34" t="s">
        <v>89</v>
      </c>
      <c r="CD92" s="34" t="s">
        <v>89</v>
      </c>
      <c r="CE92" s="43">
        <v>0.98838857703402805</v>
      </c>
      <c r="CF92" s="43">
        <v>-5.27564771630552</v>
      </c>
      <c r="CG92" s="43">
        <v>0</v>
      </c>
      <c r="CH92" s="43">
        <v>0</v>
      </c>
      <c r="CI92" s="43">
        <v>220</v>
      </c>
      <c r="CJ92" s="43">
        <v>-12.788931154942899</v>
      </c>
      <c r="CK92" s="43">
        <v>-8.0761857761449996</v>
      </c>
      <c r="CL92" s="43">
        <v>63045</v>
      </c>
      <c r="CM92" s="43">
        <v>60418</v>
      </c>
      <c r="CN92" s="43">
        <v>1779</v>
      </c>
      <c r="CO92" s="43">
        <v>-340.13</v>
      </c>
      <c r="CP92" s="43">
        <v>-1048.76</v>
      </c>
      <c r="CQ92" s="43">
        <v>-340.13</v>
      </c>
      <c r="CR92" s="43">
        <v>-1048.76</v>
      </c>
      <c r="CS92" s="43">
        <v>0.511312875</v>
      </c>
      <c r="CT92" s="43">
        <v>0</v>
      </c>
      <c r="CU92" s="43">
        <v>1</v>
      </c>
      <c r="CV92" s="46" t="s">
        <v>89</v>
      </c>
      <c r="CW92" s="34"/>
      <c r="CX92" s="35"/>
    </row>
    <row r="93" spans="1:102" ht="15" customHeight="1" x14ac:dyDescent="0.25">
      <c r="A93" s="33">
        <v>90</v>
      </c>
      <c r="B93" s="43" t="s">
        <v>875</v>
      </c>
      <c r="C93" s="43">
        <v>0.2319</v>
      </c>
      <c r="D93" s="43">
        <v>0.33700000000000002</v>
      </c>
      <c r="E93" s="43" t="s">
        <v>252</v>
      </c>
      <c r="F93" s="43" t="s">
        <v>237</v>
      </c>
      <c r="G93" s="43" t="s">
        <v>876</v>
      </c>
      <c r="H93" s="43" t="s">
        <v>877</v>
      </c>
      <c r="I93" s="43" t="s">
        <v>878</v>
      </c>
      <c r="J93" s="43" t="s">
        <v>879</v>
      </c>
      <c r="K93" s="53" t="s">
        <v>2004</v>
      </c>
      <c r="L93" s="43" t="s">
        <v>881</v>
      </c>
      <c r="M93" s="43" t="s">
        <v>825</v>
      </c>
      <c r="N93" s="43" t="s">
        <v>751</v>
      </c>
      <c r="O93" s="43" t="s">
        <v>776</v>
      </c>
      <c r="P93" s="43" t="s">
        <v>676</v>
      </c>
      <c r="Q93" s="43" t="s">
        <v>767</v>
      </c>
      <c r="R93" s="43" t="s">
        <v>216</v>
      </c>
      <c r="S93" s="43">
        <v>-212.63300000000001</v>
      </c>
      <c r="T93" s="43">
        <v>79.673000000000002</v>
      </c>
      <c r="U93" s="43">
        <v>21.317</v>
      </c>
      <c r="V93" s="43">
        <v>-18.536999999999999</v>
      </c>
      <c r="W93" s="43">
        <v>0</v>
      </c>
      <c r="X93" s="51">
        <v>1</v>
      </c>
      <c r="Y93" s="43">
        <v>2.1999999999999999E-2</v>
      </c>
      <c r="Z93" s="43">
        <v>0.112</v>
      </c>
      <c r="AA93" s="43">
        <v>2663.6559999999999</v>
      </c>
      <c r="AB93" s="43">
        <v>0.4</v>
      </c>
      <c r="AC93" s="43">
        <v>5194.8959999999997</v>
      </c>
      <c r="AD93" s="43">
        <v>5.8999999999999997E-2</v>
      </c>
      <c r="AE93" s="43">
        <v>0.95899999999999996</v>
      </c>
      <c r="AF93" s="69">
        <v>1</v>
      </c>
      <c r="AG93" s="43">
        <v>-2.423</v>
      </c>
      <c r="AH93" s="69">
        <v>-9.32</v>
      </c>
      <c r="AI93" s="69">
        <v>-9.32</v>
      </c>
      <c r="AJ93" s="69" t="s">
        <v>1444</v>
      </c>
      <c r="AK93" s="69">
        <v>1</v>
      </c>
      <c r="AL93" s="69">
        <v>3</v>
      </c>
      <c r="AM93" s="69">
        <v>1</v>
      </c>
      <c r="AN93" s="69">
        <v>1</v>
      </c>
      <c r="AO93" s="69">
        <v>1</v>
      </c>
      <c r="AP93" s="43">
        <v>1</v>
      </c>
      <c r="AQ93" s="68" t="s">
        <v>1785</v>
      </c>
      <c r="AR93" s="43" t="s">
        <v>882</v>
      </c>
      <c r="AS93" s="43">
        <v>65</v>
      </c>
      <c r="AT93" s="43">
        <v>-21.367999999999999</v>
      </c>
      <c r="AU93" s="69">
        <v>22.24</v>
      </c>
      <c r="AV93" s="69">
        <v>-43.17</v>
      </c>
      <c r="AW93" s="43">
        <v>16.585100000000001</v>
      </c>
      <c r="AX93" s="43">
        <v>0.88790000000000002</v>
      </c>
      <c r="AY93" s="69">
        <v>22.24</v>
      </c>
      <c r="AZ93" s="69">
        <v>-43.17</v>
      </c>
      <c r="BA93" s="43">
        <v>16.585100000000001</v>
      </c>
      <c r="BB93" s="43">
        <v>0.88790000000000002</v>
      </c>
      <c r="BC93" s="69">
        <v>1</v>
      </c>
      <c r="BD93" s="69">
        <v>1</v>
      </c>
      <c r="BE93" s="43">
        <v>0</v>
      </c>
      <c r="BF93" s="43">
        <v>-10.5</v>
      </c>
      <c r="BG93" s="43">
        <v>19.559100000000001</v>
      </c>
      <c r="BH93" s="43">
        <v>-10.5</v>
      </c>
      <c r="BI93" s="43">
        <v>23.732700000000001</v>
      </c>
      <c r="BJ93" s="43">
        <v>1</v>
      </c>
      <c r="BK93" s="53">
        <v>8.5999999999999993E-2</v>
      </c>
      <c r="BL93" s="53">
        <v>115.6</v>
      </c>
      <c r="BM93" s="43">
        <v>2</v>
      </c>
      <c r="BN93" s="34" t="s">
        <v>89</v>
      </c>
      <c r="BO93" s="34" t="s">
        <v>89</v>
      </c>
      <c r="BP93" s="34" t="s">
        <v>89</v>
      </c>
      <c r="BQ93" s="34" t="s">
        <v>89</v>
      </c>
      <c r="BR93" s="34" t="s">
        <v>89</v>
      </c>
      <c r="BS93" s="34" t="s">
        <v>89</v>
      </c>
      <c r="BT93" s="34" t="s">
        <v>89</v>
      </c>
      <c r="BU93" s="34" t="s">
        <v>89</v>
      </c>
      <c r="BV93" s="34" t="s">
        <v>89</v>
      </c>
      <c r="BW93" s="34" t="s">
        <v>89</v>
      </c>
      <c r="BX93" s="34" t="s">
        <v>89</v>
      </c>
      <c r="BY93" s="34" t="s">
        <v>89</v>
      </c>
      <c r="BZ93" s="34" t="s">
        <v>89</v>
      </c>
      <c r="CA93" s="34" t="s">
        <v>89</v>
      </c>
      <c r="CB93" s="34" t="s">
        <v>89</v>
      </c>
      <c r="CC93" s="34" t="s">
        <v>89</v>
      </c>
      <c r="CD93" s="34" t="s">
        <v>89</v>
      </c>
      <c r="CE93" s="43">
        <v>0.43407887410667001</v>
      </c>
      <c r="CF93" s="43">
        <v>1</v>
      </c>
      <c r="CG93" s="43">
        <v>0</v>
      </c>
      <c r="CH93" s="43">
        <v>0</v>
      </c>
      <c r="CI93" s="43">
        <v>-80.375</v>
      </c>
      <c r="CJ93" s="43">
        <v>2.7051542401703901</v>
      </c>
      <c r="CK93" s="43">
        <v>3.9590611938802001</v>
      </c>
      <c r="CL93" s="43">
        <v>0</v>
      </c>
      <c r="CM93" s="43">
        <v>63308</v>
      </c>
      <c r="CN93" s="43">
        <v>65</v>
      </c>
      <c r="CO93" s="43">
        <v>22.24</v>
      </c>
      <c r="CP93" s="43">
        <v>-43.17</v>
      </c>
      <c r="CQ93" s="43">
        <v>21.311</v>
      </c>
      <c r="CR93" s="43">
        <v>-597.04861431929999</v>
      </c>
      <c r="CS93" s="43">
        <v>6.7043000000000005E-2</v>
      </c>
      <c r="CT93" s="43">
        <v>0</v>
      </c>
      <c r="CU93" s="43">
        <v>1</v>
      </c>
      <c r="CV93" s="46" t="s">
        <v>89</v>
      </c>
      <c r="CW93" s="34"/>
      <c r="CX93" s="35"/>
    </row>
    <row r="94" spans="1:102" ht="15" customHeight="1" x14ac:dyDescent="0.25">
      <c r="A94" s="33">
        <v>91</v>
      </c>
      <c r="B94" s="43" t="s">
        <v>883</v>
      </c>
      <c r="C94" s="43">
        <v>0.3397</v>
      </c>
      <c r="D94" s="43">
        <v>0.49199999999999999</v>
      </c>
      <c r="E94" s="43" t="s">
        <v>215</v>
      </c>
      <c r="F94" s="43" t="s">
        <v>253</v>
      </c>
      <c r="G94" s="43" t="s">
        <v>884</v>
      </c>
      <c r="H94" s="43" t="s">
        <v>885</v>
      </c>
      <c r="I94" s="43" t="s">
        <v>886</v>
      </c>
      <c r="J94" s="43" t="s">
        <v>887</v>
      </c>
      <c r="K94" s="53" t="s">
        <v>2005</v>
      </c>
      <c r="L94" s="43" t="s">
        <v>888</v>
      </c>
      <c r="M94" s="43" t="s">
        <v>833</v>
      </c>
      <c r="N94" s="43" t="s">
        <v>759</v>
      </c>
      <c r="O94" s="43" t="s">
        <v>662</v>
      </c>
      <c r="P94" s="43" t="s">
        <v>683</v>
      </c>
      <c r="Q94" s="43" t="s">
        <v>776</v>
      </c>
      <c r="R94" s="43" t="s">
        <v>268</v>
      </c>
      <c r="S94" s="43">
        <v>-132.81299999999999</v>
      </c>
      <c r="T94" s="43">
        <v>0.48699999999999999</v>
      </c>
      <c r="U94" s="43">
        <v>26.533000000000001</v>
      </c>
      <c r="V94" s="43">
        <v>-10.997</v>
      </c>
      <c r="W94" s="43">
        <v>0</v>
      </c>
      <c r="X94" s="43">
        <v>0</v>
      </c>
      <c r="Y94" s="43">
        <v>0.152</v>
      </c>
      <c r="Z94" s="43">
        <v>2.5000000000000001E-2</v>
      </c>
      <c r="AA94" s="51">
        <v>10</v>
      </c>
      <c r="AB94" s="43">
        <v>0.53400000000000003</v>
      </c>
      <c r="AC94" s="43">
        <v>4664.1049999999996</v>
      </c>
      <c r="AD94" s="43">
        <v>4.5999999999999999E-2</v>
      </c>
      <c r="AE94" s="43">
        <v>0.95099999999999996</v>
      </c>
      <c r="AF94" s="69">
        <v>0</v>
      </c>
      <c r="AG94" s="43">
        <v>11.936</v>
      </c>
      <c r="AH94" s="69">
        <v>-161.352</v>
      </c>
      <c r="AI94" s="69">
        <v>-161.352</v>
      </c>
      <c r="AJ94" s="69" t="s">
        <v>1445</v>
      </c>
      <c r="AK94" s="69">
        <v>0</v>
      </c>
      <c r="AL94" s="69">
        <v>1</v>
      </c>
      <c r="AM94" s="69">
        <v>1</v>
      </c>
      <c r="AN94" s="69">
        <v>1</v>
      </c>
      <c r="AO94" s="69">
        <v>0</v>
      </c>
      <c r="AP94" s="43">
        <v>1</v>
      </c>
      <c r="AQ94" s="68" t="s">
        <v>1786</v>
      </c>
      <c r="AR94" s="43" t="s">
        <v>889</v>
      </c>
      <c r="AS94" s="43">
        <v>3229</v>
      </c>
      <c r="AT94" s="43">
        <v>-16.238</v>
      </c>
      <c r="AU94" s="69">
        <v>-43.17</v>
      </c>
      <c r="AV94" s="69">
        <v>-453.03</v>
      </c>
      <c r="AW94" s="43">
        <v>51.8735</v>
      </c>
      <c r="AX94" s="43">
        <v>0.1399</v>
      </c>
      <c r="AY94" s="69">
        <v>-43.17</v>
      </c>
      <c r="AZ94" s="69">
        <v>-453.03</v>
      </c>
      <c r="BA94" s="43">
        <v>51.8735</v>
      </c>
      <c r="BB94" s="43">
        <v>0.1399</v>
      </c>
      <c r="BC94" s="69">
        <v>0</v>
      </c>
      <c r="BD94" s="69">
        <v>0</v>
      </c>
      <c r="BE94" s="43">
        <v>0</v>
      </c>
      <c r="BF94" s="43">
        <v>-11.6</v>
      </c>
      <c r="BG94" s="43">
        <v>16.5106</v>
      </c>
      <c r="BH94" s="43">
        <v>-11.6</v>
      </c>
      <c r="BI94" s="43">
        <v>26.326799999999999</v>
      </c>
      <c r="BJ94" s="43">
        <v>0</v>
      </c>
      <c r="BK94" s="53">
        <v>8.6999999999999994E-2</v>
      </c>
      <c r="BL94" s="53">
        <v>116.8</v>
      </c>
      <c r="BM94" s="43">
        <v>2</v>
      </c>
      <c r="BN94" s="34" t="s">
        <v>89</v>
      </c>
      <c r="BO94" s="34" t="s">
        <v>89</v>
      </c>
      <c r="BP94" s="34" t="s">
        <v>89</v>
      </c>
      <c r="BQ94" s="34" t="s">
        <v>89</v>
      </c>
      <c r="BR94" s="34" t="s">
        <v>89</v>
      </c>
      <c r="BS94" s="34" t="s">
        <v>89</v>
      </c>
      <c r="BT94" s="34" t="s">
        <v>89</v>
      </c>
      <c r="BU94" s="34" t="s">
        <v>89</v>
      </c>
      <c r="BV94" s="34" t="s">
        <v>89</v>
      </c>
      <c r="BW94" s="34" t="s">
        <v>89</v>
      </c>
      <c r="BX94" s="34" t="s">
        <v>89</v>
      </c>
      <c r="BY94" s="34" t="s">
        <v>89</v>
      </c>
      <c r="BZ94" s="34" t="s">
        <v>89</v>
      </c>
      <c r="CA94" s="34" t="s">
        <v>89</v>
      </c>
      <c r="CB94" s="34" t="s">
        <v>89</v>
      </c>
      <c r="CC94" s="34" t="s">
        <v>89</v>
      </c>
      <c r="CD94" s="34" t="s">
        <v>89</v>
      </c>
      <c r="CE94" s="43">
        <v>-2.5675263685793499E-2</v>
      </c>
      <c r="CF94" s="43">
        <v>4.0485213314912297E-2</v>
      </c>
      <c r="CG94" s="43">
        <v>0</v>
      </c>
      <c r="CH94" s="43">
        <v>0</v>
      </c>
      <c r="CI94" s="43">
        <v>220</v>
      </c>
      <c r="CJ94" s="43">
        <v>13.462493788106601</v>
      </c>
      <c r="CK94" s="43">
        <v>-8.2503386018029605</v>
      </c>
      <c r="CL94" s="43">
        <v>62324</v>
      </c>
      <c r="CM94" s="43">
        <v>8544</v>
      </c>
      <c r="CN94" s="43">
        <v>989</v>
      </c>
      <c r="CO94" s="43">
        <v>-43.17</v>
      </c>
      <c r="CP94" s="43">
        <v>-453.03</v>
      </c>
      <c r="CQ94" s="43">
        <v>-43.17</v>
      </c>
      <c r="CR94" s="43">
        <v>-453.03</v>
      </c>
      <c r="CS94" s="43">
        <v>0.53274999999999995</v>
      </c>
      <c r="CT94" s="43">
        <v>0.62901312499999995</v>
      </c>
      <c r="CU94" s="43">
        <v>1</v>
      </c>
      <c r="CV94" s="46" t="s">
        <v>89</v>
      </c>
      <c r="CW94" s="34"/>
      <c r="CX94" s="35"/>
    </row>
    <row r="95" spans="1:102" ht="15" customHeight="1" x14ac:dyDescent="0.25">
      <c r="A95" s="33">
        <v>92</v>
      </c>
      <c r="B95" s="43" t="s">
        <v>890</v>
      </c>
      <c r="C95" s="43">
        <v>0.66039999999999999</v>
      </c>
      <c r="D95" s="43">
        <v>0.53500000000000003</v>
      </c>
      <c r="E95" s="43" t="s">
        <v>267</v>
      </c>
      <c r="F95" s="43" t="s">
        <v>216</v>
      </c>
      <c r="G95" s="43" t="s">
        <v>891</v>
      </c>
      <c r="H95" s="43" t="s">
        <v>892</v>
      </c>
      <c r="I95" s="43" t="s">
        <v>893</v>
      </c>
      <c r="J95" s="43" t="s">
        <v>894</v>
      </c>
      <c r="K95" s="53" t="s">
        <v>2006</v>
      </c>
      <c r="L95" s="43" t="s">
        <v>895</v>
      </c>
      <c r="M95" s="43" t="s">
        <v>840</v>
      </c>
      <c r="N95" s="43" t="s">
        <v>768</v>
      </c>
      <c r="O95" s="43" t="s">
        <v>669</v>
      </c>
      <c r="P95" s="43" t="s">
        <v>690</v>
      </c>
      <c r="Q95" s="43" t="s">
        <v>662</v>
      </c>
      <c r="R95" s="43" t="s">
        <v>282</v>
      </c>
      <c r="S95" s="43">
        <v>-200.55600000000001</v>
      </c>
      <c r="T95" s="43">
        <v>-190.441</v>
      </c>
      <c r="U95" s="43">
        <v>26.278300000000002</v>
      </c>
      <c r="V95" s="43">
        <v>-17.928000000000001</v>
      </c>
      <c r="W95" s="43">
        <v>0</v>
      </c>
      <c r="X95" s="43">
        <v>0</v>
      </c>
      <c r="Y95" s="43">
        <v>2.1000000000000001E-2</v>
      </c>
      <c r="Z95" s="43">
        <v>0.17899999999999999</v>
      </c>
      <c r="AA95" s="51">
        <v>8000</v>
      </c>
      <c r="AB95" s="43">
        <v>0.09</v>
      </c>
      <c r="AC95" s="43">
        <v>5272.3980000000001</v>
      </c>
      <c r="AD95" s="43">
        <v>0.88500000000000001</v>
      </c>
      <c r="AE95" s="43">
        <v>0.96799999999999997</v>
      </c>
      <c r="AF95" s="69">
        <v>0</v>
      </c>
      <c r="AG95" s="43">
        <v>24.640999999999998</v>
      </c>
      <c r="AH95" s="69">
        <v>-205.51499999999999</v>
      </c>
      <c r="AI95" s="69">
        <v>-205.51499999999999</v>
      </c>
      <c r="AJ95" s="69" t="s">
        <v>1446</v>
      </c>
      <c r="AK95" s="69">
        <v>1</v>
      </c>
      <c r="AL95" s="69">
        <v>1</v>
      </c>
      <c r="AM95" s="69">
        <v>1</v>
      </c>
      <c r="AN95" s="69">
        <v>0</v>
      </c>
      <c r="AO95" s="69">
        <v>0</v>
      </c>
      <c r="AP95" s="43">
        <v>1</v>
      </c>
      <c r="AQ95" s="68" t="s">
        <v>1787</v>
      </c>
      <c r="AR95" s="43" t="s">
        <v>896</v>
      </c>
      <c r="AS95" s="43">
        <v>389</v>
      </c>
      <c r="AT95" s="43">
        <v>20.003</v>
      </c>
      <c r="AU95" s="69">
        <v>-43.17</v>
      </c>
      <c r="AV95" s="69">
        <v>-826.24</v>
      </c>
      <c r="AW95" s="43">
        <v>15.088200000000001</v>
      </c>
      <c r="AX95" s="43">
        <v>0.34910000000000002</v>
      </c>
      <c r="AY95" s="69">
        <v>-43.17</v>
      </c>
      <c r="AZ95" s="69">
        <v>-826.24</v>
      </c>
      <c r="BA95" s="43">
        <v>15.088200000000001</v>
      </c>
      <c r="BB95" s="43">
        <v>0.34910000000000002</v>
      </c>
      <c r="BC95" s="69">
        <v>1</v>
      </c>
      <c r="BD95" s="69">
        <v>1</v>
      </c>
      <c r="BE95" s="43">
        <v>0</v>
      </c>
      <c r="BF95" s="43">
        <v>-30.2</v>
      </c>
      <c r="BG95" s="43">
        <v>20.5518</v>
      </c>
      <c r="BH95" s="43">
        <v>-30.2</v>
      </c>
      <c r="BI95" s="43">
        <v>24.588000000000001</v>
      </c>
      <c r="BJ95" s="43">
        <v>1</v>
      </c>
      <c r="BK95" s="53">
        <v>8.7999999999999995E-2</v>
      </c>
      <c r="BL95" s="53">
        <v>118</v>
      </c>
      <c r="BM95" s="43">
        <v>2</v>
      </c>
      <c r="BN95" s="34" t="s">
        <v>89</v>
      </c>
      <c r="BO95" s="34" t="s">
        <v>89</v>
      </c>
      <c r="BP95" s="34" t="s">
        <v>89</v>
      </c>
      <c r="BQ95" s="34" t="s">
        <v>89</v>
      </c>
      <c r="BR95" s="34" t="s">
        <v>89</v>
      </c>
      <c r="BS95" s="34" t="s">
        <v>89</v>
      </c>
      <c r="BT95" s="34" t="s">
        <v>89</v>
      </c>
      <c r="BU95" s="34" t="s">
        <v>89</v>
      </c>
      <c r="BV95" s="34" t="s">
        <v>89</v>
      </c>
      <c r="BW95" s="34" t="s">
        <v>89</v>
      </c>
      <c r="BX95" s="34" t="s">
        <v>89</v>
      </c>
      <c r="BY95" s="34" t="s">
        <v>89</v>
      </c>
      <c r="BZ95" s="34" t="s">
        <v>89</v>
      </c>
      <c r="CA95" s="34" t="s">
        <v>89</v>
      </c>
      <c r="CB95" s="34" t="s">
        <v>89</v>
      </c>
      <c r="CC95" s="34" t="s">
        <v>89</v>
      </c>
      <c r="CD95" s="34" t="s">
        <v>89</v>
      </c>
      <c r="CE95" s="43">
        <v>-4.4877820284907203E-3</v>
      </c>
      <c r="CF95" s="43">
        <v>-3.60734125832664E-3</v>
      </c>
      <c r="CG95" s="43">
        <v>0</v>
      </c>
      <c r="CH95" s="43">
        <v>0</v>
      </c>
      <c r="CI95" s="43">
        <v>220</v>
      </c>
      <c r="CJ95" s="43">
        <v>-0.118355423269991</v>
      </c>
      <c r="CK95" s="43">
        <v>-4.8385526755200896</v>
      </c>
      <c r="CL95" s="43">
        <v>0</v>
      </c>
      <c r="CM95" s="43">
        <v>47146</v>
      </c>
      <c r="CN95" s="43">
        <v>389</v>
      </c>
      <c r="CO95" s="43">
        <v>-43.17</v>
      </c>
      <c r="CP95" s="43">
        <v>-826.24</v>
      </c>
      <c r="CQ95" s="43">
        <v>15.723000000000001</v>
      </c>
      <c r="CR95" s="43">
        <v>-4361.6279495688004</v>
      </c>
      <c r="CS95" s="43">
        <v>1</v>
      </c>
      <c r="CT95" s="43">
        <v>1</v>
      </c>
      <c r="CU95" s="43">
        <v>1</v>
      </c>
      <c r="CV95" s="46" t="s">
        <v>89</v>
      </c>
      <c r="CW95" s="34"/>
      <c r="CX95" s="35"/>
    </row>
    <row r="96" spans="1:102" ht="15" customHeight="1" x14ac:dyDescent="0.25">
      <c r="A96" s="33">
        <v>93</v>
      </c>
      <c r="B96" s="43" t="s">
        <v>897</v>
      </c>
      <c r="C96" s="43">
        <v>0.76900000000000002</v>
      </c>
      <c r="D96" s="43">
        <v>0.56599999999999995</v>
      </c>
      <c r="E96" s="43" t="s">
        <v>281</v>
      </c>
      <c r="F96" s="43" t="s">
        <v>268</v>
      </c>
      <c r="G96" s="43" t="s">
        <v>898</v>
      </c>
      <c r="H96" s="43" t="s">
        <v>899</v>
      </c>
      <c r="I96" s="43" t="s">
        <v>900</v>
      </c>
      <c r="J96" s="43" t="s">
        <v>901</v>
      </c>
      <c r="K96" s="53" t="s">
        <v>2007</v>
      </c>
      <c r="L96" s="43" t="s">
        <v>855</v>
      </c>
      <c r="M96" s="43" t="s">
        <v>848</v>
      </c>
      <c r="N96" s="43" t="s">
        <v>669</v>
      </c>
      <c r="O96" s="43" t="s">
        <v>676</v>
      </c>
      <c r="P96" s="43" t="s">
        <v>669</v>
      </c>
      <c r="Q96" s="43" t="s">
        <v>669</v>
      </c>
      <c r="R96" s="43" t="s">
        <v>295</v>
      </c>
      <c r="S96" s="43">
        <v>67.489999999999995</v>
      </c>
      <c r="T96" s="43">
        <v>83.948999999999998</v>
      </c>
      <c r="U96" s="43">
        <v>9.3615999999999993</v>
      </c>
      <c r="V96" s="43">
        <v>-9.6630000000000003</v>
      </c>
      <c r="W96" s="43">
        <v>1</v>
      </c>
      <c r="X96" s="43">
        <v>1</v>
      </c>
      <c r="Y96" s="43">
        <v>4.2000000000000003E-2</v>
      </c>
      <c r="Z96" s="43">
        <v>2.1999999999999999E-2</v>
      </c>
      <c r="AA96" s="51">
        <v>1848.0740000000001</v>
      </c>
      <c r="AB96" s="43">
        <v>0.155</v>
      </c>
      <c r="AC96" s="43">
        <v>6831.4989999999998</v>
      </c>
      <c r="AD96" s="43">
        <v>0.158</v>
      </c>
      <c r="AE96" s="43">
        <v>0.95699999999999996</v>
      </c>
      <c r="AF96" s="69">
        <v>1</v>
      </c>
      <c r="AG96" s="43">
        <v>2.35</v>
      </c>
      <c r="AH96" s="69">
        <v>-118.848</v>
      </c>
      <c r="AI96" s="69">
        <v>-118.848</v>
      </c>
      <c r="AJ96" s="69" t="s">
        <v>1408</v>
      </c>
      <c r="AK96" s="69">
        <v>1</v>
      </c>
      <c r="AL96" s="69">
        <v>0</v>
      </c>
      <c r="AM96" s="69">
        <v>0</v>
      </c>
      <c r="AN96" s="69">
        <v>1</v>
      </c>
      <c r="AO96" s="69">
        <v>1</v>
      </c>
      <c r="AP96" s="43">
        <v>0</v>
      </c>
      <c r="AQ96" s="68" t="s">
        <v>1788</v>
      </c>
      <c r="AR96" s="43" t="s">
        <v>769</v>
      </c>
      <c r="AS96" s="43">
        <v>2090</v>
      </c>
      <c r="AT96" s="43">
        <v>21.728000000000002</v>
      </c>
      <c r="AU96" s="69">
        <v>267.12</v>
      </c>
      <c r="AV96" s="69">
        <v>-43.17</v>
      </c>
      <c r="AW96" s="43">
        <v>58.632599999999996</v>
      </c>
      <c r="AX96" s="43">
        <v>0.55920000000000003</v>
      </c>
      <c r="AY96" s="69">
        <v>267.12</v>
      </c>
      <c r="AZ96" s="69">
        <v>-43.17</v>
      </c>
      <c r="BA96" s="43">
        <v>58.632599999999996</v>
      </c>
      <c r="BB96" s="43">
        <v>0.55920000000000003</v>
      </c>
      <c r="BC96" s="69">
        <v>1</v>
      </c>
      <c r="BD96" s="69">
        <v>1</v>
      </c>
      <c r="BE96" s="43">
        <v>0</v>
      </c>
      <c r="BF96" s="43">
        <v>-9.65</v>
      </c>
      <c r="BG96" s="43">
        <v>24.532399999999999</v>
      </c>
      <c r="BH96" s="43">
        <v>-9.65</v>
      </c>
      <c r="BI96" s="43">
        <v>2.4300999999999999</v>
      </c>
      <c r="BJ96" s="53">
        <v>0</v>
      </c>
      <c r="BK96" s="53">
        <v>8.8999999999999996E-2</v>
      </c>
      <c r="BL96" s="53">
        <v>119.2</v>
      </c>
      <c r="BM96" s="43">
        <v>2</v>
      </c>
      <c r="BN96" s="34" t="s">
        <v>89</v>
      </c>
      <c r="BO96" s="34" t="s">
        <v>89</v>
      </c>
      <c r="BP96" s="34" t="s">
        <v>89</v>
      </c>
      <c r="BQ96" s="34" t="s">
        <v>89</v>
      </c>
      <c r="BR96" s="34" t="s">
        <v>89</v>
      </c>
      <c r="BS96" s="34" t="s">
        <v>89</v>
      </c>
      <c r="BT96" s="34" t="s">
        <v>89</v>
      </c>
      <c r="BU96" s="34" t="s">
        <v>89</v>
      </c>
      <c r="BV96" s="34" t="s">
        <v>89</v>
      </c>
      <c r="BW96" s="34" t="s">
        <v>89</v>
      </c>
      <c r="BX96" s="34" t="s">
        <v>89</v>
      </c>
      <c r="BY96" s="34" t="s">
        <v>89</v>
      </c>
      <c r="BZ96" s="34" t="s">
        <v>89</v>
      </c>
      <c r="CA96" s="34" t="s">
        <v>89</v>
      </c>
      <c r="CB96" s="34" t="s">
        <v>89</v>
      </c>
      <c r="CC96" s="34" t="s">
        <v>89</v>
      </c>
      <c r="CD96" s="34" t="s">
        <v>89</v>
      </c>
      <c r="CE96" s="43">
        <v>-0.17012778484372501</v>
      </c>
      <c r="CF96" s="43">
        <v>1</v>
      </c>
      <c r="CG96" s="43">
        <v>0</v>
      </c>
      <c r="CH96" s="43">
        <v>0</v>
      </c>
      <c r="CI96" s="43">
        <v>-45.366</v>
      </c>
      <c r="CJ96" s="43">
        <v>-4.73769666271592</v>
      </c>
      <c r="CK96" s="43">
        <v>-0.67115969194403402</v>
      </c>
      <c r="CL96" s="43">
        <v>0</v>
      </c>
      <c r="CM96" s="43">
        <v>23469</v>
      </c>
      <c r="CN96" s="43">
        <v>2090</v>
      </c>
      <c r="CO96" s="43">
        <v>267.12</v>
      </c>
      <c r="CP96" s="43">
        <v>-43.17</v>
      </c>
      <c r="CQ96" s="43">
        <v>24.847999999999999</v>
      </c>
      <c r="CR96" s="43">
        <v>-1252.1613904464</v>
      </c>
      <c r="CS96" s="43">
        <v>0</v>
      </c>
      <c r="CT96" s="43">
        <v>0</v>
      </c>
      <c r="CU96" s="43">
        <v>1</v>
      </c>
      <c r="CV96" s="46" t="s">
        <v>89</v>
      </c>
      <c r="CW96" s="34"/>
      <c r="CX96" s="35"/>
    </row>
    <row r="97" spans="1:102" ht="15" customHeight="1" x14ac:dyDescent="0.25">
      <c r="A97" s="33">
        <v>94</v>
      </c>
      <c r="B97" s="43" t="s">
        <v>1400</v>
      </c>
      <c r="C97" s="43">
        <v>0.1472</v>
      </c>
      <c r="D97" s="43">
        <v>0.56599999999999995</v>
      </c>
      <c r="E97" s="43" t="s">
        <v>281</v>
      </c>
      <c r="F97" s="43" t="s">
        <v>268</v>
      </c>
      <c r="G97" s="43" t="s">
        <v>898</v>
      </c>
      <c r="H97" s="43" t="s">
        <v>899</v>
      </c>
      <c r="I97" s="43" t="s">
        <v>900</v>
      </c>
      <c r="J97" s="43" t="s">
        <v>901</v>
      </c>
      <c r="K97" s="53" t="s">
        <v>2008</v>
      </c>
      <c r="L97" s="43" t="s">
        <v>855</v>
      </c>
      <c r="M97" s="43" t="s">
        <v>848</v>
      </c>
      <c r="N97" s="43" t="s">
        <v>669</v>
      </c>
      <c r="O97" s="43" t="s">
        <v>676</v>
      </c>
      <c r="P97" s="43" t="s">
        <v>669</v>
      </c>
      <c r="Q97" s="43" t="s">
        <v>669</v>
      </c>
      <c r="R97" s="43" t="s">
        <v>295</v>
      </c>
      <c r="S97" s="43">
        <v>67.489999999999995</v>
      </c>
      <c r="T97" s="43">
        <v>83.948999999999998</v>
      </c>
      <c r="U97" s="43">
        <v>15.9664</v>
      </c>
      <c r="V97" s="43">
        <v>-9.6630000000000003</v>
      </c>
      <c r="W97" s="43">
        <v>1</v>
      </c>
      <c r="X97" s="43">
        <v>1</v>
      </c>
      <c r="Y97" s="43">
        <v>4.2000000000000003E-2</v>
      </c>
      <c r="Z97" s="43">
        <v>2.1999999999999999E-2</v>
      </c>
      <c r="AA97" s="51">
        <v>100</v>
      </c>
      <c r="AB97" s="43">
        <v>0.155</v>
      </c>
      <c r="AC97" s="43">
        <v>6831.4989999999998</v>
      </c>
      <c r="AD97" s="43">
        <v>0.158</v>
      </c>
      <c r="AE97" s="43">
        <v>0.95699999999999996</v>
      </c>
      <c r="AF97" s="69">
        <v>1</v>
      </c>
      <c r="AG97" s="43">
        <v>2.35</v>
      </c>
      <c r="AH97" s="69">
        <v>-118.848</v>
      </c>
      <c r="AI97" s="69">
        <v>-118.848</v>
      </c>
      <c r="AJ97" s="69" t="s">
        <v>1408</v>
      </c>
      <c r="AK97" s="69">
        <v>1</v>
      </c>
      <c r="AL97" s="69">
        <v>0</v>
      </c>
      <c r="AM97" s="69">
        <v>0</v>
      </c>
      <c r="AN97" s="69">
        <v>1</v>
      </c>
      <c r="AO97" s="69">
        <v>1</v>
      </c>
      <c r="AP97" s="43">
        <v>0</v>
      </c>
      <c r="AQ97" s="68" t="s">
        <v>1788</v>
      </c>
      <c r="AR97" s="43" t="s">
        <v>769</v>
      </c>
      <c r="AS97" s="43">
        <v>2090</v>
      </c>
      <c r="AT97" s="43">
        <v>21.728000000000002</v>
      </c>
      <c r="AU97" s="83">
        <v>267.12</v>
      </c>
      <c r="AV97" s="69">
        <v>947.74</v>
      </c>
      <c r="AW97" s="43">
        <v>0.443</v>
      </c>
      <c r="AX97" s="43">
        <v>0.57999999999999996</v>
      </c>
      <c r="AY97" s="83">
        <v>267.12</v>
      </c>
      <c r="AZ97" s="69">
        <v>947.74</v>
      </c>
      <c r="BA97" s="43">
        <v>0.443</v>
      </c>
      <c r="BB97" s="43">
        <v>0.57999999999999996</v>
      </c>
      <c r="BC97" s="69">
        <v>1</v>
      </c>
      <c r="BD97" s="69">
        <v>1</v>
      </c>
      <c r="BE97" s="43">
        <v>0</v>
      </c>
      <c r="BF97" s="43">
        <v>-22.41</v>
      </c>
      <c r="BG97" s="43">
        <v>9.7350999999999992</v>
      </c>
      <c r="BH97" s="43">
        <v>-22.41</v>
      </c>
      <c r="BI97" s="43">
        <v>0.5786</v>
      </c>
      <c r="BJ97" s="53">
        <v>1</v>
      </c>
      <c r="BK97" s="53">
        <v>0.09</v>
      </c>
      <c r="BL97" s="53">
        <v>120.4</v>
      </c>
      <c r="BM97" s="43">
        <v>2</v>
      </c>
      <c r="BN97" s="34" t="s">
        <v>89</v>
      </c>
      <c r="BO97" s="34" t="s">
        <v>89</v>
      </c>
      <c r="BP97" s="34" t="s">
        <v>89</v>
      </c>
      <c r="BQ97" s="34" t="s">
        <v>89</v>
      </c>
      <c r="BR97" s="34" t="s">
        <v>89</v>
      </c>
      <c r="BS97" s="34" t="s">
        <v>89</v>
      </c>
      <c r="BT97" s="34" t="s">
        <v>89</v>
      </c>
      <c r="BU97" s="34" t="s">
        <v>89</v>
      </c>
      <c r="BV97" s="34" t="s">
        <v>89</v>
      </c>
      <c r="BW97" s="34" t="s">
        <v>89</v>
      </c>
      <c r="BX97" s="34" t="s">
        <v>89</v>
      </c>
      <c r="BY97" s="34" t="s">
        <v>89</v>
      </c>
      <c r="BZ97" s="34" t="s">
        <v>89</v>
      </c>
      <c r="CA97" s="34" t="s">
        <v>89</v>
      </c>
      <c r="CB97" s="34" t="s">
        <v>89</v>
      </c>
      <c r="CC97" s="34" t="s">
        <v>89</v>
      </c>
      <c r="CD97" s="34" t="s">
        <v>89</v>
      </c>
      <c r="CE97" s="43">
        <v>1</v>
      </c>
      <c r="CF97" s="43">
        <v>1</v>
      </c>
      <c r="CG97" s="43">
        <v>0</v>
      </c>
      <c r="CH97" s="43">
        <v>0</v>
      </c>
      <c r="CI97" s="43">
        <v>-45.366</v>
      </c>
      <c r="CJ97" s="43">
        <v>-25.376999999999999</v>
      </c>
      <c r="CK97" s="43">
        <v>-3.5950000000000002</v>
      </c>
      <c r="CL97" s="43">
        <v>0</v>
      </c>
      <c r="CM97" s="43">
        <v>61897</v>
      </c>
      <c r="CN97" s="43">
        <v>2090</v>
      </c>
      <c r="CO97" s="43">
        <v>267.12</v>
      </c>
      <c r="CP97" s="43">
        <v>947.74</v>
      </c>
      <c r="CQ97" s="43">
        <v>24.847999999999999</v>
      </c>
      <c r="CR97" s="43">
        <v>412.8537556</v>
      </c>
      <c r="CS97" s="43">
        <v>0.14249999999999999</v>
      </c>
      <c r="CT97" s="43">
        <v>0</v>
      </c>
      <c r="CU97" s="43">
        <v>1</v>
      </c>
      <c r="CV97" s="46" t="s">
        <v>89</v>
      </c>
      <c r="CW97" s="34"/>
      <c r="CX97" s="35"/>
    </row>
    <row r="98" spans="1:102" ht="15" customHeight="1" x14ac:dyDescent="0.25">
      <c r="A98" s="33">
        <v>95</v>
      </c>
      <c r="B98" s="43" t="s">
        <v>902</v>
      </c>
      <c r="C98" s="43">
        <v>4.9700000000000001E-2</v>
      </c>
      <c r="D98" s="43">
        <v>0.83299999999999996</v>
      </c>
      <c r="E98" s="43" t="s">
        <v>294</v>
      </c>
      <c r="F98" s="43" t="s">
        <v>282</v>
      </c>
      <c r="G98" s="43" t="s">
        <v>903</v>
      </c>
      <c r="H98" s="43" t="s">
        <v>904</v>
      </c>
      <c r="I98" s="43" t="s">
        <v>905</v>
      </c>
      <c r="J98" s="43" t="s">
        <v>906</v>
      </c>
      <c r="K98" s="53" t="s">
        <v>2009</v>
      </c>
      <c r="L98" s="43" t="s">
        <v>861</v>
      </c>
      <c r="M98" s="43" t="s">
        <v>855</v>
      </c>
      <c r="N98" s="43" t="s">
        <v>706</v>
      </c>
      <c r="O98" s="43" t="s">
        <v>683</v>
      </c>
      <c r="P98" s="43" t="s">
        <v>676</v>
      </c>
      <c r="Q98" s="43" t="s">
        <v>676</v>
      </c>
      <c r="R98" s="43" t="s">
        <v>191</v>
      </c>
      <c r="S98" s="43">
        <v>37.454999999999998</v>
      </c>
      <c r="T98" s="43">
        <v>-144.667</v>
      </c>
      <c r="U98" s="43">
        <v>21.037299999999998</v>
      </c>
      <c r="V98" s="43">
        <v>-27.334</v>
      </c>
      <c r="W98" s="43">
        <v>1</v>
      </c>
      <c r="X98" s="43">
        <v>0</v>
      </c>
      <c r="Y98" s="43">
        <v>0.18</v>
      </c>
      <c r="Z98" s="43">
        <v>0.17100000000000001</v>
      </c>
      <c r="AA98" s="43">
        <v>4653.2070000000003</v>
      </c>
      <c r="AB98" s="51">
        <v>0</v>
      </c>
      <c r="AC98" s="43">
        <v>1635.6030000000001</v>
      </c>
      <c r="AD98" s="43">
        <v>0.17799999999999999</v>
      </c>
      <c r="AE98" s="43">
        <v>0.97</v>
      </c>
      <c r="AF98" s="69">
        <v>1</v>
      </c>
      <c r="AG98" s="43">
        <v>-22.681999999999999</v>
      </c>
      <c r="AH98" s="69">
        <v>50.061</v>
      </c>
      <c r="AI98" s="69">
        <v>59.304000000000002</v>
      </c>
      <c r="AJ98" s="69" t="s">
        <v>1449</v>
      </c>
      <c r="AK98" s="69">
        <v>1</v>
      </c>
      <c r="AL98" s="69">
        <v>1</v>
      </c>
      <c r="AM98" s="69">
        <v>0</v>
      </c>
      <c r="AN98" s="69">
        <v>0</v>
      </c>
      <c r="AO98" s="69">
        <v>0</v>
      </c>
      <c r="AP98" s="43">
        <v>0</v>
      </c>
      <c r="AQ98" s="68" t="s">
        <v>1766</v>
      </c>
      <c r="AR98" s="43" t="s">
        <v>907</v>
      </c>
      <c r="AS98" s="43">
        <v>4809</v>
      </c>
      <c r="AT98" s="43">
        <v>2.7069999999999999</v>
      </c>
      <c r="AU98" s="69">
        <v>404.9</v>
      </c>
      <c r="AV98" s="69">
        <v>267.12</v>
      </c>
      <c r="AW98" s="43">
        <v>17.1813</v>
      </c>
      <c r="AX98" s="43">
        <v>0.38640000000000002</v>
      </c>
      <c r="AY98" s="69">
        <v>404.9</v>
      </c>
      <c r="AZ98" s="69">
        <v>267.12</v>
      </c>
      <c r="BA98" s="43">
        <v>17.1813</v>
      </c>
      <c r="BB98" s="43">
        <v>0.38640000000000002</v>
      </c>
      <c r="BC98" s="69">
        <v>1</v>
      </c>
      <c r="BD98" s="69">
        <v>1</v>
      </c>
      <c r="BE98" s="43">
        <v>0</v>
      </c>
      <c r="BF98" s="43">
        <v>-8.69</v>
      </c>
      <c r="BG98" s="43">
        <v>1.6161000000000001</v>
      </c>
      <c r="BH98" s="43">
        <v>-8.69</v>
      </c>
      <c r="BI98" s="43">
        <v>18.063199999999998</v>
      </c>
      <c r="BJ98" s="53">
        <v>0</v>
      </c>
      <c r="BK98" s="53">
        <v>9.0999999999999998E-2</v>
      </c>
      <c r="BL98" s="53">
        <v>121.6</v>
      </c>
      <c r="BM98" s="43">
        <v>2</v>
      </c>
      <c r="BN98" s="34" t="s">
        <v>89</v>
      </c>
      <c r="BO98" s="34" t="s">
        <v>89</v>
      </c>
      <c r="BP98" s="34" t="s">
        <v>89</v>
      </c>
      <c r="BQ98" s="34" t="s">
        <v>89</v>
      </c>
      <c r="BR98" s="34" t="s">
        <v>89</v>
      </c>
      <c r="BS98" s="34" t="s">
        <v>89</v>
      </c>
      <c r="BT98" s="34" t="s">
        <v>89</v>
      </c>
      <c r="BU98" s="34" t="s">
        <v>89</v>
      </c>
      <c r="BV98" s="34" t="s">
        <v>89</v>
      </c>
      <c r="BW98" s="34" t="s">
        <v>89</v>
      </c>
      <c r="BX98" s="34" t="s">
        <v>89</v>
      </c>
      <c r="BY98" s="34" t="s">
        <v>89</v>
      </c>
      <c r="BZ98" s="34" t="s">
        <v>89</v>
      </c>
      <c r="CA98" s="34" t="s">
        <v>89</v>
      </c>
      <c r="CB98" s="34" t="s">
        <v>89</v>
      </c>
      <c r="CC98" s="34" t="s">
        <v>89</v>
      </c>
      <c r="CD98" s="34" t="s">
        <v>89</v>
      </c>
      <c r="CE98" s="43">
        <v>1.0755624413437299</v>
      </c>
      <c r="CF98" s="43">
        <v>1</v>
      </c>
      <c r="CG98" s="43">
        <v>0</v>
      </c>
      <c r="CH98" s="43">
        <v>0</v>
      </c>
      <c r="CI98" s="43">
        <v>131.82499999999999</v>
      </c>
      <c r="CJ98" s="43">
        <v>14.738919872793399</v>
      </c>
      <c r="CK98" s="43">
        <v>-26.2100961650921</v>
      </c>
      <c r="CL98" s="43">
        <v>0</v>
      </c>
      <c r="CM98" s="43">
        <v>62305</v>
      </c>
      <c r="CN98" s="43">
        <v>4809</v>
      </c>
      <c r="CO98" s="43">
        <v>404.9</v>
      </c>
      <c r="CP98" s="43">
        <v>267.12</v>
      </c>
      <c r="CQ98" s="43">
        <v>25.36</v>
      </c>
      <c r="CR98" s="43">
        <v>1939.6232299584001</v>
      </c>
      <c r="CS98" s="43">
        <v>0.58165087500000001</v>
      </c>
      <c r="CT98" s="43">
        <v>0.38245037500000001</v>
      </c>
      <c r="CU98" s="43">
        <v>1</v>
      </c>
      <c r="CV98" s="46" t="s">
        <v>89</v>
      </c>
      <c r="CW98" s="34"/>
      <c r="CX98" s="35"/>
    </row>
    <row r="99" spans="1:102" ht="15" customHeight="1" x14ac:dyDescent="0.25">
      <c r="A99" s="33">
        <v>96</v>
      </c>
      <c r="B99" s="43" t="s">
        <v>908</v>
      </c>
      <c r="C99" s="43">
        <v>0.9526</v>
      </c>
      <c r="D99" s="43">
        <v>0.68700000000000006</v>
      </c>
      <c r="E99" s="43" t="s">
        <v>179</v>
      </c>
      <c r="F99" s="43" t="s">
        <v>573</v>
      </c>
      <c r="G99" s="43" t="s">
        <v>909</v>
      </c>
      <c r="H99" s="43" t="s">
        <v>910</v>
      </c>
      <c r="I99" s="43" t="s">
        <v>911</v>
      </c>
      <c r="J99" s="43" t="s">
        <v>912</v>
      </c>
      <c r="K99" s="53" t="s">
        <v>2010</v>
      </c>
      <c r="L99" s="43" t="s">
        <v>840</v>
      </c>
      <c r="M99" s="43" t="s">
        <v>841</v>
      </c>
      <c r="N99" s="43" t="s">
        <v>698</v>
      </c>
      <c r="O99" s="43" t="s">
        <v>676</v>
      </c>
      <c r="P99" s="43" t="s">
        <v>698</v>
      </c>
      <c r="Q99" s="43" t="s">
        <v>662</v>
      </c>
      <c r="R99" s="43" t="s">
        <v>405</v>
      </c>
      <c r="S99" s="43">
        <v>191.369</v>
      </c>
      <c r="T99" s="43">
        <v>-41.575000000000003</v>
      </c>
      <c r="U99" s="43">
        <v>23.173500000000001</v>
      </c>
      <c r="V99" s="43">
        <v>20.966999999999999</v>
      </c>
      <c r="W99" s="43">
        <v>1</v>
      </c>
      <c r="X99" s="43">
        <v>0</v>
      </c>
      <c r="Y99" s="43">
        <v>3.3000000000000002E-2</v>
      </c>
      <c r="Z99" s="43">
        <v>0.152</v>
      </c>
      <c r="AA99" s="43">
        <v>1265.934</v>
      </c>
      <c r="AB99" s="51">
        <v>1</v>
      </c>
      <c r="AC99" s="43">
        <v>5888.8559999999998</v>
      </c>
      <c r="AD99" s="43">
        <v>0.66300000000000003</v>
      </c>
      <c r="AE99" s="43">
        <v>0.97</v>
      </c>
      <c r="AF99" s="69">
        <v>0</v>
      </c>
      <c r="AG99" s="43">
        <v>-24.347000000000001</v>
      </c>
      <c r="AH99" s="69">
        <v>136.34100000000001</v>
      </c>
      <c r="AI99" s="69">
        <v>50.061</v>
      </c>
      <c r="AJ99" s="69" t="s">
        <v>1440</v>
      </c>
      <c r="AK99" s="69">
        <v>0</v>
      </c>
      <c r="AL99" s="69">
        <v>2</v>
      </c>
      <c r="AM99" s="69">
        <v>1</v>
      </c>
      <c r="AN99" s="69">
        <v>0</v>
      </c>
      <c r="AO99" s="69">
        <v>1</v>
      </c>
      <c r="AP99" s="69">
        <v>1</v>
      </c>
      <c r="AQ99" s="68" t="s">
        <v>1767</v>
      </c>
      <c r="AR99" s="43" t="s">
        <v>783</v>
      </c>
      <c r="AS99" s="43">
        <v>4196</v>
      </c>
      <c r="AT99" s="43">
        <v>8.9749999999999996</v>
      </c>
      <c r="AU99" s="69">
        <v>865.32</v>
      </c>
      <c r="AV99" s="69">
        <v>-43.17</v>
      </c>
      <c r="AW99" s="43">
        <v>67.973399999999998</v>
      </c>
      <c r="AX99" s="43">
        <v>0.4395</v>
      </c>
      <c r="AY99" s="69">
        <v>865.32</v>
      </c>
      <c r="AZ99" s="69">
        <v>-43.17</v>
      </c>
      <c r="BA99" s="43">
        <v>67.973399999999998</v>
      </c>
      <c r="BB99" s="43">
        <v>0.4395</v>
      </c>
      <c r="BC99" s="69">
        <v>0</v>
      </c>
      <c r="BD99" s="69">
        <v>0</v>
      </c>
      <c r="BE99" s="43">
        <v>0</v>
      </c>
      <c r="BF99" s="43">
        <v>-4.57</v>
      </c>
      <c r="BG99" s="43">
        <v>7.0457999999999998</v>
      </c>
      <c r="BH99" s="43">
        <v>-4.57</v>
      </c>
      <c r="BI99" s="43">
        <v>11.7454</v>
      </c>
      <c r="BJ99" s="53">
        <v>1</v>
      </c>
      <c r="BK99" s="53">
        <v>9.1999999999999998E-2</v>
      </c>
      <c r="BL99" s="53">
        <v>122.8</v>
      </c>
      <c r="BM99" s="43">
        <v>2</v>
      </c>
      <c r="BN99" s="34" t="s">
        <v>89</v>
      </c>
      <c r="BO99" s="34" t="s">
        <v>89</v>
      </c>
      <c r="BP99" s="34" t="s">
        <v>89</v>
      </c>
      <c r="BQ99" s="34" t="s">
        <v>89</v>
      </c>
      <c r="BR99" s="34" t="s">
        <v>89</v>
      </c>
      <c r="BS99" s="34" t="s">
        <v>89</v>
      </c>
      <c r="BT99" s="34" t="s">
        <v>89</v>
      </c>
      <c r="BU99" s="34" t="s">
        <v>89</v>
      </c>
      <c r="BV99" s="34" t="s">
        <v>89</v>
      </c>
      <c r="BW99" s="34" t="s">
        <v>89</v>
      </c>
      <c r="BX99" s="34" t="s">
        <v>89</v>
      </c>
      <c r="BY99" s="34" t="s">
        <v>89</v>
      </c>
      <c r="BZ99" s="34" t="s">
        <v>89</v>
      </c>
      <c r="CA99" s="34" t="s">
        <v>89</v>
      </c>
      <c r="CB99" s="34" t="s">
        <v>89</v>
      </c>
      <c r="CC99" s="34" t="s">
        <v>89</v>
      </c>
      <c r="CD99" s="34" t="s">
        <v>89</v>
      </c>
      <c r="CE99" s="43">
        <v>1</v>
      </c>
      <c r="CF99" s="43">
        <v>1</v>
      </c>
      <c r="CG99" s="43">
        <v>-4.57</v>
      </c>
      <c r="CH99" s="43">
        <v>11.7454</v>
      </c>
      <c r="CI99" s="43">
        <v>-220</v>
      </c>
      <c r="CJ99" s="43">
        <v>2.6139999999999999</v>
      </c>
      <c r="CK99" s="43">
        <v>-1.94</v>
      </c>
      <c r="CL99" s="43">
        <v>10634</v>
      </c>
      <c r="CM99" s="43">
        <v>59391</v>
      </c>
      <c r="CN99" s="43">
        <v>589</v>
      </c>
      <c r="CO99" s="43">
        <v>865.32</v>
      </c>
      <c r="CP99" s="43">
        <v>-43.17</v>
      </c>
      <c r="CQ99" s="43">
        <v>865.32</v>
      </c>
      <c r="CR99" s="43">
        <v>-43.17</v>
      </c>
      <c r="CS99" s="43">
        <v>1</v>
      </c>
      <c r="CT99" s="43">
        <v>0</v>
      </c>
      <c r="CU99" s="43">
        <v>1</v>
      </c>
      <c r="CV99" s="46" t="s">
        <v>89</v>
      </c>
      <c r="CW99" s="34"/>
      <c r="CX99" s="35"/>
    </row>
    <row r="100" spans="1:102" ht="15" customHeight="1" x14ac:dyDescent="0.25">
      <c r="A100" s="33">
        <v>97</v>
      </c>
      <c r="B100" s="43" t="s">
        <v>1836</v>
      </c>
      <c r="C100" s="43">
        <v>0.12039999999999999</v>
      </c>
      <c r="D100" s="43">
        <v>0.14299999999999999</v>
      </c>
      <c r="E100" s="43" t="s">
        <v>237</v>
      </c>
      <c r="F100" s="43" t="s">
        <v>203</v>
      </c>
      <c r="G100" s="43" t="s">
        <v>913</v>
      </c>
      <c r="H100" s="43" t="s">
        <v>914</v>
      </c>
      <c r="I100" s="43" t="s">
        <v>915</v>
      </c>
      <c r="J100" s="43" t="s">
        <v>916</v>
      </c>
      <c r="K100" s="53" t="s">
        <v>2011</v>
      </c>
      <c r="L100" s="43" t="s">
        <v>848</v>
      </c>
      <c r="M100" s="43" t="s">
        <v>789</v>
      </c>
      <c r="N100" s="43" t="s">
        <v>707</v>
      </c>
      <c r="O100" s="43" t="s">
        <v>683</v>
      </c>
      <c r="P100" s="43" t="s">
        <v>707</v>
      </c>
      <c r="Q100" s="43" t="s">
        <v>403</v>
      </c>
      <c r="R100" s="43" t="s">
        <v>416</v>
      </c>
      <c r="S100" s="43">
        <v>-147.34299999999999</v>
      </c>
      <c r="T100" s="43">
        <v>48.84</v>
      </c>
      <c r="U100" s="43">
        <v>12.8893</v>
      </c>
      <c r="V100" s="43">
        <v>10.295999999999999</v>
      </c>
      <c r="W100" s="43">
        <v>0</v>
      </c>
      <c r="X100" s="43">
        <v>0</v>
      </c>
      <c r="Y100" s="43">
        <v>0.129</v>
      </c>
      <c r="Z100" s="43">
        <v>0.126</v>
      </c>
      <c r="AA100" s="43">
        <v>7251.5150000000003</v>
      </c>
      <c r="AB100" s="51">
        <v>0.64100000000000001</v>
      </c>
      <c r="AC100" s="43">
        <v>5272.3980000000001</v>
      </c>
      <c r="AD100" s="43">
        <v>0.88500000000000001</v>
      </c>
      <c r="AE100" s="43">
        <v>0.96799999999999997</v>
      </c>
      <c r="AF100" s="69">
        <v>1</v>
      </c>
      <c r="AG100" s="43">
        <v>12.345000000000001</v>
      </c>
      <c r="AH100" s="69">
        <v>59.731999999999999</v>
      </c>
      <c r="AI100" s="69">
        <v>-207.91800000000001</v>
      </c>
      <c r="AJ100" s="69" t="s">
        <v>1441</v>
      </c>
      <c r="AK100" s="69">
        <v>1</v>
      </c>
      <c r="AL100" s="69">
        <v>3</v>
      </c>
      <c r="AM100" s="69">
        <v>0</v>
      </c>
      <c r="AN100" s="69">
        <v>1</v>
      </c>
      <c r="AO100" s="69">
        <v>1</v>
      </c>
      <c r="AP100" s="69">
        <v>0</v>
      </c>
      <c r="AQ100" s="68" t="s">
        <v>1768</v>
      </c>
      <c r="AR100" s="43" t="s">
        <v>917</v>
      </c>
      <c r="AS100" s="43">
        <v>3061</v>
      </c>
      <c r="AT100" s="43">
        <v>-21.053000000000001</v>
      </c>
      <c r="AU100" s="69">
        <v>267.12</v>
      </c>
      <c r="AV100" s="69">
        <v>-38.799999999999997</v>
      </c>
      <c r="AW100" s="43">
        <v>74.110799999999998</v>
      </c>
      <c r="AX100" s="43">
        <v>0.65439999999999998</v>
      </c>
      <c r="AY100" s="69">
        <v>267.12</v>
      </c>
      <c r="AZ100" s="69">
        <v>-38.799999999999997</v>
      </c>
      <c r="BA100" s="43">
        <v>74.110799999999998</v>
      </c>
      <c r="BB100" s="43">
        <v>0.65439999999999998</v>
      </c>
      <c r="BC100" s="69">
        <v>1</v>
      </c>
      <c r="BD100" s="69">
        <v>1</v>
      </c>
      <c r="BE100" s="43">
        <v>0</v>
      </c>
      <c r="BF100" s="43">
        <v>-25.6</v>
      </c>
      <c r="BG100" s="43">
        <v>9.2646999999999995</v>
      </c>
      <c r="BH100" s="43">
        <v>-25.6</v>
      </c>
      <c r="BI100" s="43">
        <v>20.935700000000001</v>
      </c>
      <c r="BJ100" s="43">
        <v>0</v>
      </c>
      <c r="BK100" s="53">
        <v>9.2999999999999999E-2</v>
      </c>
      <c r="BL100" s="53">
        <v>124</v>
      </c>
      <c r="BM100" s="43">
        <v>2</v>
      </c>
      <c r="BN100" s="34" t="s">
        <v>89</v>
      </c>
      <c r="BO100" s="34" t="s">
        <v>89</v>
      </c>
      <c r="BP100" s="34" t="s">
        <v>89</v>
      </c>
      <c r="BQ100" s="34" t="s">
        <v>89</v>
      </c>
      <c r="BR100" s="34" t="s">
        <v>89</v>
      </c>
      <c r="BS100" s="34" t="s">
        <v>89</v>
      </c>
      <c r="BT100" s="34" t="s">
        <v>89</v>
      </c>
      <c r="BU100" s="34" t="s">
        <v>89</v>
      </c>
      <c r="BV100" s="34" t="s">
        <v>89</v>
      </c>
      <c r="BW100" s="34" t="s">
        <v>89</v>
      </c>
      <c r="BX100" s="34" t="s">
        <v>89</v>
      </c>
      <c r="BY100" s="34" t="s">
        <v>89</v>
      </c>
      <c r="BZ100" s="34" t="s">
        <v>89</v>
      </c>
      <c r="CA100" s="34" t="s">
        <v>89</v>
      </c>
      <c r="CB100" s="34" t="s">
        <v>89</v>
      </c>
      <c r="CC100" s="34" t="s">
        <v>89</v>
      </c>
      <c r="CD100" s="34" t="s">
        <v>89</v>
      </c>
      <c r="CE100" s="43">
        <v>-2.1947929695366399</v>
      </c>
      <c r="CF100" s="43">
        <v>1</v>
      </c>
      <c r="CG100" s="43">
        <v>0</v>
      </c>
      <c r="CH100" s="43">
        <v>0</v>
      </c>
      <c r="CI100" s="43">
        <v>-48.22</v>
      </c>
      <c r="CJ100" s="43">
        <v>-0.99537431658836495</v>
      </c>
      <c r="CK100" s="43">
        <v>-4.7365419843886398</v>
      </c>
      <c r="CL100" s="43">
        <v>0</v>
      </c>
      <c r="CM100" s="43">
        <v>1221</v>
      </c>
      <c r="CN100" s="43">
        <v>3061</v>
      </c>
      <c r="CO100" s="43">
        <v>267.12</v>
      </c>
      <c r="CP100" s="43">
        <v>-38.799999999999997</v>
      </c>
      <c r="CQ100" s="43">
        <v>18.556000000000001</v>
      </c>
      <c r="CR100" s="43">
        <v>-1694.7801973759999</v>
      </c>
      <c r="CS100" s="43">
        <v>0</v>
      </c>
      <c r="CT100" s="43">
        <v>0.22595024999999999</v>
      </c>
      <c r="CU100" s="43">
        <v>1</v>
      </c>
      <c r="CV100" s="46" t="s">
        <v>89</v>
      </c>
      <c r="CW100" s="34"/>
      <c r="CX100" s="35"/>
    </row>
    <row r="101" spans="1:102" ht="15" customHeight="1" x14ac:dyDescent="0.25">
      <c r="A101" s="33">
        <v>98</v>
      </c>
      <c r="B101" s="43" t="s">
        <v>918</v>
      </c>
      <c r="C101" s="43">
        <v>0.38250000000000001</v>
      </c>
      <c r="D101" s="43">
        <v>9.9000000000000005E-2</v>
      </c>
      <c r="E101" s="43" t="s">
        <v>253</v>
      </c>
      <c r="F101" s="43" t="s">
        <v>165</v>
      </c>
      <c r="G101" s="43" t="s">
        <v>919</v>
      </c>
      <c r="H101" s="43" t="s">
        <v>920</v>
      </c>
      <c r="I101" s="43" t="s">
        <v>921</v>
      </c>
      <c r="J101" s="43" t="s">
        <v>922</v>
      </c>
      <c r="K101" s="53" t="s">
        <v>2012</v>
      </c>
      <c r="L101" s="43" t="s">
        <v>855</v>
      </c>
      <c r="M101" s="43" t="s">
        <v>796</v>
      </c>
      <c r="N101" s="43" t="s">
        <v>715</v>
      </c>
      <c r="O101" s="43" t="s">
        <v>690</v>
      </c>
      <c r="P101" s="43" t="s">
        <v>767</v>
      </c>
      <c r="Q101" s="43" t="s">
        <v>339</v>
      </c>
      <c r="R101" s="43" t="s">
        <v>412</v>
      </c>
      <c r="S101" s="43">
        <v>6.1890000000000001</v>
      </c>
      <c r="T101" s="43">
        <v>107.702</v>
      </c>
      <c r="U101" s="43">
        <v>9.3503000000000007</v>
      </c>
      <c r="V101" s="43">
        <v>28.44</v>
      </c>
      <c r="W101" s="43">
        <v>0</v>
      </c>
      <c r="X101" s="43">
        <v>1</v>
      </c>
      <c r="Y101" s="43">
        <v>0.14599999999999999</v>
      </c>
      <c r="Z101" s="43">
        <v>0.192</v>
      </c>
      <c r="AA101" s="43">
        <v>5252.4129999999996</v>
      </c>
      <c r="AB101" s="43">
        <v>0.98699999999999999</v>
      </c>
      <c r="AC101" s="51">
        <v>10</v>
      </c>
      <c r="AD101" s="43">
        <v>0.37</v>
      </c>
      <c r="AE101" s="43">
        <v>0.97499999999999998</v>
      </c>
      <c r="AF101" s="69">
        <v>0</v>
      </c>
      <c r="AG101" s="43">
        <v>8.9779999999999998</v>
      </c>
      <c r="AH101" s="69">
        <v>1.6220000000000001</v>
      </c>
      <c r="AI101" s="69">
        <v>-198.286</v>
      </c>
      <c r="AJ101" s="69" t="s">
        <v>1442</v>
      </c>
      <c r="AK101" s="69">
        <v>0</v>
      </c>
      <c r="AL101" s="69">
        <v>4</v>
      </c>
      <c r="AM101" s="69">
        <v>0</v>
      </c>
      <c r="AN101" s="69">
        <v>1</v>
      </c>
      <c r="AO101" s="69">
        <v>0</v>
      </c>
      <c r="AP101" s="43">
        <v>0</v>
      </c>
      <c r="AQ101" s="43" t="s">
        <v>1731</v>
      </c>
      <c r="AR101" s="43" t="s">
        <v>797</v>
      </c>
      <c r="AS101" s="43">
        <v>2412</v>
      </c>
      <c r="AT101" s="43">
        <v>18.244</v>
      </c>
      <c r="AU101" s="69">
        <v>-657.1</v>
      </c>
      <c r="AV101" s="69">
        <v>-657.13</v>
      </c>
      <c r="AW101" s="43">
        <v>79.426699999999997</v>
      </c>
      <c r="AX101" s="43">
        <v>0.75729999999999997</v>
      </c>
      <c r="AY101" s="69">
        <v>-657.1</v>
      </c>
      <c r="AZ101" s="69">
        <v>-657.13</v>
      </c>
      <c r="BA101" s="43">
        <v>79.426699999999997</v>
      </c>
      <c r="BB101" s="43">
        <v>0.75729999999999997</v>
      </c>
      <c r="BC101" s="69">
        <v>0</v>
      </c>
      <c r="BD101" s="69">
        <v>0</v>
      </c>
      <c r="BE101" s="43">
        <v>0</v>
      </c>
      <c r="BF101" s="43">
        <v>-10.5</v>
      </c>
      <c r="BG101" s="43">
        <v>23.7485</v>
      </c>
      <c r="BH101" s="43">
        <v>-10.5</v>
      </c>
      <c r="BI101" s="43">
        <v>9.6587999999999994</v>
      </c>
      <c r="BJ101" s="43">
        <v>1</v>
      </c>
      <c r="BK101" s="53">
        <v>9.4E-2</v>
      </c>
      <c r="BL101" s="53">
        <v>125.2</v>
      </c>
      <c r="BM101" s="43">
        <v>2</v>
      </c>
      <c r="BN101" s="34" t="s">
        <v>89</v>
      </c>
      <c r="BO101" s="34" t="s">
        <v>89</v>
      </c>
      <c r="BP101" s="34" t="s">
        <v>89</v>
      </c>
      <c r="BQ101" s="34" t="s">
        <v>89</v>
      </c>
      <c r="BR101" s="34" t="s">
        <v>89</v>
      </c>
      <c r="BS101" s="34" t="s">
        <v>89</v>
      </c>
      <c r="BT101" s="34" t="s">
        <v>89</v>
      </c>
      <c r="BU101" s="34" t="s">
        <v>89</v>
      </c>
      <c r="BV101" s="34" t="s">
        <v>89</v>
      </c>
      <c r="BW101" s="34" t="s">
        <v>89</v>
      </c>
      <c r="BX101" s="34" t="s">
        <v>89</v>
      </c>
      <c r="BY101" s="34" t="s">
        <v>89</v>
      </c>
      <c r="BZ101" s="34" t="s">
        <v>89</v>
      </c>
      <c r="CA101" s="34" t="s">
        <v>89</v>
      </c>
      <c r="CB101" s="34" t="s">
        <v>89</v>
      </c>
      <c r="CC101" s="34" t="s">
        <v>89</v>
      </c>
      <c r="CD101" s="34" t="s">
        <v>89</v>
      </c>
      <c r="CE101" s="43">
        <v>-0.21507677249566801</v>
      </c>
      <c r="CF101" s="43">
        <v>-0.46577596413391198</v>
      </c>
      <c r="CG101" s="43">
        <v>0</v>
      </c>
      <c r="CH101" s="43">
        <v>0</v>
      </c>
      <c r="CI101" s="43">
        <v>-220</v>
      </c>
      <c r="CJ101" s="43">
        <v>19.609001163018299</v>
      </c>
      <c r="CK101" s="43">
        <v>7.0524782271462598</v>
      </c>
      <c r="CL101" s="43">
        <v>63897</v>
      </c>
      <c r="CM101" s="43">
        <v>32606</v>
      </c>
      <c r="CN101" s="43">
        <v>1110</v>
      </c>
      <c r="CO101" s="43">
        <v>-657.1</v>
      </c>
      <c r="CP101" s="43">
        <v>-657.13</v>
      </c>
      <c r="CQ101" s="43">
        <v>-657.1</v>
      </c>
      <c r="CR101" s="43">
        <v>-657.13</v>
      </c>
      <c r="CS101" s="43">
        <v>0.33044837500000002</v>
      </c>
      <c r="CT101" s="43">
        <v>0.37125000000000002</v>
      </c>
      <c r="CU101" s="43">
        <v>1</v>
      </c>
      <c r="CV101" s="46" t="s">
        <v>89</v>
      </c>
      <c r="CW101" s="34"/>
      <c r="CX101" s="35"/>
    </row>
    <row r="102" spans="1:102" ht="15" customHeight="1" x14ac:dyDescent="0.25">
      <c r="A102" s="33">
        <v>99</v>
      </c>
      <c r="B102" s="43" t="s">
        <v>923</v>
      </c>
      <c r="C102" s="43">
        <v>1.3299999999999999E-2</v>
      </c>
      <c r="D102" s="43">
        <v>4.7E-2</v>
      </c>
      <c r="E102" s="43" t="s">
        <v>216</v>
      </c>
      <c r="F102" s="43" t="s">
        <v>179</v>
      </c>
      <c r="G102" s="43" t="s">
        <v>924</v>
      </c>
      <c r="H102" s="43" t="s">
        <v>925</v>
      </c>
      <c r="I102" s="43" t="s">
        <v>926</v>
      </c>
      <c r="J102" s="43" t="s">
        <v>927</v>
      </c>
      <c r="K102" s="53" t="s">
        <v>2013</v>
      </c>
      <c r="L102" s="43" t="s">
        <v>861</v>
      </c>
      <c r="M102" s="43" t="s">
        <v>802</v>
      </c>
      <c r="N102" s="43" t="s">
        <v>724</v>
      </c>
      <c r="O102" s="43" t="s">
        <v>698</v>
      </c>
      <c r="P102" s="43" t="s">
        <v>776</v>
      </c>
      <c r="Q102" s="43" t="s">
        <v>349</v>
      </c>
      <c r="R102" s="43" t="s">
        <v>311</v>
      </c>
      <c r="S102" s="43">
        <v>-105.246</v>
      </c>
      <c r="T102" s="43">
        <v>5.7240000000000002</v>
      </c>
      <c r="U102" s="43">
        <v>7.8981000000000003</v>
      </c>
      <c r="V102" s="43">
        <v>1.827</v>
      </c>
      <c r="W102" s="43">
        <v>1</v>
      </c>
      <c r="X102" s="43">
        <v>1</v>
      </c>
      <c r="Y102" s="43">
        <v>4.7E-2</v>
      </c>
      <c r="Z102" s="43">
        <v>0.05</v>
      </c>
      <c r="AA102" s="43">
        <v>18.21</v>
      </c>
      <c r="AB102" s="43">
        <v>0.81799999999999995</v>
      </c>
      <c r="AC102" s="51">
        <v>8000</v>
      </c>
      <c r="AD102" s="43">
        <v>0.61499999999999999</v>
      </c>
      <c r="AE102" s="43">
        <v>0.95699999999999996</v>
      </c>
      <c r="AF102" s="69">
        <v>0</v>
      </c>
      <c r="AG102" s="43">
        <v>-14.708</v>
      </c>
      <c r="AH102" s="69">
        <v>-126.64100000000001</v>
      </c>
      <c r="AI102" s="69">
        <v>136.34100000000001</v>
      </c>
      <c r="AJ102" s="69" t="s">
        <v>1443</v>
      </c>
      <c r="AK102" s="69">
        <v>1</v>
      </c>
      <c r="AL102" s="69">
        <v>0</v>
      </c>
      <c r="AM102" s="69">
        <v>0</v>
      </c>
      <c r="AN102" s="69">
        <v>0</v>
      </c>
      <c r="AO102" s="69">
        <v>1</v>
      </c>
      <c r="AP102" s="69">
        <v>0</v>
      </c>
      <c r="AQ102" s="68" t="s">
        <v>1769</v>
      </c>
      <c r="AR102" s="43" t="s">
        <v>928</v>
      </c>
      <c r="AS102" s="43">
        <v>1116</v>
      </c>
      <c r="AT102" s="43">
        <v>3.903</v>
      </c>
      <c r="AU102" s="69">
        <v>-43.17</v>
      </c>
      <c r="AV102" s="69">
        <v>-43.17</v>
      </c>
      <c r="AW102" s="43">
        <v>97.223500000000001</v>
      </c>
      <c r="AX102" s="43">
        <v>0.70309999999999995</v>
      </c>
      <c r="AY102" s="69">
        <v>-43.17</v>
      </c>
      <c r="AZ102" s="69">
        <v>-43.17</v>
      </c>
      <c r="BA102" s="43">
        <v>97.223500000000001</v>
      </c>
      <c r="BB102" s="43">
        <v>0.70309999999999995</v>
      </c>
      <c r="BC102" s="69">
        <v>1</v>
      </c>
      <c r="BD102" s="69">
        <v>1</v>
      </c>
      <c r="BE102" s="43">
        <v>0</v>
      </c>
      <c r="BF102" s="43">
        <v>-11.6</v>
      </c>
      <c r="BG102" s="43">
        <v>29.7059</v>
      </c>
      <c r="BH102" s="43">
        <v>-11.6</v>
      </c>
      <c r="BI102" s="43">
        <v>16.887599999999999</v>
      </c>
      <c r="BJ102" s="43">
        <v>0</v>
      </c>
      <c r="BK102" s="53">
        <v>9.5000000000000001E-2</v>
      </c>
      <c r="BL102" s="53">
        <v>126.4</v>
      </c>
      <c r="BM102" s="43">
        <v>2</v>
      </c>
      <c r="BN102" s="34" t="s">
        <v>89</v>
      </c>
      <c r="BO102" s="34" t="s">
        <v>89</v>
      </c>
      <c r="BP102" s="34" t="s">
        <v>89</v>
      </c>
      <c r="BQ102" s="34" t="s">
        <v>89</v>
      </c>
      <c r="BR102" s="34" t="s">
        <v>89</v>
      </c>
      <c r="BS102" s="34" t="s">
        <v>89</v>
      </c>
      <c r="BT102" s="34" t="s">
        <v>89</v>
      </c>
      <c r="BU102" s="34" t="s">
        <v>89</v>
      </c>
      <c r="BV102" s="34" t="s">
        <v>89</v>
      </c>
      <c r="BW102" s="34" t="s">
        <v>89</v>
      </c>
      <c r="BX102" s="34" t="s">
        <v>89</v>
      </c>
      <c r="BY102" s="34" t="s">
        <v>89</v>
      </c>
      <c r="BZ102" s="34" t="s">
        <v>89</v>
      </c>
      <c r="CA102" s="34" t="s">
        <v>89</v>
      </c>
      <c r="CB102" s="34" t="s">
        <v>89</v>
      </c>
      <c r="CC102" s="34" t="s">
        <v>89</v>
      </c>
      <c r="CD102" s="34" t="s">
        <v>89</v>
      </c>
      <c r="CE102" s="43">
        <v>1.98825958690386</v>
      </c>
      <c r="CF102" s="43">
        <v>-0.34193967702133099</v>
      </c>
      <c r="CG102" s="43">
        <v>0</v>
      </c>
      <c r="CH102" s="43">
        <v>0</v>
      </c>
      <c r="CI102" s="43">
        <v>131.10900000000001</v>
      </c>
      <c r="CJ102" s="43">
        <v>-2.3921119093605498</v>
      </c>
      <c r="CK102" s="43">
        <v>-4.1441555971144997</v>
      </c>
      <c r="CL102" s="43">
        <v>0</v>
      </c>
      <c r="CM102" s="43">
        <v>10620</v>
      </c>
      <c r="CN102" s="43">
        <v>1116</v>
      </c>
      <c r="CO102" s="43">
        <v>-43.17</v>
      </c>
      <c r="CP102" s="43">
        <v>-43.17</v>
      </c>
      <c r="CQ102" s="43">
        <v>5.1210000000000004</v>
      </c>
      <c r="CR102" s="43">
        <v>-2977.7603277345002</v>
      </c>
      <c r="CS102" s="43">
        <v>0.82027625000000004</v>
      </c>
      <c r="CT102" s="43">
        <v>0</v>
      </c>
      <c r="CU102" s="43">
        <v>1</v>
      </c>
      <c r="CV102" s="46" t="s">
        <v>89</v>
      </c>
      <c r="CW102" s="34"/>
      <c r="CX102" s="35"/>
    </row>
    <row r="103" spans="1:102" ht="15" customHeight="1" x14ac:dyDescent="0.25">
      <c r="A103" s="33">
        <v>100</v>
      </c>
      <c r="B103" s="43" t="s">
        <v>929</v>
      </c>
      <c r="C103" s="43">
        <v>0.39789999999999998</v>
      </c>
      <c r="D103" s="43">
        <v>0.72499999999999998</v>
      </c>
      <c r="E103" s="43" t="s">
        <v>268</v>
      </c>
      <c r="F103" s="43" t="s">
        <v>237</v>
      </c>
      <c r="G103" s="43" t="s">
        <v>930</v>
      </c>
      <c r="H103" s="43" t="s">
        <v>931</v>
      </c>
      <c r="I103" s="43" t="s">
        <v>932</v>
      </c>
      <c r="J103" s="43" t="s">
        <v>933</v>
      </c>
      <c r="K103" s="53" t="s">
        <v>2014</v>
      </c>
      <c r="L103" s="43" t="s">
        <v>867</v>
      </c>
      <c r="M103" s="43" t="s">
        <v>809</v>
      </c>
      <c r="N103" s="43" t="s">
        <v>733</v>
      </c>
      <c r="O103" s="43" t="s">
        <v>707</v>
      </c>
      <c r="P103" s="43" t="s">
        <v>662</v>
      </c>
      <c r="Q103" s="43" t="s">
        <v>357</v>
      </c>
      <c r="R103" s="43" t="s">
        <v>202</v>
      </c>
      <c r="S103" s="43">
        <v>-213.02699999999999</v>
      </c>
      <c r="T103" s="43">
        <v>59.304000000000002</v>
      </c>
      <c r="U103" s="43">
        <v>3.4605999999999999</v>
      </c>
      <c r="V103" s="43">
        <v>-11.698</v>
      </c>
      <c r="W103" s="43">
        <v>0</v>
      </c>
      <c r="X103" s="43">
        <v>1</v>
      </c>
      <c r="Y103" s="43">
        <v>2.8000000000000001E-2</v>
      </c>
      <c r="Z103" s="43">
        <v>0.17499999999999999</v>
      </c>
      <c r="AA103" s="43">
        <v>5675.1729999999998</v>
      </c>
      <c r="AB103" s="43">
        <v>0.81</v>
      </c>
      <c r="AC103" s="51">
        <v>7779.1930000000002</v>
      </c>
      <c r="AD103" s="43">
        <v>0.55200000000000005</v>
      </c>
      <c r="AE103" s="43">
        <v>0.95799999999999996</v>
      </c>
      <c r="AF103" s="69">
        <v>1</v>
      </c>
      <c r="AG103" s="43">
        <v>-2.7389999999999999</v>
      </c>
      <c r="AH103" s="69">
        <v>-34.619</v>
      </c>
      <c r="AI103" s="69">
        <v>59.731999999999999</v>
      </c>
      <c r="AJ103" s="69" t="s">
        <v>1444</v>
      </c>
      <c r="AK103" s="69">
        <v>0</v>
      </c>
      <c r="AL103" s="69">
        <v>2</v>
      </c>
      <c r="AM103" s="69">
        <v>1</v>
      </c>
      <c r="AN103" s="69">
        <v>1</v>
      </c>
      <c r="AO103" s="69">
        <v>1</v>
      </c>
      <c r="AP103" s="69">
        <v>1</v>
      </c>
      <c r="AQ103" s="68" t="s">
        <v>1770</v>
      </c>
      <c r="AR103" s="43" t="s">
        <v>811</v>
      </c>
      <c r="AS103" s="43">
        <v>2039</v>
      </c>
      <c r="AT103" s="43">
        <v>-7.0369999999999999</v>
      </c>
      <c r="AU103" s="69">
        <v>1118</v>
      </c>
      <c r="AV103" s="69">
        <v>-38.799999999999997</v>
      </c>
      <c r="AW103" s="43">
        <v>18.550599999999999</v>
      </c>
      <c r="AX103" s="43">
        <v>0.6895</v>
      </c>
      <c r="AY103" s="69">
        <v>1118</v>
      </c>
      <c r="AZ103" s="69">
        <v>-38.799999999999997</v>
      </c>
      <c r="BA103" s="43">
        <v>18.550599999999999</v>
      </c>
      <c r="BB103" s="43">
        <v>0.6895</v>
      </c>
      <c r="BC103" s="69">
        <v>0</v>
      </c>
      <c r="BD103" s="69">
        <v>0</v>
      </c>
      <c r="BE103" s="43">
        <v>0</v>
      </c>
      <c r="BF103" s="43">
        <v>-30.2</v>
      </c>
      <c r="BG103" s="43">
        <v>9.5295000000000005</v>
      </c>
      <c r="BH103" s="43">
        <v>-30.2</v>
      </c>
      <c r="BI103" s="43">
        <v>4.6490999999999998</v>
      </c>
      <c r="BJ103" s="43">
        <v>1</v>
      </c>
      <c r="BK103" s="53">
        <v>9.6000000000000002E-2</v>
      </c>
      <c r="BL103" s="53">
        <v>127.6</v>
      </c>
      <c r="BM103" s="43">
        <v>2</v>
      </c>
      <c r="BN103" s="34" t="s">
        <v>89</v>
      </c>
      <c r="BO103" s="34" t="s">
        <v>89</v>
      </c>
      <c r="BP103" s="34" t="s">
        <v>89</v>
      </c>
      <c r="BQ103" s="34" t="s">
        <v>89</v>
      </c>
      <c r="BR103" s="34" t="s">
        <v>89</v>
      </c>
      <c r="BS103" s="34" t="s">
        <v>89</v>
      </c>
      <c r="BT103" s="34" t="s">
        <v>89</v>
      </c>
      <c r="BU103" s="34" t="s">
        <v>89</v>
      </c>
      <c r="BV103" s="34" t="s">
        <v>89</v>
      </c>
      <c r="BW103" s="34" t="s">
        <v>89</v>
      </c>
      <c r="BX103" s="34" t="s">
        <v>89</v>
      </c>
      <c r="BY103" s="34" t="s">
        <v>89</v>
      </c>
      <c r="BZ103" s="34" t="s">
        <v>89</v>
      </c>
      <c r="CA103" s="34" t="s">
        <v>89</v>
      </c>
      <c r="CB103" s="34" t="s">
        <v>89</v>
      </c>
      <c r="CC103" s="34" t="s">
        <v>89</v>
      </c>
      <c r="CD103" s="34" t="s">
        <v>89</v>
      </c>
      <c r="CE103" s="43">
        <v>1.2599061183510001</v>
      </c>
      <c r="CF103" s="43">
        <v>1</v>
      </c>
      <c r="CG103" s="43">
        <v>9.5295000000000005</v>
      </c>
      <c r="CH103" s="43">
        <v>-30.2</v>
      </c>
      <c r="CI103" s="43">
        <v>220</v>
      </c>
      <c r="CJ103" s="43">
        <v>-10.338082506629901</v>
      </c>
      <c r="CK103" s="43">
        <v>-17.604958804437899</v>
      </c>
      <c r="CL103" s="43">
        <v>62783</v>
      </c>
      <c r="CM103" s="43">
        <v>47633</v>
      </c>
      <c r="CN103" s="43">
        <v>383</v>
      </c>
      <c r="CO103" s="43">
        <v>1118</v>
      </c>
      <c r="CP103" s="43">
        <v>-38.799999999999997</v>
      </c>
      <c r="CQ103" s="43">
        <v>1118</v>
      </c>
      <c r="CR103" s="43">
        <v>-38.799999999999997</v>
      </c>
      <c r="CS103" s="43">
        <v>0.10060337499999999</v>
      </c>
      <c r="CT103" s="43">
        <v>0</v>
      </c>
      <c r="CU103" s="43">
        <v>1</v>
      </c>
      <c r="CV103" s="46" t="s">
        <v>89</v>
      </c>
      <c r="CW103" s="34"/>
      <c r="CX103" s="35"/>
    </row>
    <row r="104" spans="1:102" ht="15" customHeight="1" x14ac:dyDescent="0.25">
      <c r="A104" s="33">
        <v>101</v>
      </c>
      <c r="B104" s="43" t="s">
        <v>1401</v>
      </c>
      <c r="C104" s="43">
        <v>0.33879999999999999</v>
      </c>
      <c r="D104" s="43">
        <v>0.72499999999999998</v>
      </c>
      <c r="E104" s="43" t="s">
        <v>268</v>
      </c>
      <c r="F104" s="43" t="s">
        <v>237</v>
      </c>
      <c r="G104" s="43" t="s">
        <v>930</v>
      </c>
      <c r="H104" s="43" t="s">
        <v>931</v>
      </c>
      <c r="I104" s="43" t="s">
        <v>932</v>
      </c>
      <c r="J104" s="43" t="s">
        <v>933</v>
      </c>
      <c r="K104" s="53" t="s">
        <v>2015</v>
      </c>
      <c r="L104" s="43" t="s">
        <v>867</v>
      </c>
      <c r="M104" s="43" t="s">
        <v>809</v>
      </c>
      <c r="N104" s="43" t="s">
        <v>733</v>
      </c>
      <c r="O104" s="43" t="s">
        <v>707</v>
      </c>
      <c r="P104" s="43" t="s">
        <v>662</v>
      </c>
      <c r="Q104" s="43" t="s">
        <v>357</v>
      </c>
      <c r="R104" s="43" t="s">
        <v>202</v>
      </c>
      <c r="S104" s="43">
        <v>-213.02699999999999</v>
      </c>
      <c r="T104" s="43">
        <v>59.304000000000002</v>
      </c>
      <c r="U104" s="43">
        <v>10.208</v>
      </c>
      <c r="V104" s="43">
        <v>-11.698</v>
      </c>
      <c r="W104" s="43">
        <v>0</v>
      </c>
      <c r="X104" s="43">
        <v>1</v>
      </c>
      <c r="Y104" s="43">
        <v>2.8000000000000001E-2</v>
      </c>
      <c r="Z104" s="43">
        <v>0.17499999999999999</v>
      </c>
      <c r="AA104" s="43">
        <v>5675.1729999999998</v>
      </c>
      <c r="AB104" s="43">
        <v>0.81</v>
      </c>
      <c r="AC104" s="51">
        <v>100</v>
      </c>
      <c r="AD104" s="43">
        <v>0.55200000000000005</v>
      </c>
      <c r="AE104" s="43">
        <v>0.95799999999999996</v>
      </c>
      <c r="AF104" s="69">
        <v>1</v>
      </c>
      <c r="AG104" s="43">
        <v>-2.7389999999999999</v>
      </c>
      <c r="AH104" s="69">
        <v>-34.619</v>
      </c>
      <c r="AI104" s="69">
        <v>59.731999999999999</v>
      </c>
      <c r="AJ104" s="69" t="s">
        <v>1444</v>
      </c>
      <c r="AK104" s="69">
        <v>0</v>
      </c>
      <c r="AL104" s="69">
        <v>2</v>
      </c>
      <c r="AM104" s="69">
        <v>1</v>
      </c>
      <c r="AN104" s="69">
        <v>1</v>
      </c>
      <c r="AO104" s="69">
        <v>1</v>
      </c>
      <c r="AP104" s="69">
        <v>1</v>
      </c>
      <c r="AQ104" s="68" t="s">
        <v>1770</v>
      </c>
      <c r="AR104" s="43" t="s">
        <v>811</v>
      </c>
      <c r="AS104" s="43">
        <v>2039</v>
      </c>
      <c r="AT104" s="43">
        <v>-7.0369999999999999</v>
      </c>
      <c r="AU104" s="69">
        <v>-627.17999999999995</v>
      </c>
      <c r="AV104" s="69">
        <v>-304.94</v>
      </c>
      <c r="AW104" s="43">
        <v>21.2028</v>
      </c>
      <c r="AX104" s="43">
        <v>8.6599999999999996E-2</v>
      </c>
      <c r="AY104" s="69">
        <v>-627.17999999999995</v>
      </c>
      <c r="AZ104" s="69">
        <v>-304.94</v>
      </c>
      <c r="BA104" s="43">
        <v>21.2028</v>
      </c>
      <c r="BB104" s="43">
        <v>8.6599999999999996E-2</v>
      </c>
      <c r="BC104" s="69">
        <v>0</v>
      </c>
      <c r="BD104" s="69">
        <v>0</v>
      </c>
      <c r="BE104" s="43">
        <v>0</v>
      </c>
      <c r="BF104" s="43">
        <v>-9.65</v>
      </c>
      <c r="BG104" s="43">
        <v>14.8721</v>
      </c>
      <c r="BH104" s="43">
        <v>-9.65</v>
      </c>
      <c r="BI104" s="43">
        <v>0.1784</v>
      </c>
      <c r="BJ104" s="43">
        <v>0</v>
      </c>
      <c r="BK104" s="53">
        <v>9.7000000000000003E-2</v>
      </c>
      <c r="BL104" s="53">
        <v>128.80000000000001</v>
      </c>
      <c r="BM104" s="43">
        <v>2</v>
      </c>
      <c r="BN104" s="34" t="s">
        <v>89</v>
      </c>
      <c r="BO104" s="34" t="s">
        <v>89</v>
      </c>
      <c r="BP104" s="34" t="s">
        <v>89</v>
      </c>
      <c r="BQ104" s="34" t="s">
        <v>89</v>
      </c>
      <c r="BR104" s="34" t="s">
        <v>89</v>
      </c>
      <c r="BS104" s="34" t="s">
        <v>89</v>
      </c>
      <c r="BT104" s="34" t="s">
        <v>89</v>
      </c>
      <c r="BU104" s="34" t="s">
        <v>89</v>
      </c>
      <c r="BV104" s="34" t="s">
        <v>89</v>
      </c>
      <c r="BW104" s="34" t="s">
        <v>89</v>
      </c>
      <c r="BX104" s="34" t="s">
        <v>89</v>
      </c>
      <c r="BY104" s="34" t="s">
        <v>89</v>
      </c>
      <c r="BZ104" s="34" t="s">
        <v>89</v>
      </c>
      <c r="CA104" s="34" t="s">
        <v>89</v>
      </c>
      <c r="CB104" s="34" t="s">
        <v>89</v>
      </c>
      <c r="CC104" s="34" t="s">
        <v>89</v>
      </c>
      <c r="CD104" s="34" t="s">
        <v>89</v>
      </c>
      <c r="CE104" s="43">
        <v>7.4172154288516298E-2</v>
      </c>
      <c r="CF104" s="43">
        <v>1</v>
      </c>
      <c r="CG104" s="43">
        <v>14.8721</v>
      </c>
      <c r="CH104" s="43">
        <v>-9.65</v>
      </c>
      <c r="CI104" s="43">
        <v>220</v>
      </c>
      <c r="CJ104" s="43">
        <v>-7.28432529263267</v>
      </c>
      <c r="CK104" s="43">
        <v>19.072208300324199</v>
      </c>
      <c r="CL104" s="43">
        <v>62783</v>
      </c>
      <c r="CM104" s="43">
        <v>26808</v>
      </c>
      <c r="CN104" s="43">
        <v>383</v>
      </c>
      <c r="CO104" s="43">
        <v>-627.17999999999995</v>
      </c>
      <c r="CP104" s="43">
        <v>-304.94</v>
      </c>
      <c r="CQ104" s="43">
        <v>-627.17999999999995</v>
      </c>
      <c r="CR104" s="43">
        <v>-304.94</v>
      </c>
      <c r="CS104" s="43">
        <v>0.10060337499999999</v>
      </c>
      <c r="CT104" s="43">
        <v>0.53949999999999998</v>
      </c>
      <c r="CU104" s="43">
        <v>1</v>
      </c>
      <c r="CV104" s="46" t="s">
        <v>89</v>
      </c>
      <c r="CW104" s="34"/>
      <c r="CX104" s="35"/>
    </row>
    <row r="105" spans="1:102" ht="15" customHeight="1" x14ac:dyDescent="0.25">
      <c r="A105" s="33">
        <v>102</v>
      </c>
      <c r="B105" s="43" t="s">
        <v>934</v>
      </c>
      <c r="C105" s="43">
        <v>0.37519999999999998</v>
      </c>
      <c r="D105" s="43">
        <v>0.33700000000000002</v>
      </c>
      <c r="E105" s="43" t="s">
        <v>252</v>
      </c>
      <c r="F105" s="43" t="s">
        <v>237</v>
      </c>
      <c r="G105" s="43" t="s">
        <v>876</v>
      </c>
      <c r="H105" s="43" t="s">
        <v>877</v>
      </c>
      <c r="I105" s="43" t="s">
        <v>878</v>
      </c>
      <c r="J105" s="43" t="s">
        <v>879</v>
      </c>
      <c r="K105" s="53" t="s">
        <v>2016</v>
      </c>
      <c r="L105" s="43" t="s">
        <v>881</v>
      </c>
      <c r="M105" s="43" t="s">
        <v>825</v>
      </c>
      <c r="N105" s="43" t="s">
        <v>751</v>
      </c>
      <c r="O105" s="43" t="s">
        <v>776</v>
      </c>
      <c r="P105" s="43" t="s">
        <v>676</v>
      </c>
      <c r="Q105" s="43" t="s">
        <v>767</v>
      </c>
      <c r="R105" s="43" t="s">
        <v>216</v>
      </c>
      <c r="S105" s="43">
        <v>-212.63300000000001</v>
      </c>
      <c r="T105" s="43">
        <v>79.673000000000002</v>
      </c>
      <c r="U105" s="43">
        <v>0.77110000000000001</v>
      </c>
      <c r="V105" s="43">
        <v>-18.536999999999999</v>
      </c>
      <c r="W105" s="43">
        <v>0</v>
      </c>
      <c r="X105" s="69">
        <v>1</v>
      </c>
      <c r="Y105" s="43">
        <v>2.1999999999999999E-2</v>
      </c>
      <c r="Z105" s="43">
        <v>0.112</v>
      </c>
      <c r="AA105" s="43">
        <v>2663.6559999999999</v>
      </c>
      <c r="AB105" s="43">
        <v>0.4</v>
      </c>
      <c r="AC105" s="43">
        <v>5194.8959999999997</v>
      </c>
      <c r="AD105" s="51">
        <v>0</v>
      </c>
      <c r="AE105" s="43">
        <v>0.95899999999999996</v>
      </c>
      <c r="AF105" s="69">
        <v>1</v>
      </c>
      <c r="AG105" s="43">
        <v>-2.423</v>
      </c>
      <c r="AH105" s="69">
        <v>-9.32</v>
      </c>
      <c r="AI105" s="69">
        <v>-9.32</v>
      </c>
      <c r="AJ105" s="69" t="s">
        <v>1444</v>
      </c>
      <c r="AK105" s="69">
        <v>1</v>
      </c>
      <c r="AL105" s="69">
        <v>3</v>
      </c>
      <c r="AM105" s="69">
        <v>1</v>
      </c>
      <c r="AN105" s="69">
        <v>1</v>
      </c>
      <c r="AO105" s="69">
        <v>1</v>
      </c>
      <c r="AP105" s="43">
        <v>1</v>
      </c>
      <c r="AQ105" s="68" t="s">
        <v>1785</v>
      </c>
      <c r="AR105" s="43" t="s">
        <v>882</v>
      </c>
      <c r="AS105" s="43">
        <v>65</v>
      </c>
      <c r="AT105" s="43">
        <v>-21.367999999999999</v>
      </c>
      <c r="AU105" s="69">
        <v>22.24</v>
      </c>
      <c r="AV105" s="69">
        <v>-43.17</v>
      </c>
      <c r="AW105" s="43">
        <v>16.585100000000001</v>
      </c>
      <c r="AX105" s="43">
        <v>0.88790000000000002</v>
      </c>
      <c r="AY105" s="69">
        <v>22.24</v>
      </c>
      <c r="AZ105" s="69">
        <v>-43.17</v>
      </c>
      <c r="BA105" s="43">
        <v>16.585100000000001</v>
      </c>
      <c r="BB105" s="43">
        <v>0.88790000000000002</v>
      </c>
      <c r="BC105" s="69">
        <v>1</v>
      </c>
      <c r="BD105" s="69">
        <v>1</v>
      </c>
      <c r="BE105" s="43">
        <v>0</v>
      </c>
      <c r="BF105" s="43">
        <v>-22.41</v>
      </c>
      <c r="BG105" s="43">
        <v>8.2833000000000006</v>
      </c>
      <c r="BH105" s="43">
        <v>-22.41</v>
      </c>
      <c r="BI105" s="43">
        <v>19.675799999999999</v>
      </c>
      <c r="BJ105" s="43">
        <v>1</v>
      </c>
      <c r="BK105" s="53">
        <v>9.8000000000000004E-2</v>
      </c>
      <c r="BL105" s="53">
        <v>130</v>
      </c>
      <c r="BM105" s="43">
        <v>2</v>
      </c>
      <c r="BN105" s="34" t="s">
        <v>89</v>
      </c>
      <c r="BO105" s="34" t="s">
        <v>89</v>
      </c>
      <c r="BP105" s="34" t="s">
        <v>89</v>
      </c>
      <c r="BQ105" s="34" t="s">
        <v>89</v>
      </c>
      <c r="BR105" s="34" t="s">
        <v>89</v>
      </c>
      <c r="BS105" s="34" t="s">
        <v>89</v>
      </c>
      <c r="BT105" s="34" t="s">
        <v>89</v>
      </c>
      <c r="BU105" s="34" t="s">
        <v>89</v>
      </c>
      <c r="BV105" s="34" t="s">
        <v>89</v>
      </c>
      <c r="BW105" s="34" t="s">
        <v>89</v>
      </c>
      <c r="BX105" s="34" t="s">
        <v>89</v>
      </c>
      <c r="BY105" s="34" t="s">
        <v>89</v>
      </c>
      <c r="BZ105" s="34" t="s">
        <v>89</v>
      </c>
      <c r="CA105" s="34" t="s">
        <v>89</v>
      </c>
      <c r="CB105" s="34" t="s">
        <v>89</v>
      </c>
      <c r="CC105" s="34" t="s">
        <v>89</v>
      </c>
      <c r="CD105" s="34" t="s">
        <v>89</v>
      </c>
      <c r="CE105" s="43">
        <v>0.43407887410667001</v>
      </c>
      <c r="CF105" s="43">
        <v>1</v>
      </c>
      <c r="CG105" s="43">
        <v>0</v>
      </c>
      <c r="CH105" s="43">
        <v>0</v>
      </c>
      <c r="CI105" s="43">
        <v>-80.375</v>
      </c>
      <c r="CJ105" s="43">
        <v>2.7051542401703901</v>
      </c>
      <c r="CK105" s="43">
        <v>3.9590611938802001</v>
      </c>
      <c r="CL105" s="43">
        <v>0</v>
      </c>
      <c r="CM105" s="43">
        <v>47612</v>
      </c>
      <c r="CN105" s="43">
        <v>65</v>
      </c>
      <c r="CO105" s="43">
        <v>22.24</v>
      </c>
      <c r="CP105" s="43">
        <v>-43.17</v>
      </c>
      <c r="CQ105" s="43">
        <v>21.311</v>
      </c>
      <c r="CR105" s="43">
        <v>-597.04861431929999</v>
      </c>
      <c r="CS105" s="43">
        <v>6.7043000000000005E-2</v>
      </c>
      <c r="CT105" s="43">
        <v>0</v>
      </c>
      <c r="CU105" s="43">
        <v>1</v>
      </c>
      <c r="CV105" s="46" t="s">
        <v>89</v>
      </c>
      <c r="CW105" s="34"/>
      <c r="CX105" s="35"/>
    </row>
    <row r="106" spans="1:102" ht="15" customHeight="1" x14ac:dyDescent="0.25">
      <c r="A106" s="33">
        <v>103</v>
      </c>
      <c r="B106" s="43" t="s">
        <v>936</v>
      </c>
      <c r="C106" s="43">
        <v>0.2898</v>
      </c>
      <c r="D106" s="43">
        <v>4.7E-2</v>
      </c>
      <c r="E106" s="43" t="s">
        <v>216</v>
      </c>
      <c r="F106" s="43" t="s">
        <v>179</v>
      </c>
      <c r="G106" s="43" t="s">
        <v>937</v>
      </c>
      <c r="H106" s="43" t="s">
        <v>938</v>
      </c>
      <c r="I106" s="43" t="s">
        <v>939</v>
      </c>
      <c r="J106" s="43" t="s">
        <v>940</v>
      </c>
      <c r="K106" s="53" t="s">
        <v>2017</v>
      </c>
      <c r="L106" s="43" t="s">
        <v>861</v>
      </c>
      <c r="M106" s="43" t="s">
        <v>802</v>
      </c>
      <c r="N106" s="43" t="s">
        <v>724</v>
      </c>
      <c r="O106" s="43" t="s">
        <v>698</v>
      </c>
      <c r="P106" s="43" t="s">
        <v>776</v>
      </c>
      <c r="Q106" s="43" t="s">
        <v>349</v>
      </c>
      <c r="R106" s="43" t="s">
        <v>311</v>
      </c>
      <c r="S106" s="43">
        <v>-105.246</v>
      </c>
      <c r="T106" s="43">
        <v>5.7240000000000002</v>
      </c>
      <c r="U106" s="43">
        <v>23.902699999999999</v>
      </c>
      <c r="V106" s="43">
        <v>-1.1739999999999999</v>
      </c>
      <c r="W106" s="43">
        <v>1</v>
      </c>
      <c r="X106" s="43">
        <v>1</v>
      </c>
      <c r="Y106" s="43">
        <v>7.9000000000000001E-2</v>
      </c>
      <c r="Z106" s="43">
        <v>0.16200000000000001</v>
      </c>
      <c r="AA106" s="43">
        <v>3550.1109999999999</v>
      </c>
      <c r="AB106" s="43">
        <v>0.11</v>
      </c>
      <c r="AC106" s="43">
        <v>5873.5590000000002</v>
      </c>
      <c r="AD106" s="51">
        <v>1</v>
      </c>
      <c r="AE106" s="43">
        <v>0.96399999999999997</v>
      </c>
      <c r="AF106" s="69">
        <v>0</v>
      </c>
      <c r="AG106" s="43">
        <v>24.201000000000001</v>
      </c>
      <c r="AH106" s="69">
        <v>-126.64100000000001</v>
      </c>
      <c r="AI106" s="69">
        <v>136.34100000000001</v>
      </c>
      <c r="AJ106" s="69" t="s">
        <v>1443</v>
      </c>
      <c r="AK106" s="69">
        <v>1</v>
      </c>
      <c r="AL106" s="69">
        <v>0</v>
      </c>
      <c r="AM106" s="69">
        <v>0</v>
      </c>
      <c r="AN106" s="69">
        <v>1</v>
      </c>
      <c r="AO106" s="69">
        <v>0</v>
      </c>
      <c r="AP106" s="43">
        <v>0</v>
      </c>
      <c r="AQ106" s="68" t="s">
        <v>1732</v>
      </c>
      <c r="AR106" s="43" t="s">
        <v>827</v>
      </c>
      <c r="AS106" s="43">
        <v>410</v>
      </c>
      <c r="AT106" s="43">
        <v>-9.577</v>
      </c>
      <c r="AU106" s="69">
        <v>1118</v>
      </c>
      <c r="AV106" s="69">
        <v>-38.799999999999997</v>
      </c>
      <c r="AW106" s="43">
        <v>39.404699999999998</v>
      </c>
      <c r="AX106" s="43">
        <v>0.86939999999999995</v>
      </c>
      <c r="AY106" s="69">
        <v>1118</v>
      </c>
      <c r="AZ106" s="69">
        <v>-38.799999999999997</v>
      </c>
      <c r="BA106" s="43">
        <v>39.404699999999998</v>
      </c>
      <c r="BB106" s="43">
        <v>0.86939999999999995</v>
      </c>
      <c r="BC106" s="69">
        <v>1</v>
      </c>
      <c r="BD106" s="69">
        <v>1</v>
      </c>
      <c r="BE106" s="43">
        <v>0</v>
      </c>
      <c r="BF106" s="43">
        <v>-8.69</v>
      </c>
      <c r="BG106" s="43">
        <v>15.830299999999999</v>
      </c>
      <c r="BH106" s="43">
        <v>-8.69</v>
      </c>
      <c r="BI106" s="43">
        <v>26.7258</v>
      </c>
      <c r="BJ106" s="43">
        <v>0</v>
      </c>
      <c r="BK106" s="53">
        <v>9.9000000000000005E-2</v>
      </c>
      <c r="BL106" s="53">
        <v>131.19999999999999</v>
      </c>
      <c r="BM106" s="43">
        <v>2</v>
      </c>
      <c r="BN106" s="34" t="s">
        <v>89</v>
      </c>
      <c r="BO106" s="34" t="s">
        <v>89</v>
      </c>
      <c r="BP106" s="34" t="s">
        <v>89</v>
      </c>
      <c r="BQ106" s="34" t="s">
        <v>89</v>
      </c>
      <c r="BR106" s="34" t="s">
        <v>89</v>
      </c>
      <c r="BS106" s="34" t="s">
        <v>89</v>
      </c>
      <c r="BT106" s="34" t="s">
        <v>89</v>
      </c>
      <c r="BU106" s="34" t="s">
        <v>89</v>
      </c>
      <c r="BV106" s="34" t="s">
        <v>89</v>
      </c>
      <c r="BW106" s="34" t="s">
        <v>89</v>
      </c>
      <c r="BX106" s="34" t="s">
        <v>89</v>
      </c>
      <c r="BY106" s="34" t="s">
        <v>89</v>
      </c>
      <c r="BZ106" s="34" t="s">
        <v>89</v>
      </c>
      <c r="CA106" s="34" t="s">
        <v>89</v>
      </c>
      <c r="CB106" s="34" t="s">
        <v>89</v>
      </c>
      <c r="CC106" s="34" t="s">
        <v>89</v>
      </c>
      <c r="CD106" s="34" t="s">
        <v>89</v>
      </c>
      <c r="CE106" s="43">
        <v>-2.9006115835720201</v>
      </c>
      <c r="CF106" s="43">
        <v>1.3541549923476299</v>
      </c>
      <c r="CG106" s="43">
        <v>0</v>
      </c>
      <c r="CH106" s="43">
        <v>0</v>
      </c>
      <c r="CI106" s="43">
        <v>131.10900000000001</v>
      </c>
      <c r="CJ106" s="43">
        <v>-2.4096090706620301</v>
      </c>
      <c r="CK106" s="43">
        <v>-4.17446812499308</v>
      </c>
      <c r="CL106" s="43">
        <v>0</v>
      </c>
      <c r="CM106" s="43">
        <v>57164</v>
      </c>
      <c r="CN106" s="43">
        <v>410</v>
      </c>
      <c r="CO106" s="43">
        <v>1118</v>
      </c>
      <c r="CP106" s="43">
        <v>-38.799999999999997</v>
      </c>
      <c r="CQ106" s="43">
        <v>5.1210000000000004</v>
      </c>
      <c r="CR106" s="43">
        <v>-352.78631438399998</v>
      </c>
      <c r="CS106" s="43">
        <v>0</v>
      </c>
      <c r="CT106" s="43">
        <v>1</v>
      </c>
      <c r="CU106" s="43">
        <v>1</v>
      </c>
      <c r="CV106" s="46" t="s">
        <v>89</v>
      </c>
      <c r="CW106" s="34"/>
      <c r="CX106" s="35"/>
    </row>
    <row r="107" spans="1:102" ht="15" customHeight="1" x14ac:dyDescent="0.25">
      <c r="A107" s="33">
        <v>104</v>
      </c>
      <c r="B107" s="43" t="s">
        <v>1837</v>
      </c>
      <c r="C107" s="43">
        <v>0.49940000000000001</v>
      </c>
      <c r="D107" s="43">
        <v>0.72499999999999998</v>
      </c>
      <c r="E107" s="43" t="s">
        <v>268</v>
      </c>
      <c r="F107" s="43" t="s">
        <v>237</v>
      </c>
      <c r="G107" s="43" t="s">
        <v>941</v>
      </c>
      <c r="H107" s="43" t="s">
        <v>942</v>
      </c>
      <c r="I107" s="43" t="s">
        <v>943</v>
      </c>
      <c r="J107" s="43" t="s">
        <v>944</v>
      </c>
      <c r="K107" s="69" t="s">
        <v>2018</v>
      </c>
      <c r="L107" s="43" t="s">
        <v>867</v>
      </c>
      <c r="M107" s="43" t="s">
        <v>809</v>
      </c>
      <c r="N107" s="43" t="s">
        <v>733</v>
      </c>
      <c r="O107" s="43" t="s">
        <v>707</v>
      </c>
      <c r="P107" s="43" t="s">
        <v>662</v>
      </c>
      <c r="Q107" s="43" t="s">
        <v>357</v>
      </c>
      <c r="R107" s="43" t="s">
        <v>202</v>
      </c>
      <c r="S107" s="43">
        <v>-213.02699999999999</v>
      </c>
      <c r="T107" s="43">
        <v>59.304000000000002</v>
      </c>
      <c r="U107" s="43">
        <v>17.194700000000001</v>
      </c>
      <c r="V107" s="43">
        <v>-16.771000000000001</v>
      </c>
      <c r="W107" s="43">
        <v>0</v>
      </c>
      <c r="X107" s="43">
        <v>1</v>
      </c>
      <c r="Y107" s="43">
        <v>0.183</v>
      </c>
      <c r="Z107" s="43">
        <v>0.13</v>
      </c>
      <c r="AA107" s="43">
        <v>6301.3159999999998</v>
      </c>
      <c r="AB107" s="43">
        <v>0.65900000000000003</v>
      </c>
      <c r="AC107" s="43">
        <v>3999.3560000000002</v>
      </c>
      <c r="AD107" s="51">
        <v>0.20399999999999999</v>
      </c>
      <c r="AE107" s="43">
        <v>0.96399999999999997</v>
      </c>
      <c r="AF107" s="69">
        <v>1</v>
      </c>
      <c r="AG107" s="43">
        <v>-3.8420000000000001</v>
      </c>
      <c r="AH107" s="69">
        <v>-34.619</v>
      </c>
      <c r="AI107" s="69">
        <v>59.731999999999999</v>
      </c>
      <c r="AJ107" s="69" t="s">
        <v>1444</v>
      </c>
      <c r="AK107" s="69">
        <v>0</v>
      </c>
      <c r="AL107" s="69">
        <v>2</v>
      </c>
      <c r="AM107" s="69">
        <v>1</v>
      </c>
      <c r="AN107" s="69">
        <v>1</v>
      </c>
      <c r="AO107" s="69">
        <v>0</v>
      </c>
      <c r="AP107" s="43">
        <v>1</v>
      </c>
      <c r="AQ107" s="68" t="s">
        <v>1772</v>
      </c>
      <c r="AR107" s="43" t="s">
        <v>835</v>
      </c>
      <c r="AS107" s="43">
        <v>1520</v>
      </c>
      <c r="AT107" s="43">
        <v>18.548999999999999</v>
      </c>
      <c r="AU107" s="69">
        <v>570.70000000000005</v>
      </c>
      <c r="AV107" s="69">
        <v>96.55</v>
      </c>
      <c r="AW107" s="43">
        <v>56.090699999999998</v>
      </c>
      <c r="AX107" s="43">
        <v>0.67630000000000001</v>
      </c>
      <c r="AY107" s="69">
        <v>570.70000000000005</v>
      </c>
      <c r="AZ107" s="69">
        <v>96.55</v>
      </c>
      <c r="BA107" s="43">
        <v>56.090699999999998</v>
      </c>
      <c r="BB107" s="43">
        <v>0.67630000000000001</v>
      </c>
      <c r="BC107" s="69">
        <v>0</v>
      </c>
      <c r="BD107" s="69">
        <v>0</v>
      </c>
      <c r="BE107" s="43">
        <v>0</v>
      </c>
      <c r="BF107" s="43">
        <v>-4.57</v>
      </c>
      <c r="BG107" s="43">
        <v>17.6005</v>
      </c>
      <c r="BH107" s="43">
        <v>-4.57</v>
      </c>
      <c r="BI107" s="43">
        <v>24.989799999999999</v>
      </c>
      <c r="BJ107" s="43">
        <v>1</v>
      </c>
      <c r="BK107" s="53">
        <v>0.1</v>
      </c>
      <c r="BL107" s="53">
        <v>132.4</v>
      </c>
      <c r="BM107" s="43">
        <v>2</v>
      </c>
      <c r="BN107" s="34" t="s">
        <v>89</v>
      </c>
      <c r="BO107" s="34" t="s">
        <v>89</v>
      </c>
      <c r="BP107" s="34" t="s">
        <v>89</v>
      </c>
      <c r="BQ107" s="34" t="s">
        <v>89</v>
      </c>
      <c r="BR107" s="34" t="s">
        <v>89</v>
      </c>
      <c r="BS107" s="34" t="s">
        <v>89</v>
      </c>
      <c r="BT107" s="34" t="s">
        <v>89</v>
      </c>
      <c r="BU107" s="34" t="s">
        <v>89</v>
      </c>
      <c r="BV107" s="34" t="s">
        <v>89</v>
      </c>
      <c r="BW107" s="34" t="s">
        <v>89</v>
      </c>
      <c r="BX107" s="34" t="s">
        <v>89</v>
      </c>
      <c r="BY107" s="34" t="s">
        <v>89</v>
      </c>
      <c r="BZ107" s="34" t="s">
        <v>89</v>
      </c>
      <c r="CA107" s="34" t="s">
        <v>89</v>
      </c>
      <c r="CB107" s="34" t="s">
        <v>89</v>
      </c>
      <c r="CC107" s="34" t="s">
        <v>89</v>
      </c>
      <c r="CD107" s="34" t="s">
        <v>89</v>
      </c>
      <c r="CE107" s="43">
        <v>1.45671237426677</v>
      </c>
      <c r="CF107" s="43">
        <v>1</v>
      </c>
      <c r="CG107" s="43">
        <v>17.6005</v>
      </c>
      <c r="CH107" s="43">
        <v>-4.57</v>
      </c>
      <c r="CI107" s="43">
        <v>220</v>
      </c>
      <c r="CJ107" s="43">
        <v>-10.4028304137695</v>
      </c>
      <c r="CK107" s="43">
        <v>-17.7152195067622</v>
      </c>
      <c r="CL107" s="43">
        <v>63176</v>
      </c>
      <c r="CM107" s="43">
        <v>34572</v>
      </c>
      <c r="CN107" s="43">
        <v>735</v>
      </c>
      <c r="CO107" s="43">
        <v>570.70000000000005</v>
      </c>
      <c r="CP107" s="43">
        <v>96.55</v>
      </c>
      <c r="CQ107" s="43">
        <v>570.70000000000005</v>
      </c>
      <c r="CR107" s="43">
        <v>96.55</v>
      </c>
      <c r="CS107" s="43">
        <v>0</v>
      </c>
      <c r="CT107" s="43">
        <v>0.70391950000000003</v>
      </c>
      <c r="CU107" s="43">
        <v>1</v>
      </c>
      <c r="CV107" s="46" t="s">
        <v>89</v>
      </c>
      <c r="CW107" s="34"/>
      <c r="CX107" s="35"/>
    </row>
    <row r="108" spans="1:102" ht="15" customHeight="1" x14ac:dyDescent="0.25">
      <c r="A108" s="33">
        <v>105</v>
      </c>
      <c r="B108" s="43" t="s">
        <v>945</v>
      </c>
      <c r="C108" s="43">
        <v>0.9365</v>
      </c>
      <c r="D108" s="43">
        <v>0.83299999999999996</v>
      </c>
      <c r="E108" s="43" t="s">
        <v>267</v>
      </c>
      <c r="F108" s="43" t="s">
        <v>216</v>
      </c>
      <c r="G108" s="43" t="s">
        <v>946</v>
      </c>
      <c r="H108" s="43" t="s">
        <v>947</v>
      </c>
      <c r="I108" s="43" t="s">
        <v>948</v>
      </c>
      <c r="J108" s="43" t="s">
        <v>949</v>
      </c>
      <c r="K108" s="69" t="s">
        <v>2019</v>
      </c>
      <c r="L108" s="43" t="s">
        <v>895</v>
      </c>
      <c r="M108" s="43" t="s">
        <v>840</v>
      </c>
      <c r="N108" s="43" t="s">
        <v>706</v>
      </c>
      <c r="O108" s="43" t="s">
        <v>683</v>
      </c>
      <c r="P108" s="43" t="s">
        <v>676</v>
      </c>
      <c r="Q108" s="43" t="s">
        <v>676</v>
      </c>
      <c r="R108" s="43" t="s">
        <v>191</v>
      </c>
      <c r="S108" s="43">
        <v>37.454999999999998</v>
      </c>
      <c r="T108" s="43">
        <v>-144.667</v>
      </c>
      <c r="U108" s="43">
        <v>7.9199000000000002</v>
      </c>
      <c r="V108" s="43">
        <v>-1.395</v>
      </c>
      <c r="W108" s="43">
        <v>0</v>
      </c>
      <c r="X108" s="43">
        <v>0</v>
      </c>
      <c r="Y108" s="43">
        <v>0.16300000000000001</v>
      </c>
      <c r="Z108" s="43">
        <v>0.124</v>
      </c>
      <c r="AA108" s="43">
        <v>5388.75</v>
      </c>
      <c r="AB108" s="43">
        <v>0.94399999999999995</v>
      </c>
      <c r="AC108" s="43">
        <v>3076.14</v>
      </c>
      <c r="AD108" s="43">
        <v>0.29499999999999998</v>
      </c>
      <c r="AE108" s="51">
        <v>0.95</v>
      </c>
      <c r="AF108" s="69">
        <v>1</v>
      </c>
      <c r="AG108" s="43">
        <v>-23.965</v>
      </c>
      <c r="AH108" s="69">
        <v>59.731999999999999</v>
      </c>
      <c r="AI108" s="69">
        <v>-207.91800000000001</v>
      </c>
      <c r="AJ108" s="69" t="s">
        <v>1441</v>
      </c>
      <c r="AK108" s="69">
        <v>1</v>
      </c>
      <c r="AL108" s="69">
        <v>1</v>
      </c>
      <c r="AM108" s="69">
        <v>0</v>
      </c>
      <c r="AN108" s="69">
        <v>0</v>
      </c>
      <c r="AO108" s="69">
        <v>1</v>
      </c>
      <c r="AP108" s="43">
        <v>0</v>
      </c>
      <c r="AQ108" s="68" t="s">
        <v>1773</v>
      </c>
      <c r="AR108" s="43" t="s">
        <v>842</v>
      </c>
      <c r="AS108" s="43">
        <v>3921</v>
      </c>
      <c r="AT108" s="43">
        <v>-16.216999999999999</v>
      </c>
      <c r="AU108" s="69">
        <v>0</v>
      </c>
      <c r="AV108" s="69">
        <v>-43.17</v>
      </c>
      <c r="AW108" s="43">
        <v>5.4576000000000002</v>
      </c>
      <c r="AX108" s="43">
        <v>0.83389999999999997</v>
      </c>
      <c r="AY108" s="69">
        <v>0</v>
      </c>
      <c r="AZ108" s="69">
        <v>-43.17</v>
      </c>
      <c r="BA108" s="43">
        <v>5.4576000000000002</v>
      </c>
      <c r="BB108" s="43">
        <v>0.83389999999999997</v>
      </c>
      <c r="BC108" s="69">
        <v>1</v>
      </c>
      <c r="BD108" s="69">
        <v>1</v>
      </c>
      <c r="BE108" s="43">
        <v>0</v>
      </c>
      <c r="BF108" s="43">
        <v>-25.6</v>
      </c>
      <c r="BG108" s="43">
        <v>9.8978999999999999</v>
      </c>
      <c r="BH108" s="43">
        <v>-25.6</v>
      </c>
      <c r="BI108" s="43">
        <v>3.2124999999999999</v>
      </c>
      <c r="BJ108" s="43">
        <v>0</v>
      </c>
      <c r="BK108" s="53">
        <v>0.10100000000000001</v>
      </c>
      <c r="BL108" s="53">
        <v>133.6</v>
      </c>
      <c r="BM108" s="43">
        <v>2</v>
      </c>
      <c r="BN108" s="34" t="s">
        <v>89</v>
      </c>
      <c r="BO108" s="34" t="s">
        <v>89</v>
      </c>
      <c r="BP108" s="34" t="s">
        <v>89</v>
      </c>
      <c r="BQ108" s="34" t="s">
        <v>89</v>
      </c>
      <c r="BR108" s="34" t="s">
        <v>89</v>
      </c>
      <c r="BS108" s="34" t="s">
        <v>89</v>
      </c>
      <c r="BT108" s="34" t="s">
        <v>89</v>
      </c>
      <c r="BU108" s="34" t="s">
        <v>89</v>
      </c>
      <c r="BV108" s="34" t="s">
        <v>89</v>
      </c>
      <c r="BW108" s="34" t="s">
        <v>89</v>
      </c>
      <c r="BX108" s="34" t="s">
        <v>89</v>
      </c>
      <c r="BY108" s="34" t="s">
        <v>89</v>
      </c>
      <c r="BZ108" s="34" t="s">
        <v>89</v>
      </c>
      <c r="CA108" s="34" t="s">
        <v>89</v>
      </c>
      <c r="CB108" s="34" t="s">
        <v>89</v>
      </c>
      <c r="CC108" s="34" t="s">
        <v>89</v>
      </c>
      <c r="CD108" s="34" t="s">
        <v>89</v>
      </c>
      <c r="CE108" s="43">
        <v>5.18642657706331</v>
      </c>
      <c r="CF108" s="43">
        <v>1</v>
      </c>
      <c r="CG108" s="43">
        <v>0</v>
      </c>
      <c r="CH108" s="43">
        <v>0</v>
      </c>
      <c r="CI108" s="43">
        <v>220</v>
      </c>
      <c r="CJ108" s="43">
        <v>-4.2112115854782797</v>
      </c>
      <c r="CK108" s="43">
        <v>-2.19731585857234</v>
      </c>
      <c r="CL108" s="43">
        <v>0</v>
      </c>
      <c r="CM108" s="43">
        <v>1791</v>
      </c>
      <c r="CN108" s="43">
        <v>3921</v>
      </c>
      <c r="CO108" s="43">
        <v>0</v>
      </c>
      <c r="CP108" s="43">
        <v>-43.17</v>
      </c>
      <c r="CQ108" s="43">
        <v>18.556000000000001</v>
      </c>
      <c r="CR108" s="43">
        <v>-180.9968208688</v>
      </c>
      <c r="CS108" s="43">
        <v>1</v>
      </c>
      <c r="CT108" s="43">
        <v>0</v>
      </c>
      <c r="CU108" s="43">
        <v>1</v>
      </c>
      <c r="CV108" s="46" t="s">
        <v>89</v>
      </c>
      <c r="CW108" s="34"/>
      <c r="CX108" s="35"/>
    </row>
    <row r="109" spans="1:102" ht="15" customHeight="1" x14ac:dyDescent="0.25">
      <c r="A109" s="33">
        <v>106</v>
      </c>
      <c r="B109" s="43" t="s">
        <v>1402</v>
      </c>
      <c r="C109" s="43">
        <v>0.91830000000000001</v>
      </c>
      <c r="D109" s="43">
        <v>4.7E-2</v>
      </c>
      <c r="E109" s="43" t="s">
        <v>216</v>
      </c>
      <c r="F109" s="43" t="s">
        <v>179</v>
      </c>
      <c r="G109" s="43" t="s">
        <v>950</v>
      </c>
      <c r="H109" s="43" t="s">
        <v>951</v>
      </c>
      <c r="I109" s="43" t="s">
        <v>952</v>
      </c>
      <c r="J109" s="43" t="s">
        <v>953</v>
      </c>
      <c r="K109" s="43" t="s">
        <v>2020</v>
      </c>
      <c r="L109" s="43" t="s">
        <v>861</v>
      </c>
      <c r="M109" s="43" t="s">
        <v>802</v>
      </c>
      <c r="N109" s="43" t="s">
        <v>724</v>
      </c>
      <c r="O109" s="43" t="s">
        <v>698</v>
      </c>
      <c r="P109" s="43" t="s">
        <v>776</v>
      </c>
      <c r="Q109" s="43" t="s">
        <v>349</v>
      </c>
      <c r="R109" s="43" t="s">
        <v>311</v>
      </c>
      <c r="S109" s="43">
        <v>-105.246</v>
      </c>
      <c r="T109" s="43">
        <v>5.7240000000000002</v>
      </c>
      <c r="U109" s="43">
        <v>2.1819999999999999</v>
      </c>
      <c r="V109" s="43">
        <v>-27.693000000000001</v>
      </c>
      <c r="W109" s="43">
        <v>1</v>
      </c>
      <c r="X109" s="43">
        <v>1</v>
      </c>
      <c r="Y109" s="43">
        <v>0.11799999999999999</v>
      </c>
      <c r="Z109" s="43">
        <v>8.5000000000000006E-2</v>
      </c>
      <c r="AA109" s="43">
        <v>7174.6980000000003</v>
      </c>
      <c r="AB109" s="43">
        <v>0.26</v>
      </c>
      <c r="AC109" s="43">
        <v>1940.902</v>
      </c>
      <c r="AD109" s="43">
        <v>0.222</v>
      </c>
      <c r="AE109" s="51">
        <v>1</v>
      </c>
      <c r="AF109" s="43">
        <v>0</v>
      </c>
      <c r="AG109" s="43">
        <v>-14.848000000000001</v>
      </c>
      <c r="AH109" s="43">
        <v>-126.64100000000001</v>
      </c>
      <c r="AI109" s="43">
        <v>136.34100000000001</v>
      </c>
      <c r="AJ109" s="43" t="s">
        <v>1443</v>
      </c>
      <c r="AK109" s="43">
        <v>1</v>
      </c>
      <c r="AL109" s="43">
        <v>0</v>
      </c>
      <c r="AM109" s="43">
        <v>1</v>
      </c>
      <c r="AN109" s="43">
        <v>1</v>
      </c>
      <c r="AO109" s="43">
        <v>0</v>
      </c>
      <c r="AP109" s="69">
        <v>1</v>
      </c>
      <c r="AQ109" s="68" t="s">
        <v>1774</v>
      </c>
      <c r="AR109" s="43" t="s">
        <v>849</v>
      </c>
      <c r="AS109" s="43">
        <v>3001</v>
      </c>
      <c r="AT109" s="43">
        <v>5.7240000000000002</v>
      </c>
      <c r="AU109" s="69">
        <v>-627.17999999999995</v>
      </c>
      <c r="AV109" s="69">
        <v>301.08999999999997</v>
      </c>
      <c r="AW109" s="43">
        <v>50.168199999999999</v>
      </c>
      <c r="AX109" s="43">
        <v>0.83379999999999999</v>
      </c>
      <c r="AY109" s="69">
        <v>-627.17999999999995</v>
      </c>
      <c r="AZ109" s="69">
        <v>301.08999999999997</v>
      </c>
      <c r="BA109" s="43">
        <v>50.168199999999999</v>
      </c>
      <c r="BB109" s="43">
        <v>0.83379999999999999</v>
      </c>
      <c r="BC109" s="43">
        <v>1</v>
      </c>
      <c r="BD109" s="43">
        <v>1</v>
      </c>
      <c r="BE109" s="43">
        <v>0</v>
      </c>
      <c r="BF109" s="43">
        <v>-10.5</v>
      </c>
      <c r="BG109" s="43">
        <v>15.4817</v>
      </c>
      <c r="BH109" s="43">
        <v>-10.5</v>
      </c>
      <c r="BI109" s="43">
        <v>30.313800000000001</v>
      </c>
      <c r="BJ109" s="43">
        <v>1</v>
      </c>
      <c r="BK109" s="53">
        <v>0.10199999999999999</v>
      </c>
      <c r="BL109" s="53">
        <v>134.80000000000001</v>
      </c>
      <c r="BM109" s="43">
        <v>2</v>
      </c>
      <c r="BN109" s="34" t="s">
        <v>89</v>
      </c>
      <c r="BO109" s="34" t="s">
        <v>89</v>
      </c>
      <c r="BP109" s="34" t="s">
        <v>89</v>
      </c>
      <c r="BQ109" s="34" t="s">
        <v>89</v>
      </c>
      <c r="BR109" s="34" t="s">
        <v>89</v>
      </c>
      <c r="BS109" s="34" t="s">
        <v>89</v>
      </c>
      <c r="BT109" s="34" t="s">
        <v>89</v>
      </c>
      <c r="BU109" s="34" t="s">
        <v>89</v>
      </c>
      <c r="BV109" s="34" t="s">
        <v>89</v>
      </c>
      <c r="BW109" s="34" t="s">
        <v>89</v>
      </c>
      <c r="BX109" s="34" t="s">
        <v>89</v>
      </c>
      <c r="BY109" s="34" t="s">
        <v>89</v>
      </c>
      <c r="BZ109" s="34" t="s">
        <v>89</v>
      </c>
      <c r="CA109" s="34" t="s">
        <v>89</v>
      </c>
      <c r="CB109" s="34" t="s">
        <v>89</v>
      </c>
      <c r="CC109" s="34" t="s">
        <v>89</v>
      </c>
      <c r="CD109" s="34" t="s">
        <v>89</v>
      </c>
      <c r="CE109" s="43">
        <v>1</v>
      </c>
      <c r="CF109" s="43">
        <v>1</v>
      </c>
      <c r="CG109" s="43">
        <v>0</v>
      </c>
      <c r="CH109" s="43">
        <v>0</v>
      </c>
      <c r="CI109" s="43">
        <v>-86.873999999999995</v>
      </c>
      <c r="CJ109" s="43">
        <v>8.5510000000000002</v>
      </c>
      <c r="CK109" s="43">
        <v>12.616</v>
      </c>
      <c r="CL109" s="43">
        <v>0</v>
      </c>
      <c r="CM109" s="43">
        <v>41020</v>
      </c>
      <c r="CN109" s="43">
        <v>3001</v>
      </c>
      <c r="CO109" s="43">
        <v>-627.17999999999995</v>
      </c>
      <c r="CP109" s="43">
        <v>301.08999999999997</v>
      </c>
      <c r="CQ109" s="43">
        <v>7.4809999999999999</v>
      </c>
      <c r="CR109" s="43">
        <v>12077.9634890244</v>
      </c>
      <c r="CS109" s="43">
        <v>0</v>
      </c>
      <c r="CT109" s="43">
        <v>0.46461275000000002</v>
      </c>
      <c r="CU109" s="43">
        <v>1</v>
      </c>
      <c r="CV109" s="46" t="s">
        <v>89</v>
      </c>
      <c r="CW109" s="34"/>
      <c r="CX109" s="35"/>
    </row>
    <row r="110" spans="1:102" ht="15" customHeight="1" x14ac:dyDescent="0.25">
      <c r="A110" s="33">
        <v>107</v>
      </c>
      <c r="B110" s="43" t="s">
        <v>954</v>
      </c>
      <c r="C110" s="43">
        <v>0.54349999999999998</v>
      </c>
      <c r="D110" s="43">
        <v>0.72499999999999998</v>
      </c>
      <c r="E110" s="43" t="s">
        <v>268</v>
      </c>
      <c r="F110" s="43" t="s">
        <v>237</v>
      </c>
      <c r="G110" s="43" t="s">
        <v>955</v>
      </c>
      <c r="H110" s="43" t="s">
        <v>956</v>
      </c>
      <c r="I110" s="43" t="s">
        <v>957</v>
      </c>
      <c r="J110" s="43" t="s">
        <v>958</v>
      </c>
      <c r="K110" s="43" t="s">
        <v>2021</v>
      </c>
      <c r="L110" s="43" t="s">
        <v>867</v>
      </c>
      <c r="M110" s="43" t="s">
        <v>809</v>
      </c>
      <c r="N110" s="43" t="s">
        <v>733</v>
      </c>
      <c r="O110" s="43" t="s">
        <v>707</v>
      </c>
      <c r="P110" s="43" t="s">
        <v>662</v>
      </c>
      <c r="Q110" s="43" t="s">
        <v>357</v>
      </c>
      <c r="R110" s="43" t="s">
        <v>202</v>
      </c>
      <c r="S110" s="43">
        <v>-213.02699999999999</v>
      </c>
      <c r="T110" s="43">
        <v>59.304000000000002</v>
      </c>
      <c r="U110" s="43">
        <v>13.492800000000001</v>
      </c>
      <c r="V110" s="43">
        <v>20.065999999999999</v>
      </c>
      <c r="W110" s="43">
        <v>0</v>
      </c>
      <c r="X110" s="43">
        <v>1</v>
      </c>
      <c r="Y110" s="43">
        <v>0.14899999999999999</v>
      </c>
      <c r="Z110" s="43">
        <v>7.0000000000000001E-3</v>
      </c>
      <c r="AA110" s="43">
        <v>3789.1860000000001</v>
      </c>
      <c r="AB110" s="43">
        <v>0.185</v>
      </c>
      <c r="AC110" s="43">
        <v>3865.9870000000001</v>
      </c>
      <c r="AD110" s="43">
        <v>0.73799999999999999</v>
      </c>
      <c r="AE110" s="51">
        <v>0.995</v>
      </c>
      <c r="AF110" s="43">
        <v>1</v>
      </c>
      <c r="AG110" s="43">
        <v>-10.013</v>
      </c>
      <c r="AH110" s="43">
        <v>-34.619</v>
      </c>
      <c r="AI110" s="43">
        <v>59.731999999999999</v>
      </c>
      <c r="AJ110" s="43" t="s">
        <v>1444</v>
      </c>
      <c r="AK110" s="43">
        <v>0</v>
      </c>
      <c r="AL110" s="43">
        <v>2</v>
      </c>
      <c r="AM110" s="43">
        <v>1</v>
      </c>
      <c r="AN110" s="43">
        <v>1</v>
      </c>
      <c r="AO110" s="43">
        <v>0</v>
      </c>
      <c r="AP110" s="69">
        <v>0</v>
      </c>
      <c r="AQ110" s="68" t="s">
        <v>1733</v>
      </c>
      <c r="AR110" s="43" t="s">
        <v>856</v>
      </c>
      <c r="AS110" s="43">
        <v>4728</v>
      </c>
      <c r="AT110" s="43">
        <v>-13.545</v>
      </c>
      <c r="AU110" s="69">
        <v>-43.17</v>
      </c>
      <c r="AV110" s="69">
        <v>-200.74</v>
      </c>
      <c r="AW110" s="43">
        <v>85.959699999999998</v>
      </c>
      <c r="AX110" s="43">
        <v>0.8427</v>
      </c>
      <c r="AY110" s="69">
        <v>-43.17</v>
      </c>
      <c r="AZ110" s="69">
        <v>-200.74</v>
      </c>
      <c r="BA110" s="43">
        <v>85.959699999999998</v>
      </c>
      <c r="BB110" s="43">
        <v>0.8427</v>
      </c>
      <c r="BC110" s="43">
        <v>0</v>
      </c>
      <c r="BD110" s="43">
        <v>0</v>
      </c>
      <c r="BE110" s="43">
        <v>0</v>
      </c>
      <c r="BF110" s="43">
        <v>-11.6</v>
      </c>
      <c r="BG110" s="43">
        <v>16.183499999999999</v>
      </c>
      <c r="BH110" s="43">
        <v>-9.6</v>
      </c>
      <c r="BI110" s="43">
        <v>19.968900000000001</v>
      </c>
      <c r="BJ110" s="43">
        <v>0</v>
      </c>
      <c r="BK110" s="53">
        <v>0.10299999999999999</v>
      </c>
      <c r="BL110" s="53">
        <v>136</v>
      </c>
      <c r="BM110" s="43">
        <v>2</v>
      </c>
      <c r="BN110" s="34" t="s">
        <v>89</v>
      </c>
      <c r="BO110" s="34" t="s">
        <v>89</v>
      </c>
      <c r="BP110" s="34" t="s">
        <v>89</v>
      </c>
      <c r="BQ110" s="34" t="s">
        <v>89</v>
      </c>
      <c r="BR110" s="34" t="s">
        <v>89</v>
      </c>
      <c r="BS110" s="34" t="s">
        <v>89</v>
      </c>
      <c r="BT110" s="34" t="s">
        <v>89</v>
      </c>
      <c r="BU110" s="34" t="s">
        <v>89</v>
      </c>
      <c r="BV110" s="34" t="s">
        <v>89</v>
      </c>
      <c r="BW110" s="34" t="s">
        <v>89</v>
      </c>
      <c r="BX110" s="34" t="s">
        <v>89</v>
      </c>
      <c r="BY110" s="34" t="s">
        <v>89</v>
      </c>
      <c r="BZ110" s="34" t="s">
        <v>89</v>
      </c>
      <c r="CA110" s="34" t="s">
        <v>89</v>
      </c>
      <c r="CB110" s="34" t="s">
        <v>89</v>
      </c>
      <c r="CC110" s="34" t="s">
        <v>89</v>
      </c>
      <c r="CD110" s="34" t="s">
        <v>89</v>
      </c>
      <c r="CE110" s="43">
        <v>2.4579435653309698</v>
      </c>
      <c r="CF110" s="43">
        <v>1</v>
      </c>
      <c r="CG110" s="43">
        <v>16.183499999999999</v>
      </c>
      <c r="CH110" s="43">
        <v>-9.6</v>
      </c>
      <c r="CI110" s="43">
        <v>220</v>
      </c>
      <c r="CJ110" s="43">
        <v>-10.737361267324401</v>
      </c>
      <c r="CK110" s="43">
        <v>-18.2848998021041</v>
      </c>
      <c r="CL110" s="43">
        <v>65208</v>
      </c>
      <c r="CM110" s="43">
        <v>56494</v>
      </c>
      <c r="CN110" s="43">
        <v>1636</v>
      </c>
      <c r="CO110" s="43">
        <v>-43.17</v>
      </c>
      <c r="CP110" s="43">
        <v>-200.74</v>
      </c>
      <c r="CQ110" s="43">
        <v>-43.17</v>
      </c>
      <c r="CR110" s="43">
        <v>-200.74</v>
      </c>
      <c r="CS110" s="43">
        <v>0</v>
      </c>
      <c r="CT110" s="43">
        <v>1</v>
      </c>
      <c r="CU110" s="43">
        <v>1</v>
      </c>
      <c r="CV110" s="46" t="s">
        <v>89</v>
      </c>
      <c r="CW110" s="34"/>
      <c r="CX110" s="35"/>
    </row>
    <row r="111" spans="1:102" ht="15" customHeight="1" x14ac:dyDescent="0.25">
      <c r="A111" s="33">
        <v>108</v>
      </c>
      <c r="B111" s="43" t="s">
        <v>1895</v>
      </c>
      <c r="C111" s="43">
        <v>0.33579999999999999</v>
      </c>
      <c r="D111" s="43">
        <v>0.83299999999999996</v>
      </c>
      <c r="E111" s="43" t="s">
        <v>267</v>
      </c>
      <c r="F111" s="43" t="s">
        <v>216</v>
      </c>
      <c r="G111" s="43" t="s">
        <v>959</v>
      </c>
      <c r="H111" s="43" t="s">
        <v>960</v>
      </c>
      <c r="I111" s="43" t="s">
        <v>961</v>
      </c>
      <c r="J111" s="43" t="s">
        <v>962</v>
      </c>
      <c r="K111" s="43" t="s">
        <v>2022</v>
      </c>
      <c r="L111" s="43" t="s">
        <v>895</v>
      </c>
      <c r="M111" s="43" t="s">
        <v>840</v>
      </c>
      <c r="N111" s="43" t="s">
        <v>706</v>
      </c>
      <c r="O111" s="43" t="s">
        <v>683</v>
      </c>
      <c r="P111" s="43" t="s">
        <v>676</v>
      </c>
      <c r="Q111" s="43" t="s">
        <v>676</v>
      </c>
      <c r="R111" s="43" t="s">
        <v>191</v>
      </c>
      <c r="S111" s="43">
        <v>37.454999999999998</v>
      </c>
      <c r="T111" s="43">
        <v>-144.667</v>
      </c>
      <c r="U111" s="43">
        <v>2.6057000000000001</v>
      </c>
      <c r="V111" s="43">
        <v>-7.7130000000000001</v>
      </c>
      <c r="W111" s="43">
        <v>0</v>
      </c>
      <c r="X111" s="43">
        <v>0</v>
      </c>
      <c r="Y111" s="43">
        <v>0.14699999999999999</v>
      </c>
      <c r="Z111" s="43">
        <v>0.112</v>
      </c>
      <c r="AA111" s="43">
        <v>3827.2660000000001</v>
      </c>
      <c r="AB111" s="43">
        <v>0.72399999999999998</v>
      </c>
      <c r="AC111" s="43">
        <v>2156.6410000000001</v>
      </c>
      <c r="AD111" s="43">
        <v>0.80100000000000005</v>
      </c>
      <c r="AE111" s="43">
        <v>0.97499999999999998</v>
      </c>
      <c r="AF111" s="51">
        <v>0</v>
      </c>
      <c r="AG111" s="43">
        <v>-20.501000000000001</v>
      </c>
      <c r="AH111" s="43">
        <v>-40.921999999999997</v>
      </c>
      <c r="AI111" s="43">
        <v>121.994</v>
      </c>
      <c r="AJ111" s="43" t="s">
        <v>1441</v>
      </c>
      <c r="AK111" s="43">
        <v>1</v>
      </c>
      <c r="AL111" s="43">
        <v>1</v>
      </c>
      <c r="AM111" s="43">
        <v>0</v>
      </c>
      <c r="AN111" s="43">
        <v>1</v>
      </c>
      <c r="AO111" s="43">
        <v>0</v>
      </c>
      <c r="AP111" s="43">
        <v>0</v>
      </c>
      <c r="AQ111" s="68" t="s">
        <v>1775</v>
      </c>
      <c r="AR111" s="43" t="s">
        <v>797</v>
      </c>
      <c r="AS111" s="43">
        <v>34</v>
      </c>
      <c r="AT111" s="43">
        <v>6.5190000000000001</v>
      </c>
      <c r="AU111" s="69">
        <v>1118</v>
      </c>
      <c r="AV111" s="69">
        <v>-194.19</v>
      </c>
      <c r="AW111" s="43">
        <v>19.6403</v>
      </c>
      <c r="AX111" s="43">
        <v>0.1333</v>
      </c>
      <c r="AY111" s="69">
        <v>1118</v>
      </c>
      <c r="AZ111" s="69">
        <v>-194.19</v>
      </c>
      <c r="BA111" s="43">
        <v>19.6403</v>
      </c>
      <c r="BB111" s="43">
        <v>0.1333</v>
      </c>
      <c r="BC111" s="43">
        <v>1</v>
      </c>
      <c r="BD111" s="43">
        <v>1</v>
      </c>
      <c r="BE111" s="43">
        <v>0</v>
      </c>
      <c r="BF111" s="43">
        <v>-30.2</v>
      </c>
      <c r="BG111" s="43">
        <v>15.2376</v>
      </c>
      <c r="BH111" s="43">
        <v>-30.2</v>
      </c>
      <c r="BI111" s="43">
        <v>3.4327999999999999</v>
      </c>
      <c r="BJ111" s="43">
        <v>1</v>
      </c>
      <c r="BK111" s="53">
        <v>0.104</v>
      </c>
      <c r="BL111" s="53">
        <v>137.19999999999999</v>
      </c>
      <c r="BM111" s="43">
        <v>2</v>
      </c>
      <c r="BN111" s="34" t="s">
        <v>89</v>
      </c>
      <c r="BO111" s="34" t="s">
        <v>89</v>
      </c>
      <c r="BP111" s="34" t="s">
        <v>89</v>
      </c>
      <c r="BQ111" s="34" t="s">
        <v>89</v>
      </c>
      <c r="BR111" s="34" t="s">
        <v>89</v>
      </c>
      <c r="BS111" s="34" t="s">
        <v>89</v>
      </c>
      <c r="BT111" s="34" t="s">
        <v>89</v>
      </c>
      <c r="BU111" s="34" t="s">
        <v>89</v>
      </c>
      <c r="BV111" s="34" t="s">
        <v>89</v>
      </c>
      <c r="BW111" s="34" t="s">
        <v>89</v>
      </c>
      <c r="BX111" s="34" t="s">
        <v>89</v>
      </c>
      <c r="BY111" s="34" t="s">
        <v>89</v>
      </c>
      <c r="BZ111" s="34" t="s">
        <v>89</v>
      </c>
      <c r="CA111" s="34" t="s">
        <v>89</v>
      </c>
      <c r="CB111" s="34" t="s">
        <v>89</v>
      </c>
      <c r="CC111" s="34" t="s">
        <v>89</v>
      </c>
      <c r="CD111" s="34" t="s">
        <v>89</v>
      </c>
      <c r="CE111" s="43">
        <v>8.0978359885897994E-2</v>
      </c>
      <c r="CF111" s="43">
        <v>-2.0768034952081901E-2</v>
      </c>
      <c r="CG111" s="43">
        <v>0</v>
      </c>
      <c r="CH111" s="43">
        <v>0</v>
      </c>
      <c r="CI111" s="43">
        <v>220</v>
      </c>
      <c r="CJ111" s="43">
        <v>-4.7550018584254596</v>
      </c>
      <c r="CK111" s="43">
        <v>-1.0749801516169699</v>
      </c>
      <c r="CL111" s="43">
        <v>0</v>
      </c>
      <c r="CM111" s="43">
        <v>12707</v>
      </c>
      <c r="CN111" s="43">
        <v>34</v>
      </c>
      <c r="CO111" s="43">
        <v>1118</v>
      </c>
      <c r="CP111" s="43">
        <v>-194.19</v>
      </c>
      <c r="CQ111" s="43">
        <v>18.556000000000001</v>
      </c>
      <c r="CR111" s="43">
        <v>-356.89660113809998</v>
      </c>
      <c r="CS111" s="43">
        <v>0.24559175</v>
      </c>
      <c r="CT111" s="43">
        <v>1</v>
      </c>
      <c r="CU111" s="43">
        <v>1</v>
      </c>
      <c r="CV111" s="46" t="s">
        <v>89</v>
      </c>
      <c r="CW111" s="34"/>
      <c r="CX111" s="35"/>
    </row>
    <row r="112" spans="1:102" ht="15" customHeight="1" x14ac:dyDescent="0.25">
      <c r="A112" s="33">
        <v>109</v>
      </c>
      <c r="B112" s="43" t="s">
        <v>1896</v>
      </c>
      <c r="C112" s="43">
        <v>0.28139999999999998</v>
      </c>
      <c r="D112" s="43">
        <v>4.7E-2</v>
      </c>
      <c r="E112" s="43" t="s">
        <v>216</v>
      </c>
      <c r="F112" s="43" t="s">
        <v>179</v>
      </c>
      <c r="G112" s="43" t="s">
        <v>963</v>
      </c>
      <c r="H112" s="43" t="s">
        <v>964</v>
      </c>
      <c r="I112" s="43" t="s">
        <v>965</v>
      </c>
      <c r="J112" s="43" t="s">
        <v>966</v>
      </c>
      <c r="K112" s="53" t="s">
        <v>2023</v>
      </c>
      <c r="L112" s="43" t="s">
        <v>861</v>
      </c>
      <c r="M112" s="43" t="s">
        <v>802</v>
      </c>
      <c r="N112" s="43" t="s">
        <v>724</v>
      </c>
      <c r="O112" s="43" t="s">
        <v>698</v>
      </c>
      <c r="P112" s="43" t="s">
        <v>776</v>
      </c>
      <c r="Q112" s="43" t="s">
        <v>349</v>
      </c>
      <c r="R112" s="43" t="s">
        <v>311</v>
      </c>
      <c r="S112" s="43">
        <v>-105.246</v>
      </c>
      <c r="T112" s="43">
        <v>5.7240000000000002</v>
      </c>
      <c r="U112" s="43">
        <v>6.0728999999999997</v>
      </c>
      <c r="V112" s="43">
        <v>-7.65</v>
      </c>
      <c r="W112" s="43">
        <v>1</v>
      </c>
      <c r="X112" s="43">
        <v>1</v>
      </c>
      <c r="Y112" s="43">
        <v>9.9000000000000005E-2</v>
      </c>
      <c r="Z112" s="43">
        <v>6.2E-2</v>
      </c>
      <c r="AA112" s="43">
        <v>208.03299999999999</v>
      </c>
      <c r="AB112" s="43">
        <v>0.84899999999999998</v>
      </c>
      <c r="AC112" s="43">
        <v>5517.4970000000003</v>
      </c>
      <c r="AD112" s="43">
        <v>0.29599999999999999</v>
      </c>
      <c r="AE112" s="43">
        <v>0.97799999999999998</v>
      </c>
      <c r="AF112" s="51">
        <v>1</v>
      </c>
      <c r="AG112" s="43">
        <v>-6.7030000000000003</v>
      </c>
      <c r="AH112" s="43">
        <v>75.082999999999998</v>
      </c>
      <c r="AI112" s="43">
        <v>-41.575000000000003</v>
      </c>
      <c r="AJ112" s="43" t="s">
        <v>1442</v>
      </c>
      <c r="AK112" s="43">
        <v>1</v>
      </c>
      <c r="AL112" s="43">
        <v>2</v>
      </c>
      <c r="AM112" s="43">
        <v>0</v>
      </c>
      <c r="AN112" s="43">
        <v>1</v>
      </c>
      <c r="AO112" s="43">
        <v>0</v>
      </c>
      <c r="AP112" s="69">
        <v>0</v>
      </c>
      <c r="AQ112" s="68" t="s">
        <v>1734</v>
      </c>
      <c r="AR112" s="43" t="s">
        <v>803</v>
      </c>
      <c r="AS112" s="43">
        <v>1147</v>
      </c>
      <c r="AT112" s="43">
        <v>-3.4430000000000001</v>
      </c>
      <c r="AU112" s="69">
        <v>-717.3</v>
      </c>
      <c r="AV112" s="69">
        <v>-861.58</v>
      </c>
      <c r="AW112" s="43">
        <v>88.424499999999995</v>
      </c>
      <c r="AX112" s="43">
        <v>0.3221</v>
      </c>
      <c r="AY112" s="69">
        <v>-717.3</v>
      </c>
      <c r="AZ112" s="69">
        <v>-861.58</v>
      </c>
      <c r="BA112" s="43">
        <v>88.424499999999995</v>
      </c>
      <c r="BB112" s="43">
        <v>0.3221</v>
      </c>
      <c r="BC112" s="43">
        <v>1</v>
      </c>
      <c r="BD112" s="43">
        <v>1</v>
      </c>
      <c r="BE112" s="43">
        <v>0</v>
      </c>
      <c r="BF112" s="43">
        <v>-9.65</v>
      </c>
      <c r="BG112" s="43">
        <v>25.357199999999999</v>
      </c>
      <c r="BH112" s="43">
        <v>-9.65</v>
      </c>
      <c r="BI112" s="43">
        <v>0.79010000000000002</v>
      </c>
      <c r="BJ112" s="43">
        <v>0</v>
      </c>
      <c r="BK112" s="53">
        <v>0.105</v>
      </c>
      <c r="BL112" s="53">
        <v>138.4</v>
      </c>
      <c r="BM112" s="43">
        <v>2</v>
      </c>
      <c r="BN112" s="34" t="s">
        <v>89</v>
      </c>
      <c r="BO112" s="34" t="s">
        <v>89</v>
      </c>
      <c r="BP112" s="34" t="s">
        <v>89</v>
      </c>
      <c r="BQ112" s="34" t="s">
        <v>89</v>
      </c>
      <c r="BR112" s="34" t="s">
        <v>89</v>
      </c>
      <c r="BS112" s="34" t="s">
        <v>89</v>
      </c>
      <c r="BT112" s="34" t="s">
        <v>89</v>
      </c>
      <c r="BU112" s="34" t="s">
        <v>89</v>
      </c>
      <c r="BV112" s="34" t="s">
        <v>89</v>
      </c>
      <c r="BW112" s="34" t="s">
        <v>89</v>
      </c>
      <c r="BX112" s="34" t="s">
        <v>89</v>
      </c>
      <c r="BY112" s="34" t="s">
        <v>89</v>
      </c>
      <c r="BZ112" s="34" t="s">
        <v>89</v>
      </c>
      <c r="CA112" s="34" t="s">
        <v>89</v>
      </c>
      <c r="CB112" s="34" t="s">
        <v>89</v>
      </c>
      <c r="CC112" s="34" t="s">
        <v>89</v>
      </c>
      <c r="CD112" s="34" t="s">
        <v>89</v>
      </c>
      <c r="CE112" s="43">
        <v>1.36006652021065E-2</v>
      </c>
      <c r="CF112" s="43">
        <v>1</v>
      </c>
      <c r="CG112" s="43">
        <v>6.4617538349999997</v>
      </c>
      <c r="CH112" s="43">
        <v>0.79010000000000002</v>
      </c>
      <c r="CI112" s="43">
        <v>131.10900000000001</v>
      </c>
      <c r="CJ112" s="43">
        <v>4.8859721106406298</v>
      </c>
      <c r="CK112" s="43">
        <v>-0.198435213714515</v>
      </c>
      <c r="CL112" s="43">
        <v>0</v>
      </c>
      <c r="CM112" s="43">
        <v>62193</v>
      </c>
      <c r="CN112" s="43">
        <v>1147</v>
      </c>
      <c r="CO112" s="43">
        <v>-717.3</v>
      </c>
      <c r="CP112" s="43">
        <v>-861.58</v>
      </c>
      <c r="CQ112" s="43">
        <v>21.373000000000001</v>
      </c>
      <c r="CR112" s="43">
        <v>-24763.275953390999</v>
      </c>
      <c r="CS112" s="43">
        <v>0.82299587500000004</v>
      </c>
      <c r="CT112" s="43">
        <v>0.985687125</v>
      </c>
      <c r="CU112" s="43">
        <v>1</v>
      </c>
      <c r="CV112" s="46" t="s">
        <v>89</v>
      </c>
      <c r="CW112" s="34"/>
      <c r="CX112" s="35"/>
    </row>
    <row r="113" spans="1:102" ht="15" customHeight="1" x14ac:dyDescent="0.25">
      <c r="A113" s="33">
        <v>110</v>
      </c>
      <c r="B113" s="69" t="s">
        <v>967</v>
      </c>
      <c r="C113" s="43">
        <v>0.56589999999999996</v>
      </c>
      <c r="D113" s="43">
        <v>0.72499999999999998</v>
      </c>
      <c r="E113" s="43" t="s">
        <v>268</v>
      </c>
      <c r="F113" s="43" t="s">
        <v>237</v>
      </c>
      <c r="G113" s="43" t="s">
        <v>968</v>
      </c>
      <c r="H113" s="43" t="s">
        <v>969</v>
      </c>
      <c r="I113" s="43" t="s">
        <v>970</v>
      </c>
      <c r="J113" s="43" t="s">
        <v>971</v>
      </c>
      <c r="K113" s="43" t="s">
        <v>2024</v>
      </c>
      <c r="L113" s="43" t="s">
        <v>867</v>
      </c>
      <c r="M113" s="43" t="s">
        <v>809</v>
      </c>
      <c r="N113" s="43" t="s">
        <v>733</v>
      </c>
      <c r="O113" s="43" t="s">
        <v>707</v>
      </c>
      <c r="P113" s="43" t="s">
        <v>662</v>
      </c>
      <c r="Q113" s="43" t="s">
        <v>357</v>
      </c>
      <c r="R113" s="43" t="s">
        <v>202</v>
      </c>
      <c r="S113" s="43">
        <v>-213.02699999999999</v>
      </c>
      <c r="T113" s="43">
        <v>59.304000000000002</v>
      </c>
      <c r="U113" s="43">
        <v>11.277699999999999</v>
      </c>
      <c r="V113" s="43">
        <v>-9.0519999999999996</v>
      </c>
      <c r="W113" s="43">
        <v>0</v>
      </c>
      <c r="X113" s="43">
        <v>1</v>
      </c>
      <c r="Y113" s="43">
        <v>0.10100000000000001</v>
      </c>
      <c r="Z113" s="43">
        <v>4.5999999999999999E-2</v>
      </c>
      <c r="AA113" s="43">
        <v>6145.5730000000003</v>
      </c>
      <c r="AB113" s="43">
        <v>0.23200000000000001</v>
      </c>
      <c r="AC113" s="43">
        <v>4019.2080000000001</v>
      </c>
      <c r="AD113" s="43">
        <v>0.44800000000000001</v>
      </c>
      <c r="AE113" s="43">
        <v>0.98699999999999999</v>
      </c>
      <c r="AF113" s="43">
        <v>0</v>
      </c>
      <c r="AG113" s="43">
        <v>23.731000000000002</v>
      </c>
      <c r="AH113" s="51">
        <v>-220</v>
      </c>
      <c r="AI113" s="43">
        <v>48.84</v>
      </c>
      <c r="AJ113" s="43" t="s">
        <v>1443</v>
      </c>
      <c r="AK113" s="43">
        <v>0</v>
      </c>
      <c r="AL113" s="43">
        <v>3</v>
      </c>
      <c r="AM113" s="43">
        <v>1</v>
      </c>
      <c r="AN113" s="43">
        <v>0</v>
      </c>
      <c r="AO113" s="43">
        <v>1</v>
      </c>
      <c r="AP113" s="69">
        <v>1</v>
      </c>
      <c r="AQ113" s="68" t="s">
        <v>1776</v>
      </c>
      <c r="AR113" s="43" t="s">
        <v>972</v>
      </c>
      <c r="AS113" s="43">
        <v>2022</v>
      </c>
      <c r="AT113" s="43">
        <v>10.231</v>
      </c>
      <c r="AU113" s="69">
        <v>1118</v>
      </c>
      <c r="AV113" s="69">
        <v>947.7</v>
      </c>
      <c r="AW113" s="43">
        <v>75.3476</v>
      </c>
      <c r="AX113" s="43">
        <v>0.84179999999999999</v>
      </c>
      <c r="AY113" s="69">
        <v>1118</v>
      </c>
      <c r="AZ113" s="69">
        <v>947.7</v>
      </c>
      <c r="BA113" s="43">
        <v>75.3476</v>
      </c>
      <c r="BB113" s="43">
        <v>0.84179999999999999</v>
      </c>
      <c r="BC113" s="43">
        <v>0</v>
      </c>
      <c r="BD113" s="43">
        <v>0</v>
      </c>
      <c r="BE113" s="43">
        <v>0</v>
      </c>
      <c r="BF113" s="43">
        <v>-22.41</v>
      </c>
      <c r="BG113" s="43">
        <v>0.99319999999999997</v>
      </c>
      <c r="BH113" s="43">
        <v>-22.41</v>
      </c>
      <c r="BI113" s="43">
        <v>0.35830000000000001</v>
      </c>
      <c r="BJ113" s="43">
        <v>1</v>
      </c>
      <c r="BK113" s="53">
        <v>0.106</v>
      </c>
      <c r="BL113" s="53">
        <v>139.6</v>
      </c>
      <c r="BM113" s="43">
        <v>2</v>
      </c>
      <c r="BN113" s="34" t="s">
        <v>89</v>
      </c>
      <c r="BO113" s="34" t="s">
        <v>89</v>
      </c>
      <c r="BP113" s="34" t="s">
        <v>89</v>
      </c>
      <c r="BQ113" s="34" t="s">
        <v>89</v>
      </c>
      <c r="BR113" s="34" t="s">
        <v>89</v>
      </c>
      <c r="BS113" s="34" t="s">
        <v>89</v>
      </c>
      <c r="BT113" s="34" t="s">
        <v>89</v>
      </c>
      <c r="BU113" s="34" t="s">
        <v>89</v>
      </c>
      <c r="BV113" s="34" t="s">
        <v>89</v>
      </c>
      <c r="BW113" s="34" t="s">
        <v>89</v>
      </c>
      <c r="BX113" s="34" t="s">
        <v>89</v>
      </c>
      <c r="BY113" s="34" t="s">
        <v>89</v>
      </c>
      <c r="BZ113" s="34" t="s">
        <v>89</v>
      </c>
      <c r="CA113" s="34" t="s">
        <v>89</v>
      </c>
      <c r="CB113" s="34" t="s">
        <v>89</v>
      </c>
      <c r="CC113" s="34" t="s">
        <v>89</v>
      </c>
      <c r="CD113" s="34" t="s">
        <v>89</v>
      </c>
      <c r="CE113" s="43">
        <v>-4.4524767283894198</v>
      </c>
      <c r="CF113" s="43">
        <v>-1.76335644128776</v>
      </c>
      <c r="CG113" s="43">
        <v>0</v>
      </c>
      <c r="CH113" s="43">
        <v>0</v>
      </c>
      <c r="CI113" s="43">
        <v>220</v>
      </c>
      <c r="CJ113" s="43">
        <v>-3.73893110833707</v>
      </c>
      <c r="CK113" s="43">
        <v>-6.3671118984291697</v>
      </c>
      <c r="CL113" s="43">
        <v>64684</v>
      </c>
      <c r="CM113" s="43">
        <v>14951</v>
      </c>
      <c r="CN113" s="43">
        <v>383</v>
      </c>
      <c r="CO113" s="43">
        <v>1118</v>
      </c>
      <c r="CP113" s="43">
        <v>947.7</v>
      </c>
      <c r="CQ113" s="43">
        <v>1118</v>
      </c>
      <c r="CR113" s="43">
        <v>947.7</v>
      </c>
      <c r="CS113" s="43">
        <v>1</v>
      </c>
      <c r="CT113" s="43">
        <v>0</v>
      </c>
      <c r="CU113" s="43">
        <v>1</v>
      </c>
      <c r="CV113" s="46" t="s">
        <v>89</v>
      </c>
      <c r="CW113" s="34"/>
      <c r="CX113" s="35"/>
    </row>
    <row r="114" spans="1:102" ht="15" customHeight="1" x14ac:dyDescent="0.25">
      <c r="A114" s="33">
        <v>111</v>
      </c>
      <c r="B114" s="43" t="s">
        <v>973</v>
      </c>
      <c r="C114" s="43">
        <v>0.95569999999999999</v>
      </c>
      <c r="D114" s="43">
        <v>0.83299999999999996</v>
      </c>
      <c r="E114" s="43" t="s">
        <v>267</v>
      </c>
      <c r="F114" s="43" t="s">
        <v>216</v>
      </c>
      <c r="G114" s="43" t="s">
        <v>974</v>
      </c>
      <c r="H114" s="43" t="s">
        <v>975</v>
      </c>
      <c r="I114" s="43" t="s">
        <v>976</v>
      </c>
      <c r="J114" s="43" t="s">
        <v>977</v>
      </c>
      <c r="K114" s="53" t="s">
        <v>2025</v>
      </c>
      <c r="L114" s="43" t="s">
        <v>895</v>
      </c>
      <c r="M114" s="43" t="s">
        <v>840</v>
      </c>
      <c r="N114" s="43" t="s">
        <v>706</v>
      </c>
      <c r="O114" s="43" t="s">
        <v>683</v>
      </c>
      <c r="P114" s="43" t="s">
        <v>676</v>
      </c>
      <c r="Q114" s="43" t="s">
        <v>676</v>
      </c>
      <c r="R114" s="43" t="s">
        <v>191</v>
      </c>
      <c r="S114" s="43">
        <v>37.454999999999998</v>
      </c>
      <c r="T114" s="43">
        <v>-144.667</v>
      </c>
      <c r="U114" s="43">
        <v>3.0994999999999999</v>
      </c>
      <c r="V114" s="43">
        <v>18.998999999999999</v>
      </c>
      <c r="W114" s="43">
        <v>0</v>
      </c>
      <c r="X114" s="43">
        <v>0</v>
      </c>
      <c r="Y114" s="69">
        <v>9.9000000000000005E-2</v>
      </c>
      <c r="Z114" s="69">
        <v>5.0000000000000001E-3</v>
      </c>
      <c r="AA114" s="43">
        <v>6667.5420000000004</v>
      </c>
      <c r="AB114" s="43">
        <v>0.77800000000000002</v>
      </c>
      <c r="AC114" s="43">
        <v>7823.2650000000003</v>
      </c>
      <c r="AD114" s="43">
        <v>4.4999999999999998E-2</v>
      </c>
      <c r="AE114" s="43">
        <v>0.97</v>
      </c>
      <c r="AF114" s="43">
        <v>1</v>
      </c>
      <c r="AG114" s="69">
        <v>12.026999999999999</v>
      </c>
      <c r="AH114" s="51">
        <v>220</v>
      </c>
      <c r="AI114" s="43">
        <v>107.702</v>
      </c>
      <c r="AJ114" s="43" t="s">
        <v>1444</v>
      </c>
      <c r="AK114" s="43">
        <v>1</v>
      </c>
      <c r="AL114" s="43">
        <v>1</v>
      </c>
      <c r="AM114" s="43">
        <v>0</v>
      </c>
      <c r="AN114" s="43">
        <v>0</v>
      </c>
      <c r="AO114" s="43">
        <v>0</v>
      </c>
      <c r="AP114" s="69">
        <v>0</v>
      </c>
      <c r="AQ114" s="72" t="s">
        <v>1735</v>
      </c>
      <c r="AR114" s="69" t="s">
        <v>819</v>
      </c>
      <c r="AS114" s="43">
        <v>233</v>
      </c>
      <c r="AT114" s="69">
        <v>19.829000000000001</v>
      </c>
      <c r="AU114" s="69">
        <v>-38.799999999999997</v>
      </c>
      <c r="AV114" s="69">
        <v>269.39999999999998</v>
      </c>
      <c r="AW114" s="43">
        <v>77.224800000000002</v>
      </c>
      <c r="AX114" s="43">
        <v>0.41189999999999999</v>
      </c>
      <c r="AY114" s="69">
        <v>-38.799999999999997</v>
      </c>
      <c r="AZ114" s="69">
        <v>269.39999999999998</v>
      </c>
      <c r="BA114" s="43">
        <v>77.224800000000002</v>
      </c>
      <c r="BB114" s="43">
        <v>0.41189999999999999</v>
      </c>
      <c r="BC114" s="43">
        <v>1</v>
      </c>
      <c r="BD114" s="43">
        <v>1</v>
      </c>
      <c r="BE114" s="43">
        <v>0</v>
      </c>
      <c r="BF114" s="43">
        <v>-8.69</v>
      </c>
      <c r="BG114" s="43">
        <v>1.3565</v>
      </c>
      <c r="BH114" s="43">
        <v>-8.69</v>
      </c>
      <c r="BI114" s="43">
        <v>30.710699999999999</v>
      </c>
      <c r="BJ114" s="53">
        <v>0</v>
      </c>
      <c r="BK114" s="53">
        <v>0.107</v>
      </c>
      <c r="BL114" s="53">
        <v>140.80000000000001</v>
      </c>
      <c r="BM114" s="43">
        <v>2</v>
      </c>
      <c r="BN114" s="34" t="s">
        <v>89</v>
      </c>
      <c r="BO114" s="34" t="s">
        <v>89</v>
      </c>
      <c r="BP114" s="34" t="s">
        <v>89</v>
      </c>
      <c r="BQ114" s="34" t="s">
        <v>89</v>
      </c>
      <c r="BR114" s="34" t="s">
        <v>89</v>
      </c>
      <c r="BS114" s="34" t="s">
        <v>89</v>
      </c>
      <c r="BT114" s="34" t="s">
        <v>89</v>
      </c>
      <c r="BU114" s="34" t="s">
        <v>89</v>
      </c>
      <c r="BV114" s="34" t="s">
        <v>89</v>
      </c>
      <c r="BW114" s="34" t="s">
        <v>89</v>
      </c>
      <c r="BX114" s="34" t="s">
        <v>89</v>
      </c>
      <c r="BY114" s="34" t="s">
        <v>89</v>
      </c>
      <c r="BZ114" s="34" t="s">
        <v>89</v>
      </c>
      <c r="CA114" s="34" t="s">
        <v>89</v>
      </c>
      <c r="CB114" s="34" t="s">
        <v>89</v>
      </c>
      <c r="CC114" s="34" t="s">
        <v>89</v>
      </c>
      <c r="CD114" s="34" t="s">
        <v>89</v>
      </c>
      <c r="CE114" s="43">
        <v>-2.9001850440808899E-2</v>
      </c>
      <c r="CF114" s="43">
        <v>1</v>
      </c>
      <c r="CG114" s="43">
        <v>0</v>
      </c>
      <c r="CH114" s="43">
        <v>0</v>
      </c>
      <c r="CI114" s="43">
        <v>220</v>
      </c>
      <c r="CJ114" s="43">
        <v>-19.8987321750378</v>
      </c>
      <c r="CK114" s="43">
        <v>22.544297678706101</v>
      </c>
      <c r="CL114" s="43">
        <v>0</v>
      </c>
      <c r="CM114" s="43">
        <v>8809</v>
      </c>
      <c r="CN114" s="43">
        <v>233</v>
      </c>
      <c r="CO114" s="43">
        <v>-7.6669999999999998</v>
      </c>
      <c r="CP114" s="43">
        <v>8550.176588028</v>
      </c>
      <c r="CQ114" s="43">
        <v>18.951000000000001</v>
      </c>
      <c r="CR114" s="43">
        <v>8561.1405422280004</v>
      </c>
      <c r="CS114" s="43">
        <v>1</v>
      </c>
      <c r="CT114" s="43">
        <v>1</v>
      </c>
      <c r="CU114" s="43">
        <v>1</v>
      </c>
      <c r="CV114" s="46" t="s">
        <v>89</v>
      </c>
      <c r="CW114" s="34"/>
      <c r="CX114" s="35"/>
    </row>
    <row r="115" spans="1:102" ht="15" customHeight="1" x14ac:dyDescent="0.25">
      <c r="A115" s="33">
        <v>112</v>
      </c>
      <c r="B115" s="43" t="s">
        <v>1897</v>
      </c>
      <c r="C115" s="43">
        <v>0.70579999999999998</v>
      </c>
      <c r="D115" s="43">
        <v>0.83299999999999996</v>
      </c>
      <c r="E115" s="43" t="s">
        <v>268</v>
      </c>
      <c r="F115" s="43" t="s">
        <v>237</v>
      </c>
      <c r="G115" s="43" t="s">
        <v>978</v>
      </c>
      <c r="H115" s="43" t="s">
        <v>979</v>
      </c>
      <c r="I115" s="43" t="s">
        <v>980</v>
      </c>
      <c r="J115" s="43" t="s">
        <v>981</v>
      </c>
      <c r="K115" s="43" t="s">
        <v>2026</v>
      </c>
      <c r="L115" s="43" t="s">
        <v>895</v>
      </c>
      <c r="M115" s="43" t="s">
        <v>840</v>
      </c>
      <c r="N115" s="43" t="s">
        <v>706</v>
      </c>
      <c r="O115" s="43" t="s">
        <v>683</v>
      </c>
      <c r="P115" s="43" t="s">
        <v>676</v>
      </c>
      <c r="Q115" s="43" t="s">
        <v>676</v>
      </c>
      <c r="R115" s="43" t="s">
        <v>191</v>
      </c>
      <c r="S115" s="43">
        <v>37.454999999999998</v>
      </c>
      <c r="T115" s="43">
        <v>-144.667</v>
      </c>
      <c r="U115" s="43">
        <v>23.843399999999999</v>
      </c>
      <c r="V115" s="43">
        <v>-3.782</v>
      </c>
      <c r="W115" s="43">
        <v>0</v>
      </c>
      <c r="X115" s="43">
        <v>0</v>
      </c>
      <c r="Y115" s="69">
        <v>0.13</v>
      </c>
      <c r="Z115" s="69">
        <v>2.8000000000000001E-2</v>
      </c>
      <c r="AA115" s="43">
        <v>7980.1490000000003</v>
      </c>
      <c r="AB115" s="43">
        <v>0.85199999999999998</v>
      </c>
      <c r="AC115" s="43">
        <v>6489.6959999999999</v>
      </c>
      <c r="AD115" s="43">
        <v>0.39900000000000002</v>
      </c>
      <c r="AE115" s="43">
        <v>0.96599999999999997</v>
      </c>
      <c r="AF115" s="43">
        <v>0</v>
      </c>
      <c r="AG115" s="69">
        <v>-0.89400000000000002</v>
      </c>
      <c r="AH115" s="51">
        <v>0</v>
      </c>
      <c r="AI115" s="43">
        <v>5.7240000000000002</v>
      </c>
      <c r="AJ115" s="43" t="s">
        <v>1445</v>
      </c>
      <c r="AK115" s="43">
        <v>0</v>
      </c>
      <c r="AL115" s="43">
        <v>3</v>
      </c>
      <c r="AM115" s="43">
        <v>1</v>
      </c>
      <c r="AN115" s="43">
        <v>1</v>
      </c>
      <c r="AO115" s="43">
        <v>1</v>
      </c>
      <c r="AP115" s="69">
        <v>1</v>
      </c>
      <c r="AQ115" s="69" t="s">
        <v>1736</v>
      </c>
      <c r="AR115" s="69" t="s">
        <v>827</v>
      </c>
      <c r="AS115" s="43">
        <v>2264</v>
      </c>
      <c r="AT115" s="69">
        <v>-24.923999999999999</v>
      </c>
      <c r="AU115" s="69">
        <v>-657.1</v>
      </c>
      <c r="AV115" s="69">
        <v>-340.13</v>
      </c>
      <c r="AW115" s="43">
        <v>49.137700000000002</v>
      </c>
      <c r="AX115" s="43">
        <v>3.6400000000000002E-2</v>
      </c>
      <c r="AY115" s="69">
        <v>-657.1</v>
      </c>
      <c r="AZ115" s="69">
        <v>-340.13</v>
      </c>
      <c r="BA115" s="43">
        <v>49.137700000000002</v>
      </c>
      <c r="BB115" s="43">
        <v>3.6400000000000002E-2</v>
      </c>
      <c r="BC115" s="43">
        <v>0</v>
      </c>
      <c r="BD115" s="43">
        <v>0</v>
      </c>
      <c r="BE115" s="43">
        <v>0</v>
      </c>
      <c r="BF115" s="43">
        <v>-4.57</v>
      </c>
      <c r="BG115" s="43">
        <v>13.7721</v>
      </c>
      <c r="BH115" s="43">
        <v>-4.57</v>
      </c>
      <c r="BI115" s="43">
        <v>14.1104</v>
      </c>
      <c r="BJ115" s="53">
        <v>1</v>
      </c>
      <c r="BK115" s="53">
        <v>0.108</v>
      </c>
      <c r="BL115" s="53">
        <v>142</v>
      </c>
      <c r="BM115" s="43">
        <v>2</v>
      </c>
      <c r="BN115" s="34" t="s">
        <v>89</v>
      </c>
      <c r="BO115" s="34" t="s">
        <v>89</v>
      </c>
      <c r="BP115" s="34" t="s">
        <v>89</v>
      </c>
      <c r="BQ115" s="34" t="s">
        <v>89</v>
      </c>
      <c r="BR115" s="34" t="s">
        <v>89</v>
      </c>
      <c r="BS115" s="34" t="s">
        <v>89</v>
      </c>
      <c r="BT115" s="34" t="s">
        <v>89</v>
      </c>
      <c r="BU115" s="34" t="s">
        <v>89</v>
      </c>
      <c r="BV115" s="34" t="s">
        <v>89</v>
      </c>
      <c r="BW115" s="34" t="s">
        <v>89</v>
      </c>
      <c r="BX115" s="34" t="s">
        <v>89</v>
      </c>
      <c r="BY115" s="34" t="s">
        <v>89</v>
      </c>
      <c r="BZ115" s="34" t="s">
        <v>89</v>
      </c>
      <c r="CA115" s="34" t="s">
        <v>89</v>
      </c>
      <c r="CB115" s="34" t="s">
        <v>89</v>
      </c>
      <c r="CC115" s="34" t="s">
        <v>89</v>
      </c>
      <c r="CD115" s="34" t="s">
        <v>89</v>
      </c>
      <c r="CE115" s="43">
        <v>0.83143463795901196</v>
      </c>
      <c r="CF115" s="43">
        <v>6.4869355685979597</v>
      </c>
      <c r="CG115" s="43">
        <v>0</v>
      </c>
      <c r="CH115" s="43">
        <v>0</v>
      </c>
      <c r="CI115" s="43">
        <v>182.91399999999999</v>
      </c>
      <c r="CJ115" s="43">
        <v>-15.956129796969799</v>
      </c>
      <c r="CK115" s="43">
        <v>1.6233730311477399</v>
      </c>
      <c r="CL115" s="43">
        <v>63307</v>
      </c>
      <c r="CM115" s="43">
        <v>26386</v>
      </c>
      <c r="CN115" s="43">
        <v>1211</v>
      </c>
      <c r="CO115" s="43">
        <v>-657.1</v>
      </c>
      <c r="CP115" s="43">
        <v>-340.13</v>
      </c>
      <c r="CQ115" s="43">
        <v>-657.1</v>
      </c>
      <c r="CR115" s="43">
        <v>-340.13</v>
      </c>
      <c r="CS115" s="43">
        <v>0</v>
      </c>
      <c r="CT115" s="43">
        <v>0</v>
      </c>
      <c r="CU115" s="43">
        <v>1</v>
      </c>
      <c r="CV115" s="46" t="s">
        <v>89</v>
      </c>
      <c r="CW115" s="34"/>
      <c r="CX115" s="35"/>
    </row>
    <row r="116" spans="1:102" ht="15" customHeight="1" x14ac:dyDescent="0.25">
      <c r="A116" s="33">
        <v>113</v>
      </c>
      <c r="B116" s="43" t="s">
        <v>982</v>
      </c>
      <c r="C116" s="43">
        <v>0.82479999999999998</v>
      </c>
      <c r="D116" s="43">
        <v>0.52100000000000002</v>
      </c>
      <c r="E116" s="43" t="s">
        <v>179</v>
      </c>
      <c r="F116" s="43" t="s">
        <v>555</v>
      </c>
      <c r="G116" s="43" t="s">
        <v>983</v>
      </c>
      <c r="H116" s="43" t="s">
        <v>984</v>
      </c>
      <c r="I116" s="43" t="s">
        <v>985</v>
      </c>
      <c r="J116" s="43" t="s">
        <v>986</v>
      </c>
      <c r="K116" s="43" t="s">
        <v>2027</v>
      </c>
      <c r="L116" s="43" t="s">
        <v>840</v>
      </c>
      <c r="M116" s="43" t="s">
        <v>841</v>
      </c>
      <c r="N116" s="43" t="s">
        <v>698</v>
      </c>
      <c r="O116" s="43" t="s">
        <v>676</v>
      </c>
      <c r="P116" s="43" t="s">
        <v>698</v>
      </c>
      <c r="Q116" s="43" t="s">
        <v>392</v>
      </c>
      <c r="R116" s="43" t="s">
        <v>405</v>
      </c>
      <c r="S116" s="43">
        <v>-76.876999999999995</v>
      </c>
      <c r="T116" s="43">
        <v>-41.575000000000003</v>
      </c>
      <c r="U116" s="43">
        <v>8.3295999999999992</v>
      </c>
      <c r="V116" s="43">
        <v>7.3650000000000002</v>
      </c>
      <c r="W116" s="43">
        <v>0</v>
      </c>
      <c r="X116" s="43">
        <v>1</v>
      </c>
      <c r="Y116" s="43">
        <v>0.10299999999999999</v>
      </c>
      <c r="Z116" s="43">
        <v>0.193</v>
      </c>
      <c r="AA116" s="43">
        <v>1293.5309999999999</v>
      </c>
      <c r="AB116" s="43">
        <v>0.34899999999999998</v>
      </c>
      <c r="AC116" s="43">
        <v>7361.1390000000001</v>
      </c>
      <c r="AD116" s="43">
        <v>0.111</v>
      </c>
      <c r="AE116" s="43">
        <v>0.96899999999999997</v>
      </c>
      <c r="AF116" s="43">
        <v>1</v>
      </c>
      <c r="AG116" s="43">
        <v>8.9649999999999999</v>
      </c>
      <c r="AH116" s="51">
        <v>50.061</v>
      </c>
      <c r="AI116" s="43">
        <v>59.304000000000002</v>
      </c>
      <c r="AJ116" s="43" t="s">
        <v>1446</v>
      </c>
      <c r="AK116" s="43">
        <v>1</v>
      </c>
      <c r="AL116" s="43">
        <v>0</v>
      </c>
      <c r="AM116" s="43">
        <v>0</v>
      </c>
      <c r="AN116" s="43">
        <v>0</v>
      </c>
      <c r="AO116" s="43">
        <v>0</v>
      </c>
      <c r="AP116" s="69">
        <v>0</v>
      </c>
      <c r="AQ116" s="68" t="s">
        <v>1733</v>
      </c>
      <c r="AR116" s="43" t="s">
        <v>856</v>
      </c>
      <c r="AS116" s="43">
        <v>3317</v>
      </c>
      <c r="AT116" s="43">
        <v>-13.837</v>
      </c>
      <c r="AU116" s="69">
        <v>570.70000000000005</v>
      </c>
      <c r="AV116" s="69">
        <v>-657.1</v>
      </c>
      <c r="AW116" s="43">
        <v>82.828599999999994</v>
      </c>
      <c r="AX116" s="43">
        <v>0.79769999999999996</v>
      </c>
      <c r="AY116" s="69">
        <v>570.70000000000005</v>
      </c>
      <c r="AZ116" s="69">
        <v>-657.1</v>
      </c>
      <c r="BA116" s="43">
        <v>82.828599999999994</v>
      </c>
      <c r="BB116" s="43">
        <v>0.79769999999999996</v>
      </c>
      <c r="BC116" s="43">
        <v>1</v>
      </c>
      <c r="BD116" s="43">
        <v>1</v>
      </c>
      <c r="BE116" s="43">
        <v>0</v>
      </c>
      <c r="BF116" s="43">
        <v>-25.6</v>
      </c>
      <c r="BG116" s="43">
        <v>17.68</v>
      </c>
      <c r="BH116" s="43">
        <v>-25.6</v>
      </c>
      <c r="BI116" s="43">
        <v>24.959700000000002</v>
      </c>
      <c r="BJ116" s="53">
        <v>0</v>
      </c>
      <c r="BK116" s="53">
        <v>0.109</v>
      </c>
      <c r="BL116" s="53">
        <v>143.19999999999999</v>
      </c>
      <c r="BM116" s="43">
        <v>2</v>
      </c>
      <c r="BN116" s="34" t="s">
        <v>89</v>
      </c>
      <c r="BO116" s="34" t="s">
        <v>89</v>
      </c>
      <c r="BP116" s="34" t="s">
        <v>89</v>
      </c>
      <c r="BQ116" s="34" t="s">
        <v>89</v>
      </c>
      <c r="BR116" s="34" t="s">
        <v>89</v>
      </c>
      <c r="BS116" s="34" t="s">
        <v>89</v>
      </c>
      <c r="BT116" s="34" t="s">
        <v>89</v>
      </c>
      <c r="BU116" s="34" t="s">
        <v>89</v>
      </c>
      <c r="BV116" s="34" t="s">
        <v>89</v>
      </c>
      <c r="BW116" s="34" t="s">
        <v>89</v>
      </c>
      <c r="BX116" s="34" t="s">
        <v>89</v>
      </c>
      <c r="BY116" s="34" t="s">
        <v>89</v>
      </c>
      <c r="BZ116" s="34" t="s">
        <v>89</v>
      </c>
      <c r="CA116" s="34" t="s">
        <v>89</v>
      </c>
      <c r="CB116" s="34" t="s">
        <v>89</v>
      </c>
      <c r="CC116" s="34" t="s">
        <v>89</v>
      </c>
      <c r="CD116" s="34" t="s">
        <v>89</v>
      </c>
      <c r="CE116" s="43">
        <v>-8.8295725320628197E-4</v>
      </c>
      <c r="CF116" s="43">
        <v>1</v>
      </c>
      <c r="CG116" s="43">
        <v>0</v>
      </c>
      <c r="CH116" s="43">
        <v>0</v>
      </c>
      <c r="CI116" s="43">
        <v>53.262</v>
      </c>
      <c r="CJ116" s="43">
        <v>-0.26079724237832602</v>
      </c>
      <c r="CK116" s="43">
        <v>-4.8379757955541596</v>
      </c>
      <c r="CL116" s="43">
        <v>0</v>
      </c>
      <c r="CM116" s="43">
        <v>32408</v>
      </c>
      <c r="CN116" s="43">
        <v>3317</v>
      </c>
      <c r="CO116" s="43">
        <v>-29.396000000000001</v>
      </c>
      <c r="CP116" s="43">
        <v>-42984.358899161998</v>
      </c>
      <c r="CQ116" s="43">
        <v>13.363</v>
      </c>
      <c r="CR116" s="43">
        <v>-42950.250044861998</v>
      </c>
      <c r="CS116" s="43">
        <v>0.51069137499999995</v>
      </c>
      <c r="CT116" s="43">
        <v>1</v>
      </c>
      <c r="CU116" s="43">
        <v>1</v>
      </c>
      <c r="CV116" s="46" t="s">
        <v>89</v>
      </c>
      <c r="CW116" s="34"/>
      <c r="CX116" s="35"/>
    </row>
    <row r="117" spans="1:102" ht="15" customHeight="1" x14ac:dyDescent="0.25">
      <c r="A117" s="33">
        <v>114</v>
      </c>
      <c r="B117" s="43" t="s">
        <v>987</v>
      </c>
      <c r="C117" s="43">
        <v>0.91620000000000001</v>
      </c>
      <c r="D117" s="43">
        <v>0.68700000000000006</v>
      </c>
      <c r="E117" s="43" t="s">
        <v>237</v>
      </c>
      <c r="F117" s="43" t="s">
        <v>564</v>
      </c>
      <c r="G117" s="43" t="s">
        <v>988</v>
      </c>
      <c r="H117" s="43" t="s">
        <v>989</v>
      </c>
      <c r="I117" s="43" t="s">
        <v>990</v>
      </c>
      <c r="J117" s="43" t="s">
        <v>991</v>
      </c>
      <c r="K117" s="43" t="s">
        <v>2028</v>
      </c>
      <c r="L117" s="43" t="s">
        <v>848</v>
      </c>
      <c r="M117" s="43" t="s">
        <v>789</v>
      </c>
      <c r="N117" s="43" t="s">
        <v>707</v>
      </c>
      <c r="O117" s="43" t="s">
        <v>683</v>
      </c>
      <c r="P117" s="43" t="s">
        <v>707</v>
      </c>
      <c r="Q117" s="43" t="s">
        <v>403</v>
      </c>
      <c r="R117" s="43" t="s">
        <v>416</v>
      </c>
      <c r="S117" s="43">
        <v>191.369</v>
      </c>
      <c r="T117" s="43">
        <v>48.84</v>
      </c>
      <c r="U117" s="43">
        <v>28.971699999999998</v>
      </c>
      <c r="V117" s="43">
        <v>0.85199999999999998</v>
      </c>
      <c r="W117" s="43">
        <v>1</v>
      </c>
      <c r="X117" s="43">
        <v>1</v>
      </c>
      <c r="Y117" s="43">
        <v>8.3000000000000004E-2</v>
      </c>
      <c r="Z117" s="43">
        <v>8.1000000000000003E-2</v>
      </c>
      <c r="AA117" s="43">
        <v>6616.0240000000003</v>
      </c>
      <c r="AB117" s="43">
        <v>0.91100000000000003</v>
      </c>
      <c r="AC117" s="43">
        <v>5777.7070000000003</v>
      </c>
      <c r="AD117" s="43">
        <v>0.81699999999999995</v>
      </c>
      <c r="AE117" s="43">
        <v>0.97799999999999998</v>
      </c>
      <c r="AF117" s="43">
        <v>0</v>
      </c>
      <c r="AG117" s="43">
        <v>19.126000000000001</v>
      </c>
      <c r="AH117" s="51">
        <v>-207.91800000000001</v>
      </c>
      <c r="AI117" s="43">
        <v>20.614999999999998</v>
      </c>
      <c r="AJ117" s="43" t="s">
        <v>1408</v>
      </c>
      <c r="AK117" s="43">
        <v>0</v>
      </c>
      <c r="AL117" s="43">
        <v>2</v>
      </c>
      <c r="AM117" s="43">
        <v>0</v>
      </c>
      <c r="AN117" s="43">
        <v>1</v>
      </c>
      <c r="AO117" s="43">
        <v>0</v>
      </c>
      <c r="AP117" s="69">
        <v>0</v>
      </c>
      <c r="AQ117" s="68" t="s">
        <v>1775</v>
      </c>
      <c r="AR117" s="43" t="s">
        <v>797</v>
      </c>
      <c r="AS117" s="43">
        <v>70</v>
      </c>
      <c r="AT117" s="43">
        <v>1.0589999999999999</v>
      </c>
      <c r="AU117" s="69">
        <v>0</v>
      </c>
      <c r="AV117" s="69">
        <v>-44.28</v>
      </c>
      <c r="AW117" s="43">
        <v>95.523099999999999</v>
      </c>
      <c r="AX117" s="43">
        <v>0.21909999999999999</v>
      </c>
      <c r="AY117" s="69">
        <v>0</v>
      </c>
      <c r="AZ117" s="69">
        <v>-44.28</v>
      </c>
      <c r="BA117" s="43">
        <v>95.523099999999999</v>
      </c>
      <c r="BB117" s="43">
        <v>0.21909999999999999</v>
      </c>
      <c r="BC117" s="43">
        <v>0</v>
      </c>
      <c r="BD117" s="43">
        <v>0</v>
      </c>
      <c r="BE117" s="43">
        <v>0</v>
      </c>
      <c r="BF117" s="43">
        <v>-10.5</v>
      </c>
      <c r="BG117" s="43">
        <v>1.5116000000000001</v>
      </c>
      <c r="BH117" s="43">
        <v>-10.5</v>
      </c>
      <c r="BI117" s="43">
        <v>18.994199999999999</v>
      </c>
      <c r="BJ117" s="53">
        <v>1</v>
      </c>
      <c r="BK117" s="53">
        <v>0.11</v>
      </c>
      <c r="BL117" s="53">
        <v>144.4</v>
      </c>
      <c r="BM117" s="43">
        <v>2</v>
      </c>
      <c r="BN117" s="34" t="s">
        <v>89</v>
      </c>
      <c r="BO117" s="34" t="s">
        <v>89</v>
      </c>
      <c r="BP117" s="34" t="s">
        <v>89</v>
      </c>
      <c r="BQ117" s="34" t="s">
        <v>89</v>
      </c>
      <c r="BR117" s="34" t="s">
        <v>89</v>
      </c>
      <c r="BS117" s="34" t="s">
        <v>89</v>
      </c>
      <c r="BT117" s="34" t="s">
        <v>89</v>
      </c>
      <c r="BU117" s="34" t="s">
        <v>89</v>
      </c>
      <c r="BV117" s="34" t="s">
        <v>89</v>
      </c>
      <c r="BW117" s="34" t="s">
        <v>89</v>
      </c>
      <c r="BX117" s="34" t="s">
        <v>89</v>
      </c>
      <c r="BY117" s="34" t="s">
        <v>89</v>
      </c>
      <c r="BZ117" s="34" t="s">
        <v>89</v>
      </c>
      <c r="CA117" s="34" t="s">
        <v>89</v>
      </c>
      <c r="CB117" s="34" t="s">
        <v>89</v>
      </c>
      <c r="CC117" s="34" t="s">
        <v>89</v>
      </c>
      <c r="CD117" s="34" t="s">
        <v>89</v>
      </c>
      <c r="CE117" s="43">
        <v>-4.2937975369034103</v>
      </c>
      <c r="CF117" s="43">
        <v>0.203866173856563</v>
      </c>
      <c r="CG117" s="43">
        <v>1.5116000000000001</v>
      </c>
      <c r="CH117" s="43">
        <v>-10.5</v>
      </c>
      <c r="CI117" s="43">
        <v>-220</v>
      </c>
      <c r="CJ117" s="43">
        <v>-20.194486908435401</v>
      </c>
      <c r="CK117" s="43">
        <v>-13.5180626833644</v>
      </c>
      <c r="CL117" s="43">
        <v>64094</v>
      </c>
      <c r="CM117" s="43">
        <v>34787</v>
      </c>
      <c r="CN117" s="43">
        <v>1110</v>
      </c>
      <c r="CO117" s="43">
        <v>0</v>
      </c>
      <c r="CP117" s="43">
        <v>-44.28</v>
      </c>
      <c r="CQ117" s="43">
        <v>0</v>
      </c>
      <c r="CR117" s="43">
        <v>-44.28</v>
      </c>
      <c r="CS117" s="43">
        <v>8.3997000000000002E-2</v>
      </c>
      <c r="CT117" s="43">
        <v>1</v>
      </c>
      <c r="CU117" s="43">
        <v>1</v>
      </c>
      <c r="CV117" s="46" t="s">
        <v>89</v>
      </c>
      <c r="CW117" s="34"/>
      <c r="CX117" s="35"/>
    </row>
    <row r="118" spans="1:102" ht="15" customHeight="1" x14ac:dyDescent="0.25">
      <c r="A118" s="33">
        <v>115</v>
      </c>
      <c r="B118" s="43" t="s">
        <v>992</v>
      </c>
      <c r="C118" s="43">
        <v>0.99180000000000001</v>
      </c>
      <c r="D118" s="43">
        <v>0.14299999999999999</v>
      </c>
      <c r="E118" s="43" t="s">
        <v>253</v>
      </c>
      <c r="F118" s="43" t="s">
        <v>573</v>
      </c>
      <c r="G118" s="43" t="s">
        <v>993</v>
      </c>
      <c r="H118" s="43" t="s">
        <v>994</v>
      </c>
      <c r="I118" s="43" t="s">
        <v>995</v>
      </c>
      <c r="J118" s="43" t="s">
        <v>996</v>
      </c>
      <c r="K118" s="43" t="s">
        <v>2029</v>
      </c>
      <c r="L118" s="43" t="s">
        <v>855</v>
      </c>
      <c r="M118" s="43" t="s">
        <v>796</v>
      </c>
      <c r="N118" s="43" t="s">
        <v>715</v>
      </c>
      <c r="O118" s="43" t="s">
        <v>690</v>
      </c>
      <c r="P118" s="43" t="s">
        <v>767</v>
      </c>
      <c r="Q118" s="43" t="s">
        <v>339</v>
      </c>
      <c r="R118" s="43" t="s">
        <v>412</v>
      </c>
      <c r="S118" s="43">
        <v>-147.34299999999999</v>
      </c>
      <c r="T118" s="43">
        <v>107.702</v>
      </c>
      <c r="U118" s="43">
        <v>6.7199999999999996E-2</v>
      </c>
      <c r="V118" s="43">
        <v>1.579</v>
      </c>
      <c r="W118" s="43">
        <v>0</v>
      </c>
      <c r="X118" s="43">
        <v>0</v>
      </c>
      <c r="Y118" s="43">
        <v>0.05</v>
      </c>
      <c r="Z118" s="43">
        <v>1.7999999999999999E-2</v>
      </c>
      <c r="AA118" s="43">
        <v>5911.3230000000003</v>
      </c>
      <c r="AB118" s="43">
        <v>0.70199999999999996</v>
      </c>
      <c r="AC118" s="43">
        <v>2332.9360000000001</v>
      </c>
      <c r="AD118" s="43">
        <v>0.65700000000000003</v>
      </c>
      <c r="AE118" s="43">
        <v>0.997</v>
      </c>
      <c r="AF118" s="43">
        <v>0</v>
      </c>
      <c r="AG118" s="43">
        <v>-9.26</v>
      </c>
      <c r="AH118" s="43">
        <v>-198.286</v>
      </c>
      <c r="AI118" s="51">
        <v>-220</v>
      </c>
      <c r="AJ118" s="43" t="s">
        <v>1437</v>
      </c>
      <c r="AK118" s="43">
        <v>0</v>
      </c>
      <c r="AL118" s="43">
        <v>2</v>
      </c>
      <c r="AM118" s="43">
        <v>0</v>
      </c>
      <c r="AN118" s="43">
        <v>0</v>
      </c>
      <c r="AO118" s="43">
        <v>0</v>
      </c>
      <c r="AP118" s="69">
        <v>0</v>
      </c>
      <c r="AQ118" s="68" t="s">
        <v>1734</v>
      </c>
      <c r="AR118" s="43" t="s">
        <v>803</v>
      </c>
      <c r="AS118" s="43">
        <v>3905</v>
      </c>
      <c r="AT118" s="43">
        <v>12.581</v>
      </c>
      <c r="AU118" s="69">
        <v>0</v>
      </c>
      <c r="AV118" s="69">
        <v>-627.17999999999995</v>
      </c>
      <c r="AW118" s="43">
        <v>44.702599999999997</v>
      </c>
      <c r="AX118" s="43">
        <v>0.1232</v>
      </c>
      <c r="AY118" s="69">
        <v>0</v>
      </c>
      <c r="AZ118" s="69">
        <v>-627.17999999999995</v>
      </c>
      <c r="BA118" s="43">
        <v>44.702599999999997</v>
      </c>
      <c r="BB118" s="43">
        <v>0.1232</v>
      </c>
      <c r="BC118" s="43">
        <v>0</v>
      </c>
      <c r="BD118" s="43">
        <v>0</v>
      </c>
      <c r="BE118" s="43">
        <v>0</v>
      </c>
      <c r="BF118" s="43">
        <v>-11.6</v>
      </c>
      <c r="BG118" s="43">
        <v>19.530899999999999</v>
      </c>
      <c r="BH118" s="43">
        <v>-8.6</v>
      </c>
      <c r="BI118" s="43">
        <v>5.8391999999999999</v>
      </c>
      <c r="BJ118" s="43">
        <v>0</v>
      </c>
      <c r="BK118" s="53">
        <v>0.111</v>
      </c>
      <c r="BL118" s="53">
        <v>145.6</v>
      </c>
      <c r="BM118" s="43">
        <v>2</v>
      </c>
      <c r="BN118" s="34" t="s">
        <v>89</v>
      </c>
      <c r="BO118" s="34" t="s">
        <v>89</v>
      </c>
      <c r="BP118" s="34" t="s">
        <v>89</v>
      </c>
      <c r="BQ118" s="34" t="s">
        <v>89</v>
      </c>
      <c r="BR118" s="34" t="s">
        <v>89</v>
      </c>
      <c r="BS118" s="34" t="s">
        <v>89</v>
      </c>
      <c r="BT118" s="34" t="s">
        <v>89</v>
      </c>
      <c r="BU118" s="34" t="s">
        <v>89</v>
      </c>
      <c r="BV118" s="34" t="s">
        <v>89</v>
      </c>
      <c r="BW118" s="34" t="s">
        <v>89</v>
      </c>
      <c r="BX118" s="34" t="s">
        <v>89</v>
      </c>
      <c r="BY118" s="34" t="s">
        <v>89</v>
      </c>
      <c r="BZ118" s="34" t="s">
        <v>89</v>
      </c>
      <c r="CA118" s="34" t="s">
        <v>89</v>
      </c>
      <c r="CB118" s="34" t="s">
        <v>89</v>
      </c>
      <c r="CC118" s="34" t="s">
        <v>89</v>
      </c>
      <c r="CD118" s="34" t="s">
        <v>89</v>
      </c>
      <c r="CE118" s="43">
        <v>2.8566698180922299E-2</v>
      </c>
      <c r="CF118" s="43">
        <v>-3.22281441853857E-2</v>
      </c>
      <c r="CG118" s="43">
        <v>19.530899999999999</v>
      </c>
      <c r="CH118" s="43">
        <v>5.8391999999999999</v>
      </c>
      <c r="CI118" s="43">
        <v>-168.64699999999999</v>
      </c>
      <c r="CJ118" s="43">
        <v>28.243092030501799</v>
      </c>
      <c r="CK118" s="43">
        <v>1.3412134666061299</v>
      </c>
      <c r="CL118" s="43">
        <v>65339</v>
      </c>
      <c r="CM118" s="43">
        <v>62680</v>
      </c>
      <c r="CN118" s="43">
        <v>212</v>
      </c>
      <c r="CO118" s="43">
        <v>0</v>
      </c>
      <c r="CP118" s="43">
        <v>-627.17999999999995</v>
      </c>
      <c r="CQ118" s="43">
        <v>0</v>
      </c>
      <c r="CR118" s="43">
        <v>-627.17999999999995</v>
      </c>
      <c r="CS118" s="43">
        <v>1</v>
      </c>
      <c r="CT118" s="43">
        <v>0.94861700000000004</v>
      </c>
      <c r="CU118" s="43">
        <v>1</v>
      </c>
      <c r="CV118" s="46" t="s">
        <v>89</v>
      </c>
      <c r="CW118" s="34"/>
      <c r="CX118" s="35"/>
    </row>
    <row r="119" spans="1:102" ht="15" customHeight="1" x14ac:dyDescent="0.25">
      <c r="A119" s="33">
        <v>116</v>
      </c>
      <c r="B119" s="43" t="s">
        <v>997</v>
      </c>
      <c r="C119" s="43">
        <v>0.15140000000000001</v>
      </c>
      <c r="D119" s="43">
        <v>9.9000000000000005E-2</v>
      </c>
      <c r="E119" s="43" t="s">
        <v>216</v>
      </c>
      <c r="F119" s="43" t="s">
        <v>203</v>
      </c>
      <c r="G119" s="43" t="s">
        <v>998</v>
      </c>
      <c r="H119" s="43" t="s">
        <v>999</v>
      </c>
      <c r="I119" s="43" t="s">
        <v>1000</v>
      </c>
      <c r="J119" s="43" t="s">
        <v>1001</v>
      </c>
      <c r="K119" s="53" t="s">
        <v>1002</v>
      </c>
      <c r="L119" s="43" t="s">
        <v>861</v>
      </c>
      <c r="M119" s="43" t="s">
        <v>802</v>
      </c>
      <c r="N119" s="43" t="s">
        <v>724</v>
      </c>
      <c r="O119" s="43" t="s">
        <v>698</v>
      </c>
      <c r="P119" s="43" t="s">
        <v>776</v>
      </c>
      <c r="Q119" s="43" t="s">
        <v>349</v>
      </c>
      <c r="R119" s="43" t="s">
        <v>311</v>
      </c>
      <c r="S119" s="43">
        <v>6.1890000000000001</v>
      </c>
      <c r="T119" s="43">
        <v>5.7240000000000002</v>
      </c>
      <c r="U119" s="43">
        <v>2.5867</v>
      </c>
      <c r="V119" s="43">
        <v>-8.5660000000000007</v>
      </c>
      <c r="W119" s="43">
        <v>0</v>
      </c>
      <c r="X119" s="43">
        <v>0</v>
      </c>
      <c r="Y119" s="43">
        <v>0.17199999999999999</v>
      </c>
      <c r="Z119" s="43">
        <v>5.3999999999999999E-2</v>
      </c>
      <c r="AA119" s="43">
        <v>7083.2719999999999</v>
      </c>
      <c r="AB119" s="43">
        <v>0.66200000000000003</v>
      </c>
      <c r="AC119" s="43">
        <v>947.89</v>
      </c>
      <c r="AD119" s="43">
        <v>0.499</v>
      </c>
      <c r="AE119" s="43">
        <v>0.96799999999999997</v>
      </c>
      <c r="AF119" s="43">
        <v>1</v>
      </c>
      <c r="AG119" s="43">
        <v>-13.012</v>
      </c>
      <c r="AH119" s="43">
        <v>136.34100000000001</v>
      </c>
      <c r="AI119" s="51">
        <v>220</v>
      </c>
      <c r="AJ119" s="43" t="s">
        <v>1407</v>
      </c>
      <c r="AK119" s="43">
        <v>1</v>
      </c>
      <c r="AL119" s="43">
        <v>0</v>
      </c>
      <c r="AM119" s="43">
        <v>0</v>
      </c>
      <c r="AN119" s="43">
        <v>0</v>
      </c>
      <c r="AO119" s="43">
        <v>0</v>
      </c>
      <c r="AP119" s="69">
        <v>1</v>
      </c>
      <c r="AQ119" s="68" t="s">
        <v>1776</v>
      </c>
      <c r="AR119" s="43" t="s">
        <v>972</v>
      </c>
      <c r="AS119" s="43">
        <v>794</v>
      </c>
      <c r="AT119" s="43">
        <v>6.0069999999999997</v>
      </c>
      <c r="AU119" s="69">
        <v>-43.17</v>
      </c>
      <c r="AV119" s="69">
        <v>-717.3</v>
      </c>
      <c r="AW119" s="43">
        <v>1.3547</v>
      </c>
      <c r="AX119" s="43">
        <v>0.65</v>
      </c>
      <c r="AY119" s="69">
        <v>-43.17</v>
      </c>
      <c r="AZ119" s="69">
        <v>-717.3</v>
      </c>
      <c r="BA119" s="43">
        <v>1.3547</v>
      </c>
      <c r="BB119" s="43">
        <v>0.65</v>
      </c>
      <c r="BC119" s="43">
        <v>1</v>
      </c>
      <c r="BD119" s="43">
        <v>1</v>
      </c>
      <c r="BE119" s="43">
        <v>0</v>
      </c>
      <c r="BF119" s="43">
        <v>-30.2</v>
      </c>
      <c r="BG119" s="43">
        <v>20.044799999999999</v>
      </c>
      <c r="BH119" s="43">
        <v>-30.2</v>
      </c>
      <c r="BI119" s="43">
        <v>27.2377</v>
      </c>
      <c r="BJ119" s="43">
        <v>1</v>
      </c>
      <c r="BK119" s="53">
        <v>0.112</v>
      </c>
      <c r="BL119" s="53">
        <v>146.80000000000001</v>
      </c>
      <c r="BM119" s="43">
        <v>2</v>
      </c>
      <c r="BN119" s="34" t="s">
        <v>89</v>
      </c>
      <c r="BO119" s="34" t="s">
        <v>89</v>
      </c>
      <c r="BP119" s="34" t="s">
        <v>89</v>
      </c>
      <c r="BQ119" s="34" t="s">
        <v>89</v>
      </c>
      <c r="BR119" s="34" t="s">
        <v>89</v>
      </c>
      <c r="BS119" s="34" t="s">
        <v>89</v>
      </c>
      <c r="BT119" s="34" t="s">
        <v>89</v>
      </c>
      <c r="BU119" s="34" t="s">
        <v>89</v>
      </c>
      <c r="BV119" s="34" t="s">
        <v>89</v>
      </c>
      <c r="BW119" s="34" t="s">
        <v>89</v>
      </c>
      <c r="BX119" s="34" t="s">
        <v>89</v>
      </c>
      <c r="BY119" s="34" t="s">
        <v>89</v>
      </c>
      <c r="BZ119" s="34" t="s">
        <v>89</v>
      </c>
      <c r="CA119" s="34" t="s">
        <v>89</v>
      </c>
      <c r="CB119" s="34" t="s">
        <v>89</v>
      </c>
      <c r="CC119" s="34" t="s">
        <v>89</v>
      </c>
      <c r="CD119" s="34" t="s">
        <v>89</v>
      </c>
      <c r="CE119" s="43">
        <v>5.6413681256505003E-3</v>
      </c>
      <c r="CF119" s="43">
        <v>1</v>
      </c>
      <c r="CG119" s="43">
        <v>0</v>
      </c>
      <c r="CH119" s="43">
        <v>0</v>
      </c>
      <c r="CI119" s="43">
        <v>19.673999999999999</v>
      </c>
      <c r="CJ119" s="43">
        <v>-4.1409760199652803</v>
      </c>
      <c r="CK119" s="43">
        <v>-2.5055772991613199</v>
      </c>
      <c r="CL119" s="43">
        <v>0</v>
      </c>
      <c r="CM119" s="43">
        <v>12780</v>
      </c>
      <c r="CN119" s="43">
        <v>794</v>
      </c>
      <c r="CO119" s="43">
        <v>-43.17</v>
      </c>
      <c r="CP119" s="43">
        <v>-717.3</v>
      </c>
      <c r="CQ119" s="43">
        <v>21.298999999999999</v>
      </c>
      <c r="CR119" s="43">
        <v>-645.83825149999996</v>
      </c>
      <c r="CS119" s="43">
        <v>1</v>
      </c>
      <c r="CT119" s="43">
        <v>0.61748625000000001</v>
      </c>
      <c r="CU119" s="43">
        <v>1</v>
      </c>
      <c r="CV119" s="46" t="s">
        <v>89</v>
      </c>
      <c r="CW119" s="34"/>
      <c r="CX119" s="35"/>
    </row>
    <row r="120" spans="1:102" ht="15" customHeight="1" x14ac:dyDescent="0.25">
      <c r="A120" s="33">
        <v>117</v>
      </c>
      <c r="B120" s="43" t="s">
        <v>1884</v>
      </c>
      <c r="C120" s="43">
        <v>7.0599999999999996E-2</v>
      </c>
      <c r="D120" s="43">
        <v>4.7E-2</v>
      </c>
      <c r="E120" s="43" t="s">
        <v>268</v>
      </c>
      <c r="F120" s="43" t="s">
        <v>165</v>
      </c>
      <c r="G120" s="43" t="s">
        <v>1003</v>
      </c>
      <c r="H120" s="43" t="s">
        <v>1004</v>
      </c>
      <c r="I120" s="43" t="s">
        <v>1005</v>
      </c>
      <c r="J120" s="43" t="s">
        <v>1006</v>
      </c>
      <c r="K120" s="43" t="s">
        <v>1007</v>
      </c>
      <c r="L120" s="43" t="s">
        <v>867</v>
      </c>
      <c r="M120" s="43" t="s">
        <v>809</v>
      </c>
      <c r="N120" s="43" t="s">
        <v>733</v>
      </c>
      <c r="O120" s="43" t="s">
        <v>707</v>
      </c>
      <c r="P120" s="43" t="s">
        <v>662</v>
      </c>
      <c r="Q120" s="43" t="s">
        <v>357</v>
      </c>
      <c r="R120" s="43" t="s">
        <v>202</v>
      </c>
      <c r="S120" s="43">
        <v>-105.246</v>
      </c>
      <c r="T120" s="43">
        <v>59.304000000000002</v>
      </c>
      <c r="U120" s="43">
        <v>22.514399999999998</v>
      </c>
      <c r="V120" s="43">
        <v>7.601</v>
      </c>
      <c r="W120" s="43">
        <v>1</v>
      </c>
      <c r="X120" s="43">
        <v>1</v>
      </c>
      <c r="Y120" s="69">
        <v>0.16300000000000001</v>
      </c>
      <c r="Z120" s="69">
        <v>3.5999999999999997E-2</v>
      </c>
      <c r="AA120" s="43">
        <v>2409.9459999999999</v>
      </c>
      <c r="AB120" s="43">
        <v>0.85099999999999998</v>
      </c>
      <c r="AC120" s="43">
        <v>4854.7060000000001</v>
      </c>
      <c r="AD120" s="43">
        <v>0.75700000000000001</v>
      </c>
      <c r="AE120" s="43">
        <v>0.97299999999999998</v>
      </c>
      <c r="AF120" s="43">
        <v>0</v>
      </c>
      <c r="AG120" s="69">
        <v>-10.007999999999999</v>
      </c>
      <c r="AH120" s="43">
        <v>59.731999999999999</v>
      </c>
      <c r="AI120" s="51">
        <v>0</v>
      </c>
      <c r="AJ120" s="43" t="s">
        <v>1448</v>
      </c>
      <c r="AK120" s="43">
        <v>0</v>
      </c>
      <c r="AL120" s="43">
        <v>4</v>
      </c>
      <c r="AM120" s="43">
        <v>0</v>
      </c>
      <c r="AN120" s="43">
        <v>1</v>
      </c>
      <c r="AO120" s="43">
        <v>0</v>
      </c>
      <c r="AP120" s="69">
        <v>0</v>
      </c>
      <c r="AQ120" s="72" t="s">
        <v>1774</v>
      </c>
      <c r="AR120" s="69" t="s">
        <v>189</v>
      </c>
      <c r="AS120" s="43">
        <v>2515</v>
      </c>
      <c r="AT120" s="69">
        <v>-22.63</v>
      </c>
      <c r="AU120" s="69">
        <v>1118</v>
      </c>
      <c r="AV120" s="69">
        <v>-826.24</v>
      </c>
      <c r="AW120" s="43">
        <v>53.250900000000001</v>
      </c>
      <c r="AX120" s="43">
        <v>0.31340000000000001</v>
      </c>
      <c r="AY120" s="69">
        <v>1118</v>
      </c>
      <c r="AZ120" s="69">
        <v>-826.24</v>
      </c>
      <c r="BA120" s="43">
        <v>53.250900000000001</v>
      </c>
      <c r="BB120" s="43">
        <v>0.31340000000000001</v>
      </c>
      <c r="BC120" s="43">
        <v>0</v>
      </c>
      <c r="BD120" s="43">
        <v>0</v>
      </c>
      <c r="BE120" s="43">
        <v>0</v>
      </c>
      <c r="BF120" s="43">
        <v>-9.65</v>
      </c>
      <c r="BG120" s="43">
        <v>12.3408</v>
      </c>
      <c r="BH120" s="43">
        <v>-9.65</v>
      </c>
      <c r="BI120" s="43">
        <v>20.7134</v>
      </c>
      <c r="BJ120" s="43">
        <v>0</v>
      </c>
      <c r="BK120" s="53">
        <v>0.113</v>
      </c>
      <c r="BL120" s="53">
        <v>148</v>
      </c>
      <c r="BM120" s="43">
        <v>2</v>
      </c>
      <c r="BN120" s="34" t="s">
        <v>89</v>
      </c>
      <c r="BO120" s="34" t="s">
        <v>89</v>
      </c>
      <c r="BP120" s="34" t="s">
        <v>89</v>
      </c>
      <c r="BQ120" s="34" t="s">
        <v>89</v>
      </c>
      <c r="BR120" s="34" t="s">
        <v>89</v>
      </c>
      <c r="BS120" s="34" t="s">
        <v>89</v>
      </c>
      <c r="BT120" s="34" t="s">
        <v>89</v>
      </c>
      <c r="BU120" s="34" t="s">
        <v>89</v>
      </c>
      <c r="BV120" s="34" t="s">
        <v>89</v>
      </c>
      <c r="BW120" s="34" t="s">
        <v>89</v>
      </c>
      <c r="BX120" s="34" t="s">
        <v>89</v>
      </c>
      <c r="BY120" s="34" t="s">
        <v>89</v>
      </c>
      <c r="BZ120" s="34" t="s">
        <v>89</v>
      </c>
      <c r="CA120" s="34" t="s">
        <v>89</v>
      </c>
      <c r="CB120" s="34" t="s">
        <v>89</v>
      </c>
      <c r="CC120" s="34" t="s">
        <v>89</v>
      </c>
      <c r="CD120" s="34" t="s">
        <v>89</v>
      </c>
      <c r="CE120" s="43">
        <v>0.43651162384088299</v>
      </c>
      <c r="CF120" s="43">
        <v>0.93507881969490403</v>
      </c>
      <c r="CG120" s="43">
        <v>0</v>
      </c>
      <c r="CH120" s="43">
        <v>0</v>
      </c>
      <c r="CI120" s="43">
        <v>-88.004999999999995</v>
      </c>
      <c r="CJ120" s="43">
        <v>-7.6832840487274304E-3</v>
      </c>
      <c r="CK120" s="43">
        <v>20.783278579799301</v>
      </c>
      <c r="CL120" s="43">
        <v>63766</v>
      </c>
      <c r="CM120" s="43">
        <v>27795</v>
      </c>
      <c r="CN120" s="43">
        <v>2000</v>
      </c>
      <c r="CO120" s="43">
        <v>1118</v>
      </c>
      <c r="CP120" s="43">
        <v>-826.24</v>
      </c>
      <c r="CQ120" s="43">
        <v>1118</v>
      </c>
      <c r="CR120" s="43">
        <v>-826.24</v>
      </c>
      <c r="CS120" s="43">
        <v>0.54975675000000002</v>
      </c>
      <c r="CT120" s="43">
        <v>1</v>
      </c>
      <c r="CU120" s="43">
        <v>1</v>
      </c>
      <c r="CV120" s="46" t="s">
        <v>89</v>
      </c>
      <c r="CW120" s="34"/>
      <c r="CX120" s="35"/>
    </row>
    <row r="121" spans="1:102" ht="15" customHeight="1" x14ac:dyDescent="0.25">
      <c r="A121" s="33">
        <v>118</v>
      </c>
      <c r="B121" s="43" t="s">
        <v>1008</v>
      </c>
      <c r="C121" s="43">
        <v>0.4839</v>
      </c>
      <c r="D121" s="43">
        <v>0.72499999999999998</v>
      </c>
      <c r="E121" s="43" t="s">
        <v>412</v>
      </c>
      <c r="F121" s="43" t="s">
        <v>179</v>
      </c>
      <c r="G121" s="43" t="s">
        <v>1009</v>
      </c>
      <c r="H121" s="43" t="s">
        <v>1010</v>
      </c>
      <c r="I121" s="43" t="s">
        <v>1011</v>
      </c>
      <c r="J121" s="43" t="s">
        <v>1012</v>
      </c>
      <c r="K121" s="43" t="s">
        <v>1013</v>
      </c>
      <c r="L121" s="43" t="s">
        <v>873</v>
      </c>
      <c r="M121" s="43" t="s">
        <v>817</v>
      </c>
      <c r="N121" s="43" t="s">
        <v>742</v>
      </c>
      <c r="O121" s="43" t="s">
        <v>767</v>
      </c>
      <c r="P121" s="43" t="s">
        <v>669</v>
      </c>
      <c r="Q121" s="43" t="s">
        <v>367</v>
      </c>
      <c r="R121" s="43" t="s">
        <v>236</v>
      </c>
      <c r="S121" s="43">
        <v>-213.02699999999999</v>
      </c>
      <c r="T121" s="43">
        <v>20.614999999999998</v>
      </c>
      <c r="U121" s="43">
        <v>30.4114</v>
      </c>
      <c r="V121" s="43">
        <v>14.244</v>
      </c>
      <c r="W121" s="43">
        <v>0</v>
      </c>
      <c r="X121" s="43">
        <v>0</v>
      </c>
      <c r="Y121" s="69">
        <v>0.19</v>
      </c>
      <c r="Z121" s="69">
        <v>0.17299999999999999</v>
      </c>
      <c r="AA121" s="43">
        <v>6110.8270000000002</v>
      </c>
      <c r="AB121" s="43">
        <v>0.23699999999999999</v>
      </c>
      <c r="AC121" s="43">
        <v>7208.8450000000003</v>
      </c>
      <c r="AD121" s="43">
        <v>0.15</v>
      </c>
      <c r="AE121" s="43">
        <v>0.99099999999999999</v>
      </c>
      <c r="AF121" s="43">
        <v>0</v>
      </c>
      <c r="AG121" s="69">
        <v>17.175000000000001</v>
      </c>
      <c r="AH121" s="43">
        <v>1.6220000000000001</v>
      </c>
      <c r="AI121" s="51">
        <v>83.948999999999998</v>
      </c>
      <c r="AJ121" s="43" t="s">
        <v>1450</v>
      </c>
      <c r="AK121" s="43">
        <v>0</v>
      </c>
      <c r="AL121" s="43">
        <v>3</v>
      </c>
      <c r="AM121" s="43">
        <v>1</v>
      </c>
      <c r="AN121" s="43">
        <v>0</v>
      </c>
      <c r="AO121" s="43">
        <v>1</v>
      </c>
      <c r="AP121" s="69">
        <v>0</v>
      </c>
      <c r="AQ121" s="72" t="s">
        <v>1733</v>
      </c>
      <c r="AR121" s="69" t="s">
        <v>835</v>
      </c>
      <c r="AS121" s="43">
        <v>3557</v>
      </c>
      <c r="AT121" s="69">
        <v>8.7970000000000006</v>
      </c>
      <c r="AU121" s="69">
        <v>-717.3</v>
      </c>
      <c r="AV121" s="69">
        <v>-657.1</v>
      </c>
      <c r="AW121" s="43">
        <v>50.986600000000003</v>
      </c>
      <c r="AX121" s="43">
        <v>0.88919999999999999</v>
      </c>
      <c r="AY121" s="69">
        <v>-717.3</v>
      </c>
      <c r="AZ121" s="69">
        <v>-657.1</v>
      </c>
      <c r="BA121" s="43">
        <v>50.986600000000003</v>
      </c>
      <c r="BB121" s="43">
        <v>0.88919999999999999</v>
      </c>
      <c r="BC121" s="43">
        <v>0</v>
      </c>
      <c r="BD121" s="43">
        <v>0</v>
      </c>
      <c r="BE121" s="43">
        <v>0</v>
      </c>
      <c r="BF121" s="43">
        <v>-22.41</v>
      </c>
      <c r="BG121" s="43">
        <v>23.832799999999999</v>
      </c>
      <c r="BH121" s="43">
        <v>-22.41</v>
      </c>
      <c r="BI121" s="43">
        <v>23.933</v>
      </c>
      <c r="BJ121" s="43">
        <v>1</v>
      </c>
      <c r="BK121" s="53">
        <v>0.114</v>
      </c>
      <c r="BL121" s="53">
        <v>149.19999999999999</v>
      </c>
      <c r="BM121" s="43">
        <v>2</v>
      </c>
      <c r="BN121" s="34" t="s">
        <v>89</v>
      </c>
      <c r="BO121" s="34" t="s">
        <v>89</v>
      </c>
      <c r="BP121" s="34" t="s">
        <v>89</v>
      </c>
      <c r="BQ121" s="34" t="s">
        <v>89</v>
      </c>
      <c r="BR121" s="34" t="s">
        <v>89</v>
      </c>
      <c r="BS121" s="34" t="s">
        <v>89</v>
      </c>
      <c r="BT121" s="34" t="s">
        <v>89</v>
      </c>
      <c r="BU121" s="34" t="s">
        <v>89</v>
      </c>
      <c r="BV121" s="34" t="s">
        <v>89</v>
      </c>
      <c r="BW121" s="34" t="s">
        <v>89</v>
      </c>
      <c r="BX121" s="34" t="s">
        <v>89</v>
      </c>
      <c r="BY121" s="34" t="s">
        <v>89</v>
      </c>
      <c r="BZ121" s="34" t="s">
        <v>89</v>
      </c>
      <c r="CA121" s="34" t="s">
        <v>89</v>
      </c>
      <c r="CB121" s="34" t="s">
        <v>89</v>
      </c>
      <c r="CC121" s="34" t="s">
        <v>89</v>
      </c>
      <c r="CD121" s="34" t="s">
        <v>89</v>
      </c>
      <c r="CE121" s="43">
        <v>-2.0689344113281298</v>
      </c>
      <c r="CF121" s="43">
        <v>-0.674768265946181</v>
      </c>
      <c r="CG121" s="43">
        <v>0</v>
      </c>
      <c r="CH121" s="43">
        <v>0</v>
      </c>
      <c r="CI121" s="43">
        <v>220</v>
      </c>
      <c r="CJ121" s="43">
        <v>-16.439795865389399</v>
      </c>
      <c r="CK121" s="43">
        <v>-10.381699918641701</v>
      </c>
      <c r="CL121" s="43">
        <v>64946</v>
      </c>
      <c r="CM121" s="43">
        <v>17752</v>
      </c>
      <c r="CN121" s="43">
        <v>735</v>
      </c>
      <c r="CO121" s="43">
        <v>-717.3</v>
      </c>
      <c r="CP121" s="43">
        <v>-657.1</v>
      </c>
      <c r="CQ121" s="43">
        <v>-717.3</v>
      </c>
      <c r="CR121" s="43">
        <v>-657.1</v>
      </c>
      <c r="CS121" s="43">
        <v>1</v>
      </c>
      <c r="CT121" s="43">
        <v>0</v>
      </c>
      <c r="CU121" s="43">
        <v>1</v>
      </c>
      <c r="CV121" s="46" t="s">
        <v>89</v>
      </c>
      <c r="CW121" s="34"/>
      <c r="CX121" s="35"/>
    </row>
    <row r="122" spans="1:102" ht="15" customHeight="1" x14ac:dyDescent="0.25">
      <c r="A122" s="33">
        <v>119</v>
      </c>
      <c r="B122" s="43" t="s">
        <v>1014</v>
      </c>
      <c r="C122" s="43">
        <v>0.84030000000000005</v>
      </c>
      <c r="D122" s="43">
        <v>0.83299999999999996</v>
      </c>
      <c r="E122" s="43" t="s">
        <v>267</v>
      </c>
      <c r="F122" s="43" t="s">
        <v>216</v>
      </c>
      <c r="G122" s="43" t="s">
        <v>1015</v>
      </c>
      <c r="H122" s="43" t="s">
        <v>1016</v>
      </c>
      <c r="I122" s="43" t="s">
        <v>1017</v>
      </c>
      <c r="J122" s="43" t="s">
        <v>1018</v>
      </c>
      <c r="K122" s="43" t="s">
        <v>1019</v>
      </c>
      <c r="L122" s="43" t="s">
        <v>895</v>
      </c>
      <c r="M122" s="43" t="s">
        <v>840</v>
      </c>
      <c r="N122" s="43" t="s">
        <v>706</v>
      </c>
      <c r="O122" s="43" t="s">
        <v>683</v>
      </c>
      <c r="P122" s="43" t="s">
        <v>676</v>
      </c>
      <c r="Q122" s="43" t="s">
        <v>676</v>
      </c>
      <c r="R122" s="43" t="s">
        <v>191</v>
      </c>
      <c r="S122" s="43">
        <v>37.454999999999998</v>
      </c>
      <c r="T122" s="43">
        <v>-144.667</v>
      </c>
      <c r="U122" s="43">
        <v>30.6539</v>
      </c>
      <c r="V122" s="43">
        <v>26.727</v>
      </c>
      <c r="W122" s="43">
        <v>0</v>
      </c>
      <c r="X122" s="43">
        <v>0</v>
      </c>
      <c r="Y122" s="43">
        <v>0.159</v>
      </c>
      <c r="Z122" s="43">
        <v>0.17899999999999999</v>
      </c>
      <c r="AA122" s="43">
        <v>754.53200000000004</v>
      </c>
      <c r="AB122" s="43">
        <v>0.98</v>
      </c>
      <c r="AC122" s="43">
        <v>248.589</v>
      </c>
      <c r="AD122" s="43">
        <v>0.51300000000000001</v>
      </c>
      <c r="AE122" s="43">
        <v>0.97099999999999997</v>
      </c>
      <c r="AF122" s="43">
        <v>0</v>
      </c>
      <c r="AG122" s="43">
        <v>-23.690999999999999</v>
      </c>
      <c r="AH122" s="43">
        <v>-126.64100000000001</v>
      </c>
      <c r="AI122" s="51">
        <v>-144.667</v>
      </c>
      <c r="AJ122" s="43" t="s">
        <v>1410</v>
      </c>
      <c r="AK122" s="43">
        <v>0</v>
      </c>
      <c r="AL122" s="43">
        <v>0</v>
      </c>
      <c r="AM122" s="43">
        <v>1</v>
      </c>
      <c r="AN122" s="43">
        <v>0</v>
      </c>
      <c r="AO122" s="43">
        <v>1</v>
      </c>
      <c r="AP122" s="43">
        <v>0</v>
      </c>
      <c r="AQ122" s="68" t="s">
        <v>1771</v>
      </c>
      <c r="AR122" s="43" t="s">
        <v>935</v>
      </c>
      <c r="AS122" s="43">
        <v>256</v>
      </c>
      <c r="AT122" s="43">
        <v>-14.635</v>
      </c>
      <c r="AU122" s="69">
        <v>1118</v>
      </c>
      <c r="AV122" s="69">
        <v>-43.17</v>
      </c>
      <c r="AW122" s="43">
        <v>51.96</v>
      </c>
      <c r="AX122" s="43">
        <v>0.70389999999999997</v>
      </c>
      <c r="AY122" s="69">
        <v>1118</v>
      </c>
      <c r="AZ122" s="69">
        <v>-43.17</v>
      </c>
      <c r="BA122" s="43">
        <v>51.96</v>
      </c>
      <c r="BB122" s="43">
        <v>0.70389999999999997</v>
      </c>
      <c r="BC122" s="43">
        <v>0</v>
      </c>
      <c r="BD122" s="43">
        <v>0</v>
      </c>
      <c r="BE122" s="43">
        <v>0</v>
      </c>
      <c r="BF122" s="43">
        <v>-8.69</v>
      </c>
      <c r="BG122" s="43">
        <v>17.292200000000001</v>
      </c>
      <c r="BH122" s="43">
        <v>-8.69</v>
      </c>
      <c r="BI122" s="43">
        <v>30.8127</v>
      </c>
      <c r="BJ122" s="43">
        <v>0</v>
      </c>
      <c r="BK122" s="53">
        <v>0.115</v>
      </c>
      <c r="BL122" s="53">
        <v>150.4</v>
      </c>
      <c r="BM122" s="43">
        <v>2</v>
      </c>
      <c r="BN122" s="34" t="s">
        <v>89</v>
      </c>
      <c r="BO122" s="34" t="s">
        <v>89</v>
      </c>
      <c r="BP122" s="34" t="s">
        <v>89</v>
      </c>
      <c r="BQ122" s="34" t="s">
        <v>89</v>
      </c>
      <c r="BR122" s="34" t="s">
        <v>89</v>
      </c>
      <c r="BS122" s="34" t="s">
        <v>89</v>
      </c>
      <c r="BT122" s="34" t="s">
        <v>89</v>
      </c>
      <c r="BU122" s="34" t="s">
        <v>89</v>
      </c>
      <c r="BV122" s="34" t="s">
        <v>89</v>
      </c>
      <c r="BW122" s="34" t="s">
        <v>89</v>
      </c>
      <c r="BX122" s="34" t="s">
        <v>89</v>
      </c>
      <c r="BY122" s="34" t="s">
        <v>89</v>
      </c>
      <c r="BZ122" s="34" t="s">
        <v>89</v>
      </c>
      <c r="CA122" s="34" t="s">
        <v>89</v>
      </c>
      <c r="CB122" s="34" t="s">
        <v>89</v>
      </c>
      <c r="CC122" s="34" t="s">
        <v>89</v>
      </c>
      <c r="CD122" s="34" t="s">
        <v>89</v>
      </c>
      <c r="CE122" s="43">
        <v>2.3238772131817902E-2</v>
      </c>
      <c r="CF122" s="43">
        <v>1.47157360517386E-2</v>
      </c>
      <c r="CG122" s="43">
        <v>0</v>
      </c>
      <c r="CH122" s="43">
        <v>0</v>
      </c>
      <c r="CI122" s="43">
        <v>220</v>
      </c>
      <c r="CJ122" s="43">
        <v>8.8861768240037602</v>
      </c>
      <c r="CK122" s="43">
        <v>15.912602188248099</v>
      </c>
      <c r="CL122" s="43">
        <v>63635</v>
      </c>
      <c r="CM122" s="43">
        <v>32848</v>
      </c>
      <c r="CN122" s="43">
        <v>876</v>
      </c>
      <c r="CO122" s="43">
        <v>1118</v>
      </c>
      <c r="CP122" s="43">
        <v>-43.17</v>
      </c>
      <c r="CQ122" s="43">
        <v>1118</v>
      </c>
      <c r="CR122" s="43">
        <v>-43.17</v>
      </c>
      <c r="CS122" s="43">
        <v>1</v>
      </c>
      <c r="CT122" s="43">
        <v>0.48192637500000002</v>
      </c>
      <c r="CU122" s="43">
        <v>1</v>
      </c>
      <c r="CV122" s="46" t="s">
        <v>89</v>
      </c>
      <c r="CW122" s="34"/>
      <c r="CX122" s="35"/>
    </row>
    <row r="123" spans="1:102" ht="15" customHeight="1" x14ac:dyDescent="0.25">
      <c r="A123" s="33">
        <v>120</v>
      </c>
      <c r="B123" s="43" t="s">
        <v>1452</v>
      </c>
      <c r="C123" s="43">
        <v>0.70399999999999996</v>
      </c>
      <c r="D123" s="43">
        <v>4.7E-2</v>
      </c>
      <c r="E123" s="43" t="s">
        <v>216</v>
      </c>
      <c r="F123" s="43" t="s">
        <v>179</v>
      </c>
      <c r="G123" s="43" t="s">
        <v>1020</v>
      </c>
      <c r="H123" s="43" t="s">
        <v>1021</v>
      </c>
      <c r="I123" s="43" t="s">
        <v>1022</v>
      </c>
      <c r="J123" s="43" t="s">
        <v>1023</v>
      </c>
      <c r="K123" s="43" t="s">
        <v>1024</v>
      </c>
      <c r="L123" s="43" t="s">
        <v>861</v>
      </c>
      <c r="M123" s="43" t="s">
        <v>802</v>
      </c>
      <c r="N123" s="43" t="s">
        <v>724</v>
      </c>
      <c r="O123" s="43" t="s">
        <v>698</v>
      </c>
      <c r="P123" s="43" t="s">
        <v>776</v>
      </c>
      <c r="Q123" s="43" t="s">
        <v>349</v>
      </c>
      <c r="R123" s="43" t="s">
        <v>311</v>
      </c>
      <c r="S123" s="43">
        <v>-105.246</v>
      </c>
      <c r="T123" s="43">
        <v>5.7240000000000002</v>
      </c>
      <c r="U123" s="43">
        <v>23.606300000000001</v>
      </c>
      <c r="V123" s="43">
        <v>-1.1739999999999999</v>
      </c>
      <c r="W123" s="43">
        <v>1</v>
      </c>
      <c r="X123" s="43">
        <v>1</v>
      </c>
      <c r="Y123" s="43">
        <v>1.0999999999999999E-2</v>
      </c>
      <c r="Z123" s="43">
        <v>2.4E-2</v>
      </c>
      <c r="AA123" s="43">
        <v>3550.1109999999999</v>
      </c>
      <c r="AB123" s="43">
        <v>0.11</v>
      </c>
      <c r="AC123" s="43">
        <v>5873.5590000000002</v>
      </c>
      <c r="AD123" s="43">
        <v>4.0000000000000001E-3</v>
      </c>
      <c r="AE123" s="43">
        <v>0.96299999999999997</v>
      </c>
      <c r="AF123" s="43">
        <v>0</v>
      </c>
      <c r="AG123" s="43">
        <v>17.405000000000001</v>
      </c>
      <c r="AH123" s="43">
        <v>-34.619</v>
      </c>
      <c r="AI123" s="43">
        <v>-34.619</v>
      </c>
      <c r="AJ123" s="51" t="s">
        <v>1405</v>
      </c>
      <c r="AK123" s="43">
        <v>0</v>
      </c>
      <c r="AL123" s="43">
        <v>1</v>
      </c>
      <c r="AM123" s="43">
        <v>0</v>
      </c>
      <c r="AN123" s="43">
        <v>0</v>
      </c>
      <c r="AO123" s="43">
        <v>0</v>
      </c>
      <c r="AP123" s="43">
        <v>0</v>
      </c>
      <c r="AQ123" s="68" t="s">
        <v>1732</v>
      </c>
      <c r="AR123" s="43" t="s">
        <v>827</v>
      </c>
      <c r="AS123" s="43">
        <v>4516</v>
      </c>
      <c r="AT123" s="43">
        <v>-2.2309999999999999</v>
      </c>
      <c r="AU123" s="69">
        <v>-657.13</v>
      </c>
      <c r="AV123" s="69">
        <v>107.13</v>
      </c>
      <c r="AW123" s="43">
        <v>71.224400000000003</v>
      </c>
      <c r="AX123" s="43">
        <v>0.95399999999999996</v>
      </c>
      <c r="AY123" s="69">
        <v>-657.13</v>
      </c>
      <c r="AZ123" s="69">
        <v>107.13</v>
      </c>
      <c r="BA123" s="43">
        <v>71.224400000000003</v>
      </c>
      <c r="BB123" s="43">
        <v>0.95399999999999996</v>
      </c>
      <c r="BC123" s="43">
        <v>0</v>
      </c>
      <c r="BD123" s="43">
        <v>0</v>
      </c>
      <c r="BE123" s="43">
        <v>0</v>
      </c>
      <c r="BF123" s="43">
        <v>-4.57</v>
      </c>
      <c r="BG123" s="43">
        <v>14.153499999999999</v>
      </c>
      <c r="BH123" s="43">
        <v>-4.57</v>
      </c>
      <c r="BI123" s="43">
        <v>16.543700000000001</v>
      </c>
      <c r="BJ123" s="43">
        <v>1</v>
      </c>
      <c r="BK123" s="53">
        <v>0.11600000000000001</v>
      </c>
      <c r="BL123" s="53">
        <v>151.6</v>
      </c>
      <c r="BM123" s="43">
        <v>2</v>
      </c>
      <c r="BN123" s="34" t="s">
        <v>89</v>
      </c>
      <c r="BO123" s="34" t="s">
        <v>89</v>
      </c>
      <c r="BP123" s="34" t="s">
        <v>89</v>
      </c>
      <c r="BQ123" s="34" t="s">
        <v>89</v>
      </c>
      <c r="BR123" s="34" t="s">
        <v>89</v>
      </c>
      <c r="BS123" s="34" t="s">
        <v>89</v>
      </c>
      <c r="BT123" s="34" t="s">
        <v>89</v>
      </c>
      <c r="BU123" s="34" t="s">
        <v>89</v>
      </c>
      <c r="BV123" s="34" t="s">
        <v>89</v>
      </c>
      <c r="BW123" s="34" t="s">
        <v>89</v>
      </c>
      <c r="BX123" s="34" t="s">
        <v>89</v>
      </c>
      <c r="BY123" s="34" t="s">
        <v>89</v>
      </c>
      <c r="BZ123" s="34" t="s">
        <v>89</v>
      </c>
      <c r="CA123" s="34" t="s">
        <v>89</v>
      </c>
      <c r="CB123" s="34" t="s">
        <v>89</v>
      </c>
      <c r="CC123" s="34" t="s">
        <v>89</v>
      </c>
      <c r="CD123" s="34" t="s">
        <v>89</v>
      </c>
      <c r="CE123" s="43">
        <v>-1.71346591395116E-2</v>
      </c>
      <c r="CF123" s="43">
        <v>3.3760166332105499E-3</v>
      </c>
      <c r="CG123" s="43">
        <v>0</v>
      </c>
      <c r="CH123" s="43">
        <v>0</v>
      </c>
      <c r="CI123" s="43">
        <v>131.10900000000001</v>
      </c>
      <c r="CJ123" s="43">
        <v>-1.0299327965989201E-2</v>
      </c>
      <c r="CK123" s="43">
        <v>4.8149889848101903</v>
      </c>
      <c r="CL123" s="43">
        <v>63111</v>
      </c>
      <c r="CM123" s="43">
        <v>49053</v>
      </c>
      <c r="CN123" s="43">
        <v>1211</v>
      </c>
      <c r="CO123" s="43">
        <v>-657.13</v>
      </c>
      <c r="CP123" s="43">
        <v>107.13</v>
      </c>
      <c r="CQ123" s="43">
        <v>-657.13</v>
      </c>
      <c r="CR123" s="43">
        <v>107.13</v>
      </c>
      <c r="CS123" s="43">
        <v>0.55376387500000002</v>
      </c>
      <c r="CT123" s="43">
        <v>0.73819487500000003</v>
      </c>
      <c r="CU123" s="43">
        <v>1</v>
      </c>
      <c r="CV123" s="46" t="s">
        <v>89</v>
      </c>
      <c r="CW123" s="34"/>
      <c r="CX123" s="35"/>
    </row>
    <row r="124" spans="1:102" ht="15" customHeight="1" x14ac:dyDescent="0.25">
      <c r="A124" s="33">
        <v>121</v>
      </c>
      <c r="B124" s="43" t="s">
        <v>1453</v>
      </c>
      <c r="C124" s="43">
        <v>0.8246</v>
      </c>
      <c r="D124" s="43">
        <v>0.72499999999999998</v>
      </c>
      <c r="E124" s="43" t="s">
        <v>268</v>
      </c>
      <c r="F124" s="43" t="s">
        <v>237</v>
      </c>
      <c r="G124" s="43" t="s">
        <v>1025</v>
      </c>
      <c r="H124" s="43" t="s">
        <v>1026</v>
      </c>
      <c r="I124" s="43" t="s">
        <v>1027</v>
      </c>
      <c r="J124" s="43" t="s">
        <v>1028</v>
      </c>
      <c r="K124" s="71" t="s">
        <v>1029</v>
      </c>
      <c r="L124" s="43" t="s">
        <v>867</v>
      </c>
      <c r="M124" s="43" t="s">
        <v>809</v>
      </c>
      <c r="N124" s="43" t="s">
        <v>733</v>
      </c>
      <c r="O124" s="43" t="s">
        <v>707</v>
      </c>
      <c r="P124" s="43" t="s">
        <v>662</v>
      </c>
      <c r="Q124" s="43" t="s">
        <v>357</v>
      </c>
      <c r="R124" s="43" t="s">
        <v>202</v>
      </c>
      <c r="S124" s="43">
        <v>-213.02699999999999</v>
      </c>
      <c r="T124" s="43">
        <v>59.304000000000002</v>
      </c>
      <c r="U124" s="43">
        <v>4.8083</v>
      </c>
      <c r="V124" s="43">
        <v>-16.771000000000001</v>
      </c>
      <c r="W124" s="43">
        <v>0</v>
      </c>
      <c r="X124" s="43">
        <v>1</v>
      </c>
      <c r="Y124" s="43">
        <v>4.7E-2</v>
      </c>
      <c r="Z124" s="43">
        <v>8.9999999999999993E-3</v>
      </c>
      <c r="AA124" s="43">
        <v>6301.3159999999998</v>
      </c>
      <c r="AB124" s="43">
        <v>0.65900000000000003</v>
      </c>
      <c r="AC124" s="43">
        <v>3999.3560000000002</v>
      </c>
      <c r="AD124" s="43">
        <v>0.48099999999999998</v>
      </c>
      <c r="AE124" s="43">
        <v>0.98799999999999999</v>
      </c>
      <c r="AF124" s="43">
        <v>0</v>
      </c>
      <c r="AG124" s="43">
        <v>19.533999999999999</v>
      </c>
      <c r="AH124" s="43">
        <v>177.047</v>
      </c>
      <c r="AI124" s="43">
        <v>177.047</v>
      </c>
      <c r="AJ124" s="51" t="s">
        <v>190</v>
      </c>
      <c r="AK124" s="43">
        <v>0</v>
      </c>
      <c r="AL124" s="43">
        <v>1</v>
      </c>
      <c r="AM124" s="43">
        <v>1</v>
      </c>
      <c r="AN124" s="43">
        <v>0</v>
      </c>
      <c r="AO124" s="43">
        <v>1</v>
      </c>
      <c r="AP124" s="43">
        <v>1</v>
      </c>
      <c r="AQ124" s="68" t="s">
        <v>1772</v>
      </c>
      <c r="AR124" s="43" t="s">
        <v>835</v>
      </c>
      <c r="AS124" s="43">
        <v>153</v>
      </c>
      <c r="AT124" s="43">
        <v>10.611000000000001</v>
      </c>
      <c r="AU124" s="69">
        <v>-194.19</v>
      </c>
      <c r="AV124" s="69">
        <v>96.55</v>
      </c>
      <c r="AW124" s="43">
        <v>27.498699999999999</v>
      </c>
      <c r="AX124" s="43">
        <v>0.75029999999999997</v>
      </c>
      <c r="AY124" s="69">
        <v>-194.19</v>
      </c>
      <c r="AZ124" s="69">
        <v>96.55</v>
      </c>
      <c r="BA124" s="43">
        <v>27.498699999999999</v>
      </c>
      <c r="BB124" s="43">
        <v>0.75029999999999997</v>
      </c>
      <c r="BC124" s="43">
        <v>0</v>
      </c>
      <c r="BD124" s="43">
        <v>0</v>
      </c>
      <c r="BE124" s="43">
        <v>0</v>
      </c>
      <c r="BF124" s="43">
        <v>-25.6</v>
      </c>
      <c r="BG124" s="43">
        <v>21.2608</v>
      </c>
      <c r="BH124" s="43">
        <v>-25.6</v>
      </c>
      <c r="BI124" s="43">
        <v>23.907299999999999</v>
      </c>
      <c r="BJ124" s="43">
        <v>0</v>
      </c>
      <c r="BK124" s="53">
        <v>0.11700000000000001</v>
      </c>
      <c r="BL124" s="53">
        <v>152.80000000000001</v>
      </c>
      <c r="BM124" s="43">
        <v>2</v>
      </c>
      <c r="BN124" s="34" t="s">
        <v>89</v>
      </c>
      <c r="BO124" s="34" t="s">
        <v>89</v>
      </c>
      <c r="BP124" s="34" t="s">
        <v>89</v>
      </c>
      <c r="BQ124" s="34" t="s">
        <v>89</v>
      </c>
      <c r="BR124" s="34" t="s">
        <v>89</v>
      </c>
      <c r="BS124" s="34" t="s">
        <v>89</v>
      </c>
      <c r="BT124" s="34" t="s">
        <v>89</v>
      </c>
      <c r="BU124" s="34" t="s">
        <v>89</v>
      </c>
      <c r="BV124" s="34" t="s">
        <v>89</v>
      </c>
      <c r="BW124" s="34" t="s">
        <v>89</v>
      </c>
      <c r="BX124" s="34" t="s">
        <v>89</v>
      </c>
      <c r="BY124" s="34" t="s">
        <v>89</v>
      </c>
      <c r="BZ124" s="34" t="s">
        <v>89</v>
      </c>
      <c r="CA124" s="34" t="s">
        <v>89</v>
      </c>
      <c r="CB124" s="34" t="s">
        <v>89</v>
      </c>
      <c r="CC124" s="34" t="s">
        <v>89</v>
      </c>
      <c r="CD124" s="34" t="s">
        <v>89</v>
      </c>
      <c r="CE124" s="43">
        <v>1</v>
      </c>
      <c r="CF124" s="43">
        <v>1</v>
      </c>
      <c r="CG124" s="43">
        <v>0</v>
      </c>
      <c r="CH124" s="43">
        <v>0</v>
      </c>
      <c r="CI124" s="43">
        <v>220</v>
      </c>
      <c r="CJ124" s="43">
        <v>-13.616</v>
      </c>
      <c r="CK124" s="43">
        <v>-23.187000000000001</v>
      </c>
      <c r="CL124" s="43">
        <v>56845</v>
      </c>
      <c r="CM124" s="43">
        <v>24403</v>
      </c>
      <c r="CN124" s="43">
        <v>735</v>
      </c>
      <c r="CO124" s="43">
        <v>-194.19</v>
      </c>
      <c r="CP124" s="43">
        <v>96.55</v>
      </c>
      <c r="CQ124" s="43">
        <v>-194.19</v>
      </c>
      <c r="CR124" s="43">
        <v>96.55</v>
      </c>
      <c r="CS124" s="43">
        <v>1</v>
      </c>
      <c r="CT124" s="43">
        <v>0</v>
      </c>
      <c r="CU124" s="43">
        <v>1</v>
      </c>
      <c r="CV124" s="46" t="s">
        <v>89</v>
      </c>
      <c r="CW124" s="34"/>
      <c r="CX124" s="35"/>
    </row>
    <row r="125" spans="1:102" ht="15" customHeight="1" x14ac:dyDescent="0.25">
      <c r="A125" s="33">
        <v>122</v>
      </c>
      <c r="B125" s="43" t="s">
        <v>1454</v>
      </c>
      <c r="C125" s="43">
        <v>0.40389999999999998</v>
      </c>
      <c r="D125" s="43">
        <v>0.83299999999999996</v>
      </c>
      <c r="E125" s="43" t="s">
        <v>267</v>
      </c>
      <c r="F125" s="43" t="s">
        <v>216</v>
      </c>
      <c r="G125" s="43" t="s">
        <v>1030</v>
      </c>
      <c r="H125" s="43" t="s">
        <v>1031</v>
      </c>
      <c r="I125" s="43" t="s">
        <v>1032</v>
      </c>
      <c r="J125" s="43" t="s">
        <v>1033</v>
      </c>
      <c r="K125" s="69" t="s">
        <v>1034</v>
      </c>
      <c r="L125" s="43" t="s">
        <v>895</v>
      </c>
      <c r="M125" s="43" t="s">
        <v>840</v>
      </c>
      <c r="N125" s="43" t="s">
        <v>706</v>
      </c>
      <c r="O125" s="43" t="s">
        <v>683</v>
      </c>
      <c r="P125" s="43" t="s">
        <v>676</v>
      </c>
      <c r="Q125" s="43" t="s">
        <v>676</v>
      </c>
      <c r="R125" s="43" t="s">
        <v>191</v>
      </c>
      <c r="S125" s="43">
        <v>37.454999999999998</v>
      </c>
      <c r="T125" s="43">
        <v>-144.667</v>
      </c>
      <c r="U125" s="43">
        <v>18.943999999999999</v>
      </c>
      <c r="V125" s="43">
        <v>-1.395</v>
      </c>
      <c r="W125" s="43">
        <v>0</v>
      </c>
      <c r="X125" s="43">
        <v>0</v>
      </c>
      <c r="Y125" s="43">
        <v>0.182</v>
      </c>
      <c r="Z125" s="43">
        <v>0.17799999999999999</v>
      </c>
      <c r="AA125" s="43">
        <v>5388.75</v>
      </c>
      <c r="AB125" s="43">
        <v>0.94399999999999995</v>
      </c>
      <c r="AC125" s="43">
        <v>3076.14</v>
      </c>
      <c r="AD125" s="43">
        <v>0.46600000000000003</v>
      </c>
      <c r="AE125" s="43">
        <v>0.95499999999999996</v>
      </c>
      <c r="AF125" s="43">
        <v>1</v>
      </c>
      <c r="AG125" s="43">
        <v>16.187999999999999</v>
      </c>
      <c r="AH125" s="43">
        <v>-9.32</v>
      </c>
      <c r="AI125" s="43">
        <v>-9.32</v>
      </c>
      <c r="AJ125" s="51" t="s">
        <v>1444</v>
      </c>
      <c r="AK125" s="43">
        <v>1</v>
      </c>
      <c r="AL125" s="43">
        <v>3</v>
      </c>
      <c r="AM125" s="43">
        <v>1</v>
      </c>
      <c r="AN125" s="43">
        <v>1</v>
      </c>
      <c r="AO125" s="43">
        <v>1</v>
      </c>
      <c r="AP125" s="43">
        <v>0</v>
      </c>
      <c r="AQ125" s="68" t="s">
        <v>1773</v>
      </c>
      <c r="AR125" s="43" t="s">
        <v>842</v>
      </c>
      <c r="AS125" s="43">
        <v>998</v>
      </c>
      <c r="AT125" s="43">
        <v>0.16500000000000001</v>
      </c>
      <c r="AU125" s="69">
        <v>386.22</v>
      </c>
      <c r="AV125" s="69">
        <v>0</v>
      </c>
      <c r="AW125" s="43">
        <v>13.296099999999999</v>
      </c>
      <c r="AX125" s="43">
        <v>0.64080000000000004</v>
      </c>
      <c r="AY125" s="69">
        <v>386.22</v>
      </c>
      <c r="AZ125" s="69">
        <v>0</v>
      </c>
      <c r="BA125" s="43">
        <v>13.296099999999999</v>
      </c>
      <c r="BB125" s="43">
        <v>0.64080000000000004</v>
      </c>
      <c r="BC125" s="43">
        <v>1</v>
      </c>
      <c r="BD125" s="43">
        <v>1</v>
      </c>
      <c r="BE125" s="43">
        <v>0</v>
      </c>
      <c r="BF125" s="43">
        <v>-10.5</v>
      </c>
      <c r="BG125" s="43">
        <v>6.4370000000000003</v>
      </c>
      <c r="BH125" s="43">
        <v>-10.5</v>
      </c>
      <c r="BI125" s="43">
        <v>19.599699999999999</v>
      </c>
      <c r="BJ125" s="43">
        <v>1</v>
      </c>
      <c r="BK125" s="53">
        <v>0.11799999999999999</v>
      </c>
      <c r="BL125" s="53">
        <v>154</v>
      </c>
      <c r="BM125" s="43">
        <v>2</v>
      </c>
      <c r="BN125" s="34" t="s">
        <v>89</v>
      </c>
      <c r="BO125" s="34" t="s">
        <v>89</v>
      </c>
      <c r="BP125" s="34" t="s">
        <v>89</v>
      </c>
      <c r="BQ125" s="34" t="s">
        <v>89</v>
      </c>
      <c r="BR125" s="34" t="s">
        <v>89</v>
      </c>
      <c r="BS125" s="34" t="s">
        <v>89</v>
      </c>
      <c r="BT125" s="34" t="s">
        <v>89</v>
      </c>
      <c r="BU125" s="34" t="s">
        <v>89</v>
      </c>
      <c r="BV125" s="34" t="s">
        <v>89</v>
      </c>
      <c r="BW125" s="34" t="s">
        <v>89</v>
      </c>
      <c r="BX125" s="34" t="s">
        <v>89</v>
      </c>
      <c r="BY125" s="34" t="s">
        <v>89</v>
      </c>
      <c r="BZ125" s="34" t="s">
        <v>89</v>
      </c>
      <c r="CA125" s="34" t="s">
        <v>89</v>
      </c>
      <c r="CB125" s="34" t="s">
        <v>89</v>
      </c>
      <c r="CC125" s="34" t="s">
        <v>89</v>
      </c>
      <c r="CD125" s="34" t="s">
        <v>89</v>
      </c>
      <c r="CE125" s="43">
        <v>-3.3010909300385598</v>
      </c>
      <c r="CF125" s="43">
        <v>1</v>
      </c>
      <c r="CG125" s="43">
        <v>0</v>
      </c>
      <c r="CH125" s="43">
        <v>0</v>
      </c>
      <c r="CI125" s="43">
        <v>220</v>
      </c>
      <c r="CJ125" s="43">
        <v>-1.85992418138056</v>
      </c>
      <c r="CK125" s="43">
        <v>-29.546517680422401</v>
      </c>
      <c r="CL125" s="43">
        <v>0</v>
      </c>
      <c r="CM125" s="43">
        <v>4832</v>
      </c>
      <c r="CN125" s="43">
        <v>998</v>
      </c>
      <c r="CO125" s="43">
        <v>386.22</v>
      </c>
      <c r="CP125" s="43">
        <v>0</v>
      </c>
      <c r="CQ125" s="43">
        <v>21.311</v>
      </c>
      <c r="CR125" s="43">
        <v>261.14586480000003</v>
      </c>
      <c r="CS125" s="43">
        <v>0.27040625000000001</v>
      </c>
      <c r="CT125" s="43">
        <v>8.1482499999999999E-2</v>
      </c>
      <c r="CU125" s="43">
        <v>1</v>
      </c>
      <c r="CV125" s="46" t="s">
        <v>89</v>
      </c>
      <c r="CW125" s="34"/>
      <c r="CX125" s="35"/>
    </row>
    <row r="126" spans="1:102" ht="15" customHeight="1" x14ac:dyDescent="0.25">
      <c r="A126" s="33">
        <v>123</v>
      </c>
      <c r="B126" s="43" t="s">
        <v>1035</v>
      </c>
      <c r="C126" s="43">
        <v>0.46460000000000001</v>
      </c>
      <c r="D126" s="43">
        <v>4.7E-2</v>
      </c>
      <c r="E126" s="43" t="s">
        <v>216</v>
      </c>
      <c r="F126" s="43" t="s">
        <v>179</v>
      </c>
      <c r="G126" s="43" t="s">
        <v>1036</v>
      </c>
      <c r="H126" s="43" t="s">
        <v>1037</v>
      </c>
      <c r="I126" s="43" t="s">
        <v>1038</v>
      </c>
      <c r="J126" s="43" t="s">
        <v>1039</v>
      </c>
      <c r="K126" s="43" t="s">
        <v>1040</v>
      </c>
      <c r="L126" s="43" t="s">
        <v>861</v>
      </c>
      <c r="M126" s="43" t="s">
        <v>802</v>
      </c>
      <c r="N126" s="43" t="s">
        <v>724</v>
      </c>
      <c r="O126" s="43" t="s">
        <v>698</v>
      </c>
      <c r="P126" s="43" t="s">
        <v>776</v>
      </c>
      <c r="Q126" s="43" t="s">
        <v>349</v>
      </c>
      <c r="R126" s="43" t="s">
        <v>311</v>
      </c>
      <c r="S126" s="43">
        <v>-105.246</v>
      </c>
      <c r="T126" s="43">
        <v>5.7240000000000002</v>
      </c>
      <c r="U126" s="43">
        <v>2.8323</v>
      </c>
      <c r="V126" s="43">
        <v>-27.693000000000001</v>
      </c>
      <c r="W126" s="43">
        <v>1</v>
      </c>
      <c r="X126" s="43">
        <v>1</v>
      </c>
      <c r="Y126" s="43">
        <v>0.16</v>
      </c>
      <c r="Z126" s="43">
        <v>8.1000000000000003E-2</v>
      </c>
      <c r="AA126" s="43">
        <v>7174.6980000000003</v>
      </c>
      <c r="AB126" s="43">
        <v>0.26</v>
      </c>
      <c r="AC126" s="43">
        <v>1940.902</v>
      </c>
      <c r="AD126" s="43">
        <v>4.4999999999999998E-2</v>
      </c>
      <c r="AE126" s="43">
        <v>0.97</v>
      </c>
      <c r="AF126" s="43">
        <v>0</v>
      </c>
      <c r="AG126" s="43">
        <v>-22.065999999999999</v>
      </c>
      <c r="AH126" s="43">
        <v>-161.352</v>
      </c>
      <c r="AI126" s="43">
        <v>-161.352</v>
      </c>
      <c r="AJ126" s="43" t="s">
        <v>1445</v>
      </c>
      <c r="AK126" s="51">
        <v>0</v>
      </c>
      <c r="AL126" s="43">
        <v>1</v>
      </c>
      <c r="AM126" s="43">
        <v>1</v>
      </c>
      <c r="AN126" s="43">
        <v>1</v>
      </c>
      <c r="AO126" s="43">
        <v>0</v>
      </c>
      <c r="AP126" s="69">
        <v>1</v>
      </c>
      <c r="AQ126" s="68" t="s">
        <v>1774</v>
      </c>
      <c r="AR126" s="43" t="s">
        <v>849</v>
      </c>
      <c r="AS126" s="43">
        <v>926</v>
      </c>
      <c r="AT126" s="43">
        <v>-1.365</v>
      </c>
      <c r="AU126" s="69">
        <v>-784.13</v>
      </c>
      <c r="AV126" s="69">
        <v>-43.17</v>
      </c>
      <c r="AW126" s="43">
        <v>99.827500000000001</v>
      </c>
      <c r="AX126" s="43">
        <v>5.21E-2</v>
      </c>
      <c r="AY126" s="69">
        <v>-784.13</v>
      </c>
      <c r="AZ126" s="69">
        <v>-43.17</v>
      </c>
      <c r="BA126" s="43">
        <v>99.827500000000001</v>
      </c>
      <c r="BB126" s="43">
        <v>5.21E-2</v>
      </c>
      <c r="BC126" s="83">
        <v>0</v>
      </c>
      <c r="BD126" s="83">
        <v>0</v>
      </c>
      <c r="BE126" s="43">
        <v>0</v>
      </c>
      <c r="BF126" s="43">
        <v>-11.6</v>
      </c>
      <c r="BG126" s="43">
        <v>6.7915999999999999</v>
      </c>
      <c r="BH126" s="43">
        <v>-11.6</v>
      </c>
      <c r="BI126" s="43">
        <v>2.8938999999999999</v>
      </c>
      <c r="BJ126" s="43">
        <v>0</v>
      </c>
      <c r="BK126" s="53">
        <v>0.11899999999999999</v>
      </c>
      <c r="BL126" s="53">
        <v>155.19999999999999</v>
      </c>
      <c r="BM126" s="43">
        <v>2</v>
      </c>
      <c r="BN126" s="34" t="s">
        <v>89</v>
      </c>
      <c r="BO126" s="34" t="s">
        <v>89</v>
      </c>
      <c r="BP126" s="34" t="s">
        <v>89</v>
      </c>
      <c r="BQ126" s="34" t="s">
        <v>89</v>
      </c>
      <c r="BR126" s="34" t="s">
        <v>89</v>
      </c>
      <c r="BS126" s="34" t="s">
        <v>89</v>
      </c>
      <c r="BT126" s="34" t="s">
        <v>89</v>
      </c>
      <c r="BU126" s="34" t="s">
        <v>89</v>
      </c>
      <c r="BV126" s="34" t="s">
        <v>89</v>
      </c>
      <c r="BW126" s="34" t="s">
        <v>89</v>
      </c>
      <c r="BX126" s="34" t="s">
        <v>89</v>
      </c>
      <c r="BY126" s="34" t="s">
        <v>89</v>
      </c>
      <c r="BZ126" s="34" t="s">
        <v>89</v>
      </c>
      <c r="CA126" s="34" t="s">
        <v>89</v>
      </c>
      <c r="CB126" s="34" t="s">
        <v>89</v>
      </c>
      <c r="CC126" s="34" t="s">
        <v>89</v>
      </c>
      <c r="CD126" s="34" t="s">
        <v>89</v>
      </c>
      <c r="CE126" s="43">
        <v>1</v>
      </c>
      <c r="CF126" s="43">
        <v>1</v>
      </c>
      <c r="CG126" s="43">
        <v>0</v>
      </c>
      <c r="CH126" s="43">
        <v>0</v>
      </c>
      <c r="CI126" s="43">
        <v>-86.873999999999995</v>
      </c>
      <c r="CJ126" s="43">
        <v>8.5510000000000002</v>
      </c>
      <c r="CK126" s="43">
        <v>12.616</v>
      </c>
      <c r="CL126" s="43">
        <v>60159</v>
      </c>
      <c r="CM126" s="43">
        <v>41958</v>
      </c>
      <c r="CN126" s="43">
        <v>1543</v>
      </c>
      <c r="CO126" s="43">
        <v>-784.13</v>
      </c>
      <c r="CP126" s="43">
        <v>-43.17</v>
      </c>
      <c r="CQ126" s="43">
        <v>-784.13</v>
      </c>
      <c r="CR126" s="43">
        <v>-43.17</v>
      </c>
      <c r="CS126" s="43">
        <v>0</v>
      </c>
      <c r="CT126" s="43">
        <v>0.28761274999999997</v>
      </c>
      <c r="CU126" s="43">
        <v>1</v>
      </c>
      <c r="CV126" s="46" t="s">
        <v>89</v>
      </c>
      <c r="CW126" s="34"/>
      <c r="CX126" s="35"/>
    </row>
    <row r="127" spans="1:102" ht="15" customHeight="1" x14ac:dyDescent="0.25">
      <c r="A127" s="33">
        <v>124</v>
      </c>
      <c r="B127" s="43" t="s">
        <v>1041</v>
      </c>
      <c r="C127" s="43">
        <v>6.0499999999999998E-2</v>
      </c>
      <c r="D127" s="43">
        <v>0.72499999999999998</v>
      </c>
      <c r="E127" s="43" t="s">
        <v>268</v>
      </c>
      <c r="F127" s="43" t="s">
        <v>237</v>
      </c>
      <c r="G127" s="43" t="s">
        <v>1042</v>
      </c>
      <c r="H127" s="43" t="s">
        <v>1043</v>
      </c>
      <c r="I127" s="43" t="s">
        <v>1044</v>
      </c>
      <c r="J127" s="43" t="s">
        <v>1045</v>
      </c>
      <c r="K127" s="43" t="s">
        <v>1046</v>
      </c>
      <c r="L127" s="43" t="s">
        <v>867</v>
      </c>
      <c r="M127" s="43" t="s">
        <v>809</v>
      </c>
      <c r="N127" s="43" t="s">
        <v>733</v>
      </c>
      <c r="O127" s="43" t="s">
        <v>707</v>
      </c>
      <c r="P127" s="43" t="s">
        <v>662</v>
      </c>
      <c r="Q127" s="43" t="s">
        <v>357</v>
      </c>
      <c r="R127" s="43" t="s">
        <v>202</v>
      </c>
      <c r="S127" s="43">
        <v>-213.02699999999999</v>
      </c>
      <c r="T127" s="43">
        <v>59.304000000000002</v>
      </c>
      <c r="U127" s="43">
        <v>25.502800000000001</v>
      </c>
      <c r="V127" s="43">
        <v>20.065999999999999</v>
      </c>
      <c r="W127" s="43">
        <v>0</v>
      </c>
      <c r="X127" s="43">
        <v>1</v>
      </c>
      <c r="Y127" s="43">
        <v>4.9000000000000002E-2</v>
      </c>
      <c r="Z127" s="43">
        <v>7.0999999999999994E-2</v>
      </c>
      <c r="AA127" s="43">
        <v>3789.1860000000001</v>
      </c>
      <c r="AB127" s="43">
        <v>0.185</v>
      </c>
      <c r="AC127" s="43">
        <v>3865.9870000000001</v>
      </c>
      <c r="AD127" s="43">
        <v>0.39900000000000002</v>
      </c>
      <c r="AE127" s="43">
        <v>0.96599999999999997</v>
      </c>
      <c r="AF127" s="43">
        <v>0</v>
      </c>
      <c r="AG127" s="43">
        <v>-9.7309999999999999</v>
      </c>
      <c r="AH127" s="43">
        <v>-205.51499999999999</v>
      </c>
      <c r="AI127" s="43">
        <v>-205.51499999999999</v>
      </c>
      <c r="AJ127" s="43" t="s">
        <v>1446</v>
      </c>
      <c r="AK127" s="51">
        <v>1</v>
      </c>
      <c r="AL127" s="43">
        <v>1</v>
      </c>
      <c r="AM127" s="43">
        <v>1</v>
      </c>
      <c r="AN127" s="43">
        <v>0</v>
      </c>
      <c r="AO127" s="43">
        <v>0</v>
      </c>
      <c r="AP127" s="69">
        <v>0</v>
      </c>
      <c r="AQ127" s="68" t="s">
        <v>1733</v>
      </c>
      <c r="AR127" s="43" t="s">
        <v>856</v>
      </c>
      <c r="AS127" s="43">
        <v>474</v>
      </c>
      <c r="AT127" s="43">
        <v>-24.358000000000001</v>
      </c>
      <c r="AU127" s="69">
        <v>947.74</v>
      </c>
      <c r="AV127" s="69">
        <v>1118</v>
      </c>
      <c r="AW127" s="43">
        <v>1.4891000000000001</v>
      </c>
      <c r="AX127" s="43">
        <v>0.1767</v>
      </c>
      <c r="AY127" s="69">
        <v>947.74</v>
      </c>
      <c r="AZ127" s="69">
        <v>1118</v>
      </c>
      <c r="BA127" s="43">
        <v>1.4891000000000001</v>
      </c>
      <c r="BB127" s="43">
        <v>0.1767</v>
      </c>
      <c r="BC127" s="83">
        <v>1</v>
      </c>
      <c r="BD127" s="83">
        <v>1</v>
      </c>
      <c r="BE127" s="43">
        <v>1</v>
      </c>
      <c r="BF127" s="43">
        <v>-30.2</v>
      </c>
      <c r="BG127" s="43">
        <v>30.714400000000001</v>
      </c>
      <c r="BH127" s="43">
        <v>-30.2</v>
      </c>
      <c r="BI127" s="43">
        <v>0.55720000000000003</v>
      </c>
      <c r="BJ127" s="43">
        <v>1</v>
      </c>
      <c r="BK127" s="53">
        <v>0.12</v>
      </c>
      <c r="BL127" s="53">
        <v>156.4</v>
      </c>
      <c r="BM127" s="43">
        <v>2</v>
      </c>
      <c r="BN127" s="34" t="s">
        <v>89</v>
      </c>
      <c r="BO127" s="34" t="s">
        <v>89</v>
      </c>
      <c r="BP127" s="34" t="s">
        <v>89</v>
      </c>
      <c r="BQ127" s="34" t="s">
        <v>89</v>
      </c>
      <c r="BR127" s="34" t="s">
        <v>89</v>
      </c>
      <c r="BS127" s="34" t="s">
        <v>89</v>
      </c>
      <c r="BT127" s="34" t="s">
        <v>89</v>
      </c>
      <c r="BU127" s="34" t="s">
        <v>89</v>
      </c>
      <c r="BV127" s="34" t="s">
        <v>89</v>
      </c>
      <c r="BW127" s="34" t="s">
        <v>89</v>
      </c>
      <c r="BX127" s="34" t="s">
        <v>89</v>
      </c>
      <c r="BY127" s="34" t="s">
        <v>89</v>
      </c>
      <c r="BZ127" s="34" t="s">
        <v>89</v>
      </c>
      <c r="CA127" s="34" t="s">
        <v>89</v>
      </c>
      <c r="CB127" s="34" t="s">
        <v>89</v>
      </c>
      <c r="CC127" s="34" t="s">
        <v>89</v>
      </c>
      <c r="CD127" s="34" t="s">
        <v>89</v>
      </c>
      <c r="CE127" s="43">
        <v>4.0267864486681501E-2</v>
      </c>
      <c r="CF127" s="43">
        <v>9.5136066494217394E-2</v>
      </c>
      <c r="CG127" s="43">
        <v>0</v>
      </c>
      <c r="CH127" s="43">
        <v>0</v>
      </c>
      <c r="CI127" s="43">
        <v>220</v>
      </c>
      <c r="CJ127" s="43">
        <v>-8.1519582329124098</v>
      </c>
      <c r="CK127" s="43">
        <v>28.8150740580144</v>
      </c>
      <c r="CL127" s="43">
        <v>0</v>
      </c>
      <c r="CM127" s="43">
        <v>25683</v>
      </c>
      <c r="CN127" s="43">
        <v>474</v>
      </c>
      <c r="CO127" s="43">
        <v>947.74</v>
      </c>
      <c r="CP127" s="43">
        <v>1118</v>
      </c>
      <c r="CQ127" s="43">
        <v>15.723000000000001</v>
      </c>
      <c r="CR127" s="43">
        <v>464.41651056000001</v>
      </c>
      <c r="CS127" s="43">
        <v>0.65864825000000005</v>
      </c>
      <c r="CT127" s="43">
        <v>0.88224837499999997</v>
      </c>
      <c r="CU127" s="43">
        <v>1</v>
      </c>
      <c r="CV127" s="46" t="s">
        <v>89</v>
      </c>
      <c r="CW127" s="34"/>
      <c r="CX127" s="35"/>
    </row>
    <row r="128" spans="1:102" ht="15" customHeight="1" x14ac:dyDescent="0.25">
      <c r="A128" s="33">
        <v>125</v>
      </c>
      <c r="B128" s="43" t="s">
        <v>1843</v>
      </c>
      <c r="C128" s="43">
        <v>4.2200000000000001E-2</v>
      </c>
      <c r="D128" s="43">
        <v>0.83299999999999996</v>
      </c>
      <c r="E128" s="43" t="s">
        <v>267</v>
      </c>
      <c r="F128" s="43" t="s">
        <v>216</v>
      </c>
      <c r="G128" s="43" t="s">
        <v>1047</v>
      </c>
      <c r="H128" s="43" t="s">
        <v>1048</v>
      </c>
      <c r="I128" s="43" t="s">
        <v>1049</v>
      </c>
      <c r="J128" s="43" t="s">
        <v>1050</v>
      </c>
      <c r="K128" s="53" t="s">
        <v>1051</v>
      </c>
      <c r="L128" s="43" t="s">
        <v>895</v>
      </c>
      <c r="M128" s="43" t="s">
        <v>840</v>
      </c>
      <c r="N128" s="43" t="s">
        <v>706</v>
      </c>
      <c r="O128" s="43" t="s">
        <v>683</v>
      </c>
      <c r="P128" s="43" t="s">
        <v>676</v>
      </c>
      <c r="Q128" s="43" t="s">
        <v>676</v>
      </c>
      <c r="R128" s="43" t="s">
        <v>191</v>
      </c>
      <c r="S128" s="43">
        <v>37.454999999999998</v>
      </c>
      <c r="T128" s="43">
        <v>-144.667</v>
      </c>
      <c r="U128" s="43">
        <v>17.947299999999998</v>
      </c>
      <c r="V128" s="43">
        <v>-7.7130000000000001</v>
      </c>
      <c r="W128" s="43">
        <v>0</v>
      </c>
      <c r="X128" s="43">
        <v>0</v>
      </c>
      <c r="Y128" s="43">
        <v>0.08</v>
      </c>
      <c r="Z128" s="43">
        <v>0.185</v>
      </c>
      <c r="AA128" s="43">
        <v>3827.2660000000001</v>
      </c>
      <c r="AB128" s="43">
        <v>0.72399999999999998</v>
      </c>
      <c r="AC128" s="43">
        <v>2156.6410000000001</v>
      </c>
      <c r="AD128" s="43">
        <v>0.111</v>
      </c>
      <c r="AE128" s="43">
        <v>0.96899999999999997</v>
      </c>
      <c r="AF128" s="43">
        <v>1</v>
      </c>
      <c r="AG128" s="43">
        <v>17.623000000000001</v>
      </c>
      <c r="AH128" s="43">
        <v>-118.848</v>
      </c>
      <c r="AI128" s="43">
        <v>-118.848</v>
      </c>
      <c r="AJ128" s="43" t="s">
        <v>1408</v>
      </c>
      <c r="AK128" s="43">
        <v>1</v>
      </c>
      <c r="AL128" s="51">
        <v>0</v>
      </c>
      <c r="AM128" s="43">
        <v>0</v>
      </c>
      <c r="AN128" s="43">
        <v>1</v>
      </c>
      <c r="AO128" s="43">
        <v>1</v>
      </c>
      <c r="AP128" s="43">
        <v>0</v>
      </c>
      <c r="AQ128" s="68" t="s">
        <v>1775</v>
      </c>
      <c r="AR128" s="43" t="s">
        <v>797</v>
      </c>
      <c r="AS128" s="43">
        <v>2994</v>
      </c>
      <c r="AT128" s="43">
        <v>-20.658999999999999</v>
      </c>
      <c r="AU128" s="69">
        <v>269.39999999999998</v>
      </c>
      <c r="AV128" s="69">
        <v>-717.3</v>
      </c>
      <c r="AW128" s="43">
        <v>75.473799999999997</v>
      </c>
      <c r="AX128" s="43">
        <v>0.30620000000000003</v>
      </c>
      <c r="AY128" s="69">
        <v>269.39999999999998</v>
      </c>
      <c r="AZ128" s="69">
        <v>-717.3</v>
      </c>
      <c r="BA128" s="43">
        <v>75.473799999999997</v>
      </c>
      <c r="BB128" s="43">
        <v>0.30620000000000003</v>
      </c>
      <c r="BC128" s="43">
        <v>1</v>
      </c>
      <c r="BD128" s="43">
        <v>1</v>
      </c>
      <c r="BE128" s="43">
        <v>1</v>
      </c>
      <c r="BF128" s="43">
        <v>-9.65</v>
      </c>
      <c r="BG128" s="43">
        <v>19.428100000000001</v>
      </c>
      <c r="BH128" s="43">
        <v>-9.65</v>
      </c>
      <c r="BI128" s="43">
        <v>2.9460999999999999</v>
      </c>
      <c r="BJ128" s="43">
        <v>0</v>
      </c>
      <c r="BK128" s="53">
        <v>0.121</v>
      </c>
      <c r="BL128" s="53">
        <v>157.6</v>
      </c>
      <c r="BM128" s="43">
        <v>2</v>
      </c>
      <c r="BN128" s="34" t="s">
        <v>89</v>
      </c>
      <c r="BO128" s="34" t="s">
        <v>89</v>
      </c>
      <c r="BP128" s="34" t="s">
        <v>89</v>
      </c>
      <c r="BQ128" s="34" t="s">
        <v>89</v>
      </c>
      <c r="BR128" s="34" t="s">
        <v>89</v>
      </c>
      <c r="BS128" s="34" t="s">
        <v>89</v>
      </c>
      <c r="BT128" s="34" t="s">
        <v>89</v>
      </c>
      <c r="BU128" s="34" t="s">
        <v>89</v>
      </c>
      <c r="BV128" s="34" t="s">
        <v>89</v>
      </c>
      <c r="BW128" s="34" t="s">
        <v>89</v>
      </c>
      <c r="BX128" s="34" t="s">
        <v>89</v>
      </c>
      <c r="BY128" s="34" t="s">
        <v>89</v>
      </c>
      <c r="BZ128" s="34" t="s">
        <v>89</v>
      </c>
      <c r="CA128" s="34" t="s">
        <v>89</v>
      </c>
      <c r="CB128" s="34" t="s">
        <v>89</v>
      </c>
      <c r="CC128" s="34" t="s">
        <v>89</v>
      </c>
      <c r="CD128" s="34" t="s">
        <v>89</v>
      </c>
      <c r="CE128" s="43">
        <v>-3.3533695721286101</v>
      </c>
      <c r="CF128" s="43">
        <v>1</v>
      </c>
      <c r="CG128" s="43">
        <v>0</v>
      </c>
      <c r="CH128" s="43">
        <v>0</v>
      </c>
      <c r="CI128" s="43">
        <v>220</v>
      </c>
      <c r="CJ128" s="43">
        <v>-4.2954358171878502</v>
      </c>
      <c r="CK128" s="43">
        <v>-2.2412621757437901</v>
      </c>
      <c r="CL128" s="43">
        <v>0</v>
      </c>
      <c r="CM128" s="43">
        <v>27802</v>
      </c>
      <c r="CN128" s="43">
        <v>2994</v>
      </c>
      <c r="CO128" s="43">
        <v>269.39999999999998</v>
      </c>
      <c r="CP128" s="43">
        <v>-717.3</v>
      </c>
      <c r="CQ128" s="43">
        <v>24.847999999999999</v>
      </c>
      <c r="CR128" s="43">
        <v>-16486.759896187999</v>
      </c>
      <c r="CS128" s="43">
        <v>0.24559175</v>
      </c>
      <c r="CT128" s="43">
        <v>0</v>
      </c>
      <c r="CU128" s="43">
        <v>1</v>
      </c>
      <c r="CV128" s="46" t="s">
        <v>89</v>
      </c>
      <c r="CW128" s="34"/>
      <c r="CX128" s="35"/>
    </row>
    <row r="129" spans="1:102" ht="15" customHeight="1" x14ac:dyDescent="0.25">
      <c r="A129" s="33">
        <v>126</v>
      </c>
      <c r="B129" s="43" t="s">
        <v>1842</v>
      </c>
      <c r="C129" s="43">
        <v>0.84840000000000004</v>
      </c>
      <c r="D129" s="43">
        <v>4.7E-2</v>
      </c>
      <c r="E129" s="43" t="s">
        <v>216</v>
      </c>
      <c r="F129" s="43" t="s">
        <v>179</v>
      </c>
      <c r="G129" s="43" t="s">
        <v>1052</v>
      </c>
      <c r="H129" s="43" t="s">
        <v>1053</v>
      </c>
      <c r="I129" s="43" t="s">
        <v>1054</v>
      </c>
      <c r="J129" s="43" t="s">
        <v>1055</v>
      </c>
      <c r="K129" s="43" t="s">
        <v>1056</v>
      </c>
      <c r="L129" s="43" t="s">
        <v>861</v>
      </c>
      <c r="M129" s="43" t="s">
        <v>802</v>
      </c>
      <c r="N129" s="43" t="s">
        <v>724</v>
      </c>
      <c r="O129" s="43" t="s">
        <v>698</v>
      </c>
      <c r="P129" s="43" t="s">
        <v>776</v>
      </c>
      <c r="Q129" s="43" t="s">
        <v>349</v>
      </c>
      <c r="R129" s="43" t="s">
        <v>311</v>
      </c>
      <c r="S129" s="43">
        <v>-105.246</v>
      </c>
      <c r="T129" s="43">
        <v>5.7240000000000002</v>
      </c>
      <c r="U129" s="43">
        <v>7.5576999999999996</v>
      </c>
      <c r="V129" s="43">
        <v>-7.65</v>
      </c>
      <c r="W129" s="43">
        <v>1</v>
      </c>
      <c r="X129" s="43">
        <v>1</v>
      </c>
      <c r="Y129" s="43">
        <v>0.02</v>
      </c>
      <c r="Z129" s="43">
        <v>9.0999999999999998E-2</v>
      </c>
      <c r="AA129" s="43">
        <v>208.03299999999999</v>
      </c>
      <c r="AB129" s="43">
        <v>0.84899999999999998</v>
      </c>
      <c r="AC129" s="43">
        <v>5517.4970000000003</v>
      </c>
      <c r="AD129" s="43">
        <v>0.81699999999999995</v>
      </c>
      <c r="AE129" s="43">
        <v>0.97799999999999998</v>
      </c>
      <c r="AF129" s="43">
        <v>1</v>
      </c>
      <c r="AG129" s="43">
        <v>2.4209999999999998</v>
      </c>
      <c r="AH129" s="43">
        <v>50.061</v>
      </c>
      <c r="AI129" s="43">
        <v>59.304000000000002</v>
      </c>
      <c r="AJ129" s="43" t="s">
        <v>1437</v>
      </c>
      <c r="AK129" s="43">
        <v>1</v>
      </c>
      <c r="AL129" s="51">
        <v>1</v>
      </c>
      <c r="AM129" s="43">
        <v>0</v>
      </c>
      <c r="AN129" s="43">
        <v>0</v>
      </c>
      <c r="AO129" s="43">
        <v>0</v>
      </c>
      <c r="AP129" s="69">
        <v>0</v>
      </c>
      <c r="AQ129" s="68" t="s">
        <v>1734</v>
      </c>
      <c r="AR129" s="43" t="s">
        <v>803</v>
      </c>
      <c r="AS129" s="43">
        <v>3747</v>
      </c>
      <c r="AT129" s="43">
        <v>-11.906000000000001</v>
      </c>
      <c r="AU129" s="69">
        <v>-340.13</v>
      </c>
      <c r="AV129" s="69">
        <v>1118</v>
      </c>
      <c r="AW129" s="43">
        <v>52.339300000000001</v>
      </c>
      <c r="AX129" s="43">
        <v>0.40489999999999998</v>
      </c>
      <c r="AY129" s="69">
        <v>-340.13</v>
      </c>
      <c r="AZ129" s="69">
        <v>1118</v>
      </c>
      <c r="BA129" s="43">
        <v>52.339300000000001</v>
      </c>
      <c r="BB129" s="43">
        <v>0.40489999999999998</v>
      </c>
      <c r="BC129" s="43">
        <v>1</v>
      </c>
      <c r="BD129" s="43">
        <v>1</v>
      </c>
      <c r="BE129" s="43">
        <v>1</v>
      </c>
      <c r="BF129" s="43">
        <v>-22.41</v>
      </c>
      <c r="BG129" s="43">
        <v>10.1091</v>
      </c>
      <c r="BH129" s="43">
        <v>-22.41</v>
      </c>
      <c r="BI129" s="43">
        <v>9.3663000000000007</v>
      </c>
      <c r="BJ129" s="43">
        <v>1</v>
      </c>
      <c r="BK129" s="53">
        <v>0.122</v>
      </c>
      <c r="BL129" s="53">
        <v>158.80000000000001</v>
      </c>
      <c r="BM129" s="43">
        <v>2</v>
      </c>
      <c r="BN129" s="34" t="s">
        <v>89</v>
      </c>
      <c r="BO129" s="34" t="s">
        <v>89</v>
      </c>
      <c r="BP129" s="34" t="s">
        <v>89</v>
      </c>
      <c r="BQ129" s="34" t="s">
        <v>89</v>
      </c>
      <c r="BR129" s="34" t="s">
        <v>89</v>
      </c>
      <c r="BS129" s="34" t="s">
        <v>89</v>
      </c>
      <c r="BT129" s="34" t="s">
        <v>89</v>
      </c>
      <c r="BU129" s="34" t="s">
        <v>89</v>
      </c>
      <c r="BV129" s="34" t="s">
        <v>89</v>
      </c>
      <c r="BW129" s="34" t="s">
        <v>89</v>
      </c>
      <c r="BX129" s="34" t="s">
        <v>89</v>
      </c>
      <c r="BY129" s="34" t="s">
        <v>89</v>
      </c>
      <c r="BZ129" s="34" t="s">
        <v>89</v>
      </c>
      <c r="CA129" s="34" t="s">
        <v>89</v>
      </c>
      <c r="CB129" s="34" t="s">
        <v>89</v>
      </c>
      <c r="CC129" s="34" t="s">
        <v>89</v>
      </c>
      <c r="CD129" s="34" t="s">
        <v>89</v>
      </c>
      <c r="CE129" s="43">
        <v>-8.9439307388784993E-3</v>
      </c>
      <c r="CF129" s="43">
        <v>1</v>
      </c>
      <c r="CG129" s="43">
        <v>0</v>
      </c>
      <c r="CH129" s="43">
        <v>0</v>
      </c>
      <c r="CI129" s="43">
        <v>131.10900000000001</v>
      </c>
      <c r="CJ129" s="43">
        <v>30.231705908584601</v>
      </c>
      <c r="CK129" s="43">
        <v>2.2858437953736601</v>
      </c>
      <c r="CL129" s="43">
        <v>0</v>
      </c>
      <c r="CM129" s="43">
        <v>30231</v>
      </c>
      <c r="CN129" s="43">
        <v>3747</v>
      </c>
      <c r="CO129" s="43">
        <v>-340.13</v>
      </c>
      <c r="CP129" s="43">
        <v>1118</v>
      </c>
      <c r="CQ129" s="43">
        <v>28.36</v>
      </c>
      <c r="CR129" s="43">
        <v>23566.624440259999</v>
      </c>
      <c r="CS129" s="43">
        <v>0.87500412500000002</v>
      </c>
      <c r="CT129" s="43">
        <v>1</v>
      </c>
      <c r="CU129" s="43">
        <v>1</v>
      </c>
      <c r="CV129" s="46" t="s">
        <v>89</v>
      </c>
      <c r="CW129" s="34"/>
      <c r="CX129" s="35"/>
    </row>
    <row r="130" spans="1:102" ht="15" customHeight="1" x14ac:dyDescent="0.25">
      <c r="A130" s="33">
        <v>127</v>
      </c>
      <c r="B130" s="43" t="s">
        <v>1841</v>
      </c>
      <c r="C130" s="43">
        <v>0.65759999999999996</v>
      </c>
      <c r="D130" s="43">
        <v>0.72499999999999998</v>
      </c>
      <c r="E130" s="43" t="s">
        <v>268</v>
      </c>
      <c r="F130" s="43" t="s">
        <v>237</v>
      </c>
      <c r="G130" s="43" t="s">
        <v>1057</v>
      </c>
      <c r="H130" s="43" t="s">
        <v>1058</v>
      </c>
      <c r="I130" s="43" t="s">
        <v>1059</v>
      </c>
      <c r="J130" s="43" t="s">
        <v>1060</v>
      </c>
      <c r="K130" s="53" t="s">
        <v>1061</v>
      </c>
      <c r="L130" s="43" t="s">
        <v>867</v>
      </c>
      <c r="M130" s="43" t="s">
        <v>809</v>
      </c>
      <c r="N130" s="43" t="s">
        <v>733</v>
      </c>
      <c r="O130" s="43" t="s">
        <v>707</v>
      </c>
      <c r="P130" s="43" t="s">
        <v>662</v>
      </c>
      <c r="Q130" s="43" t="s">
        <v>357</v>
      </c>
      <c r="R130" s="43" t="s">
        <v>202</v>
      </c>
      <c r="S130" s="43">
        <v>-213.02699999999999</v>
      </c>
      <c r="T130" s="43">
        <v>59.304000000000002</v>
      </c>
      <c r="U130" s="53">
        <v>-22.723800000000001</v>
      </c>
      <c r="V130" s="43">
        <v>-9.0519999999999996</v>
      </c>
      <c r="W130" s="43">
        <v>0</v>
      </c>
      <c r="X130" s="43">
        <v>1</v>
      </c>
      <c r="Y130" s="43">
        <v>2.7E-2</v>
      </c>
      <c r="Z130" s="43">
        <v>5.0999999999999997E-2</v>
      </c>
      <c r="AA130" s="43">
        <v>6145.5730000000003</v>
      </c>
      <c r="AB130" s="43">
        <v>0.23200000000000001</v>
      </c>
      <c r="AC130" s="43">
        <v>4019.2080000000001</v>
      </c>
      <c r="AD130" s="43">
        <v>0.65700000000000003</v>
      </c>
      <c r="AE130" s="43">
        <v>0.997</v>
      </c>
      <c r="AF130" s="43">
        <v>0</v>
      </c>
      <c r="AG130" s="43">
        <v>24.609000000000002</v>
      </c>
      <c r="AH130" s="43">
        <v>136.34100000000001</v>
      </c>
      <c r="AI130" s="43">
        <v>50.061</v>
      </c>
      <c r="AJ130" s="43" t="s">
        <v>1440</v>
      </c>
      <c r="AK130" s="43">
        <v>0</v>
      </c>
      <c r="AL130" s="51">
        <v>2</v>
      </c>
      <c r="AM130" s="69">
        <v>1</v>
      </c>
      <c r="AN130" s="43">
        <v>0</v>
      </c>
      <c r="AO130" s="43">
        <v>1</v>
      </c>
      <c r="AP130" s="69">
        <v>1</v>
      </c>
      <c r="AQ130" s="68" t="s">
        <v>1776</v>
      </c>
      <c r="AR130" s="43" t="s">
        <v>972</v>
      </c>
      <c r="AS130" s="43">
        <v>4791</v>
      </c>
      <c r="AT130" s="43">
        <v>1.5549999999999999</v>
      </c>
      <c r="AU130" s="69">
        <v>-784.13</v>
      </c>
      <c r="AV130" s="69">
        <v>-657.13</v>
      </c>
      <c r="AW130" s="43">
        <v>84.426400000000001</v>
      </c>
      <c r="AX130" s="43">
        <v>0.40450000000000003</v>
      </c>
      <c r="AY130" s="69">
        <v>-784.13</v>
      </c>
      <c r="AZ130" s="69">
        <v>-657.13</v>
      </c>
      <c r="BA130" s="43">
        <v>84.426400000000001</v>
      </c>
      <c r="BB130" s="43">
        <v>0.40450000000000003</v>
      </c>
      <c r="BC130" s="43">
        <v>0</v>
      </c>
      <c r="BD130" s="43">
        <v>0</v>
      </c>
      <c r="BE130" s="43">
        <v>1</v>
      </c>
      <c r="BF130" s="43">
        <v>-8.69</v>
      </c>
      <c r="BG130" s="43">
        <v>15.565899999999999</v>
      </c>
      <c r="BH130" s="43">
        <v>-8.69</v>
      </c>
      <c r="BI130" s="43">
        <v>15.1113</v>
      </c>
      <c r="BJ130" s="43">
        <v>0</v>
      </c>
      <c r="BK130" s="53">
        <v>0.123</v>
      </c>
      <c r="BL130" s="53">
        <v>160</v>
      </c>
      <c r="BM130" s="43">
        <v>2</v>
      </c>
      <c r="BN130" s="34" t="s">
        <v>89</v>
      </c>
      <c r="BO130" s="34" t="s">
        <v>89</v>
      </c>
      <c r="BP130" s="34" t="s">
        <v>89</v>
      </c>
      <c r="BQ130" s="34" t="s">
        <v>89</v>
      </c>
      <c r="BR130" s="34" t="s">
        <v>89</v>
      </c>
      <c r="BS130" s="34" t="s">
        <v>89</v>
      </c>
      <c r="BT130" s="34" t="s">
        <v>89</v>
      </c>
      <c r="BU130" s="34" t="s">
        <v>89</v>
      </c>
      <c r="BV130" s="34" t="s">
        <v>89</v>
      </c>
      <c r="BW130" s="34" t="s">
        <v>89</v>
      </c>
      <c r="BX130" s="34" t="s">
        <v>89</v>
      </c>
      <c r="BY130" s="34" t="s">
        <v>89</v>
      </c>
      <c r="BZ130" s="34" t="s">
        <v>89</v>
      </c>
      <c r="CA130" s="34" t="s">
        <v>89</v>
      </c>
      <c r="CB130" s="34" t="s">
        <v>89</v>
      </c>
      <c r="CC130" s="34" t="s">
        <v>89</v>
      </c>
      <c r="CD130" s="34" t="s">
        <v>89</v>
      </c>
      <c r="CE130" s="43">
        <v>-0.42998662051254499</v>
      </c>
      <c r="CF130" s="43">
        <v>-9.7712944636789804E-3</v>
      </c>
      <c r="CG130" s="43">
        <v>-8.69</v>
      </c>
      <c r="CH130" s="43">
        <v>-8.69</v>
      </c>
      <c r="CI130" s="43">
        <v>220</v>
      </c>
      <c r="CJ130" s="43">
        <v>-18.393521435334499</v>
      </c>
      <c r="CK130" s="43">
        <v>7.8556380947302804</v>
      </c>
      <c r="CL130" s="43">
        <v>65339</v>
      </c>
      <c r="CM130" s="43">
        <v>25534</v>
      </c>
      <c r="CN130" s="43">
        <v>383</v>
      </c>
      <c r="CO130" s="43">
        <v>-784.13</v>
      </c>
      <c r="CP130" s="43">
        <v>-657.13</v>
      </c>
      <c r="CQ130" s="43">
        <v>-784.13</v>
      </c>
      <c r="CR130" s="43">
        <v>-657.13</v>
      </c>
      <c r="CS130" s="43">
        <v>1</v>
      </c>
      <c r="CT130" s="43">
        <v>0.15459899999999999</v>
      </c>
      <c r="CU130" s="43">
        <v>1</v>
      </c>
      <c r="CV130" s="46" t="s">
        <v>89</v>
      </c>
      <c r="CW130" s="34"/>
      <c r="CX130" s="35"/>
    </row>
    <row r="131" spans="1:102" ht="15" customHeight="1" x14ac:dyDescent="0.25">
      <c r="A131" s="33">
        <v>128</v>
      </c>
      <c r="B131" s="43" t="s">
        <v>1840</v>
      </c>
      <c r="C131" s="43">
        <v>0.38990000000000002</v>
      </c>
      <c r="D131" s="43">
        <v>0.83299999999999996</v>
      </c>
      <c r="E131" s="43" t="s">
        <v>267</v>
      </c>
      <c r="F131" s="43" t="s">
        <v>216</v>
      </c>
      <c r="G131" s="43" t="s">
        <v>1062</v>
      </c>
      <c r="H131" s="43" t="s">
        <v>1063</v>
      </c>
      <c r="I131" s="43" t="s">
        <v>1064</v>
      </c>
      <c r="J131" s="43" t="s">
        <v>1065</v>
      </c>
      <c r="K131" s="43" t="s">
        <v>1066</v>
      </c>
      <c r="L131" s="43" t="s">
        <v>895</v>
      </c>
      <c r="M131" s="43" t="s">
        <v>840</v>
      </c>
      <c r="N131" s="43" t="s">
        <v>706</v>
      </c>
      <c r="O131" s="43" t="s">
        <v>683</v>
      </c>
      <c r="P131" s="43" t="s">
        <v>676</v>
      </c>
      <c r="Q131" s="43" t="s">
        <v>676</v>
      </c>
      <c r="R131" s="43" t="s">
        <v>191</v>
      </c>
      <c r="S131" s="43">
        <v>37.454999999999998</v>
      </c>
      <c r="T131" s="43">
        <v>-144.667</v>
      </c>
      <c r="U131" s="43">
        <v>27.787600000000001</v>
      </c>
      <c r="V131" s="43">
        <v>18.998999999999999</v>
      </c>
      <c r="W131" s="43">
        <v>0</v>
      </c>
      <c r="X131" s="43">
        <v>0</v>
      </c>
      <c r="Y131" s="69">
        <v>0.14199999999999999</v>
      </c>
      <c r="Z131" s="69">
        <v>0.19500000000000001</v>
      </c>
      <c r="AA131" s="43">
        <v>6667.5420000000004</v>
      </c>
      <c r="AB131" s="43">
        <v>0.77800000000000002</v>
      </c>
      <c r="AC131" s="43">
        <v>7823.2650000000003</v>
      </c>
      <c r="AD131" s="43">
        <v>0.499</v>
      </c>
      <c r="AE131" s="43">
        <v>0.96799999999999997</v>
      </c>
      <c r="AF131" s="43">
        <v>1</v>
      </c>
      <c r="AG131" s="69">
        <v>-23.593</v>
      </c>
      <c r="AH131" s="43">
        <v>59.731999999999999</v>
      </c>
      <c r="AI131" s="43">
        <v>-207.91800000000001</v>
      </c>
      <c r="AJ131" s="43" t="s">
        <v>1441</v>
      </c>
      <c r="AK131" s="43">
        <v>1</v>
      </c>
      <c r="AL131" s="51">
        <v>3</v>
      </c>
      <c r="AM131" s="69">
        <v>0</v>
      </c>
      <c r="AN131" s="43">
        <v>1</v>
      </c>
      <c r="AO131" s="43">
        <v>1</v>
      </c>
      <c r="AP131" s="69">
        <v>0</v>
      </c>
      <c r="AQ131" s="72" t="s">
        <v>1735</v>
      </c>
      <c r="AR131" s="69" t="s">
        <v>819</v>
      </c>
      <c r="AS131" s="43">
        <v>190</v>
      </c>
      <c r="AT131" s="69">
        <v>22.864000000000001</v>
      </c>
      <c r="AU131" s="69">
        <v>386.22</v>
      </c>
      <c r="AV131" s="69">
        <v>-194.19</v>
      </c>
      <c r="AW131" s="43">
        <v>76.553399999999996</v>
      </c>
      <c r="AX131" s="43">
        <v>9.98E-2</v>
      </c>
      <c r="AY131" s="69">
        <v>386.22</v>
      </c>
      <c r="AZ131" s="69">
        <v>-194.19</v>
      </c>
      <c r="BA131" s="43">
        <v>76.553399999999996</v>
      </c>
      <c r="BB131" s="43">
        <v>9.98E-2</v>
      </c>
      <c r="BC131" s="43">
        <v>1</v>
      </c>
      <c r="BD131" s="43">
        <v>1</v>
      </c>
      <c r="BE131" s="43">
        <v>0</v>
      </c>
      <c r="BF131" s="43">
        <v>-4.57</v>
      </c>
      <c r="BG131" s="43">
        <v>24.203800000000001</v>
      </c>
      <c r="BH131" s="43">
        <v>-4.57</v>
      </c>
      <c r="BI131" s="43">
        <v>6.0667999999999997</v>
      </c>
      <c r="BJ131" s="43">
        <v>1</v>
      </c>
      <c r="BK131" s="53">
        <v>0.124</v>
      </c>
      <c r="BL131" s="53">
        <v>161.19999999999999</v>
      </c>
      <c r="BM131" s="43">
        <v>2</v>
      </c>
      <c r="BN131" s="34" t="s">
        <v>89</v>
      </c>
      <c r="BO131" s="34" t="s">
        <v>89</v>
      </c>
      <c r="BP131" s="34" t="s">
        <v>89</v>
      </c>
      <c r="BQ131" s="34" t="s">
        <v>89</v>
      </c>
      <c r="BR131" s="34" t="s">
        <v>89</v>
      </c>
      <c r="BS131" s="34" t="s">
        <v>89</v>
      </c>
      <c r="BT131" s="34" t="s">
        <v>89</v>
      </c>
      <c r="BU131" s="34" t="s">
        <v>89</v>
      </c>
      <c r="BV131" s="34" t="s">
        <v>89</v>
      </c>
      <c r="BW131" s="34" t="s">
        <v>89</v>
      </c>
      <c r="BX131" s="34" t="s">
        <v>89</v>
      </c>
      <c r="BY131" s="34" t="s">
        <v>89</v>
      </c>
      <c r="BZ131" s="34" t="s">
        <v>89</v>
      </c>
      <c r="CA131" s="34" t="s">
        <v>89</v>
      </c>
      <c r="CB131" s="34" t="s">
        <v>89</v>
      </c>
      <c r="CC131" s="34" t="s">
        <v>89</v>
      </c>
      <c r="CD131" s="34" t="s">
        <v>89</v>
      </c>
      <c r="CE131" s="43">
        <v>5.1697836845980696</v>
      </c>
      <c r="CF131" s="43">
        <v>1</v>
      </c>
      <c r="CG131" s="43">
        <v>0</v>
      </c>
      <c r="CH131" s="43">
        <v>0</v>
      </c>
      <c r="CI131" s="43">
        <v>220</v>
      </c>
      <c r="CJ131" s="43">
        <v>-4.2910029628873403</v>
      </c>
      <c r="CK131" s="43">
        <v>-2.2389492116821299</v>
      </c>
      <c r="CL131" s="43">
        <v>0</v>
      </c>
      <c r="CM131" s="43">
        <v>22866</v>
      </c>
      <c r="CN131" s="43">
        <v>190</v>
      </c>
      <c r="CO131" s="43">
        <v>386.22</v>
      </c>
      <c r="CP131" s="43">
        <v>-194.19</v>
      </c>
      <c r="CQ131" s="43">
        <v>18.556000000000001</v>
      </c>
      <c r="CR131" s="43">
        <v>-1443.2206488508</v>
      </c>
      <c r="CS131" s="43">
        <v>0</v>
      </c>
      <c r="CT131" s="43">
        <v>0</v>
      </c>
      <c r="CU131" s="43">
        <v>1</v>
      </c>
      <c r="CV131" s="46" t="s">
        <v>89</v>
      </c>
      <c r="CW131" s="34"/>
      <c r="CX131" s="35"/>
    </row>
    <row r="132" spans="1:102" ht="15" customHeight="1" x14ac:dyDescent="0.25">
      <c r="A132" s="33">
        <v>129</v>
      </c>
      <c r="B132" s="43" t="s">
        <v>1839</v>
      </c>
      <c r="C132" s="43">
        <v>0.75439999999999996</v>
      </c>
      <c r="D132" s="43">
        <v>0.83299999999999996</v>
      </c>
      <c r="E132" s="43" t="s">
        <v>268</v>
      </c>
      <c r="F132" s="43" t="s">
        <v>237</v>
      </c>
      <c r="G132" s="43" t="s">
        <v>1067</v>
      </c>
      <c r="H132" s="43" t="s">
        <v>1068</v>
      </c>
      <c r="I132" s="43" t="s">
        <v>1069</v>
      </c>
      <c r="J132" s="43" t="s">
        <v>1070</v>
      </c>
      <c r="K132" s="43" t="s">
        <v>1071</v>
      </c>
      <c r="L132" s="43" t="s">
        <v>895</v>
      </c>
      <c r="M132" s="43" t="s">
        <v>840</v>
      </c>
      <c r="N132" s="43" t="s">
        <v>706</v>
      </c>
      <c r="O132" s="43" t="s">
        <v>683</v>
      </c>
      <c r="P132" s="43" t="s">
        <v>676</v>
      </c>
      <c r="Q132" s="43" t="s">
        <v>676</v>
      </c>
      <c r="R132" s="43" t="s">
        <v>191</v>
      </c>
      <c r="S132" s="43">
        <v>37.454999999999998</v>
      </c>
      <c r="T132" s="43">
        <v>-144.667</v>
      </c>
      <c r="U132" s="43">
        <v>4.6304999999999996</v>
      </c>
      <c r="V132" s="43">
        <v>-3.782</v>
      </c>
      <c r="W132" s="43">
        <v>0</v>
      </c>
      <c r="X132" s="43">
        <v>0</v>
      </c>
      <c r="Y132" s="43">
        <v>0.109</v>
      </c>
      <c r="Z132" s="43">
        <v>4.0000000000000001E-3</v>
      </c>
      <c r="AA132" s="43">
        <v>7980.1490000000003</v>
      </c>
      <c r="AB132" s="43">
        <v>0.85199999999999998</v>
      </c>
      <c r="AC132" s="43">
        <v>6489.6959999999999</v>
      </c>
      <c r="AD132" s="43">
        <v>0.75700000000000001</v>
      </c>
      <c r="AE132" s="43">
        <v>0.97299999999999998</v>
      </c>
      <c r="AF132" s="43">
        <v>0</v>
      </c>
      <c r="AG132" s="43">
        <v>21.577999999999999</v>
      </c>
      <c r="AH132" s="43">
        <v>1.6220000000000001</v>
      </c>
      <c r="AI132" s="43">
        <v>-198.286</v>
      </c>
      <c r="AJ132" s="43" t="s">
        <v>1442</v>
      </c>
      <c r="AK132" s="43">
        <v>0</v>
      </c>
      <c r="AL132" s="51">
        <v>4</v>
      </c>
      <c r="AM132" s="43">
        <v>0</v>
      </c>
      <c r="AN132" s="69">
        <v>1</v>
      </c>
      <c r="AO132" s="43">
        <v>0</v>
      </c>
      <c r="AP132" s="43">
        <v>0</v>
      </c>
      <c r="AQ132" s="68" t="s">
        <v>1773</v>
      </c>
      <c r="AR132" s="43" t="s">
        <v>842</v>
      </c>
      <c r="AS132" s="43">
        <v>3399</v>
      </c>
      <c r="AT132" s="43">
        <v>19.166</v>
      </c>
      <c r="AU132" s="69">
        <v>-627.17999999999995</v>
      </c>
      <c r="AV132" s="69">
        <v>386.22</v>
      </c>
      <c r="AW132" s="43">
        <v>50.153500000000001</v>
      </c>
      <c r="AX132" s="43">
        <v>0.31900000000000001</v>
      </c>
      <c r="AY132" s="69">
        <v>-627.17999999999995</v>
      </c>
      <c r="AZ132" s="69">
        <v>386.22</v>
      </c>
      <c r="BA132" s="43">
        <v>50.153500000000001</v>
      </c>
      <c r="BB132" s="43">
        <v>0.31900000000000001</v>
      </c>
      <c r="BC132" s="43">
        <v>0</v>
      </c>
      <c r="BD132" s="43">
        <v>0</v>
      </c>
      <c r="BE132" s="43">
        <v>0</v>
      </c>
      <c r="BF132" s="43">
        <v>-25.6</v>
      </c>
      <c r="BG132" s="43">
        <v>18.078399999999998</v>
      </c>
      <c r="BH132" s="43">
        <v>-25.6</v>
      </c>
      <c r="BI132" s="43">
        <v>7.0210999999999997</v>
      </c>
      <c r="BJ132" s="53">
        <v>0</v>
      </c>
      <c r="BK132" s="53">
        <v>0.125</v>
      </c>
      <c r="BL132" s="53">
        <v>162.4</v>
      </c>
      <c r="BM132" s="43">
        <v>2</v>
      </c>
      <c r="BN132" s="34" t="s">
        <v>89</v>
      </c>
      <c r="BO132" s="34" t="s">
        <v>89</v>
      </c>
      <c r="BP132" s="34" t="s">
        <v>89</v>
      </c>
      <c r="BQ132" s="34" t="s">
        <v>89</v>
      </c>
      <c r="BR132" s="34" t="s">
        <v>89</v>
      </c>
      <c r="BS132" s="34" t="s">
        <v>89</v>
      </c>
      <c r="BT132" s="34" t="s">
        <v>89</v>
      </c>
      <c r="BU132" s="34" t="s">
        <v>89</v>
      </c>
      <c r="BV132" s="34" t="s">
        <v>89</v>
      </c>
      <c r="BW132" s="34" t="s">
        <v>89</v>
      </c>
      <c r="BX132" s="34" t="s">
        <v>89</v>
      </c>
      <c r="BY132" s="34" t="s">
        <v>89</v>
      </c>
      <c r="BZ132" s="34" t="s">
        <v>89</v>
      </c>
      <c r="CA132" s="34" t="s">
        <v>89</v>
      </c>
      <c r="CB132" s="34" t="s">
        <v>89</v>
      </c>
      <c r="CC132" s="34" t="s">
        <v>89</v>
      </c>
      <c r="CD132" s="34" t="s">
        <v>89</v>
      </c>
      <c r="CE132" s="43">
        <v>1</v>
      </c>
      <c r="CF132" s="43">
        <v>1</v>
      </c>
      <c r="CG132" s="43">
        <v>0</v>
      </c>
      <c r="CH132" s="43">
        <v>0</v>
      </c>
      <c r="CI132" s="43">
        <v>-26.734999999999999</v>
      </c>
      <c r="CJ132" s="43">
        <v>-14.694000000000001</v>
      </c>
      <c r="CK132" s="43">
        <v>-7.6669999999999998</v>
      </c>
      <c r="CL132" s="43">
        <v>50820</v>
      </c>
      <c r="CM132" s="43">
        <v>34820</v>
      </c>
      <c r="CN132" s="43">
        <v>240</v>
      </c>
      <c r="CO132" s="43">
        <v>-627.17999999999995</v>
      </c>
      <c r="CP132" s="43">
        <v>386.22</v>
      </c>
      <c r="CQ132" s="43">
        <v>-627.17999999999995</v>
      </c>
      <c r="CR132" s="43">
        <v>386.22</v>
      </c>
      <c r="CS132" s="43">
        <v>0</v>
      </c>
      <c r="CT132" s="43">
        <v>1</v>
      </c>
      <c r="CU132" s="43">
        <v>1</v>
      </c>
      <c r="CV132" s="46" t="s">
        <v>89</v>
      </c>
      <c r="CW132" s="34"/>
      <c r="CX132" s="35"/>
    </row>
    <row r="133" spans="1:102" ht="15" customHeight="1" x14ac:dyDescent="0.25">
      <c r="A133" s="33">
        <v>130</v>
      </c>
      <c r="B133" s="43" t="s">
        <v>1072</v>
      </c>
      <c r="C133" s="43">
        <v>0.20399999999999999</v>
      </c>
      <c r="D133" s="43">
        <v>0.52100000000000002</v>
      </c>
      <c r="E133" s="43" t="s">
        <v>179</v>
      </c>
      <c r="F133" s="43" t="s">
        <v>555</v>
      </c>
      <c r="G133" s="43" t="s">
        <v>1073</v>
      </c>
      <c r="H133" s="43" t="s">
        <v>1074</v>
      </c>
      <c r="I133" s="43" t="s">
        <v>1075</v>
      </c>
      <c r="J133" s="43" t="s">
        <v>1076</v>
      </c>
      <c r="K133" s="43" t="s">
        <v>1077</v>
      </c>
      <c r="L133" s="43" t="s">
        <v>840</v>
      </c>
      <c r="M133" s="43" t="s">
        <v>841</v>
      </c>
      <c r="N133" s="43" t="s">
        <v>698</v>
      </c>
      <c r="O133" s="43" t="s">
        <v>676</v>
      </c>
      <c r="P133" s="43" t="s">
        <v>698</v>
      </c>
      <c r="Q133" s="43" t="s">
        <v>392</v>
      </c>
      <c r="R133" s="43" t="s">
        <v>405</v>
      </c>
      <c r="S133" s="43">
        <v>-76.876999999999995</v>
      </c>
      <c r="T133" s="43">
        <v>-41.575000000000003</v>
      </c>
      <c r="U133" s="43">
        <v>9.1905999999999999</v>
      </c>
      <c r="V133" s="43">
        <v>7.3650000000000002</v>
      </c>
      <c r="W133" s="43">
        <v>0</v>
      </c>
      <c r="X133" s="43">
        <v>1</v>
      </c>
      <c r="Y133" s="43">
        <v>0.107</v>
      </c>
      <c r="Z133" s="43">
        <v>0.10100000000000001</v>
      </c>
      <c r="AA133" s="43">
        <v>1293.5309999999999</v>
      </c>
      <c r="AB133" s="43">
        <v>0.34899999999999998</v>
      </c>
      <c r="AC133" s="43">
        <v>7361.1390000000001</v>
      </c>
      <c r="AD133" s="43">
        <v>0.15</v>
      </c>
      <c r="AE133" s="43">
        <v>0.99099999999999999</v>
      </c>
      <c r="AF133" s="43">
        <v>0</v>
      </c>
      <c r="AG133" s="43">
        <v>6.3140000000000001</v>
      </c>
      <c r="AH133" s="43">
        <v>-126.64100000000001</v>
      </c>
      <c r="AI133" s="43">
        <v>136.34100000000001</v>
      </c>
      <c r="AJ133" s="43" t="s">
        <v>1443</v>
      </c>
      <c r="AK133" s="43">
        <v>1</v>
      </c>
      <c r="AL133" s="43">
        <v>0</v>
      </c>
      <c r="AM133" s="51">
        <v>0</v>
      </c>
      <c r="AN133" s="43">
        <v>0</v>
      </c>
      <c r="AO133" s="43">
        <v>1</v>
      </c>
      <c r="AP133" s="69">
        <v>1</v>
      </c>
      <c r="AQ133" s="68" t="s">
        <v>1774</v>
      </c>
      <c r="AR133" s="43" t="s">
        <v>849</v>
      </c>
      <c r="AS133" s="43">
        <v>4458</v>
      </c>
      <c r="AT133" s="43">
        <v>16.420999999999999</v>
      </c>
      <c r="AU133" s="69">
        <v>-10.210000000000001</v>
      </c>
      <c r="AV133" s="69">
        <v>-784.13</v>
      </c>
      <c r="AW133" s="43">
        <v>51.3003</v>
      </c>
      <c r="AX133" s="43">
        <v>0.88170000000000004</v>
      </c>
      <c r="AY133" s="69">
        <v>-10.210000000000001</v>
      </c>
      <c r="AZ133" s="69">
        <v>-784.13</v>
      </c>
      <c r="BA133" s="43">
        <v>51.3003</v>
      </c>
      <c r="BB133" s="43">
        <v>0.88170000000000004</v>
      </c>
      <c r="BC133" s="43">
        <v>1</v>
      </c>
      <c r="BD133" s="43">
        <v>1</v>
      </c>
      <c r="BE133" s="43">
        <v>0</v>
      </c>
      <c r="BF133" s="43">
        <v>-10.5</v>
      </c>
      <c r="BG133" s="43">
        <v>14.7958</v>
      </c>
      <c r="BH133" s="43">
        <v>-10.5</v>
      </c>
      <c r="BI133" s="43">
        <v>15.2989</v>
      </c>
      <c r="BJ133" s="53">
        <v>1</v>
      </c>
      <c r="BK133" s="53">
        <v>0.126</v>
      </c>
      <c r="BL133" s="53">
        <v>163.6</v>
      </c>
      <c r="BM133" s="43">
        <v>2</v>
      </c>
      <c r="BN133" s="34" t="s">
        <v>89</v>
      </c>
      <c r="BO133" s="34" t="s">
        <v>89</v>
      </c>
      <c r="BP133" s="34" t="s">
        <v>89</v>
      </c>
      <c r="BQ133" s="34" t="s">
        <v>89</v>
      </c>
      <c r="BR133" s="34" t="s">
        <v>89</v>
      </c>
      <c r="BS133" s="34" t="s">
        <v>89</v>
      </c>
      <c r="BT133" s="34" t="s">
        <v>89</v>
      </c>
      <c r="BU133" s="34" t="s">
        <v>89</v>
      </c>
      <c r="BV133" s="34" t="s">
        <v>89</v>
      </c>
      <c r="BW133" s="34" t="s">
        <v>89</v>
      </c>
      <c r="BX133" s="34" t="s">
        <v>89</v>
      </c>
      <c r="BY133" s="34" t="s">
        <v>89</v>
      </c>
      <c r="BZ133" s="34" t="s">
        <v>89</v>
      </c>
      <c r="CA133" s="34" t="s">
        <v>89</v>
      </c>
      <c r="CB133" s="34" t="s">
        <v>89</v>
      </c>
      <c r="CC133" s="34" t="s">
        <v>89</v>
      </c>
      <c r="CD133" s="34" t="s">
        <v>89</v>
      </c>
      <c r="CE133" s="43">
        <v>-0.69876374311689604</v>
      </c>
      <c r="CF133" s="43">
        <v>-2.0783799835323098</v>
      </c>
      <c r="CG133" s="43">
        <v>0</v>
      </c>
      <c r="CH133" s="43">
        <v>0</v>
      </c>
      <c r="CI133" s="43">
        <v>53.262</v>
      </c>
      <c r="CJ133" s="43">
        <v>-1.2505181118268001</v>
      </c>
      <c r="CK133" s="43">
        <v>-4.7946042018078101</v>
      </c>
      <c r="CL133" s="43">
        <v>0</v>
      </c>
      <c r="CM133" s="43">
        <v>33385</v>
      </c>
      <c r="CN133" s="43">
        <v>4458</v>
      </c>
      <c r="CO133" s="43">
        <v>-10.210000000000001</v>
      </c>
      <c r="CP133" s="43">
        <v>-784.13</v>
      </c>
      <c r="CQ133" s="43">
        <v>5.1210000000000004</v>
      </c>
      <c r="CR133" s="43">
        <v>-35471.843078826299</v>
      </c>
      <c r="CS133" s="43">
        <v>0.51069137499999995</v>
      </c>
      <c r="CT133" s="43">
        <v>0</v>
      </c>
      <c r="CU133" s="43">
        <v>1</v>
      </c>
      <c r="CV133" s="46" t="s">
        <v>89</v>
      </c>
      <c r="CW133" s="34"/>
      <c r="CX133" s="35"/>
    </row>
    <row r="134" spans="1:102" ht="15" customHeight="1" x14ac:dyDescent="0.25">
      <c r="A134" s="33">
        <v>131</v>
      </c>
      <c r="B134" s="43" t="s">
        <v>1078</v>
      </c>
      <c r="C134" s="43">
        <v>0.68630000000000002</v>
      </c>
      <c r="D134" s="43">
        <v>0.68700000000000006</v>
      </c>
      <c r="E134" s="43" t="s">
        <v>237</v>
      </c>
      <c r="F134" s="43" t="s">
        <v>564</v>
      </c>
      <c r="G134" s="43" t="s">
        <v>1079</v>
      </c>
      <c r="H134" s="43" t="s">
        <v>1080</v>
      </c>
      <c r="I134" s="43" t="s">
        <v>1081</v>
      </c>
      <c r="J134" s="43" t="s">
        <v>1082</v>
      </c>
      <c r="K134" s="43" t="s">
        <v>1083</v>
      </c>
      <c r="L134" s="43" t="s">
        <v>848</v>
      </c>
      <c r="M134" s="43" t="s">
        <v>789</v>
      </c>
      <c r="N134" s="43" t="s">
        <v>707</v>
      </c>
      <c r="O134" s="43" t="s">
        <v>683</v>
      </c>
      <c r="P134" s="43" t="s">
        <v>707</v>
      </c>
      <c r="Q134" s="43" t="s">
        <v>403</v>
      </c>
      <c r="R134" s="43" t="s">
        <v>416</v>
      </c>
      <c r="S134" s="43">
        <v>191.369</v>
      </c>
      <c r="T134" s="43">
        <v>48.84</v>
      </c>
      <c r="U134" s="43">
        <v>17.5213</v>
      </c>
      <c r="V134" s="43">
        <v>0.85199999999999998</v>
      </c>
      <c r="W134" s="43">
        <v>1</v>
      </c>
      <c r="X134" s="43">
        <v>1</v>
      </c>
      <c r="Y134" s="43">
        <v>4.1000000000000002E-2</v>
      </c>
      <c r="Z134" s="43">
        <v>2E-3</v>
      </c>
      <c r="AA134" s="43">
        <v>6616.0240000000003</v>
      </c>
      <c r="AB134" s="43">
        <v>0.91100000000000003</v>
      </c>
      <c r="AC134" s="43">
        <v>5777.7070000000003</v>
      </c>
      <c r="AD134" s="43">
        <v>0.51300000000000001</v>
      </c>
      <c r="AE134" s="43">
        <v>0.97099999999999997</v>
      </c>
      <c r="AF134" s="43">
        <v>1</v>
      </c>
      <c r="AG134" s="43">
        <v>16.568999999999999</v>
      </c>
      <c r="AH134" s="43">
        <v>-34.619</v>
      </c>
      <c r="AI134" s="43">
        <v>59.731999999999999</v>
      </c>
      <c r="AJ134" s="43" t="s">
        <v>1444</v>
      </c>
      <c r="AK134" s="43">
        <v>0</v>
      </c>
      <c r="AL134" s="43">
        <v>2</v>
      </c>
      <c r="AM134" s="51">
        <v>1</v>
      </c>
      <c r="AN134" s="43">
        <v>1</v>
      </c>
      <c r="AO134" s="43">
        <v>1</v>
      </c>
      <c r="AP134" s="69">
        <v>0</v>
      </c>
      <c r="AQ134" s="68" t="s">
        <v>1733</v>
      </c>
      <c r="AR134" s="43" t="s">
        <v>856</v>
      </c>
      <c r="AS134" s="43">
        <v>1441</v>
      </c>
      <c r="AT134" s="43">
        <v>18.163</v>
      </c>
      <c r="AU134" s="69">
        <v>570.70000000000005</v>
      </c>
      <c r="AV134" s="69">
        <v>947.74</v>
      </c>
      <c r="AW134" s="43">
        <v>32.485900000000001</v>
      </c>
      <c r="AX134" s="43">
        <v>0.1754</v>
      </c>
      <c r="AY134" s="69">
        <v>570.70000000000005</v>
      </c>
      <c r="AZ134" s="69">
        <v>947.74</v>
      </c>
      <c r="BA134" s="43">
        <v>32.485900000000001</v>
      </c>
      <c r="BB134" s="43">
        <v>0.1754</v>
      </c>
      <c r="BC134" s="43">
        <v>0</v>
      </c>
      <c r="BD134" s="43">
        <v>0</v>
      </c>
      <c r="BE134" s="43">
        <v>0</v>
      </c>
      <c r="BF134" s="43">
        <v>-11.6</v>
      </c>
      <c r="BG134" s="43">
        <v>6.4162999999999997</v>
      </c>
      <c r="BH134" s="43">
        <v>-2.4</v>
      </c>
      <c r="BI134" s="43">
        <v>28.8643</v>
      </c>
      <c r="BJ134" s="53">
        <v>0</v>
      </c>
      <c r="BK134" s="53">
        <v>0.127</v>
      </c>
      <c r="BL134" s="53">
        <v>164.8</v>
      </c>
      <c r="BM134" s="43">
        <v>2</v>
      </c>
      <c r="BN134" s="34" t="s">
        <v>89</v>
      </c>
      <c r="BO134" s="34" t="s">
        <v>89</v>
      </c>
      <c r="BP134" s="34" t="s">
        <v>89</v>
      </c>
      <c r="BQ134" s="34" t="s">
        <v>89</v>
      </c>
      <c r="BR134" s="34" t="s">
        <v>89</v>
      </c>
      <c r="BS134" s="34" t="s">
        <v>89</v>
      </c>
      <c r="BT134" s="34" t="s">
        <v>89</v>
      </c>
      <c r="BU134" s="34" t="s">
        <v>89</v>
      </c>
      <c r="BV134" s="34" t="s">
        <v>89</v>
      </c>
      <c r="BW134" s="34" t="s">
        <v>89</v>
      </c>
      <c r="BX134" s="34" t="s">
        <v>89</v>
      </c>
      <c r="BY134" s="34" t="s">
        <v>89</v>
      </c>
      <c r="BZ134" s="34" t="s">
        <v>89</v>
      </c>
      <c r="CA134" s="34" t="s">
        <v>89</v>
      </c>
      <c r="CB134" s="34" t="s">
        <v>89</v>
      </c>
      <c r="CC134" s="34" t="s">
        <v>89</v>
      </c>
      <c r="CD134" s="34" t="s">
        <v>89</v>
      </c>
      <c r="CE134" s="43">
        <v>-3.2050641883092901</v>
      </c>
      <c r="CF134" s="43">
        <v>1</v>
      </c>
      <c r="CG134" s="43">
        <v>-11.6</v>
      </c>
      <c r="CH134" s="43">
        <v>-2.4</v>
      </c>
      <c r="CI134" s="43">
        <v>-220</v>
      </c>
      <c r="CJ134" s="43">
        <v>-18.048455306239401</v>
      </c>
      <c r="CK134" s="43">
        <v>10.1218932875743</v>
      </c>
      <c r="CL134" s="43">
        <v>63635</v>
      </c>
      <c r="CM134" s="43">
        <v>4010</v>
      </c>
      <c r="CN134" s="43">
        <v>1636</v>
      </c>
      <c r="CO134" s="43">
        <v>570.70000000000005</v>
      </c>
      <c r="CP134" s="43">
        <v>947.74</v>
      </c>
      <c r="CQ134" s="43">
        <v>570.70000000000005</v>
      </c>
      <c r="CR134" s="43">
        <v>947.74</v>
      </c>
      <c r="CS134" s="43">
        <v>8.3997000000000002E-2</v>
      </c>
      <c r="CT134" s="43">
        <v>0</v>
      </c>
      <c r="CU134" s="43">
        <v>1</v>
      </c>
      <c r="CV134" s="46" t="s">
        <v>89</v>
      </c>
      <c r="CW134" s="34"/>
      <c r="CX134" s="35"/>
    </row>
    <row r="135" spans="1:102" ht="15" customHeight="1" x14ac:dyDescent="0.25">
      <c r="A135" s="33">
        <v>132</v>
      </c>
      <c r="B135" s="43" t="s">
        <v>1084</v>
      </c>
      <c r="C135" s="43">
        <v>0.35589999999999999</v>
      </c>
      <c r="D135" s="43">
        <v>0.14299999999999999</v>
      </c>
      <c r="E135" s="43" t="s">
        <v>253</v>
      </c>
      <c r="F135" s="43" t="s">
        <v>573</v>
      </c>
      <c r="G135" s="43" t="s">
        <v>1085</v>
      </c>
      <c r="H135" s="43" t="s">
        <v>1086</v>
      </c>
      <c r="I135" s="43" t="s">
        <v>1087</v>
      </c>
      <c r="J135" s="43" t="s">
        <v>1088</v>
      </c>
      <c r="K135" s="43" t="s">
        <v>1089</v>
      </c>
      <c r="L135" s="43" t="s">
        <v>855</v>
      </c>
      <c r="M135" s="43" t="s">
        <v>796</v>
      </c>
      <c r="N135" s="43" t="s">
        <v>715</v>
      </c>
      <c r="O135" s="43" t="s">
        <v>690</v>
      </c>
      <c r="P135" s="43" t="s">
        <v>767</v>
      </c>
      <c r="Q135" s="43" t="s">
        <v>339</v>
      </c>
      <c r="R135" s="43" t="s">
        <v>412</v>
      </c>
      <c r="S135" s="43">
        <v>-147.34299999999999</v>
      </c>
      <c r="T135" s="43">
        <v>107.702</v>
      </c>
      <c r="U135" s="43">
        <v>13.700699999999999</v>
      </c>
      <c r="V135" s="43">
        <v>1.579</v>
      </c>
      <c r="W135" s="43">
        <v>0</v>
      </c>
      <c r="X135" s="43">
        <v>0</v>
      </c>
      <c r="Y135" s="43">
        <v>0.19400000000000001</v>
      </c>
      <c r="Z135" s="43">
        <v>0.16900000000000001</v>
      </c>
      <c r="AA135" s="43">
        <v>5911.3230000000003</v>
      </c>
      <c r="AB135" s="43">
        <v>0.70199999999999996</v>
      </c>
      <c r="AC135" s="43">
        <v>2332.9360000000001</v>
      </c>
      <c r="AD135" s="43">
        <v>4.0000000000000001E-3</v>
      </c>
      <c r="AE135" s="43">
        <v>0.96299999999999997</v>
      </c>
      <c r="AF135" s="43">
        <v>1</v>
      </c>
      <c r="AG135" s="43">
        <v>4.7919999999999998</v>
      </c>
      <c r="AH135" s="43">
        <v>59.731999999999999</v>
      </c>
      <c r="AI135" s="43">
        <v>-207.91800000000001</v>
      </c>
      <c r="AJ135" s="43" t="s">
        <v>1441</v>
      </c>
      <c r="AK135" s="43">
        <v>1</v>
      </c>
      <c r="AL135" s="43">
        <v>1</v>
      </c>
      <c r="AM135" s="43">
        <v>0</v>
      </c>
      <c r="AN135" s="51">
        <v>0</v>
      </c>
      <c r="AO135" s="43">
        <v>0</v>
      </c>
      <c r="AP135" s="43">
        <v>0</v>
      </c>
      <c r="AQ135" s="68" t="s">
        <v>1775</v>
      </c>
      <c r="AR135" s="43" t="s">
        <v>797</v>
      </c>
      <c r="AS135" s="43">
        <v>3172</v>
      </c>
      <c r="AT135" s="43">
        <v>19.271000000000001</v>
      </c>
      <c r="AU135" s="69">
        <v>-38.799999999999997</v>
      </c>
      <c r="AV135" s="69">
        <v>269.39999999999998</v>
      </c>
      <c r="AW135" s="43">
        <v>79.192099999999996</v>
      </c>
      <c r="AX135" s="43">
        <v>0.76300000000000001</v>
      </c>
      <c r="AY135" s="69">
        <v>-38.799999999999997</v>
      </c>
      <c r="AZ135" s="69">
        <v>269.39999999999998</v>
      </c>
      <c r="BA135" s="43">
        <v>79.192099999999996</v>
      </c>
      <c r="BB135" s="43">
        <v>0.76300000000000001</v>
      </c>
      <c r="BC135" s="43">
        <v>1</v>
      </c>
      <c r="BD135" s="43">
        <v>1</v>
      </c>
      <c r="BE135" s="43">
        <v>0</v>
      </c>
      <c r="BF135" s="43">
        <v>-30.2</v>
      </c>
      <c r="BG135" s="43">
        <v>26.1372</v>
      </c>
      <c r="BH135" s="43">
        <v>-30.2</v>
      </c>
      <c r="BI135" s="43">
        <v>15.793200000000001</v>
      </c>
      <c r="BJ135" s="53">
        <v>1</v>
      </c>
      <c r="BK135" s="53">
        <v>0.128</v>
      </c>
      <c r="BL135" s="53">
        <v>166</v>
      </c>
      <c r="BM135" s="43">
        <v>2</v>
      </c>
      <c r="BN135" s="34" t="s">
        <v>89</v>
      </c>
      <c r="BO135" s="34" t="s">
        <v>89</v>
      </c>
      <c r="BP135" s="34" t="s">
        <v>89</v>
      </c>
      <c r="BQ135" s="34" t="s">
        <v>89</v>
      </c>
      <c r="BR135" s="34" t="s">
        <v>89</v>
      </c>
      <c r="BS135" s="34" t="s">
        <v>89</v>
      </c>
      <c r="BT135" s="34" t="s">
        <v>89</v>
      </c>
      <c r="BU135" s="34" t="s">
        <v>89</v>
      </c>
      <c r="BV135" s="34" t="s">
        <v>89</v>
      </c>
      <c r="BW135" s="34" t="s">
        <v>89</v>
      </c>
      <c r="BX135" s="34" t="s">
        <v>89</v>
      </c>
      <c r="BY135" s="34" t="s">
        <v>89</v>
      </c>
      <c r="BZ135" s="34" t="s">
        <v>89</v>
      </c>
      <c r="CA135" s="34" t="s">
        <v>89</v>
      </c>
      <c r="CB135" s="34" t="s">
        <v>89</v>
      </c>
      <c r="CC135" s="34" t="s">
        <v>89</v>
      </c>
      <c r="CD135" s="34" t="s">
        <v>89</v>
      </c>
      <c r="CE135" s="43">
        <v>-9.7936762497570801E-2</v>
      </c>
      <c r="CF135" s="43">
        <v>1</v>
      </c>
      <c r="CG135" s="43">
        <v>0</v>
      </c>
      <c r="CH135" s="43">
        <v>0</v>
      </c>
      <c r="CI135" s="43">
        <v>-168.64699999999999</v>
      </c>
      <c r="CJ135" s="43">
        <v>27.756804432148801</v>
      </c>
      <c r="CK135" s="43">
        <v>-10.9891499541797</v>
      </c>
      <c r="CL135" s="43">
        <v>0</v>
      </c>
      <c r="CM135" s="43">
        <v>28808</v>
      </c>
      <c r="CN135" s="43">
        <v>3172</v>
      </c>
      <c r="CO135" s="43">
        <v>-38.799999999999997</v>
      </c>
      <c r="CP135" s="43">
        <v>269.39999999999998</v>
      </c>
      <c r="CQ135" s="43">
        <v>18.556000000000001</v>
      </c>
      <c r="CR135" s="43">
        <v>16262.66420562</v>
      </c>
      <c r="CS135" s="43">
        <v>1</v>
      </c>
      <c r="CT135" s="43">
        <v>0.29561700000000002</v>
      </c>
      <c r="CU135" s="43">
        <v>1</v>
      </c>
      <c r="CV135" s="46" t="s">
        <v>89</v>
      </c>
      <c r="CW135" s="34"/>
      <c r="CX135" s="35"/>
    </row>
    <row r="136" spans="1:102" ht="15" customHeight="1" x14ac:dyDescent="0.25">
      <c r="A136" s="33">
        <v>133</v>
      </c>
      <c r="B136" s="43" t="s">
        <v>1090</v>
      </c>
      <c r="C136" s="43">
        <v>0.11650000000000001</v>
      </c>
      <c r="D136" s="43">
        <v>9.9000000000000005E-2</v>
      </c>
      <c r="E136" s="43" t="s">
        <v>216</v>
      </c>
      <c r="F136" s="43" t="s">
        <v>203</v>
      </c>
      <c r="G136" s="43" t="s">
        <v>1091</v>
      </c>
      <c r="H136" s="43" t="s">
        <v>1092</v>
      </c>
      <c r="I136" s="43" t="s">
        <v>1093</v>
      </c>
      <c r="J136" s="43" t="s">
        <v>1094</v>
      </c>
      <c r="K136" s="43" t="s">
        <v>1095</v>
      </c>
      <c r="L136" s="43" t="s">
        <v>861</v>
      </c>
      <c r="M136" s="43" t="s">
        <v>802</v>
      </c>
      <c r="N136" s="43" t="s">
        <v>724</v>
      </c>
      <c r="O136" s="43" t="s">
        <v>698</v>
      </c>
      <c r="P136" s="43" t="s">
        <v>776</v>
      </c>
      <c r="Q136" s="43" t="s">
        <v>349</v>
      </c>
      <c r="R136" s="43" t="s">
        <v>311</v>
      </c>
      <c r="S136" s="43">
        <v>6.1890000000000001</v>
      </c>
      <c r="T136" s="43">
        <v>5.7240000000000002</v>
      </c>
      <c r="U136" s="43">
        <v>26.411899999999999</v>
      </c>
      <c r="V136" s="43">
        <v>-8.5660000000000007</v>
      </c>
      <c r="W136" s="43">
        <v>0</v>
      </c>
      <c r="X136" s="43">
        <v>0</v>
      </c>
      <c r="Y136" s="43">
        <v>0.13200000000000001</v>
      </c>
      <c r="Z136" s="43">
        <v>0.13300000000000001</v>
      </c>
      <c r="AA136" s="43">
        <v>7083.2719999999999</v>
      </c>
      <c r="AB136" s="43">
        <v>0.66200000000000003</v>
      </c>
      <c r="AC136" s="43">
        <v>947.89</v>
      </c>
      <c r="AD136" s="43">
        <v>0.48099999999999998</v>
      </c>
      <c r="AE136" s="43">
        <v>0.98799999999999999</v>
      </c>
      <c r="AF136" s="43">
        <v>0</v>
      </c>
      <c r="AG136" s="43">
        <v>-6.1189999999999998</v>
      </c>
      <c r="AH136" s="43">
        <v>-126.64100000000001</v>
      </c>
      <c r="AI136" s="43">
        <v>136.34100000000001</v>
      </c>
      <c r="AJ136" s="43" t="s">
        <v>1443</v>
      </c>
      <c r="AK136" s="43">
        <v>1</v>
      </c>
      <c r="AL136" s="43">
        <v>0</v>
      </c>
      <c r="AM136" s="43">
        <v>0</v>
      </c>
      <c r="AN136" s="51">
        <v>1</v>
      </c>
      <c r="AO136" s="43">
        <v>0</v>
      </c>
      <c r="AP136" s="69">
        <v>0</v>
      </c>
      <c r="AQ136" s="68" t="s">
        <v>1734</v>
      </c>
      <c r="AR136" s="43" t="s">
        <v>803</v>
      </c>
      <c r="AS136" s="43">
        <v>479</v>
      </c>
      <c r="AT136" s="43">
        <v>19.466999999999999</v>
      </c>
      <c r="AU136" s="69">
        <v>-194.19</v>
      </c>
      <c r="AV136" s="69">
        <v>-340.13</v>
      </c>
      <c r="AW136" s="43">
        <v>3.2688999999999999</v>
      </c>
      <c r="AX136" s="43">
        <v>0.28220000000000001</v>
      </c>
      <c r="AY136" s="69">
        <v>-194.19</v>
      </c>
      <c r="AZ136" s="69">
        <v>-340.13</v>
      </c>
      <c r="BA136" s="43">
        <v>3.2688999999999999</v>
      </c>
      <c r="BB136" s="43">
        <v>0.28220000000000001</v>
      </c>
      <c r="BC136" s="43">
        <v>1</v>
      </c>
      <c r="BD136" s="43">
        <v>1</v>
      </c>
      <c r="BE136" s="43">
        <v>0</v>
      </c>
      <c r="BF136" s="43">
        <v>-9.65</v>
      </c>
      <c r="BG136" s="43">
        <v>29.352799999999998</v>
      </c>
      <c r="BH136" s="43">
        <v>-9.65</v>
      </c>
      <c r="BI136" s="43">
        <v>12.909599999999999</v>
      </c>
      <c r="BJ136" s="43">
        <v>0</v>
      </c>
      <c r="BK136" s="53">
        <v>0.129</v>
      </c>
      <c r="BL136" s="53">
        <v>167.2</v>
      </c>
      <c r="BM136" s="43">
        <v>2</v>
      </c>
      <c r="BN136" s="34" t="s">
        <v>89</v>
      </c>
      <c r="BO136" s="34" t="s">
        <v>89</v>
      </c>
      <c r="BP136" s="34" t="s">
        <v>89</v>
      </c>
      <c r="BQ136" s="34" t="s">
        <v>89</v>
      </c>
      <c r="BR136" s="34" t="s">
        <v>89</v>
      </c>
      <c r="BS136" s="34" t="s">
        <v>89</v>
      </c>
      <c r="BT136" s="34" t="s">
        <v>89</v>
      </c>
      <c r="BU136" s="34" t="s">
        <v>89</v>
      </c>
      <c r="BV136" s="34" t="s">
        <v>89</v>
      </c>
      <c r="BW136" s="34" t="s">
        <v>89</v>
      </c>
      <c r="BX136" s="34" t="s">
        <v>89</v>
      </c>
      <c r="BY136" s="34" t="s">
        <v>89</v>
      </c>
      <c r="BZ136" s="34" t="s">
        <v>89</v>
      </c>
      <c r="CA136" s="34" t="s">
        <v>89</v>
      </c>
      <c r="CB136" s="34" t="s">
        <v>89</v>
      </c>
      <c r="CC136" s="34" t="s">
        <v>89</v>
      </c>
      <c r="CD136" s="34" t="s">
        <v>89</v>
      </c>
      <c r="CE136" s="43">
        <v>0.938034054558188</v>
      </c>
      <c r="CF136" s="43">
        <v>-2.35082057733716</v>
      </c>
      <c r="CG136" s="43">
        <v>0</v>
      </c>
      <c r="CH136" s="43">
        <v>0</v>
      </c>
      <c r="CI136" s="43">
        <v>19.673999999999999</v>
      </c>
      <c r="CJ136" s="43">
        <v>-2.4695993379814198</v>
      </c>
      <c r="CK136" s="43">
        <v>-4.2783967920053598</v>
      </c>
      <c r="CL136" s="43">
        <v>0</v>
      </c>
      <c r="CM136" s="43">
        <v>3723</v>
      </c>
      <c r="CN136" s="43">
        <v>479</v>
      </c>
      <c r="CO136" s="43">
        <v>-194.19</v>
      </c>
      <c r="CP136" s="43">
        <v>-340.13</v>
      </c>
      <c r="CQ136" s="43">
        <v>5.1210000000000004</v>
      </c>
      <c r="CR136" s="43">
        <v>-367.11961186539997</v>
      </c>
      <c r="CS136" s="43">
        <v>0</v>
      </c>
      <c r="CT136" s="43">
        <v>0.59948625</v>
      </c>
      <c r="CU136" s="43">
        <v>1</v>
      </c>
      <c r="CV136" s="46" t="s">
        <v>89</v>
      </c>
      <c r="CW136" s="34"/>
      <c r="CX136" s="35"/>
    </row>
    <row r="137" spans="1:102" ht="15" customHeight="1" x14ac:dyDescent="0.25">
      <c r="A137" s="33">
        <v>134</v>
      </c>
      <c r="B137" s="43" t="s">
        <v>1096</v>
      </c>
      <c r="C137" s="43">
        <v>0.5917</v>
      </c>
      <c r="D137" s="43">
        <v>4.7E-2</v>
      </c>
      <c r="E137" s="43" t="s">
        <v>268</v>
      </c>
      <c r="F137" s="43" t="s">
        <v>165</v>
      </c>
      <c r="G137" s="43" t="s">
        <v>1097</v>
      </c>
      <c r="H137" s="43" t="s">
        <v>1098</v>
      </c>
      <c r="I137" s="43" t="s">
        <v>1099</v>
      </c>
      <c r="J137" s="43" t="s">
        <v>1100</v>
      </c>
      <c r="K137" s="43" t="s">
        <v>1101</v>
      </c>
      <c r="L137" s="43" t="s">
        <v>867</v>
      </c>
      <c r="M137" s="43" t="s">
        <v>809</v>
      </c>
      <c r="N137" s="43" t="s">
        <v>733</v>
      </c>
      <c r="O137" s="43" t="s">
        <v>707</v>
      </c>
      <c r="P137" s="43" t="s">
        <v>662</v>
      </c>
      <c r="Q137" s="43" t="s">
        <v>357</v>
      </c>
      <c r="R137" s="43" t="s">
        <v>202</v>
      </c>
      <c r="S137" s="43">
        <v>-105.246</v>
      </c>
      <c r="T137" s="43">
        <v>59.304000000000002</v>
      </c>
      <c r="U137" s="43">
        <v>8.1427999999999994</v>
      </c>
      <c r="V137" s="43">
        <v>7.601</v>
      </c>
      <c r="W137" s="43">
        <v>1</v>
      </c>
      <c r="X137" s="43">
        <v>1</v>
      </c>
      <c r="Y137" s="43">
        <v>0.158</v>
      </c>
      <c r="Z137" s="43">
        <v>3.9E-2</v>
      </c>
      <c r="AA137" s="43">
        <v>2409.9459999999999</v>
      </c>
      <c r="AB137" s="43">
        <v>0.85099999999999998</v>
      </c>
      <c r="AC137" s="43">
        <v>4854.7060000000001</v>
      </c>
      <c r="AD137" s="43">
        <v>0.46600000000000003</v>
      </c>
      <c r="AE137" s="43">
        <v>0.95499999999999996</v>
      </c>
      <c r="AF137" s="43">
        <v>1</v>
      </c>
      <c r="AG137" s="43">
        <v>20.745000000000001</v>
      </c>
      <c r="AH137" s="43">
        <v>-34.619</v>
      </c>
      <c r="AI137" s="43">
        <v>59.731999999999999</v>
      </c>
      <c r="AJ137" s="43" t="s">
        <v>1444</v>
      </c>
      <c r="AK137" s="43">
        <v>0</v>
      </c>
      <c r="AL137" s="43">
        <v>2</v>
      </c>
      <c r="AM137" s="43">
        <v>1</v>
      </c>
      <c r="AN137" s="43">
        <v>1</v>
      </c>
      <c r="AO137" s="51">
        <v>0</v>
      </c>
      <c r="AP137" s="69">
        <v>1</v>
      </c>
      <c r="AQ137" s="68" t="s">
        <v>1776</v>
      </c>
      <c r="AR137" s="43" t="s">
        <v>972</v>
      </c>
      <c r="AS137" s="43">
        <v>2036</v>
      </c>
      <c r="AT137" s="43">
        <v>23.780999999999999</v>
      </c>
      <c r="AU137" s="69">
        <v>-194.19</v>
      </c>
      <c r="AV137" s="69">
        <v>-784.13</v>
      </c>
      <c r="AW137" s="43">
        <v>12.265000000000001</v>
      </c>
      <c r="AX137" s="43">
        <v>0.36130000000000001</v>
      </c>
      <c r="AY137" s="69">
        <v>-194.19</v>
      </c>
      <c r="AZ137" s="69">
        <v>-784.13</v>
      </c>
      <c r="BA137" s="43">
        <v>12.265000000000001</v>
      </c>
      <c r="BB137" s="43">
        <v>0.36130000000000001</v>
      </c>
      <c r="BC137" s="43">
        <v>0</v>
      </c>
      <c r="BD137" s="43">
        <v>0</v>
      </c>
      <c r="BE137" s="43">
        <v>0</v>
      </c>
      <c r="BF137" s="43">
        <v>-22.41</v>
      </c>
      <c r="BG137" s="43">
        <v>24.738299999999999</v>
      </c>
      <c r="BH137" s="43">
        <v>-22.41</v>
      </c>
      <c r="BI137" s="43">
        <v>18.447600000000001</v>
      </c>
      <c r="BJ137" s="43">
        <v>1</v>
      </c>
      <c r="BK137" s="53">
        <v>0.13</v>
      </c>
      <c r="BL137" s="53">
        <v>168.4</v>
      </c>
      <c r="BM137" s="43">
        <v>2</v>
      </c>
      <c r="BN137" s="34" t="s">
        <v>89</v>
      </c>
      <c r="BO137" s="34" t="s">
        <v>89</v>
      </c>
      <c r="BP137" s="34" t="s">
        <v>89</v>
      </c>
      <c r="BQ137" s="34" t="s">
        <v>89</v>
      </c>
      <c r="BR137" s="34" t="s">
        <v>89</v>
      </c>
      <c r="BS137" s="34" t="s">
        <v>89</v>
      </c>
      <c r="BT137" s="34" t="s">
        <v>89</v>
      </c>
      <c r="BU137" s="34" t="s">
        <v>89</v>
      </c>
      <c r="BV137" s="34" t="s">
        <v>89</v>
      </c>
      <c r="BW137" s="34" t="s">
        <v>89</v>
      </c>
      <c r="BX137" s="34" t="s">
        <v>89</v>
      </c>
      <c r="BY137" s="34" t="s">
        <v>89</v>
      </c>
      <c r="BZ137" s="34" t="s">
        <v>89</v>
      </c>
      <c r="CA137" s="34" t="s">
        <v>89</v>
      </c>
      <c r="CB137" s="34" t="s">
        <v>89</v>
      </c>
      <c r="CC137" s="34" t="s">
        <v>89</v>
      </c>
      <c r="CD137" s="34" t="s">
        <v>89</v>
      </c>
      <c r="CE137" s="43">
        <v>-0.12625720694686501</v>
      </c>
      <c r="CF137" s="43">
        <v>1</v>
      </c>
      <c r="CG137" s="43">
        <v>24.738299999999999</v>
      </c>
      <c r="CH137" s="43">
        <v>-8.0265238221999997</v>
      </c>
      <c r="CI137" s="43">
        <v>121.64400000000001</v>
      </c>
      <c r="CJ137" s="43">
        <v>15.833361525225399</v>
      </c>
      <c r="CK137" s="43">
        <v>12.7870547950471</v>
      </c>
      <c r="CL137" s="43">
        <v>62586</v>
      </c>
      <c r="CM137" s="43">
        <v>46828</v>
      </c>
      <c r="CN137" s="43">
        <v>383</v>
      </c>
      <c r="CO137" s="43">
        <v>-194.19</v>
      </c>
      <c r="CP137" s="43">
        <v>-784.13</v>
      </c>
      <c r="CQ137" s="43">
        <v>-194.19</v>
      </c>
      <c r="CR137" s="43">
        <v>-784.13</v>
      </c>
      <c r="CS137" s="43">
        <v>0.54975675000000002</v>
      </c>
      <c r="CT137" s="43">
        <v>1</v>
      </c>
      <c r="CU137" s="43">
        <v>1</v>
      </c>
      <c r="CV137" s="46" t="s">
        <v>89</v>
      </c>
      <c r="CW137" s="34"/>
      <c r="CX137" s="35"/>
    </row>
    <row r="138" spans="1:102" ht="15" customHeight="1" x14ac:dyDescent="0.25">
      <c r="A138" s="33">
        <v>135</v>
      </c>
      <c r="B138" s="43" t="s">
        <v>1102</v>
      </c>
      <c r="C138" s="43">
        <v>6.4999999999999997E-3</v>
      </c>
      <c r="D138" s="43">
        <v>0.72499999999999998</v>
      </c>
      <c r="E138" s="43" t="s">
        <v>412</v>
      </c>
      <c r="F138" s="43" t="s">
        <v>179</v>
      </c>
      <c r="G138" s="43" t="s">
        <v>1103</v>
      </c>
      <c r="H138" s="43" t="s">
        <v>1104</v>
      </c>
      <c r="I138" s="43" t="s">
        <v>1105</v>
      </c>
      <c r="J138" s="43" t="s">
        <v>1106</v>
      </c>
      <c r="K138" s="43" t="s">
        <v>1107</v>
      </c>
      <c r="L138" s="43" t="s">
        <v>873</v>
      </c>
      <c r="M138" s="43" t="s">
        <v>817</v>
      </c>
      <c r="N138" s="43" t="s">
        <v>742</v>
      </c>
      <c r="O138" s="43" t="s">
        <v>767</v>
      </c>
      <c r="P138" s="43" t="s">
        <v>669</v>
      </c>
      <c r="Q138" s="43" t="s">
        <v>367</v>
      </c>
      <c r="R138" s="43" t="s">
        <v>236</v>
      </c>
      <c r="S138" s="43">
        <v>-213.02699999999999</v>
      </c>
      <c r="T138" s="43">
        <v>20.614999999999998</v>
      </c>
      <c r="U138" s="43">
        <v>9.3390000000000004</v>
      </c>
      <c r="V138" s="43">
        <v>14.244</v>
      </c>
      <c r="W138" s="43">
        <v>0</v>
      </c>
      <c r="X138" s="43">
        <v>0</v>
      </c>
      <c r="Y138" s="69">
        <v>0.113</v>
      </c>
      <c r="Z138" s="69">
        <v>0.187</v>
      </c>
      <c r="AA138" s="43">
        <v>6110.8270000000002</v>
      </c>
      <c r="AB138" s="43">
        <v>0.23699999999999999</v>
      </c>
      <c r="AC138" s="43">
        <v>7208.8450000000003</v>
      </c>
      <c r="AD138" s="43">
        <v>0.48099999999999998</v>
      </c>
      <c r="AE138" s="43">
        <v>0.98799999999999999</v>
      </c>
      <c r="AF138" s="43">
        <v>1</v>
      </c>
      <c r="AG138" s="69">
        <v>19.904</v>
      </c>
      <c r="AH138" s="43">
        <v>59.731999999999999</v>
      </c>
      <c r="AI138" s="43">
        <v>-207.91800000000001</v>
      </c>
      <c r="AJ138" s="43" t="s">
        <v>1441</v>
      </c>
      <c r="AK138" s="43">
        <v>1</v>
      </c>
      <c r="AL138" s="43">
        <v>1</v>
      </c>
      <c r="AM138" s="43">
        <v>0</v>
      </c>
      <c r="AN138" s="43">
        <v>0</v>
      </c>
      <c r="AO138" s="51">
        <v>1</v>
      </c>
      <c r="AP138" s="69">
        <v>0</v>
      </c>
      <c r="AQ138" s="72" t="s">
        <v>1735</v>
      </c>
      <c r="AR138" s="69" t="s">
        <v>819</v>
      </c>
      <c r="AS138" s="43">
        <v>1357</v>
      </c>
      <c r="AT138" s="69">
        <v>-19.904</v>
      </c>
      <c r="AU138" s="69">
        <v>20.7</v>
      </c>
      <c r="AV138" s="69">
        <v>386.22</v>
      </c>
      <c r="AW138" s="43">
        <v>66.336500000000001</v>
      </c>
      <c r="AX138" s="43">
        <v>0.64470000000000005</v>
      </c>
      <c r="AY138" s="69">
        <v>20.7</v>
      </c>
      <c r="AZ138" s="69">
        <v>386.22</v>
      </c>
      <c r="BA138" s="43">
        <v>66.336500000000001</v>
      </c>
      <c r="BB138" s="43">
        <v>0.64470000000000005</v>
      </c>
      <c r="BC138" s="43">
        <v>1</v>
      </c>
      <c r="BD138" s="43">
        <v>1</v>
      </c>
      <c r="BE138" s="43">
        <v>0</v>
      </c>
      <c r="BF138" s="43">
        <v>-8.69</v>
      </c>
      <c r="BG138" s="43">
        <v>11.4712</v>
      </c>
      <c r="BH138" s="43">
        <v>-8.69</v>
      </c>
      <c r="BI138" s="43">
        <v>19.290700000000001</v>
      </c>
      <c r="BJ138" s="43">
        <v>0</v>
      </c>
      <c r="BK138" s="53">
        <v>0.13100000000000001</v>
      </c>
      <c r="BL138" s="53">
        <v>169.6</v>
      </c>
      <c r="BM138" s="43">
        <v>2</v>
      </c>
      <c r="BN138" s="34" t="s">
        <v>89</v>
      </c>
      <c r="BO138" s="34" t="s">
        <v>89</v>
      </c>
      <c r="BP138" s="34" t="s">
        <v>89</v>
      </c>
      <c r="BQ138" s="34" t="s">
        <v>89</v>
      </c>
      <c r="BR138" s="34" t="s">
        <v>89</v>
      </c>
      <c r="BS138" s="34" t="s">
        <v>89</v>
      </c>
      <c r="BT138" s="34" t="s">
        <v>89</v>
      </c>
      <c r="BU138" s="34" t="s">
        <v>89</v>
      </c>
      <c r="BV138" s="34" t="s">
        <v>89</v>
      </c>
      <c r="BW138" s="34" t="s">
        <v>89</v>
      </c>
      <c r="BX138" s="34" t="s">
        <v>89</v>
      </c>
      <c r="BY138" s="34" t="s">
        <v>89</v>
      </c>
      <c r="BZ138" s="34" t="s">
        <v>89</v>
      </c>
      <c r="CA138" s="34" t="s">
        <v>89</v>
      </c>
      <c r="CB138" s="34" t="s">
        <v>89</v>
      </c>
      <c r="CC138" s="34" t="s">
        <v>89</v>
      </c>
      <c r="CD138" s="34" t="s">
        <v>89</v>
      </c>
      <c r="CE138" s="43">
        <v>1</v>
      </c>
      <c r="CF138" s="43">
        <v>1</v>
      </c>
      <c r="CG138" s="43">
        <v>0</v>
      </c>
      <c r="CH138" s="43">
        <v>0</v>
      </c>
      <c r="CI138" s="43">
        <v>87.165999999999997</v>
      </c>
      <c r="CJ138" s="43">
        <v>-4.5599999999999996</v>
      </c>
      <c r="CK138" s="43">
        <v>-8.6189999999999998</v>
      </c>
      <c r="CL138" s="43">
        <v>0</v>
      </c>
      <c r="CM138" s="43">
        <v>39481</v>
      </c>
      <c r="CN138" s="43">
        <v>1357</v>
      </c>
      <c r="CO138" s="43">
        <v>20.7</v>
      </c>
      <c r="CP138" s="43">
        <v>386.22</v>
      </c>
      <c r="CQ138" s="43">
        <v>18.556000000000001</v>
      </c>
      <c r="CR138" s="43">
        <v>16542.833752641</v>
      </c>
      <c r="CS138" s="43">
        <v>1</v>
      </c>
      <c r="CT138" s="43">
        <v>0</v>
      </c>
      <c r="CU138" s="43">
        <v>1</v>
      </c>
      <c r="CV138" s="46" t="s">
        <v>89</v>
      </c>
      <c r="CW138" s="34"/>
      <c r="CX138" s="35"/>
    </row>
    <row r="139" spans="1:102" ht="15" customHeight="1" x14ac:dyDescent="0.25">
      <c r="A139" s="33">
        <v>136</v>
      </c>
      <c r="B139" s="43" t="s">
        <v>100</v>
      </c>
      <c r="C139" s="43">
        <v>0.16750000000000001</v>
      </c>
      <c r="D139" s="43">
        <v>0.83299999999999996</v>
      </c>
      <c r="E139" s="43" t="s">
        <v>267</v>
      </c>
      <c r="F139" s="43" t="s">
        <v>216</v>
      </c>
      <c r="G139" s="43" t="s">
        <v>1108</v>
      </c>
      <c r="H139" s="43" t="s">
        <v>1109</v>
      </c>
      <c r="I139" s="43" t="s">
        <v>1110</v>
      </c>
      <c r="J139" s="43" t="s">
        <v>1111</v>
      </c>
      <c r="K139" s="69" t="s">
        <v>1112</v>
      </c>
      <c r="L139" s="43" t="s">
        <v>895</v>
      </c>
      <c r="M139" s="43" t="s">
        <v>840</v>
      </c>
      <c r="N139" s="43" t="s">
        <v>706</v>
      </c>
      <c r="O139" s="43" t="s">
        <v>683</v>
      </c>
      <c r="P139" s="43" t="s">
        <v>676</v>
      </c>
      <c r="Q139" s="43" t="s">
        <v>676</v>
      </c>
      <c r="R139" s="43" t="s">
        <v>191</v>
      </c>
      <c r="S139" s="43">
        <v>37.454999999999998</v>
      </c>
      <c r="T139" s="43">
        <v>-144.667</v>
      </c>
      <c r="U139" s="43">
        <v>6.7317999999999998</v>
      </c>
      <c r="V139" s="43">
        <v>-1.395</v>
      </c>
      <c r="W139" s="43">
        <v>0</v>
      </c>
      <c r="X139" s="43">
        <v>0</v>
      </c>
      <c r="Y139" s="43">
        <v>7.0999999999999994E-2</v>
      </c>
      <c r="Z139" s="43">
        <v>0.14599999999999999</v>
      </c>
      <c r="AA139" s="43">
        <v>5388.75</v>
      </c>
      <c r="AB139" s="43">
        <v>0.94399999999999995</v>
      </c>
      <c r="AC139" s="43">
        <v>3076.14</v>
      </c>
      <c r="AD139" s="43">
        <v>0.29499999999999998</v>
      </c>
      <c r="AE139" s="43">
        <v>0.97</v>
      </c>
      <c r="AF139" s="69">
        <v>0</v>
      </c>
      <c r="AG139" s="43">
        <v>-4.8650000000000002</v>
      </c>
      <c r="AH139" s="69">
        <v>136.34100000000001</v>
      </c>
      <c r="AI139" s="69">
        <v>50.061</v>
      </c>
      <c r="AJ139" s="69" t="s">
        <v>1440</v>
      </c>
      <c r="AK139" s="69">
        <v>0</v>
      </c>
      <c r="AL139" s="69">
        <v>2</v>
      </c>
      <c r="AM139" s="69">
        <v>1</v>
      </c>
      <c r="AN139" s="69">
        <v>0</v>
      </c>
      <c r="AO139" s="69">
        <v>1</v>
      </c>
      <c r="AP139" s="51">
        <v>0</v>
      </c>
      <c r="AQ139" s="68" t="s">
        <v>1735</v>
      </c>
      <c r="AR139" s="43" t="s">
        <v>819</v>
      </c>
      <c r="AS139" s="43">
        <v>826</v>
      </c>
      <c r="AT139" s="43">
        <v>-7.4169999999999998</v>
      </c>
      <c r="AU139" s="69">
        <v>-340.13</v>
      </c>
      <c r="AV139" s="69">
        <v>-627.17999999999995</v>
      </c>
      <c r="AW139" s="43">
        <v>71.040800000000004</v>
      </c>
      <c r="AX139" s="43">
        <v>0.20930000000000001</v>
      </c>
      <c r="AY139" s="69">
        <v>-340.13</v>
      </c>
      <c r="AZ139" s="69">
        <v>-627.17999999999995</v>
      </c>
      <c r="BA139" s="43">
        <v>71.040800000000004</v>
      </c>
      <c r="BB139" s="43">
        <v>0.20930000000000001</v>
      </c>
      <c r="BC139" s="69">
        <v>0</v>
      </c>
      <c r="BD139" s="69">
        <v>0</v>
      </c>
      <c r="BE139" s="43">
        <v>0</v>
      </c>
      <c r="BF139" s="43">
        <v>-4.57</v>
      </c>
      <c r="BG139" s="43">
        <v>13.253500000000001</v>
      </c>
      <c r="BH139" s="43">
        <v>-4.57</v>
      </c>
      <c r="BI139" s="43">
        <v>20.013999999999999</v>
      </c>
      <c r="BJ139" s="43">
        <v>1</v>
      </c>
      <c r="BK139" s="53">
        <v>0.13200000000000001</v>
      </c>
      <c r="BL139" s="53">
        <v>170.8</v>
      </c>
      <c r="BM139" s="43">
        <v>2</v>
      </c>
      <c r="BN139" s="34" t="s">
        <v>89</v>
      </c>
      <c r="BO139" s="34" t="s">
        <v>89</v>
      </c>
      <c r="BP139" s="34" t="s">
        <v>89</v>
      </c>
      <c r="BQ139" s="34" t="s">
        <v>89</v>
      </c>
      <c r="BR139" s="34" t="s">
        <v>89</v>
      </c>
      <c r="BS139" s="34" t="s">
        <v>89</v>
      </c>
      <c r="BT139" s="34" t="s">
        <v>89</v>
      </c>
      <c r="BU139" s="34" t="s">
        <v>89</v>
      </c>
      <c r="BV139" s="34" t="s">
        <v>89</v>
      </c>
      <c r="BW139" s="34" t="s">
        <v>89</v>
      </c>
      <c r="BX139" s="34" t="s">
        <v>89</v>
      </c>
      <c r="BY139" s="34" t="s">
        <v>89</v>
      </c>
      <c r="BZ139" s="34" t="s">
        <v>89</v>
      </c>
      <c r="CA139" s="34" t="s">
        <v>89</v>
      </c>
      <c r="CB139" s="34" t="s">
        <v>89</v>
      </c>
      <c r="CC139" s="34" t="s">
        <v>89</v>
      </c>
      <c r="CD139" s="34" t="s">
        <v>89</v>
      </c>
      <c r="CE139" s="43">
        <v>1.6571393300823201</v>
      </c>
      <c r="CF139" s="43">
        <v>2.1311642803431701</v>
      </c>
      <c r="CG139" s="43">
        <v>13.253500000000001</v>
      </c>
      <c r="CH139" s="43">
        <v>20.013999999999999</v>
      </c>
      <c r="CI139" s="43">
        <v>220</v>
      </c>
      <c r="CJ139" s="43">
        <v>-19.359234403452199</v>
      </c>
      <c r="CK139" s="43">
        <v>1.9696041229371499</v>
      </c>
      <c r="CL139" s="43">
        <v>63569</v>
      </c>
      <c r="CM139" s="43">
        <v>33456</v>
      </c>
      <c r="CN139" s="43">
        <v>676</v>
      </c>
      <c r="CO139" s="43">
        <v>-340.13</v>
      </c>
      <c r="CP139" s="43">
        <v>-627.17999999999995</v>
      </c>
      <c r="CQ139" s="43">
        <v>-340.13</v>
      </c>
      <c r="CR139" s="43">
        <v>-627.17999999999995</v>
      </c>
      <c r="CS139" s="43">
        <v>1</v>
      </c>
      <c r="CT139" s="43">
        <v>0</v>
      </c>
      <c r="CU139" s="43">
        <v>1</v>
      </c>
      <c r="CV139" s="46" t="s">
        <v>89</v>
      </c>
      <c r="CW139" s="34"/>
      <c r="CX139" s="35"/>
    </row>
    <row r="140" spans="1:102" ht="15" customHeight="1" x14ac:dyDescent="0.25">
      <c r="A140" s="33">
        <v>137</v>
      </c>
      <c r="B140" s="43" t="s">
        <v>101</v>
      </c>
      <c r="C140" s="43">
        <v>0.76390000000000002</v>
      </c>
      <c r="D140" s="43">
        <v>4.7E-2</v>
      </c>
      <c r="E140" s="43" t="s">
        <v>216</v>
      </c>
      <c r="F140" s="43" t="s">
        <v>179</v>
      </c>
      <c r="G140" s="43" t="s">
        <v>1113</v>
      </c>
      <c r="H140" s="43" t="s">
        <v>1114</v>
      </c>
      <c r="I140" s="43" t="s">
        <v>1115</v>
      </c>
      <c r="J140" s="43" t="s">
        <v>1116</v>
      </c>
      <c r="K140" s="43" t="s">
        <v>1117</v>
      </c>
      <c r="L140" s="43" t="s">
        <v>861</v>
      </c>
      <c r="M140" s="43" t="s">
        <v>802</v>
      </c>
      <c r="N140" s="43" t="s">
        <v>724</v>
      </c>
      <c r="O140" s="43" t="s">
        <v>698</v>
      </c>
      <c r="P140" s="43" t="s">
        <v>776</v>
      </c>
      <c r="Q140" s="43" t="s">
        <v>349</v>
      </c>
      <c r="R140" s="43" t="s">
        <v>311</v>
      </c>
      <c r="S140" s="43">
        <v>-105.246</v>
      </c>
      <c r="T140" s="43">
        <v>5.7240000000000002</v>
      </c>
      <c r="U140" s="43">
        <v>14.213100000000001</v>
      </c>
      <c r="V140" s="43">
        <v>-27.693000000000001</v>
      </c>
      <c r="W140" s="43">
        <v>1</v>
      </c>
      <c r="X140" s="43">
        <v>1</v>
      </c>
      <c r="Y140" s="43">
        <v>1.0999999999999999E-2</v>
      </c>
      <c r="Z140" s="43">
        <v>0.16</v>
      </c>
      <c r="AA140" s="43">
        <v>7174.6980000000003</v>
      </c>
      <c r="AB140" s="43">
        <v>0.26</v>
      </c>
      <c r="AC140" s="43">
        <v>1940.902</v>
      </c>
      <c r="AD140" s="43">
        <v>0.222</v>
      </c>
      <c r="AE140" s="43">
        <v>0.96799999999999997</v>
      </c>
      <c r="AF140" s="69">
        <v>1</v>
      </c>
      <c r="AG140" s="43">
        <v>14.16</v>
      </c>
      <c r="AH140" s="69">
        <v>59.731999999999999</v>
      </c>
      <c r="AI140" s="69">
        <v>-207.91800000000001</v>
      </c>
      <c r="AJ140" s="69" t="s">
        <v>1441</v>
      </c>
      <c r="AK140" s="69">
        <v>1</v>
      </c>
      <c r="AL140" s="69">
        <v>3</v>
      </c>
      <c r="AM140" s="69">
        <v>0</v>
      </c>
      <c r="AN140" s="69">
        <v>1</v>
      </c>
      <c r="AO140" s="69">
        <v>1</v>
      </c>
      <c r="AP140" s="51">
        <v>1</v>
      </c>
      <c r="AQ140" s="43" t="s">
        <v>1736</v>
      </c>
      <c r="AR140" s="43" t="s">
        <v>827</v>
      </c>
      <c r="AS140" s="43">
        <v>827</v>
      </c>
      <c r="AT140" s="43">
        <v>-17.399999999999999</v>
      </c>
      <c r="AU140" s="69">
        <v>22.24</v>
      </c>
      <c r="AV140" s="69">
        <v>-10.210000000000001</v>
      </c>
      <c r="AW140" s="43">
        <v>44.290900000000001</v>
      </c>
      <c r="AX140" s="43">
        <v>0.21099999999999999</v>
      </c>
      <c r="AY140" s="69">
        <v>22.24</v>
      </c>
      <c r="AZ140" s="69">
        <v>-10.210000000000001</v>
      </c>
      <c r="BA140" s="43">
        <v>44.290900000000001</v>
      </c>
      <c r="BB140" s="43">
        <v>0.21099999999999999</v>
      </c>
      <c r="BC140" s="69">
        <v>1</v>
      </c>
      <c r="BD140" s="69">
        <v>1</v>
      </c>
      <c r="BE140" s="43">
        <v>0</v>
      </c>
      <c r="BF140" s="43">
        <v>-25.6</v>
      </c>
      <c r="BG140" s="43">
        <v>19.711600000000001</v>
      </c>
      <c r="BH140" s="43">
        <v>-25.6</v>
      </c>
      <c r="BI140" s="43">
        <v>14.0097</v>
      </c>
      <c r="BJ140" s="43">
        <v>0</v>
      </c>
      <c r="BK140" s="53">
        <v>0.13300000000000001</v>
      </c>
      <c r="BL140" s="53">
        <v>172</v>
      </c>
      <c r="BM140" s="43">
        <v>2</v>
      </c>
      <c r="BN140" s="34" t="s">
        <v>89</v>
      </c>
      <c r="BO140" s="34" t="s">
        <v>89</v>
      </c>
      <c r="BP140" s="34" t="s">
        <v>89</v>
      </c>
      <c r="BQ140" s="34" t="s">
        <v>89</v>
      </c>
      <c r="BR140" s="34" t="s">
        <v>89</v>
      </c>
      <c r="BS140" s="34" t="s">
        <v>89</v>
      </c>
      <c r="BT140" s="34" t="s">
        <v>89</v>
      </c>
      <c r="BU140" s="34" t="s">
        <v>89</v>
      </c>
      <c r="BV140" s="34" t="s">
        <v>89</v>
      </c>
      <c r="BW140" s="34" t="s">
        <v>89</v>
      </c>
      <c r="BX140" s="34" t="s">
        <v>89</v>
      </c>
      <c r="BY140" s="34" t="s">
        <v>89</v>
      </c>
      <c r="BZ140" s="34" t="s">
        <v>89</v>
      </c>
      <c r="CA140" s="34" t="s">
        <v>89</v>
      </c>
      <c r="CB140" s="34" t="s">
        <v>89</v>
      </c>
      <c r="CC140" s="34" t="s">
        <v>89</v>
      </c>
      <c r="CD140" s="34" t="s">
        <v>89</v>
      </c>
      <c r="CE140" s="43">
        <v>-1.64131918838169</v>
      </c>
      <c r="CF140" s="43">
        <v>1</v>
      </c>
      <c r="CG140" s="43">
        <v>0</v>
      </c>
      <c r="CH140" s="43">
        <v>0</v>
      </c>
      <c r="CI140" s="43">
        <v>131.10900000000001</v>
      </c>
      <c r="CJ140" s="43">
        <v>-2.4196074485486001</v>
      </c>
      <c r="CK140" s="43">
        <v>-4.1917895694951302</v>
      </c>
      <c r="CL140" s="43">
        <v>0</v>
      </c>
      <c r="CM140" s="43">
        <v>62948</v>
      </c>
      <c r="CN140" s="43">
        <v>827</v>
      </c>
      <c r="CO140" s="43">
        <v>22.24</v>
      </c>
      <c r="CP140" s="43">
        <v>-10.210000000000001</v>
      </c>
      <c r="CQ140" s="43">
        <v>18.556000000000001</v>
      </c>
      <c r="CR140" s="43">
        <v>-86.808372778999995</v>
      </c>
      <c r="CS140" s="43">
        <v>0</v>
      </c>
      <c r="CT140" s="43">
        <v>0</v>
      </c>
      <c r="CU140" s="43">
        <v>1</v>
      </c>
      <c r="CV140" s="46" t="s">
        <v>89</v>
      </c>
      <c r="CW140" s="34"/>
      <c r="CX140" s="35"/>
    </row>
    <row r="141" spans="1:102" ht="15" customHeight="1" x14ac:dyDescent="0.25">
      <c r="A141" s="33">
        <v>138</v>
      </c>
      <c r="B141" s="43" t="s">
        <v>1118</v>
      </c>
      <c r="C141" s="43">
        <v>0.89200000000000002</v>
      </c>
      <c r="D141" s="43">
        <v>0.72499999999999998</v>
      </c>
      <c r="E141" s="43" t="s">
        <v>268</v>
      </c>
      <c r="F141" s="43" t="s">
        <v>237</v>
      </c>
      <c r="G141" s="43" t="s">
        <v>1119</v>
      </c>
      <c r="H141" s="43" t="s">
        <v>1120</v>
      </c>
      <c r="I141" s="43" t="s">
        <v>1121</v>
      </c>
      <c r="J141" s="43" t="s">
        <v>1122</v>
      </c>
      <c r="K141" s="43" t="s">
        <v>1123</v>
      </c>
      <c r="L141" s="43" t="s">
        <v>867</v>
      </c>
      <c r="M141" s="43" t="s">
        <v>809</v>
      </c>
      <c r="N141" s="43" t="s">
        <v>733</v>
      </c>
      <c r="O141" s="43" t="s">
        <v>707</v>
      </c>
      <c r="P141" s="43" t="s">
        <v>662</v>
      </c>
      <c r="Q141" s="43" t="s">
        <v>357</v>
      </c>
      <c r="R141" s="43" t="s">
        <v>202</v>
      </c>
      <c r="S141" s="43">
        <v>-213.02699999999999</v>
      </c>
      <c r="T141" s="43">
        <v>59.304000000000002</v>
      </c>
      <c r="U141" s="43">
        <v>17.011600000000001</v>
      </c>
      <c r="V141" s="43">
        <v>20.065999999999999</v>
      </c>
      <c r="W141" s="43">
        <v>0</v>
      </c>
      <c r="X141" s="43">
        <v>1</v>
      </c>
      <c r="Y141" s="43">
        <v>6.9000000000000006E-2</v>
      </c>
      <c r="Z141" s="43">
        <v>0.16</v>
      </c>
      <c r="AA141" s="43">
        <v>3789.1860000000001</v>
      </c>
      <c r="AB141" s="43">
        <v>0.185</v>
      </c>
      <c r="AC141" s="43">
        <v>3865.9870000000001</v>
      </c>
      <c r="AD141" s="43">
        <v>0.73799999999999999</v>
      </c>
      <c r="AE141" s="43">
        <v>0.97499999999999998</v>
      </c>
      <c r="AF141" s="69">
        <v>0</v>
      </c>
      <c r="AG141" s="43">
        <v>7.0270000000000001</v>
      </c>
      <c r="AH141" s="69">
        <v>1.6220000000000001</v>
      </c>
      <c r="AI141" s="69">
        <v>-198.286</v>
      </c>
      <c r="AJ141" s="69" t="s">
        <v>1442</v>
      </c>
      <c r="AK141" s="69">
        <v>0</v>
      </c>
      <c r="AL141" s="69">
        <v>4</v>
      </c>
      <c r="AM141" s="69">
        <v>0</v>
      </c>
      <c r="AN141" s="69">
        <v>1</v>
      </c>
      <c r="AO141" s="69">
        <v>0</v>
      </c>
      <c r="AP141" s="69">
        <v>0</v>
      </c>
      <c r="AQ141" s="51" t="s">
        <v>98</v>
      </c>
      <c r="AR141" s="43" t="s">
        <v>835</v>
      </c>
      <c r="AS141" s="43">
        <v>4450</v>
      </c>
      <c r="AT141" s="43">
        <v>-15.471</v>
      </c>
      <c r="AU141" s="69">
        <v>-43.17</v>
      </c>
      <c r="AV141" s="69">
        <v>570.70000000000005</v>
      </c>
      <c r="AW141" s="43">
        <v>79.918700000000001</v>
      </c>
      <c r="AX141" s="43">
        <v>0.88249999999999995</v>
      </c>
      <c r="AY141" s="69">
        <v>-43.17</v>
      </c>
      <c r="AZ141" s="69">
        <v>570.70000000000005</v>
      </c>
      <c r="BA141" s="43">
        <v>79.918700000000001</v>
      </c>
      <c r="BB141" s="43">
        <v>0.88249999999999995</v>
      </c>
      <c r="BC141" s="69">
        <v>0</v>
      </c>
      <c r="BD141" s="69">
        <v>0</v>
      </c>
      <c r="BE141" s="43">
        <v>0</v>
      </c>
      <c r="BF141" s="43">
        <v>-10.5</v>
      </c>
      <c r="BG141" s="43">
        <v>9.0441000000000003</v>
      </c>
      <c r="BH141" s="43">
        <v>-10.5</v>
      </c>
      <c r="BI141" s="43">
        <v>6.2077</v>
      </c>
      <c r="BJ141" s="43">
        <v>1</v>
      </c>
      <c r="BK141" s="53">
        <v>0.13400000000000001</v>
      </c>
      <c r="BL141" s="53">
        <v>173.2</v>
      </c>
      <c r="BM141" s="43">
        <v>2</v>
      </c>
      <c r="BN141" s="34" t="s">
        <v>89</v>
      </c>
      <c r="BO141" s="34" t="s">
        <v>89</v>
      </c>
      <c r="BP141" s="34" t="s">
        <v>89</v>
      </c>
      <c r="BQ141" s="34" t="s">
        <v>89</v>
      </c>
      <c r="BR141" s="34" t="s">
        <v>89</v>
      </c>
      <c r="BS141" s="34" t="s">
        <v>89</v>
      </c>
      <c r="BT141" s="34" t="s">
        <v>89</v>
      </c>
      <c r="BU141" s="34" t="s">
        <v>89</v>
      </c>
      <c r="BV141" s="34" t="s">
        <v>89</v>
      </c>
      <c r="BW141" s="34" t="s">
        <v>89</v>
      </c>
      <c r="BX141" s="34" t="s">
        <v>89</v>
      </c>
      <c r="BY141" s="34" t="s">
        <v>89</v>
      </c>
      <c r="BZ141" s="34" t="s">
        <v>89</v>
      </c>
      <c r="CA141" s="34" t="s">
        <v>89</v>
      </c>
      <c r="CB141" s="34" t="s">
        <v>89</v>
      </c>
      <c r="CC141" s="34" t="s">
        <v>89</v>
      </c>
      <c r="CD141" s="34" t="s">
        <v>89</v>
      </c>
      <c r="CE141" s="43">
        <v>1</v>
      </c>
      <c r="CF141" s="43">
        <v>1</v>
      </c>
      <c r="CG141" s="43">
        <v>0</v>
      </c>
      <c r="CH141" s="43">
        <v>0</v>
      </c>
      <c r="CI141" s="43">
        <v>19.776</v>
      </c>
      <c r="CJ141" s="43">
        <v>-0.73599999999999999</v>
      </c>
      <c r="CK141" s="43">
        <v>18.638000000000002</v>
      </c>
      <c r="CL141" s="43">
        <v>57194</v>
      </c>
      <c r="CM141" s="43">
        <v>27583</v>
      </c>
      <c r="CN141" s="43">
        <v>735</v>
      </c>
      <c r="CO141" s="43">
        <v>-43.17</v>
      </c>
      <c r="CP141" s="43">
        <v>570.70000000000005</v>
      </c>
      <c r="CQ141" s="43">
        <v>-43.17</v>
      </c>
      <c r="CR141" s="43">
        <v>570.70000000000005</v>
      </c>
      <c r="CS141" s="43">
        <v>0</v>
      </c>
      <c r="CT141" s="43">
        <v>1</v>
      </c>
      <c r="CU141" s="43">
        <v>1</v>
      </c>
      <c r="CV141" s="46" t="s">
        <v>89</v>
      </c>
      <c r="CW141" s="34"/>
      <c r="CX141" s="35"/>
    </row>
    <row r="142" spans="1:102" ht="15" customHeight="1" x14ac:dyDescent="0.25">
      <c r="A142" s="33">
        <v>139</v>
      </c>
      <c r="B142" s="43" t="s">
        <v>1124</v>
      </c>
      <c r="C142" s="43">
        <v>0.75219999999999998</v>
      </c>
      <c r="D142" s="43">
        <v>0.83299999999999996</v>
      </c>
      <c r="E142" s="43" t="s">
        <v>267</v>
      </c>
      <c r="F142" s="43" t="s">
        <v>216</v>
      </c>
      <c r="G142" s="43" t="s">
        <v>1125</v>
      </c>
      <c r="H142" s="43" t="s">
        <v>1126</v>
      </c>
      <c r="I142" s="43" t="s">
        <v>1127</v>
      </c>
      <c r="J142" s="43" t="s">
        <v>1128</v>
      </c>
      <c r="K142" s="43" t="s">
        <v>1129</v>
      </c>
      <c r="L142" s="43" t="s">
        <v>895</v>
      </c>
      <c r="M142" s="43" t="s">
        <v>840</v>
      </c>
      <c r="N142" s="43" t="s">
        <v>706</v>
      </c>
      <c r="O142" s="43" t="s">
        <v>683</v>
      </c>
      <c r="P142" s="43" t="s">
        <v>676</v>
      </c>
      <c r="Q142" s="43" t="s">
        <v>676</v>
      </c>
      <c r="R142" s="43" t="s">
        <v>191</v>
      </c>
      <c r="S142" s="43">
        <v>37.454999999999998</v>
      </c>
      <c r="T142" s="43">
        <v>-144.667</v>
      </c>
      <c r="U142" s="43">
        <v>15.289300000000001</v>
      </c>
      <c r="V142" s="43">
        <v>-7.7130000000000001</v>
      </c>
      <c r="W142" s="43">
        <v>0</v>
      </c>
      <c r="X142" s="43">
        <v>0</v>
      </c>
      <c r="Y142" s="43">
        <v>9.6000000000000002E-2</v>
      </c>
      <c r="Z142" s="43">
        <v>2.1999999999999999E-2</v>
      </c>
      <c r="AA142" s="43">
        <v>3827.2660000000001</v>
      </c>
      <c r="AB142" s="43">
        <v>0.72399999999999998</v>
      </c>
      <c r="AC142" s="43">
        <v>2156.6410000000001</v>
      </c>
      <c r="AD142" s="43">
        <v>0.80100000000000005</v>
      </c>
      <c r="AE142" s="43">
        <v>0.95699999999999996</v>
      </c>
      <c r="AF142" s="69">
        <v>0</v>
      </c>
      <c r="AG142" s="43">
        <v>20.556000000000001</v>
      </c>
      <c r="AH142" s="69">
        <v>-126.64100000000001</v>
      </c>
      <c r="AI142" s="69">
        <v>136.34100000000001</v>
      </c>
      <c r="AJ142" s="69" t="s">
        <v>1443</v>
      </c>
      <c r="AK142" s="69">
        <v>1</v>
      </c>
      <c r="AL142" s="69">
        <v>0</v>
      </c>
      <c r="AM142" s="69">
        <v>0</v>
      </c>
      <c r="AN142" s="69">
        <v>0</v>
      </c>
      <c r="AO142" s="69">
        <v>1</v>
      </c>
      <c r="AP142" s="43">
        <v>0</v>
      </c>
      <c r="AQ142" s="51" t="s">
        <v>188</v>
      </c>
      <c r="AR142" s="43" t="s">
        <v>842</v>
      </c>
      <c r="AS142" s="43">
        <v>1730</v>
      </c>
      <c r="AT142" s="43">
        <v>-5.5369999999999999</v>
      </c>
      <c r="AU142" s="69">
        <v>-43.17</v>
      </c>
      <c r="AV142" s="69">
        <v>-38.799999999999997</v>
      </c>
      <c r="AW142" s="43">
        <v>13.1515</v>
      </c>
      <c r="AX142" s="43">
        <v>0.82150000000000001</v>
      </c>
      <c r="AY142" s="69">
        <v>-43.17</v>
      </c>
      <c r="AZ142" s="69">
        <v>-38.799999999999997</v>
      </c>
      <c r="BA142" s="43">
        <v>13.1515</v>
      </c>
      <c r="BB142" s="43">
        <v>0.82150000000000001</v>
      </c>
      <c r="BC142" s="69">
        <v>1</v>
      </c>
      <c r="BD142" s="69">
        <v>1</v>
      </c>
      <c r="BE142" s="43">
        <v>0</v>
      </c>
      <c r="BF142" s="43">
        <v>-11.6</v>
      </c>
      <c r="BG142" s="43">
        <v>29.061199999999999</v>
      </c>
      <c r="BH142" s="43">
        <v>-1.4</v>
      </c>
      <c r="BI142" s="43">
        <v>19.5093</v>
      </c>
      <c r="BJ142" s="43">
        <v>0</v>
      </c>
      <c r="BK142" s="53">
        <v>0.13500000000000001</v>
      </c>
      <c r="BL142" s="53">
        <v>174.4</v>
      </c>
      <c r="BM142" s="43">
        <v>2</v>
      </c>
      <c r="BN142" s="34" t="s">
        <v>89</v>
      </c>
      <c r="BO142" s="34" t="s">
        <v>89</v>
      </c>
      <c r="BP142" s="34" t="s">
        <v>89</v>
      </c>
      <c r="BQ142" s="34" t="s">
        <v>89</v>
      </c>
      <c r="BR142" s="34" t="s">
        <v>89</v>
      </c>
      <c r="BS142" s="34" t="s">
        <v>89</v>
      </c>
      <c r="BT142" s="34" t="s">
        <v>89</v>
      </c>
      <c r="BU142" s="34" t="s">
        <v>89</v>
      </c>
      <c r="BV142" s="34" t="s">
        <v>89</v>
      </c>
      <c r="BW142" s="34" t="s">
        <v>89</v>
      </c>
      <c r="BX142" s="34" t="s">
        <v>89</v>
      </c>
      <c r="BY142" s="34" t="s">
        <v>89</v>
      </c>
      <c r="BZ142" s="34" t="s">
        <v>89</v>
      </c>
      <c r="CA142" s="34" t="s">
        <v>89</v>
      </c>
      <c r="CB142" s="34" t="s">
        <v>89</v>
      </c>
      <c r="CC142" s="34" t="s">
        <v>89</v>
      </c>
      <c r="CD142" s="34" t="s">
        <v>89</v>
      </c>
      <c r="CE142" s="43">
        <v>-5.1596380402669003E-3</v>
      </c>
      <c r="CF142" s="43">
        <v>1.72480932907955E-3</v>
      </c>
      <c r="CG142" s="43">
        <v>0</v>
      </c>
      <c r="CH142" s="43">
        <v>0</v>
      </c>
      <c r="CI142" s="43">
        <v>220</v>
      </c>
      <c r="CJ142" s="43">
        <v>-1.77754959061982</v>
      </c>
      <c r="CK142" s="43">
        <v>4.4425828583029601</v>
      </c>
      <c r="CL142" s="43">
        <v>0</v>
      </c>
      <c r="CM142" s="43">
        <v>25955</v>
      </c>
      <c r="CN142" s="43">
        <v>1730</v>
      </c>
      <c r="CO142" s="43">
        <v>-43.17</v>
      </c>
      <c r="CP142" s="43">
        <v>-38.799999999999997</v>
      </c>
      <c r="CQ142" s="43">
        <v>5.1210000000000004</v>
      </c>
      <c r="CR142" s="43">
        <v>-450.45079479999998</v>
      </c>
      <c r="CS142" s="43">
        <v>1</v>
      </c>
      <c r="CT142" s="43">
        <v>0.53141987499999999</v>
      </c>
      <c r="CU142" s="43">
        <v>1</v>
      </c>
      <c r="CV142" s="46" t="s">
        <v>89</v>
      </c>
      <c r="CW142" s="34"/>
      <c r="CX142" s="35"/>
    </row>
    <row r="143" spans="1:102" ht="15" customHeight="1" x14ac:dyDescent="0.25">
      <c r="A143" s="33">
        <v>140</v>
      </c>
      <c r="B143" s="43" t="s">
        <v>1130</v>
      </c>
      <c r="C143" s="43">
        <v>0.1948</v>
      </c>
      <c r="D143" s="43">
        <v>4.7E-2</v>
      </c>
      <c r="E143" s="43" t="s">
        <v>216</v>
      </c>
      <c r="F143" s="43" t="s">
        <v>179</v>
      </c>
      <c r="G143" s="43" t="s">
        <v>1131</v>
      </c>
      <c r="H143" s="43" t="s">
        <v>1132</v>
      </c>
      <c r="I143" s="43" t="s">
        <v>1133</v>
      </c>
      <c r="J143" s="43" t="s">
        <v>1134</v>
      </c>
      <c r="K143" s="43" t="s">
        <v>1135</v>
      </c>
      <c r="L143" s="43" t="s">
        <v>861</v>
      </c>
      <c r="M143" s="43" t="s">
        <v>802</v>
      </c>
      <c r="N143" s="43" t="s">
        <v>724</v>
      </c>
      <c r="O143" s="43" t="s">
        <v>698</v>
      </c>
      <c r="P143" s="43" t="s">
        <v>776</v>
      </c>
      <c r="Q143" s="43" t="s">
        <v>349</v>
      </c>
      <c r="R143" s="43" t="s">
        <v>311</v>
      </c>
      <c r="S143" s="43">
        <v>-105.246</v>
      </c>
      <c r="T143" s="43">
        <v>5.7240000000000002</v>
      </c>
      <c r="U143" s="43">
        <v>14.2028</v>
      </c>
      <c r="V143" s="43">
        <v>-7.65</v>
      </c>
      <c r="W143" s="43">
        <v>1</v>
      </c>
      <c r="X143" s="43">
        <v>1</v>
      </c>
      <c r="Y143" s="43">
        <v>8.4000000000000005E-2</v>
      </c>
      <c r="Z143" s="43">
        <v>0.18</v>
      </c>
      <c r="AA143" s="43">
        <v>208.03299999999999</v>
      </c>
      <c r="AB143" s="43">
        <v>0.84899999999999998</v>
      </c>
      <c r="AC143" s="43">
        <v>5517.4970000000003</v>
      </c>
      <c r="AD143" s="43">
        <v>0.29599999999999999</v>
      </c>
      <c r="AE143" s="43">
        <v>0.95799999999999996</v>
      </c>
      <c r="AF143" s="69">
        <v>1</v>
      </c>
      <c r="AG143" s="43">
        <v>24.827000000000002</v>
      </c>
      <c r="AH143" s="69">
        <v>-34.619</v>
      </c>
      <c r="AI143" s="69">
        <v>59.731999999999999</v>
      </c>
      <c r="AJ143" s="69" t="s">
        <v>1444</v>
      </c>
      <c r="AK143" s="69">
        <v>0</v>
      </c>
      <c r="AL143" s="69">
        <v>2</v>
      </c>
      <c r="AM143" s="69">
        <v>1</v>
      </c>
      <c r="AN143" s="69">
        <v>1</v>
      </c>
      <c r="AO143" s="69">
        <v>1</v>
      </c>
      <c r="AP143" s="69">
        <v>0</v>
      </c>
      <c r="AQ143" s="73" t="s">
        <v>1776</v>
      </c>
      <c r="AR143" s="43" t="s">
        <v>849</v>
      </c>
      <c r="AS143" s="43">
        <v>3235</v>
      </c>
      <c r="AT143" s="43">
        <v>-17.337</v>
      </c>
      <c r="AU143" s="69">
        <v>267.12</v>
      </c>
      <c r="AV143" s="69">
        <v>-194.19</v>
      </c>
      <c r="AW143" s="43">
        <v>60.863799999999998</v>
      </c>
      <c r="AX143" s="43">
        <v>0.47260000000000002</v>
      </c>
      <c r="AY143" s="69">
        <v>267.12</v>
      </c>
      <c r="AZ143" s="69">
        <v>-194.19</v>
      </c>
      <c r="BA143" s="43">
        <v>60.863799999999998</v>
      </c>
      <c r="BB143" s="43">
        <v>0.47260000000000002</v>
      </c>
      <c r="BC143" s="69">
        <v>0</v>
      </c>
      <c r="BD143" s="69">
        <v>0</v>
      </c>
      <c r="BE143" s="43">
        <v>0</v>
      </c>
      <c r="BF143" s="43">
        <v>-30.2</v>
      </c>
      <c r="BG143" s="43">
        <v>5.5453000000000001</v>
      </c>
      <c r="BH143" s="43">
        <v>-30.2</v>
      </c>
      <c r="BI143" s="43">
        <v>12.5352</v>
      </c>
      <c r="BJ143" s="43">
        <v>1</v>
      </c>
      <c r="BK143" s="53">
        <v>0.13600000000000001</v>
      </c>
      <c r="BL143" s="53">
        <v>175.6</v>
      </c>
      <c r="BM143" s="43">
        <v>2</v>
      </c>
      <c r="BN143" s="34" t="s">
        <v>89</v>
      </c>
      <c r="BO143" s="34" t="s">
        <v>89</v>
      </c>
      <c r="BP143" s="34" t="s">
        <v>89</v>
      </c>
      <c r="BQ143" s="34" t="s">
        <v>89</v>
      </c>
      <c r="BR143" s="34" t="s">
        <v>89</v>
      </c>
      <c r="BS143" s="34" t="s">
        <v>89</v>
      </c>
      <c r="BT143" s="34" t="s">
        <v>89</v>
      </c>
      <c r="BU143" s="34" t="s">
        <v>89</v>
      </c>
      <c r="BV143" s="34" t="s">
        <v>89</v>
      </c>
      <c r="BW143" s="34" t="s">
        <v>89</v>
      </c>
      <c r="BX143" s="34" t="s">
        <v>89</v>
      </c>
      <c r="BY143" s="34" t="s">
        <v>89</v>
      </c>
      <c r="BZ143" s="34" t="s">
        <v>89</v>
      </c>
      <c r="CA143" s="34" t="s">
        <v>89</v>
      </c>
      <c r="CB143" s="34" t="s">
        <v>89</v>
      </c>
      <c r="CC143" s="34" t="s">
        <v>89</v>
      </c>
      <c r="CD143" s="34" t="s">
        <v>89</v>
      </c>
      <c r="CE143" s="43">
        <v>1</v>
      </c>
      <c r="CF143" s="43">
        <v>1</v>
      </c>
      <c r="CG143" s="43">
        <v>5.5453000000000001</v>
      </c>
      <c r="CH143" s="43">
        <v>-30.2</v>
      </c>
      <c r="CI143" s="43">
        <v>-86.873999999999995</v>
      </c>
      <c r="CJ143" s="43">
        <v>8.5510000000000002</v>
      </c>
      <c r="CK143" s="43">
        <v>12.616</v>
      </c>
      <c r="CL143" s="43">
        <v>46868</v>
      </c>
      <c r="CM143" s="43">
        <v>11950</v>
      </c>
      <c r="CN143" s="43">
        <v>1273</v>
      </c>
      <c r="CO143" s="43">
        <v>267.12</v>
      </c>
      <c r="CP143" s="43">
        <v>-194.19</v>
      </c>
      <c r="CQ143" s="43">
        <v>267.12</v>
      </c>
      <c r="CR143" s="43">
        <v>-194.19</v>
      </c>
      <c r="CS143" s="43">
        <v>0.82299587500000004</v>
      </c>
      <c r="CT143" s="43">
        <v>0</v>
      </c>
      <c r="CU143" s="43">
        <v>1</v>
      </c>
      <c r="CV143" s="46" t="s">
        <v>89</v>
      </c>
      <c r="CW143" s="34"/>
      <c r="CX143" s="35"/>
    </row>
    <row r="144" spans="1:102" ht="15" customHeight="1" x14ac:dyDescent="0.25">
      <c r="A144" s="33">
        <v>141</v>
      </c>
      <c r="B144" s="43" t="s">
        <v>1136</v>
      </c>
      <c r="C144" s="43">
        <v>3.2099999999999997E-2</v>
      </c>
      <c r="D144" s="43">
        <v>0.72499999999999998</v>
      </c>
      <c r="E144" s="43" t="s">
        <v>268</v>
      </c>
      <c r="F144" s="43" t="s">
        <v>237</v>
      </c>
      <c r="G144" s="43" t="s">
        <v>1137</v>
      </c>
      <c r="H144" s="43" t="s">
        <v>1138</v>
      </c>
      <c r="I144" s="43" t="s">
        <v>1139</v>
      </c>
      <c r="J144" s="43" t="s">
        <v>1140</v>
      </c>
      <c r="K144" s="43" t="s">
        <v>1141</v>
      </c>
      <c r="L144" s="43" t="s">
        <v>867</v>
      </c>
      <c r="M144" s="43" t="s">
        <v>809</v>
      </c>
      <c r="N144" s="43" t="s">
        <v>733</v>
      </c>
      <c r="O144" s="43" t="s">
        <v>707</v>
      </c>
      <c r="P144" s="43" t="s">
        <v>662</v>
      </c>
      <c r="Q144" s="43" t="s">
        <v>357</v>
      </c>
      <c r="R144" s="43" t="s">
        <v>202</v>
      </c>
      <c r="S144" s="43">
        <v>-213.02699999999999</v>
      </c>
      <c r="T144" s="43">
        <v>59.304000000000002</v>
      </c>
      <c r="U144" s="53">
        <v>-20.854099999999999</v>
      </c>
      <c r="V144" s="43">
        <v>-9.0519999999999996</v>
      </c>
      <c r="W144" s="43">
        <v>0</v>
      </c>
      <c r="X144" s="43">
        <v>1</v>
      </c>
      <c r="Y144" s="69">
        <v>0.113</v>
      </c>
      <c r="Z144" s="69">
        <v>0.13200000000000001</v>
      </c>
      <c r="AA144" s="43">
        <v>6145.5730000000003</v>
      </c>
      <c r="AB144" s="43">
        <v>0.23200000000000001</v>
      </c>
      <c r="AC144" s="43">
        <v>4019.2080000000001</v>
      </c>
      <c r="AD144" s="43">
        <v>0.44800000000000001</v>
      </c>
      <c r="AE144" s="43">
        <v>0.96399999999999997</v>
      </c>
      <c r="AF144" s="69">
        <v>1</v>
      </c>
      <c r="AG144" s="69">
        <v>6.0609999999999999</v>
      </c>
      <c r="AH144" s="69">
        <v>59.731999999999999</v>
      </c>
      <c r="AI144" s="69">
        <v>-207.91800000000001</v>
      </c>
      <c r="AJ144" s="69" t="s">
        <v>1441</v>
      </c>
      <c r="AK144" s="69">
        <v>1</v>
      </c>
      <c r="AL144" s="69">
        <v>1</v>
      </c>
      <c r="AM144" s="69">
        <v>0</v>
      </c>
      <c r="AN144" s="69">
        <v>0</v>
      </c>
      <c r="AO144" s="69">
        <v>0</v>
      </c>
      <c r="AP144" s="69">
        <v>1</v>
      </c>
      <c r="AQ144" s="68" t="s">
        <v>1773</v>
      </c>
      <c r="AR144" s="51" t="s">
        <v>98</v>
      </c>
      <c r="AS144" s="43">
        <v>4296</v>
      </c>
      <c r="AT144" s="69">
        <v>-12.244999999999999</v>
      </c>
      <c r="AU144" s="83">
        <v>267.12</v>
      </c>
      <c r="AV144" s="69">
        <v>-194.19</v>
      </c>
      <c r="AW144" s="43">
        <v>9.4679000000000002</v>
      </c>
      <c r="AX144" s="43">
        <v>0.96199999999999997</v>
      </c>
      <c r="AY144" s="83">
        <v>267.12</v>
      </c>
      <c r="AZ144" s="69">
        <v>-194.19</v>
      </c>
      <c r="BA144" s="43">
        <v>9.4679000000000002</v>
      </c>
      <c r="BB144" s="43">
        <v>0.96199999999999997</v>
      </c>
      <c r="BC144" s="69">
        <v>1</v>
      </c>
      <c r="BD144" s="69">
        <v>1</v>
      </c>
      <c r="BE144" s="43">
        <v>0</v>
      </c>
      <c r="BF144" s="43">
        <v>-9.65</v>
      </c>
      <c r="BG144" s="43">
        <v>29.8994</v>
      </c>
      <c r="BH144" s="43">
        <v>-9.65</v>
      </c>
      <c r="BI144" s="43">
        <v>25.194199999999999</v>
      </c>
      <c r="BJ144" s="43">
        <v>0</v>
      </c>
      <c r="BK144" s="53">
        <v>0.13700000000000001</v>
      </c>
      <c r="BL144" s="53">
        <v>176.8</v>
      </c>
      <c r="BM144" s="43">
        <v>2</v>
      </c>
      <c r="BN144" s="34" t="s">
        <v>89</v>
      </c>
      <c r="BO144" s="34" t="s">
        <v>89</v>
      </c>
      <c r="BP144" s="34" t="s">
        <v>89</v>
      </c>
      <c r="BQ144" s="34" t="s">
        <v>89</v>
      </c>
      <c r="BR144" s="34" t="s">
        <v>89</v>
      </c>
      <c r="BS144" s="34" t="s">
        <v>89</v>
      </c>
      <c r="BT144" s="34" t="s">
        <v>89</v>
      </c>
      <c r="BU144" s="34" t="s">
        <v>89</v>
      </c>
      <c r="BV144" s="34" t="s">
        <v>89</v>
      </c>
      <c r="BW144" s="34" t="s">
        <v>89</v>
      </c>
      <c r="BX144" s="34" t="s">
        <v>89</v>
      </c>
      <c r="BY144" s="34" t="s">
        <v>89</v>
      </c>
      <c r="BZ144" s="34" t="s">
        <v>89</v>
      </c>
      <c r="CA144" s="34" t="s">
        <v>89</v>
      </c>
      <c r="CB144" s="34" t="s">
        <v>89</v>
      </c>
      <c r="CC144" s="34" t="s">
        <v>89</v>
      </c>
      <c r="CD144" s="34" t="s">
        <v>89</v>
      </c>
      <c r="CE144" s="43">
        <v>-1.15245558649008E-3</v>
      </c>
      <c r="CF144" s="43">
        <v>1</v>
      </c>
      <c r="CG144" s="43">
        <v>0</v>
      </c>
      <c r="CH144" s="43">
        <v>0</v>
      </c>
      <c r="CI144" s="43">
        <v>19.776</v>
      </c>
      <c r="CJ144" s="43">
        <v>4.8051083843504099</v>
      </c>
      <c r="CK144" s="43">
        <v>-0.378593997106902</v>
      </c>
      <c r="CL144" s="43">
        <v>0</v>
      </c>
      <c r="CM144" s="43">
        <v>1882</v>
      </c>
      <c r="CN144" s="43">
        <v>4296</v>
      </c>
      <c r="CO144" s="43">
        <v>18.638000000000002</v>
      </c>
      <c r="CP144" s="43">
        <v>-1493.8065879620001</v>
      </c>
      <c r="CQ144" s="43">
        <v>18.556000000000001</v>
      </c>
      <c r="CR144" s="43">
        <v>-1493.8854719620001</v>
      </c>
      <c r="CS144" s="43">
        <v>1</v>
      </c>
      <c r="CT144" s="43">
        <v>0.95040100000000005</v>
      </c>
      <c r="CU144" s="43">
        <v>1</v>
      </c>
      <c r="CV144" s="46" t="s">
        <v>89</v>
      </c>
      <c r="CW144" s="34"/>
      <c r="CX144" s="35"/>
    </row>
    <row r="145" spans="1:102" ht="15" customHeight="1" x14ac:dyDescent="0.25">
      <c r="A145" s="33">
        <v>142</v>
      </c>
      <c r="B145" s="43" t="s">
        <v>1142</v>
      </c>
      <c r="C145" s="43">
        <v>9.5100000000000004E-2</v>
      </c>
      <c r="D145" s="43">
        <v>0.83299999999999996</v>
      </c>
      <c r="E145" s="43" t="s">
        <v>267</v>
      </c>
      <c r="F145" s="43" t="s">
        <v>216</v>
      </c>
      <c r="G145" s="43" t="s">
        <v>1143</v>
      </c>
      <c r="H145" s="43" t="s">
        <v>1144</v>
      </c>
      <c r="I145" s="43" t="s">
        <v>1145</v>
      </c>
      <c r="J145" s="43" t="s">
        <v>1146</v>
      </c>
      <c r="K145" s="43" t="s">
        <v>1147</v>
      </c>
      <c r="L145" s="43" t="s">
        <v>895</v>
      </c>
      <c r="M145" s="43" t="s">
        <v>840</v>
      </c>
      <c r="N145" s="43" t="s">
        <v>706</v>
      </c>
      <c r="O145" s="43" t="s">
        <v>683</v>
      </c>
      <c r="P145" s="43" t="s">
        <v>676</v>
      </c>
      <c r="Q145" s="43" t="s">
        <v>676</v>
      </c>
      <c r="R145" s="43" t="s">
        <v>191</v>
      </c>
      <c r="S145" s="43">
        <v>37.454999999999998</v>
      </c>
      <c r="T145" s="43">
        <v>-144.667</v>
      </c>
      <c r="U145" s="43">
        <v>29.631</v>
      </c>
      <c r="V145" s="43">
        <v>18.998999999999999</v>
      </c>
      <c r="W145" s="43">
        <v>0</v>
      </c>
      <c r="X145" s="43">
        <v>0</v>
      </c>
      <c r="Y145" s="69">
        <v>1.2E-2</v>
      </c>
      <c r="Z145" s="69">
        <v>8.2000000000000003E-2</v>
      </c>
      <c r="AA145" s="43">
        <v>6667.5420000000004</v>
      </c>
      <c r="AB145" s="43">
        <v>0.77800000000000002</v>
      </c>
      <c r="AC145" s="43">
        <v>7823.2650000000003</v>
      </c>
      <c r="AD145" s="43">
        <v>4.4999999999999998E-2</v>
      </c>
      <c r="AE145" s="43">
        <v>0.96399999999999997</v>
      </c>
      <c r="AF145" s="69">
        <v>0</v>
      </c>
      <c r="AG145" s="69">
        <v>-7.1970000000000001</v>
      </c>
      <c r="AH145" s="69">
        <v>-126.64100000000001</v>
      </c>
      <c r="AI145" s="69">
        <v>136.34100000000001</v>
      </c>
      <c r="AJ145" s="69" t="s">
        <v>1443</v>
      </c>
      <c r="AK145" s="69">
        <v>1</v>
      </c>
      <c r="AL145" s="69">
        <v>0</v>
      </c>
      <c r="AM145" s="69">
        <v>0</v>
      </c>
      <c r="AN145" s="69">
        <v>1</v>
      </c>
      <c r="AO145" s="69">
        <v>0</v>
      </c>
      <c r="AP145" s="43">
        <v>0</v>
      </c>
      <c r="AQ145" s="68" t="s">
        <v>1774</v>
      </c>
      <c r="AR145" s="51" t="s">
        <v>189</v>
      </c>
      <c r="AS145" s="43">
        <v>674</v>
      </c>
      <c r="AT145" s="69">
        <v>-19.908999999999999</v>
      </c>
      <c r="AU145" s="69">
        <v>404.9</v>
      </c>
      <c r="AV145" s="69">
        <v>20.7</v>
      </c>
      <c r="AW145" s="43">
        <v>10.3986</v>
      </c>
      <c r="AX145" s="43">
        <v>0.63049999999999995</v>
      </c>
      <c r="AY145" s="69">
        <v>404.9</v>
      </c>
      <c r="AZ145" s="69">
        <v>20.7</v>
      </c>
      <c r="BA145" s="43">
        <v>10.3986</v>
      </c>
      <c r="BB145" s="43">
        <v>0.63049999999999995</v>
      </c>
      <c r="BC145" s="69">
        <v>1</v>
      </c>
      <c r="BD145" s="69">
        <v>1</v>
      </c>
      <c r="BE145" s="43">
        <v>0</v>
      </c>
      <c r="BF145" s="43">
        <v>-22.41</v>
      </c>
      <c r="BG145" s="43">
        <v>25.883299999999998</v>
      </c>
      <c r="BH145" s="43">
        <v>-22.41</v>
      </c>
      <c r="BI145" s="43">
        <v>21.4818</v>
      </c>
      <c r="BJ145" s="43">
        <v>1</v>
      </c>
      <c r="BK145" s="53">
        <v>0.13800000000000001</v>
      </c>
      <c r="BL145" s="53">
        <v>178</v>
      </c>
      <c r="BM145" s="43">
        <v>2</v>
      </c>
      <c r="BN145" s="34" t="s">
        <v>89</v>
      </c>
      <c r="BO145" s="34" t="s">
        <v>89</v>
      </c>
      <c r="BP145" s="34" t="s">
        <v>89</v>
      </c>
      <c r="BQ145" s="34" t="s">
        <v>89</v>
      </c>
      <c r="BR145" s="34" t="s">
        <v>89</v>
      </c>
      <c r="BS145" s="34" t="s">
        <v>89</v>
      </c>
      <c r="BT145" s="34" t="s">
        <v>89</v>
      </c>
      <c r="BU145" s="34" t="s">
        <v>89</v>
      </c>
      <c r="BV145" s="34" t="s">
        <v>89</v>
      </c>
      <c r="BW145" s="34" t="s">
        <v>89</v>
      </c>
      <c r="BX145" s="34" t="s">
        <v>89</v>
      </c>
      <c r="BY145" s="34" t="s">
        <v>89</v>
      </c>
      <c r="BZ145" s="34" t="s">
        <v>89</v>
      </c>
      <c r="CA145" s="34" t="s">
        <v>89</v>
      </c>
      <c r="CB145" s="34" t="s">
        <v>89</v>
      </c>
      <c r="CC145" s="34" t="s">
        <v>89</v>
      </c>
      <c r="CD145" s="34" t="s">
        <v>89</v>
      </c>
      <c r="CE145" s="43">
        <v>1</v>
      </c>
      <c r="CF145" s="43">
        <v>1</v>
      </c>
      <c r="CG145" s="43">
        <v>0</v>
      </c>
      <c r="CH145" s="43">
        <v>0</v>
      </c>
      <c r="CI145" s="43">
        <v>220</v>
      </c>
      <c r="CJ145" s="43">
        <v>-14.694000000000001</v>
      </c>
      <c r="CK145" s="43">
        <v>-7.6669999999999998</v>
      </c>
      <c r="CL145" s="43">
        <v>0</v>
      </c>
      <c r="CM145" s="43">
        <v>40537</v>
      </c>
      <c r="CN145" s="43">
        <v>674</v>
      </c>
      <c r="CO145" s="43">
        <v>404.9</v>
      </c>
      <c r="CP145" s="43">
        <v>20.7</v>
      </c>
      <c r="CQ145" s="43">
        <v>5.1210000000000004</v>
      </c>
      <c r="CR145" s="43">
        <v>394.23400860999999</v>
      </c>
      <c r="CS145" s="43">
        <v>0</v>
      </c>
      <c r="CT145" s="43">
        <v>1</v>
      </c>
      <c r="CU145" s="43">
        <v>1</v>
      </c>
      <c r="CV145" s="46" t="s">
        <v>89</v>
      </c>
      <c r="CW145" s="34"/>
      <c r="CX145" s="35"/>
    </row>
    <row r="146" spans="1:102" ht="15" customHeight="1" x14ac:dyDescent="0.25">
      <c r="A146" s="33">
        <v>143</v>
      </c>
      <c r="B146" s="43" t="s">
        <v>1148</v>
      </c>
      <c r="C146" s="43">
        <v>0.20849999999999999</v>
      </c>
      <c r="D146" s="43">
        <v>0.83299999999999996</v>
      </c>
      <c r="E146" s="43" t="s">
        <v>268</v>
      </c>
      <c r="F146" s="43" t="s">
        <v>237</v>
      </c>
      <c r="G146" s="43" t="s">
        <v>1149</v>
      </c>
      <c r="H146" s="43" t="s">
        <v>1150</v>
      </c>
      <c r="I146" s="43" t="s">
        <v>1151</v>
      </c>
      <c r="J146" s="43" t="s">
        <v>1152</v>
      </c>
      <c r="K146" s="43" t="s">
        <v>1153</v>
      </c>
      <c r="L146" s="43" t="s">
        <v>895</v>
      </c>
      <c r="M146" s="43" t="s">
        <v>840</v>
      </c>
      <c r="N146" s="43" t="s">
        <v>706</v>
      </c>
      <c r="O146" s="43" t="s">
        <v>683</v>
      </c>
      <c r="P146" s="43" t="s">
        <v>676</v>
      </c>
      <c r="Q146" s="43" t="s">
        <v>676</v>
      </c>
      <c r="R146" s="43" t="s">
        <v>191</v>
      </c>
      <c r="S146" s="43">
        <v>37.454999999999998</v>
      </c>
      <c r="T146" s="43">
        <v>-144.667</v>
      </c>
      <c r="U146" s="43">
        <v>0.3715</v>
      </c>
      <c r="V146" s="43">
        <v>-3.782</v>
      </c>
      <c r="W146" s="43">
        <v>0</v>
      </c>
      <c r="X146" s="43">
        <v>0</v>
      </c>
      <c r="Y146" s="69">
        <v>0.16300000000000001</v>
      </c>
      <c r="Z146" s="69">
        <v>0.01</v>
      </c>
      <c r="AA146" s="43">
        <v>7980.1490000000003</v>
      </c>
      <c r="AB146" s="43">
        <v>0.85199999999999998</v>
      </c>
      <c r="AC146" s="43">
        <v>6489.6959999999999</v>
      </c>
      <c r="AD146" s="43">
        <v>0.39900000000000002</v>
      </c>
      <c r="AE146" s="43">
        <v>0.96399999999999997</v>
      </c>
      <c r="AF146" s="69">
        <v>1</v>
      </c>
      <c r="AG146" s="69">
        <v>-18.361000000000001</v>
      </c>
      <c r="AH146" s="69">
        <v>-34.619</v>
      </c>
      <c r="AI146" s="69">
        <v>59.731999999999999</v>
      </c>
      <c r="AJ146" s="69" t="s">
        <v>1444</v>
      </c>
      <c r="AK146" s="69">
        <v>0</v>
      </c>
      <c r="AL146" s="69">
        <v>2</v>
      </c>
      <c r="AM146" s="69">
        <v>1</v>
      </c>
      <c r="AN146" s="69">
        <v>1</v>
      </c>
      <c r="AO146" s="69">
        <v>0</v>
      </c>
      <c r="AP146" s="43">
        <v>0</v>
      </c>
      <c r="AQ146" s="68" t="s">
        <v>1733</v>
      </c>
      <c r="AR146" s="51" t="s">
        <v>835</v>
      </c>
      <c r="AS146" s="43">
        <v>4608</v>
      </c>
      <c r="AT146" s="69">
        <v>22.782</v>
      </c>
      <c r="AU146" s="69">
        <v>865.32</v>
      </c>
      <c r="AV146" s="69">
        <v>-340.13</v>
      </c>
      <c r="AW146" s="43">
        <v>69.4054</v>
      </c>
      <c r="AX146" s="43">
        <v>4.53E-2</v>
      </c>
      <c r="AY146" s="69">
        <v>865.32</v>
      </c>
      <c r="AZ146" s="69">
        <v>-340.13</v>
      </c>
      <c r="BA146" s="43">
        <v>69.4054</v>
      </c>
      <c r="BB146" s="43">
        <v>4.53E-2</v>
      </c>
      <c r="BC146" s="69">
        <v>0</v>
      </c>
      <c r="BD146" s="69">
        <v>0</v>
      </c>
      <c r="BE146" s="43">
        <v>0</v>
      </c>
      <c r="BF146" s="43">
        <v>-8.69</v>
      </c>
      <c r="BG146" s="43">
        <v>11.2285</v>
      </c>
      <c r="BH146" s="43">
        <v>-8.69</v>
      </c>
      <c r="BI146" s="43">
        <v>16.9069</v>
      </c>
      <c r="BJ146" s="43">
        <v>0</v>
      </c>
      <c r="BK146" s="53">
        <v>0.13900000000000001</v>
      </c>
      <c r="BL146" s="53">
        <v>179.2</v>
      </c>
      <c r="BM146" s="43">
        <v>2</v>
      </c>
      <c r="BN146" s="34" t="s">
        <v>89</v>
      </c>
      <c r="BO146" s="34" t="s">
        <v>89</v>
      </c>
      <c r="BP146" s="34" t="s">
        <v>89</v>
      </c>
      <c r="BQ146" s="34" t="s">
        <v>89</v>
      </c>
      <c r="BR146" s="34" t="s">
        <v>89</v>
      </c>
      <c r="BS146" s="34" t="s">
        <v>89</v>
      </c>
      <c r="BT146" s="34" t="s">
        <v>89</v>
      </c>
      <c r="BU146" s="34" t="s">
        <v>89</v>
      </c>
      <c r="BV146" s="34" t="s">
        <v>89</v>
      </c>
      <c r="BW146" s="34" t="s">
        <v>89</v>
      </c>
      <c r="BX146" s="34" t="s">
        <v>89</v>
      </c>
      <c r="BY146" s="34" t="s">
        <v>89</v>
      </c>
      <c r="BZ146" s="34" t="s">
        <v>89</v>
      </c>
      <c r="CA146" s="34" t="s">
        <v>89</v>
      </c>
      <c r="CB146" s="34" t="s">
        <v>89</v>
      </c>
      <c r="CC146" s="34" t="s">
        <v>89</v>
      </c>
      <c r="CD146" s="34" t="s">
        <v>89</v>
      </c>
      <c r="CE146" s="43">
        <v>3.7826482323911299</v>
      </c>
      <c r="CF146" s="43">
        <v>1</v>
      </c>
      <c r="CG146" s="43">
        <v>11.2285</v>
      </c>
      <c r="CH146" s="43">
        <v>14.932407144000001</v>
      </c>
      <c r="CI146" s="43">
        <v>182.91399999999999</v>
      </c>
      <c r="CJ146" s="43">
        <v>-20.4382980967112</v>
      </c>
      <c r="CK146" s="43">
        <v>2.0793878186588999</v>
      </c>
      <c r="CL146" s="43">
        <v>63176</v>
      </c>
      <c r="CM146" s="43">
        <v>50220</v>
      </c>
      <c r="CN146" s="43">
        <v>735</v>
      </c>
      <c r="CO146" s="43">
        <v>865.32</v>
      </c>
      <c r="CP146" s="43">
        <v>-340.13</v>
      </c>
      <c r="CQ146" s="43">
        <v>865.32</v>
      </c>
      <c r="CR146" s="43">
        <v>-340.13</v>
      </c>
      <c r="CS146" s="43">
        <v>0</v>
      </c>
      <c r="CT146" s="43">
        <v>1</v>
      </c>
      <c r="CU146" s="43">
        <v>1</v>
      </c>
      <c r="CV146" s="46" t="s">
        <v>89</v>
      </c>
      <c r="CW146" s="34"/>
      <c r="CX146" s="35"/>
    </row>
    <row r="147" spans="1:102" ht="15" customHeight="1" x14ac:dyDescent="0.25">
      <c r="A147" s="33">
        <v>144</v>
      </c>
      <c r="B147" s="43" t="s">
        <v>1403</v>
      </c>
      <c r="C147" s="43">
        <v>0.25480000000000003</v>
      </c>
      <c r="D147" s="43">
        <v>0.72499999999999998</v>
      </c>
      <c r="E147" s="43" t="s">
        <v>268</v>
      </c>
      <c r="F147" s="43" t="s">
        <v>237</v>
      </c>
      <c r="G147" s="43" t="s">
        <v>1154</v>
      </c>
      <c r="H147" s="43" t="s">
        <v>1155</v>
      </c>
      <c r="I147" s="43" t="s">
        <v>1156</v>
      </c>
      <c r="J147" s="43" t="s">
        <v>1157</v>
      </c>
      <c r="K147" s="43" t="s">
        <v>1158</v>
      </c>
      <c r="L147" s="43" t="s">
        <v>867</v>
      </c>
      <c r="M147" s="43" t="s">
        <v>809</v>
      </c>
      <c r="N147" s="43" t="s">
        <v>733</v>
      </c>
      <c r="O147" s="43" t="s">
        <v>707</v>
      </c>
      <c r="P147" s="43" t="s">
        <v>662</v>
      </c>
      <c r="Q147" s="43" t="s">
        <v>357</v>
      </c>
      <c r="R147" s="43" t="s">
        <v>202</v>
      </c>
      <c r="S147" s="43">
        <v>-213.02699999999999</v>
      </c>
      <c r="T147" s="43">
        <v>59.304000000000002</v>
      </c>
      <c r="U147" s="43">
        <v>14.367000000000001</v>
      </c>
      <c r="V147" s="43">
        <v>-9.0519999999999996</v>
      </c>
      <c r="W147" s="43">
        <v>0</v>
      </c>
      <c r="X147" s="43">
        <v>1</v>
      </c>
      <c r="Y147" s="43">
        <v>9.5000000000000001E-2</v>
      </c>
      <c r="Z147" s="51">
        <v>0</v>
      </c>
      <c r="AA147" s="43">
        <v>6145.5730000000003</v>
      </c>
      <c r="AB147" s="43">
        <v>0.23200000000000001</v>
      </c>
      <c r="AC147" s="43">
        <v>4019.2080000000001</v>
      </c>
      <c r="AD147" s="43">
        <v>0.44800000000000001</v>
      </c>
      <c r="AE147" s="43">
        <v>0.96399999999999997</v>
      </c>
      <c r="AF147" s="69">
        <v>1</v>
      </c>
      <c r="AG147" s="43">
        <v>2.4420000000000002</v>
      </c>
      <c r="AH147" s="69">
        <v>59.731999999999999</v>
      </c>
      <c r="AI147" s="69">
        <v>-207.91800000000001</v>
      </c>
      <c r="AJ147" s="69" t="s">
        <v>1441</v>
      </c>
      <c r="AK147" s="69">
        <v>1</v>
      </c>
      <c r="AL147" s="69">
        <v>1</v>
      </c>
      <c r="AM147" s="69">
        <v>0</v>
      </c>
      <c r="AN147" s="69">
        <v>0</v>
      </c>
      <c r="AO147" s="69">
        <v>0</v>
      </c>
      <c r="AP147" s="69">
        <v>1</v>
      </c>
      <c r="AQ147" s="68" t="s">
        <v>1773</v>
      </c>
      <c r="AR147" s="43" t="s">
        <v>935</v>
      </c>
      <c r="AS147" s="43">
        <v>2125</v>
      </c>
      <c r="AT147" s="43">
        <v>19.268999999999998</v>
      </c>
      <c r="AU147" s="69">
        <v>267.12</v>
      </c>
      <c r="AV147" s="69">
        <v>22.24</v>
      </c>
      <c r="AW147" s="43">
        <v>87.578500000000005</v>
      </c>
      <c r="AX147" s="43">
        <v>0.96599999999999997</v>
      </c>
      <c r="AY147" s="69">
        <v>267.12</v>
      </c>
      <c r="AZ147" s="69">
        <v>22.24</v>
      </c>
      <c r="BA147" s="43">
        <v>87.578500000000005</v>
      </c>
      <c r="BB147" s="43">
        <v>0.96599999999999997</v>
      </c>
      <c r="BC147" s="69">
        <v>1</v>
      </c>
      <c r="BD147" s="69">
        <v>1</v>
      </c>
      <c r="BE147" s="43">
        <v>0</v>
      </c>
      <c r="BF147" s="43">
        <v>-4.57</v>
      </c>
      <c r="BG147" s="43">
        <v>12.413500000000001</v>
      </c>
      <c r="BH147" s="43">
        <v>-4.57</v>
      </c>
      <c r="BI147" s="43">
        <v>30.8994</v>
      </c>
      <c r="BJ147" s="43">
        <v>1</v>
      </c>
      <c r="BK147" s="53">
        <v>0.14000000000000001</v>
      </c>
      <c r="BL147" s="53">
        <v>180.4</v>
      </c>
      <c r="BM147" s="43">
        <v>2</v>
      </c>
      <c r="BN147" s="34" t="s">
        <v>89</v>
      </c>
      <c r="BO147" s="34" t="s">
        <v>89</v>
      </c>
      <c r="BP147" s="34" t="s">
        <v>89</v>
      </c>
      <c r="BQ147" s="34" t="s">
        <v>89</v>
      </c>
      <c r="BR147" s="34" t="s">
        <v>89</v>
      </c>
      <c r="BS147" s="34" t="s">
        <v>89</v>
      </c>
      <c r="BT147" s="34" t="s">
        <v>89</v>
      </c>
      <c r="BU147" s="34" t="s">
        <v>89</v>
      </c>
      <c r="BV147" s="34" t="s">
        <v>89</v>
      </c>
      <c r="BW147" s="34" t="s">
        <v>89</v>
      </c>
      <c r="BX147" s="34" t="s">
        <v>89</v>
      </c>
      <c r="BY147" s="34" t="s">
        <v>89</v>
      </c>
      <c r="BZ147" s="34" t="s">
        <v>89</v>
      </c>
      <c r="CA147" s="34" t="s">
        <v>89</v>
      </c>
      <c r="CB147" s="34" t="s">
        <v>89</v>
      </c>
      <c r="CC147" s="34" t="s">
        <v>89</v>
      </c>
      <c r="CD147" s="34" t="s">
        <v>89</v>
      </c>
      <c r="CE147" s="43">
        <v>-3.8907919180356902E-3</v>
      </c>
      <c r="CF147" s="43">
        <v>1</v>
      </c>
      <c r="CG147" s="43">
        <v>0</v>
      </c>
      <c r="CH147" s="43">
        <v>0</v>
      </c>
      <c r="CI147" s="43">
        <v>19.776</v>
      </c>
      <c r="CJ147" s="43">
        <v>-29.870322713023299</v>
      </c>
      <c r="CK147" s="43">
        <v>0.90403374928239899</v>
      </c>
      <c r="CL147" s="43">
        <v>0</v>
      </c>
      <c r="CM147" s="43">
        <v>57617</v>
      </c>
      <c r="CN147" s="43">
        <v>2125</v>
      </c>
      <c r="CO147" s="43">
        <v>267.12</v>
      </c>
      <c r="CP147" s="43">
        <v>22.24</v>
      </c>
      <c r="CQ147" s="43">
        <v>18.556000000000001</v>
      </c>
      <c r="CR147" s="43">
        <v>2157.48549744</v>
      </c>
      <c r="CS147" s="43">
        <v>1</v>
      </c>
      <c r="CT147" s="43">
        <v>0.95040100000000005</v>
      </c>
      <c r="CU147" s="43">
        <v>1</v>
      </c>
      <c r="CV147" s="46" t="s">
        <v>89</v>
      </c>
      <c r="CW147" s="34"/>
      <c r="CX147" s="35"/>
    </row>
    <row r="148" spans="1:102" ht="15" customHeight="1" x14ac:dyDescent="0.25">
      <c r="A148" s="33">
        <v>145</v>
      </c>
      <c r="B148" s="43" t="s">
        <v>1159</v>
      </c>
      <c r="C148" s="43">
        <v>0.83779999999999999</v>
      </c>
      <c r="D148" s="43">
        <v>0.83299999999999996</v>
      </c>
      <c r="E148" s="43" t="s">
        <v>267</v>
      </c>
      <c r="F148" s="43" t="s">
        <v>216</v>
      </c>
      <c r="G148" s="43" t="s">
        <v>1160</v>
      </c>
      <c r="H148" s="43" t="s">
        <v>1161</v>
      </c>
      <c r="I148" s="43" t="s">
        <v>1162</v>
      </c>
      <c r="J148" s="43" t="s">
        <v>1163</v>
      </c>
      <c r="K148" s="43" t="s">
        <v>1164</v>
      </c>
      <c r="L148" s="43" t="s">
        <v>895</v>
      </c>
      <c r="M148" s="43" t="s">
        <v>840</v>
      </c>
      <c r="N148" s="43" t="s">
        <v>706</v>
      </c>
      <c r="O148" s="43" t="s">
        <v>683</v>
      </c>
      <c r="P148" s="43" t="s">
        <v>676</v>
      </c>
      <c r="Q148" s="43" t="s">
        <v>676</v>
      </c>
      <c r="R148" s="43" t="s">
        <v>191</v>
      </c>
      <c r="S148" s="43">
        <v>37.454999999999998</v>
      </c>
      <c r="T148" s="43">
        <v>-144.667</v>
      </c>
      <c r="U148" s="43">
        <v>1.0657000000000001</v>
      </c>
      <c r="V148" s="43">
        <v>18.998999999999999</v>
      </c>
      <c r="W148" s="43">
        <v>0</v>
      </c>
      <c r="X148" s="43">
        <v>0</v>
      </c>
      <c r="Y148" s="43">
        <v>1.0999999999999999E-2</v>
      </c>
      <c r="Z148" s="51">
        <v>0.2</v>
      </c>
      <c r="AA148" s="43">
        <v>6667.5420000000004</v>
      </c>
      <c r="AB148" s="43">
        <v>0.77800000000000002</v>
      </c>
      <c r="AC148" s="43">
        <v>7823.2650000000003</v>
      </c>
      <c r="AD148" s="43">
        <v>4.4999999999999998E-2</v>
      </c>
      <c r="AE148" s="43">
        <v>0.96399999999999997</v>
      </c>
      <c r="AF148" s="69">
        <v>0</v>
      </c>
      <c r="AG148" s="43">
        <v>20.251000000000001</v>
      </c>
      <c r="AH148" s="69">
        <v>-126.64100000000001</v>
      </c>
      <c r="AI148" s="69">
        <v>136.34100000000001</v>
      </c>
      <c r="AJ148" s="69" t="s">
        <v>1443</v>
      </c>
      <c r="AK148" s="69">
        <v>1</v>
      </c>
      <c r="AL148" s="69">
        <v>0</v>
      </c>
      <c r="AM148" s="69">
        <v>0</v>
      </c>
      <c r="AN148" s="69">
        <v>1</v>
      </c>
      <c r="AO148" s="69">
        <v>0</v>
      </c>
      <c r="AP148" s="43">
        <v>0</v>
      </c>
      <c r="AQ148" s="68" t="s">
        <v>1774</v>
      </c>
      <c r="AR148" s="43" t="s">
        <v>827</v>
      </c>
      <c r="AS148" s="43">
        <v>1468</v>
      </c>
      <c r="AT148" s="43">
        <v>18.128</v>
      </c>
      <c r="AU148" s="69">
        <v>-657.1</v>
      </c>
      <c r="AV148" s="69">
        <v>267.12</v>
      </c>
      <c r="AW148" s="43">
        <v>75.459699999999998</v>
      </c>
      <c r="AX148" s="43">
        <v>0.83089999999999997</v>
      </c>
      <c r="AY148" s="69">
        <v>-657.1</v>
      </c>
      <c r="AZ148" s="69">
        <v>267.12</v>
      </c>
      <c r="BA148" s="43">
        <v>75.459699999999998</v>
      </c>
      <c r="BB148" s="43">
        <v>0.83089999999999997</v>
      </c>
      <c r="BC148" s="69">
        <v>1</v>
      </c>
      <c r="BD148" s="69">
        <v>1</v>
      </c>
      <c r="BE148" s="43">
        <v>0</v>
      </c>
      <c r="BF148" s="43">
        <v>-25.6</v>
      </c>
      <c r="BG148" s="43">
        <v>20.456800000000001</v>
      </c>
      <c r="BH148" s="43">
        <v>-25.6</v>
      </c>
      <c r="BI148" s="43">
        <v>26.690899999999999</v>
      </c>
      <c r="BJ148" s="43">
        <v>0</v>
      </c>
      <c r="BK148" s="53">
        <v>0.14099999999999999</v>
      </c>
      <c r="BL148" s="53">
        <v>181.6</v>
      </c>
      <c r="BM148" s="43">
        <v>2</v>
      </c>
      <c r="BN148" s="34" t="s">
        <v>89</v>
      </c>
      <c r="BO148" s="34" t="s">
        <v>89</v>
      </c>
      <c r="BP148" s="34" t="s">
        <v>89</v>
      </c>
      <c r="BQ148" s="34" t="s">
        <v>89</v>
      </c>
      <c r="BR148" s="34" t="s">
        <v>89</v>
      </c>
      <c r="BS148" s="34" t="s">
        <v>89</v>
      </c>
      <c r="BT148" s="34" t="s">
        <v>89</v>
      </c>
      <c r="BU148" s="34" t="s">
        <v>89</v>
      </c>
      <c r="BV148" s="34" t="s">
        <v>89</v>
      </c>
      <c r="BW148" s="34" t="s">
        <v>89</v>
      </c>
      <c r="BX148" s="34" t="s">
        <v>89</v>
      </c>
      <c r="BY148" s="34" t="s">
        <v>89</v>
      </c>
      <c r="BZ148" s="34" t="s">
        <v>89</v>
      </c>
      <c r="CA148" s="34" t="s">
        <v>89</v>
      </c>
      <c r="CB148" s="34" t="s">
        <v>89</v>
      </c>
      <c r="CC148" s="34" t="s">
        <v>89</v>
      </c>
      <c r="CD148" s="34" t="s">
        <v>89</v>
      </c>
      <c r="CE148" s="43">
        <v>1</v>
      </c>
      <c r="CF148" s="43">
        <v>1</v>
      </c>
      <c r="CG148" s="43">
        <v>0</v>
      </c>
      <c r="CH148" s="43">
        <v>0</v>
      </c>
      <c r="CI148" s="43">
        <v>220</v>
      </c>
      <c r="CJ148" s="43">
        <v>-14.694000000000001</v>
      </c>
      <c r="CK148" s="43">
        <v>-7.6669999999999998</v>
      </c>
      <c r="CL148" s="43">
        <v>0</v>
      </c>
      <c r="CM148" s="43">
        <v>11103</v>
      </c>
      <c r="CN148" s="43">
        <v>1468</v>
      </c>
      <c r="CO148" s="43">
        <v>-657.1</v>
      </c>
      <c r="CP148" s="43">
        <v>267.12</v>
      </c>
      <c r="CQ148" s="43">
        <v>5.1210000000000004</v>
      </c>
      <c r="CR148" s="43">
        <v>16206.5516675776</v>
      </c>
      <c r="CS148" s="43">
        <v>0</v>
      </c>
      <c r="CT148" s="43">
        <v>1</v>
      </c>
      <c r="CU148" s="43">
        <v>1</v>
      </c>
      <c r="CV148" s="46" t="s">
        <v>89</v>
      </c>
      <c r="CW148" s="34"/>
      <c r="CX148" s="35"/>
    </row>
    <row r="149" spans="1:102" ht="15" customHeight="1" x14ac:dyDescent="0.25">
      <c r="A149" s="33">
        <v>146</v>
      </c>
      <c r="B149" s="43" t="s">
        <v>1165</v>
      </c>
      <c r="C149" s="43">
        <v>0.63360000000000005</v>
      </c>
      <c r="D149" s="43">
        <v>0.83299999999999996</v>
      </c>
      <c r="E149" s="43" t="s">
        <v>268</v>
      </c>
      <c r="F149" s="43" t="s">
        <v>237</v>
      </c>
      <c r="G149" s="43" t="s">
        <v>1166</v>
      </c>
      <c r="H149" s="43" t="s">
        <v>1167</v>
      </c>
      <c r="I149" s="43" t="s">
        <v>1168</v>
      </c>
      <c r="J149" s="43" t="s">
        <v>1169</v>
      </c>
      <c r="K149" s="43" t="s">
        <v>1170</v>
      </c>
      <c r="L149" s="43" t="s">
        <v>895</v>
      </c>
      <c r="M149" s="43" t="s">
        <v>840</v>
      </c>
      <c r="N149" s="43" t="s">
        <v>706</v>
      </c>
      <c r="O149" s="43" t="s">
        <v>683</v>
      </c>
      <c r="P149" s="43" t="s">
        <v>676</v>
      </c>
      <c r="Q149" s="43" t="s">
        <v>676</v>
      </c>
      <c r="R149" s="43" t="s">
        <v>191</v>
      </c>
      <c r="S149" s="43">
        <v>37.454999999999998</v>
      </c>
      <c r="T149" s="43">
        <v>-144.667</v>
      </c>
      <c r="U149" s="43">
        <v>13.5303</v>
      </c>
      <c r="V149" s="43">
        <v>-3.782</v>
      </c>
      <c r="W149" s="43">
        <v>0</v>
      </c>
      <c r="X149" s="43">
        <v>0</v>
      </c>
      <c r="Y149" s="43">
        <v>0.16900000000000001</v>
      </c>
      <c r="Z149" s="51">
        <v>0.183</v>
      </c>
      <c r="AA149" s="43">
        <v>7980.1490000000003</v>
      </c>
      <c r="AB149" s="43">
        <v>0.85199999999999998</v>
      </c>
      <c r="AC149" s="43">
        <v>6489.6959999999999</v>
      </c>
      <c r="AD149" s="43">
        <v>0.39900000000000002</v>
      </c>
      <c r="AE149" s="43">
        <v>0.96399999999999997</v>
      </c>
      <c r="AF149" s="69">
        <v>1</v>
      </c>
      <c r="AG149" s="43">
        <v>3.96</v>
      </c>
      <c r="AH149" s="69">
        <v>-34.619</v>
      </c>
      <c r="AI149" s="69">
        <v>59.731999999999999</v>
      </c>
      <c r="AJ149" s="69" t="s">
        <v>1444</v>
      </c>
      <c r="AK149" s="69">
        <v>0</v>
      </c>
      <c r="AL149" s="69">
        <v>2</v>
      </c>
      <c r="AM149" s="69">
        <v>1</v>
      </c>
      <c r="AN149" s="69">
        <v>1</v>
      </c>
      <c r="AO149" s="69">
        <v>0</v>
      </c>
      <c r="AP149" s="43">
        <v>0</v>
      </c>
      <c r="AQ149" s="68" t="s">
        <v>1733</v>
      </c>
      <c r="AR149" s="43" t="s">
        <v>835</v>
      </c>
      <c r="AS149" s="43">
        <v>2363</v>
      </c>
      <c r="AT149" s="43">
        <v>7.8769999999999998</v>
      </c>
      <c r="AU149" s="69">
        <v>-43.17</v>
      </c>
      <c r="AV149" s="69">
        <v>-657.1</v>
      </c>
      <c r="AW149" s="43">
        <v>17.079699999999999</v>
      </c>
      <c r="AX149" s="43">
        <v>0.72719999999999996</v>
      </c>
      <c r="AY149" s="69">
        <v>-43.17</v>
      </c>
      <c r="AZ149" s="69">
        <v>-657.1</v>
      </c>
      <c r="BA149" s="43">
        <v>17.079699999999999</v>
      </c>
      <c r="BB149" s="43">
        <v>0.72719999999999996</v>
      </c>
      <c r="BC149" s="69">
        <v>0</v>
      </c>
      <c r="BD149" s="69">
        <v>0</v>
      </c>
      <c r="BE149" s="43">
        <v>0</v>
      </c>
      <c r="BF149" s="43">
        <v>-10.5</v>
      </c>
      <c r="BG149" s="43">
        <v>22.883199999999999</v>
      </c>
      <c r="BH149" s="43">
        <v>-10.5</v>
      </c>
      <c r="BI149" s="43">
        <v>16.236599999999999</v>
      </c>
      <c r="BJ149" s="43">
        <v>1</v>
      </c>
      <c r="BK149" s="53">
        <v>0.14199999999999999</v>
      </c>
      <c r="BL149" s="53">
        <v>182.8</v>
      </c>
      <c r="BM149" s="43">
        <v>2</v>
      </c>
      <c r="BN149" s="34" t="s">
        <v>89</v>
      </c>
      <c r="BO149" s="34" t="s">
        <v>89</v>
      </c>
      <c r="BP149" s="34" t="s">
        <v>89</v>
      </c>
      <c r="BQ149" s="34" t="s">
        <v>89</v>
      </c>
      <c r="BR149" s="34" t="s">
        <v>89</v>
      </c>
      <c r="BS149" s="34" t="s">
        <v>89</v>
      </c>
      <c r="BT149" s="34" t="s">
        <v>89</v>
      </c>
      <c r="BU149" s="34" t="s">
        <v>89</v>
      </c>
      <c r="BV149" s="34" t="s">
        <v>89</v>
      </c>
      <c r="BW149" s="34" t="s">
        <v>89</v>
      </c>
      <c r="BX149" s="34" t="s">
        <v>89</v>
      </c>
      <c r="BY149" s="34" t="s">
        <v>89</v>
      </c>
      <c r="BZ149" s="34" t="s">
        <v>89</v>
      </c>
      <c r="CA149" s="34" t="s">
        <v>89</v>
      </c>
      <c r="CB149" s="34" t="s">
        <v>89</v>
      </c>
      <c r="CC149" s="34" t="s">
        <v>89</v>
      </c>
      <c r="CD149" s="34" t="s">
        <v>89</v>
      </c>
      <c r="CE149" s="43">
        <v>0.151225343894313</v>
      </c>
      <c r="CF149" s="43">
        <v>1</v>
      </c>
      <c r="CG149" s="43">
        <v>22.883199999999999</v>
      </c>
      <c r="CH149" s="43">
        <v>-10.5</v>
      </c>
      <c r="CI149" s="43">
        <v>182.91399999999999</v>
      </c>
      <c r="CJ149" s="43">
        <v>-20.4382980967112</v>
      </c>
      <c r="CK149" s="43">
        <v>2.0793878186588999</v>
      </c>
      <c r="CL149" s="43">
        <v>63176</v>
      </c>
      <c r="CM149" s="43">
        <v>41490</v>
      </c>
      <c r="CN149" s="43">
        <v>735</v>
      </c>
      <c r="CO149" s="43">
        <v>-43.17</v>
      </c>
      <c r="CP149" s="43">
        <v>-657.1</v>
      </c>
      <c r="CQ149" s="43">
        <v>-43.17</v>
      </c>
      <c r="CR149" s="43">
        <v>-657.1</v>
      </c>
      <c r="CS149" s="43">
        <v>0</v>
      </c>
      <c r="CT149" s="43">
        <v>1</v>
      </c>
      <c r="CU149" s="43">
        <v>1</v>
      </c>
      <c r="CV149" s="46" t="s">
        <v>89</v>
      </c>
      <c r="CW149" s="34"/>
      <c r="CX149" s="35"/>
    </row>
    <row r="150" spans="1:102" ht="15" customHeight="1" x14ac:dyDescent="0.25">
      <c r="A150" s="33">
        <v>147</v>
      </c>
      <c r="B150" s="43" t="s">
        <v>1404</v>
      </c>
      <c r="C150" s="43">
        <v>0.2334</v>
      </c>
      <c r="D150" s="43">
        <v>0.83299999999999996</v>
      </c>
      <c r="E150" s="43" t="s">
        <v>267</v>
      </c>
      <c r="F150" s="43" t="s">
        <v>216</v>
      </c>
      <c r="G150" s="43" t="s">
        <v>1171</v>
      </c>
      <c r="H150" s="43" t="s">
        <v>1172</v>
      </c>
      <c r="I150" s="43" t="s">
        <v>1173</v>
      </c>
      <c r="J150" s="43" t="s">
        <v>1174</v>
      </c>
      <c r="K150" s="43" t="s">
        <v>1175</v>
      </c>
      <c r="L150" s="43" t="s">
        <v>895</v>
      </c>
      <c r="M150" s="43" t="s">
        <v>840</v>
      </c>
      <c r="N150" s="43" t="s">
        <v>706</v>
      </c>
      <c r="O150" s="43" t="s">
        <v>683</v>
      </c>
      <c r="P150" s="43" t="s">
        <v>676</v>
      </c>
      <c r="Q150" s="43" t="s">
        <v>676</v>
      </c>
      <c r="R150" s="43" t="s">
        <v>191</v>
      </c>
      <c r="S150" s="43">
        <v>37.454999999999998</v>
      </c>
      <c r="T150" s="43">
        <v>-144.667</v>
      </c>
      <c r="U150" s="43">
        <v>30.4999</v>
      </c>
      <c r="V150" s="43">
        <v>-7.7130000000000001</v>
      </c>
      <c r="W150" s="43">
        <v>0</v>
      </c>
      <c r="X150" s="43">
        <v>0</v>
      </c>
      <c r="Y150" s="51">
        <v>0</v>
      </c>
      <c r="Z150" s="43">
        <v>0.13200000000000001</v>
      </c>
      <c r="AA150" s="43">
        <v>3827.2660000000001</v>
      </c>
      <c r="AB150" s="43">
        <v>0.72399999999999998</v>
      </c>
      <c r="AC150" s="43">
        <v>2156.6410000000001</v>
      </c>
      <c r="AD150" s="43">
        <v>0.111</v>
      </c>
      <c r="AE150" s="43">
        <v>0.96899999999999997</v>
      </c>
      <c r="AF150" s="43">
        <v>1</v>
      </c>
      <c r="AG150" s="43">
        <v>7.048</v>
      </c>
      <c r="AH150" s="43">
        <v>-118.848</v>
      </c>
      <c r="AI150" s="43">
        <v>-118.848</v>
      </c>
      <c r="AJ150" s="43" t="s">
        <v>1408</v>
      </c>
      <c r="AK150" s="69">
        <v>1</v>
      </c>
      <c r="AL150" s="69">
        <v>1</v>
      </c>
      <c r="AM150" s="69">
        <v>0</v>
      </c>
      <c r="AN150" s="69">
        <v>0</v>
      </c>
      <c r="AO150" s="69">
        <v>0</v>
      </c>
      <c r="AP150" s="69">
        <v>1</v>
      </c>
      <c r="AQ150" s="68" t="s">
        <v>1773</v>
      </c>
      <c r="AR150" s="43" t="s">
        <v>842</v>
      </c>
      <c r="AS150" s="43">
        <v>672</v>
      </c>
      <c r="AT150" s="43">
        <v>6.8239999999999998</v>
      </c>
      <c r="AU150" s="69">
        <v>1118</v>
      </c>
      <c r="AV150" s="69">
        <v>-43.17</v>
      </c>
      <c r="AW150" s="43">
        <v>52.7087</v>
      </c>
      <c r="AX150" s="43">
        <v>0.58430000000000004</v>
      </c>
      <c r="AY150" s="69">
        <v>1118</v>
      </c>
      <c r="AZ150" s="69">
        <v>-43.17</v>
      </c>
      <c r="BA150" s="43">
        <v>52.7087</v>
      </c>
      <c r="BB150" s="43">
        <v>0.58430000000000004</v>
      </c>
      <c r="BC150" s="69">
        <v>1</v>
      </c>
      <c r="BD150" s="69">
        <v>1</v>
      </c>
      <c r="BE150" s="43">
        <v>0</v>
      </c>
      <c r="BF150" s="43">
        <v>-11.6</v>
      </c>
      <c r="BG150" s="43">
        <v>13.042299999999999</v>
      </c>
      <c r="BH150" s="43">
        <v>-11.6</v>
      </c>
      <c r="BI150" s="43">
        <v>15.3011</v>
      </c>
      <c r="BJ150" s="53">
        <v>0</v>
      </c>
      <c r="BK150" s="53">
        <v>0.14299999999999999</v>
      </c>
      <c r="BL150" s="53">
        <v>184</v>
      </c>
      <c r="BM150" s="43">
        <v>2</v>
      </c>
      <c r="BN150" s="34" t="s">
        <v>89</v>
      </c>
      <c r="BO150" s="34" t="s">
        <v>89</v>
      </c>
      <c r="BP150" s="34" t="s">
        <v>89</v>
      </c>
      <c r="BQ150" s="34" t="s">
        <v>89</v>
      </c>
      <c r="BR150" s="34" t="s">
        <v>89</v>
      </c>
      <c r="BS150" s="34" t="s">
        <v>89</v>
      </c>
      <c r="BT150" s="34" t="s">
        <v>89</v>
      </c>
      <c r="BU150" s="34" t="s">
        <v>89</v>
      </c>
      <c r="BV150" s="34" t="s">
        <v>89</v>
      </c>
      <c r="BW150" s="34" t="s">
        <v>89</v>
      </c>
      <c r="BX150" s="34" t="s">
        <v>89</v>
      </c>
      <c r="BY150" s="34" t="s">
        <v>89</v>
      </c>
      <c r="BZ150" s="34" t="s">
        <v>89</v>
      </c>
      <c r="CA150" s="34" t="s">
        <v>89</v>
      </c>
      <c r="CB150" s="34" t="s">
        <v>89</v>
      </c>
      <c r="CC150" s="34" t="s">
        <v>89</v>
      </c>
      <c r="CD150" s="34" t="s">
        <v>89</v>
      </c>
      <c r="CE150" s="43">
        <v>-3.7815095258065799E-3</v>
      </c>
      <c r="CF150" s="43">
        <v>1</v>
      </c>
      <c r="CG150" s="43">
        <v>0</v>
      </c>
      <c r="CH150" s="43">
        <v>0</v>
      </c>
      <c r="CI150" s="43">
        <v>220</v>
      </c>
      <c r="CJ150" s="43">
        <v>-2.1964702099295401</v>
      </c>
      <c r="CK150" s="43">
        <v>4.3185117363383503</v>
      </c>
      <c r="CL150" s="43">
        <v>0</v>
      </c>
      <c r="CM150" s="43">
        <v>48736</v>
      </c>
      <c r="CN150" s="43">
        <v>672</v>
      </c>
      <c r="CO150" s="43">
        <v>-7.6669999999999998</v>
      </c>
      <c r="CP150" s="43">
        <v>-680.76885260970005</v>
      </c>
      <c r="CQ150" s="43">
        <v>24.847999999999999</v>
      </c>
      <c r="CR150" s="43">
        <v>-661.77033810969999</v>
      </c>
      <c r="CS150" s="43">
        <v>1</v>
      </c>
      <c r="CT150" s="43">
        <v>0.38058012499999999</v>
      </c>
      <c r="CU150" s="43">
        <v>1</v>
      </c>
      <c r="CV150" s="46" t="s">
        <v>89</v>
      </c>
      <c r="CW150" s="34"/>
      <c r="CX150" s="35"/>
    </row>
    <row r="151" spans="1:102" ht="15" customHeight="1" x14ac:dyDescent="0.25">
      <c r="A151" s="33">
        <v>148</v>
      </c>
      <c r="B151" s="43" t="s">
        <v>1176</v>
      </c>
      <c r="C151" s="43">
        <v>0.9375</v>
      </c>
      <c r="D151" s="43">
        <v>4.7E-2</v>
      </c>
      <c r="E151" s="43" t="s">
        <v>216</v>
      </c>
      <c r="F151" s="43" t="s">
        <v>179</v>
      </c>
      <c r="G151" s="43" t="s">
        <v>1177</v>
      </c>
      <c r="H151" s="43" t="s">
        <v>1178</v>
      </c>
      <c r="I151" s="43" t="s">
        <v>1179</v>
      </c>
      <c r="J151" s="43" t="s">
        <v>1180</v>
      </c>
      <c r="K151" s="43" t="s">
        <v>1181</v>
      </c>
      <c r="L151" s="43" t="s">
        <v>861</v>
      </c>
      <c r="M151" s="43" t="s">
        <v>802</v>
      </c>
      <c r="N151" s="43" t="s">
        <v>724</v>
      </c>
      <c r="O151" s="43" t="s">
        <v>698</v>
      </c>
      <c r="P151" s="43" t="s">
        <v>776</v>
      </c>
      <c r="Q151" s="43" t="s">
        <v>349</v>
      </c>
      <c r="R151" s="43" t="s">
        <v>311</v>
      </c>
      <c r="S151" s="43">
        <v>-105.246</v>
      </c>
      <c r="T151" s="43">
        <v>5.7240000000000002</v>
      </c>
      <c r="U151" s="53">
        <v>-16.754899999999999</v>
      </c>
      <c r="V151" s="43">
        <v>-7.65</v>
      </c>
      <c r="W151" s="43">
        <v>1</v>
      </c>
      <c r="X151" s="43">
        <v>1</v>
      </c>
      <c r="Y151" s="51">
        <v>0.2</v>
      </c>
      <c r="Z151" s="43">
        <v>1.7999999999999999E-2</v>
      </c>
      <c r="AA151" s="43">
        <v>208.03299999999999</v>
      </c>
      <c r="AB151" s="43">
        <v>0.84899999999999998</v>
      </c>
      <c r="AC151" s="43">
        <v>5517.4970000000003</v>
      </c>
      <c r="AD151" s="43">
        <v>0.81699999999999995</v>
      </c>
      <c r="AE151" s="43">
        <v>0.97799999999999998</v>
      </c>
      <c r="AF151" s="43">
        <v>1</v>
      </c>
      <c r="AG151" s="43">
        <v>-20.477</v>
      </c>
      <c r="AH151" s="43">
        <v>50.061</v>
      </c>
      <c r="AI151" s="43">
        <v>59.304000000000002</v>
      </c>
      <c r="AJ151" s="43" t="s">
        <v>1451</v>
      </c>
      <c r="AK151" s="69">
        <v>1</v>
      </c>
      <c r="AL151" s="69">
        <v>0</v>
      </c>
      <c r="AM151" s="69">
        <v>0</v>
      </c>
      <c r="AN151" s="69">
        <v>1</v>
      </c>
      <c r="AO151" s="69">
        <v>0</v>
      </c>
      <c r="AP151" s="43">
        <v>0</v>
      </c>
      <c r="AQ151" s="68" t="s">
        <v>1774</v>
      </c>
      <c r="AR151" s="43" t="s">
        <v>849</v>
      </c>
      <c r="AS151" s="43">
        <v>1798</v>
      </c>
      <c r="AT151" s="43">
        <v>4.3559999999999999</v>
      </c>
      <c r="AU151" s="69">
        <v>-627.17999999999995</v>
      </c>
      <c r="AV151" s="69">
        <v>1118</v>
      </c>
      <c r="AW151" s="43">
        <v>87.764899999999997</v>
      </c>
      <c r="AX151" s="43">
        <v>0.60560000000000003</v>
      </c>
      <c r="AY151" s="69">
        <v>-627.17999999999995</v>
      </c>
      <c r="AZ151" s="69">
        <v>1118</v>
      </c>
      <c r="BA151" s="43">
        <v>87.764899999999997</v>
      </c>
      <c r="BB151" s="43">
        <v>0.60560000000000003</v>
      </c>
      <c r="BC151" s="69">
        <v>1</v>
      </c>
      <c r="BD151" s="69">
        <v>1</v>
      </c>
      <c r="BE151" s="43">
        <v>0</v>
      </c>
      <c r="BF151" s="43">
        <v>-30.2</v>
      </c>
      <c r="BG151" s="43">
        <v>4.9817</v>
      </c>
      <c r="BH151" s="43">
        <v>-30.2</v>
      </c>
      <c r="BI151" s="43">
        <v>17.519500000000001</v>
      </c>
      <c r="BJ151" s="53">
        <v>1</v>
      </c>
      <c r="BK151" s="53">
        <v>0.14399999999999999</v>
      </c>
      <c r="BL151" s="53">
        <v>185.2</v>
      </c>
      <c r="BM151" s="43">
        <v>2</v>
      </c>
      <c r="BN151" s="34" t="s">
        <v>89</v>
      </c>
      <c r="BO151" s="34" t="s">
        <v>89</v>
      </c>
      <c r="BP151" s="34" t="s">
        <v>89</v>
      </c>
      <c r="BQ151" s="34" t="s">
        <v>89</v>
      </c>
      <c r="BR151" s="34" t="s">
        <v>89</v>
      </c>
      <c r="BS151" s="34" t="s">
        <v>89</v>
      </c>
      <c r="BT151" s="34" t="s">
        <v>89</v>
      </c>
      <c r="BU151" s="34" t="s">
        <v>89</v>
      </c>
      <c r="BV151" s="34" t="s">
        <v>89</v>
      </c>
      <c r="BW151" s="34" t="s">
        <v>89</v>
      </c>
      <c r="BX151" s="34" t="s">
        <v>89</v>
      </c>
      <c r="BY151" s="34" t="s">
        <v>89</v>
      </c>
      <c r="BZ151" s="34" t="s">
        <v>89</v>
      </c>
      <c r="CA151" s="34" t="s">
        <v>89</v>
      </c>
      <c r="CB151" s="34" t="s">
        <v>89</v>
      </c>
      <c r="CC151" s="34" t="s">
        <v>89</v>
      </c>
      <c r="CD151" s="34" t="s">
        <v>89</v>
      </c>
      <c r="CE151" s="43">
        <v>0.104775926679919</v>
      </c>
      <c r="CF151" s="43">
        <v>1</v>
      </c>
      <c r="CG151" s="43">
        <v>0</v>
      </c>
      <c r="CH151" s="43">
        <v>0</v>
      </c>
      <c r="CI151" s="43">
        <v>131.10900000000001</v>
      </c>
      <c r="CJ151" s="43">
        <v>-28.412792082911398</v>
      </c>
      <c r="CK151" s="43">
        <v>-10.578013521131901</v>
      </c>
      <c r="CL151" s="43">
        <v>0</v>
      </c>
      <c r="CM151" s="43">
        <v>24271</v>
      </c>
      <c r="CN151" s="43">
        <v>1798</v>
      </c>
      <c r="CO151" s="43">
        <v>-627.17999999999995</v>
      </c>
      <c r="CP151" s="43">
        <v>1118</v>
      </c>
      <c r="CQ151" s="43">
        <v>29.024000000000001</v>
      </c>
      <c r="CR151" s="43">
        <v>59059.930132319998</v>
      </c>
      <c r="CS151" s="43">
        <v>0.82299587500000004</v>
      </c>
      <c r="CT151" s="43">
        <v>1</v>
      </c>
      <c r="CU151" s="43">
        <v>1</v>
      </c>
      <c r="CV151" s="46" t="s">
        <v>89</v>
      </c>
      <c r="CW151" s="34"/>
      <c r="CX151" s="35"/>
    </row>
    <row r="152" spans="1:102" ht="15" customHeight="1" x14ac:dyDescent="0.25">
      <c r="A152" s="33">
        <v>149</v>
      </c>
      <c r="B152" s="43" t="s">
        <v>1182</v>
      </c>
      <c r="C152" s="43">
        <v>0.83099999999999996</v>
      </c>
      <c r="D152" s="43">
        <v>0.72499999999999998</v>
      </c>
      <c r="E152" s="43" t="s">
        <v>268</v>
      </c>
      <c r="F152" s="43" t="s">
        <v>237</v>
      </c>
      <c r="G152" s="43" t="s">
        <v>1183</v>
      </c>
      <c r="H152" s="43" t="s">
        <v>1184</v>
      </c>
      <c r="I152" s="43" t="s">
        <v>1185</v>
      </c>
      <c r="J152" s="43" t="s">
        <v>1186</v>
      </c>
      <c r="K152" s="43" t="s">
        <v>1187</v>
      </c>
      <c r="L152" s="43" t="s">
        <v>867</v>
      </c>
      <c r="M152" s="43" t="s">
        <v>809</v>
      </c>
      <c r="N152" s="43" t="s">
        <v>733</v>
      </c>
      <c r="O152" s="43" t="s">
        <v>707</v>
      </c>
      <c r="P152" s="43" t="s">
        <v>662</v>
      </c>
      <c r="Q152" s="43" t="s">
        <v>357</v>
      </c>
      <c r="R152" s="43" t="s">
        <v>202</v>
      </c>
      <c r="S152" s="43">
        <v>-213.02699999999999</v>
      </c>
      <c r="T152" s="43">
        <v>59.304000000000002</v>
      </c>
      <c r="U152" s="43">
        <v>30.436399999999999</v>
      </c>
      <c r="V152" s="43">
        <v>-9.0519999999999996</v>
      </c>
      <c r="W152" s="43">
        <v>0</v>
      </c>
      <c r="X152" s="43">
        <v>1</v>
      </c>
      <c r="Y152" s="51">
        <v>5.8999999999999997E-2</v>
      </c>
      <c r="Z152" s="43">
        <v>3.3000000000000002E-2</v>
      </c>
      <c r="AA152" s="43">
        <v>6145.5730000000003</v>
      </c>
      <c r="AB152" s="43">
        <v>0.23200000000000001</v>
      </c>
      <c r="AC152" s="43">
        <v>4019.2080000000001</v>
      </c>
      <c r="AD152" s="43">
        <v>0.65700000000000003</v>
      </c>
      <c r="AE152" s="43">
        <v>0.997</v>
      </c>
      <c r="AF152" s="43">
        <v>0</v>
      </c>
      <c r="AG152" s="43">
        <v>2.0489999999999999</v>
      </c>
      <c r="AH152" s="43">
        <v>136.34100000000001</v>
      </c>
      <c r="AI152" s="43">
        <v>50.061</v>
      </c>
      <c r="AJ152" s="43" t="s">
        <v>1440</v>
      </c>
      <c r="AK152" s="69">
        <v>0</v>
      </c>
      <c r="AL152" s="69">
        <v>2</v>
      </c>
      <c r="AM152" s="69">
        <v>1</v>
      </c>
      <c r="AN152" s="69">
        <v>1</v>
      </c>
      <c r="AO152" s="69">
        <v>0</v>
      </c>
      <c r="AP152" s="43">
        <v>0</v>
      </c>
      <c r="AQ152" s="68" t="s">
        <v>1733</v>
      </c>
      <c r="AR152" s="43" t="s">
        <v>856</v>
      </c>
      <c r="AS152" s="43">
        <v>2210</v>
      </c>
      <c r="AT152" s="43">
        <v>-6.99</v>
      </c>
      <c r="AU152" s="69">
        <v>-1118</v>
      </c>
      <c r="AV152" s="69">
        <v>-627.17999999999995</v>
      </c>
      <c r="AW152" s="43">
        <v>58.654400000000003</v>
      </c>
      <c r="AX152" s="43">
        <v>0.82130000000000003</v>
      </c>
      <c r="AY152" s="69">
        <v>-1118</v>
      </c>
      <c r="AZ152" s="69">
        <v>-627.17999999999995</v>
      </c>
      <c r="BA152" s="43">
        <v>58.654400000000003</v>
      </c>
      <c r="BB152" s="43">
        <v>0.82130000000000003</v>
      </c>
      <c r="BC152" s="69">
        <v>0</v>
      </c>
      <c r="BD152" s="69">
        <v>0</v>
      </c>
      <c r="BE152" s="43">
        <v>0</v>
      </c>
      <c r="BF152" s="43">
        <v>-9.65</v>
      </c>
      <c r="BG152" s="43">
        <v>27.638300000000001</v>
      </c>
      <c r="BH152" s="43">
        <v>-9.65</v>
      </c>
      <c r="BI152" s="43">
        <v>27.235900000000001</v>
      </c>
      <c r="BJ152" s="53">
        <v>0</v>
      </c>
      <c r="BK152" s="53">
        <v>0.14499999999999999</v>
      </c>
      <c r="BL152" s="53">
        <v>186.4</v>
      </c>
      <c r="BM152" s="43">
        <v>2</v>
      </c>
      <c r="BN152" s="34" t="s">
        <v>89</v>
      </c>
      <c r="BO152" s="34" t="s">
        <v>89</v>
      </c>
      <c r="BP152" s="34" t="s">
        <v>89</v>
      </c>
      <c r="BQ152" s="34" t="s">
        <v>89</v>
      </c>
      <c r="BR152" s="34" t="s">
        <v>89</v>
      </c>
      <c r="BS152" s="34" t="s">
        <v>89</v>
      </c>
      <c r="BT152" s="34" t="s">
        <v>89</v>
      </c>
      <c r="BU152" s="34" t="s">
        <v>89</v>
      </c>
      <c r="BV152" s="34" t="s">
        <v>89</v>
      </c>
      <c r="BW152" s="34" t="s">
        <v>89</v>
      </c>
      <c r="BX152" s="34" t="s">
        <v>89</v>
      </c>
      <c r="BY152" s="34" t="s">
        <v>89</v>
      </c>
      <c r="BZ152" s="34" t="s">
        <v>89</v>
      </c>
      <c r="CA152" s="34" t="s">
        <v>89</v>
      </c>
      <c r="CB152" s="34" t="s">
        <v>89</v>
      </c>
      <c r="CC152" s="34" t="s">
        <v>89</v>
      </c>
      <c r="CD152" s="34" t="s">
        <v>89</v>
      </c>
      <c r="CE152" s="43">
        <v>0.353382762112945</v>
      </c>
      <c r="CF152" s="43">
        <v>2.0757730196549899</v>
      </c>
      <c r="CG152" s="43">
        <v>27.638300000000001</v>
      </c>
      <c r="CH152" s="43">
        <v>-9.65</v>
      </c>
      <c r="CI152" s="43">
        <v>220</v>
      </c>
      <c r="CJ152" s="43">
        <v>-10.1278763849109</v>
      </c>
      <c r="CK152" s="43">
        <v>-17.246993958352601</v>
      </c>
      <c r="CL152" s="43">
        <v>65339</v>
      </c>
      <c r="CM152" s="43">
        <v>50040</v>
      </c>
      <c r="CN152" s="43">
        <v>1636</v>
      </c>
      <c r="CO152" s="43">
        <v>-1118</v>
      </c>
      <c r="CP152" s="43">
        <v>-627.17999999999995</v>
      </c>
      <c r="CQ152" s="43">
        <v>-1118</v>
      </c>
      <c r="CR152" s="43">
        <v>-627.17999999999995</v>
      </c>
      <c r="CS152" s="43">
        <v>0</v>
      </c>
      <c r="CT152" s="43">
        <v>1</v>
      </c>
      <c r="CU152" s="43">
        <v>1</v>
      </c>
      <c r="CV152" s="46" t="s">
        <v>89</v>
      </c>
      <c r="CW152" s="34"/>
      <c r="CX152" s="35"/>
    </row>
    <row r="153" spans="1:102" ht="15" customHeight="1" x14ac:dyDescent="0.25">
      <c r="A153" s="33">
        <v>150</v>
      </c>
      <c r="B153" s="43" t="s">
        <v>1188</v>
      </c>
      <c r="C153" s="43">
        <v>7.4899999999999994E-2</v>
      </c>
      <c r="D153" s="43">
        <v>0.56599999999999995</v>
      </c>
      <c r="E153" s="43" t="s">
        <v>281</v>
      </c>
      <c r="F153" s="43" t="s">
        <v>268</v>
      </c>
      <c r="G153" s="43" t="s">
        <v>1189</v>
      </c>
      <c r="H153" s="43" t="s">
        <v>1190</v>
      </c>
      <c r="I153" s="43" t="s">
        <v>1191</v>
      </c>
      <c r="J153" s="43" t="s">
        <v>1192</v>
      </c>
      <c r="K153" s="43" t="s">
        <v>1193</v>
      </c>
      <c r="L153" s="43" t="s">
        <v>855</v>
      </c>
      <c r="M153" s="43" t="s">
        <v>848</v>
      </c>
      <c r="N153" s="43" t="s">
        <v>669</v>
      </c>
      <c r="O153" s="43" t="s">
        <v>676</v>
      </c>
      <c r="P153" s="43" t="s">
        <v>669</v>
      </c>
      <c r="Q153" s="43" t="s">
        <v>669</v>
      </c>
      <c r="R153" s="43" t="s">
        <v>295</v>
      </c>
      <c r="S153" s="43">
        <v>67.489999999999995</v>
      </c>
      <c r="T153" s="43">
        <v>83.948999999999998</v>
      </c>
      <c r="U153" s="43">
        <v>20.391100000000002</v>
      </c>
      <c r="V153" s="43">
        <v>-9.6630000000000003</v>
      </c>
      <c r="W153" s="43">
        <v>1</v>
      </c>
      <c r="X153" s="43">
        <v>1</v>
      </c>
      <c r="Y153" s="43">
        <v>5.6000000000000001E-2</v>
      </c>
      <c r="Z153" s="43">
        <v>0.14000000000000001</v>
      </c>
      <c r="AA153" s="43">
        <v>6616.0240000000003</v>
      </c>
      <c r="AB153" s="43">
        <v>0.91100000000000003</v>
      </c>
      <c r="AC153" s="43">
        <v>5777.7070000000003</v>
      </c>
      <c r="AD153" s="43">
        <v>0.51300000000000001</v>
      </c>
      <c r="AE153" s="43">
        <v>0.97099999999999997</v>
      </c>
      <c r="AF153" s="43">
        <v>1</v>
      </c>
      <c r="AG153" s="51">
        <v>-25</v>
      </c>
      <c r="AH153" s="43">
        <v>-34.619</v>
      </c>
      <c r="AI153" s="43">
        <v>59.731999999999999</v>
      </c>
      <c r="AJ153" s="43" t="s">
        <v>1444</v>
      </c>
      <c r="AK153" s="69">
        <v>1</v>
      </c>
      <c r="AL153" s="69">
        <v>1</v>
      </c>
      <c r="AM153" s="69">
        <v>0</v>
      </c>
      <c r="AN153" s="69">
        <v>0</v>
      </c>
      <c r="AO153" s="69">
        <v>0</v>
      </c>
      <c r="AP153" s="69">
        <v>1</v>
      </c>
      <c r="AQ153" s="68" t="s">
        <v>1773</v>
      </c>
      <c r="AR153" s="43" t="s">
        <v>797</v>
      </c>
      <c r="AS153" s="43">
        <v>1099</v>
      </c>
      <c r="AT153" s="43">
        <v>0.39800000000000002</v>
      </c>
      <c r="AU153" s="69">
        <v>1118</v>
      </c>
      <c r="AV153" s="69">
        <v>-1118</v>
      </c>
      <c r="AW153" s="43">
        <v>40.261200000000002</v>
      </c>
      <c r="AX153" s="43">
        <v>0.92559999999999998</v>
      </c>
      <c r="AY153" s="69">
        <v>1118</v>
      </c>
      <c r="AZ153" s="69">
        <v>-1118</v>
      </c>
      <c r="BA153" s="43">
        <v>40.261200000000002</v>
      </c>
      <c r="BB153" s="43">
        <v>0.92559999999999998</v>
      </c>
      <c r="BC153" s="69">
        <v>1</v>
      </c>
      <c r="BD153" s="69">
        <v>1</v>
      </c>
      <c r="BE153" s="43">
        <v>0</v>
      </c>
      <c r="BF153" s="43">
        <v>-22.41</v>
      </c>
      <c r="BG153" s="43">
        <v>8.1127000000000002</v>
      </c>
      <c r="BH153" s="43">
        <v>-22.41</v>
      </c>
      <c r="BI153" s="43">
        <v>15.4277</v>
      </c>
      <c r="BJ153" s="53">
        <v>1</v>
      </c>
      <c r="BK153" s="53">
        <v>0.14599999999999999</v>
      </c>
      <c r="BL153" s="53">
        <v>187.6</v>
      </c>
      <c r="BM153" s="43">
        <v>2</v>
      </c>
      <c r="BN153" s="34" t="s">
        <v>89</v>
      </c>
      <c r="BO153" s="34" t="s">
        <v>89</v>
      </c>
      <c r="BP153" s="34" t="s">
        <v>89</v>
      </c>
      <c r="BQ153" s="34" t="s">
        <v>89</v>
      </c>
      <c r="BR153" s="34" t="s">
        <v>89</v>
      </c>
      <c r="BS153" s="34" t="s">
        <v>89</v>
      </c>
      <c r="BT153" s="34" t="s">
        <v>89</v>
      </c>
      <c r="BU153" s="34" t="s">
        <v>89</v>
      </c>
      <c r="BV153" s="34" t="s">
        <v>89</v>
      </c>
      <c r="BW153" s="34" t="s">
        <v>89</v>
      </c>
      <c r="BX153" s="34" t="s">
        <v>89</v>
      </c>
      <c r="BY153" s="34" t="s">
        <v>89</v>
      </c>
      <c r="BZ153" s="34" t="s">
        <v>89</v>
      </c>
      <c r="CA153" s="34" t="s">
        <v>89</v>
      </c>
      <c r="CB153" s="34" t="s">
        <v>89</v>
      </c>
      <c r="CC153" s="34" t="s">
        <v>89</v>
      </c>
      <c r="CD153" s="34" t="s">
        <v>89</v>
      </c>
      <c r="CE153" s="43">
        <v>2.2228430023722101E-2</v>
      </c>
      <c r="CF153" s="43">
        <v>1</v>
      </c>
      <c r="CG153" s="43">
        <v>0</v>
      </c>
      <c r="CH153" s="43">
        <v>0</v>
      </c>
      <c r="CI153" s="43">
        <v>-45.366</v>
      </c>
      <c r="CJ153" s="43">
        <v>-3.1141253003667501E-2</v>
      </c>
      <c r="CK153" s="43">
        <v>4.8549001248595598</v>
      </c>
      <c r="CL153" s="43">
        <v>0</v>
      </c>
      <c r="CM153" s="43">
        <v>895</v>
      </c>
      <c r="CN153" s="43">
        <v>1099</v>
      </c>
      <c r="CO153" s="43">
        <v>1118</v>
      </c>
      <c r="CP153" s="43">
        <v>-1118</v>
      </c>
      <c r="CQ153" s="43">
        <v>18.951000000000001</v>
      </c>
      <c r="CR153" s="43">
        <v>-40610.76534736</v>
      </c>
      <c r="CS153" s="43">
        <v>1</v>
      </c>
      <c r="CT153" s="43">
        <v>1</v>
      </c>
      <c r="CU153" s="43">
        <v>1</v>
      </c>
      <c r="CV153" s="46" t="s">
        <v>89</v>
      </c>
      <c r="CW153" s="34"/>
      <c r="CX153" s="35"/>
    </row>
    <row r="154" spans="1:102" ht="15" customHeight="1" x14ac:dyDescent="0.25">
      <c r="A154" s="33">
        <v>151</v>
      </c>
      <c r="B154" s="43" t="s">
        <v>1194</v>
      </c>
      <c r="C154" s="43">
        <v>0.7167</v>
      </c>
      <c r="D154" s="43">
        <v>0.83299999999999996</v>
      </c>
      <c r="E154" s="43" t="s">
        <v>294</v>
      </c>
      <c r="F154" s="43" t="s">
        <v>282</v>
      </c>
      <c r="G154" s="43" t="s">
        <v>1195</v>
      </c>
      <c r="H154" s="43" t="s">
        <v>1196</v>
      </c>
      <c r="I154" s="43" t="s">
        <v>1197</v>
      </c>
      <c r="J154" s="43" t="s">
        <v>1198</v>
      </c>
      <c r="K154" s="43" t="s">
        <v>1199</v>
      </c>
      <c r="L154" s="43" t="s">
        <v>861</v>
      </c>
      <c r="M154" s="43" t="s">
        <v>855</v>
      </c>
      <c r="N154" s="43" t="s">
        <v>706</v>
      </c>
      <c r="O154" s="43" t="s">
        <v>683</v>
      </c>
      <c r="P154" s="43" t="s">
        <v>676</v>
      </c>
      <c r="Q154" s="43" t="s">
        <v>676</v>
      </c>
      <c r="R154" s="43" t="s">
        <v>191</v>
      </c>
      <c r="S154" s="43">
        <v>37.454999999999998</v>
      </c>
      <c r="T154" s="43">
        <v>-144.667</v>
      </c>
      <c r="U154" s="43">
        <v>2.8521999999999998</v>
      </c>
      <c r="V154" s="43">
        <v>-27.334</v>
      </c>
      <c r="W154" s="43">
        <v>1</v>
      </c>
      <c r="X154" s="43">
        <v>0</v>
      </c>
      <c r="Y154" s="43">
        <v>0.151</v>
      </c>
      <c r="Z154" s="43">
        <v>2.1000000000000001E-2</v>
      </c>
      <c r="AA154" s="43">
        <v>5911.3230000000003</v>
      </c>
      <c r="AB154" s="43">
        <v>0.70199999999999996</v>
      </c>
      <c r="AC154" s="43">
        <v>2332.9360000000001</v>
      </c>
      <c r="AD154" s="43">
        <v>4.0000000000000001E-3</v>
      </c>
      <c r="AE154" s="43">
        <v>0.96299999999999997</v>
      </c>
      <c r="AF154" s="43">
        <v>1</v>
      </c>
      <c r="AG154" s="51">
        <v>25</v>
      </c>
      <c r="AH154" s="43">
        <v>59.731999999999999</v>
      </c>
      <c r="AI154" s="43">
        <v>-207.91800000000001</v>
      </c>
      <c r="AJ154" s="43" t="s">
        <v>1441</v>
      </c>
      <c r="AK154" s="69">
        <v>1</v>
      </c>
      <c r="AL154" s="69">
        <v>0</v>
      </c>
      <c r="AM154" s="69">
        <v>0</v>
      </c>
      <c r="AN154" s="69">
        <v>1</v>
      </c>
      <c r="AO154" s="69">
        <v>0</v>
      </c>
      <c r="AP154" s="43">
        <v>0</v>
      </c>
      <c r="AQ154" s="68" t="s">
        <v>1774</v>
      </c>
      <c r="AR154" s="43" t="s">
        <v>803</v>
      </c>
      <c r="AS154" s="43">
        <v>665</v>
      </c>
      <c r="AT154" s="43">
        <v>20.736999999999998</v>
      </c>
      <c r="AU154" s="69">
        <v>570.70000000000005</v>
      </c>
      <c r="AV154" s="69">
        <v>1118</v>
      </c>
      <c r="AW154" s="43">
        <v>60.231999999999999</v>
      </c>
      <c r="AX154" s="43">
        <v>0.5222</v>
      </c>
      <c r="AY154" s="69">
        <v>570.70000000000005</v>
      </c>
      <c r="AZ154" s="69">
        <v>1118</v>
      </c>
      <c r="BA154" s="43">
        <v>60.231999999999999</v>
      </c>
      <c r="BB154" s="43">
        <v>0.5222</v>
      </c>
      <c r="BC154" s="69">
        <v>1</v>
      </c>
      <c r="BD154" s="69">
        <v>1</v>
      </c>
      <c r="BE154" s="43">
        <v>1</v>
      </c>
      <c r="BF154" s="43">
        <v>-8.69</v>
      </c>
      <c r="BG154" s="43">
        <v>11.269299999999999</v>
      </c>
      <c r="BH154" s="43">
        <v>-8.69</v>
      </c>
      <c r="BI154" s="43">
        <v>13.285</v>
      </c>
      <c r="BJ154" s="43">
        <v>0</v>
      </c>
      <c r="BK154" s="53">
        <v>0.14699999999999999</v>
      </c>
      <c r="BL154" s="53">
        <v>188.8</v>
      </c>
      <c r="BM154" s="43">
        <v>2</v>
      </c>
      <c r="BN154" s="34" t="s">
        <v>89</v>
      </c>
      <c r="BO154" s="34" t="s">
        <v>89</v>
      </c>
      <c r="BP154" s="34" t="s">
        <v>89</v>
      </c>
      <c r="BQ154" s="34" t="s">
        <v>89</v>
      </c>
      <c r="BR154" s="34" t="s">
        <v>89</v>
      </c>
      <c r="BS154" s="34" t="s">
        <v>89</v>
      </c>
      <c r="BT154" s="34" t="s">
        <v>89</v>
      </c>
      <c r="BU154" s="34" t="s">
        <v>89</v>
      </c>
      <c r="BV154" s="34" t="s">
        <v>89</v>
      </c>
      <c r="BW154" s="34" t="s">
        <v>89</v>
      </c>
      <c r="BX154" s="34" t="s">
        <v>89</v>
      </c>
      <c r="BY154" s="34" t="s">
        <v>89</v>
      </c>
      <c r="BZ154" s="34" t="s">
        <v>89</v>
      </c>
      <c r="CA154" s="34" t="s">
        <v>89</v>
      </c>
      <c r="CB154" s="34" t="s">
        <v>89</v>
      </c>
      <c r="CC154" s="34" t="s">
        <v>89</v>
      </c>
      <c r="CD154" s="34" t="s">
        <v>89</v>
      </c>
      <c r="CE154" s="43">
        <v>0.73624709035704194</v>
      </c>
      <c r="CF154" s="43">
        <v>1</v>
      </c>
      <c r="CG154" s="43">
        <v>0</v>
      </c>
      <c r="CH154" s="43">
        <v>0</v>
      </c>
      <c r="CI154" s="43">
        <v>131.82499999999999</v>
      </c>
      <c r="CJ154" s="43">
        <v>-16.134981590181901</v>
      </c>
      <c r="CK154" s="43">
        <v>-25.117005754756899</v>
      </c>
      <c r="CL154" s="43">
        <v>0</v>
      </c>
      <c r="CM154" s="43">
        <v>13084</v>
      </c>
      <c r="CN154" s="43">
        <v>665</v>
      </c>
      <c r="CO154" s="43">
        <v>570.70000000000005</v>
      </c>
      <c r="CP154" s="43">
        <v>1118</v>
      </c>
      <c r="CQ154" s="43">
        <v>18.556000000000001</v>
      </c>
      <c r="CR154" s="43">
        <v>35472.331630400004</v>
      </c>
      <c r="CS154" s="43">
        <v>0</v>
      </c>
      <c r="CT154" s="43">
        <v>0.29561700000000002</v>
      </c>
      <c r="CU154" s="43">
        <v>1</v>
      </c>
      <c r="CV154" s="46" t="s">
        <v>89</v>
      </c>
      <c r="CW154" s="34"/>
      <c r="CX154" s="35"/>
    </row>
    <row r="155" spans="1:102" ht="15" customHeight="1" x14ac:dyDescent="0.25">
      <c r="A155" s="33">
        <v>152</v>
      </c>
      <c r="B155" s="43" t="s">
        <v>1898</v>
      </c>
      <c r="C155" s="43">
        <v>0.65080000000000005</v>
      </c>
      <c r="D155" s="43">
        <v>0.68700000000000006</v>
      </c>
      <c r="E155" s="43" t="s">
        <v>179</v>
      </c>
      <c r="F155" s="43" t="s">
        <v>573</v>
      </c>
      <c r="G155" s="43" t="s">
        <v>1200</v>
      </c>
      <c r="H155" s="43" t="s">
        <v>1201</v>
      </c>
      <c r="I155" s="43" t="s">
        <v>1202</v>
      </c>
      <c r="J155" s="43" t="s">
        <v>1203</v>
      </c>
      <c r="K155" s="43" t="s">
        <v>1204</v>
      </c>
      <c r="L155" s="43" t="s">
        <v>840</v>
      </c>
      <c r="M155" s="43" t="s">
        <v>841</v>
      </c>
      <c r="N155" s="43" t="s">
        <v>698</v>
      </c>
      <c r="O155" s="43" t="s">
        <v>676</v>
      </c>
      <c r="P155" s="43" t="s">
        <v>698</v>
      </c>
      <c r="Q155" s="43" t="s">
        <v>662</v>
      </c>
      <c r="R155" s="43" t="s">
        <v>405</v>
      </c>
      <c r="S155" s="43">
        <v>191.369</v>
      </c>
      <c r="T155" s="43">
        <v>-41.575000000000003</v>
      </c>
      <c r="U155" s="43">
        <v>30.692699999999999</v>
      </c>
      <c r="V155" s="43">
        <v>20.966999999999999</v>
      </c>
      <c r="W155" s="43">
        <v>1</v>
      </c>
      <c r="X155" s="43">
        <v>0</v>
      </c>
      <c r="Y155" s="43">
        <v>0.11600000000000001</v>
      </c>
      <c r="Z155" s="43">
        <v>0.126</v>
      </c>
      <c r="AA155" s="43">
        <v>7083.2719999999999</v>
      </c>
      <c r="AB155" s="43">
        <v>0.66200000000000003</v>
      </c>
      <c r="AC155" s="43">
        <v>947.89</v>
      </c>
      <c r="AD155" s="43">
        <v>0.48099999999999998</v>
      </c>
      <c r="AE155" s="43">
        <v>0.98799999999999999</v>
      </c>
      <c r="AF155" s="43">
        <v>0</v>
      </c>
      <c r="AG155" s="51">
        <v>0</v>
      </c>
      <c r="AH155" s="43">
        <v>-126.64100000000001</v>
      </c>
      <c r="AI155" s="43">
        <v>136.34100000000001</v>
      </c>
      <c r="AJ155" s="43" t="s">
        <v>1443</v>
      </c>
      <c r="AK155" s="69">
        <v>0</v>
      </c>
      <c r="AL155" s="69">
        <v>2</v>
      </c>
      <c r="AM155" s="69">
        <v>1</v>
      </c>
      <c r="AN155" s="69">
        <v>1</v>
      </c>
      <c r="AO155" s="69">
        <v>0</v>
      </c>
      <c r="AP155" s="43">
        <v>0</v>
      </c>
      <c r="AQ155" s="68" t="s">
        <v>1733</v>
      </c>
      <c r="AR155" s="43" t="s">
        <v>972</v>
      </c>
      <c r="AS155" s="43">
        <v>1724</v>
      </c>
      <c r="AT155" s="43">
        <v>-1.4650000000000001</v>
      </c>
      <c r="AU155" s="69">
        <v>0</v>
      </c>
      <c r="AV155" s="69">
        <v>570.70000000000005</v>
      </c>
      <c r="AW155" s="43">
        <v>76.187299999999993</v>
      </c>
      <c r="AX155" s="43">
        <v>8.8300000000000003E-2</v>
      </c>
      <c r="AY155" s="69">
        <v>0</v>
      </c>
      <c r="AZ155" s="69">
        <v>570.70000000000005</v>
      </c>
      <c r="BA155" s="43">
        <v>76.187299999999993</v>
      </c>
      <c r="BB155" s="43">
        <v>8.8300000000000003E-2</v>
      </c>
      <c r="BC155" s="69">
        <v>0</v>
      </c>
      <c r="BD155" s="69">
        <v>0</v>
      </c>
      <c r="BE155" s="43">
        <v>1</v>
      </c>
      <c r="BF155" s="43">
        <v>-4.57</v>
      </c>
      <c r="BG155" s="43">
        <v>13.965199999999999</v>
      </c>
      <c r="BH155" s="43">
        <v>-4.57</v>
      </c>
      <c r="BI155" s="43">
        <v>5.4856999999999996</v>
      </c>
      <c r="BJ155" s="43">
        <v>1</v>
      </c>
      <c r="BK155" s="53">
        <v>0.14799999999999999</v>
      </c>
      <c r="BL155" s="53">
        <v>190</v>
      </c>
      <c r="BM155" s="43">
        <v>2</v>
      </c>
      <c r="BN155" s="34" t="s">
        <v>89</v>
      </c>
      <c r="BO155" s="34" t="s">
        <v>89</v>
      </c>
      <c r="BP155" s="34" t="s">
        <v>89</v>
      </c>
      <c r="BQ155" s="34" t="s">
        <v>89</v>
      </c>
      <c r="BR155" s="34" t="s">
        <v>89</v>
      </c>
      <c r="BS155" s="34" t="s">
        <v>89</v>
      </c>
      <c r="BT155" s="34" t="s">
        <v>89</v>
      </c>
      <c r="BU155" s="34" t="s">
        <v>89</v>
      </c>
      <c r="BV155" s="34" t="s">
        <v>89</v>
      </c>
      <c r="BW155" s="34" t="s">
        <v>89</v>
      </c>
      <c r="BX155" s="34" t="s">
        <v>89</v>
      </c>
      <c r="BY155" s="34" t="s">
        <v>89</v>
      </c>
      <c r="BZ155" s="34" t="s">
        <v>89</v>
      </c>
      <c r="CA155" s="34" t="s">
        <v>89</v>
      </c>
      <c r="CB155" s="34" t="s">
        <v>89</v>
      </c>
      <c r="CC155" s="34" t="s">
        <v>89</v>
      </c>
      <c r="CD155" s="34" t="s">
        <v>89</v>
      </c>
      <c r="CE155" s="43">
        <v>1</v>
      </c>
      <c r="CF155" s="43">
        <v>1</v>
      </c>
      <c r="CG155" s="43">
        <v>-1.98295</v>
      </c>
      <c r="CH155" s="43">
        <v>5.4856999999999996</v>
      </c>
      <c r="CI155" s="43">
        <v>-220</v>
      </c>
      <c r="CJ155" s="43">
        <v>2.6139999999999999</v>
      </c>
      <c r="CK155" s="43">
        <v>-1.94</v>
      </c>
      <c r="CL155" s="43">
        <v>28516</v>
      </c>
      <c r="CM155" s="43">
        <v>49797</v>
      </c>
      <c r="CN155" s="43">
        <v>739</v>
      </c>
      <c r="CO155" s="43">
        <v>0</v>
      </c>
      <c r="CP155" s="43">
        <v>570.70000000000005</v>
      </c>
      <c r="CQ155" s="43">
        <v>0</v>
      </c>
      <c r="CR155" s="43">
        <v>570.70000000000005</v>
      </c>
      <c r="CS155" s="43">
        <v>0</v>
      </c>
      <c r="CT155" s="43">
        <v>0.59948625</v>
      </c>
      <c r="CU155" s="43">
        <v>1</v>
      </c>
      <c r="CV155" s="46" t="s">
        <v>89</v>
      </c>
      <c r="CW155" s="34"/>
      <c r="CX155" s="35"/>
    </row>
    <row r="156" spans="1:102" ht="15" customHeight="1" x14ac:dyDescent="0.25">
      <c r="A156" s="33">
        <v>153</v>
      </c>
      <c r="B156" s="43" t="s">
        <v>1205</v>
      </c>
      <c r="C156" s="43">
        <v>0.3715</v>
      </c>
      <c r="D156" s="43">
        <v>0.14299999999999999</v>
      </c>
      <c r="E156" s="43" t="s">
        <v>237</v>
      </c>
      <c r="F156" s="43" t="s">
        <v>203</v>
      </c>
      <c r="G156" s="43" t="s">
        <v>1206</v>
      </c>
      <c r="H156" s="43" t="s">
        <v>1207</v>
      </c>
      <c r="I156" s="43" t="s">
        <v>1208</v>
      </c>
      <c r="J156" s="43" t="s">
        <v>1209</v>
      </c>
      <c r="K156" s="43" t="s">
        <v>1210</v>
      </c>
      <c r="L156" s="43" t="s">
        <v>848</v>
      </c>
      <c r="M156" s="43" t="s">
        <v>789</v>
      </c>
      <c r="N156" s="43" t="s">
        <v>707</v>
      </c>
      <c r="O156" s="43" t="s">
        <v>683</v>
      </c>
      <c r="P156" s="43" t="s">
        <v>707</v>
      </c>
      <c r="Q156" s="43" t="s">
        <v>403</v>
      </c>
      <c r="R156" s="43" t="s">
        <v>416</v>
      </c>
      <c r="S156" s="43">
        <v>-147.34299999999999</v>
      </c>
      <c r="T156" s="43">
        <v>48.84</v>
      </c>
      <c r="U156" s="43">
        <v>7.0119999999999996</v>
      </c>
      <c r="V156" s="43">
        <v>10.295999999999999</v>
      </c>
      <c r="W156" s="43">
        <v>0</v>
      </c>
      <c r="X156" s="43">
        <v>0</v>
      </c>
      <c r="Y156" s="43">
        <v>7.6999999999999999E-2</v>
      </c>
      <c r="Z156" s="43">
        <v>9.4E-2</v>
      </c>
      <c r="AA156" s="43">
        <v>2409.9459999999999</v>
      </c>
      <c r="AB156" s="43">
        <v>0.85099999999999998</v>
      </c>
      <c r="AC156" s="43">
        <v>4854.7060000000001</v>
      </c>
      <c r="AD156" s="43">
        <v>0.46600000000000003</v>
      </c>
      <c r="AE156" s="43">
        <v>0.95499999999999996</v>
      </c>
      <c r="AF156" s="43">
        <v>1</v>
      </c>
      <c r="AG156" s="51">
        <v>-24.091000000000001</v>
      </c>
      <c r="AH156" s="43">
        <v>-34.619</v>
      </c>
      <c r="AI156" s="43">
        <v>59.731999999999999</v>
      </c>
      <c r="AJ156" s="43" t="s">
        <v>1444</v>
      </c>
      <c r="AK156" s="69">
        <v>1</v>
      </c>
      <c r="AL156" s="69">
        <v>1</v>
      </c>
      <c r="AM156" s="69">
        <v>0</v>
      </c>
      <c r="AN156" s="69">
        <v>0</v>
      </c>
      <c r="AO156" s="69">
        <v>0</v>
      </c>
      <c r="AP156" s="69">
        <v>1</v>
      </c>
      <c r="AQ156" s="68" t="s">
        <v>1773</v>
      </c>
      <c r="AR156" s="43" t="s">
        <v>842</v>
      </c>
      <c r="AS156" s="43">
        <v>568</v>
      </c>
      <c r="AT156" s="43">
        <v>20.954000000000001</v>
      </c>
      <c r="AU156" s="69">
        <v>-627.17999999999995</v>
      </c>
      <c r="AV156" s="69">
        <v>0</v>
      </c>
      <c r="AW156" s="43">
        <v>99.373000000000005</v>
      </c>
      <c r="AX156" s="43">
        <v>0.1426</v>
      </c>
      <c r="AY156" s="69">
        <v>-627.17999999999995</v>
      </c>
      <c r="AZ156" s="69">
        <v>0</v>
      </c>
      <c r="BA156" s="43">
        <v>99.373000000000005</v>
      </c>
      <c r="BB156" s="43">
        <v>0.1426</v>
      </c>
      <c r="BC156" s="69">
        <v>1</v>
      </c>
      <c r="BD156" s="69">
        <v>1</v>
      </c>
      <c r="BE156" s="43">
        <v>1</v>
      </c>
      <c r="BF156" s="43">
        <v>-25.6</v>
      </c>
      <c r="BG156" s="43">
        <v>3.4333</v>
      </c>
      <c r="BH156" s="43">
        <v>-25.6</v>
      </c>
      <c r="BI156" s="43">
        <v>18.203099999999999</v>
      </c>
      <c r="BJ156" s="43">
        <v>0</v>
      </c>
      <c r="BK156" s="53">
        <v>0.14899999999999999</v>
      </c>
      <c r="BL156" s="53">
        <v>191.2</v>
      </c>
      <c r="BM156" s="43">
        <v>2</v>
      </c>
      <c r="BN156" s="34" t="s">
        <v>89</v>
      </c>
      <c r="BO156" s="34" t="s">
        <v>89</v>
      </c>
      <c r="BP156" s="34" t="s">
        <v>89</v>
      </c>
      <c r="BQ156" s="34" t="s">
        <v>89</v>
      </c>
      <c r="BR156" s="34" t="s">
        <v>89</v>
      </c>
      <c r="BS156" s="34" t="s">
        <v>89</v>
      </c>
      <c r="BT156" s="34" t="s">
        <v>89</v>
      </c>
      <c r="BU156" s="34" t="s">
        <v>89</v>
      </c>
      <c r="BV156" s="34" t="s">
        <v>89</v>
      </c>
      <c r="BW156" s="34" t="s">
        <v>89</v>
      </c>
      <c r="BX156" s="34" t="s">
        <v>89</v>
      </c>
      <c r="BY156" s="34" t="s">
        <v>89</v>
      </c>
      <c r="BZ156" s="34" t="s">
        <v>89</v>
      </c>
      <c r="CA156" s="34" t="s">
        <v>89</v>
      </c>
      <c r="CB156" s="34" t="s">
        <v>89</v>
      </c>
      <c r="CC156" s="34" t="s">
        <v>89</v>
      </c>
      <c r="CD156" s="34" t="s">
        <v>89</v>
      </c>
      <c r="CE156" s="43">
        <v>1.7103932947735701E-2</v>
      </c>
      <c r="CF156" s="43">
        <v>1</v>
      </c>
      <c r="CG156" s="43">
        <v>0</v>
      </c>
      <c r="CH156" s="43">
        <v>0</v>
      </c>
      <c r="CI156" s="43">
        <v>-48.22</v>
      </c>
      <c r="CJ156" s="43">
        <v>3.7878181302892102</v>
      </c>
      <c r="CK156" s="43">
        <v>-2.9074144547780501</v>
      </c>
      <c r="CL156" s="43">
        <v>0</v>
      </c>
      <c r="CM156" s="43">
        <v>7533</v>
      </c>
      <c r="CN156" s="43">
        <v>568</v>
      </c>
      <c r="CO156" s="43">
        <v>-17.106999999999999</v>
      </c>
      <c r="CP156" s="43">
        <v>-91.875326200000003</v>
      </c>
      <c r="CQ156" s="43">
        <v>18.951000000000001</v>
      </c>
      <c r="CR156" s="43">
        <v>-86.733455399999997</v>
      </c>
      <c r="CS156" s="43">
        <v>1</v>
      </c>
      <c r="CT156" s="43">
        <v>1</v>
      </c>
      <c r="CU156" s="43">
        <v>1</v>
      </c>
      <c r="CV156" s="46" t="s">
        <v>89</v>
      </c>
      <c r="CW156" s="34"/>
      <c r="CX156" s="35"/>
    </row>
    <row r="157" spans="1:102" ht="15" customHeight="1" x14ac:dyDescent="0.25">
      <c r="A157" s="33">
        <v>154</v>
      </c>
      <c r="B157" s="43" t="s">
        <v>1211</v>
      </c>
      <c r="C157" s="43">
        <v>0.98219999999999996</v>
      </c>
      <c r="D157" s="43">
        <v>4.7E-2</v>
      </c>
      <c r="E157" s="43" t="s">
        <v>216</v>
      </c>
      <c r="F157" s="43" t="s">
        <v>179</v>
      </c>
      <c r="G157" s="43" t="s">
        <v>1212</v>
      </c>
      <c r="H157" s="43" t="s">
        <v>1213</v>
      </c>
      <c r="I157" s="43" t="s">
        <v>1214</v>
      </c>
      <c r="J157" s="43" t="s">
        <v>1215</v>
      </c>
      <c r="K157" s="43" t="s">
        <v>1077</v>
      </c>
      <c r="L157" s="43" t="s">
        <v>840</v>
      </c>
      <c r="M157" s="43" t="s">
        <v>841</v>
      </c>
      <c r="N157" s="43" t="s">
        <v>698</v>
      </c>
      <c r="O157" s="43" t="s">
        <v>676</v>
      </c>
      <c r="P157" s="43" t="s">
        <v>698</v>
      </c>
      <c r="Q157" s="43" t="s">
        <v>392</v>
      </c>
      <c r="R157" s="43" t="s">
        <v>405</v>
      </c>
      <c r="S157" s="43">
        <v>-76.876999999999995</v>
      </c>
      <c r="T157" s="43">
        <v>-41.575000000000003</v>
      </c>
      <c r="U157" s="43">
        <v>11.7654</v>
      </c>
      <c r="V157" s="43">
        <v>7.3650000000000002</v>
      </c>
      <c r="W157" s="43">
        <v>0</v>
      </c>
      <c r="X157" s="43">
        <v>1</v>
      </c>
      <c r="Y157" s="43">
        <v>0.17299999999999999</v>
      </c>
      <c r="Z157" s="43">
        <v>9.0999999999999998E-2</v>
      </c>
      <c r="AA157" s="43">
        <v>6110.8270000000002</v>
      </c>
      <c r="AB157" s="43">
        <v>0.23699999999999999</v>
      </c>
      <c r="AC157" s="43">
        <v>7208.8450000000003</v>
      </c>
      <c r="AD157" s="43">
        <v>0.48099999999999998</v>
      </c>
      <c r="AE157" s="43">
        <v>0.98799999999999999</v>
      </c>
      <c r="AF157" s="43">
        <v>1</v>
      </c>
      <c r="AG157" s="51">
        <v>8.5500000000000007</v>
      </c>
      <c r="AH157" s="43">
        <v>59.731999999999999</v>
      </c>
      <c r="AI157" s="43">
        <v>-207.91800000000001</v>
      </c>
      <c r="AJ157" s="43" t="s">
        <v>1441</v>
      </c>
      <c r="AK157" s="69">
        <v>1</v>
      </c>
      <c r="AL157" s="69">
        <v>0</v>
      </c>
      <c r="AM157" s="69">
        <v>0</v>
      </c>
      <c r="AN157" s="69">
        <v>1</v>
      </c>
      <c r="AO157" s="69">
        <v>0</v>
      </c>
      <c r="AP157" s="43">
        <v>0</v>
      </c>
      <c r="AQ157" s="68" t="s">
        <v>1774</v>
      </c>
      <c r="AR157" s="43" t="s">
        <v>849</v>
      </c>
      <c r="AS157" s="43">
        <v>2927</v>
      </c>
      <c r="AT157" s="43">
        <v>-12.827999999999999</v>
      </c>
      <c r="AU157" s="69">
        <v>-43.17</v>
      </c>
      <c r="AV157" s="69">
        <v>-627.17999999999995</v>
      </c>
      <c r="AW157" s="43">
        <v>64.525599999999997</v>
      </c>
      <c r="AX157" s="43">
        <v>0.51500000000000001</v>
      </c>
      <c r="AY157" s="69">
        <v>-43.17</v>
      </c>
      <c r="AZ157" s="69">
        <v>-627.17999999999995</v>
      </c>
      <c r="BA157" s="43">
        <v>64.525599999999997</v>
      </c>
      <c r="BB157" s="43">
        <v>0.51500000000000001</v>
      </c>
      <c r="BC157" s="69">
        <v>1</v>
      </c>
      <c r="BD157" s="69">
        <v>1</v>
      </c>
      <c r="BE157" s="43">
        <v>1</v>
      </c>
      <c r="BF157" s="43">
        <v>-10.5</v>
      </c>
      <c r="BG157" s="43">
        <v>26.479099999999999</v>
      </c>
      <c r="BH157" s="43">
        <v>-10.5</v>
      </c>
      <c r="BI157" s="43">
        <v>27.6356</v>
      </c>
      <c r="BJ157" s="43">
        <v>1</v>
      </c>
      <c r="BK157" s="53">
        <v>0.15</v>
      </c>
      <c r="BL157" s="53">
        <v>192.4</v>
      </c>
      <c r="BM157" s="43">
        <v>2</v>
      </c>
      <c r="BN157" s="34" t="s">
        <v>89</v>
      </c>
      <c r="BO157" s="34" t="s">
        <v>89</v>
      </c>
      <c r="BP157" s="34" t="s">
        <v>89</v>
      </c>
      <c r="BQ157" s="34" t="s">
        <v>89</v>
      </c>
      <c r="BR157" s="34" t="s">
        <v>89</v>
      </c>
      <c r="BS157" s="34" t="s">
        <v>89</v>
      </c>
      <c r="BT157" s="34" t="s">
        <v>89</v>
      </c>
      <c r="BU157" s="34" t="s">
        <v>89</v>
      </c>
      <c r="BV157" s="34" t="s">
        <v>89</v>
      </c>
      <c r="BW157" s="34" t="s">
        <v>89</v>
      </c>
      <c r="BX157" s="34" t="s">
        <v>89</v>
      </c>
      <c r="BY157" s="34" t="s">
        <v>89</v>
      </c>
      <c r="BZ157" s="34" t="s">
        <v>89</v>
      </c>
      <c r="CA157" s="34" t="s">
        <v>89</v>
      </c>
      <c r="CB157" s="34" t="s">
        <v>89</v>
      </c>
      <c r="CC157" s="34" t="s">
        <v>89</v>
      </c>
      <c r="CD157" s="34" t="s">
        <v>89</v>
      </c>
      <c r="CE157" s="43">
        <v>-1.0016273023400799</v>
      </c>
      <c r="CF157" s="43">
        <v>1</v>
      </c>
      <c r="CG157" s="43">
        <v>0</v>
      </c>
      <c r="CH157" s="43">
        <v>0</v>
      </c>
      <c r="CI157" s="43">
        <v>150.03899999999999</v>
      </c>
      <c r="CJ157" s="43">
        <v>-1.24673248686667</v>
      </c>
      <c r="CK157" s="43">
        <v>-4.7800897592190896</v>
      </c>
      <c r="CL157" s="43">
        <v>0</v>
      </c>
      <c r="CM157" s="43">
        <v>33385</v>
      </c>
      <c r="CN157" s="43">
        <v>2927</v>
      </c>
      <c r="CO157" s="43">
        <v>-43.17</v>
      </c>
      <c r="CP157" s="43">
        <v>-627.17999999999995</v>
      </c>
      <c r="CQ157" s="43">
        <v>18.556000000000001</v>
      </c>
      <c r="CR157" s="43">
        <v>-20854.296601120001</v>
      </c>
      <c r="CS157" s="43">
        <v>0</v>
      </c>
      <c r="CT157" s="43">
        <v>1</v>
      </c>
      <c r="CU157" s="43">
        <v>1</v>
      </c>
      <c r="CV157" s="46" t="s">
        <v>89</v>
      </c>
      <c r="CW157" s="34"/>
      <c r="CX157" s="35"/>
    </row>
    <row r="158" spans="1:102" ht="15" customHeight="1" x14ac:dyDescent="0.25">
      <c r="A158" s="33">
        <v>155</v>
      </c>
      <c r="B158" s="43" t="s">
        <v>1216</v>
      </c>
      <c r="C158" s="43">
        <v>0.28789999999999999</v>
      </c>
      <c r="D158" s="43">
        <v>0.72499999999999998</v>
      </c>
      <c r="E158" s="43" t="s">
        <v>268</v>
      </c>
      <c r="F158" s="43" t="s">
        <v>237</v>
      </c>
      <c r="G158" s="43" t="s">
        <v>1217</v>
      </c>
      <c r="H158" s="43" t="s">
        <v>1218</v>
      </c>
      <c r="I158" s="43" t="s">
        <v>1219</v>
      </c>
      <c r="J158" s="43" t="s">
        <v>1220</v>
      </c>
      <c r="K158" s="43" t="s">
        <v>1083</v>
      </c>
      <c r="L158" s="43" t="s">
        <v>848</v>
      </c>
      <c r="M158" s="43" t="s">
        <v>789</v>
      </c>
      <c r="N158" s="43" t="s">
        <v>707</v>
      </c>
      <c r="O158" s="43" t="s">
        <v>683</v>
      </c>
      <c r="P158" s="43" t="s">
        <v>707</v>
      </c>
      <c r="Q158" s="43" t="s">
        <v>403</v>
      </c>
      <c r="R158" s="43" t="s">
        <v>416</v>
      </c>
      <c r="S158" s="43">
        <v>191.369</v>
      </c>
      <c r="T158" s="43">
        <v>48.84</v>
      </c>
      <c r="U158" s="43">
        <v>24.965</v>
      </c>
      <c r="V158" s="43">
        <v>0.85199999999999998</v>
      </c>
      <c r="W158" s="43">
        <v>1</v>
      </c>
      <c r="X158" s="43">
        <v>1</v>
      </c>
      <c r="Y158" s="43">
        <v>0.114</v>
      </c>
      <c r="Z158" s="43">
        <v>0.193</v>
      </c>
      <c r="AA158" s="43">
        <v>6145.5730000000003</v>
      </c>
      <c r="AB158" s="43">
        <v>0.23200000000000001</v>
      </c>
      <c r="AC158" s="43">
        <v>4019.2080000000001</v>
      </c>
      <c r="AD158" s="43">
        <v>0.65700000000000003</v>
      </c>
      <c r="AE158" s="43">
        <v>0.997</v>
      </c>
      <c r="AF158" s="43">
        <v>0</v>
      </c>
      <c r="AG158" s="43">
        <v>18.277999999999999</v>
      </c>
      <c r="AH158" s="43">
        <v>136.34100000000001</v>
      </c>
      <c r="AI158" s="43">
        <v>50.061</v>
      </c>
      <c r="AJ158" s="43" t="s">
        <v>1440</v>
      </c>
      <c r="AK158" s="69">
        <v>0</v>
      </c>
      <c r="AL158" s="69">
        <v>2</v>
      </c>
      <c r="AM158" s="69">
        <v>1</v>
      </c>
      <c r="AN158" s="69">
        <v>1</v>
      </c>
      <c r="AO158" s="69">
        <v>0</v>
      </c>
      <c r="AP158" s="43">
        <v>0</v>
      </c>
      <c r="AQ158" s="68" t="s">
        <v>1733</v>
      </c>
      <c r="AR158" s="43" t="s">
        <v>856</v>
      </c>
      <c r="AS158" s="43">
        <v>1789</v>
      </c>
      <c r="AT158" s="51">
        <v>-25</v>
      </c>
      <c r="AU158" s="69">
        <v>1118</v>
      </c>
      <c r="AV158" s="69">
        <v>-43.17</v>
      </c>
      <c r="AW158" s="43">
        <v>70.192099999999996</v>
      </c>
      <c r="AX158" s="43">
        <v>0.37409999999999999</v>
      </c>
      <c r="AY158" s="69">
        <v>1118</v>
      </c>
      <c r="AZ158" s="69">
        <v>-43.17</v>
      </c>
      <c r="BA158" s="43">
        <v>70.192099999999996</v>
      </c>
      <c r="BB158" s="43">
        <v>0.37409999999999999</v>
      </c>
      <c r="BC158" s="69">
        <v>0</v>
      </c>
      <c r="BD158" s="69">
        <v>0</v>
      </c>
      <c r="BE158" s="43">
        <v>1</v>
      </c>
      <c r="BF158" s="43">
        <v>-11.6</v>
      </c>
      <c r="BG158" s="43">
        <v>28.116399999999999</v>
      </c>
      <c r="BH158" s="43">
        <v>-11.6</v>
      </c>
      <c r="BI158" s="43">
        <v>14.8565</v>
      </c>
      <c r="BJ158" s="43">
        <v>0</v>
      </c>
      <c r="BK158" s="53">
        <v>0.151</v>
      </c>
      <c r="BL158" s="53">
        <v>193.6</v>
      </c>
      <c r="BM158" s="43">
        <v>2</v>
      </c>
      <c r="BN158" s="34" t="s">
        <v>89</v>
      </c>
      <c r="BO158" s="34" t="s">
        <v>89</v>
      </c>
      <c r="BP158" s="34" t="s">
        <v>89</v>
      </c>
      <c r="BQ158" s="34" t="s">
        <v>89</v>
      </c>
      <c r="BR158" s="34" t="s">
        <v>89</v>
      </c>
      <c r="BS158" s="34" t="s">
        <v>89</v>
      </c>
      <c r="BT158" s="34" t="s">
        <v>89</v>
      </c>
      <c r="BU158" s="34" t="s">
        <v>89</v>
      </c>
      <c r="BV158" s="34" t="s">
        <v>89</v>
      </c>
      <c r="BW158" s="34" t="s">
        <v>89</v>
      </c>
      <c r="BX158" s="34" t="s">
        <v>89</v>
      </c>
      <c r="BY158" s="34" t="s">
        <v>89</v>
      </c>
      <c r="BZ158" s="34" t="s">
        <v>89</v>
      </c>
      <c r="CA158" s="34" t="s">
        <v>89</v>
      </c>
      <c r="CB158" s="34" t="s">
        <v>89</v>
      </c>
      <c r="CC158" s="34" t="s">
        <v>89</v>
      </c>
      <c r="CD158" s="34" t="s">
        <v>89</v>
      </c>
      <c r="CE158" s="43">
        <v>-3.7190029656105099</v>
      </c>
      <c r="CF158" s="43">
        <v>6.5400490959803399</v>
      </c>
      <c r="CG158" s="43">
        <v>-11.6</v>
      </c>
      <c r="CH158" s="43">
        <v>-5.8105628928000002</v>
      </c>
      <c r="CI158" s="43">
        <v>-164.50700000000001</v>
      </c>
      <c r="CJ158" s="43">
        <v>-17.444748618518101</v>
      </c>
      <c r="CK158" s="43">
        <v>9.7833238883417497</v>
      </c>
      <c r="CL158" s="43">
        <v>65339</v>
      </c>
      <c r="CM158" s="43">
        <v>4010</v>
      </c>
      <c r="CN158" s="43">
        <v>1636</v>
      </c>
      <c r="CO158" s="43">
        <v>1118</v>
      </c>
      <c r="CP158" s="43">
        <v>-43.17</v>
      </c>
      <c r="CQ158" s="43">
        <v>1118</v>
      </c>
      <c r="CR158" s="43">
        <v>-43.17</v>
      </c>
      <c r="CS158" s="43">
        <v>0</v>
      </c>
      <c r="CT158" s="43">
        <v>1</v>
      </c>
      <c r="CU158" s="43">
        <v>1</v>
      </c>
      <c r="CV158" s="46" t="s">
        <v>89</v>
      </c>
      <c r="CW158" s="34"/>
      <c r="CX158" s="35"/>
    </row>
    <row r="159" spans="1:102" ht="15" customHeight="1" x14ac:dyDescent="0.25">
      <c r="A159" s="33">
        <v>156</v>
      </c>
      <c r="B159" s="43" t="s">
        <v>1221</v>
      </c>
      <c r="C159" s="43">
        <v>0.96789999999999998</v>
      </c>
      <c r="D159" s="43">
        <v>0.33700000000000002</v>
      </c>
      <c r="E159" s="43" t="s">
        <v>252</v>
      </c>
      <c r="F159" s="43" t="s">
        <v>237</v>
      </c>
      <c r="G159" s="43" t="s">
        <v>876</v>
      </c>
      <c r="H159" s="43" t="s">
        <v>877</v>
      </c>
      <c r="I159" s="43" t="s">
        <v>878</v>
      </c>
      <c r="J159" s="43" t="s">
        <v>879</v>
      </c>
      <c r="K159" s="53" t="s">
        <v>880</v>
      </c>
      <c r="L159" s="43" t="s">
        <v>881</v>
      </c>
      <c r="M159" s="43" t="s">
        <v>825</v>
      </c>
      <c r="N159" s="43" t="s">
        <v>751</v>
      </c>
      <c r="O159" s="43" t="s">
        <v>776</v>
      </c>
      <c r="P159" s="43" t="s">
        <v>676</v>
      </c>
      <c r="Q159" s="43" t="s">
        <v>767</v>
      </c>
      <c r="R159" s="43" t="s">
        <v>216</v>
      </c>
      <c r="S159" s="43">
        <v>-212.63300000000001</v>
      </c>
      <c r="T159" s="43">
        <v>79.673000000000002</v>
      </c>
      <c r="U159" s="53">
        <v>-26.878599999999999</v>
      </c>
      <c r="V159" s="43">
        <v>-18.536999999999999</v>
      </c>
      <c r="W159" s="43">
        <v>0</v>
      </c>
      <c r="X159" s="69">
        <v>1</v>
      </c>
      <c r="Y159" s="43">
        <v>2.1999999999999999E-2</v>
      </c>
      <c r="Z159" s="43">
        <v>0.112</v>
      </c>
      <c r="AA159" s="43">
        <v>2663.6559999999999</v>
      </c>
      <c r="AB159" s="43">
        <v>0.4</v>
      </c>
      <c r="AC159" s="43">
        <v>5194.8959999999997</v>
      </c>
      <c r="AD159" s="43">
        <v>5.8999999999999997E-2</v>
      </c>
      <c r="AE159" s="43">
        <v>0.95899999999999996</v>
      </c>
      <c r="AF159" s="69">
        <v>1</v>
      </c>
      <c r="AG159" s="43">
        <v>-2.423</v>
      </c>
      <c r="AH159" s="69">
        <v>-9.32</v>
      </c>
      <c r="AI159" s="69">
        <v>-9.32</v>
      </c>
      <c r="AJ159" s="69" t="s">
        <v>1444</v>
      </c>
      <c r="AK159" s="69">
        <v>1</v>
      </c>
      <c r="AL159" s="69">
        <v>3</v>
      </c>
      <c r="AM159" s="69">
        <v>1</v>
      </c>
      <c r="AN159" s="69">
        <v>1</v>
      </c>
      <c r="AO159" s="69">
        <v>1</v>
      </c>
      <c r="AP159" s="43">
        <v>1</v>
      </c>
      <c r="AQ159" s="68" t="s">
        <v>1785</v>
      </c>
      <c r="AR159" s="43" t="s">
        <v>882</v>
      </c>
      <c r="AS159" s="43">
        <v>65</v>
      </c>
      <c r="AT159" s="51">
        <v>25</v>
      </c>
      <c r="AU159" s="69">
        <v>22.24</v>
      </c>
      <c r="AV159" s="69">
        <v>-43.17</v>
      </c>
      <c r="AW159" s="43">
        <v>16.585100000000001</v>
      </c>
      <c r="AX159" s="43">
        <v>0.88790000000000002</v>
      </c>
      <c r="AY159" s="69">
        <v>22.24</v>
      </c>
      <c r="AZ159" s="69">
        <v>-43.17</v>
      </c>
      <c r="BA159" s="43">
        <v>16.585100000000001</v>
      </c>
      <c r="BB159" s="43">
        <v>0.88790000000000002</v>
      </c>
      <c r="BC159" s="69">
        <v>1</v>
      </c>
      <c r="BD159" s="69">
        <v>1</v>
      </c>
      <c r="BE159" s="43">
        <v>1</v>
      </c>
      <c r="BF159" s="43">
        <v>-30.2</v>
      </c>
      <c r="BG159" s="43">
        <v>29.514199999999999</v>
      </c>
      <c r="BH159" s="43">
        <v>-30.2</v>
      </c>
      <c r="BI159" s="43">
        <v>6.9846000000000004</v>
      </c>
      <c r="BJ159" s="43">
        <v>1</v>
      </c>
      <c r="BK159" s="53">
        <v>0.152</v>
      </c>
      <c r="BL159" s="53">
        <v>194.8</v>
      </c>
      <c r="BM159" s="43">
        <v>2</v>
      </c>
      <c r="BN159" s="34" t="s">
        <v>89</v>
      </c>
      <c r="BO159" s="34" t="s">
        <v>89</v>
      </c>
      <c r="BP159" s="34" t="s">
        <v>89</v>
      </c>
      <c r="BQ159" s="34" t="s">
        <v>89</v>
      </c>
      <c r="BR159" s="34" t="s">
        <v>89</v>
      </c>
      <c r="BS159" s="34" t="s">
        <v>89</v>
      </c>
      <c r="BT159" s="34" t="s">
        <v>89</v>
      </c>
      <c r="BU159" s="34" t="s">
        <v>89</v>
      </c>
      <c r="BV159" s="34" t="s">
        <v>89</v>
      </c>
      <c r="BW159" s="34" t="s">
        <v>89</v>
      </c>
      <c r="BX159" s="34" t="s">
        <v>89</v>
      </c>
      <c r="BY159" s="34" t="s">
        <v>89</v>
      </c>
      <c r="BZ159" s="34" t="s">
        <v>89</v>
      </c>
      <c r="CA159" s="34" t="s">
        <v>89</v>
      </c>
      <c r="CB159" s="34" t="s">
        <v>89</v>
      </c>
      <c r="CC159" s="34" t="s">
        <v>89</v>
      </c>
      <c r="CD159" s="34" t="s">
        <v>89</v>
      </c>
      <c r="CE159" s="43">
        <v>0.43407887410667001</v>
      </c>
      <c r="CF159" s="43">
        <v>1</v>
      </c>
      <c r="CG159" s="43">
        <v>0</v>
      </c>
      <c r="CH159" s="43">
        <v>0</v>
      </c>
      <c r="CI159" s="43">
        <v>-80.375</v>
      </c>
      <c r="CJ159" s="43">
        <v>2.7051542401703901</v>
      </c>
      <c r="CK159" s="43">
        <v>3.9590611938802001</v>
      </c>
      <c r="CL159" s="43">
        <v>0</v>
      </c>
      <c r="CM159" s="43">
        <v>43793</v>
      </c>
      <c r="CN159" s="43">
        <v>65</v>
      </c>
      <c r="CO159" s="43">
        <v>22.24</v>
      </c>
      <c r="CP159" s="43">
        <v>-43.17</v>
      </c>
      <c r="CQ159" s="43">
        <v>21.311</v>
      </c>
      <c r="CR159" s="43">
        <v>-597.04861431929999</v>
      </c>
      <c r="CS159" s="43">
        <v>6.7043000000000005E-2</v>
      </c>
      <c r="CT159" s="43">
        <v>0</v>
      </c>
      <c r="CU159" s="43">
        <v>1</v>
      </c>
      <c r="CV159" s="46" t="s">
        <v>89</v>
      </c>
      <c r="CW159" s="34"/>
      <c r="CX159" s="35"/>
    </row>
    <row r="160" spans="1:102" ht="15" customHeight="1" x14ac:dyDescent="0.25">
      <c r="A160" s="33">
        <v>157</v>
      </c>
      <c r="B160" s="43" t="s">
        <v>1885</v>
      </c>
      <c r="C160" s="43">
        <v>0.8538</v>
      </c>
      <c r="D160" s="43">
        <v>0.83299999999999996</v>
      </c>
      <c r="E160" s="43" t="s">
        <v>294</v>
      </c>
      <c r="F160" s="43" t="s">
        <v>282</v>
      </c>
      <c r="G160" s="43" t="s">
        <v>1222</v>
      </c>
      <c r="H160" s="43" t="s">
        <v>1223</v>
      </c>
      <c r="I160" s="43" t="s">
        <v>1224</v>
      </c>
      <c r="J160" s="43" t="s">
        <v>1225</v>
      </c>
      <c r="K160" s="43" t="s">
        <v>1095</v>
      </c>
      <c r="L160" s="43" t="s">
        <v>861</v>
      </c>
      <c r="M160" s="43" t="s">
        <v>802</v>
      </c>
      <c r="N160" s="43" t="s">
        <v>724</v>
      </c>
      <c r="O160" s="43" t="s">
        <v>698</v>
      </c>
      <c r="P160" s="43" t="s">
        <v>776</v>
      </c>
      <c r="Q160" s="43" t="s">
        <v>349</v>
      </c>
      <c r="R160" s="43" t="s">
        <v>311</v>
      </c>
      <c r="S160" s="43">
        <v>6.1890000000000001</v>
      </c>
      <c r="T160" s="43">
        <v>5.7240000000000002</v>
      </c>
      <c r="U160" s="43">
        <v>12.8451</v>
      </c>
      <c r="V160" s="43">
        <v>-8.5660000000000007</v>
      </c>
      <c r="W160" s="43">
        <v>0</v>
      </c>
      <c r="X160" s="43">
        <v>0</v>
      </c>
      <c r="Y160" s="43">
        <v>0.155</v>
      </c>
      <c r="Z160" s="43">
        <v>0.14499999999999999</v>
      </c>
      <c r="AA160" s="43">
        <v>5911.3230000000003</v>
      </c>
      <c r="AB160" s="43">
        <v>0.70199999999999996</v>
      </c>
      <c r="AC160" s="43">
        <v>2332.9360000000001</v>
      </c>
      <c r="AD160" s="43">
        <v>4.0000000000000001E-3</v>
      </c>
      <c r="AE160" s="43">
        <v>0.96299999999999997</v>
      </c>
      <c r="AF160" s="43">
        <v>1</v>
      </c>
      <c r="AG160" s="43">
        <v>-3.266</v>
      </c>
      <c r="AH160" s="43">
        <v>59.731999999999999</v>
      </c>
      <c r="AI160" s="43">
        <v>-207.91800000000001</v>
      </c>
      <c r="AJ160" s="43" t="s">
        <v>1441</v>
      </c>
      <c r="AK160" s="69">
        <v>1</v>
      </c>
      <c r="AL160" s="69">
        <v>0</v>
      </c>
      <c r="AM160" s="69">
        <v>0</v>
      </c>
      <c r="AN160" s="69">
        <v>1</v>
      </c>
      <c r="AO160" s="69">
        <v>0</v>
      </c>
      <c r="AP160" s="43">
        <v>0</v>
      </c>
      <c r="AQ160" s="68" t="s">
        <v>1774</v>
      </c>
      <c r="AR160" s="43" t="s">
        <v>868</v>
      </c>
      <c r="AS160" s="43">
        <v>1357</v>
      </c>
      <c r="AT160" s="51">
        <v>0</v>
      </c>
      <c r="AU160" s="69">
        <v>1118</v>
      </c>
      <c r="AV160" s="69">
        <v>-717.3</v>
      </c>
      <c r="AW160" s="43">
        <v>87.307500000000005</v>
      </c>
      <c r="AX160" s="43">
        <v>0.46160000000000001</v>
      </c>
      <c r="AY160" s="69">
        <v>1118</v>
      </c>
      <c r="AZ160" s="69">
        <v>-717.3</v>
      </c>
      <c r="BA160" s="43">
        <v>87.307500000000005</v>
      </c>
      <c r="BB160" s="43">
        <v>0.46160000000000001</v>
      </c>
      <c r="BC160" s="69">
        <v>1</v>
      </c>
      <c r="BD160" s="69">
        <v>1</v>
      </c>
      <c r="BE160" s="43">
        <v>1</v>
      </c>
      <c r="BF160" s="43">
        <v>-9.65</v>
      </c>
      <c r="BG160" s="43">
        <v>6.0578000000000003</v>
      </c>
      <c r="BH160" s="43">
        <v>-9.65</v>
      </c>
      <c r="BI160" s="43">
        <v>5.5145999999999997</v>
      </c>
      <c r="BJ160" s="43">
        <v>0</v>
      </c>
      <c r="BK160" s="53">
        <v>0.153</v>
      </c>
      <c r="BL160" s="53">
        <v>196</v>
      </c>
      <c r="BM160" s="43">
        <v>2</v>
      </c>
      <c r="BN160" s="34" t="s">
        <v>89</v>
      </c>
      <c r="BO160" s="34" t="s">
        <v>89</v>
      </c>
      <c r="BP160" s="34" t="s">
        <v>89</v>
      </c>
      <c r="BQ160" s="34" t="s">
        <v>89</v>
      </c>
      <c r="BR160" s="34" t="s">
        <v>89</v>
      </c>
      <c r="BS160" s="34" t="s">
        <v>89</v>
      </c>
      <c r="BT160" s="34" t="s">
        <v>89</v>
      </c>
      <c r="BU160" s="34" t="s">
        <v>89</v>
      </c>
      <c r="BV160" s="34" t="s">
        <v>89</v>
      </c>
      <c r="BW160" s="34" t="s">
        <v>89</v>
      </c>
      <c r="BX160" s="34" t="s">
        <v>89</v>
      </c>
      <c r="BY160" s="34" t="s">
        <v>89</v>
      </c>
      <c r="BZ160" s="34" t="s">
        <v>89</v>
      </c>
      <c r="CA160" s="34" t="s">
        <v>89</v>
      </c>
      <c r="CB160" s="34" t="s">
        <v>89</v>
      </c>
      <c r="CC160" s="34" t="s">
        <v>89</v>
      </c>
      <c r="CD160" s="34" t="s">
        <v>89</v>
      </c>
      <c r="CE160" s="43">
        <v>0.55869852940812703</v>
      </c>
      <c r="CF160" s="43">
        <v>1</v>
      </c>
      <c r="CG160" s="43">
        <v>0</v>
      </c>
      <c r="CH160" s="43">
        <v>0</v>
      </c>
      <c r="CI160" s="43">
        <v>12.7</v>
      </c>
      <c r="CJ160" s="43">
        <v>-2.40710947619039</v>
      </c>
      <c r="CK160" s="43">
        <v>-4.1701377638675696</v>
      </c>
      <c r="CL160" s="43">
        <v>0</v>
      </c>
      <c r="CM160" s="43">
        <v>3723</v>
      </c>
      <c r="CN160" s="43">
        <v>1357</v>
      </c>
      <c r="CO160" s="43">
        <v>1118</v>
      </c>
      <c r="CP160" s="43">
        <v>-717.3</v>
      </c>
      <c r="CQ160" s="43">
        <v>18.556000000000001</v>
      </c>
      <c r="CR160" s="43">
        <v>-28383.374907000001</v>
      </c>
      <c r="CS160" s="43">
        <v>0</v>
      </c>
      <c r="CT160" s="43">
        <v>0.29561700000000002</v>
      </c>
      <c r="CU160" s="43">
        <v>1</v>
      </c>
      <c r="CV160" s="46" t="s">
        <v>89</v>
      </c>
      <c r="CW160" s="34"/>
      <c r="CX160" s="35"/>
    </row>
    <row r="161" spans="1:102" ht="15" customHeight="1" x14ac:dyDescent="0.25">
      <c r="A161" s="33">
        <v>158</v>
      </c>
      <c r="B161" s="43" t="s">
        <v>1227</v>
      </c>
      <c r="C161" s="43">
        <v>0.1898</v>
      </c>
      <c r="D161" s="43">
        <v>0.68700000000000006</v>
      </c>
      <c r="E161" s="43" t="s">
        <v>179</v>
      </c>
      <c r="F161" s="43" t="s">
        <v>573</v>
      </c>
      <c r="G161" s="43" t="s">
        <v>1228</v>
      </c>
      <c r="H161" s="43" t="s">
        <v>1229</v>
      </c>
      <c r="I161" s="43" t="s">
        <v>1230</v>
      </c>
      <c r="J161" s="43" t="s">
        <v>1231</v>
      </c>
      <c r="K161" s="43" t="s">
        <v>1101</v>
      </c>
      <c r="L161" s="43" t="s">
        <v>867</v>
      </c>
      <c r="M161" s="43" t="s">
        <v>809</v>
      </c>
      <c r="N161" s="43" t="s">
        <v>733</v>
      </c>
      <c r="O161" s="43" t="s">
        <v>707</v>
      </c>
      <c r="P161" s="43" t="s">
        <v>662</v>
      </c>
      <c r="Q161" s="43" t="s">
        <v>357</v>
      </c>
      <c r="R161" s="43" t="s">
        <v>202</v>
      </c>
      <c r="S161" s="43">
        <v>-105.246</v>
      </c>
      <c r="T161" s="43">
        <v>59.304000000000002</v>
      </c>
      <c r="U161" s="43">
        <v>20.2117</v>
      </c>
      <c r="V161" s="43">
        <v>7.601</v>
      </c>
      <c r="W161" s="43">
        <v>1</v>
      </c>
      <c r="X161" s="43">
        <v>0</v>
      </c>
      <c r="Y161" s="43">
        <v>1.7999999999999999E-2</v>
      </c>
      <c r="Z161" s="43">
        <v>2.3E-2</v>
      </c>
      <c r="AA161" s="43">
        <v>7083.2719999999999</v>
      </c>
      <c r="AB161" s="43">
        <v>0.66200000000000003</v>
      </c>
      <c r="AC161" s="43">
        <v>947.89</v>
      </c>
      <c r="AD161" s="43">
        <v>0.48099999999999998</v>
      </c>
      <c r="AE161" s="43">
        <v>0.98799999999999999</v>
      </c>
      <c r="AF161" s="43">
        <v>0</v>
      </c>
      <c r="AG161" s="43">
        <v>10.196</v>
      </c>
      <c r="AH161" s="43">
        <v>-126.64100000000001</v>
      </c>
      <c r="AI161" s="43">
        <v>136.34100000000001</v>
      </c>
      <c r="AJ161" s="43" t="s">
        <v>1443</v>
      </c>
      <c r="AK161" s="69">
        <v>0</v>
      </c>
      <c r="AL161" s="69">
        <v>2</v>
      </c>
      <c r="AM161" s="69">
        <v>1</v>
      </c>
      <c r="AN161" s="69">
        <v>1</v>
      </c>
      <c r="AO161" s="69">
        <v>0</v>
      </c>
      <c r="AP161" s="43">
        <v>0</v>
      </c>
      <c r="AQ161" s="68" t="s">
        <v>1733</v>
      </c>
      <c r="AR161" s="43" t="s">
        <v>874</v>
      </c>
      <c r="AS161" s="43">
        <v>903</v>
      </c>
      <c r="AT161" s="52" t="s">
        <v>1233</v>
      </c>
      <c r="AU161" s="69">
        <v>-38.799999999999997</v>
      </c>
      <c r="AV161" s="69">
        <v>1118</v>
      </c>
      <c r="AW161" s="43">
        <v>97.396900000000002</v>
      </c>
      <c r="AX161" s="43">
        <v>0.66269999999999996</v>
      </c>
      <c r="AY161" s="69">
        <v>-38.799999999999997</v>
      </c>
      <c r="AZ161" s="69">
        <v>1118</v>
      </c>
      <c r="BA161" s="43">
        <v>97.396900000000002</v>
      </c>
      <c r="BB161" s="43">
        <v>0.66269999999999996</v>
      </c>
      <c r="BC161" s="69">
        <v>0</v>
      </c>
      <c r="BD161" s="69">
        <v>0</v>
      </c>
      <c r="BE161" s="43">
        <v>1</v>
      </c>
      <c r="BF161" s="43">
        <v>-22.41</v>
      </c>
      <c r="BG161" s="43">
        <v>29.0915</v>
      </c>
      <c r="BH161" s="43">
        <v>-22.41</v>
      </c>
      <c r="BI161" s="43">
        <v>19.803000000000001</v>
      </c>
      <c r="BJ161" s="43">
        <v>1</v>
      </c>
      <c r="BK161" s="53">
        <v>0.154</v>
      </c>
      <c r="BL161" s="53">
        <v>197.2</v>
      </c>
      <c r="BM161" s="43">
        <v>2</v>
      </c>
      <c r="BN161" s="34" t="s">
        <v>89</v>
      </c>
      <c r="BO161" s="34" t="s">
        <v>89</v>
      </c>
      <c r="BP161" s="34" t="s">
        <v>89</v>
      </c>
      <c r="BQ161" s="34" t="s">
        <v>89</v>
      </c>
      <c r="BR161" s="34" t="s">
        <v>89</v>
      </c>
      <c r="BS161" s="34" t="s">
        <v>89</v>
      </c>
      <c r="BT161" s="34" t="s">
        <v>89</v>
      </c>
      <c r="BU161" s="34" t="s">
        <v>89</v>
      </c>
      <c r="BV161" s="34" t="s">
        <v>89</v>
      </c>
      <c r="BW161" s="34" t="s">
        <v>89</v>
      </c>
      <c r="BX161" s="34" t="s">
        <v>89</v>
      </c>
      <c r="BY161" s="34" t="s">
        <v>89</v>
      </c>
      <c r="BZ161" s="34" t="s">
        <v>89</v>
      </c>
      <c r="CA161" s="34" t="s">
        <v>89</v>
      </c>
      <c r="CB161" s="34" t="s">
        <v>89</v>
      </c>
      <c r="CC161" s="34" t="s">
        <v>89</v>
      </c>
      <c r="CD161" s="34" t="s">
        <v>89</v>
      </c>
      <c r="CE161" s="43">
        <v>-1.75738442904331</v>
      </c>
      <c r="CF161" s="43">
        <v>4.0814791948681801</v>
      </c>
      <c r="CG161" s="43">
        <v>29.0915</v>
      </c>
      <c r="CH161" s="43">
        <v>-22.41</v>
      </c>
      <c r="CI161" s="43">
        <v>-171.03</v>
      </c>
      <c r="CJ161" s="43">
        <v>-3.7427192857518001</v>
      </c>
      <c r="CK161" s="43">
        <v>-6.3735628729969802</v>
      </c>
      <c r="CL161" s="43">
        <v>64749</v>
      </c>
      <c r="CM161" s="43">
        <v>10301</v>
      </c>
      <c r="CN161" s="43">
        <v>1779</v>
      </c>
      <c r="CO161" s="43">
        <v>-38.799999999999997</v>
      </c>
      <c r="CP161" s="43">
        <v>1118</v>
      </c>
      <c r="CQ161" s="43">
        <v>-38.799999999999997</v>
      </c>
      <c r="CR161" s="43">
        <v>1118</v>
      </c>
      <c r="CS161" s="43">
        <v>0</v>
      </c>
      <c r="CT161" s="43">
        <v>0.59948625</v>
      </c>
      <c r="CU161" s="43">
        <v>1</v>
      </c>
      <c r="CV161" s="46" t="s">
        <v>89</v>
      </c>
      <c r="CW161" s="34"/>
      <c r="CX161" s="35"/>
    </row>
    <row r="162" spans="1:102" ht="15" customHeight="1" x14ac:dyDescent="0.25">
      <c r="A162" s="33">
        <v>159</v>
      </c>
      <c r="B162" s="43" t="s">
        <v>1234</v>
      </c>
      <c r="C162" s="43">
        <v>0.82699999999999996</v>
      </c>
      <c r="D162" s="43">
        <v>0.33700000000000002</v>
      </c>
      <c r="E162" s="43" t="s">
        <v>252</v>
      </c>
      <c r="F162" s="43" t="s">
        <v>237</v>
      </c>
      <c r="G162" s="43" t="s">
        <v>876</v>
      </c>
      <c r="H162" s="43" t="s">
        <v>877</v>
      </c>
      <c r="I162" s="43" t="s">
        <v>878</v>
      </c>
      <c r="J162" s="43" t="s">
        <v>879</v>
      </c>
      <c r="K162" s="53" t="s">
        <v>880</v>
      </c>
      <c r="L162" s="43" t="s">
        <v>881</v>
      </c>
      <c r="M162" s="43" t="s">
        <v>825</v>
      </c>
      <c r="N162" s="43" t="s">
        <v>751</v>
      </c>
      <c r="O162" s="43" t="s">
        <v>776</v>
      </c>
      <c r="P162" s="43" t="s">
        <v>676</v>
      </c>
      <c r="Q162" s="43" t="s">
        <v>767</v>
      </c>
      <c r="R162" s="43" t="s">
        <v>216</v>
      </c>
      <c r="S162" s="43">
        <v>-212.63300000000001</v>
      </c>
      <c r="T162" s="43">
        <v>79.673000000000002</v>
      </c>
      <c r="U162" s="43">
        <v>11.436299999999999</v>
      </c>
      <c r="V162" s="43">
        <v>-18.536999999999999</v>
      </c>
      <c r="W162" s="43">
        <v>0</v>
      </c>
      <c r="X162" s="69">
        <v>1</v>
      </c>
      <c r="Y162" s="43">
        <v>2.1999999999999999E-2</v>
      </c>
      <c r="Z162" s="43">
        <v>0.112</v>
      </c>
      <c r="AA162" s="43">
        <v>2663.6559999999999</v>
      </c>
      <c r="AB162" s="43">
        <v>0.4</v>
      </c>
      <c r="AC162" s="43">
        <v>5194.8959999999997</v>
      </c>
      <c r="AD162" s="43">
        <v>5.8999999999999997E-2</v>
      </c>
      <c r="AE162" s="43">
        <v>0.95899999999999996</v>
      </c>
      <c r="AF162" s="69">
        <v>1</v>
      </c>
      <c r="AG162" s="43">
        <v>-2.423</v>
      </c>
      <c r="AH162" s="69">
        <v>-9.32</v>
      </c>
      <c r="AI162" s="69">
        <v>-9.32</v>
      </c>
      <c r="AJ162" s="69" t="s">
        <v>1444</v>
      </c>
      <c r="AK162" s="69">
        <v>1</v>
      </c>
      <c r="AL162" s="69">
        <v>3</v>
      </c>
      <c r="AM162" s="69">
        <v>1</v>
      </c>
      <c r="AN162" s="69">
        <v>1</v>
      </c>
      <c r="AO162" s="69">
        <v>1</v>
      </c>
      <c r="AP162" s="43">
        <v>1</v>
      </c>
      <c r="AQ162" s="68" t="s">
        <v>1785</v>
      </c>
      <c r="AR162" s="43" t="s">
        <v>882</v>
      </c>
      <c r="AS162" s="43">
        <v>65</v>
      </c>
      <c r="AT162" s="51">
        <v>14.657999999999999</v>
      </c>
      <c r="AU162" s="69">
        <v>22.24</v>
      </c>
      <c r="AV162" s="69">
        <v>-43.17</v>
      </c>
      <c r="AW162" s="43">
        <v>16.585100000000001</v>
      </c>
      <c r="AX162" s="43">
        <v>0.88790000000000002</v>
      </c>
      <c r="AY162" s="69">
        <v>22.24</v>
      </c>
      <c r="AZ162" s="69">
        <v>-43.17</v>
      </c>
      <c r="BA162" s="43">
        <v>16.585100000000001</v>
      </c>
      <c r="BB162" s="43">
        <v>0.88790000000000002</v>
      </c>
      <c r="BC162" s="69">
        <v>1</v>
      </c>
      <c r="BD162" s="69">
        <v>1</v>
      </c>
      <c r="BE162" s="43">
        <v>1</v>
      </c>
      <c r="BF162" s="43">
        <v>-8.69</v>
      </c>
      <c r="BG162" s="43">
        <v>23.565200000000001</v>
      </c>
      <c r="BH162" s="43">
        <v>-8.69</v>
      </c>
      <c r="BI162" s="43">
        <v>30.444500000000001</v>
      </c>
      <c r="BJ162" s="43">
        <v>0</v>
      </c>
      <c r="BK162" s="53">
        <v>0.155</v>
      </c>
      <c r="BL162" s="53">
        <v>198.4</v>
      </c>
      <c r="BM162" s="43">
        <v>2</v>
      </c>
      <c r="BN162" s="34" t="s">
        <v>89</v>
      </c>
      <c r="BO162" s="34" t="s">
        <v>89</v>
      </c>
      <c r="BP162" s="34" t="s">
        <v>89</v>
      </c>
      <c r="BQ162" s="34" t="s">
        <v>89</v>
      </c>
      <c r="BR162" s="34" t="s">
        <v>89</v>
      </c>
      <c r="BS162" s="34" t="s">
        <v>89</v>
      </c>
      <c r="BT162" s="34" t="s">
        <v>89</v>
      </c>
      <c r="BU162" s="34" t="s">
        <v>89</v>
      </c>
      <c r="BV162" s="34" t="s">
        <v>89</v>
      </c>
      <c r="BW162" s="34" t="s">
        <v>89</v>
      </c>
      <c r="BX162" s="34" t="s">
        <v>89</v>
      </c>
      <c r="BY162" s="34" t="s">
        <v>89</v>
      </c>
      <c r="BZ162" s="34" t="s">
        <v>89</v>
      </c>
      <c r="CA162" s="34" t="s">
        <v>89</v>
      </c>
      <c r="CB162" s="34" t="s">
        <v>89</v>
      </c>
      <c r="CC162" s="34" t="s">
        <v>89</v>
      </c>
      <c r="CD162" s="34" t="s">
        <v>89</v>
      </c>
      <c r="CE162" s="43">
        <v>0.43407887410667001</v>
      </c>
      <c r="CF162" s="43">
        <v>1</v>
      </c>
      <c r="CG162" s="43">
        <v>0</v>
      </c>
      <c r="CH162" s="43">
        <v>0</v>
      </c>
      <c r="CI162" s="43">
        <v>-80.375</v>
      </c>
      <c r="CJ162" s="43">
        <v>2.7051542401703901</v>
      </c>
      <c r="CK162" s="43">
        <v>3.9590611938802001</v>
      </c>
      <c r="CL162" s="43">
        <v>0</v>
      </c>
      <c r="CM162" s="43">
        <v>43793</v>
      </c>
      <c r="CN162" s="43">
        <v>65</v>
      </c>
      <c r="CO162" s="43">
        <v>22.24</v>
      </c>
      <c r="CP162" s="43">
        <v>-43.17</v>
      </c>
      <c r="CQ162" s="43">
        <v>21.311</v>
      </c>
      <c r="CR162" s="43">
        <v>-597.04861431929999</v>
      </c>
      <c r="CS162" s="43">
        <v>6.7043000000000005E-2</v>
      </c>
      <c r="CT162" s="43">
        <v>0</v>
      </c>
      <c r="CU162" s="43">
        <v>1</v>
      </c>
      <c r="CV162" s="46" t="s">
        <v>89</v>
      </c>
      <c r="CW162" s="34"/>
      <c r="CX162" s="35"/>
    </row>
    <row r="163" spans="1:102" ht="15" customHeight="1" x14ac:dyDescent="0.25">
      <c r="A163" s="33">
        <v>160</v>
      </c>
      <c r="B163" s="43" t="s">
        <v>1236</v>
      </c>
      <c r="C163" s="43">
        <v>0.4995</v>
      </c>
      <c r="D163" s="43">
        <v>0.72499999999999998</v>
      </c>
      <c r="E163" s="43" t="s">
        <v>268</v>
      </c>
      <c r="F163" s="43" t="s">
        <v>237</v>
      </c>
      <c r="G163" s="43" t="s">
        <v>1237</v>
      </c>
      <c r="H163" s="43" t="s">
        <v>1238</v>
      </c>
      <c r="I163" s="43" t="s">
        <v>1239</v>
      </c>
      <c r="J163" s="43" t="s">
        <v>1240</v>
      </c>
      <c r="K163" s="69" t="s">
        <v>1112</v>
      </c>
      <c r="L163" s="43" t="s">
        <v>895</v>
      </c>
      <c r="M163" s="43" t="s">
        <v>840</v>
      </c>
      <c r="N163" s="43" t="s">
        <v>706</v>
      </c>
      <c r="O163" s="43" t="s">
        <v>683</v>
      </c>
      <c r="P163" s="43" t="s">
        <v>676</v>
      </c>
      <c r="Q163" s="43" t="s">
        <v>676</v>
      </c>
      <c r="R163" s="43" t="s">
        <v>191</v>
      </c>
      <c r="S163" s="43">
        <v>37.454999999999998</v>
      </c>
      <c r="T163" s="43">
        <v>-144.667</v>
      </c>
      <c r="U163" s="43">
        <v>30.340199999999999</v>
      </c>
      <c r="V163" s="43">
        <v>-1.395</v>
      </c>
      <c r="W163" s="43">
        <v>0</v>
      </c>
      <c r="X163" s="43">
        <v>1</v>
      </c>
      <c r="Y163" s="43">
        <v>0.114</v>
      </c>
      <c r="Z163" s="43">
        <v>0.193</v>
      </c>
      <c r="AA163" s="43">
        <v>6145.5730000000003</v>
      </c>
      <c r="AB163" s="43">
        <v>0.23200000000000001</v>
      </c>
      <c r="AC163" s="43">
        <v>4019.2080000000001</v>
      </c>
      <c r="AD163" s="43">
        <v>0.65700000000000003</v>
      </c>
      <c r="AE163" s="43">
        <v>0.997</v>
      </c>
      <c r="AF163" s="43">
        <v>0</v>
      </c>
      <c r="AG163" s="43">
        <v>18.277999999999999</v>
      </c>
      <c r="AH163" s="43">
        <v>136.34100000000001</v>
      </c>
      <c r="AI163" s="43">
        <v>50.061</v>
      </c>
      <c r="AJ163" s="43" t="s">
        <v>1440</v>
      </c>
      <c r="AK163" s="69">
        <v>0</v>
      </c>
      <c r="AL163" s="69">
        <v>2</v>
      </c>
      <c r="AM163" s="69">
        <v>1</v>
      </c>
      <c r="AN163" s="69">
        <v>1</v>
      </c>
      <c r="AO163" s="69">
        <v>0</v>
      </c>
      <c r="AP163" s="43">
        <v>0</v>
      </c>
      <c r="AQ163" s="68" t="s">
        <v>1733</v>
      </c>
      <c r="AR163" s="43" t="s">
        <v>856</v>
      </c>
      <c r="AS163" s="51">
        <v>0</v>
      </c>
      <c r="AT163" s="43">
        <v>20.736999999999998</v>
      </c>
      <c r="AU163" s="69">
        <v>570.70000000000005</v>
      </c>
      <c r="AV163" s="69">
        <v>-657.1</v>
      </c>
      <c r="AW163" s="43">
        <v>78.864199999999997</v>
      </c>
      <c r="AX163" s="43">
        <v>0.38850000000000001</v>
      </c>
      <c r="AY163" s="69">
        <v>570.70000000000005</v>
      </c>
      <c r="AZ163" s="69">
        <v>-657.1</v>
      </c>
      <c r="BA163" s="43">
        <v>78.864199999999997</v>
      </c>
      <c r="BB163" s="43">
        <v>0.38850000000000001</v>
      </c>
      <c r="BC163" s="69">
        <v>0</v>
      </c>
      <c r="BD163" s="69">
        <v>0</v>
      </c>
      <c r="BE163" s="43">
        <v>1</v>
      </c>
      <c r="BF163" s="43">
        <v>-4.57</v>
      </c>
      <c r="BG163" s="43">
        <v>15.174899999999999</v>
      </c>
      <c r="BH163" s="43">
        <v>-4.57</v>
      </c>
      <c r="BI163" s="43">
        <v>3.6701000000000001</v>
      </c>
      <c r="BJ163" s="43">
        <v>1</v>
      </c>
      <c r="BK163" s="53">
        <v>0.156</v>
      </c>
      <c r="BL163" s="53">
        <v>200</v>
      </c>
      <c r="BM163" s="43">
        <v>2</v>
      </c>
      <c r="BN163" s="34" t="s">
        <v>89</v>
      </c>
      <c r="BO163" s="34" t="s">
        <v>89</v>
      </c>
      <c r="BP163" s="34" t="s">
        <v>89</v>
      </c>
      <c r="BQ163" s="34" t="s">
        <v>89</v>
      </c>
      <c r="BR163" s="34" t="s">
        <v>89</v>
      </c>
      <c r="BS163" s="34" t="s">
        <v>89</v>
      </c>
      <c r="BT163" s="34" t="s">
        <v>89</v>
      </c>
      <c r="BU163" s="34" t="s">
        <v>89</v>
      </c>
      <c r="BV163" s="34" t="s">
        <v>89</v>
      </c>
      <c r="BW163" s="34" t="s">
        <v>89</v>
      </c>
      <c r="BX163" s="34" t="s">
        <v>89</v>
      </c>
      <c r="BY163" s="34" t="s">
        <v>89</v>
      </c>
      <c r="BZ163" s="34" t="s">
        <v>89</v>
      </c>
      <c r="CA163" s="34" t="s">
        <v>89</v>
      </c>
      <c r="CB163" s="34" t="s">
        <v>89</v>
      </c>
      <c r="CC163" s="34" t="s">
        <v>89</v>
      </c>
      <c r="CD163" s="34" t="s">
        <v>89</v>
      </c>
      <c r="CE163" s="43">
        <v>-2.41823289578518</v>
      </c>
      <c r="CF163" s="43">
        <v>-2.8477559374641301</v>
      </c>
      <c r="CG163" s="43">
        <v>15.174899999999999</v>
      </c>
      <c r="CH163" s="43">
        <v>-4.57</v>
      </c>
      <c r="CI163" s="43">
        <v>182.91399999999999</v>
      </c>
      <c r="CJ163" s="43">
        <v>-19.898099690971002</v>
      </c>
      <c r="CK163" s="43">
        <v>2.02442815522509</v>
      </c>
      <c r="CL163" s="43">
        <v>65339</v>
      </c>
      <c r="CM163" s="43">
        <v>33456</v>
      </c>
      <c r="CN163" s="43">
        <v>1636</v>
      </c>
      <c r="CO163" s="43">
        <v>570.70000000000005</v>
      </c>
      <c r="CP163" s="43">
        <v>-657.1</v>
      </c>
      <c r="CQ163" s="43">
        <v>570.70000000000005</v>
      </c>
      <c r="CR163" s="43">
        <v>-657.1</v>
      </c>
      <c r="CS163" s="43">
        <v>0</v>
      </c>
      <c r="CT163" s="43">
        <v>1</v>
      </c>
      <c r="CU163" s="43">
        <v>1</v>
      </c>
      <c r="CV163" s="46" t="s">
        <v>89</v>
      </c>
      <c r="CW163" s="34"/>
      <c r="CX163" s="35"/>
    </row>
    <row r="164" spans="1:102" ht="15" customHeight="1" x14ac:dyDescent="0.25">
      <c r="A164" s="33">
        <v>161</v>
      </c>
      <c r="B164" s="43" t="s">
        <v>1241</v>
      </c>
      <c r="C164" s="43">
        <v>0.13289999999999999</v>
      </c>
      <c r="D164" s="43">
        <v>0.56599999999999995</v>
      </c>
      <c r="E164" s="43" t="s">
        <v>281</v>
      </c>
      <c r="F164" s="43" t="s">
        <v>268</v>
      </c>
      <c r="G164" s="43" t="s">
        <v>1242</v>
      </c>
      <c r="H164" s="43" t="s">
        <v>1243</v>
      </c>
      <c r="I164" s="43" t="s">
        <v>1244</v>
      </c>
      <c r="J164" s="43" t="s">
        <v>1245</v>
      </c>
      <c r="K164" s="43" t="s">
        <v>1117</v>
      </c>
      <c r="L164" s="43" t="s">
        <v>861</v>
      </c>
      <c r="M164" s="43" t="s">
        <v>802</v>
      </c>
      <c r="N164" s="43" t="s">
        <v>724</v>
      </c>
      <c r="O164" s="43" t="s">
        <v>698</v>
      </c>
      <c r="P164" s="43" t="s">
        <v>776</v>
      </c>
      <c r="Q164" s="43" t="s">
        <v>349</v>
      </c>
      <c r="R164" s="43" t="s">
        <v>311</v>
      </c>
      <c r="S164" s="43">
        <v>-105.246</v>
      </c>
      <c r="T164" s="43">
        <v>5.7240000000000002</v>
      </c>
      <c r="U164" s="43">
        <v>26.476299999999998</v>
      </c>
      <c r="V164" s="43">
        <v>-27.693000000000001</v>
      </c>
      <c r="W164" s="43">
        <v>1</v>
      </c>
      <c r="X164" s="43">
        <v>1</v>
      </c>
      <c r="Y164" s="43">
        <v>5.2999999999999999E-2</v>
      </c>
      <c r="Z164" s="43">
        <v>0.191</v>
      </c>
      <c r="AA164" s="43">
        <v>6616.0240000000003</v>
      </c>
      <c r="AB164" s="43">
        <v>0.91100000000000003</v>
      </c>
      <c r="AC164" s="43">
        <v>5777.7070000000003</v>
      </c>
      <c r="AD164" s="43">
        <v>0.51300000000000001</v>
      </c>
      <c r="AE164" s="43">
        <v>0.97099999999999997</v>
      </c>
      <c r="AF164" s="43">
        <v>1</v>
      </c>
      <c r="AG164" s="43">
        <v>-20.356000000000002</v>
      </c>
      <c r="AH164" s="43">
        <v>-34.619</v>
      </c>
      <c r="AI164" s="43">
        <v>59.731999999999999</v>
      </c>
      <c r="AJ164" s="43" t="s">
        <v>1443</v>
      </c>
      <c r="AK164" s="69">
        <v>1</v>
      </c>
      <c r="AL164" s="69">
        <v>1</v>
      </c>
      <c r="AM164" s="69">
        <v>0</v>
      </c>
      <c r="AN164" s="69">
        <v>0</v>
      </c>
      <c r="AO164" s="69">
        <v>0</v>
      </c>
      <c r="AP164" s="69">
        <v>1</v>
      </c>
      <c r="AQ164" s="68" t="s">
        <v>1773</v>
      </c>
      <c r="AR164" s="43" t="s">
        <v>862</v>
      </c>
      <c r="AS164" s="51">
        <v>5000</v>
      </c>
      <c r="AT164" s="43">
        <v>-1.4650000000000001</v>
      </c>
      <c r="AU164" s="69">
        <v>0</v>
      </c>
      <c r="AV164" s="69">
        <v>570.70000000000005</v>
      </c>
      <c r="AW164" s="43">
        <v>43.325000000000003</v>
      </c>
      <c r="AX164" s="43">
        <v>0.74450000000000005</v>
      </c>
      <c r="AY164" s="69">
        <v>0</v>
      </c>
      <c r="AZ164" s="69">
        <v>570.70000000000005</v>
      </c>
      <c r="BA164" s="43">
        <v>43.325000000000003</v>
      </c>
      <c r="BB164" s="43">
        <v>0.74450000000000005</v>
      </c>
      <c r="BC164" s="69">
        <v>1</v>
      </c>
      <c r="BD164" s="69">
        <v>1</v>
      </c>
      <c r="BE164" s="43">
        <v>1</v>
      </c>
      <c r="BF164" s="43">
        <v>-25.6</v>
      </c>
      <c r="BG164" s="43">
        <v>26.392499999999998</v>
      </c>
      <c r="BH164" s="43">
        <v>-25.6</v>
      </c>
      <c r="BI164" s="43">
        <v>21.1631</v>
      </c>
      <c r="BJ164" s="43">
        <v>0</v>
      </c>
      <c r="BK164" s="53">
        <v>0.157</v>
      </c>
      <c r="BL164" s="53">
        <v>300</v>
      </c>
      <c r="BM164" s="43">
        <v>2</v>
      </c>
      <c r="BN164" s="34" t="s">
        <v>89</v>
      </c>
      <c r="BO164" s="34" t="s">
        <v>89</v>
      </c>
      <c r="BP164" s="34" t="s">
        <v>89</v>
      </c>
      <c r="BQ164" s="34" t="s">
        <v>89</v>
      </c>
      <c r="BR164" s="34" t="s">
        <v>89</v>
      </c>
      <c r="BS164" s="34" t="s">
        <v>89</v>
      </c>
      <c r="BT164" s="34" t="s">
        <v>89</v>
      </c>
      <c r="BU164" s="34" t="s">
        <v>89</v>
      </c>
      <c r="BV164" s="34" t="s">
        <v>89</v>
      </c>
      <c r="BW164" s="34" t="s">
        <v>89</v>
      </c>
      <c r="BX164" s="34" t="s">
        <v>89</v>
      </c>
      <c r="BY164" s="34" t="s">
        <v>89</v>
      </c>
      <c r="BZ164" s="34" t="s">
        <v>89</v>
      </c>
      <c r="CA164" s="34" t="s">
        <v>89</v>
      </c>
      <c r="CB164" s="34" t="s">
        <v>89</v>
      </c>
      <c r="CC164" s="34" t="s">
        <v>89</v>
      </c>
      <c r="CD164" s="34" t="s">
        <v>89</v>
      </c>
      <c r="CE164" s="43">
        <v>4.4093847540816203E-2</v>
      </c>
      <c r="CF164" s="43">
        <v>1</v>
      </c>
      <c r="CG164" s="43">
        <v>0</v>
      </c>
      <c r="CH164" s="43">
        <v>0</v>
      </c>
      <c r="CI164" s="43">
        <v>205.595</v>
      </c>
      <c r="CJ164" s="43">
        <v>13.636243686416099</v>
      </c>
      <c r="CK164" s="43">
        <v>26.8351087034257</v>
      </c>
      <c r="CL164" s="43">
        <v>0</v>
      </c>
      <c r="CM164" s="43">
        <v>29624</v>
      </c>
      <c r="CN164" s="43">
        <v>5000</v>
      </c>
      <c r="CO164" s="43">
        <v>0</v>
      </c>
      <c r="CP164" s="43">
        <v>570.70000000000005</v>
      </c>
      <c r="CQ164" s="43">
        <v>5.1210000000000004</v>
      </c>
      <c r="CR164" s="43">
        <v>18412.00503325</v>
      </c>
      <c r="CS164" s="43">
        <v>1</v>
      </c>
      <c r="CT164" s="43">
        <v>1</v>
      </c>
      <c r="CU164" s="43">
        <v>1</v>
      </c>
      <c r="CV164" s="46" t="s">
        <v>89</v>
      </c>
      <c r="CW164" s="34"/>
      <c r="CX164" s="35"/>
    </row>
    <row r="165" spans="1:102" ht="15" customHeight="1" x14ac:dyDescent="0.25">
      <c r="A165" s="33">
        <v>162</v>
      </c>
      <c r="B165" s="43" t="s">
        <v>1246</v>
      </c>
      <c r="C165" s="43">
        <v>0.75680000000000003</v>
      </c>
      <c r="D165" s="43">
        <v>0.83299999999999996</v>
      </c>
      <c r="E165" s="43" t="s">
        <v>294</v>
      </c>
      <c r="F165" s="43" t="s">
        <v>282</v>
      </c>
      <c r="G165" s="43" t="s">
        <v>1247</v>
      </c>
      <c r="H165" s="43" t="s">
        <v>1248</v>
      </c>
      <c r="I165" s="43" t="s">
        <v>1249</v>
      </c>
      <c r="J165" s="43" t="s">
        <v>1250</v>
      </c>
      <c r="K165" s="43" t="s">
        <v>1123</v>
      </c>
      <c r="L165" s="43" t="s">
        <v>867</v>
      </c>
      <c r="M165" s="43" t="s">
        <v>809</v>
      </c>
      <c r="N165" s="43" t="s">
        <v>733</v>
      </c>
      <c r="O165" s="43" t="s">
        <v>707</v>
      </c>
      <c r="P165" s="43" t="s">
        <v>662</v>
      </c>
      <c r="Q165" s="43" t="s">
        <v>357</v>
      </c>
      <c r="R165" s="43" t="s">
        <v>202</v>
      </c>
      <c r="S165" s="43">
        <v>-213.02699999999999</v>
      </c>
      <c r="T165" s="43">
        <v>59.304000000000002</v>
      </c>
      <c r="U165" s="43">
        <v>17.638400000000001</v>
      </c>
      <c r="V165" s="43">
        <v>20.065999999999999</v>
      </c>
      <c r="W165" s="43">
        <v>0</v>
      </c>
      <c r="X165" s="43">
        <v>0</v>
      </c>
      <c r="Y165" s="43">
        <v>0.155</v>
      </c>
      <c r="Z165" s="43">
        <v>0.14499999999999999</v>
      </c>
      <c r="AA165" s="43">
        <v>5911.3230000000003</v>
      </c>
      <c r="AB165" s="43">
        <v>0.70199999999999996</v>
      </c>
      <c r="AC165" s="43">
        <v>2332.9360000000001</v>
      </c>
      <c r="AD165" s="43">
        <v>4.0000000000000001E-3</v>
      </c>
      <c r="AE165" s="43">
        <v>0.96299999999999997</v>
      </c>
      <c r="AF165" s="43">
        <v>1</v>
      </c>
      <c r="AG165" s="43">
        <v>-3.266</v>
      </c>
      <c r="AH165" s="43">
        <v>59.731999999999999</v>
      </c>
      <c r="AI165" s="43">
        <v>-207.91800000000001</v>
      </c>
      <c r="AJ165" s="43" t="s">
        <v>1444</v>
      </c>
      <c r="AK165" s="69">
        <v>1</v>
      </c>
      <c r="AL165" s="69">
        <v>0</v>
      </c>
      <c r="AM165" s="69">
        <v>0</v>
      </c>
      <c r="AN165" s="69">
        <v>1</v>
      </c>
      <c r="AO165" s="69">
        <v>0</v>
      </c>
      <c r="AP165" s="43">
        <v>0</v>
      </c>
      <c r="AQ165" s="68" t="s">
        <v>1774</v>
      </c>
      <c r="AR165" s="43" t="s">
        <v>868</v>
      </c>
      <c r="AS165" s="51">
        <v>841</v>
      </c>
      <c r="AT165" s="43">
        <v>20.954000000000001</v>
      </c>
      <c r="AU165" s="69">
        <v>0</v>
      </c>
      <c r="AV165" s="69">
        <v>0</v>
      </c>
      <c r="AW165" s="43">
        <v>44.686199999999999</v>
      </c>
      <c r="AX165" s="43">
        <v>0.2462</v>
      </c>
      <c r="AY165" s="69">
        <v>0</v>
      </c>
      <c r="AZ165" s="69">
        <v>0</v>
      </c>
      <c r="BA165" s="43">
        <v>44.686199999999999</v>
      </c>
      <c r="BB165" s="43">
        <v>0.2462</v>
      </c>
      <c r="BC165" s="69">
        <v>1</v>
      </c>
      <c r="BD165" s="69">
        <v>1</v>
      </c>
      <c r="BE165" s="43">
        <v>1</v>
      </c>
      <c r="BF165" s="43">
        <v>-10.5</v>
      </c>
      <c r="BG165" s="43">
        <v>4.9665999999999997</v>
      </c>
      <c r="BH165" s="43">
        <v>-10.5</v>
      </c>
      <c r="BI165" s="43">
        <v>1.4272</v>
      </c>
      <c r="BJ165" s="43">
        <v>1</v>
      </c>
      <c r="BK165" s="53">
        <v>0.158</v>
      </c>
      <c r="BL165" s="53">
        <v>400</v>
      </c>
      <c r="BM165" s="43">
        <v>2</v>
      </c>
      <c r="BN165" s="34" t="s">
        <v>89</v>
      </c>
      <c r="BO165" s="34" t="s">
        <v>89</v>
      </c>
      <c r="BP165" s="34" t="s">
        <v>89</v>
      </c>
      <c r="BQ165" s="34" t="s">
        <v>89</v>
      </c>
      <c r="BR165" s="34" t="s">
        <v>89</v>
      </c>
      <c r="BS165" s="34" t="s">
        <v>89</v>
      </c>
      <c r="BT165" s="34" t="s">
        <v>89</v>
      </c>
      <c r="BU165" s="34" t="s">
        <v>89</v>
      </c>
      <c r="BV165" s="34" t="s">
        <v>89</v>
      </c>
      <c r="BW165" s="34" t="s">
        <v>89</v>
      </c>
      <c r="BX165" s="34" t="s">
        <v>89</v>
      </c>
      <c r="BY165" s="34" t="s">
        <v>89</v>
      </c>
      <c r="BZ165" s="34" t="s">
        <v>89</v>
      </c>
      <c r="CA165" s="34" t="s">
        <v>89</v>
      </c>
      <c r="CB165" s="34" t="s">
        <v>89</v>
      </c>
      <c r="CC165" s="34" t="s">
        <v>89</v>
      </c>
      <c r="CD165" s="34" t="s">
        <v>89</v>
      </c>
      <c r="CE165" s="43">
        <v>0.88359631184947396</v>
      </c>
      <c r="CF165" s="43">
        <v>1</v>
      </c>
      <c r="CG165" s="43">
        <v>0</v>
      </c>
      <c r="CH165" s="43">
        <v>0</v>
      </c>
      <c r="CI165" s="43">
        <v>178.33600000000001</v>
      </c>
      <c r="CJ165" s="43">
        <v>-0.189992493757627</v>
      </c>
      <c r="CK165" s="43">
        <v>4.81125013404165</v>
      </c>
      <c r="CL165" s="43">
        <v>0</v>
      </c>
      <c r="CM165" s="43">
        <v>27583</v>
      </c>
      <c r="CN165" s="43">
        <v>841</v>
      </c>
      <c r="CO165" s="43">
        <v>0</v>
      </c>
      <c r="CP165" s="43">
        <v>0</v>
      </c>
      <c r="CQ165" s="43">
        <v>18.951000000000001</v>
      </c>
      <c r="CR165" s="43">
        <v>4.6657361999999996</v>
      </c>
      <c r="CS165" s="43">
        <v>0</v>
      </c>
      <c r="CT165" s="43">
        <v>0.29561700000000002</v>
      </c>
      <c r="CU165" s="43">
        <v>1</v>
      </c>
      <c r="CV165" s="46" t="s">
        <v>89</v>
      </c>
      <c r="CW165" s="34"/>
      <c r="CX165" s="35"/>
    </row>
    <row r="166" spans="1:102" ht="15" customHeight="1" x14ac:dyDescent="0.25">
      <c r="A166" s="33">
        <v>163</v>
      </c>
      <c r="B166" s="43" t="s">
        <v>1886</v>
      </c>
      <c r="C166" s="43">
        <v>0.15570000000000001</v>
      </c>
      <c r="D166" s="43">
        <v>0.83299999999999996</v>
      </c>
      <c r="E166" s="43" t="s">
        <v>267</v>
      </c>
      <c r="F166" s="43" t="s">
        <v>216</v>
      </c>
      <c r="G166" s="43" t="s">
        <v>1143</v>
      </c>
      <c r="H166" s="43" t="s">
        <v>1144</v>
      </c>
      <c r="I166" s="43" t="s">
        <v>1145</v>
      </c>
      <c r="J166" s="43" t="s">
        <v>1146</v>
      </c>
      <c r="K166" s="43" t="s">
        <v>1235</v>
      </c>
      <c r="L166" s="43" t="s">
        <v>861</v>
      </c>
      <c r="M166" s="43" t="s">
        <v>855</v>
      </c>
      <c r="N166" s="43" t="s">
        <v>706</v>
      </c>
      <c r="O166" s="43" t="s">
        <v>683</v>
      </c>
      <c r="P166" s="43" t="s">
        <v>676</v>
      </c>
      <c r="Q166" s="43" t="s">
        <v>676</v>
      </c>
      <c r="R166" s="43" t="s">
        <v>191</v>
      </c>
      <c r="S166" s="43">
        <v>37.454999999999998</v>
      </c>
      <c r="T166" s="43">
        <v>-144.667</v>
      </c>
      <c r="U166" s="43">
        <v>23.136700000000001</v>
      </c>
      <c r="V166" s="43">
        <v>-27.334</v>
      </c>
      <c r="W166" s="43">
        <v>1</v>
      </c>
      <c r="X166" s="43">
        <v>0</v>
      </c>
      <c r="Y166" s="43">
        <v>0.155</v>
      </c>
      <c r="Z166" s="43">
        <v>0.14499999999999999</v>
      </c>
      <c r="AA166" s="43">
        <v>5911.3230000000003</v>
      </c>
      <c r="AB166" s="43">
        <v>0.70199999999999996</v>
      </c>
      <c r="AC166" s="43">
        <v>2332.9360000000001</v>
      </c>
      <c r="AD166" s="43">
        <v>4.0000000000000001E-3</v>
      </c>
      <c r="AE166" s="43">
        <v>0.96299999999999997</v>
      </c>
      <c r="AF166" s="43">
        <v>1</v>
      </c>
      <c r="AG166" s="43">
        <v>-3.266</v>
      </c>
      <c r="AH166" s="43">
        <v>59.731999999999999</v>
      </c>
      <c r="AI166" s="43">
        <v>-207.91800000000001</v>
      </c>
      <c r="AJ166" s="43" t="s">
        <v>1444</v>
      </c>
      <c r="AK166" s="69">
        <v>1</v>
      </c>
      <c r="AL166" s="69">
        <v>0</v>
      </c>
      <c r="AM166" s="69">
        <v>0</v>
      </c>
      <c r="AN166" s="69">
        <v>1</v>
      </c>
      <c r="AO166" s="69">
        <v>0</v>
      </c>
      <c r="AP166" s="43">
        <v>0</v>
      </c>
      <c r="AQ166" s="68" t="s">
        <v>1774</v>
      </c>
      <c r="AR166" s="43" t="s">
        <v>868</v>
      </c>
      <c r="AS166" s="43">
        <v>4296</v>
      </c>
      <c r="AT166" s="69">
        <v>-12.244999999999999</v>
      </c>
      <c r="AU166" s="69">
        <v>-43.17</v>
      </c>
      <c r="AV166" s="69">
        <v>0</v>
      </c>
      <c r="AW166" s="43">
        <v>29.8064</v>
      </c>
      <c r="AX166" s="43">
        <v>0.1978</v>
      </c>
      <c r="AY166" s="69">
        <v>-43.17</v>
      </c>
      <c r="AZ166" s="69">
        <v>0</v>
      </c>
      <c r="BA166" s="43">
        <v>29.8064</v>
      </c>
      <c r="BB166" s="43">
        <v>0.1978</v>
      </c>
      <c r="BC166" s="51">
        <v>0</v>
      </c>
      <c r="BD166" s="69">
        <v>1</v>
      </c>
      <c r="BE166" s="43">
        <v>1</v>
      </c>
      <c r="BF166" s="43">
        <v>-11.6</v>
      </c>
      <c r="BG166" s="43">
        <v>20.015599999999999</v>
      </c>
      <c r="BH166" s="43">
        <v>-11.6</v>
      </c>
      <c r="BI166" s="43">
        <v>27.6097</v>
      </c>
      <c r="BJ166" s="43">
        <v>0</v>
      </c>
      <c r="BK166" s="53">
        <v>0.159</v>
      </c>
      <c r="BL166" s="53">
        <v>500</v>
      </c>
      <c r="BM166" s="43">
        <v>2</v>
      </c>
      <c r="BN166" s="34" t="s">
        <v>89</v>
      </c>
      <c r="BO166" s="34" t="s">
        <v>89</v>
      </c>
      <c r="BP166" s="34" t="s">
        <v>89</v>
      </c>
      <c r="BQ166" s="34" t="s">
        <v>89</v>
      </c>
      <c r="BR166" s="34" t="s">
        <v>89</v>
      </c>
      <c r="BS166" s="34" t="s">
        <v>89</v>
      </c>
      <c r="BT166" s="34" t="s">
        <v>89</v>
      </c>
      <c r="BU166" s="34" t="s">
        <v>89</v>
      </c>
      <c r="BV166" s="34" t="s">
        <v>89</v>
      </c>
      <c r="BW166" s="34" t="s">
        <v>89</v>
      </c>
      <c r="BX166" s="34" t="s">
        <v>89</v>
      </c>
      <c r="BY166" s="34" t="s">
        <v>89</v>
      </c>
      <c r="BZ166" s="34" t="s">
        <v>89</v>
      </c>
      <c r="CA166" s="34" t="s">
        <v>89</v>
      </c>
      <c r="CB166" s="34" t="s">
        <v>89</v>
      </c>
      <c r="CC166" s="34" t="s">
        <v>89</v>
      </c>
      <c r="CD166" s="34" t="s">
        <v>89</v>
      </c>
      <c r="CE166" s="43">
        <v>0.59778356057333704</v>
      </c>
      <c r="CF166" s="43">
        <v>1</v>
      </c>
      <c r="CG166" s="43">
        <v>0</v>
      </c>
      <c r="CH166" s="43">
        <v>0</v>
      </c>
      <c r="CI166" s="43">
        <v>220</v>
      </c>
      <c r="CJ166" s="43">
        <v>-2.6024163855132101</v>
      </c>
      <c r="CK166" s="43">
        <v>-4.0511299604446602</v>
      </c>
      <c r="CL166" s="43">
        <v>0</v>
      </c>
      <c r="CM166" s="43">
        <v>7965</v>
      </c>
      <c r="CN166" s="43">
        <v>4296</v>
      </c>
      <c r="CO166" s="43">
        <v>-43.17</v>
      </c>
      <c r="CP166" s="43">
        <v>0</v>
      </c>
      <c r="CQ166" s="43">
        <v>18.951000000000001</v>
      </c>
      <c r="CR166" s="43">
        <v>-4.7905182000000002</v>
      </c>
      <c r="CS166" s="43">
        <v>0</v>
      </c>
      <c r="CT166" s="43">
        <v>0.29561700000000002</v>
      </c>
      <c r="CU166" s="43">
        <v>1</v>
      </c>
      <c r="CV166" s="46" t="s">
        <v>89</v>
      </c>
      <c r="CW166" s="34"/>
      <c r="CX166" s="35"/>
    </row>
    <row r="167" spans="1:102" ht="15" customHeight="1" x14ac:dyDescent="0.25">
      <c r="A167" s="33">
        <v>164</v>
      </c>
      <c r="B167" s="43" t="s">
        <v>1887</v>
      </c>
      <c r="C167" s="43">
        <v>0.19550000000000001</v>
      </c>
      <c r="D167" s="43">
        <v>0.83299999999999996</v>
      </c>
      <c r="E167" s="43" t="s">
        <v>268</v>
      </c>
      <c r="F167" s="43" t="s">
        <v>237</v>
      </c>
      <c r="G167" s="43" t="s">
        <v>1149</v>
      </c>
      <c r="H167" s="43" t="s">
        <v>1150</v>
      </c>
      <c r="I167" s="43" t="s">
        <v>1151</v>
      </c>
      <c r="J167" s="43" t="s">
        <v>1152</v>
      </c>
      <c r="K167" s="43" t="s">
        <v>1226</v>
      </c>
      <c r="L167" s="43" t="s">
        <v>855</v>
      </c>
      <c r="M167" s="43" t="s">
        <v>848</v>
      </c>
      <c r="N167" s="43" t="s">
        <v>669</v>
      </c>
      <c r="O167" s="43" t="s">
        <v>676</v>
      </c>
      <c r="P167" s="43" t="s">
        <v>669</v>
      </c>
      <c r="Q167" s="43" t="s">
        <v>669</v>
      </c>
      <c r="R167" s="43" t="s">
        <v>295</v>
      </c>
      <c r="S167" s="43">
        <v>67.489999999999995</v>
      </c>
      <c r="T167" s="43">
        <v>-42.6815</v>
      </c>
      <c r="U167" s="43">
        <v>2.9908999999999999</v>
      </c>
      <c r="V167" s="43">
        <v>-9.6630000000000003</v>
      </c>
      <c r="W167" s="43">
        <v>1</v>
      </c>
      <c r="X167" s="43">
        <v>1</v>
      </c>
      <c r="Y167" s="43">
        <v>5.2999999999999999E-2</v>
      </c>
      <c r="Z167" s="43">
        <v>0.191</v>
      </c>
      <c r="AA167" s="43">
        <v>6616.0240000000003</v>
      </c>
      <c r="AB167" s="43">
        <v>0.91100000000000003</v>
      </c>
      <c r="AC167" s="43">
        <v>5777.7070000000003</v>
      </c>
      <c r="AD167" s="43">
        <v>0.51300000000000001</v>
      </c>
      <c r="AE167" s="43">
        <v>0.97099999999999997</v>
      </c>
      <c r="AF167" s="43">
        <v>1</v>
      </c>
      <c r="AG167" s="43">
        <v>-20.356000000000002</v>
      </c>
      <c r="AH167" s="43">
        <v>-34.619</v>
      </c>
      <c r="AI167" s="43">
        <v>59.731999999999999</v>
      </c>
      <c r="AJ167" s="43" t="s">
        <v>1408</v>
      </c>
      <c r="AK167" s="69">
        <v>1</v>
      </c>
      <c r="AL167" s="69">
        <v>1</v>
      </c>
      <c r="AM167" s="69">
        <v>0</v>
      </c>
      <c r="AN167" s="69">
        <v>0</v>
      </c>
      <c r="AO167" s="69">
        <v>0</v>
      </c>
      <c r="AP167" s="69">
        <v>1</v>
      </c>
      <c r="AQ167" s="68" t="s">
        <v>1773</v>
      </c>
      <c r="AR167" s="43" t="s">
        <v>862</v>
      </c>
      <c r="AS167" s="43">
        <v>674</v>
      </c>
      <c r="AT167" s="69">
        <v>-19.908999999999999</v>
      </c>
      <c r="AU167" s="69">
        <v>1118</v>
      </c>
      <c r="AV167" s="69">
        <v>-43.17</v>
      </c>
      <c r="AW167" s="43">
        <v>90.7209</v>
      </c>
      <c r="AX167" s="43">
        <v>0.61750000000000005</v>
      </c>
      <c r="AY167" s="69">
        <v>1118</v>
      </c>
      <c r="AZ167" s="69">
        <v>-43.17</v>
      </c>
      <c r="BA167" s="43">
        <v>90.7209</v>
      </c>
      <c r="BB167" s="43">
        <v>0.61750000000000005</v>
      </c>
      <c r="BC167" s="51">
        <v>1</v>
      </c>
      <c r="BD167" s="69">
        <v>1</v>
      </c>
      <c r="BE167" s="43">
        <v>1</v>
      </c>
      <c r="BF167" s="43">
        <v>-30.2</v>
      </c>
      <c r="BG167" s="43">
        <v>13.4597</v>
      </c>
      <c r="BH167" s="43">
        <v>-30.2</v>
      </c>
      <c r="BI167" s="43">
        <v>14.4472</v>
      </c>
      <c r="BJ167" s="43">
        <v>1</v>
      </c>
      <c r="BK167" s="53">
        <v>0.16</v>
      </c>
      <c r="BL167" s="53">
        <v>600</v>
      </c>
      <c r="BM167" s="43">
        <v>2</v>
      </c>
      <c r="BN167" s="34" t="s">
        <v>89</v>
      </c>
      <c r="BO167" s="34" t="s">
        <v>89</v>
      </c>
      <c r="BP167" s="34" t="s">
        <v>89</v>
      </c>
      <c r="BQ167" s="34" t="s">
        <v>89</v>
      </c>
      <c r="BR167" s="34" t="s">
        <v>89</v>
      </c>
      <c r="BS167" s="34" t="s">
        <v>89</v>
      </c>
      <c r="BT167" s="34" t="s">
        <v>89</v>
      </c>
      <c r="BU167" s="34" t="s">
        <v>89</v>
      </c>
      <c r="BV167" s="34" t="s">
        <v>89</v>
      </c>
      <c r="BW167" s="34" t="s">
        <v>89</v>
      </c>
      <c r="BX167" s="34" t="s">
        <v>89</v>
      </c>
      <c r="BY167" s="34" t="s">
        <v>89</v>
      </c>
      <c r="BZ167" s="34" t="s">
        <v>89</v>
      </c>
      <c r="CA167" s="34" t="s">
        <v>89</v>
      </c>
      <c r="CB167" s="34" t="s">
        <v>89</v>
      </c>
      <c r="CC167" s="34" t="s">
        <v>89</v>
      </c>
      <c r="CD167" s="34" t="s">
        <v>89</v>
      </c>
      <c r="CE167" s="43">
        <v>5.5975408180428302E-2</v>
      </c>
      <c r="CF167" s="43">
        <v>1</v>
      </c>
      <c r="CG167" s="43">
        <v>0</v>
      </c>
      <c r="CH167" s="43">
        <v>0</v>
      </c>
      <c r="CI167" s="43">
        <v>-158.75550000000001</v>
      </c>
      <c r="CJ167" s="43">
        <v>3.0266769245948</v>
      </c>
      <c r="CK167" s="43">
        <v>3.7960837443509301</v>
      </c>
      <c r="CL167" s="43">
        <v>0</v>
      </c>
      <c r="CM167" s="43">
        <v>31376</v>
      </c>
      <c r="CN167" s="43">
        <v>674</v>
      </c>
      <c r="CO167" s="43">
        <v>1118</v>
      </c>
      <c r="CP167" s="43">
        <v>-43.17</v>
      </c>
      <c r="CQ167" s="43">
        <v>24.847999999999999</v>
      </c>
      <c r="CR167" s="43">
        <v>-1712.6814837275001</v>
      </c>
      <c r="CS167" s="43">
        <v>1</v>
      </c>
      <c r="CT167" s="43">
        <v>1</v>
      </c>
      <c r="CU167" s="43">
        <v>1</v>
      </c>
      <c r="CV167" s="46" t="s">
        <v>89</v>
      </c>
      <c r="CW167" s="34"/>
      <c r="CX167" s="35"/>
    </row>
    <row r="168" spans="1:102" ht="15" customHeight="1" x14ac:dyDescent="0.25">
      <c r="A168" s="33">
        <v>165</v>
      </c>
      <c r="B168" s="43" t="s">
        <v>1888</v>
      </c>
      <c r="C168" s="43">
        <v>0.2112</v>
      </c>
      <c r="D168" s="43">
        <v>0.72499999999999998</v>
      </c>
      <c r="E168" s="43" t="s">
        <v>268</v>
      </c>
      <c r="F168" s="43" t="s">
        <v>237</v>
      </c>
      <c r="G168" s="43" t="s">
        <v>1154</v>
      </c>
      <c r="H168" s="43" t="s">
        <v>1155</v>
      </c>
      <c r="I168" s="43" t="s">
        <v>1156</v>
      </c>
      <c r="J168" s="43" t="s">
        <v>1157</v>
      </c>
      <c r="K168" s="43" t="s">
        <v>1232</v>
      </c>
      <c r="L168" s="43" t="s">
        <v>855</v>
      </c>
      <c r="M168" s="43" t="s">
        <v>848</v>
      </c>
      <c r="N168" s="43" t="s">
        <v>669</v>
      </c>
      <c r="O168" s="43" t="s">
        <v>676</v>
      </c>
      <c r="P168" s="43" t="s">
        <v>669</v>
      </c>
      <c r="Q168" s="43" t="s">
        <v>669</v>
      </c>
      <c r="R168" s="43" t="s">
        <v>295</v>
      </c>
      <c r="S168" s="43">
        <v>67.489999999999995</v>
      </c>
      <c r="T168" s="43">
        <v>-37.323500000000003</v>
      </c>
      <c r="U168" s="43">
        <v>2.3494999999999999</v>
      </c>
      <c r="V168" s="43">
        <v>-9.6630000000000003</v>
      </c>
      <c r="W168" s="43">
        <v>1</v>
      </c>
      <c r="X168" s="43">
        <v>1</v>
      </c>
      <c r="Y168" s="43">
        <v>5.2999999999999999E-2</v>
      </c>
      <c r="Z168" s="43">
        <v>0.191</v>
      </c>
      <c r="AA168" s="43">
        <v>6616.0240000000003</v>
      </c>
      <c r="AB168" s="43">
        <v>0.91100000000000003</v>
      </c>
      <c r="AC168" s="43">
        <v>5777.7070000000003</v>
      </c>
      <c r="AD168" s="43">
        <v>0.51300000000000001</v>
      </c>
      <c r="AE168" s="43">
        <v>0.97099999999999997</v>
      </c>
      <c r="AF168" s="43">
        <v>1</v>
      </c>
      <c r="AG168" s="43">
        <v>-20.356000000000002</v>
      </c>
      <c r="AH168" s="43">
        <v>-34.619</v>
      </c>
      <c r="AI168" s="43">
        <v>59.731999999999999</v>
      </c>
      <c r="AJ168" s="43" t="s">
        <v>1449</v>
      </c>
      <c r="AK168" s="69">
        <v>1</v>
      </c>
      <c r="AL168" s="69">
        <v>1</v>
      </c>
      <c r="AM168" s="69">
        <v>0</v>
      </c>
      <c r="AN168" s="69">
        <v>0</v>
      </c>
      <c r="AO168" s="69">
        <v>0</v>
      </c>
      <c r="AP168" s="69">
        <v>1</v>
      </c>
      <c r="AQ168" s="68" t="s">
        <v>1773</v>
      </c>
      <c r="AR168" s="43" t="s">
        <v>862</v>
      </c>
      <c r="AS168" s="43">
        <v>4608</v>
      </c>
      <c r="AT168" s="69">
        <v>22.782</v>
      </c>
      <c r="AU168" s="69">
        <v>-717.3</v>
      </c>
      <c r="AV168" s="69">
        <v>1118</v>
      </c>
      <c r="AW168" s="43">
        <v>6.4672000000000001</v>
      </c>
      <c r="AX168" s="43">
        <v>8.5999999999999993E-2</v>
      </c>
      <c r="AY168" s="69">
        <v>-717.3</v>
      </c>
      <c r="AZ168" s="69">
        <v>1118</v>
      </c>
      <c r="BA168" s="43">
        <v>6.4672000000000001</v>
      </c>
      <c r="BB168" s="43">
        <v>8.5999999999999993E-2</v>
      </c>
      <c r="BC168" s="69">
        <v>1</v>
      </c>
      <c r="BD168" s="51">
        <v>0</v>
      </c>
      <c r="BE168" s="43">
        <v>1</v>
      </c>
      <c r="BF168" s="43">
        <v>-9.65</v>
      </c>
      <c r="BG168" s="43">
        <v>7.0926999999999998</v>
      </c>
      <c r="BH168" s="43">
        <v>-9.65</v>
      </c>
      <c r="BI168" s="43">
        <v>21.2148</v>
      </c>
      <c r="BJ168" s="53">
        <v>0</v>
      </c>
      <c r="BK168" s="53">
        <v>0.161</v>
      </c>
      <c r="BL168" s="53">
        <v>700</v>
      </c>
      <c r="BM168" s="43">
        <v>2</v>
      </c>
      <c r="BN168" s="34" t="s">
        <v>89</v>
      </c>
      <c r="BO168" s="34" t="s">
        <v>89</v>
      </c>
      <c r="BP168" s="34" t="s">
        <v>89</v>
      </c>
      <c r="BQ168" s="34" t="s">
        <v>89</v>
      </c>
      <c r="BR168" s="34" t="s">
        <v>89</v>
      </c>
      <c r="BS168" s="34" t="s">
        <v>89</v>
      </c>
      <c r="BT168" s="34" t="s">
        <v>89</v>
      </c>
      <c r="BU168" s="34" t="s">
        <v>89</v>
      </c>
      <c r="BV168" s="34" t="s">
        <v>89</v>
      </c>
      <c r="BW168" s="34" t="s">
        <v>89</v>
      </c>
      <c r="BX168" s="34" t="s">
        <v>89</v>
      </c>
      <c r="BY168" s="34" t="s">
        <v>89</v>
      </c>
      <c r="BZ168" s="34" t="s">
        <v>89</v>
      </c>
      <c r="CA168" s="34" t="s">
        <v>89</v>
      </c>
      <c r="CB168" s="34" t="s">
        <v>89</v>
      </c>
      <c r="CC168" s="34" t="s">
        <v>89</v>
      </c>
      <c r="CD168" s="34" t="s">
        <v>89</v>
      </c>
      <c r="CE168" s="43">
        <v>2.62862767657027E-2</v>
      </c>
      <c r="CF168" s="43">
        <v>1</v>
      </c>
      <c r="CG168" s="43">
        <v>0</v>
      </c>
      <c r="CH168" s="43">
        <v>0</v>
      </c>
      <c r="CI168" s="43">
        <v>-164.11349999999999</v>
      </c>
      <c r="CJ168" s="43">
        <v>8.65465698854055</v>
      </c>
      <c r="CK168" s="43">
        <v>23.053543493448199</v>
      </c>
      <c r="CL168" s="43">
        <v>0</v>
      </c>
      <c r="CM168" s="43">
        <v>63733</v>
      </c>
      <c r="CN168" s="43">
        <v>4608</v>
      </c>
      <c r="CO168" s="43">
        <v>-717.3</v>
      </c>
      <c r="CP168" s="43">
        <v>1118</v>
      </c>
      <c r="CQ168" s="43">
        <v>-717.3</v>
      </c>
      <c r="CR168" s="43">
        <v>1118</v>
      </c>
      <c r="CS168" s="43">
        <v>1</v>
      </c>
      <c r="CT168" s="43">
        <v>1</v>
      </c>
      <c r="CU168" s="43">
        <v>1</v>
      </c>
      <c r="CV168" s="46" t="s">
        <v>89</v>
      </c>
      <c r="CW168" s="34"/>
      <c r="CX168" s="35"/>
    </row>
    <row r="169" spans="1:102" ht="15" customHeight="1" x14ac:dyDescent="0.25">
      <c r="A169" s="33">
        <v>166</v>
      </c>
      <c r="B169" s="43" t="s">
        <v>1889</v>
      </c>
      <c r="C169" s="43">
        <v>0.1822</v>
      </c>
      <c r="D169" s="43">
        <v>0.83299999999999996</v>
      </c>
      <c r="E169" s="43" t="s">
        <v>267</v>
      </c>
      <c r="F169" s="43" t="s">
        <v>216</v>
      </c>
      <c r="G169" s="43" t="s">
        <v>1160</v>
      </c>
      <c r="H169" s="43" t="s">
        <v>1161</v>
      </c>
      <c r="I169" s="43" t="s">
        <v>1162</v>
      </c>
      <c r="J169" s="43" t="s">
        <v>1163</v>
      </c>
      <c r="K169" s="43" t="s">
        <v>1235</v>
      </c>
      <c r="L169" s="43" t="s">
        <v>867</v>
      </c>
      <c r="M169" s="43" t="s">
        <v>809</v>
      </c>
      <c r="N169" s="43" t="s">
        <v>733</v>
      </c>
      <c r="O169" s="43" t="s">
        <v>707</v>
      </c>
      <c r="P169" s="43" t="s">
        <v>662</v>
      </c>
      <c r="Q169" s="43" t="s">
        <v>357</v>
      </c>
      <c r="R169" s="43" t="s">
        <v>202</v>
      </c>
      <c r="S169" s="43">
        <v>-213.02699999999999</v>
      </c>
      <c r="T169" s="43">
        <v>-31.965499999999999</v>
      </c>
      <c r="U169" s="43">
        <v>0.29430000000000001</v>
      </c>
      <c r="V169" s="43">
        <v>-9.0519999999999996</v>
      </c>
      <c r="W169" s="43">
        <v>0</v>
      </c>
      <c r="X169" s="43">
        <v>1</v>
      </c>
      <c r="Y169" s="43">
        <v>0.114</v>
      </c>
      <c r="Z169" s="43">
        <v>0.193</v>
      </c>
      <c r="AA169" s="43">
        <v>6145.5730000000003</v>
      </c>
      <c r="AB169" s="43">
        <v>0.23200000000000001</v>
      </c>
      <c r="AC169" s="43">
        <v>4019.2080000000001</v>
      </c>
      <c r="AD169" s="43">
        <v>0.65700000000000003</v>
      </c>
      <c r="AE169" s="43">
        <v>0.997</v>
      </c>
      <c r="AF169" s="43">
        <v>0</v>
      </c>
      <c r="AG169" s="43">
        <v>18.277999999999999</v>
      </c>
      <c r="AH169" s="43">
        <v>136.34100000000001</v>
      </c>
      <c r="AI169" s="43">
        <v>50.061</v>
      </c>
      <c r="AJ169" s="43" t="s">
        <v>1440</v>
      </c>
      <c r="AK169" s="69">
        <v>0</v>
      </c>
      <c r="AL169" s="69">
        <v>2</v>
      </c>
      <c r="AM169" s="69">
        <v>1</v>
      </c>
      <c r="AN169" s="69">
        <v>1</v>
      </c>
      <c r="AO169" s="69">
        <v>0</v>
      </c>
      <c r="AP169" s="43">
        <v>0</v>
      </c>
      <c r="AQ169" s="68" t="s">
        <v>1733</v>
      </c>
      <c r="AR169" s="43" t="s">
        <v>856</v>
      </c>
      <c r="AS169" s="43">
        <v>2125</v>
      </c>
      <c r="AT169" s="43">
        <v>19.268999999999998</v>
      </c>
      <c r="AU169" s="69">
        <v>1118</v>
      </c>
      <c r="AV169" s="69">
        <v>-717.3</v>
      </c>
      <c r="AW169" s="43">
        <v>57.865299999999998</v>
      </c>
      <c r="AX169" s="43">
        <v>0.41470000000000001</v>
      </c>
      <c r="AY169" s="69">
        <v>1118</v>
      </c>
      <c r="AZ169" s="69">
        <v>-717.3</v>
      </c>
      <c r="BA169" s="43">
        <v>57.865299999999998</v>
      </c>
      <c r="BB169" s="43">
        <v>0.41470000000000001</v>
      </c>
      <c r="BC169" s="69">
        <v>0</v>
      </c>
      <c r="BD169" s="51">
        <v>1</v>
      </c>
      <c r="BE169" s="43">
        <v>1</v>
      </c>
      <c r="BF169" s="43">
        <v>-22.41</v>
      </c>
      <c r="BG169" s="43">
        <v>29.563500000000001</v>
      </c>
      <c r="BH169" s="43">
        <v>-22.41</v>
      </c>
      <c r="BI169" s="43">
        <v>20.617000000000001</v>
      </c>
      <c r="BJ169" s="53">
        <v>1</v>
      </c>
      <c r="BK169" s="53">
        <v>0.16200000000000001</v>
      </c>
      <c r="BL169" s="53">
        <v>800</v>
      </c>
      <c r="BM169" s="43">
        <v>2</v>
      </c>
      <c r="BN169" s="34" t="s">
        <v>89</v>
      </c>
      <c r="BO169" s="34" t="s">
        <v>89</v>
      </c>
      <c r="BP169" s="34" t="s">
        <v>89</v>
      </c>
      <c r="BQ169" s="34" t="s">
        <v>89</v>
      </c>
      <c r="BR169" s="34" t="s">
        <v>89</v>
      </c>
      <c r="BS169" s="34" t="s">
        <v>89</v>
      </c>
      <c r="BT169" s="34" t="s">
        <v>89</v>
      </c>
      <c r="BU169" s="34" t="s">
        <v>89</v>
      </c>
      <c r="BV169" s="34" t="s">
        <v>89</v>
      </c>
      <c r="BW169" s="34" t="s">
        <v>89</v>
      </c>
      <c r="BX169" s="34" t="s">
        <v>89</v>
      </c>
      <c r="BY169" s="34" t="s">
        <v>89</v>
      </c>
      <c r="BZ169" s="34" t="s">
        <v>89</v>
      </c>
      <c r="CA169" s="34" t="s">
        <v>89</v>
      </c>
      <c r="CB169" s="34" t="s">
        <v>89</v>
      </c>
      <c r="CC169" s="34" t="s">
        <v>89</v>
      </c>
      <c r="CD169" s="34" t="s">
        <v>89</v>
      </c>
      <c r="CE169" s="43">
        <v>-2.5749634453425201</v>
      </c>
      <c r="CF169" s="43">
        <v>-2.7246248006409099</v>
      </c>
      <c r="CG169" s="43">
        <v>19.786847000000002</v>
      </c>
      <c r="CH169" s="43">
        <v>-22.41</v>
      </c>
      <c r="CI169" s="43">
        <v>220</v>
      </c>
      <c r="CJ169" s="43">
        <v>-2.5242700725065901</v>
      </c>
      <c r="CK169" s="43">
        <v>-4.2986376447716097</v>
      </c>
      <c r="CL169" s="43">
        <v>65339</v>
      </c>
      <c r="CM169" s="43">
        <v>38369</v>
      </c>
      <c r="CN169" s="43">
        <v>1636</v>
      </c>
      <c r="CO169" s="43">
        <v>1118</v>
      </c>
      <c r="CP169" s="43">
        <v>-717.3</v>
      </c>
      <c r="CQ169" s="43">
        <v>20.061</v>
      </c>
      <c r="CR169" s="43">
        <v>-16740.907640743</v>
      </c>
      <c r="CS169" s="43">
        <v>0</v>
      </c>
      <c r="CT169" s="43">
        <v>1</v>
      </c>
      <c r="CU169" s="43">
        <v>1</v>
      </c>
      <c r="CV169" s="46" t="s">
        <v>89</v>
      </c>
      <c r="CW169" s="34"/>
      <c r="CX169" s="35"/>
    </row>
    <row r="170" spans="1:102" ht="15" customHeight="1" x14ac:dyDescent="0.25">
      <c r="A170" s="33">
        <v>167</v>
      </c>
      <c r="B170" s="43" t="s">
        <v>1503</v>
      </c>
      <c r="C170" s="43">
        <v>0.95320000000000005</v>
      </c>
      <c r="D170" s="43">
        <v>0.77900000000000003</v>
      </c>
      <c r="E170" s="43" t="s">
        <v>1518</v>
      </c>
      <c r="F170" s="43" t="s">
        <v>1522</v>
      </c>
      <c r="G170" s="43" t="s">
        <v>1526</v>
      </c>
      <c r="H170" s="43" t="s">
        <v>1538</v>
      </c>
      <c r="I170" s="43" t="s">
        <v>1550</v>
      </c>
      <c r="J170" s="43" t="s">
        <v>1562</v>
      </c>
      <c r="K170" s="43" t="s">
        <v>1574</v>
      </c>
      <c r="L170" s="43" t="s">
        <v>1584</v>
      </c>
      <c r="M170" s="43" t="s">
        <v>1590</v>
      </c>
      <c r="N170" s="43" t="s">
        <v>1593</v>
      </c>
      <c r="O170" s="43" t="s">
        <v>1599</v>
      </c>
      <c r="P170" s="43" t="s">
        <v>1605</v>
      </c>
      <c r="Q170" s="43" t="s">
        <v>1605</v>
      </c>
      <c r="R170" s="43" t="s">
        <v>1614</v>
      </c>
      <c r="S170" s="43">
        <v>37.454999999999998</v>
      </c>
      <c r="T170" s="43">
        <v>-26.607500000000002</v>
      </c>
      <c r="U170" s="43">
        <v>24.497</v>
      </c>
      <c r="V170" s="43">
        <v>-0.216499999999996</v>
      </c>
      <c r="W170" s="43">
        <v>0</v>
      </c>
      <c r="X170" s="69">
        <v>1</v>
      </c>
      <c r="Y170" s="43">
        <v>7.6999999999999999E-2</v>
      </c>
      <c r="Z170" s="43">
        <v>0.14000000000000001</v>
      </c>
      <c r="AA170" s="43">
        <v>6616.0240000000003</v>
      </c>
      <c r="AB170" s="43">
        <v>0.85199999999999998</v>
      </c>
      <c r="AC170" s="43">
        <v>3865.9870000000001</v>
      </c>
      <c r="AD170" s="43">
        <v>0.51300000000000001</v>
      </c>
      <c r="AE170" s="43">
        <v>0.997</v>
      </c>
      <c r="AF170" s="43">
        <v>1</v>
      </c>
      <c r="AG170" s="43">
        <v>18.277999999999999</v>
      </c>
      <c r="AH170" s="69">
        <v>-34.619</v>
      </c>
      <c r="AI170" s="43">
        <v>59.304000000000002</v>
      </c>
      <c r="AJ170" s="69" t="s">
        <v>1442</v>
      </c>
      <c r="AK170" s="69">
        <v>1</v>
      </c>
      <c r="AL170" s="69">
        <v>0</v>
      </c>
      <c r="AM170" s="69">
        <v>0</v>
      </c>
      <c r="AN170" s="69">
        <v>1</v>
      </c>
      <c r="AO170" s="69">
        <v>0</v>
      </c>
      <c r="AP170" s="43">
        <v>0</v>
      </c>
      <c r="AQ170" s="68" t="s">
        <v>1774</v>
      </c>
      <c r="AR170" s="43" t="s">
        <v>803</v>
      </c>
      <c r="AS170" s="43">
        <v>665</v>
      </c>
      <c r="AT170" s="69">
        <v>-12.244999999999999</v>
      </c>
      <c r="AU170" s="69">
        <v>865.32</v>
      </c>
      <c r="AV170" s="69">
        <v>22.24</v>
      </c>
      <c r="AW170" s="43">
        <v>76.187299999999993</v>
      </c>
      <c r="AX170" s="43">
        <v>0.82150000000000001</v>
      </c>
      <c r="AY170" s="69">
        <v>386.22</v>
      </c>
      <c r="AZ170" s="69">
        <v>96.55</v>
      </c>
      <c r="BA170" s="43">
        <v>69.4054</v>
      </c>
      <c r="BB170" s="43">
        <v>0.31340000000000001</v>
      </c>
      <c r="BC170" s="69">
        <v>0</v>
      </c>
      <c r="BD170" s="43">
        <v>1</v>
      </c>
      <c r="BE170" s="43">
        <v>1</v>
      </c>
      <c r="BF170" s="51">
        <v>-31</v>
      </c>
      <c r="BG170" s="43">
        <v>11.269299999999999</v>
      </c>
      <c r="BH170" s="43">
        <v>-8.69</v>
      </c>
      <c r="BI170" s="43">
        <v>20.359400000000001</v>
      </c>
      <c r="BJ170" s="53">
        <v>0</v>
      </c>
      <c r="BK170" s="53">
        <v>0.16300000000000001</v>
      </c>
      <c r="BL170" s="53">
        <v>900</v>
      </c>
      <c r="BM170" s="43">
        <v>2</v>
      </c>
      <c r="BN170" s="34" t="s">
        <v>89</v>
      </c>
      <c r="BO170" s="34" t="s">
        <v>89</v>
      </c>
      <c r="BP170" s="34" t="s">
        <v>89</v>
      </c>
      <c r="BQ170" s="34" t="s">
        <v>89</v>
      </c>
      <c r="BR170" s="34" t="s">
        <v>89</v>
      </c>
      <c r="BS170" s="34" t="s">
        <v>89</v>
      </c>
      <c r="BT170" s="34" t="s">
        <v>89</v>
      </c>
      <c r="BU170" s="34" t="s">
        <v>89</v>
      </c>
      <c r="BV170" s="34" t="s">
        <v>89</v>
      </c>
      <c r="BW170" s="34" t="s">
        <v>89</v>
      </c>
      <c r="BX170" s="34" t="s">
        <v>89</v>
      </c>
      <c r="BY170" s="34" t="s">
        <v>89</v>
      </c>
      <c r="BZ170" s="34" t="s">
        <v>89</v>
      </c>
      <c r="CA170" s="34" t="s">
        <v>89</v>
      </c>
      <c r="CB170" s="34" t="s">
        <v>89</v>
      </c>
      <c r="CC170" s="34" t="s">
        <v>89</v>
      </c>
      <c r="CD170" s="34" t="s">
        <v>89</v>
      </c>
      <c r="CE170" s="43">
        <v>-1.5217600065569401</v>
      </c>
      <c r="CF170" s="43">
        <v>1</v>
      </c>
      <c r="CG170" s="43">
        <v>0</v>
      </c>
      <c r="CH170" s="43">
        <v>0</v>
      </c>
      <c r="CI170" s="43">
        <v>160.63849999999999</v>
      </c>
      <c r="CJ170" s="43">
        <v>15.0535626681867</v>
      </c>
      <c r="CK170" s="43">
        <v>-26.993200995713298</v>
      </c>
      <c r="CL170" s="43">
        <v>0</v>
      </c>
      <c r="CM170" s="43">
        <v>62239</v>
      </c>
      <c r="CN170" s="43">
        <v>665</v>
      </c>
      <c r="CO170" s="43">
        <v>865.32</v>
      </c>
      <c r="CP170" s="43">
        <v>22.24</v>
      </c>
      <c r="CQ170" s="43">
        <v>21.373000000000001</v>
      </c>
      <c r="CR170" s="43">
        <v>2227.8616815579999</v>
      </c>
      <c r="CS170" s="43">
        <v>2.4996999999999901E-2</v>
      </c>
      <c r="CT170" s="43">
        <v>0.99624837499999996</v>
      </c>
      <c r="CU170" s="43">
        <v>1</v>
      </c>
      <c r="CV170" s="46" t="s">
        <v>89</v>
      </c>
      <c r="CW170" s="34"/>
      <c r="CX170" s="35"/>
    </row>
    <row r="171" spans="1:102" ht="15" customHeight="1" x14ac:dyDescent="0.25">
      <c r="A171" s="33">
        <v>168</v>
      </c>
      <c r="B171" s="43" t="s">
        <v>1504</v>
      </c>
      <c r="C171" s="43">
        <v>0.48680000000000001</v>
      </c>
      <c r="D171" s="43">
        <v>0.76819999999999999</v>
      </c>
      <c r="E171" s="43" t="s">
        <v>268</v>
      </c>
      <c r="F171" s="43" t="s">
        <v>237</v>
      </c>
      <c r="G171" s="43" t="s">
        <v>1527</v>
      </c>
      <c r="H171" s="43" t="s">
        <v>1539</v>
      </c>
      <c r="I171" s="43" t="s">
        <v>1551</v>
      </c>
      <c r="J171" s="43" t="s">
        <v>1563</v>
      </c>
      <c r="K171" s="43" t="s">
        <v>1575</v>
      </c>
      <c r="L171" s="43" t="s">
        <v>855</v>
      </c>
      <c r="M171" s="43" t="s">
        <v>848</v>
      </c>
      <c r="N171" s="43" t="s">
        <v>669</v>
      </c>
      <c r="O171" s="43" t="s">
        <v>676</v>
      </c>
      <c r="P171" s="43" t="s">
        <v>669</v>
      </c>
      <c r="Q171" s="43" t="s">
        <v>669</v>
      </c>
      <c r="R171" s="43" t="s">
        <v>295</v>
      </c>
      <c r="S171" s="43">
        <v>67.489999999999995</v>
      </c>
      <c r="T171" s="43">
        <v>-21.249500000000001</v>
      </c>
      <c r="U171" s="43">
        <v>15.507899999999999</v>
      </c>
      <c r="V171" s="43">
        <v>5.2680999999999996</v>
      </c>
      <c r="W171" s="43">
        <v>0</v>
      </c>
      <c r="X171" s="43">
        <v>0</v>
      </c>
      <c r="Y171" s="43">
        <v>0.17299999999999999</v>
      </c>
      <c r="Z171" s="43">
        <v>2.1000000000000001E-2</v>
      </c>
      <c r="AA171" s="43">
        <v>5911.3230000000003</v>
      </c>
      <c r="AB171" s="43">
        <v>0.23200000000000001</v>
      </c>
      <c r="AC171" s="43">
        <v>2156.6410000000001</v>
      </c>
      <c r="AD171" s="43">
        <v>4.0000000000000001E-3</v>
      </c>
      <c r="AE171" s="43">
        <v>0.95899999999999996</v>
      </c>
      <c r="AF171" s="43">
        <v>1</v>
      </c>
      <c r="AG171" s="43">
        <v>-2.423</v>
      </c>
      <c r="AH171" s="43">
        <v>-118.848</v>
      </c>
      <c r="AI171" s="43">
        <v>50.061</v>
      </c>
      <c r="AJ171" s="69" t="s">
        <v>1443</v>
      </c>
      <c r="AK171" s="69">
        <v>0</v>
      </c>
      <c r="AL171" s="69">
        <v>2</v>
      </c>
      <c r="AM171" s="69">
        <v>1</v>
      </c>
      <c r="AN171" s="69">
        <v>1</v>
      </c>
      <c r="AO171" s="69">
        <v>0</v>
      </c>
      <c r="AP171" s="43">
        <v>0</v>
      </c>
      <c r="AQ171" s="68" t="s">
        <v>1733</v>
      </c>
      <c r="AR171" s="43" t="s">
        <v>972</v>
      </c>
      <c r="AS171" s="43">
        <v>1724</v>
      </c>
      <c r="AT171" s="69">
        <v>-19.908999999999999</v>
      </c>
      <c r="AU171" s="69">
        <v>267.12</v>
      </c>
      <c r="AV171" s="69">
        <v>267.12</v>
      </c>
      <c r="AW171" s="43">
        <v>99.373000000000005</v>
      </c>
      <c r="AX171" s="43">
        <v>0.47260000000000002</v>
      </c>
      <c r="AY171" s="69">
        <v>-784.13</v>
      </c>
      <c r="AZ171" s="69">
        <v>0</v>
      </c>
      <c r="BA171" s="43">
        <v>87.578500000000005</v>
      </c>
      <c r="BB171" s="43">
        <v>0.88919999999999999</v>
      </c>
      <c r="BC171" s="69">
        <v>1</v>
      </c>
      <c r="BD171" s="43">
        <v>1</v>
      </c>
      <c r="BE171" s="43">
        <v>1</v>
      </c>
      <c r="BF171" s="51">
        <v>0</v>
      </c>
      <c r="BG171" s="43">
        <v>13.965199999999999</v>
      </c>
      <c r="BH171" s="43">
        <v>-4.57</v>
      </c>
      <c r="BI171" s="43">
        <v>0.46579999999999999</v>
      </c>
      <c r="BJ171" s="53">
        <v>1</v>
      </c>
      <c r="BK171" s="53">
        <v>0.16400000000000001</v>
      </c>
      <c r="BL171" s="53">
        <v>1000</v>
      </c>
      <c r="BM171" s="43">
        <v>2</v>
      </c>
      <c r="BN171" s="34" t="s">
        <v>89</v>
      </c>
      <c r="BO171" s="34" t="s">
        <v>89</v>
      </c>
      <c r="BP171" s="34" t="s">
        <v>89</v>
      </c>
      <c r="BQ171" s="34" t="s">
        <v>89</v>
      </c>
      <c r="BR171" s="34" t="s">
        <v>89</v>
      </c>
      <c r="BS171" s="34" t="s">
        <v>89</v>
      </c>
      <c r="BT171" s="34" t="s">
        <v>89</v>
      </c>
      <c r="BU171" s="34" t="s">
        <v>89</v>
      </c>
      <c r="BV171" s="34" t="s">
        <v>89</v>
      </c>
      <c r="BW171" s="34" t="s">
        <v>89</v>
      </c>
      <c r="BX171" s="34" t="s">
        <v>89</v>
      </c>
      <c r="BY171" s="34" t="s">
        <v>89</v>
      </c>
      <c r="BZ171" s="34" t="s">
        <v>89</v>
      </c>
      <c r="CA171" s="34" t="s">
        <v>89</v>
      </c>
      <c r="CB171" s="34" t="s">
        <v>89</v>
      </c>
      <c r="CC171" s="34" t="s">
        <v>89</v>
      </c>
      <c r="CD171" s="34" t="s">
        <v>89</v>
      </c>
      <c r="CE171" s="43">
        <v>0.41740844617783901</v>
      </c>
      <c r="CF171" s="43">
        <v>1</v>
      </c>
      <c r="CG171" s="43">
        <v>13.965199999999999</v>
      </c>
      <c r="CH171" s="43">
        <v>-4.57</v>
      </c>
      <c r="CI171" s="43">
        <v>29.461500000000001</v>
      </c>
      <c r="CJ171" s="43">
        <v>2.8832296286104802</v>
      </c>
      <c r="CK171" s="43">
        <v>-3.8313198650990499</v>
      </c>
      <c r="CL171" s="43">
        <v>62849</v>
      </c>
      <c r="CM171" s="43">
        <v>22576</v>
      </c>
      <c r="CN171" s="43">
        <v>383</v>
      </c>
      <c r="CO171" s="43">
        <v>267.12</v>
      </c>
      <c r="CP171" s="43">
        <v>267.12</v>
      </c>
      <c r="CQ171" s="43">
        <v>7.4809999999999999</v>
      </c>
      <c r="CR171" s="43">
        <v>-690.59629080000002</v>
      </c>
      <c r="CS171" s="43">
        <v>0</v>
      </c>
      <c r="CT171" s="43">
        <v>0.27358012500000001</v>
      </c>
      <c r="CU171" s="43">
        <v>1</v>
      </c>
      <c r="CV171" s="46" t="s">
        <v>89</v>
      </c>
      <c r="CW171" s="34"/>
      <c r="CX171" s="35"/>
    </row>
    <row r="172" spans="1:102" ht="15" customHeight="1" x14ac:dyDescent="0.25">
      <c r="A172" s="33">
        <v>169</v>
      </c>
      <c r="B172" s="43" t="s">
        <v>1505</v>
      </c>
      <c r="C172" s="43">
        <v>0.80769999999999997</v>
      </c>
      <c r="D172" s="43">
        <v>0.73580000000000001</v>
      </c>
      <c r="E172" s="43" t="s">
        <v>1519</v>
      </c>
      <c r="F172" s="43" t="s">
        <v>1523</v>
      </c>
      <c r="G172" s="43" t="s">
        <v>1528</v>
      </c>
      <c r="H172" s="43" t="s">
        <v>1540</v>
      </c>
      <c r="I172" s="43" t="s">
        <v>1552</v>
      </c>
      <c r="J172" s="43" t="s">
        <v>1564</v>
      </c>
      <c r="K172" s="43" t="s">
        <v>1576</v>
      </c>
      <c r="L172" s="43" t="s">
        <v>1585</v>
      </c>
      <c r="M172" s="43" t="s">
        <v>1591</v>
      </c>
      <c r="N172" s="43" t="s">
        <v>1594</v>
      </c>
      <c r="O172" s="43" t="s">
        <v>1600</v>
      </c>
      <c r="P172" s="43" t="s">
        <v>1606</v>
      </c>
      <c r="Q172" s="43" t="s">
        <v>1606</v>
      </c>
      <c r="R172" s="43" t="s">
        <v>1615</v>
      </c>
      <c r="S172" s="43">
        <v>37.454999999999998</v>
      </c>
      <c r="T172" s="43">
        <v>-5.1755000000000004</v>
      </c>
      <c r="U172" s="43">
        <v>7.7465999999999999</v>
      </c>
      <c r="V172" s="43">
        <v>21.721900000000002</v>
      </c>
      <c r="W172" s="43">
        <v>0</v>
      </c>
      <c r="X172" s="43">
        <v>1</v>
      </c>
      <c r="Y172" s="43">
        <v>0.155</v>
      </c>
      <c r="Z172" s="43">
        <v>9.0999999999999998E-2</v>
      </c>
      <c r="AA172" s="43">
        <v>6110.8270000000002</v>
      </c>
      <c r="AB172" s="43">
        <v>0.72399999999999998</v>
      </c>
      <c r="AC172" s="43">
        <v>7823.2650000000003</v>
      </c>
      <c r="AD172" s="43">
        <v>4.4999999999999998E-2</v>
      </c>
      <c r="AE172" s="43">
        <v>0.95899999999999996</v>
      </c>
      <c r="AF172" s="43">
        <v>1</v>
      </c>
      <c r="AG172" s="43">
        <v>-2.423</v>
      </c>
      <c r="AH172" s="43">
        <v>-34.619</v>
      </c>
      <c r="AI172" s="43">
        <v>136.34100000000001</v>
      </c>
      <c r="AJ172" s="69" t="s">
        <v>1443</v>
      </c>
      <c r="AK172" s="69">
        <v>0</v>
      </c>
      <c r="AL172" s="69">
        <v>2</v>
      </c>
      <c r="AM172" s="69">
        <v>1</v>
      </c>
      <c r="AN172" s="69">
        <v>1</v>
      </c>
      <c r="AO172" s="69">
        <v>0</v>
      </c>
      <c r="AP172" s="43">
        <v>0</v>
      </c>
      <c r="AQ172" s="68" t="s">
        <v>1733</v>
      </c>
      <c r="AR172" s="43" t="s">
        <v>856</v>
      </c>
      <c r="AS172" s="43">
        <v>1789</v>
      </c>
      <c r="AT172" s="43">
        <v>18.128</v>
      </c>
      <c r="AU172" s="69">
        <v>1118</v>
      </c>
      <c r="AV172" s="69">
        <v>1118</v>
      </c>
      <c r="AW172" s="43">
        <v>16.585100000000001</v>
      </c>
      <c r="AX172" s="43">
        <v>4.53E-2</v>
      </c>
      <c r="AY172" s="69">
        <v>-340.13</v>
      </c>
      <c r="AZ172" s="69">
        <v>-717.3</v>
      </c>
      <c r="BA172" s="43">
        <v>52.7087</v>
      </c>
      <c r="BB172" s="43">
        <v>0.75029999999999997</v>
      </c>
      <c r="BC172" s="69">
        <v>1</v>
      </c>
      <c r="BD172" s="69">
        <v>0</v>
      </c>
      <c r="BE172" s="43">
        <v>1</v>
      </c>
      <c r="BF172" s="52">
        <v>0</v>
      </c>
      <c r="BG172" s="43">
        <v>28.116399999999999</v>
      </c>
      <c r="BH172" s="43">
        <v>-11.6</v>
      </c>
      <c r="BI172" s="43">
        <v>11.405799999999999</v>
      </c>
      <c r="BJ172" s="43">
        <v>0</v>
      </c>
      <c r="BK172" s="53">
        <v>0.16500000000000001</v>
      </c>
      <c r="BL172" s="53">
        <v>1100</v>
      </c>
      <c r="BM172" s="43">
        <v>2</v>
      </c>
      <c r="BN172" s="34" t="s">
        <v>89</v>
      </c>
      <c r="BO172" s="34" t="s">
        <v>89</v>
      </c>
      <c r="BP172" s="34" t="s">
        <v>89</v>
      </c>
      <c r="BQ172" s="34" t="s">
        <v>89</v>
      </c>
      <c r="BR172" s="34" t="s">
        <v>89</v>
      </c>
      <c r="BS172" s="34" t="s">
        <v>89</v>
      </c>
      <c r="BT172" s="34" t="s">
        <v>89</v>
      </c>
      <c r="BU172" s="34" t="s">
        <v>89</v>
      </c>
      <c r="BV172" s="34" t="s">
        <v>89</v>
      </c>
      <c r="BW172" s="34" t="s">
        <v>89</v>
      </c>
      <c r="BX172" s="34" t="s">
        <v>89</v>
      </c>
      <c r="BY172" s="34" t="s">
        <v>89</v>
      </c>
      <c r="BZ172" s="34" t="s">
        <v>89</v>
      </c>
      <c r="CA172" s="34" t="s">
        <v>89</v>
      </c>
      <c r="CB172" s="34" t="s">
        <v>89</v>
      </c>
      <c r="CC172" s="34" t="s">
        <v>89</v>
      </c>
      <c r="CD172" s="34" t="s">
        <v>89</v>
      </c>
      <c r="CE172" s="43">
        <v>0.83102008324093901</v>
      </c>
      <c r="CF172" s="43">
        <v>1</v>
      </c>
      <c r="CG172" s="43">
        <v>28.116399999999999</v>
      </c>
      <c r="CH172" s="43">
        <v>-11.6</v>
      </c>
      <c r="CI172" s="43">
        <v>131.5095</v>
      </c>
      <c r="CJ172" s="43">
        <v>2.6636548900560499</v>
      </c>
      <c r="CK172" s="43">
        <v>6.66147294496656</v>
      </c>
      <c r="CL172" s="43">
        <v>62849</v>
      </c>
      <c r="CM172" s="43">
        <v>4051</v>
      </c>
      <c r="CN172" s="43">
        <v>1636</v>
      </c>
      <c r="CO172" s="43">
        <v>1118</v>
      </c>
      <c r="CP172" s="43">
        <v>1118</v>
      </c>
      <c r="CQ172" s="43">
        <v>-340.13</v>
      </c>
      <c r="CR172" s="43">
        <v>-717.3</v>
      </c>
      <c r="CS172" s="43">
        <v>0</v>
      </c>
      <c r="CT172" s="43">
        <v>1</v>
      </c>
      <c r="CU172" s="43">
        <v>1</v>
      </c>
      <c r="CV172" s="46" t="s">
        <v>89</v>
      </c>
      <c r="CW172" s="34"/>
      <c r="CX172" s="35"/>
    </row>
    <row r="173" spans="1:102" ht="15" customHeight="1" x14ac:dyDescent="0.25">
      <c r="A173" s="33">
        <v>170</v>
      </c>
      <c r="B173" s="43" t="s">
        <v>1506</v>
      </c>
      <c r="C173" s="43">
        <v>0.2036</v>
      </c>
      <c r="D173" s="43">
        <v>0.72499999999999998</v>
      </c>
      <c r="E173" s="43" t="s">
        <v>268</v>
      </c>
      <c r="F173" s="43" t="s">
        <v>237</v>
      </c>
      <c r="G173" s="43" t="s">
        <v>1529</v>
      </c>
      <c r="H173" s="43" t="s">
        <v>1541</v>
      </c>
      <c r="I173" s="43" t="s">
        <v>1553</v>
      </c>
      <c r="J173" s="43" t="s">
        <v>1565</v>
      </c>
      <c r="K173" s="43" t="s">
        <v>1577</v>
      </c>
      <c r="L173" s="43" t="s">
        <v>855</v>
      </c>
      <c r="M173" s="43" t="s">
        <v>848</v>
      </c>
      <c r="N173" s="43" t="s">
        <v>669</v>
      </c>
      <c r="O173" s="43" t="s">
        <v>676</v>
      </c>
      <c r="P173" s="43" t="s">
        <v>669</v>
      </c>
      <c r="Q173" s="43" t="s">
        <v>669</v>
      </c>
      <c r="R173" s="43" t="s">
        <v>295</v>
      </c>
      <c r="S173" s="43">
        <v>67.489999999999995</v>
      </c>
      <c r="T173" s="43">
        <v>0.18250000000000499</v>
      </c>
      <c r="U173" s="43">
        <v>14.661</v>
      </c>
      <c r="V173" s="43">
        <v>27.206499999999998</v>
      </c>
      <c r="W173" s="43">
        <v>0</v>
      </c>
      <c r="X173" s="43">
        <v>1</v>
      </c>
      <c r="Y173" s="43">
        <v>1.7999999999999999E-2</v>
      </c>
      <c r="Z173" s="43">
        <v>0.193</v>
      </c>
      <c r="AA173" s="43">
        <v>6145.5730000000003</v>
      </c>
      <c r="AB173" s="43">
        <v>0.84899999999999998</v>
      </c>
      <c r="AC173" s="43">
        <v>6489.6959999999999</v>
      </c>
      <c r="AD173" s="43">
        <v>0.39900000000000002</v>
      </c>
      <c r="AE173" s="43">
        <v>0.997</v>
      </c>
      <c r="AF173" s="43">
        <v>0</v>
      </c>
      <c r="AG173" s="43">
        <v>18.277999999999999</v>
      </c>
      <c r="AH173" s="43">
        <v>59.731999999999999</v>
      </c>
      <c r="AI173" s="43">
        <v>59.731999999999999</v>
      </c>
      <c r="AJ173" s="69" t="s">
        <v>1444</v>
      </c>
      <c r="AK173" s="69">
        <v>1</v>
      </c>
      <c r="AL173" s="69">
        <v>3</v>
      </c>
      <c r="AM173" s="69">
        <v>1</v>
      </c>
      <c r="AN173" s="69">
        <v>1</v>
      </c>
      <c r="AO173" s="69">
        <v>1</v>
      </c>
      <c r="AP173" s="43">
        <v>1</v>
      </c>
      <c r="AQ173" s="68" t="s">
        <v>1785</v>
      </c>
      <c r="AR173" s="43" t="s">
        <v>882</v>
      </c>
      <c r="AS173" s="43">
        <v>65</v>
      </c>
      <c r="AT173" s="43">
        <v>7.8769999999999998</v>
      </c>
      <c r="AU173" s="69">
        <v>-627.17999999999995</v>
      </c>
      <c r="AV173" s="69">
        <v>-627.17999999999995</v>
      </c>
      <c r="AW173" s="43">
        <v>87.307500000000005</v>
      </c>
      <c r="AX173" s="43">
        <v>0.96599999999999997</v>
      </c>
      <c r="AY173" s="69">
        <v>-784.13</v>
      </c>
      <c r="AZ173" s="69">
        <v>1118</v>
      </c>
      <c r="BA173" s="43">
        <v>87.764899999999997</v>
      </c>
      <c r="BB173" s="43">
        <v>0.64080000000000004</v>
      </c>
      <c r="BC173" s="69">
        <v>1</v>
      </c>
      <c r="BD173" s="69">
        <v>1</v>
      </c>
      <c r="BE173" s="43">
        <v>1</v>
      </c>
      <c r="BF173" s="52" t="s">
        <v>1620</v>
      </c>
      <c r="BG173" s="43">
        <v>29.514199999999999</v>
      </c>
      <c r="BH173" s="43">
        <v>-30.2</v>
      </c>
      <c r="BI173" s="43">
        <v>30.3613</v>
      </c>
      <c r="BJ173" s="43">
        <v>1</v>
      </c>
      <c r="BK173" s="53">
        <v>0.16600000000000001</v>
      </c>
      <c r="BL173" s="53">
        <v>1200</v>
      </c>
      <c r="BM173" s="43">
        <v>2</v>
      </c>
      <c r="BN173" s="34" t="s">
        <v>89</v>
      </c>
      <c r="BO173" s="34" t="s">
        <v>89</v>
      </c>
      <c r="BP173" s="34" t="s">
        <v>89</v>
      </c>
      <c r="BQ173" s="34" t="s">
        <v>89</v>
      </c>
      <c r="BR173" s="34" t="s">
        <v>89</v>
      </c>
      <c r="BS173" s="34" t="s">
        <v>89</v>
      </c>
      <c r="BT173" s="34" t="s">
        <v>89</v>
      </c>
      <c r="BU173" s="34" t="s">
        <v>89</v>
      </c>
      <c r="BV173" s="34" t="s">
        <v>89</v>
      </c>
      <c r="BW173" s="34" t="s">
        <v>89</v>
      </c>
      <c r="BX173" s="34" t="s">
        <v>89</v>
      </c>
      <c r="BY173" s="34" t="s">
        <v>89</v>
      </c>
      <c r="BZ173" s="34" t="s">
        <v>89</v>
      </c>
      <c r="CA173" s="34" t="s">
        <v>89</v>
      </c>
      <c r="CB173" s="34" t="s">
        <v>89</v>
      </c>
      <c r="CC173" s="34" t="s">
        <v>89</v>
      </c>
      <c r="CD173" s="34" t="s">
        <v>89</v>
      </c>
      <c r="CE173" s="43">
        <v>-1.21298060334492</v>
      </c>
      <c r="CF173" s="43">
        <v>-2.8288830076192099E-2</v>
      </c>
      <c r="CG173" s="43">
        <v>0</v>
      </c>
      <c r="CH173" s="43">
        <v>0</v>
      </c>
      <c r="CI173" s="43">
        <v>8.0295000000000005</v>
      </c>
      <c r="CJ173" s="43">
        <v>18.584354146290799</v>
      </c>
      <c r="CK173" s="43">
        <v>-24.695433382818901</v>
      </c>
      <c r="CL173" s="43">
        <v>0</v>
      </c>
      <c r="CM173" s="43">
        <v>22566</v>
      </c>
      <c r="CN173" s="43">
        <v>65</v>
      </c>
      <c r="CO173" s="43">
        <v>-627.17999999999995</v>
      </c>
      <c r="CP173" s="43">
        <v>-627.17999999999995</v>
      </c>
      <c r="CQ173" s="43">
        <v>21.311</v>
      </c>
      <c r="CR173" s="43">
        <v>62387.22375936</v>
      </c>
      <c r="CS173" s="43">
        <v>8.08033749999999E-2</v>
      </c>
      <c r="CT173" s="43">
        <v>0</v>
      </c>
      <c r="CU173" s="43">
        <v>1</v>
      </c>
      <c r="CV173" s="46" t="s">
        <v>89</v>
      </c>
      <c r="CW173" s="34"/>
      <c r="CX173" s="35"/>
    </row>
    <row r="174" spans="1:102" ht="15" customHeight="1" x14ac:dyDescent="0.25">
      <c r="A174" s="33">
        <v>171</v>
      </c>
      <c r="B174" s="43" t="s">
        <v>1507</v>
      </c>
      <c r="C174" s="43">
        <v>0.39889999999999998</v>
      </c>
      <c r="D174" s="43">
        <v>0.71419999999999995</v>
      </c>
      <c r="E174" s="43" t="s">
        <v>268</v>
      </c>
      <c r="F174" s="43" t="s">
        <v>237</v>
      </c>
      <c r="G174" s="43" t="s">
        <v>1530</v>
      </c>
      <c r="H174" s="43" t="s">
        <v>1542</v>
      </c>
      <c r="I174" s="43" t="s">
        <v>1554</v>
      </c>
      <c r="J174" s="43" t="s">
        <v>1566</v>
      </c>
      <c r="K174" s="43" t="s">
        <v>1578</v>
      </c>
      <c r="L174" s="43" t="s">
        <v>855</v>
      </c>
      <c r="M174" s="43" t="s">
        <v>848</v>
      </c>
      <c r="N174" s="43" t="s">
        <v>669</v>
      </c>
      <c r="O174" s="43" t="s">
        <v>676</v>
      </c>
      <c r="P174" s="43" t="s">
        <v>669</v>
      </c>
      <c r="Q174" s="43" t="s">
        <v>669</v>
      </c>
      <c r="R174" s="43" t="s">
        <v>295</v>
      </c>
      <c r="S174" s="43">
        <v>67.489999999999995</v>
      </c>
      <c r="T174" s="43">
        <v>5.54049999999999</v>
      </c>
      <c r="U174" s="43">
        <v>12.7982</v>
      </c>
      <c r="V174" s="43">
        <v>-18.536999999999999</v>
      </c>
      <c r="W174" s="43">
        <v>1</v>
      </c>
      <c r="X174" s="43">
        <v>0</v>
      </c>
      <c r="Y174" s="43">
        <v>2.1999999999999999E-2</v>
      </c>
      <c r="Z174" s="43">
        <v>0.112</v>
      </c>
      <c r="AA174" s="43">
        <v>2663.6559999999999</v>
      </c>
      <c r="AB174" s="43">
        <v>0.23200000000000001</v>
      </c>
      <c r="AC174" s="43">
        <v>4019.2080000000001</v>
      </c>
      <c r="AD174" s="43">
        <v>0.111</v>
      </c>
      <c r="AE174" s="43">
        <v>0.97099999999999997</v>
      </c>
      <c r="AF174" s="69">
        <v>1</v>
      </c>
      <c r="AG174" s="43">
        <v>-20.356000000000002</v>
      </c>
      <c r="AH174" s="43">
        <v>-126.64100000000001</v>
      </c>
      <c r="AI174" s="43">
        <v>-207.91800000000001</v>
      </c>
      <c r="AJ174" s="69" t="s">
        <v>1441</v>
      </c>
      <c r="AK174" s="69">
        <v>1</v>
      </c>
      <c r="AL174" s="69">
        <v>0</v>
      </c>
      <c r="AM174" s="69">
        <v>0</v>
      </c>
      <c r="AN174" s="69">
        <v>1</v>
      </c>
      <c r="AO174" s="69">
        <v>0</v>
      </c>
      <c r="AP174" s="43">
        <v>0</v>
      </c>
      <c r="AQ174" s="68" t="s">
        <v>1774</v>
      </c>
      <c r="AR174" s="43" t="s">
        <v>868</v>
      </c>
      <c r="AS174" s="43">
        <v>1357</v>
      </c>
      <c r="AT174" s="43">
        <v>6.8239999999999998</v>
      </c>
      <c r="AU174" s="69">
        <v>-1118</v>
      </c>
      <c r="AV174" s="69">
        <v>-1118</v>
      </c>
      <c r="AW174" s="43">
        <v>97.396900000000002</v>
      </c>
      <c r="AX174" s="43">
        <v>0.83089999999999997</v>
      </c>
      <c r="AY174" s="69">
        <v>386.22</v>
      </c>
      <c r="AZ174" s="69">
        <v>-657.13</v>
      </c>
      <c r="BA174" s="43">
        <v>58.654400000000003</v>
      </c>
      <c r="BB174" s="43">
        <v>5.21E-2</v>
      </c>
      <c r="BC174" s="69">
        <v>0</v>
      </c>
      <c r="BD174" s="69">
        <v>0</v>
      </c>
      <c r="BE174" s="43">
        <v>1</v>
      </c>
      <c r="BF174" s="43">
        <v>-9.65</v>
      </c>
      <c r="BG174" s="51">
        <v>0</v>
      </c>
      <c r="BH174" s="43">
        <v>-9.65</v>
      </c>
      <c r="BI174" s="43">
        <v>22.814699999999998</v>
      </c>
      <c r="BJ174" s="43">
        <v>0</v>
      </c>
      <c r="BK174" s="53">
        <v>0.16700000000000001</v>
      </c>
      <c r="BL174" s="53">
        <v>1300</v>
      </c>
      <c r="BM174" s="43">
        <v>2</v>
      </c>
      <c r="BN174" s="34" t="s">
        <v>89</v>
      </c>
      <c r="BO174" s="34" t="s">
        <v>89</v>
      </c>
      <c r="BP174" s="34" t="s">
        <v>89</v>
      </c>
      <c r="BQ174" s="34" t="s">
        <v>89</v>
      </c>
      <c r="BR174" s="34" t="s">
        <v>89</v>
      </c>
      <c r="BS174" s="34" t="s">
        <v>89</v>
      </c>
      <c r="BT174" s="34" t="s">
        <v>89</v>
      </c>
      <c r="BU174" s="34" t="s">
        <v>89</v>
      </c>
      <c r="BV174" s="34" t="s">
        <v>89</v>
      </c>
      <c r="BW174" s="34" t="s">
        <v>89</v>
      </c>
      <c r="BX174" s="34" t="s">
        <v>89</v>
      </c>
      <c r="BY174" s="34" t="s">
        <v>89</v>
      </c>
      <c r="BZ174" s="34" t="s">
        <v>89</v>
      </c>
      <c r="CA174" s="34" t="s">
        <v>89</v>
      </c>
      <c r="CB174" s="34" t="s">
        <v>89</v>
      </c>
      <c r="CC174" s="34" t="s">
        <v>89</v>
      </c>
      <c r="CD174" s="34" t="s">
        <v>89</v>
      </c>
      <c r="CE174" s="43">
        <v>4.9532284040394199</v>
      </c>
      <c r="CF174" s="43">
        <v>1</v>
      </c>
      <c r="CG174" s="43">
        <v>0</v>
      </c>
      <c r="CH174" s="43">
        <v>0</v>
      </c>
      <c r="CI174" s="43">
        <v>-206.97749999999999</v>
      </c>
      <c r="CJ174" s="43">
        <v>-17.839755693715599</v>
      </c>
      <c r="CK174" s="43">
        <v>-2.52724599909003</v>
      </c>
      <c r="CL174" s="43">
        <v>0</v>
      </c>
      <c r="CM174" s="43">
        <v>42135</v>
      </c>
      <c r="CN174" s="43">
        <v>1357</v>
      </c>
      <c r="CO174" s="43">
        <v>-1118</v>
      </c>
      <c r="CP174" s="43">
        <v>-1118</v>
      </c>
      <c r="CQ174" s="43">
        <v>386.22</v>
      </c>
      <c r="CR174" s="43">
        <v>-657.13</v>
      </c>
      <c r="CS174" s="43">
        <v>0</v>
      </c>
      <c r="CT174" s="43">
        <v>0.61340099999999997</v>
      </c>
      <c r="CU174" s="43">
        <v>1</v>
      </c>
      <c r="CV174" s="46" t="s">
        <v>89</v>
      </c>
      <c r="CW174" s="34"/>
      <c r="CX174" s="35"/>
    </row>
    <row r="175" spans="1:102" ht="15" customHeight="1" x14ac:dyDescent="0.25">
      <c r="A175" s="33">
        <v>172</v>
      </c>
      <c r="B175" s="43" t="s">
        <v>1508</v>
      </c>
      <c r="C175" s="43">
        <v>0.4894</v>
      </c>
      <c r="D175" s="43">
        <v>0.70340000000000003</v>
      </c>
      <c r="E175" s="43" t="s">
        <v>1519</v>
      </c>
      <c r="F175" s="43" t="s">
        <v>1523</v>
      </c>
      <c r="G175" s="43" t="s">
        <v>1531</v>
      </c>
      <c r="H175" s="43" t="s">
        <v>1543</v>
      </c>
      <c r="I175" s="43" t="s">
        <v>1555</v>
      </c>
      <c r="J175" s="43" t="s">
        <v>1567</v>
      </c>
      <c r="K175" s="43" t="s">
        <v>1576</v>
      </c>
      <c r="L175" s="43" t="s">
        <v>1586</v>
      </c>
      <c r="M175" s="43" t="s">
        <v>1515</v>
      </c>
      <c r="N175" s="43" t="s">
        <v>1595</v>
      </c>
      <c r="O175" s="43" t="s">
        <v>1601</v>
      </c>
      <c r="P175" s="43" t="s">
        <v>1607</v>
      </c>
      <c r="Q175" s="43" t="s">
        <v>1611</v>
      </c>
      <c r="R175" s="43" t="s">
        <v>1616</v>
      </c>
      <c r="S175" s="43">
        <v>-213.02699999999999</v>
      </c>
      <c r="T175" s="43">
        <v>10.8985</v>
      </c>
      <c r="U175" s="43">
        <v>15.8293</v>
      </c>
      <c r="V175" s="43">
        <v>-1.395</v>
      </c>
      <c r="W175" s="43">
        <v>0</v>
      </c>
      <c r="X175" s="43">
        <v>0</v>
      </c>
      <c r="Y175" s="43">
        <v>0.114</v>
      </c>
      <c r="Z175" s="43">
        <v>0.14499999999999999</v>
      </c>
      <c r="AA175" s="43">
        <v>5911.3230000000003</v>
      </c>
      <c r="AB175" s="43">
        <v>0.91100000000000003</v>
      </c>
      <c r="AC175" s="43">
        <v>7823.2650000000003</v>
      </c>
      <c r="AD175" s="43">
        <v>0.81699999999999995</v>
      </c>
      <c r="AE175" s="43">
        <v>0.96299999999999997</v>
      </c>
      <c r="AF175" s="43">
        <v>0</v>
      </c>
      <c r="AG175" s="43">
        <v>-3.266</v>
      </c>
      <c r="AH175" s="43">
        <v>-34.619</v>
      </c>
      <c r="AI175" s="43">
        <v>136.34100000000001</v>
      </c>
      <c r="AJ175" s="69" t="s">
        <v>1443</v>
      </c>
      <c r="AK175" s="69">
        <v>0</v>
      </c>
      <c r="AL175" s="69">
        <v>2</v>
      </c>
      <c r="AM175" s="69">
        <v>1</v>
      </c>
      <c r="AN175" s="69">
        <v>1</v>
      </c>
      <c r="AO175" s="69">
        <v>0</v>
      </c>
      <c r="AP175" s="43">
        <v>0</v>
      </c>
      <c r="AQ175" s="68" t="s">
        <v>1733</v>
      </c>
      <c r="AR175" s="43" t="s">
        <v>874</v>
      </c>
      <c r="AS175" s="43">
        <v>903</v>
      </c>
      <c r="AT175" s="43">
        <v>4.3559999999999999</v>
      </c>
      <c r="AU175" s="69">
        <v>1118</v>
      </c>
      <c r="AV175" s="69">
        <v>1118</v>
      </c>
      <c r="AW175" s="43">
        <v>16.585100000000001</v>
      </c>
      <c r="AX175" s="43">
        <v>0.72719999999999996</v>
      </c>
      <c r="AY175" s="69">
        <v>-627.17999999999995</v>
      </c>
      <c r="AZ175" s="69">
        <v>-194.19</v>
      </c>
      <c r="BA175" s="43">
        <v>40.261200000000002</v>
      </c>
      <c r="BB175" s="43">
        <v>0.1767</v>
      </c>
      <c r="BC175" s="69">
        <v>1</v>
      </c>
      <c r="BD175" s="69">
        <v>1</v>
      </c>
      <c r="BE175" s="43">
        <v>1</v>
      </c>
      <c r="BF175" s="43">
        <v>-22.41</v>
      </c>
      <c r="BG175" s="51">
        <v>31</v>
      </c>
      <c r="BH175" s="43">
        <v>-22.41</v>
      </c>
      <c r="BI175" s="43">
        <v>28.3733</v>
      </c>
      <c r="BJ175" s="43">
        <v>1</v>
      </c>
      <c r="BK175" s="53">
        <v>0.16800000000000001</v>
      </c>
      <c r="BL175" s="53">
        <v>1400</v>
      </c>
      <c r="BM175" s="43">
        <v>2</v>
      </c>
      <c r="BN175" s="34" t="s">
        <v>89</v>
      </c>
      <c r="BO175" s="34" t="s">
        <v>89</v>
      </c>
      <c r="BP175" s="34" t="s">
        <v>89</v>
      </c>
      <c r="BQ175" s="34" t="s">
        <v>89</v>
      </c>
      <c r="BR175" s="34" t="s">
        <v>89</v>
      </c>
      <c r="BS175" s="34" t="s">
        <v>89</v>
      </c>
      <c r="BT175" s="34" t="s">
        <v>89</v>
      </c>
      <c r="BU175" s="34" t="s">
        <v>89</v>
      </c>
      <c r="BV175" s="34" t="s">
        <v>89</v>
      </c>
      <c r="BW175" s="34" t="s">
        <v>89</v>
      </c>
      <c r="BX175" s="34" t="s">
        <v>89</v>
      </c>
      <c r="BY175" s="34" t="s">
        <v>89</v>
      </c>
      <c r="BZ175" s="34" t="s">
        <v>89</v>
      </c>
      <c r="CA175" s="34" t="s">
        <v>89</v>
      </c>
      <c r="CB175" s="34" t="s">
        <v>89</v>
      </c>
      <c r="CC175" s="34" t="s">
        <v>89</v>
      </c>
      <c r="CD175" s="34" t="s">
        <v>89</v>
      </c>
      <c r="CE175" s="43">
        <v>0.659121480906255</v>
      </c>
      <c r="CF175" s="43">
        <v>-0.46124238337977902</v>
      </c>
      <c r="CG175" s="43">
        <v>31</v>
      </c>
      <c r="CH175" s="43">
        <v>-22.41</v>
      </c>
      <c r="CI175" s="43">
        <v>220</v>
      </c>
      <c r="CJ175" s="43">
        <v>-2.43829655144149</v>
      </c>
      <c r="CK175" s="43">
        <v>-4.1519796395488902</v>
      </c>
      <c r="CL175" s="43">
        <v>63111</v>
      </c>
      <c r="CM175" s="43">
        <v>38390</v>
      </c>
      <c r="CN175" s="43">
        <v>1779</v>
      </c>
      <c r="CO175" s="43">
        <v>1118</v>
      </c>
      <c r="CP175" s="43">
        <v>1118</v>
      </c>
      <c r="CQ175" s="43">
        <v>7.4809999999999999</v>
      </c>
      <c r="CR175" s="43">
        <v>-1490.9983863276</v>
      </c>
      <c r="CS175" s="43">
        <v>0.17208462499999999</v>
      </c>
      <c r="CT175" s="43">
        <v>1</v>
      </c>
      <c r="CU175" s="43">
        <v>1</v>
      </c>
      <c r="CV175" s="46" t="s">
        <v>89</v>
      </c>
      <c r="CW175" s="34"/>
      <c r="CX175" s="35"/>
    </row>
    <row r="176" spans="1:102" ht="15" customHeight="1" x14ac:dyDescent="0.25">
      <c r="A176" s="33">
        <v>173</v>
      </c>
      <c r="B176" s="43" t="s">
        <v>1509</v>
      </c>
      <c r="C176" s="43">
        <v>0.44669999999999999</v>
      </c>
      <c r="D176" s="43">
        <v>0.69259999999999999</v>
      </c>
      <c r="E176" s="43" t="s">
        <v>1520</v>
      </c>
      <c r="F176" s="43" t="s">
        <v>1524</v>
      </c>
      <c r="G176" s="43" t="s">
        <v>1532</v>
      </c>
      <c r="H176" s="43" t="s">
        <v>1544</v>
      </c>
      <c r="I176" s="43" t="s">
        <v>1556</v>
      </c>
      <c r="J176" s="43" t="s">
        <v>1568</v>
      </c>
      <c r="K176" s="43" t="s">
        <v>1579</v>
      </c>
      <c r="L176" s="43" t="s">
        <v>1587</v>
      </c>
      <c r="M176" s="43" t="s">
        <v>1592</v>
      </c>
      <c r="N176" s="43" t="s">
        <v>1596</v>
      </c>
      <c r="O176" s="43" t="s">
        <v>1602</v>
      </c>
      <c r="P176" s="43" t="s">
        <v>1608</v>
      </c>
      <c r="Q176" s="43" t="s">
        <v>1608</v>
      </c>
      <c r="R176" s="43" t="s">
        <v>1617</v>
      </c>
      <c r="S176" s="43">
        <v>37.454999999999998</v>
      </c>
      <c r="T176" s="43">
        <v>16.256499999999999</v>
      </c>
      <c r="U176" s="43">
        <v>15.6167</v>
      </c>
      <c r="V176" s="43">
        <v>-27.693000000000001</v>
      </c>
      <c r="W176" s="43">
        <v>1</v>
      </c>
      <c r="X176" s="43">
        <v>1</v>
      </c>
      <c r="Y176" s="43">
        <v>5.2999999999999999E-2</v>
      </c>
      <c r="Z176" s="43">
        <v>2.3E-2</v>
      </c>
      <c r="AA176" s="43">
        <v>7083.2719999999999</v>
      </c>
      <c r="AB176" s="43">
        <v>0.70199999999999996</v>
      </c>
      <c r="AC176" s="43">
        <v>6489.6959999999999</v>
      </c>
      <c r="AD176" s="43">
        <v>0.65700000000000003</v>
      </c>
      <c r="AE176" s="43">
        <v>0.96299999999999997</v>
      </c>
      <c r="AF176" s="43">
        <v>1</v>
      </c>
      <c r="AG176" s="43">
        <v>-3.266</v>
      </c>
      <c r="AH176" s="43">
        <v>59.731999999999999</v>
      </c>
      <c r="AI176" s="43">
        <v>59.731999999999999</v>
      </c>
      <c r="AJ176" s="69" t="s">
        <v>1444</v>
      </c>
      <c r="AK176" s="69">
        <v>1</v>
      </c>
      <c r="AL176" s="69">
        <v>3</v>
      </c>
      <c r="AM176" s="69">
        <v>1</v>
      </c>
      <c r="AN176" s="69">
        <v>1</v>
      </c>
      <c r="AO176" s="69">
        <v>1</v>
      </c>
      <c r="AP176" s="43">
        <v>1</v>
      </c>
      <c r="AQ176" s="68" t="s">
        <v>1785</v>
      </c>
      <c r="AR176" s="43" t="s">
        <v>882</v>
      </c>
      <c r="AS176" s="43">
        <v>65</v>
      </c>
      <c r="AT176" s="43">
        <v>-6.99</v>
      </c>
      <c r="AU176" s="69">
        <v>570.70000000000005</v>
      </c>
      <c r="AV176" s="69">
        <v>570.70000000000005</v>
      </c>
      <c r="AW176" s="43">
        <v>78.864199999999997</v>
      </c>
      <c r="AX176" s="43">
        <v>0.58430000000000004</v>
      </c>
      <c r="AY176" s="69">
        <v>-10.210000000000001</v>
      </c>
      <c r="AZ176" s="69">
        <v>386.22</v>
      </c>
      <c r="BA176" s="43">
        <v>60.231999999999999</v>
      </c>
      <c r="BB176" s="43">
        <v>0.30620000000000003</v>
      </c>
      <c r="BC176" s="69">
        <v>1</v>
      </c>
      <c r="BD176" s="69">
        <v>0</v>
      </c>
      <c r="BE176" s="43">
        <v>1</v>
      </c>
      <c r="BF176" s="43">
        <v>-8.69</v>
      </c>
      <c r="BG176" s="52">
        <v>14.5</v>
      </c>
      <c r="BH176" s="43">
        <v>-8.69</v>
      </c>
      <c r="BI176" s="43">
        <v>5.6788999999999996</v>
      </c>
      <c r="BJ176" s="43">
        <v>0</v>
      </c>
      <c r="BK176" s="53">
        <v>0.16900000000000001</v>
      </c>
      <c r="BL176" s="53">
        <v>1500</v>
      </c>
      <c r="BM176" s="43">
        <v>2</v>
      </c>
      <c r="BN176" s="34" t="s">
        <v>89</v>
      </c>
      <c r="BO176" s="34" t="s">
        <v>89</v>
      </c>
      <c r="BP176" s="34" t="s">
        <v>89</v>
      </c>
      <c r="BQ176" s="34" t="s">
        <v>89</v>
      </c>
      <c r="BR176" s="34" t="s">
        <v>89</v>
      </c>
      <c r="BS176" s="34" t="s">
        <v>89</v>
      </c>
      <c r="BT176" s="34" t="s">
        <v>89</v>
      </c>
      <c r="BU176" s="34" t="s">
        <v>89</v>
      </c>
      <c r="BV176" s="34" t="s">
        <v>89</v>
      </c>
      <c r="BW176" s="34" t="s">
        <v>89</v>
      </c>
      <c r="BX176" s="34" t="s">
        <v>89</v>
      </c>
      <c r="BY176" s="34" t="s">
        <v>89</v>
      </c>
      <c r="BZ176" s="34" t="s">
        <v>89</v>
      </c>
      <c r="CA176" s="34" t="s">
        <v>89</v>
      </c>
      <c r="CB176" s="34" t="s">
        <v>89</v>
      </c>
      <c r="CC176" s="34" t="s">
        <v>89</v>
      </c>
      <c r="CD176" s="34" t="s">
        <v>89</v>
      </c>
      <c r="CE176" s="43">
        <v>1.2084802223218001</v>
      </c>
      <c r="CF176" s="43">
        <v>1</v>
      </c>
      <c r="CG176" s="43">
        <v>0</v>
      </c>
      <c r="CH176" s="43">
        <v>0</v>
      </c>
      <c r="CI176" s="43">
        <v>110.07850000000001</v>
      </c>
      <c r="CJ176" s="43">
        <v>7.6200194574862099</v>
      </c>
      <c r="CK176" s="43">
        <v>19.0553935252616</v>
      </c>
      <c r="CL176" s="43">
        <v>0</v>
      </c>
      <c r="CM176" s="43">
        <v>4062</v>
      </c>
      <c r="CN176" s="43">
        <v>65</v>
      </c>
      <c r="CO176" s="43">
        <v>570.70000000000005</v>
      </c>
      <c r="CP176" s="43">
        <v>570.70000000000005</v>
      </c>
      <c r="CQ176" s="43">
        <v>-10.210000000000001</v>
      </c>
      <c r="CR176" s="43">
        <v>386.22</v>
      </c>
      <c r="CS176" s="43">
        <v>0</v>
      </c>
      <c r="CT176" s="43">
        <v>0</v>
      </c>
      <c r="CU176" s="43">
        <v>1</v>
      </c>
      <c r="CV176" s="46" t="s">
        <v>89</v>
      </c>
      <c r="CW176" s="34"/>
      <c r="CX176" s="35"/>
    </row>
    <row r="177" spans="1:102" ht="15" customHeight="1" x14ac:dyDescent="0.25">
      <c r="A177" s="33">
        <v>174</v>
      </c>
      <c r="B177" s="43" t="s">
        <v>1510</v>
      </c>
      <c r="C177" s="43">
        <v>0.71679999999999999</v>
      </c>
      <c r="D177" s="43">
        <v>0.68179999999999996</v>
      </c>
      <c r="E177" s="43" t="s">
        <v>268</v>
      </c>
      <c r="F177" s="43" t="s">
        <v>237</v>
      </c>
      <c r="G177" s="43" t="s">
        <v>1533</v>
      </c>
      <c r="H177" s="43" t="s">
        <v>1545</v>
      </c>
      <c r="I177" s="43" t="s">
        <v>1557</v>
      </c>
      <c r="J177" s="43" t="s">
        <v>1569</v>
      </c>
      <c r="K177" s="43" t="s">
        <v>1580</v>
      </c>
      <c r="L177" s="43" t="s">
        <v>855</v>
      </c>
      <c r="M177" s="43" t="s">
        <v>848</v>
      </c>
      <c r="N177" s="43" t="s">
        <v>669</v>
      </c>
      <c r="O177" s="43" t="s">
        <v>676</v>
      </c>
      <c r="P177" s="43" t="s">
        <v>669</v>
      </c>
      <c r="Q177" s="43" t="s">
        <v>669</v>
      </c>
      <c r="R177" s="43" t="s">
        <v>295</v>
      </c>
      <c r="S177" s="43">
        <v>67.489999999999995</v>
      </c>
      <c r="T177" s="43">
        <v>21.6145</v>
      </c>
      <c r="U177" s="43">
        <v>18.841999999999999</v>
      </c>
      <c r="V177" s="43">
        <v>20.065999999999999</v>
      </c>
      <c r="W177" s="43">
        <v>1</v>
      </c>
      <c r="X177" s="43">
        <v>1</v>
      </c>
      <c r="Y177" s="43">
        <v>0.155</v>
      </c>
      <c r="Z177" s="43">
        <v>0.112</v>
      </c>
      <c r="AA177" s="43">
        <v>2663.6559999999999</v>
      </c>
      <c r="AB177" s="43">
        <v>0.66200000000000003</v>
      </c>
      <c r="AC177" s="43">
        <v>2156.6410000000001</v>
      </c>
      <c r="AD177" s="43">
        <v>0.499</v>
      </c>
      <c r="AE177" s="43">
        <v>0.97099999999999997</v>
      </c>
      <c r="AF177" s="43">
        <v>1</v>
      </c>
      <c r="AG177" s="43">
        <v>-20.356000000000002</v>
      </c>
      <c r="AH177" s="43">
        <v>136.34100000000001</v>
      </c>
      <c r="AI177" s="43">
        <v>-207.91800000000001</v>
      </c>
      <c r="AJ177" s="43" t="s">
        <v>1408</v>
      </c>
      <c r="AK177" s="69">
        <v>0</v>
      </c>
      <c r="AL177" s="69">
        <v>2</v>
      </c>
      <c r="AM177" s="69">
        <v>1</v>
      </c>
      <c r="AN177" s="69">
        <v>1</v>
      </c>
      <c r="AO177" s="69">
        <v>0</v>
      </c>
      <c r="AP177" s="43">
        <v>0</v>
      </c>
      <c r="AQ177" s="68" t="s">
        <v>1733</v>
      </c>
      <c r="AR177" s="43" t="s">
        <v>856</v>
      </c>
      <c r="AS177" s="69">
        <v>0</v>
      </c>
      <c r="AT177" s="43">
        <v>0.39800000000000002</v>
      </c>
      <c r="AU177" s="69">
        <v>0</v>
      </c>
      <c r="AV177" s="69">
        <v>0</v>
      </c>
      <c r="AW177" s="43">
        <v>43.325000000000003</v>
      </c>
      <c r="AX177" s="43">
        <v>0.60560000000000003</v>
      </c>
      <c r="AY177" s="69">
        <v>570.70000000000005</v>
      </c>
      <c r="AZ177" s="69">
        <v>-784.13</v>
      </c>
      <c r="BA177" s="43">
        <v>76.187299999999993</v>
      </c>
      <c r="BB177" s="43">
        <v>0.40489999999999998</v>
      </c>
      <c r="BC177" s="69">
        <v>0</v>
      </c>
      <c r="BD177" s="69">
        <v>1</v>
      </c>
      <c r="BE177" s="43">
        <v>1</v>
      </c>
      <c r="BF177" s="43">
        <v>-4.57</v>
      </c>
      <c r="BG177" s="51">
        <v>15.174899999999999</v>
      </c>
      <c r="BH177" s="43">
        <v>-4.57</v>
      </c>
      <c r="BI177" s="43">
        <v>21.771699999999999</v>
      </c>
      <c r="BJ177" s="43">
        <v>1</v>
      </c>
      <c r="BK177" s="53">
        <v>0.17</v>
      </c>
      <c r="BL177" s="53">
        <v>1600</v>
      </c>
      <c r="BM177" s="43">
        <v>2</v>
      </c>
      <c r="BN177" s="34" t="s">
        <v>89</v>
      </c>
      <c r="BO177" s="34" t="s">
        <v>89</v>
      </c>
      <c r="BP177" s="34" t="s">
        <v>89</v>
      </c>
      <c r="BQ177" s="34" t="s">
        <v>89</v>
      </c>
      <c r="BR177" s="34" t="s">
        <v>89</v>
      </c>
      <c r="BS177" s="34" t="s">
        <v>89</v>
      </c>
      <c r="BT177" s="34" t="s">
        <v>89</v>
      </c>
      <c r="BU177" s="34" t="s">
        <v>89</v>
      </c>
      <c r="BV177" s="34" t="s">
        <v>89</v>
      </c>
      <c r="BW177" s="34" t="s">
        <v>89</v>
      </c>
      <c r="BX177" s="34" t="s">
        <v>89</v>
      </c>
      <c r="BY177" s="34" t="s">
        <v>89</v>
      </c>
      <c r="BZ177" s="34" t="s">
        <v>89</v>
      </c>
      <c r="CA177" s="34" t="s">
        <v>89</v>
      </c>
      <c r="CB177" s="34" t="s">
        <v>89</v>
      </c>
      <c r="CC177" s="34" t="s">
        <v>89</v>
      </c>
      <c r="CD177" s="34" t="s">
        <v>89</v>
      </c>
      <c r="CE177" s="43">
        <v>2.5357018516447001</v>
      </c>
      <c r="CF177" s="43">
        <v>1</v>
      </c>
      <c r="CG177" s="43">
        <v>-4.57</v>
      </c>
      <c r="CH177" s="43">
        <v>21.771699999999999</v>
      </c>
      <c r="CI177" s="43">
        <v>-13.4025</v>
      </c>
      <c r="CJ177" s="43">
        <v>2.91930758016766</v>
      </c>
      <c r="CK177" s="43">
        <v>-3.87926130240999</v>
      </c>
      <c r="CL177" s="43">
        <v>63635</v>
      </c>
      <c r="CM177" s="43">
        <v>22555</v>
      </c>
      <c r="CN177" s="43">
        <v>1636</v>
      </c>
      <c r="CO177" s="43">
        <v>0</v>
      </c>
      <c r="CP177" s="43">
        <v>0</v>
      </c>
      <c r="CQ177" s="43">
        <v>27.207999999999998</v>
      </c>
      <c r="CR177" s="43">
        <v>-23946.935733390099</v>
      </c>
      <c r="CS177" s="43">
        <v>0.32904299999999997</v>
      </c>
      <c r="CT177" s="43">
        <v>0.76858012499999995</v>
      </c>
      <c r="CU177" s="43">
        <v>1</v>
      </c>
      <c r="CV177" s="46" t="s">
        <v>89</v>
      </c>
      <c r="CW177" s="34"/>
      <c r="CX177" s="35"/>
    </row>
    <row r="178" spans="1:102" ht="15" customHeight="1" x14ac:dyDescent="0.25">
      <c r="A178" s="33">
        <v>175</v>
      </c>
      <c r="B178" s="43" t="s">
        <v>1511</v>
      </c>
      <c r="C178" s="43">
        <v>0.47639999999999999</v>
      </c>
      <c r="D178" s="43">
        <v>0.67100000000000004</v>
      </c>
      <c r="E178" s="43" t="s">
        <v>268</v>
      </c>
      <c r="F178" s="43" t="s">
        <v>237</v>
      </c>
      <c r="G178" s="43" t="s">
        <v>1534</v>
      </c>
      <c r="H178" s="43" t="s">
        <v>1546</v>
      </c>
      <c r="I178" s="43" t="s">
        <v>1558</v>
      </c>
      <c r="J178" s="43" t="s">
        <v>1570</v>
      </c>
      <c r="K178" s="43" t="s">
        <v>1581</v>
      </c>
      <c r="L178" s="43" t="s">
        <v>855</v>
      </c>
      <c r="M178" s="43" t="s">
        <v>848</v>
      </c>
      <c r="N178" s="43" t="s">
        <v>669</v>
      </c>
      <c r="O178" s="43" t="s">
        <v>676</v>
      </c>
      <c r="P178" s="43" t="s">
        <v>669</v>
      </c>
      <c r="Q178" s="43" t="s">
        <v>669</v>
      </c>
      <c r="R178" s="43" t="s">
        <v>295</v>
      </c>
      <c r="S178" s="43">
        <v>67.489999999999995</v>
      </c>
      <c r="T178" s="43">
        <v>26.9725</v>
      </c>
      <c r="U178" s="43">
        <v>21.777799999999999</v>
      </c>
      <c r="V178" s="43">
        <v>-27.334</v>
      </c>
      <c r="W178" s="43">
        <v>1</v>
      </c>
      <c r="X178" s="43">
        <v>1</v>
      </c>
      <c r="Y178" s="43">
        <v>0.155</v>
      </c>
      <c r="Z178" s="43">
        <v>0.193</v>
      </c>
      <c r="AA178" s="43">
        <v>6145.5730000000003</v>
      </c>
      <c r="AB178" s="43">
        <v>0.85099999999999998</v>
      </c>
      <c r="AC178" s="43">
        <v>5517.4970000000003</v>
      </c>
      <c r="AD178" s="43">
        <v>0.75700000000000001</v>
      </c>
      <c r="AE178" s="43">
        <v>0.97099999999999997</v>
      </c>
      <c r="AF178" s="43">
        <v>1</v>
      </c>
      <c r="AG178" s="43">
        <v>-20.356000000000002</v>
      </c>
      <c r="AH178" s="69">
        <v>-9.32</v>
      </c>
      <c r="AI178" s="69">
        <v>50.061</v>
      </c>
      <c r="AJ178" s="43" t="s">
        <v>1451</v>
      </c>
      <c r="AK178" s="69">
        <v>1</v>
      </c>
      <c r="AL178" s="69">
        <v>1</v>
      </c>
      <c r="AM178" s="69">
        <v>0</v>
      </c>
      <c r="AN178" s="69">
        <v>0</v>
      </c>
      <c r="AO178" s="69">
        <v>0</v>
      </c>
      <c r="AP178" s="69">
        <v>1</v>
      </c>
      <c r="AQ178" s="68" t="s">
        <v>1773</v>
      </c>
      <c r="AR178" s="43" t="s">
        <v>862</v>
      </c>
      <c r="AS178" s="69">
        <v>4000</v>
      </c>
      <c r="AT178" s="43">
        <v>20.736999999999998</v>
      </c>
      <c r="AU178" s="69">
        <v>-627.17999999999995</v>
      </c>
      <c r="AV178" s="69">
        <v>-627.17999999999995</v>
      </c>
      <c r="AW178" s="43">
        <v>44.686199999999999</v>
      </c>
      <c r="AX178" s="43">
        <v>0.82130000000000003</v>
      </c>
      <c r="AY178" s="69">
        <v>-38.799999999999997</v>
      </c>
      <c r="AZ178" s="69">
        <v>947.74</v>
      </c>
      <c r="BA178" s="43">
        <v>99.373000000000005</v>
      </c>
      <c r="BB178" s="43">
        <v>0.40450000000000003</v>
      </c>
      <c r="BC178" s="69">
        <v>1</v>
      </c>
      <c r="BD178" s="69">
        <v>1</v>
      </c>
      <c r="BE178" s="43">
        <v>1</v>
      </c>
      <c r="BF178" s="43">
        <v>-25.6</v>
      </c>
      <c r="BG178" s="43">
        <v>26.392499999999998</v>
      </c>
      <c r="BH178" s="52" t="s">
        <v>184</v>
      </c>
      <c r="BI178" s="71">
        <v>18.985399999999998</v>
      </c>
      <c r="BJ178" s="43">
        <v>0</v>
      </c>
      <c r="BK178" s="53">
        <v>0.17100000000000001</v>
      </c>
      <c r="BL178" s="53">
        <v>1700</v>
      </c>
      <c r="BM178" s="43">
        <v>2</v>
      </c>
      <c r="BN178" s="34" t="s">
        <v>89</v>
      </c>
      <c r="BO178" s="34" t="s">
        <v>89</v>
      </c>
      <c r="BP178" s="34" t="s">
        <v>89</v>
      </c>
      <c r="BQ178" s="34" t="s">
        <v>89</v>
      </c>
      <c r="BR178" s="34" t="s">
        <v>89</v>
      </c>
      <c r="BS178" s="34" t="s">
        <v>89</v>
      </c>
      <c r="BT178" s="34" t="s">
        <v>89</v>
      </c>
      <c r="BU178" s="34" t="s">
        <v>89</v>
      </c>
      <c r="BV178" s="34" t="s">
        <v>89</v>
      </c>
      <c r="BW178" s="34" t="s">
        <v>89</v>
      </c>
      <c r="BX178" s="34" t="s">
        <v>89</v>
      </c>
      <c r="BY178" s="34" t="s">
        <v>89</v>
      </c>
      <c r="BZ178" s="34" t="s">
        <v>89</v>
      </c>
      <c r="CA178" s="34" t="s">
        <v>89</v>
      </c>
      <c r="CB178" s="34" t="s">
        <v>89</v>
      </c>
      <c r="CC178" s="34" t="s">
        <v>89</v>
      </c>
      <c r="CD178" s="34" t="s">
        <v>89</v>
      </c>
      <c r="CE178" s="43">
        <v>1.2825646518490099E-2</v>
      </c>
      <c r="CF178" s="43">
        <v>1</v>
      </c>
      <c r="CG178" s="43">
        <v>0</v>
      </c>
      <c r="CH178" s="43">
        <v>0</v>
      </c>
      <c r="CI178" s="43">
        <v>-220</v>
      </c>
      <c r="CJ178" s="43">
        <v>5.4576508663216599</v>
      </c>
      <c r="CK178" s="43">
        <v>29.602098709742499</v>
      </c>
      <c r="CL178" s="43">
        <v>0</v>
      </c>
      <c r="CM178" s="43">
        <v>61889</v>
      </c>
      <c r="CN178" s="43">
        <v>4000</v>
      </c>
      <c r="CO178" s="43">
        <v>-627.17999999999995</v>
      </c>
      <c r="CP178" s="43">
        <v>-627.17999999999995</v>
      </c>
      <c r="CQ178" s="43">
        <v>29.024000000000001</v>
      </c>
      <c r="CR178" s="43">
        <v>38091.761367589999</v>
      </c>
      <c r="CS178" s="43">
        <v>1</v>
      </c>
      <c r="CT178" s="43">
        <v>1</v>
      </c>
      <c r="CU178" s="43">
        <v>1</v>
      </c>
      <c r="CV178" s="46" t="s">
        <v>89</v>
      </c>
      <c r="CW178" s="34"/>
      <c r="CX178" s="35"/>
    </row>
    <row r="179" spans="1:102" ht="15" customHeight="1" x14ac:dyDescent="0.25">
      <c r="A179" s="33">
        <v>176</v>
      </c>
      <c r="B179" s="43" t="s">
        <v>1512</v>
      </c>
      <c r="C179" s="43">
        <v>0.84470000000000001</v>
      </c>
      <c r="D179" s="43">
        <v>0.66020000000000001</v>
      </c>
      <c r="E179" s="43" t="s">
        <v>1520</v>
      </c>
      <c r="F179" s="43" t="s">
        <v>1524</v>
      </c>
      <c r="G179" s="43" t="s">
        <v>1535</v>
      </c>
      <c r="H179" s="43" t="s">
        <v>1547</v>
      </c>
      <c r="I179" s="43" t="s">
        <v>1559</v>
      </c>
      <c r="J179" s="43" t="s">
        <v>1571</v>
      </c>
      <c r="K179" s="43" t="s">
        <v>1579</v>
      </c>
      <c r="L179" s="43" t="s">
        <v>1588</v>
      </c>
      <c r="M179" s="43" t="s">
        <v>1516</v>
      </c>
      <c r="N179" s="43" t="s">
        <v>1597</v>
      </c>
      <c r="O179" s="43" t="s">
        <v>1603</v>
      </c>
      <c r="P179" s="43" t="s">
        <v>1609</v>
      </c>
      <c r="Q179" s="43" t="s">
        <v>1612</v>
      </c>
      <c r="R179" s="43" t="s">
        <v>1618</v>
      </c>
      <c r="S179" s="43">
        <v>-213.02699999999999</v>
      </c>
      <c r="T179" s="43">
        <v>32.330500000000001</v>
      </c>
      <c r="U179" s="43">
        <v>2.2991999999999999</v>
      </c>
      <c r="V179" s="43">
        <v>-9.6630000000000003</v>
      </c>
      <c r="W179" s="43">
        <v>0</v>
      </c>
      <c r="X179" s="69">
        <v>1</v>
      </c>
      <c r="Y179" s="43">
        <v>5.2999999999999999E-2</v>
      </c>
      <c r="Z179" s="43">
        <v>0.191</v>
      </c>
      <c r="AA179" s="43">
        <v>6616.0240000000003</v>
      </c>
      <c r="AB179" s="43">
        <v>0.23699999999999999</v>
      </c>
      <c r="AC179" s="43">
        <v>4019.2080000000001</v>
      </c>
      <c r="AD179" s="43">
        <v>0.15</v>
      </c>
      <c r="AE179" s="43">
        <v>0.997</v>
      </c>
      <c r="AF179" s="43">
        <v>1</v>
      </c>
      <c r="AG179" s="43">
        <v>18.277999999999999</v>
      </c>
      <c r="AH179" s="43">
        <v>59.731999999999999</v>
      </c>
      <c r="AI179" s="69">
        <v>-207.91800000000001</v>
      </c>
      <c r="AJ179" s="43" t="s">
        <v>1440</v>
      </c>
      <c r="AK179" s="69">
        <v>1</v>
      </c>
      <c r="AL179" s="69">
        <v>0</v>
      </c>
      <c r="AM179" s="69">
        <v>0</v>
      </c>
      <c r="AN179" s="69">
        <v>1</v>
      </c>
      <c r="AO179" s="69">
        <v>0</v>
      </c>
      <c r="AP179" s="43">
        <v>0</v>
      </c>
      <c r="AQ179" s="68" t="s">
        <v>1774</v>
      </c>
      <c r="AR179" s="43" t="s">
        <v>868</v>
      </c>
      <c r="AS179" s="69">
        <v>656</v>
      </c>
      <c r="AT179" s="43">
        <v>-1.4650000000000001</v>
      </c>
      <c r="AU179" s="69">
        <v>-43.17</v>
      </c>
      <c r="AV179" s="69">
        <v>-43.17</v>
      </c>
      <c r="AW179" s="43">
        <v>29.8064</v>
      </c>
      <c r="AX179" s="43">
        <v>0.92559999999999998</v>
      </c>
      <c r="AY179" s="69">
        <v>-194.19</v>
      </c>
      <c r="AZ179" s="69">
        <v>269.39999999999998</v>
      </c>
      <c r="BA179" s="43">
        <v>64.525599999999997</v>
      </c>
      <c r="BB179" s="43">
        <v>9.98E-2</v>
      </c>
      <c r="BC179" s="69">
        <v>1</v>
      </c>
      <c r="BD179" s="69">
        <v>0</v>
      </c>
      <c r="BE179" s="43">
        <v>1</v>
      </c>
      <c r="BF179" s="43">
        <v>-10.5</v>
      </c>
      <c r="BG179" s="43">
        <v>4.9665999999999997</v>
      </c>
      <c r="BH179" s="51">
        <v>0</v>
      </c>
      <c r="BI179" s="69">
        <v>15.404299999999999</v>
      </c>
      <c r="BJ179" s="43">
        <v>1</v>
      </c>
      <c r="BK179" s="53">
        <v>0.17199999999999999</v>
      </c>
      <c r="BL179" s="53">
        <v>1800</v>
      </c>
      <c r="BM179" s="43">
        <v>2</v>
      </c>
      <c r="BN179" s="34" t="s">
        <v>89</v>
      </c>
      <c r="BO179" s="34" t="s">
        <v>89</v>
      </c>
      <c r="BP179" s="34" t="s">
        <v>89</v>
      </c>
      <c r="BQ179" s="34" t="s">
        <v>89</v>
      </c>
      <c r="BR179" s="34" t="s">
        <v>89</v>
      </c>
      <c r="BS179" s="34" t="s">
        <v>89</v>
      </c>
      <c r="BT179" s="34" t="s">
        <v>89</v>
      </c>
      <c r="BU179" s="34" t="s">
        <v>89</v>
      </c>
      <c r="BV179" s="34" t="s">
        <v>89</v>
      </c>
      <c r="BW179" s="34" t="s">
        <v>89</v>
      </c>
      <c r="BX179" s="34" t="s">
        <v>89</v>
      </c>
      <c r="BY179" s="34" t="s">
        <v>89</v>
      </c>
      <c r="BZ179" s="34" t="s">
        <v>89</v>
      </c>
      <c r="CA179" s="34" t="s">
        <v>89</v>
      </c>
      <c r="CB179" s="34" t="s">
        <v>89</v>
      </c>
      <c r="CC179" s="34" t="s">
        <v>89</v>
      </c>
      <c r="CD179" s="34" t="s">
        <v>89</v>
      </c>
      <c r="CE179" s="43">
        <v>1.4705572473829E-2</v>
      </c>
      <c r="CF179" s="43">
        <v>1</v>
      </c>
      <c r="CG179" s="43">
        <v>0</v>
      </c>
      <c r="CH179" s="43">
        <v>0</v>
      </c>
      <c r="CI179" s="43">
        <v>220</v>
      </c>
      <c r="CJ179" s="43">
        <v>-0.69635887032351895</v>
      </c>
      <c r="CK179" s="43">
        <v>17.634153023219799</v>
      </c>
      <c r="CL179" s="43">
        <v>0</v>
      </c>
      <c r="CM179" s="43">
        <v>34365</v>
      </c>
      <c r="CN179" s="43">
        <v>656</v>
      </c>
      <c r="CO179" s="43">
        <v>-43.17</v>
      </c>
      <c r="CP179" s="43">
        <v>-43.17</v>
      </c>
      <c r="CQ179" s="43">
        <v>-194.19</v>
      </c>
      <c r="CR179" s="43">
        <v>269.39999999999998</v>
      </c>
      <c r="CS179" s="43">
        <v>0</v>
      </c>
      <c r="CT179" s="43">
        <v>0.65240100000000001</v>
      </c>
      <c r="CU179" s="43">
        <v>1</v>
      </c>
      <c r="CV179" s="46" t="s">
        <v>89</v>
      </c>
      <c r="CW179" s="34"/>
      <c r="CX179" s="35"/>
    </row>
    <row r="180" spans="1:102" ht="15" customHeight="1" x14ac:dyDescent="0.25">
      <c r="A180" s="33">
        <v>177</v>
      </c>
      <c r="B180" s="43" t="s">
        <v>1513</v>
      </c>
      <c r="C180" s="43">
        <v>0.74980000000000002</v>
      </c>
      <c r="D180" s="43">
        <v>0.62780000000000002</v>
      </c>
      <c r="E180" s="43" t="s">
        <v>268</v>
      </c>
      <c r="F180" s="43" t="s">
        <v>237</v>
      </c>
      <c r="G180" s="43" t="s">
        <v>1536</v>
      </c>
      <c r="H180" s="43" t="s">
        <v>1548</v>
      </c>
      <c r="I180" s="43" t="s">
        <v>1560</v>
      </c>
      <c r="J180" s="43" t="s">
        <v>1572</v>
      </c>
      <c r="K180" s="43" t="s">
        <v>1583</v>
      </c>
      <c r="L180" s="43" t="s">
        <v>855</v>
      </c>
      <c r="M180" s="43" t="s">
        <v>848</v>
      </c>
      <c r="N180" s="43" t="s">
        <v>669</v>
      </c>
      <c r="O180" s="43" t="s">
        <v>676</v>
      </c>
      <c r="P180" s="43" t="s">
        <v>669</v>
      </c>
      <c r="Q180" s="43" t="s">
        <v>669</v>
      </c>
      <c r="R180" s="43" t="s">
        <v>295</v>
      </c>
      <c r="S180" s="43">
        <v>67.489999999999995</v>
      </c>
      <c r="T180" s="43">
        <v>48.404499999999999</v>
      </c>
      <c r="U180" s="43">
        <v>14.2394</v>
      </c>
      <c r="V180" s="43">
        <v>-0.216499999999996</v>
      </c>
      <c r="W180" s="43">
        <v>1</v>
      </c>
      <c r="X180" s="69">
        <v>1</v>
      </c>
      <c r="Y180" s="43">
        <v>0.114</v>
      </c>
      <c r="Z180" s="43">
        <v>0.191</v>
      </c>
      <c r="AA180" s="43">
        <v>6616.0240000000003</v>
      </c>
      <c r="AB180" s="43">
        <v>0.70199999999999996</v>
      </c>
      <c r="AC180" s="43">
        <v>947.89</v>
      </c>
      <c r="AD180" s="43">
        <v>0.48099999999999998</v>
      </c>
      <c r="AE180" s="43">
        <v>0.98799999999999999</v>
      </c>
      <c r="AF180" s="43">
        <v>1</v>
      </c>
      <c r="AG180" s="43">
        <v>-3.266</v>
      </c>
      <c r="AH180" s="43">
        <v>136.34100000000001</v>
      </c>
      <c r="AI180" s="69">
        <v>59.731999999999999</v>
      </c>
      <c r="AJ180" s="43" t="s">
        <v>1443</v>
      </c>
      <c r="AK180" s="69">
        <v>1</v>
      </c>
      <c r="AL180" s="69">
        <v>1</v>
      </c>
      <c r="AM180" s="69">
        <v>0</v>
      </c>
      <c r="AN180" s="69">
        <v>0</v>
      </c>
      <c r="AO180" s="69">
        <v>0</v>
      </c>
      <c r="AP180" s="69">
        <v>1</v>
      </c>
      <c r="AQ180" s="68" t="s">
        <v>1773</v>
      </c>
      <c r="AR180" s="43" t="s">
        <v>862</v>
      </c>
      <c r="AS180" s="69">
        <v>4608</v>
      </c>
      <c r="AT180" s="43">
        <v>-1.4650000000000001</v>
      </c>
      <c r="AU180" s="69">
        <v>1118</v>
      </c>
      <c r="AV180" s="69">
        <v>1118</v>
      </c>
      <c r="AW180" s="43">
        <v>57.865299999999998</v>
      </c>
      <c r="AX180" s="43">
        <v>0.1426</v>
      </c>
      <c r="AY180" s="69">
        <v>-340.13</v>
      </c>
      <c r="AZ180" s="69">
        <v>386.22</v>
      </c>
      <c r="BA180" s="43">
        <v>87.307500000000005</v>
      </c>
      <c r="BB180" s="43">
        <v>0.1754</v>
      </c>
      <c r="BC180" s="69">
        <v>1</v>
      </c>
      <c r="BD180" s="43">
        <v>1</v>
      </c>
      <c r="BE180" s="43">
        <v>1</v>
      </c>
      <c r="BF180" s="43">
        <v>-9.65</v>
      </c>
      <c r="BG180" s="43">
        <v>7.0926999999999998</v>
      </c>
      <c r="BH180" s="52">
        <v>-9.65</v>
      </c>
      <c r="BI180" s="71">
        <v>27.0931</v>
      </c>
      <c r="BJ180" s="43">
        <v>0</v>
      </c>
      <c r="BK180" s="53">
        <v>0.17299999999999999</v>
      </c>
      <c r="BL180" s="53">
        <v>1900</v>
      </c>
      <c r="BM180" s="43">
        <v>2</v>
      </c>
      <c r="BN180" s="34" t="s">
        <v>89</v>
      </c>
      <c r="BO180" s="34" t="s">
        <v>89</v>
      </c>
      <c r="BP180" s="34" t="s">
        <v>89</v>
      </c>
      <c r="BQ180" s="34" t="s">
        <v>89</v>
      </c>
      <c r="BR180" s="34" t="s">
        <v>89</v>
      </c>
      <c r="BS180" s="34" t="s">
        <v>89</v>
      </c>
      <c r="BT180" s="34" t="s">
        <v>89</v>
      </c>
      <c r="BU180" s="34" t="s">
        <v>89</v>
      </c>
      <c r="BV180" s="34" t="s">
        <v>89</v>
      </c>
      <c r="BW180" s="34" t="s">
        <v>89</v>
      </c>
      <c r="BX180" s="34" t="s">
        <v>89</v>
      </c>
      <c r="BY180" s="34" t="s">
        <v>89</v>
      </c>
      <c r="BZ180" s="34" t="s">
        <v>89</v>
      </c>
      <c r="CA180" s="34" t="s">
        <v>89</v>
      </c>
      <c r="CB180" s="34" t="s">
        <v>89</v>
      </c>
      <c r="CC180" s="34" t="s">
        <v>89</v>
      </c>
      <c r="CD180" s="34" t="s">
        <v>89</v>
      </c>
      <c r="CE180" s="43">
        <v>2.0164318790925999E-3</v>
      </c>
      <c r="CF180" s="43">
        <v>1</v>
      </c>
      <c r="CG180" s="43">
        <v>0</v>
      </c>
      <c r="CH180" s="43">
        <v>0</v>
      </c>
      <c r="CI180" s="43">
        <v>-220</v>
      </c>
      <c r="CJ180" s="43">
        <v>3.2885226803515599</v>
      </c>
      <c r="CK180" s="43">
        <v>30.450944198510701</v>
      </c>
      <c r="CL180" s="43">
        <v>0</v>
      </c>
      <c r="CM180" s="43">
        <v>61109</v>
      </c>
      <c r="CN180" s="43">
        <v>4608</v>
      </c>
      <c r="CO180" s="43">
        <v>1118</v>
      </c>
      <c r="CP180" s="43">
        <v>1118</v>
      </c>
      <c r="CQ180" s="43">
        <v>5.1210000000000004</v>
      </c>
      <c r="CR180" s="43">
        <v>5855.7103462100004</v>
      </c>
      <c r="CS180" s="43">
        <v>1</v>
      </c>
      <c r="CT180" s="43">
        <v>0.59948625</v>
      </c>
      <c r="CU180" s="43">
        <v>1</v>
      </c>
      <c r="CV180" s="46" t="s">
        <v>89</v>
      </c>
      <c r="CW180" s="34"/>
      <c r="CX180" s="35"/>
    </row>
    <row r="181" spans="1:102" ht="15" customHeight="1" x14ac:dyDescent="0.25">
      <c r="A181" s="33">
        <v>178</v>
      </c>
      <c r="B181" s="43" t="s">
        <v>1514</v>
      </c>
      <c r="C181" s="43">
        <v>0.49869999999999998</v>
      </c>
      <c r="D181" s="43">
        <v>0.61699999999999999</v>
      </c>
      <c r="E181" s="43" t="s">
        <v>1521</v>
      </c>
      <c r="F181" s="43" t="s">
        <v>1525</v>
      </c>
      <c r="G181" s="43" t="s">
        <v>1537</v>
      </c>
      <c r="H181" s="43" t="s">
        <v>1549</v>
      </c>
      <c r="I181" s="43" t="s">
        <v>1561</v>
      </c>
      <c r="J181" s="43" t="s">
        <v>1573</v>
      </c>
      <c r="K181" s="43" t="s">
        <v>1582</v>
      </c>
      <c r="L181" s="43" t="s">
        <v>1589</v>
      </c>
      <c r="M181" s="43" t="s">
        <v>1517</v>
      </c>
      <c r="N181" s="43" t="s">
        <v>1598</v>
      </c>
      <c r="O181" s="43" t="s">
        <v>1604</v>
      </c>
      <c r="P181" s="43" t="s">
        <v>1610</v>
      </c>
      <c r="Q181" s="43" t="s">
        <v>1613</v>
      </c>
      <c r="R181" s="43" t="s">
        <v>1619</v>
      </c>
      <c r="S181" s="43">
        <v>-213.02699999999999</v>
      </c>
      <c r="T181" s="43">
        <v>53.762500000000003</v>
      </c>
      <c r="U181" s="43">
        <v>11.8942</v>
      </c>
      <c r="V181" s="43">
        <v>-9.0519999999999996</v>
      </c>
      <c r="W181" s="43">
        <v>0</v>
      </c>
      <c r="X181" s="43">
        <v>1</v>
      </c>
      <c r="Y181" s="43">
        <v>0.114</v>
      </c>
      <c r="Z181" s="43">
        <v>0.14499999999999999</v>
      </c>
      <c r="AA181" s="43">
        <v>6616.0240000000003</v>
      </c>
      <c r="AB181" s="43">
        <v>0.66200000000000003</v>
      </c>
      <c r="AC181" s="43">
        <v>4854.7060000000001</v>
      </c>
      <c r="AD181" s="43">
        <v>0.46600000000000003</v>
      </c>
      <c r="AE181" s="43">
        <v>0.95899999999999996</v>
      </c>
      <c r="AF181" s="43">
        <v>0</v>
      </c>
      <c r="AG181" s="43">
        <v>10.196</v>
      </c>
      <c r="AH181" s="43">
        <v>-34.619</v>
      </c>
      <c r="AI181" s="69">
        <v>-207.91800000000001</v>
      </c>
      <c r="AJ181" s="43" t="s">
        <v>1444</v>
      </c>
      <c r="AK181" s="69">
        <v>0</v>
      </c>
      <c r="AL181" s="69">
        <v>2</v>
      </c>
      <c r="AM181" s="69">
        <v>1</v>
      </c>
      <c r="AN181" s="69">
        <v>1</v>
      </c>
      <c r="AO181" s="69">
        <v>0</v>
      </c>
      <c r="AP181" s="43">
        <v>0</v>
      </c>
      <c r="AQ181" s="68" t="s">
        <v>1733</v>
      </c>
      <c r="AR181" s="43" t="s">
        <v>856</v>
      </c>
      <c r="AS181" s="69">
        <v>2125</v>
      </c>
      <c r="AT181" s="43">
        <v>20.954000000000001</v>
      </c>
      <c r="AU181" s="69">
        <v>-38.799999999999997</v>
      </c>
      <c r="AV181" s="69">
        <v>-43.17</v>
      </c>
      <c r="AW181" s="43">
        <v>44.686199999999999</v>
      </c>
      <c r="AX181" s="43">
        <v>0.51500000000000001</v>
      </c>
      <c r="AY181" s="69">
        <v>22.24</v>
      </c>
      <c r="AZ181" s="69">
        <v>-627.17999999999995</v>
      </c>
      <c r="BA181" s="43">
        <v>97.396900000000002</v>
      </c>
      <c r="BB181" s="43">
        <v>0.76300000000000001</v>
      </c>
      <c r="BC181" s="69">
        <v>0</v>
      </c>
      <c r="BD181" s="43">
        <v>0</v>
      </c>
      <c r="BE181" s="43">
        <v>1</v>
      </c>
      <c r="BF181" s="43">
        <v>-22.41</v>
      </c>
      <c r="BG181" s="43">
        <v>29.563500000000001</v>
      </c>
      <c r="BH181" s="52" t="s">
        <v>1621</v>
      </c>
      <c r="BI181" s="71">
        <v>21.771899999999999</v>
      </c>
      <c r="BJ181" s="43">
        <v>1</v>
      </c>
      <c r="BK181" s="53">
        <v>0.17399999999999999</v>
      </c>
      <c r="BL181" s="53">
        <v>2000</v>
      </c>
      <c r="BM181" s="43">
        <v>2</v>
      </c>
      <c r="BN181" s="34" t="s">
        <v>89</v>
      </c>
      <c r="BO181" s="34" t="s">
        <v>89</v>
      </c>
      <c r="BP181" s="34" t="s">
        <v>89</v>
      </c>
      <c r="BQ181" s="34" t="s">
        <v>89</v>
      </c>
      <c r="BR181" s="34" t="s">
        <v>89</v>
      </c>
      <c r="BS181" s="34" t="s">
        <v>89</v>
      </c>
      <c r="BT181" s="34" t="s">
        <v>89</v>
      </c>
      <c r="BU181" s="34" t="s">
        <v>89</v>
      </c>
      <c r="BV181" s="34" t="s">
        <v>89</v>
      </c>
      <c r="BW181" s="34" t="s">
        <v>89</v>
      </c>
      <c r="BX181" s="34" t="s">
        <v>89</v>
      </c>
      <c r="BY181" s="34" t="s">
        <v>89</v>
      </c>
      <c r="BZ181" s="34" t="s">
        <v>89</v>
      </c>
      <c r="CA181" s="34" t="s">
        <v>89</v>
      </c>
      <c r="CB181" s="34" t="s">
        <v>89</v>
      </c>
      <c r="CC181" s="34" t="s">
        <v>89</v>
      </c>
      <c r="CD181" s="34" t="s">
        <v>89</v>
      </c>
      <c r="CE181" s="43">
        <v>-1.1003949390853001</v>
      </c>
      <c r="CF181" s="43">
        <v>-3.0632262730060802</v>
      </c>
      <c r="CG181" s="43">
        <v>29.563500000000001</v>
      </c>
      <c r="CH181" s="43">
        <v>21.771899999999999</v>
      </c>
      <c r="CI181" s="43">
        <v>220</v>
      </c>
      <c r="CJ181" s="43">
        <v>-10.3498067618332</v>
      </c>
      <c r="CK181" s="43">
        <v>-17.622787710255</v>
      </c>
      <c r="CL181" s="43">
        <v>62849</v>
      </c>
      <c r="CM181" s="43">
        <v>38411</v>
      </c>
      <c r="CN181" s="43">
        <v>1636</v>
      </c>
      <c r="CO181" s="43">
        <v>-38.799999999999997</v>
      </c>
      <c r="CP181" s="43">
        <v>-43.17</v>
      </c>
      <c r="CQ181" s="43">
        <v>22.24</v>
      </c>
      <c r="CR181" s="43">
        <v>-627.17999999999995</v>
      </c>
      <c r="CS181" s="43">
        <v>0</v>
      </c>
      <c r="CT181" s="43">
        <v>1</v>
      </c>
      <c r="CU181" s="43">
        <v>1</v>
      </c>
      <c r="CV181" s="46" t="s">
        <v>89</v>
      </c>
      <c r="CW181" s="34"/>
      <c r="CX181" s="35"/>
    </row>
    <row r="182" spans="1:102" ht="15" customHeight="1" x14ac:dyDescent="0.25">
      <c r="A182" s="33">
        <v>179</v>
      </c>
      <c r="B182" s="43" t="s">
        <v>1652</v>
      </c>
      <c r="C182" s="43">
        <v>0.74939999999999996</v>
      </c>
      <c r="D182" s="43">
        <v>0.59899999999999998</v>
      </c>
      <c r="E182" s="43" t="s">
        <v>1657</v>
      </c>
      <c r="F182" s="43" t="s">
        <v>1660</v>
      </c>
      <c r="G182" s="43" t="s">
        <v>1663</v>
      </c>
      <c r="H182" s="43" t="s">
        <v>1667</v>
      </c>
      <c r="I182" s="43" t="s">
        <v>1671</v>
      </c>
      <c r="J182" s="43" t="s">
        <v>1675</v>
      </c>
      <c r="K182" s="43" t="s">
        <v>1679</v>
      </c>
      <c r="L182" s="43" t="s">
        <v>1682</v>
      </c>
      <c r="M182" s="43" t="s">
        <v>1685</v>
      </c>
      <c r="N182" s="43" t="s">
        <v>1688</v>
      </c>
      <c r="O182" s="43" t="s">
        <v>1692</v>
      </c>
      <c r="P182" s="43" t="s">
        <v>1695</v>
      </c>
      <c r="Q182" s="43" t="s">
        <v>1695</v>
      </c>
      <c r="R182" s="43" t="s">
        <v>1699</v>
      </c>
      <c r="S182" s="43">
        <v>37.454999999999998</v>
      </c>
      <c r="T182" s="43">
        <v>62.692500000000003</v>
      </c>
      <c r="U182" s="43">
        <v>17.495799999999999</v>
      </c>
      <c r="V182" s="43">
        <v>-5.6994999999999996</v>
      </c>
      <c r="W182" s="43">
        <v>1</v>
      </c>
      <c r="X182" s="43">
        <v>0</v>
      </c>
      <c r="Y182" s="43">
        <v>0.15466666666666701</v>
      </c>
      <c r="Z182" s="43">
        <v>0.16033333333333299</v>
      </c>
      <c r="AA182" s="43">
        <v>7085.8246666666701</v>
      </c>
      <c r="AB182" s="43">
        <v>0.96199999999999997</v>
      </c>
      <c r="AC182" s="43">
        <v>2937.1</v>
      </c>
      <c r="AD182" s="43">
        <v>0.43966666666666698</v>
      </c>
      <c r="AE182" s="43">
        <v>0.96866666666666701</v>
      </c>
      <c r="AF182" s="43">
        <v>0</v>
      </c>
      <c r="AG182" s="43">
        <v>0.32066666666666999</v>
      </c>
      <c r="AH182" s="43">
        <v>83.715666666666706</v>
      </c>
      <c r="AI182" s="69">
        <v>-125.122666666667</v>
      </c>
      <c r="AJ182" s="43" t="s">
        <v>1703</v>
      </c>
      <c r="AK182" s="43">
        <v>1</v>
      </c>
      <c r="AL182" s="43">
        <v>1</v>
      </c>
      <c r="AM182" s="43">
        <v>0</v>
      </c>
      <c r="AN182" s="43">
        <v>0</v>
      </c>
      <c r="AO182" s="43">
        <v>1</v>
      </c>
      <c r="AP182" s="43">
        <v>1</v>
      </c>
      <c r="AQ182" s="68" t="s">
        <v>1789</v>
      </c>
      <c r="AR182" s="43" t="s">
        <v>1706</v>
      </c>
      <c r="AS182" s="69">
        <v>1505</v>
      </c>
      <c r="AT182" s="43">
        <v>10.234999999999999</v>
      </c>
      <c r="AU182" s="69">
        <v>-424.4</v>
      </c>
      <c r="AV182" s="69">
        <v>45.25</v>
      </c>
      <c r="AW182" s="43">
        <v>18.389433333333301</v>
      </c>
      <c r="AX182" s="43">
        <v>0.62356</v>
      </c>
      <c r="AY182" s="43">
        <v>23.145600000000002</v>
      </c>
      <c r="AZ182" s="43">
        <v>954.23559999999998</v>
      </c>
      <c r="BA182" s="43">
        <v>98.325599999999994</v>
      </c>
      <c r="BB182" s="43">
        <v>0.53256000000000003</v>
      </c>
      <c r="BC182" s="43">
        <v>1</v>
      </c>
      <c r="BD182" s="43">
        <v>1</v>
      </c>
      <c r="BE182" s="43">
        <v>1</v>
      </c>
      <c r="BF182" s="43">
        <v>-25.363333333333301</v>
      </c>
      <c r="BG182" s="43">
        <v>28.438500000000001</v>
      </c>
      <c r="BH182" s="71">
        <v>-4.5999999999999996</v>
      </c>
      <c r="BI182" s="51">
        <v>0</v>
      </c>
      <c r="BJ182" s="43">
        <v>0</v>
      </c>
      <c r="BK182" s="53">
        <v>0.17499999999999999</v>
      </c>
      <c r="BL182" s="53">
        <v>2100</v>
      </c>
      <c r="BM182" s="43">
        <v>2</v>
      </c>
      <c r="BN182" s="34" t="s">
        <v>89</v>
      </c>
      <c r="BO182" s="34" t="s">
        <v>89</v>
      </c>
      <c r="BP182" s="34" t="s">
        <v>89</v>
      </c>
      <c r="BQ182" s="34" t="s">
        <v>89</v>
      </c>
      <c r="BR182" s="34" t="s">
        <v>89</v>
      </c>
      <c r="BS182" s="34" t="s">
        <v>89</v>
      </c>
      <c r="BT182" s="34" t="s">
        <v>89</v>
      </c>
      <c r="BU182" s="34" t="s">
        <v>89</v>
      </c>
      <c r="BV182" s="34" t="s">
        <v>89</v>
      </c>
      <c r="BW182" s="34" t="s">
        <v>89</v>
      </c>
      <c r="BX182" s="34" t="s">
        <v>89</v>
      </c>
      <c r="BY182" s="34" t="s">
        <v>89</v>
      </c>
      <c r="BZ182" s="34" t="s">
        <v>89</v>
      </c>
      <c r="CA182" s="34" t="s">
        <v>89</v>
      </c>
      <c r="CB182" s="34" t="s">
        <v>89</v>
      </c>
      <c r="CC182" s="34" t="s">
        <v>89</v>
      </c>
      <c r="CD182" s="34" t="s">
        <v>89</v>
      </c>
      <c r="CE182" s="43">
        <v>4.0804157741682803E-3</v>
      </c>
      <c r="CF182" s="43">
        <v>-5.4946463110408697E-2</v>
      </c>
      <c r="CG182" s="43">
        <v>0</v>
      </c>
      <c r="CH182" s="43">
        <v>0</v>
      </c>
      <c r="CI182" s="43">
        <v>71.338499999999996</v>
      </c>
      <c r="CJ182" s="43">
        <v>-29.9848771294246</v>
      </c>
      <c r="CK182" s="43">
        <v>1.62110003117966</v>
      </c>
      <c r="CL182" s="43">
        <v>0</v>
      </c>
      <c r="CM182" s="43">
        <v>18956</v>
      </c>
      <c r="CN182" s="43">
        <v>1505</v>
      </c>
      <c r="CO182" s="43">
        <v>-424.4</v>
      </c>
      <c r="CP182" s="43">
        <v>45.25</v>
      </c>
      <c r="CQ182" s="43">
        <v>18.951000000000001</v>
      </c>
      <c r="CR182" s="43">
        <v>49990.280575369899</v>
      </c>
      <c r="CS182" s="43">
        <v>1</v>
      </c>
      <c r="CT182" s="43">
        <v>7.2529166666667005E-2</v>
      </c>
      <c r="CU182" s="43">
        <v>1</v>
      </c>
      <c r="CV182" s="46" t="s">
        <v>89</v>
      </c>
      <c r="CW182" s="34"/>
      <c r="CX182" s="35"/>
    </row>
    <row r="183" spans="1:102" ht="15" customHeight="1" x14ac:dyDescent="0.25">
      <c r="A183" s="33">
        <v>180</v>
      </c>
      <c r="B183" s="43" t="s">
        <v>1653</v>
      </c>
      <c r="C183" s="43">
        <v>0.96819999999999995</v>
      </c>
      <c r="D183" s="43">
        <v>0.58279999999999998</v>
      </c>
      <c r="E183" s="43" t="s">
        <v>1658</v>
      </c>
      <c r="F183" s="43" t="s">
        <v>1661</v>
      </c>
      <c r="G183" s="43" t="s">
        <v>1664</v>
      </c>
      <c r="H183" s="43" t="s">
        <v>1668</v>
      </c>
      <c r="I183" s="43" t="s">
        <v>1672</v>
      </c>
      <c r="J183" s="43" t="s">
        <v>1676</v>
      </c>
      <c r="K183" s="43" t="s">
        <v>1680</v>
      </c>
      <c r="L183" s="43" t="s">
        <v>1590</v>
      </c>
      <c r="M183" s="43" t="s">
        <v>1686</v>
      </c>
      <c r="N183" s="43" t="s">
        <v>1689</v>
      </c>
      <c r="O183" s="43" t="s">
        <v>1605</v>
      </c>
      <c r="P183" s="43" t="s">
        <v>1689</v>
      </c>
      <c r="Q183" s="43" t="s">
        <v>1689</v>
      </c>
      <c r="R183" s="43" t="s">
        <v>1700</v>
      </c>
      <c r="S183" s="43">
        <v>67.489999999999995</v>
      </c>
      <c r="T183" s="43">
        <v>70.729500000000002</v>
      </c>
      <c r="U183" s="43">
        <v>3.1875</v>
      </c>
      <c r="V183" s="43">
        <v>-5.3940000000000001</v>
      </c>
      <c r="W183" s="43">
        <v>0</v>
      </c>
      <c r="X183" s="43">
        <v>1</v>
      </c>
      <c r="Y183" s="43">
        <v>0.18516666666666701</v>
      </c>
      <c r="Z183" s="43">
        <v>0.16033333333333299</v>
      </c>
      <c r="AA183" s="43">
        <v>7438.1751666666696</v>
      </c>
      <c r="AB183" s="43">
        <v>7.6999999999999999E-2</v>
      </c>
      <c r="AC183" s="43">
        <v>2475.5994999999998</v>
      </c>
      <c r="AD183" s="43">
        <v>0.41616666666666702</v>
      </c>
      <c r="AE183" s="43">
        <v>0.96866666666666701</v>
      </c>
      <c r="AF183" s="43">
        <v>1</v>
      </c>
      <c r="AG183" s="43">
        <v>-3.7203333333333299</v>
      </c>
      <c r="AH183" s="43">
        <v>129.726666666667</v>
      </c>
      <c r="AI183" s="69">
        <v>-129.93866666666699</v>
      </c>
      <c r="AJ183" s="43" t="s">
        <v>1704</v>
      </c>
      <c r="AK183" s="43">
        <v>0</v>
      </c>
      <c r="AL183" s="43">
        <v>2</v>
      </c>
      <c r="AM183" s="43">
        <v>1</v>
      </c>
      <c r="AN183" s="43">
        <v>1</v>
      </c>
      <c r="AO183" s="43">
        <v>0</v>
      </c>
      <c r="AP183" s="43">
        <v>0</v>
      </c>
      <c r="AQ183" s="68" t="s">
        <v>1773</v>
      </c>
      <c r="AR183" s="43" t="s">
        <v>1707</v>
      </c>
      <c r="AS183" s="69">
        <v>419</v>
      </c>
      <c r="AT183" s="43">
        <v>11.6547</v>
      </c>
      <c r="AU183" s="69">
        <v>-1002.8</v>
      </c>
      <c r="AV183" s="69">
        <v>110.25360000000001</v>
      </c>
      <c r="AW183" s="43">
        <v>11.2356</v>
      </c>
      <c r="AX183" s="43">
        <v>0.51244999999999996</v>
      </c>
      <c r="AY183" s="43">
        <v>22.547799999999999</v>
      </c>
      <c r="AZ183" s="43">
        <v>256.12450000000001</v>
      </c>
      <c r="BA183" s="43">
        <v>45.632100000000001</v>
      </c>
      <c r="BB183" s="43">
        <v>0.23568</v>
      </c>
      <c r="BC183" s="43">
        <v>1</v>
      </c>
      <c r="BD183" s="43">
        <v>0</v>
      </c>
      <c r="BE183" s="43">
        <v>1</v>
      </c>
      <c r="BF183" s="43">
        <v>-30.768333333333299</v>
      </c>
      <c r="BG183" s="43">
        <v>30.214500000000001</v>
      </c>
      <c r="BH183" s="71">
        <v>-4.7</v>
      </c>
      <c r="BI183" s="51">
        <v>31</v>
      </c>
      <c r="BJ183" s="43">
        <v>1</v>
      </c>
      <c r="BK183" s="53">
        <v>0.17599999999999999</v>
      </c>
      <c r="BL183" s="53">
        <v>2200</v>
      </c>
      <c r="BM183" s="43">
        <v>2</v>
      </c>
      <c r="BN183" s="34" t="s">
        <v>89</v>
      </c>
      <c r="BO183" s="34" t="s">
        <v>89</v>
      </c>
      <c r="BP183" s="34" t="s">
        <v>89</v>
      </c>
      <c r="BQ183" s="34" t="s">
        <v>89</v>
      </c>
      <c r="BR183" s="34" t="s">
        <v>89</v>
      </c>
      <c r="BS183" s="34" t="s">
        <v>89</v>
      </c>
      <c r="BT183" s="34" t="s">
        <v>89</v>
      </c>
      <c r="BU183" s="34" t="s">
        <v>89</v>
      </c>
      <c r="BV183" s="34" t="s">
        <v>89</v>
      </c>
      <c r="BW183" s="34" t="s">
        <v>89</v>
      </c>
      <c r="BX183" s="34" t="s">
        <v>89</v>
      </c>
      <c r="BY183" s="34" t="s">
        <v>89</v>
      </c>
      <c r="BZ183" s="34" t="s">
        <v>89</v>
      </c>
      <c r="CA183" s="34" t="s">
        <v>89</v>
      </c>
      <c r="CB183" s="34" t="s">
        <v>89</v>
      </c>
      <c r="CC183" s="34" t="s">
        <v>89</v>
      </c>
      <c r="CD183" s="34" t="s">
        <v>89</v>
      </c>
      <c r="CE183" s="43">
        <v>0.80731844353025495</v>
      </c>
      <c r="CF183" s="43">
        <v>1</v>
      </c>
      <c r="CG183" s="43">
        <v>-30.768333333333299</v>
      </c>
      <c r="CH183" s="43">
        <v>31</v>
      </c>
      <c r="CI183" s="43">
        <v>-62.516500000000001</v>
      </c>
      <c r="CJ183" s="43">
        <v>4.3579865712419297</v>
      </c>
      <c r="CK183" s="43">
        <v>-5.79095302855852</v>
      </c>
      <c r="CL183" s="43">
        <v>63482</v>
      </c>
      <c r="CM183" s="43">
        <v>59833</v>
      </c>
      <c r="CN183" s="43">
        <v>1531</v>
      </c>
      <c r="CO183" s="43">
        <v>-1002.8</v>
      </c>
      <c r="CP183" s="43">
        <v>110.25360000000001</v>
      </c>
      <c r="CQ183" s="43">
        <v>22.547799999999999</v>
      </c>
      <c r="CR183" s="43">
        <v>256.12450000000001</v>
      </c>
      <c r="CS183" s="43">
        <v>0</v>
      </c>
      <c r="CT183" s="43">
        <v>0.72561660416666696</v>
      </c>
      <c r="CU183" s="43">
        <v>1</v>
      </c>
      <c r="CV183" s="46" t="s">
        <v>89</v>
      </c>
      <c r="CW183" s="34"/>
      <c r="CX183" s="35"/>
    </row>
    <row r="184" spans="1:102" ht="15" customHeight="1" x14ac:dyDescent="0.25">
      <c r="A184" s="33">
        <v>181</v>
      </c>
      <c r="B184" s="43" t="s">
        <v>1654</v>
      </c>
      <c r="C184" s="43">
        <v>0.64249999999999996</v>
      </c>
      <c r="D184" s="43">
        <v>0.56659999999999999</v>
      </c>
      <c r="E184" s="43" t="s">
        <v>1657</v>
      </c>
      <c r="F184" s="43" t="s">
        <v>1660</v>
      </c>
      <c r="G184" s="43" t="s">
        <v>1665</v>
      </c>
      <c r="H184" s="43" t="s">
        <v>1669</v>
      </c>
      <c r="I184" s="43" t="s">
        <v>1673</v>
      </c>
      <c r="J184" s="43" t="s">
        <v>1677</v>
      </c>
      <c r="K184" s="43" t="s">
        <v>1679</v>
      </c>
      <c r="L184" s="43" t="s">
        <v>1683</v>
      </c>
      <c r="M184" s="43" t="s">
        <v>1656</v>
      </c>
      <c r="N184" s="43" t="s">
        <v>1690</v>
      </c>
      <c r="O184" s="43" t="s">
        <v>1693</v>
      </c>
      <c r="P184" s="43" t="s">
        <v>1696</v>
      </c>
      <c r="Q184" s="43" t="s">
        <v>1698</v>
      </c>
      <c r="R184" s="43" t="s">
        <v>1701</v>
      </c>
      <c r="S184" s="43">
        <v>-213.02699999999999</v>
      </c>
      <c r="T184" s="43">
        <v>78.766499999999994</v>
      </c>
      <c r="U184" s="43">
        <v>12.910600000000001</v>
      </c>
      <c r="V184" s="43">
        <v>-5.0884999999999998</v>
      </c>
      <c r="W184" s="43">
        <v>1</v>
      </c>
      <c r="X184" s="43">
        <v>0</v>
      </c>
      <c r="Y184" s="43">
        <v>0.15666666666667001</v>
      </c>
      <c r="Z184" s="43">
        <v>0.16033333333333299</v>
      </c>
      <c r="AA184" s="43">
        <v>7790.5256666666701</v>
      </c>
      <c r="AB184" s="43">
        <v>1.2E-2</v>
      </c>
      <c r="AC184" s="43">
        <v>2014.0989999999999</v>
      </c>
      <c r="AD184" s="43">
        <v>0.392666666666667</v>
      </c>
      <c r="AE184" s="43">
        <v>0.96866666666666701</v>
      </c>
      <c r="AF184" s="43">
        <v>1</v>
      </c>
      <c r="AG184" s="43">
        <v>-7.7613333333333303</v>
      </c>
      <c r="AH184" s="43">
        <v>175.737666666667</v>
      </c>
      <c r="AI184" s="69">
        <v>-134.75466666666699</v>
      </c>
      <c r="AJ184" s="43" t="s">
        <v>1703</v>
      </c>
      <c r="AK184" s="43">
        <v>1</v>
      </c>
      <c r="AL184" s="43">
        <v>3</v>
      </c>
      <c r="AM184" s="43">
        <v>0</v>
      </c>
      <c r="AN184" s="43">
        <v>0</v>
      </c>
      <c r="AO184" s="43">
        <v>1</v>
      </c>
      <c r="AP184" s="43">
        <v>1</v>
      </c>
      <c r="AQ184" s="68" t="s">
        <v>1733</v>
      </c>
      <c r="AR184" s="43" t="s">
        <v>1708</v>
      </c>
      <c r="AS184" s="69">
        <v>0</v>
      </c>
      <c r="AT184" s="43">
        <v>21.321400000000001</v>
      </c>
      <c r="AU184" s="69">
        <v>1250.125</v>
      </c>
      <c r="AV184" s="69">
        <v>125.0124</v>
      </c>
      <c r="AW184" s="43">
        <v>10.236499999999999</v>
      </c>
      <c r="AX184" s="43">
        <v>0.14255999999999999</v>
      </c>
      <c r="AY184" s="43">
        <v>65.321399999999997</v>
      </c>
      <c r="AZ184" s="43">
        <v>144.32560000000001</v>
      </c>
      <c r="BA184" s="43">
        <v>44.215600000000002</v>
      </c>
      <c r="BB184" s="43">
        <v>0.13256000000000001</v>
      </c>
      <c r="BC184" s="43">
        <v>0</v>
      </c>
      <c r="BD184" s="43">
        <v>1</v>
      </c>
      <c r="BE184" s="43">
        <v>1</v>
      </c>
      <c r="BF184" s="43">
        <v>-20.56</v>
      </c>
      <c r="BG184" s="43">
        <v>30.235600000000002</v>
      </c>
      <c r="BH184" s="71">
        <v>-4.8</v>
      </c>
      <c r="BI184" s="51">
        <v>11.7658</v>
      </c>
      <c r="BJ184" s="43">
        <v>0</v>
      </c>
      <c r="BK184" s="53">
        <v>0.17699999999999999</v>
      </c>
      <c r="BL184" s="53">
        <v>2300</v>
      </c>
      <c r="BM184" s="43">
        <v>2</v>
      </c>
      <c r="BN184" s="34" t="s">
        <v>89</v>
      </c>
      <c r="BO184" s="34" t="s">
        <v>89</v>
      </c>
      <c r="BP184" s="34" t="s">
        <v>89</v>
      </c>
      <c r="BQ184" s="34" t="s">
        <v>89</v>
      </c>
      <c r="BR184" s="34" t="s">
        <v>89</v>
      </c>
      <c r="BS184" s="34" t="s">
        <v>89</v>
      </c>
      <c r="BT184" s="34" t="s">
        <v>89</v>
      </c>
      <c r="BU184" s="34" t="s">
        <v>89</v>
      </c>
      <c r="BV184" s="34" t="s">
        <v>89</v>
      </c>
      <c r="BW184" s="34" t="s">
        <v>89</v>
      </c>
      <c r="BX184" s="34" t="s">
        <v>89</v>
      </c>
      <c r="BY184" s="34" t="s">
        <v>89</v>
      </c>
      <c r="BZ184" s="34" t="s">
        <v>89</v>
      </c>
      <c r="CA184" s="34" t="s">
        <v>89</v>
      </c>
      <c r="CB184" s="34" t="s">
        <v>89</v>
      </c>
      <c r="CC184" s="34" t="s">
        <v>89</v>
      </c>
      <c r="CD184" s="34" t="s">
        <v>89</v>
      </c>
      <c r="CE184" s="43">
        <v>3.11774748800887E-2</v>
      </c>
      <c r="CF184" s="43">
        <v>1</v>
      </c>
      <c r="CG184" s="43">
        <v>0</v>
      </c>
      <c r="CH184" s="43">
        <v>0</v>
      </c>
      <c r="CI184" s="43">
        <v>220</v>
      </c>
      <c r="CJ184" s="43">
        <v>30.028342234844398</v>
      </c>
      <c r="CK184" s="43">
        <v>0.13958654963585901</v>
      </c>
      <c r="CL184" s="43">
        <v>0</v>
      </c>
      <c r="CM184" s="43">
        <v>51112</v>
      </c>
      <c r="CN184" s="43">
        <v>0</v>
      </c>
      <c r="CO184" s="43">
        <v>1250.125</v>
      </c>
      <c r="CP184" s="43">
        <v>125.0124</v>
      </c>
      <c r="CQ184" s="43">
        <v>18.951000000000001</v>
      </c>
      <c r="CR184" s="43">
        <v>857.09523333916195</v>
      </c>
      <c r="CS184" s="43">
        <v>0.98581570833333398</v>
      </c>
      <c r="CT184" s="43">
        <v>0.14090429166666699</v>
      </c>
      <c r="CU184" s="43">
        <v>1</v>
      </c>
      <c r="CV184" s="46" t="s">
        <v>89</v>
      </c>
      <c r="CW184" s="34"/>
      <c r="CX184" s="35"/>
    </row>
    <row r="185" spans="1:102" ht="15" customHeight="1" x14ac:dyDescent="0.25">
      <c r="A185" s="33">
        <v>182</v>
      </c>
      <c r="B185" s="43" t="s">
        <v>1655</v>
      </c>
      <c r="C185" s="43">
        <v>0.93620000000000003</v>
      </c>
      <c r="D185" s="43">
        <v>0.5504</v>
      </c>
      <c r="E185" s="43" t="s">
        <v>1659</v>
      </c>
      <c r="F185" s="43" t="s">
        <v>1662</v>
      </c>
      <c r="G185" s="43" t="s">
        <v>1666</v>
      </c>
      <c r="H185" s="43" t="s">
        <v>1670</v>
      </c>
      <c r="I185" s="43" t="s">
        <v>1674</v>
      </c>
      <c r="J185" s="43" t="s">
        <v>1678</v>
      </c>
      <c r="K185" s="43" t="s">
        <v>1681</v>
      </c>
      <c r="L185" s="43" t="s">
        <v>1684</v>
      </c>
      <c r="M185" s="43" t="s">
        <v>1687</v>
      </c>
      <c r="N185" s="43" t="s">
        <v>1691</v>
      </c>
      <c r="O185" s="43" t="s">
        <v>1694</v>
      </c>
      <c r="P185" s="43" t="s">
        <v>1697</v>
      </c>
      <c r="Q185" s="43" t="s">
        <v>1697</v>
      </c>
      <c r="R185" s="43" t="s">
        <v>1702</v>
      </c>
      <c r="S185" s="43">
        <v>37.454999999999998</v>
      </c>
      <c r="T185" s="43">
        <v>86.8035</v>
      </c>
      <c r="U185" s="43">
        <v>3.9933999999999998</v>
      </c>
      <c r="V185" s="43">
        <v>-4.7830000000000004</v>
      </c>
      <c r="W185" s="43">
        <v>0</v>
      </c>
      <c r="X185" s="43">
        <v>1</v>
      </c>
      <c r="Y185" s="43">
        <v>0.1234</v>
      </c>
      <c r="Z185" s="43">
        <v>0.16033333333333299</v>
      </c>
      <c r="AA185" s="43">
        <v>122.3214</v>
      </c>
      <c r="AB185" s="43">
        <v>0.06</v>
      </c>
      <c r="AC185" s="43">
        <v>1552.5985000000001</v>
      </c>
      <c r="AD185" s="43">
        <v>0.36916666666666698</v>
      </c>
      <c r="AE185" s="43">
        <v>0.96866666666666701</v>
      </c>
      <c r="AF185" s="43">
        <v>0</v>
      </c>
      <c r="AG185" s="43">
        <v>-11.8023333333333</v>
      </c>
      <c r="AH185" s="43">
        <v>201.74866666666699</v>
      </c>
      <c r="AI185" s="69">
        <v>-139.57066666666699</v>
      </c>
      <c r="AJ185" s="43" t="s">
        <v>1705</v>
      </c>
      <c r="AK185" s="43">
        <v>0</v>
      </c>
      <c r="AL185" s="43">
        <v>4</v>
      </c>
      <c r="AM185" s="43">
        <v>1</v>
      </c>
      <c r="AN185" s="43">
        <v>1</v>
      </c>
      <c r="AO185" s="43">
        <v>1</v>
      </c>
      <c r="AP185" s="43">
        <v>0</v>
      </c>
      <c r="AQ185" s="68" t="s">
        <v>1790</v>
      </c>
      <c r="AR185" s="43" t="s">
        <v>1709</v>
      </c>
      <c r="AS185" s="69">
        <v>1</v>
      </c>
      <c r="AT185" s="43">
        <v>24.5214</v>
      </c>
      <c r="AU185" s="69">
        <v>1125.0214000000001</v>
      </c>
      <c r="AV185" s="69">
        <v>113.021</v>
      </c>
      <c r="AW185" s="43">
        <v>0.53254000000000001</v>
      </c>
      <c r="AX185" s="43">
        <v>0.2356</v>
      </c>
      <c r="AY185" s="43">
        <v>14.2356</v>
      </c>
      <c r="AZ185" s="43">
        <v>112.36539999999999</v>
      </c>
      <c r="BA185" s="43">
        <v>25.214500000000001</v>
      </c>
      <c r="BB185" s="43">
        <v>0.43256</v>
      </c>
      <c r="BC185" s="43">
        <v>1</v>
      </c>
      <c r="BD185" s="43">
        <v>0</v>
      </c>
      <c r="BE185" s="43">
        <v>1</v>
      </c>
      <c r="BF185" s="43">
        <v>-10.236000000000001</v>
      </c>
      <c r="BG185" s="43">
        <v>10.2356</v>
      </c>
      <c r="BH185" s="71">
        <v>-4.9000000000000004</v>
      </c>
      <c r="BI185" s="51">
        <v>9</v>
      </c>
      <c r="BJ185" s="43">
        <v>1</v>
      </c>
      <c r="BK185" s="53">
        <v>0.17799999999999999</v>
      </c>
      <c r="BL185" s="53">
        <v>2400</v>
      </c>
      <c r="BM185" s="43">
        <v>2</v>
      </c>
      <c r="BN185" s="34" t="s">
        <v>89</v>
      </c>
      <c r="BO185" s="34" t="s">
        <v>89</v>
      </c>
      <c r="BP185" s="34" t="s">
        <v>89</v>
      </c>
      <c r="BQ185" s="34" t="s">
        <v>89</v>
      </c>
      <c r="BR185" s="34" t="s">
        <v>89</v>
      </c>
      <c r="BS185" s="34" t="s">
        <v>89</v>
      </c>
      <c r="BT185" s="34" t="s">
        <v>89</v>
      </c>
      <c r="BU185" s="34" t="s">
        <v>89</v>
      </c>
      <c r="BV185" s="34" t="s">
        <v>89</v>
      </c>
      <c r="BW185" s="34" t="s">
        <v>89</v>
      </c>
      <c r="BX185" s="34" t="s">
        <v>89</v>
      </c>
      <c r="BY185" s="34" t="s">
        <v>89</v>
      </c>
      <c r="BZ185" s="34" t="s">
        <v>89</v>
      </c>
      <c r="CA185" s="34" t="s">
        <v>89</v>
      </c>
      <c r="CB185" s="34" t="s">
        <v>89</v>
      </c>
      <c r="CC185" s="34" t="s">
        <v>89</v>
      </c>
      <c r="CD185" s="34" t="s">
        <v>89</v>
      </c>
      <c r="CE185" s="43">
        <v>1.9958894723662</v>
      </c>
      <c r="CF185" s="43">
        <v>-1.38924883763485</v>
      </c>
      <c r="CG185" s="43">
        <v>0</v>
      </c>
      <c r="CH185" s="43">
        <v>0</v>
      </c>
      <c r="CI185" s="43">
        <v>39.534500000000001</v>
      </c>
      <c r="CJ185" s="43">
        <v>7.6669686236660599</v>
      </c>
      <c r="CK185" s="43">
        <v>19.1687655410438</v>
      </c>
      <c r="CL185" s="43">
        <v>63482</v>
      </c>
      <c r="CM185" s="43">
        <v>4094</v>
      </c>
      <c r="CN185" s="43">
        <v>1238</v>
      </c>
      <c r="CO185" s="43">
        <v>1125.0214000000001</v>
      </c>
      <c r="CP185" s="43">
        <v>113.021</v>
      </c>
      <c r="CQ185" s="43">
        <v>14.2356</v>
      </c>
      <c r="CR185" s="43">
        <v>112.36539999999999</v>
      </c>
      <c r="CS185" s="43">
        <v>4.4709825000000002E-2</v>
      </c>
      <c r="CT185" s="43">
        <v>0.175091854166667</v>
      </c>
      <c r="CU185" s="43">
        <v>1</v>
      </c>
      <c r="CV185" s="46" t="s">
        <v>89</v>
      </c>
      <c r="CW185" s="34"/>
      <c r="CX185" s="35"/>
    </row>
    <row r="186" spans="1:102" ht="15" customHeight="1" x14ac:dyDescent="0.25">
      <c r="A186" s="33">
        <v>183</v>
      </c>
      <c r="B186" s="43" t="s">
        <v>1799</v>
      </c>
      <c r="C186" s="43">
        <v>0.2145</v>
      </c>
      <c r="D186" s="43">
        <v>0.65410000000000001</v>
      </c>
      <c r="E186" s="43" t="s">
        <v>1800</v>
      </c>
      <c r="F186" s="43" t="s">
        <v>1802</v>
      </c>
      <c r="G186" s="43" t="s">
        <v>1804</v>
      </c>
      <c r="H186" s="43" t="s">
        <v>1806</v>
      </c>
      <c r="I186" s="43" t="s">
        <v>1808</v>
      </c>
      <c r="J186" s="43" t="s">
        <v>1810</v>
      </c>
      <c r="K186" s="53" t="s">
        <v>1812</v>
      </c>
      <c r="L186" s="53" t="s">
        <v>1814</v>
      </c>
      <c r="M186" s="53" t="s">
        <v>1816</v>
      </c>
      <c r="N186" s="43" t="s">
        <v>1818</v>
      </c>
      <c r="O186" s="43" t="s">
        <v>1820</v>
      </c>
      <c r="P186" s="43" t="s">
        <v>1822</v>
      </c>
      <c r="Q186" s="43" t="s">
        <v>1824</v>
      </c>
      <c r="R186" s="53" t="s">
        <v>1826</v>
      </c>
      <c r="S186" s="53">
        <v>35.0214</v>
      </c>
      <c r="T186" s="43">
        <v>22.325600000000001</v>
      </c>
      <c r="U186" s="43">
        <v>2.3654000000000002</v>
      </c>
      <c r="V186" s="43">
        <v>-3.2141999999999999</v>
      </c>
      <c r="W186" s="43">
        <v>1</v>
      </c>
      <c r="X186" s="43">
        <v>0</v>
      </c>
      <c r="Y186" s="43">
        <v>0.13250000000000001</v>
      </c>
      <c r="Z186" s="43">
        <v>1.1999999999999999E-3</v>
      </c>
      <c r="AA186" s="43">
        <v>10.0214</v>
      </c>
      <c r="AB186" s="43">
        <v>1E-4</v>
      </c>
      <c r="AC186" s="43">
        <v>100.21429999999999</v>
      </c>
      <c r="AD186" s="43">
        <v>1.23E-2</v>
      </c>
      <c r="AE186" s="43">
        <v>0.98799999999999999</v>
      </c>
      <c r="AF186" s="43">
        <v>1</v>
      </c>
      <c r="AG186" s="43">
        <v>-10.2356</v>
      </c>
      <c r="AH186" s="43">
        <v>100.2145</v>
      </c>
      <c r="AI186" s="43">
        <v>23.0214</v>
      </c>
      <c r="AJ186" s="53" t="s">
        <v>1828</v>
      </c>
      <c r="AK186" s="43">
        <v>1</v>
      </c>
      <c r="AL186" s="43">
        <v>2</v>
      </c>
      <c r="AM186" s="43">
        <v>0</v>
      </c>
      <c r="AN186" s="43">
        <v>0</v>
      </c>
      <c r="AO186" s="43">
        <v>0</v>
      </c>
      <c r="AP186" s="43">
        <v>1</v>
      </c>
      <c r="AQ186" s="68" t="s">
        <v>1831</v>
      </c>
      <c r="AR186" s="53" t="s">
        <v>1832</v>
      </c>
      <c r="AS186" s="43">
        <v>10</v>
      </c>
      <c r="AT186" s="43">
        <v>20.321400000000001</v>
      </c>
      <c r="AU186" s="43">
        <v>110.32559999999999</v>
      </c>
      <c r="AV186" s="43">
        <v>112.3214</v>
      </c>
      <c r="AW186" s="43">
        <v>10.321400000000001</v>
      </c>
      <c r="AX186" s="43">
        <v>1.23E-2</v>
      </c>
      <c r="AY186" s="43">
        <v>10.2356</v>
      </c>
      <c r="AZ186" s="43">
        <v>110.23560000000001</v>
      </c>
      <c r="BA186" s="43">
        <v>20.214500000000001</v>
      </c>
      <c r="BB186" s="43">
        <v>0.2145</v>
      </c>
      <c r="BC186" s="43">
        <v>0</v>
      </c>
      <c r="BD186" s="43">
        <v>1</v>
      </c>
      <c r="BE186" s="51">
        <v>0</v>
      </c>
      <c r="BF186" s="43">
        <v>-9.3255999999999997</v>
      </c>
      <c r="BG186" s="43">
        <v>11.3256</v>
      </c>
      <c r="BH186" s="43">
        <v>-2.3654000000000002</v>
      </c>
      <c r="BI186" s="43">
        <v>10.2356</v>
      </c>
      <c r="BJ186" s="51">
        <v>0</v>
      </c>
      <c r="BK186" s="53">
        <v>0.17899999999999999</v>
      </c>
      <c r="BL186" s="53">
        <v>2500</v>
      </c>
      <c r="BM186" s="43">
        <v>2</v>
      </c>
      <c r="BN186" s="34" t="s">
        <v>89</v>
      </c>
      <c r="BO186" s="34" t="s">
        <v>89</v>
      </c>
      <c r="BP186" s="34" t="s">
        <v>89</v>
      </c>
      <c r="BQ186" s="34" t="s">
        <v>89</v>
      </c>
      <c r="BR186" s="34" t="s">
        <v>89</v>
      </c>
      <c r="BS186" s="34" t="s">
        <v>89</v>
      </c>
      <c r="BT186" s="34" t="s">
        <v>89</v>
      </c>
      <c r="BU186" s="34" t="s">
        <v>89</v>
      </c>
      <c r="BV186" s="34" t="s">
        <v>89</v>
      </c>
      <c r="BW186" s="34" t="s">
        <v>89</v>
      </c>
      <c r="BX186" s="34" t="s">
        <v>89</v>
      </c>
      <c r="BY186" s="34" t="s">
        <v>89</v>
      </c>
      <c r="BZ186" s="34" t="s">
        <v>89</v>
      </c>
      <c r="CA186" s="34" t="s">
        <v>89</v>
      </c>
      <c r="CB186" s="34" t="s">
        <v>89</v>
      </c>
      <c r="CC186" s="34" t="s">
        <v>89</v>
      </c>
      <c r="CD186" s="34" t="s">
        <v>89</v>
      </c>
      <c r="CE186" s="43">
        <v>1</v>
      </c>
      <c r="CF186" s="43">
        <v>1</v>
      </c>
      <c r="CG186" s="43">
        <v>-9.3255999999999997</v>
      </c>
      <c r="CH186" s="43">
        <v>-2.3654000000000002</v>
      </c>
      <c r="CI186" s="43">
        <v>-45.0214</v>
      </c>
      <c r="CJ186" s="43">
        <v>-1.06032148584705</v>
      </c>
      <c r="CK186" s="43">
        <v>-22.273303082959099</v>
      </c>
      <c r="CL186" s="43">
        <v>0</v>
      </c>
      <c r="CM186" s="43">
        <v>12252</v>
      </c>
      <c r="CN186" s="43">
        <v>10</v>
      </c>
      <c r="CO186" s="43">
        <v>110.32559999999999</v>
      </c>
      <c r="CP186" s="43">
        <v>112.3214</v>
      </c>
      <c r="CQ186" s="43">
        <v>11.0214</v>
      </c>
      <c r="CR186" s="43">
        <v>482.54231801489999</v>
      </c>
      <c r="CS186" s="43">
        <v>1.352675E-3</v>
      </c>
      <c r="CT186" s="43">
        <v>2.4826787499999999E-2</v>
      </c>
      <c r="CU186" s="43">
        <v>1</v>
      </c>
      <c r="CV186" s="46" t="s">
        <v>89</v>
      </c>
      <c r="CW186" s="34"/>
      <c r="CX186" s="35"/>
    </row>
    <row r="187" spans="1:102" ht="15" customHeight="1" thickBot="1" x14ac:dyDescent="0.3">
      <c r="A187" s="36">
        <v>184</v>
      </c>
      <c r="B187" s="44" t="s">
        <v>1890</v>
      </c>
      <c r="C187" s="44">
        <v>0.14530000000000001</v>
      </c>
      <c r="D187" s="44">
        <v>0.74119999999999997</v>
      </c>
      <c r="E187" s="44" t="s">
        <v>1801</v>
      </c>
      <c r="F187" s="44" t="s">
        <v>1803</v>
      </c>
      <c r="G187" s="44" t="s">
        <v>1805</v>
      </c>
      <c r="H187" s="44" t="s">
        <v>1807</v>
      </c>
      <c r="I187" s="44" t="s">
        <v>1809</v>
      </c>
      <c r="J187" s="44" t="s">
        <v>1811</v>
      </c>
      <c r="K187" s="70" t="s">
        <v>1813</v>
      </c>
      <c r="L187" s="70" t="s">
        <v>1815</v>
      </c>
      <c r="M187" s="70" t="s">
        <v>1817</v>
      </c>
      <c r="N187" s="44" t="s">
        <v>1819</v>
      </c>
      <c r="O187" s="44" t="s">
        <v>1821</v>
      </c>
      <c r="P187" s="44" t="s">
        <v>1823</v>
      </c>
      <c r="Q187" s="44" t="s">
        <v>1825</v>
      </c>
      <c r="R187" s="70" t="s">
        <v>1827</v>
      </c>
      <c r="S187" s="70">
        <v>22.0124</v>
      </c>
      <c r="T187" s="44">
        <v>11.2546</v>
      </c>
      <c r="U187" s="44">
        <v>10.324999999999999</v>
      </c>
      <c r="V187" s="44">
        <v>-2.3654000000000002</v>
      </c>
      <c r="W187" s="44">
        <v>0</v>
      </c>
      <c r="X187" s="44">
        <v>1</v>
      </c>
      <c r="Y187" s="44">
        <v>0.1123</v>
      </c>
      <c r="Z187" s="44">
        <v>0.1236</v>
      </c>
      <c r="AA187" s="44">
        <v>122.3214</v>
      </c>
      <c r="AB187" s="44">
        <v>1E-4</v>
      </c>
      <c r="AC187" s="44">
        <v>200.21449999999999</v>
      </c>
      <c r="AD187" s="44">
        <v>0.23139999999999999</v>
      </c>
      <c r="AE187" s="44">
        <v>0.97099999999999997</v>
      </c>
      <c r="AF187" s="44">
        <v>0</v>
      </c>
      <c r="AG187" s="44">
        <v>-5.0213999999999999</v>
      </c>
      <c r="AH187" s="44">
        <v>90.214500000000001</v>
      </c>
      <c r="AI187" s="44">
        <v>22.321400000000001</v>
      </c>
      <c r="AJ187" s="44" t="s">
        <v>1829</v>
      </c>
      <c r="AK187" s="44">
        <v>0</v>
      </c>
      <c r="AL187" s="44">
        <v>1</v>
      </c>
      <c r="AM187" s="44">
        <v>1</v>
      </c>
      <c r="AN187" s="44">
        <v>1</v>
      </c>
      <c r="AO187" s="44">
        <v>1</v>
      </c>
      <c r="AP187" s="44">
        <v>0</v>
      </c>
      <c r="AQ187" s="44" t="s">
        <v>1830</v>
      </c>
      <c r="AR187" s="70" t="s">
        <v>1833</v>
      </c>
      <c r="AS187" s="44">
        <v>12</v>
      </c>
      <c r="AT187" s="44">
        <v>10.2356</v>
      </c>
      <c r="AU187" s="44">
        <v>145.32140000000001</v>
      </c>
      <c r="AV187" s="44">
        <v>123.2514</v>
      </c>
      <c r="AW187" s="44">
        <v>12.3256</v>
      </c>
      <c r="AX187" s="44">
        <v>0.1236</v>
      </c>
      <c r="AY187" s="44">
        <v>11.3256</v>
      </c>
      <c r="AZ187" s="44">
        <v>111.32559999999999</v>
      </c>
      <c r="BA187" s="44">
        <v>11.3256</v>
      </c>
      <c r="BB187" s="44">
        <v>0.14560000000000001</v>
      </c>
      <c r="BC187" s="44">
        <v>1</v>
      </c>
      <c r="BD187" s="44">
        <v>0</v>
      </c>
      <c r="BE187" s="55">
        <v>1</v>
      </c>
      <c r="BF187" s="44">
        <v>-8.2568999999999999</v>
      </c>
      <c r="BG187" s="44">
        <v>12.3256</v>
      </c>
      <c r="BH187" s="44">
        <v>-1.0256000000000001</v>
      </c>
      <c r="BI187" s="44">
        <v>11.3256</v>
      </c>
      <c r="BJ187" s="55">
        <v>1</v>
      </c>
      <c r="BK187" s="44">
        <v>0.2</v>
      </c>
      <c r="BL187" s="44">
        <v>5000</v>
      </c>
      <c r="BM187" s="44">
        <v>2</v>
      </c>
      <c r="BN187" s="37" t="s">
        <v>89</v>
      </c>
      <c r="BO187" s="37" t="s">
        <v>89</v>
      </c>
      <c r="BP187" s="37" t="s">
        <v>89</v>
      </c>
      <c r="BQ187" s="37" t="s">
        <v>89</v>
      </c>
      <c r="BR187" s="37" t="s">
        <v>89</v>
      </c>
      <c r="BS187" s="37" t="s">
        <v>89</v>
      </c>
      <c r="BT187" s="37" t="s">
        <v>89</v>
      </c>
      <c r="BU187" s="37" t="s">
        <v>89</v>
      </c>
      <c r="BV187" s="37" t="s">
        <v>89</v>
      </c>
      <c r="BW187" s="37" t="s">
        <v>89</v>
      </c>
      <c r="BX187" s="37" t="s">
        <v>89</v>
      </c>
      <c r="BY187" s="37" t="s">
        <v>89</v>
      </c>
      <c r="BZ187" s="37" t="s">
        <v>89</v>
      </c>
      <c r="CA187" s="37" t="s">
        <v>89</v>
      </c>
      <c r="CB187" s="37" t="s">
        <v>89</v>
      </c>
      <c r="CC187" s="37" t="s">
        <v>89</v>
      </c>
      <c r="CD187" s="37" t="s">
        <v>89</v>
      </c>
      <c r="CE187" s="44">
        <v>1</v>
      </c>
      <c r="CF187" s="44">
        <v>1</v>
      </c>
      <c r="CG187" s="44">
        <v>0</v>
      </c>
      <c r="CH187" s="44">
        <v>0</v>
      </c>
      <c r="CI187" s="44">
        <v>-1.05249999999999</v>
      </c>
      <c r="CJ187" s="44">
        <v>3.2145000000000001</v>
      </c>
      <c r="CK187" s="44">
        <v>5.0213999999999999</v>
      </c>
      <c r="CL187" s="44">
        <v>18429</v>
      </c>
      <c r="CM187" s="44">
        <v>37454</v>
      </c>
      <c r="CN187" s="44">
        <v>110</v>
      </c>
      <c r="CO187" s="44">
        <v>145.32140000000001</v>
      </c>
      <c r="CP187" s="44">
        <v>123.2514</v>
      </c>
      <c r="CQ187" s="44">
        <v>11.3256</v>
      </c>
      <c r="CR187" s="44">
        <v>111.32559999999999</v>
      </c>
      <c r="CS187" s="44">
        <v>0</v>
      </c>
      <c r="CT187" s="44">
        <v>0.2063731875</v>
      </c>
      <c r="CU187" s="44">
        <v>1</v>
      </c>
      <c r="CV187" s="47" t="s">
        <v>89</v>
      </c>
      <c r="CW187" s="37"/>
      <c r="CX187" s="38"/>
    </row>
    <row r="188" spans="1:102" x14ac:dyDescent="0.25">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39"/>
      <c r="BH188" s="39"/>
      <c r="BI188" s="39"/>
      <c r="BJ188" s="39"/>
      <c r="BK188" s="39"/>
      <c r="BL188" s="39"/>
      <c r="BM188" s="39"/>
      <c r="BN188" s="39"/>
      <c r="BO188" s="39"/>
      <c r="BP188" s="39"/>
      <c r="BQ188" s="39"/>
      <c r="BR188" s="39"/>
      <c r="BS188" s="39"/>
      <c r="BT188" s="39"/>
      <c r="BU188" s="39"/>
      <c r="BV188" s="39"/>
      <c r="BW188" s="39"/>
      <c r="BX188" s="39"/>
      <c r="BY188" s="39"/>
      <c r="BZ188" s="39"/>
      <c r="CA188" s="39"/>
      <c r="CB188" s="39"/>
      <c r="CC188" s="39"/>
      <c r="CD188" s="39"/>
      <c r="CE188" s="39"/>
      <c r="CF188" s="39"/>
      <c r="CG188" s="39"/>
      <c r="CH188" s="39"/>
      <c r="CI188" s="39"/>
      <c r="CJ188" s="39"/>
      <c r="CK188" s="39"/>
      <c r="CL188" s="39"/>
      <c r="CM188" s="39"/>
      <c r="CN188" s="39"/>
      <c r="CO188" s="39"/>
      <c r="CP188" s="39"/>
      <c r="CQ188" s="39"/>
      <c r="CR188" s="39"/>
      <c r="CS188" s="39"/>
      <c r="CT188" s="39"/>
      <c r="CU188" s="39"/>
      <c r="CV188" s="39"/>
      <c r="CW188" s="39"/>
      <c r="CX188" s="39"/>
    </row>
    <row r="189" spans="1:102" x14ac:dyDescent="0.25">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39"/>
      <c r="BH189" s="39"/>
      <c r="BI189" s="39"/>
      <c r="BJ189" s="39"/>
      <c r="BK189" s="39"/>
      <c r="BL189" s="39"/>
      <c r="BM189" s="39"/>
      <c r="BN189" s="39"/>
      <c r="BO189" s="39"/>
      <c r="BP189" s="39"/>
      <c r="BQ189" s="39"/>
      <c r="BR189" s="39"/>
      <c r="BS189" s="39"/>
      <c r="BT189" s="39"/>
      <c r="BU189" s="39"/>
      <c r="BV189" s="39"/>
      <c r="BW189" s="39"/>
      <c r="BX189" s="39"/>
      <c r="BY189" s="39"/>
      <c r="BZ189" s="39"/>
      <c r="CA189" s="39"/>
      <c r="CB189" s="39"/>
      <c r="CC189" s="39"/>
      <c r="CD189" s="39"/>
      <c r="CE189" s="39"/>
      <c r="CF189" s="39"/>
      <c r="CG189" s="39"/>
      <c r="CH189" s="39"/>
      <c r="CI189" s="39"/>
      <c r="CJ189" s="39"/>
      <c r="CK189" s="39"/>
      <c r="CL189" s="39"/>
      <c r="CM189" s="39"/>
      <c r="CN189" s="39"/>
      <c r="CO189" s="39"/>
      <c r="CP189" s="39"/>
      <c r="CQ189" s="39"/>
      <c r="CR189" s="39"/>
      <c r="CS189" s="39"/>
      <c r="CT189" s="39"/>
      <c r="CU189" s="39"/>
      <c r="CV189" s="39"/>
      <c r="CW189" s="39"/>
      <c r="CX189" s="39"/>
    </row>
    <row r="190" spans="1:102" x14ac:dyDescent="0.25">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BG190" s="39"/>
      <c r="BH190" s="39"/>
      <c r="BI190" s="39"/>
      <c r="BJ190" s="39"/>
      <c r="BK190" s="39"/>
      <c r="BL190" s="39"/>
      <c r="BM190" s="39"/>
      <c r="BN190" s="39"/>
      <c r="BO190" s="39"/>
      <c r="BP190" s="39"/>
      <c r="BQ190" s="39"/>
      <c r="BR190" s="39"/>
      <c r="BS190" s="39"/>
      <c r="BT190" s="39"/>
      <c r="BU190" s="39"/>
      <c r="BV190" s="39"/>
      <c r="BW190" s="39"/>
      <c r="BX190" s="39"/>
      <c r="BY190" s="39"/>
      <c r="BZ190" s="39"/>
      <c r="CA190" s="39"/>
      <c r="CB190" s="39"/>
      <c r="CC190" s="39"/>
      <c r="CD190" s="39"/>
      <c r="CE190" s="39"/>
      <c r="CF190" s="39"/>
      <c r="CG190" s="39"/>
      <c r="CH190" s="39"/>
      <c r="CI190" s="39"/>
      <c r="CJ190" s="39"/>
      <c r="CK190" s="39"/>
      <c r="CL190" s="39"/>
      <c r="CM190" s="39"/>
      <c r="CN190" s="39"/>
      <c r="CO190" s="39"/>
      <c r="CP190" s="39"/>
      <c r="CQ190" s="39"/>
      <c r="CR190" s="39"/>
      <c r="CS190" s="39"/>
      <c r="CT190" s="39"/>
      <c r="CU190" s="39"/>
      <c r="CV190" s="39"/>
      <c r="CW190" s="39"/>
      <c r="CX190" s="39"/>
    </row>
    <row r="191" spans="1:102" x14ac:dyDescent="0.25">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39"/>
      <c r="BH191" s="39"/>
      <c r="BI191" s="39"/>
      <c r="BJ191" s="39"/>
      <c r="BK191" s="39"/>
      <c r="BL191" s="39"/>
      <c r="BM191" s="39"/>
      <c r="BN191" s="39"/>
      <c r="BO191" s="39"/>
      <c r="BP191" s="39"/>
      <c r="BQ191" s="39"/>
      <c r="BR191" s="39"/>
      <c r="BS191" s="39"/>
      <c r="BT191" s="39"/>
      <c r="BU191" s="39"/>
      <c r="BV191" s="39"/>
      <c r="BW191" s="39"/>
      <c r="BX191" s="39"/>
      <c r="BY191" s="39"/>
      <c r="BZ191" s="39"/>
      <c r="CA191" s="39"/>
      <c r="CB191" s="39"/>
      <c r="CC191" s="39"/>
      <c r="CD191" s="39"/>
      <c r="CE191" s="39"/>
      <c r="CF191" s="39"/>
      <c r="CG191" s="39"/>
      <c r="CH191" s="39"/>
      <c r="CI191" s="39"/>
      <c r="CJ191" s="39"/>
      <c r="CK191" s="39"/>
      <c r="CL191" s="39"/>
      <c r="CM191" s="39"/>
      <c r="CN191" s="39"/>
      <c r="CO191" s="39"/>
      <c r="CP191" s="39"/>
      <c r="CQ191" s="39"/>
      <c r="CR191" s="39"/>
      <c r="CS191" s="39"/>
      <c r="CT191" s="39"/>
      <c r="CU191" s="39"/>
      <c r="CV191" s="39"/>
      <c r="CW191" s="39"/>
      <c r="CX191" s="39"/>
    </row>
    <row r="192" spans="1:102" x14ac:dyDescent="0.25">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39"/>
      <c r="BH192" s="39"/>
      <c r="BI192" s="39"/>
      <c r="BJ192" s="39"/>
      <c r="BK192" s="39"/>
      <c r="BL192" s="39"/>
      <c r="BM192" s="39"/>
      <c r="BN192" s="39"/>
      <c r="BO192" s="39"/>
      <c r="BP192" s="39"/>
      <c r="BQ192" s="39"/>
      <c r="BR192" s="39"/>
      <c r="BS192" s="39"/>
      <c r="BT192" s="39"/>
      <c r="BU192" s="39"/>
      <c r="BV192" s="39"/>
      <c r="BW192" s="39"/>
      <c r="BX192" s="39"/>
      <c r="BY192" s="39"/>
      <c r="BZ192" s="39"/>
      <c r="CA192" s="39"/>
      <c r="CB192" s="39"/>
      <c r="CC192" s="39"/>
      <c r="CD192" s="39"/>
      <c r="CE192" s="39"/>
      <c r="CF192" s="39"/>
      <c r="CG192" s="39"/>
      <c r="CH192" s="39"/>
      <c r="CI192" s="39"/>
      <c r="CJ192" s="39"/>
      <c r="CK192" s="39"/>
      <c r="CL192" s="39"/>
      <c r="CM192" s="39"/>
      <c r="CN192" s="39"/>
      <c r="CO192" s="39"/>
      <c r="CP192" s="39"/>
      <c r="CQ192" s="39"/>
      <c r="CR192" s="39"/>
      <c r="CS192" s="39"/>
      <c r="CT192" s="39"/>
      <c r="CU192" s="39"/>
      <c r="CV192" s="39"/>
      <c r="CW192" s="39"/>
      <c r="CX192" s="39"/>
    </row>
    <row r="193" spans="1:102" x14ac:dyDescent="0.25">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39"/>
      <c r="BH193" s="39"/>
      <c r="BI193" s="39"/>
      <c r="BJ193" s="39"/>
      <c r="BK193" s="39"/>
      <c r="BL193" s="39"/>
      <c r="BM193" s="39"/>
      <c r="BN193" s="39"/>
      <c r="BO193" s="39"/>
      <c r="BP193" s="39"/>
      <c r="BQ193" s="39"/>
      <c r="BR193" s="39"/>
      <c r="BS193" s="39"/>
      <c r="BT193" s="39"/>
      <c r="BU193" s="39"/>
      <c r="BV193" s="39"/>
      <c r="BW193" s="39"/>
      <c r="BX193" s="39"/>
      <c r="BY193" s="39"/>
      <c r="BZ193" s="39"/>
      <c r="CA193" s="39"/>
      <c r="CB193" s="39"/>
      <c r="CC193" s="39"/>
      <c r="CD193" s="39"/>
      <c r="CE193" s="39"/>
      <c r="CF193" s="39"/>
      <c r="CG193" s="39"/>
      <c r="CH193" s="39"/>
      <c r="CI193" s="39"/>
      <c r="CJ193" s="39"/>
      <c r="CK193" s="39"/>
      <c r="CL193" s="39"/>
      <c r="CM193" s="39"/>
      <c r="CN193" s="39"/>
      <c r="CO193" s="39"/>
      <c r="CP193" s="39"/>
      <c r="CQ193" s="39"/>
      <c r="CR193" s="39"/>
      <c r="CS193" s="39"/>
      <c r="CT193" s="39"/>
      <c r="CU193" s="39"/>
      <c r="CV193" s="39"/>
      <c r="CW193" s="39"/>
      <c r="CX193" s="39"/>
    </row>
    <row r="194" spans="1:102" x14ac:dyDescent="0.25">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BG194" s="39"/>
      <c r="BH194" s="39"/>
      <c r="BI194" s="39"/>
      <c r="BJ194" s="39"/>
      <c r="BK194" s="39"/>
      <c r="BL194" s="39"/>
      <c r="BM194" s="39"/>
      <c r="BN194" s="39"/>
      <c r="BO194" s="39"/>
      <c r="BP194" s="39"/>
      <c r="BQ194" s="39"/>
      <c r="BR194" s="39"/>
      <c r="BS194" s="39"/>
      <c r="BT194" s="39"/>
      <c r="BU194" s="39"/>
      <c r="BV194" s="39"/>
      <c r="BW194" s="39"/>
      <c r="BX194" s="39"/>
      <c r="BY194" s="39"/>
      <c r="BZ194" s="39"/>
      <c r="CA194" s="39"/>
      <c r="CB194" s="39"/>
      <c r="CC194" s="39"/>
      <c r="CD194" s="39"/>
      <c r="CE194" s="39"/>
      <c r="CF194" s="39"/>
      <c r="CG194" s="39"/>
      <c r="CH194" s="39"/>
      <c r="CI194" s="39"/>
      <c r="CJ194" s="39"/>
      <c r="CK194" s="39"/>
      <c r="CL194" s="39"/>
      <c r="CM194" s="39"/>
      <c r="CN194" s="39"/>
      <c r="CO194" s="39"/>
      <c r="CP194" s="39"/>
      <c r="CQ194" s="39"/>
      <c r="CR194" s="39"/>
      <c r="CS194" s="39"/>
      <c r="CT194" s="39"/>
      <c r="CU194" s="39"/>
      <c r="CV194" s="39"/>
      <c r="CW194" s="39"/>
      <c r="CX194" s="39"/>
    </row>
    <row r="195" spans="1:102" x14ac:dyDescent="0.25">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BG195" s="39"/>
      <c r="BH195" s="39"/>
      <c r="BI195" s="39"/>
      <c r="BJ195" s="39"/>
      <c r="BK195" s="39"/>
      <c r="BL195" s="39"/>
      <c r="BM195" s="39"/>
      <c r="BN195" s="39"/>
      <c r="BO195" s="39"/>
      <c r="BP195" s="39"/>
      <c r="BQ195" s="39"/>
      <c r="BR195" s="39"/>
      <c r="BS195" s="39"/>
      <c r="BT195" s="39"/>
      <c r="BU195" s="39"/>
      <c r="BV195" s="39"/>
      <c r="BW195" s="39"/>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c r="CV195" s="39"/>
      <c r="CW195" s="39"/>
      <c r="CX195" s="39"/>
    </row>
    <row r="196" spans="1:102" x14ac:dyDescent="0.25">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c r="CV196" s="39"/>
      <c r="CW196" s="39"/>
      <c r="CX196" s="39"/>
    </row>
    <row r="197" spans="1:102" x14ac:dyDescent="0.25">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BG197" s="39"/>
      <c r="BH197" s="39"/>
      <c r="BI197" s="39"/>
      <c r="BJ197" s="39"/>
      <c r="BK197" s="39"/>
      <c r="BL197" s="39"/>
      <c r="BM197" s="39"/>
      <c r="BN197" s="39"/>
      <c r="BO197" s="39"/>
      <c r="BP197" s="39"/>
      <c r="BQ197" s="39"/>
      <c r="BR197" s="39"/>
      <c r="BS197" s="39"/>
      <c r="BT197" s="39"/>
      <c r="BU197" s="39"/>
      <c r="BV197" s="39"/>
      <c r="BW197" s="39"/>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c r="CV197" s="39"/>
      <c r="CW197" s="39"/>
      <c r="CX197" s="39"/>
    </row>
  </sheetData>
  <sheetProtection sheet="1" objects="1" scenarios="1"/>
  <mergeCells count="2">
    <mergeCell ref="A1:B1"/>
    <mergeCell ref="A2:B2"/>
  </mergeCells>
  <hyperlinks>
    <hyperlink ref="A1" location="'PICurrCntrl_Per1'!A1" display="'PICurrCntrl_Per1'!A1"/>
  </hyperlink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X23"/>
  <sheetViews>
    <sheetView zoomScaleNormal="100" workbookViewId="0">
      <selection sqref="A1:B1"/>
    </sheetView>
  </sheetViews>
  <sheetFormatPr defaultRowHeight="15" x14ac:dyDescent="0.25"/>
  <cols>
    <col min="1" max="1" width="8.140625" bestFit="1" customWidth="1"/>
    <col min="2" max="2" width="255.7109375" bestFit="1" customWidth="1"/>
    <col min="3" max="4" width="7" bestFit="1" customWidth="1"/>
    <col min="5" max="6" width="16.7109375" bestFit="1" customWidth="1"/>
    <col min="7" max="7" width="11.140625" bestFit="1" customWidth="1"/>
    <col min="8" max="8" width="16.7109375" bestFit="1" customWidth="1"/>
    <col min="9" max="9" width="11.140625" bestFit="1" customWidth="1"/>
    <col min="10" max="10" width="16.7109375" bestFit="1" customWidth="1"/>
    <col min="11" max="11" width="35" bestFit="1" customWidth="1"/>
    <col min="12" max="12" width="14" bestFit="1" customWidth="1"/>
    <col min="13" max="13" width="14.7109375" bestFit="1" customWidth="1"/>
    <col min="14" max="17" width="14.85546875" bestFit="1" customWidth="1"/>
    <col min="18" max="18" width="16.7109375" bestFit="1" customWidth="1"/>
    <col min="19" max="19" width="3.28515625" bestFit="1" customWidth="1"/>
    <col min="20" max="20" width="8.7109375" bestFit="1" customWidth="1"/>
    <col min="21" max="21" width="8" bestFit="1" customWidth="1"/>
    <col min="22" max="22" width="7.7109375" bestFit="1" customWidth="1"/>
    <col min="23" max="24" width="3.28515625" bestFit="1" customWidth="1"/>
    <col min="25" max="26" width="6" bestFit="1" customWidth="1"/>
    <col min="27" max="27" width="9" bestFit="1" customWidth="1"/>
    <col min="28" max="28" width="6" bestFit="1" customWidth="1"/>
    <col min="29" max="29" width="9" bestFit="1" customWidth="1"/>
    <col min="30" max="31" width="6" bestFit="1" customWidth="1"/>
    <col min="32" max="32" width="3.28515625" bestFit="1" customWidth="1"/>
    <col min="33" max="33" width="7.7109375" bestFit="1" customWidth="1"/>
    <col min="34" max="34" width="8.7109375" bestFit="1" customWidth="1"/>
    <col min="35" max="35" width="8" bestFit="1" customWidth="1"/>
    <col min="36" max="36" width="13.28515625" bestFit="1" customWidth="1"/>
    <col min="37" max="42" width="3.28515625" bestFit="1" customWidth="1"/>
    <col min="43" max="43" width="21.5703125" bestFit="1" customWidth="1"/>
    <col min="44" max="44" width="10" bestFit="1" customWidth="1"/>
    <col min="45" max="45" width="5" bestFit="1" customWidth="1"/>
    <col min="46" max="46" width="7.7109375" bestFit="1" customWidth="1"/>
    <col min="47" max="47" width="7" bestFit="1" customWidth="1"/>
    <col min="48" max="48" width="7.7109375" bestFit="1" customWidth="1"/>
    <col min="49" max="49" width="12.7109375" bestFit="1" customWidth="1"/>
    <col min="50" max="50" width="12.28515625" bestFit="1" customWidth="1"/>
    <col min="51" max="52" width="7.7109375" bestFit="1" customWidth="1"/>
    <col min="53" max="53" width="12.7109375" bestFit="1" customWidth="1"/>
    <col min="54" max="54" width="12.28515625" bestFit="1" customWidth="1"/>
    <col min="55" max="57" width="3.28515625" bestFit="1" customWidth="1"/>
    <col min="58" max="58" width="6.7109375" bestFit="1" customWidth="1"/>
    <col min="59" max="59" width="8" bestFit="1" customWidth="1"/>
    <col min="60" max="60" width="6.7109375" bestFit="1" customWidth="1"/>
    <col min="61" max="61" width="8" bestFit="1" customWidth="1"/>
    <col min="62" max="62" width="3.28515625" bestFit="1" customWidth="1"/>
    <col min="63" max="64" width="5" bestFit="1" customWidth="1"/>
    <col min="65" max="65" width="7.28515625" bestFit="1" customWidth="1"/>
    <col min="66" max="81" width="4.140625" bestFit="1" customWidth="1"/>
    <col min="82" max="82" width="7.28515625" bestFit="1" customWidth="1"/>
    <col min="83" max="84" width="12.7109375" bestFit="1" customWidth="1"/>
    <col min="85" max="85" width="7.28515625" bestFit="1" customWidth="1"/>
    <col min="86" max="86" width="12" bestFit="1" customWidth="1"/>
    <col min="87" max="87" width="9" bestFit="1" customWidth="1"/>
    <col min="88" max="89" width="12.7109375" bestFit="1" customWidth="1"/>
    <col min="90" max="93" width="7.28515625" bestFit="1" customWidth="1"/>
    <col min="94" max="94" width="12.7109375" bestFit="1" customWidth="1"/>
    <col min="95" max="95" width="7.28515625" bestFit="1" customWidth="1"/>
    <col min="96" max="96" width="12.7109375" bestFit="1" customWidth="1"/>
    <col min="97" max="97" width="12" bestFit="1" customWidth="1"/>
    <col min="98" max="98" width="11" bestFit="1" customWidth="1"/>
    <col min="99" max="99" width="7.28515625" bestFit="1" customWidth="1"/>
    <col min="100" max="100" width="10.5703125" bestFit="1" customWidth="1"/>
    <col min="101" max="101" width="12.42578125" bestFit="1" customWidth="1"/>
    <col min="102" max="102" width="10.5703125" bestFit="1" customWidth="1"/>
  </cols>
  <sheetData>
    <row r="1" spans="1:102" x14ac:dyDescent="0.25">
      <c r="A1" s="228" t="s">
        <v>102</v>
      </c>
      <c r="B1" s="229"/>
      <c r="C1" s="42" t="s">
        <v>90</v>
      </c>
      <c r="D1" s="54" t="s">
        <v>89</v>
      </c>
      <c r="E1" s="42"/>
      <c r="F1" s="54" t="s">
        <v>89</v>
      </c>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40"/>
      <c r="CW1" s="40"/>
      <c r="CX1" s="41"/>
    </row>
    <row r="2" spans="1:102" ht="60" customHeight="1" x14ac:dyDescent="0.25">
      <c r="A2" s="230" t="s">
        <v>106</v>
      </c>
      <c r="B2" s="231"/>
      <c r="C2" s="50" t="s">
        <v>91</v>
      </c>
      <c r="D2" s="50" t="s">
        <v>91</v>
      </c>
      <c r="E2" s="50" t="s">
        <v>91</v>
      </c>
      <c r="F2" s="50" t="s">
        <v>91</v>
      </c>
      <c r="G2" s="50" t="s">
        <v>91</v>
      </c>
      <c r="H2" s="50" t="s">
        <v>91</v>
      </c>
      <c r="I2" s="50" t="s">
        <v>91</v>
      </c>
      <c r="J2" s="50" t="s">
        <v>91</v>
      </c>
      <c r="K2" s="50" t="s">
        <v>91</v>
      </c>
      <c r="L2" s="50" t="s">
        <v>91</v>
      </c>
      <c r="M2" s="50" t="s">
        <v>91</v>
      </c>
      <c r="N2" s="50" t="s">
        <v>91</v>
      </c>
      <c r="O2" s="50" t="s">
        <v>91</v>
      </c>
      <c r="P2" s="50" t="s">
        <v>91</v>
      </c>
      <c r="Q2" s="50" t="s">
        <v>91</v>
      </c>
      <c r="R2" s="50" t="s">
        <v>91</v>
      </c>
      <c r="S2" s="50" t="s">
        <v>91</v>
      </c>
      <c r="T2" s="50" t="s">
        <v>91</v>
      </c>
      <c r="U2" s="50" t="s">
        <v>91</v>
      </c>
      <c r="V2" s="50" t="s">
        <v>91</v>
      </c>
      <c r="W2" s="50" t="s">
        <v>91</v>
      </c>
      <c r="X2" s="50" t="s">
        <v>91</v>
      </c>
      <c r="Y2" s="50" t="s">
        <v>91</v>
      </c>
      <c r="Z2" s="50" t="s">
        <v>91</v>
      </c>
      <c r="AA2" s="50" t="s">
        <v>91</v>
      </c>
      <c r="AB2" s="50" t="s">
        <v>91</v>
      </c>
      <c r="AC2" s="50" t="s">
        <v>91</v>
      </c>
      <c r="AD2" s="50" t="s">
        <v>91</v>
      </c>
      <c r="AE2" s="50" t="s">
        <v>91</v>
      </c>
      <c r="AF2" s="50" t="s">
        <v>91</v>
      </c>
      <c r="AG2" s="50" t="s">
        <v>91</v>
      </c>
      <c r="AH2" s="50" t="s">
        <v>91</v>
      </c>
      <c r="AI2" s="50" t="s">
        <v>91</v>
      </c>
      <c r="AJ2" s="50" t="s">
        <v>91</v>
      </c>
      <c r="AK2" s="50" t="s">
        <v>91</v>
      </c>
      <c r="AL2" s="50" t="s">
        <v>91</v>
      </c>
      <c r="AM2" s="50" t="s">
        <v>91</v>
      </c>
      <c r="AN2" s="50" t="s">
        <v>91</v>
      </c>
      <c r="AO2" s="50" t="s">
        <v>91</v>
      </c>
      <c r="AP2" s="50" t="s">
        <v>91</v>
      </c>
      <c r="AQ2" s="50" t="s">
        <v>91</v>
      </c>
      <c r="AR2" s="50" t="s">
        <v>91</v>
      </c>
      <c r="AS2" s="50" t="s">
        <v>91</v>
      </c>
      <c r="AT2" s="50" t="s">
        <v>91</v>
      </c>
      <c r="AU2" s="50" t="s">
        <v>91</v>
      </c>
      <c r="AV2" s="50" t="s">
        <v>91</v>
      </c>
      <c r="AW2" s="50" t="s">
        <v>91</v>
      </c>
      <c r="AX2" s="50" t="s">
        <v>91</v>
      </c>
      <c r="AY2" s="50" t="s">
        <v>91</v>
      </c>
      <c r="AZ2" s="50" t="s">
        <v>91</v>
      </c>
      <c r="BA2" s="50" t="s">
        <v>91</v>
      </c>
      <c r="BB2" s="50" t="s">
        <v>91</v>
      </c>
      <c r="BC2" s="50" t="s">
        <v>91</v>
      </c>
      <c r="BD2" s="50" t="s">
        <v>91</v>
      </c>
      <c r="BE2" s="50" t="s">
        <v>91</v>
      </c>
      <c r="BF2" s="50" t="s">
        <v>91</v>
      </c>
      <c r="BG2" s="50" t="s">
        <v>91</v>
      </c>
      <c r="BH2" s="50" t="s">
        <v>91</v>
      </c>
      <c r="BI2" s="50" t="s">
        <v>91</v>
      </c>
      <c r="BJ2" s="50" t="s">
        <v>91</v>
      </c>
      <c r="BK2" s="50" t="s">
        <v>91</v>
      </c>
      <c r="BL2" s="50" t="s">
        <v>91</v>
      </c>
      <c r="BM2" s="66" t="s">
        <v>152</v>
      </c>
      <c r="BN2" s="67" t="s">
        <v>83</v>
      </c>
      <c r="BO2" s="48" t="s">
        <v>83</v>
      </c>
      <c r="BP2" s="48" t="s">
        <v>83</v>
      </c>
      <c r="BQ2" s="48" t="s">
        <v>83</v>
      </c>
      <c r="BR2" s="48" t="s">
        <v>83</v>
      </c>
      <c r="BS2" s="48" t="s">
        <v>83</v>
      </c>
      <c r="BT2" s="48" t="s">
        <v>83</v>
      </c>
      <c r="BU2" s="48" t="s">
        <v>83</v>
      </c>
      <c r="BV2" s="48" t="s">
        <v>83</v>
      </c>
      <c r="BW2" s="48" t="s">
        <v>83</v>
      </c>
      <c r="BX2" s="48" t="s">
        <v>83</v>
      </c>
      <c r="BY2" s="48" t="s">
        <v>83</v>
      </c>
      <c r="BZ2" s="48" t="s">
        <v>83</v>
      </c>
      <c r="CA2" s="48" t="s">
        <v>83</v>
      </c>
      <c r="CB2" s="48" t="s">
        <v>83</v>
      </c>
      <c r="CC2" s="48" t="s">
        <v>83</v>
      </c>
      <c r="CD2" s="48" t="s">
        <v>92</v>
      </c>
      <c r="CE2" s="26" t="s">
        <v>84</v>
      </c>
      <c r="CF2" s="26" t="s">
        <v>84</v>
      </c>
      <c r="CG2" s="26" t="s">
        <v>84</v>
      </c>
      <c r="CH2" s="26" t="s">
        <v>84</v>
      </c>
      <c r="CI2" s="26" t="s">
        <v>84</v>
      </c>
      <c r="CJ2" s="26" t="s">
        <v>84</v>
      </c>
      <c r="CK2" s="26" t="s">
        <v>84</v>
      </c>
      <c r="CL2" s="26" t="s">
        <v>84</v>
      </c>
      <c r="CM2" s="26" t="s">
        <v>84</v>
      </c>
      <c r="CN2" s="26" t="s">
        <v>84</v>
      </c>
      <c r="CO2" s="26" t="s">
        <v>84</v>
      </c>
      <c r="CP2" s="26" t="s">
        <v>84</v>
      </c>
      <c r="CQ2" s="26" t="s">
        <v>84</v>
      </c>
      <c r="CR2" s="26" t="s">
        <v>84</v>
      </c>
      <c r="CS2" s="26" t="s">
        <v>84</v>
      </c>
      <c r="CT2" s="26" t="s">
        <v>84</v>
      </c>
      <c r="CU2" s="26" t="s">
        <v>93</v>
      </c>
      <c r="CV2" s="27" t="s">
        <v>24</v>
      </c>
      <c r="CW2" s="27" t="s">
        <v>86</v>
      </c>
      <c r="CX2" s="28" t="s">
        <v>88</v>
      </c>
    </row>
    <row r="3" spans="1:102" ht="206.25" x14ac:dyDescent="0.25">
      <c r="A3" s="29" t="s">
        <v>81</v>
      </c>
      <c r="B3" s="30" t="s">
        <v>82</v>
      </c>
      <c r="C3" s="49" t="s">
        <v>60</v>
      </c>
      <c r="D3" s="49" t="s">
        <v>63</v>
      </c>
      <c r="E3" s="49" t="s">
        <v>103</v>
      </c>
      <c r="F3" s="49" t="s">
        <v>107</v>
      </c>
      <c r="G3" s="49" t="s">
        <v>109</v>
      </c>
      <c r="H3" s="49" t="s">
        <v>111</v>
      </c>
      <c r="I3" s="49" t="s">
        <v>113</v>
      </c>
      <c r="J3" s="49" t="s">
        <v>115</v>
      </c>
      <c r="K3" s="49" t="s">
        <v>117</v>
      </c>
      <c r="L3" s="49" t="s">
        <v>119</v>
      </c>
      <c r="M3" s="49" t="s">
        <v>120</v>
      </c>
      <c r="N3" s="49" t="s">
        <v>122</v>
      </c>
      <c r="O3" s="49" t="s">
        <v>123</v>
      </c>
      <c r="P3" s="49" t="s">
        <v>124</v>
      </c>
      <c r="Q3" s="49" t="s">
        <v>126</v>
      </c>
      <c r="R3" s="49" t="s">
        <v>128</v>
      </c>
      <c r="S3" s="49" t="s">
        <v>2040</v>
      </c>
      <c r="T3" s="49" t="s">
        <v>130</v>
      </c>
      <c r="U3" s="49" t="s">
        <v>121</v>
      </c>
      <c r="V3" s="49" t="s">
        <v>118</v>
      </c>
      <c r="W3" s="49" t="s">
        <v>131</v>
      </c>
      <c r="X3" s="49" t="s">
        <v>132</v>
      </c>
      <c r="Y3" s="49" t="s">
        <v>148</v>
      </c>
      <c r="Z3" s="49" t="s">
        <v>147</v>
      </c>
      <c r="AA3" s="49" t="s">
        <v>133</v>
      </c>
      <c r="AB3" s="49" t="s">
        <v>125</v>
      </c>
      <c r="AC3" s="49" t="s">
        <v>134</v>
      </c>
      <c r="AD3" s="49" t="s">
        <v>127</v>
      </c>
      <c r="AE3" s="49" t="s">
        <v>135</v>
      </c>
      <c r="AF3" s="49" t="s">
        <v>136</v>
      </c>
      <c r="AG3" s="49" t="s">
        <v>149</v>
      </c>
      <c r="AH3" s="49" t="s">
        <v>137</v>
      </c>
      <c r="AI3" s="49" t="s">
        <v>138</v>
      </c>
      <c r="AJ3" s="49" t="s">
        <v>1297</v>
      </c>
      <c r="AK3" s="49" t="s">
        <v>140</v>
      </c>
      <c r="AL3" s="49" t="s">
        <v>141</v>
      </c>
      <c r="AM3" s="49" t="s">
        <v>142</v>
      </c>
      <c r="AN3" s="49" t="s">
        <v>143</v>
      </c>
      <c r="AO3" s="49" t="s">
        <v>144</v>
      </c>
      <c r="AP3" s="49" t="s">
        <v>75</v>
      </c>
      <c r="AQ3" s="49" t="s">
        <v>145</v>
      </c>
      <c r="AR3" s="49" t="s">
        <v>146</v>
      </c>
      <c r="AS3" s="49" t="s">
        <v>151</v>
      </c>
      <c r="AT3" s="49" t="s">
        <v>150</v>
      </c>
      <c r="AU3" s="49" t="s">
        <v>1286</v>
      </c>
      <c r="AV3" s="49" t="s">
        <v>1287</v>
      </c>
      <c r="AW3" s="49" t="s">
        <v>1288</v>
      </c>
      <c r="AX3" s="49" t="s">
        <v>1289</v>
      </c>
      <c r="AY3" s="49" t="s">
        <v>1276</v>
      </c>
      <c r="AZ3" s="49" t="s">
        <v>1277</v>
      </c>
      <c r="BA3" s="49" t="s">
        <v>1278</v>
      </c>
      <c r="BB3" s="49" t="s">
        <v>1279</v>
      </c>
      <c r="BC3" s="49" t="s">
        <v>1300</v>
      </c>
      <c r="BD3" s="49" t="s">
        <v>1299</v>
      </c>
      <c r="BE3" s="49" t="s">
        <v>1496</v>
      </c>
      <c r="BF3" s="49" t="s">
        <v>1497</v>
      </c>
      <c r="BG3" s="49" t="s">
        <v>1498</v>
      </c>
      <c r="BH3" s="49" t="s">
        <v>1499</v>
      </c>
      <c r="BI3" s="49" t="s">
        <v>1500</v>
      </c>
      <c r="BJ3" s="49" t="s">
        <v>2039</v>
      </c>
      <c r="BK3" s="49" t="s">
        <v>2041</v>
      </c>
      <c r="BL3" s="49" t="s">
        <v>2044</v>
      </c>
      <c r="BM3" s="49" t="s">
        <v>105</v>
      </c>
      <c r="BN3" s="31" t="s">
        <v>60</v>
      </c>
      <c r="BO3" s="31" t="s">
        <v>63</v>
      </c>
      <c r="BP3" s="31" t="s">
        <v>121</v>
      </c>
      <c r="BQ3" s="31" t="s">
        <v>118</v>
      </c>
      <c r="BR3" s="31" t="s">
        <v>104</v>
      </c>
      <c r="BS3" s="31" t="s">
        <v>108</v>
      </c>
      <c r="BT3" s="31" t="s">
        <v>110</v>
      </c>
      <c r="BU3" s="31" t="s">
        <v>112</v>
      </c>
      <c r="BV3" s="31" t="s">
        <v>114</v>
      </c>
      <c r="BW3" s="31" t="s">
        <v>116</v>
      </c>
      <c r="BX3" s="31" t="s">
        <v>1286</v>
      </c>
      <c r="BY3" s="31" t="s">
        <v>1287</v>
      </c>
      <c r="BZ3" s="31" t="s">
        <v>1276</v>
      </c>
      <c r="CA3" s="31" t="s">
        <v>1277</v>
      </c>
      <c r="CB3" s="31" t="s">
        <v>125</v>
      </c>
      <c r="CC3" s="31" t="s">
        <v>127</v>
      </c>
      <c r="CD3" s="31" t="s">
        <v>105</v>
      </c>
      <c r="CE3" s="32" t="s">
        <v>60</v>
      </c>
      <c r="CF3" s="32" t="s">
        <v>63</v>
      </c>
      <c r="CG3" s="32" t="s">
        <v>121</v>
      </c>
      <c r="CH3" s="32" t="s">
        <v>118</v>
      </c>
      <c r="CI3" s="32" t="s">
        <v>104</v>
      </c>
      <c r="CJ3" s="32" t="s">
        <v>108</v>
      </c>
      <c r="CK3" s="32" t="s">
        <v>110</v>
      </c>
      <c r="CL3" s="32" t="s">
        <v>112</v>
      </c>
      <c r="CM3" s="32" t="s">
        <v>114</v>
      </c>
      <c r="CN3" s="32" t="s">
        <v>116</v>
      </c>
      <c r="CO3" s="32" t="s">
        <v>1286</v>
      </c>
      <c r="CP3" s="32" t="s">
        <v>1287</v>
      </c>
      <c r="CQ3" s="32" t="s">
        <v>1276</v>
      </c>
      <c r="CR3" s="32" t="s">
        <v>1277</v>
      </c>
      <c r="CS3" s="32" t="s">
        <v>125</v>
      </c>
      <c r="CT3" s="32" t="s">
        <v>127</v>
      </c>
      <c r="CU3" s="32" t="s">
        <v>105</v>
      </c>
      <c r="CV3" s="27" t="s">
        <v>85</v>
      </c>
      <c r="CW3" s="27" t="s">
        <v>87</v>
      </c>
      <c r="CX3" s="28"/>
    </row>
    <row r="4" spans="1:102" ht="15" customHeight="1" x14ac:dyDescent="0.25">
      <c r="A4" s="33">
        <v>1</v>
      </c>
      <c r="B4" s="69" t="s">
        <v>1874</v>
      </c>
      <c r="C4" s="69">
        <v>0</v>
      </c>
      <c r="D4" s="69">
        <v>0</v>
      </c>
      <c r="E4" s="69" t="s">
        <v>181</v>
      </c>
      <c r="F4" s="69" t="s">
        <v>181</v>
      </c>
      <c r="G4" s="69" t="s">
        <v>98</v>
      </c>
      <c r="H4" s="71" t="s">
        <v>182</v>
      </c>
      <c r="I4" s="69" t="s">
        <v>98</v>
      </c>
      <c r="J4" s="71" t="s">
        <v>182</v>
      </c>
      <c r="K4" s="71" t="s">
        <v>2031</v>
      </c>
      <c r="L4" s="69" t="s">
        <v>97</v>
      </c>
      <c r="M4" s="69" t="s">
        <v>97</v>
      </c>
      <c r="N4" s="69" t="s">
        <v>183</v>
      </c>
      <c r="O4" s="69" t="s">
        <v>183</v>
      </c>
      <c r="P4" s="69" t="s">
        <v>183</v>
      </c>
      <c r="Q4" s="69" t="s">
        <v>183</v>
      </c>
      <c r="R4" s="69" t="s">
        <v>181</v>
      </c>
      <c r="S4" s="69"/>
      <c r="T4" s="69">
        <v>-220</v>
      </c>
      <c r="U4" s="71">
        <v>-31</v>
      </c>
      <c r="V4" s="71" t="s">
        <v>184</v>
      </c>
      <c r="W4" s="69">
        <v>0</v>
      </c>
      <c r="X4" s="69">
        <v>0</v>
      </c>
      <c r="Y4" s="69">
        <v>0</v>
      </c>
      <c r="Z4" s="69">
        <v>0</v>
      </c>
      <c r="AA4" s="69">
        <v>10</v>
      </c>
      <c r="AB4" s="69">
        <v>0</v>
      </c>
      <c r="AC4" s="69">
        <v>10</v>
      </c>
      <c r="AD4" s="69">
        <v>0</v>
      </c>
      <c r="AE4" s="69">
        <v>0.95</v>
      </c>
      <c r="AF4" s="69">
        <v>0</v>
      </c>
      <c r="AG4" s="69">
        <v>-25</v>
      </c>
      <c r="AH4" s="69">
        <v>-220</v>
      </c>
      <c r="AI4" s="69">
        <v>-220</v>
      </c>
      <c r="AJ4" s="69" t="s">
        <v>1405</v>
      </c>
      <c r="AK4" s="69">
        <v>0</v>
      </c>
      <c r="AL4" s="69">
        <v>0</v>
      </c>
      <c r="AM4" s="69">
        <v>0</v>
      </c>
      <c r="AN4" s="69">
        <v>0</v>
      </c>
      <c r="AO4" s="69">
        <v>0</v>
      </c>
      <c r="AP4" s="69">
        <v>0</v>
      </c>
      <c r="AQ4" s="69" t="s">
        <v>98</v>
      </c>
      <c r="AR4" s="69" t="s">
        <v>98</v>
      </c>
      <c r="AS4" s="71">
        <v>0</v>
      </c>
      <c r="AT4" s="69">
        <v>-25</v>
      </c>
      <c r="AU4" s="149">
        <v>-1350</v>
      </c>
      <c r="AV4" s="149">
        <v>-1350</v>
      </c>
      <c r="AW4" s="149">
        <v>-0.99681690099999998</v>
      </c>
      <c r="AX4" s="149">
        <v>1.96346E-5</v>
      </c>
      <c r="AY4" s="149">
        <v>-1350</v>
      </c>
      <c r="AZ4" s="149">
        <v>-1350</v>
      </c>
      <c r="BA4" s="149">
        <v>-0.99681690099999998</v>
      </c>
      <c r="BB4" s="149">
        <v>1.96346E-5</v>
      </c>
      <c r="BC4" s="69">
        <v>0</v>
      </c>
      <c r="BD4" s="69">
        <v>0</v>
      </c>
      <c r="BE4" s="71">
        <v>0</v>
      </c>
      <c r="BF4" s="71">
        <v>-31</v>
      </c>
      <c r="BG4" s="71">
        <v>0</v>
      </c>
      <c r="BH4" s="71">
        <v>-31</v>
      </c>
      <c r="BI4" s="71">
        <v>0</v>
      </c>
      <c r="BJ4" s="71">
        <v>0</v>
      </c>
      <c r="BK4" s="71">
        <v>0.1</v>
      </c>
      <c r="BL4" s="71">
        <v>10</v>
      </c>
      <c r="BM4" s="69">
        <v>2</v>
      </c>
      <c r="BN4" s="124" t="s">
        <v>89</v>
      </c>
      <c r="BO4" s="124" t="s">
        <v>89</v>
      </c>
      <c r="BP4" s="124" t="s">
        <v>89</v>
      </c>
      <c r="BQ4" s="124" t="s">
        <v>89</v>
      </c>
      <c r="BR4" s="124" t="s">
        <v>89</v>
      </c>
      <c r="BS4" s="124" t="s">
        <v>89</v>
      </c>
      <c r="BT4" s="124" t="s">
        <v>89</v>
      </c>
      <c r="BU4" s="124" t="s">
        <v>89</v>
      </c>
      <c r="BV4" s="124" t="s">
        <v>89</v>
      </c>
      <c r="BW4" s="124" t="s">
        <v>89</v>
      </c>
      <c r="BX4" s="124" t="s">
        <v>89</v>
      </c>
      <c r="BY4" s="124" t="s">
        <v>89</v>
      </c>
      <c r="BZ4" s="124" t="s">
        <v>89</v>
      </c>
      <c r="CA4" s="124" t="s">
        <v>89</v>
      </c>
      <c r="CB4" s="124" t="s">
        <v>89</v>
      </c>
      <c r="CC4" s="124" t="s">
        <v>89</v>
      </c>
      <c r="CD4" s="124" t="s">
        <v>89</v>
      </c>
      <c r="CE4" s="69">
        <v>2.5197045730243701</v>
      </c>
      <c r="CF4" s="69">
        <v>2.5197045730243701</v>
      </c>
      <c r="CG4" s="69">
        <v>0</v>
      </c>
      <c r="CH4" s="69">
        <v>0</v>
      </c>
      <c r="CI4" s="69">
        <v>0</v>
      </c>
      <c r="CJ4" s="69">
        <v>-3.3568292572727998</v>
      </c>
      <c r="CK4" s="69">
        <v>-3.3606840579735202</v>
      </c>
      <c r="CL4" s="69">
        <v>62259</v>
      </c>
      <c r="CM4" s="69">
        <v>10804</v>
      </c>
      <c r="CN4" s="69">
        <v>0</v>
      </c>
      <c r="CO4" s="69">
        <v>-1350</v>
      </c>
      <c r="CP4" s="69">
        <v>-1350</v>
      </c>
      <c r="CQ4" s="69">
        <v>-1350</v>
      </c>
      <c r="CR4" s="69">
        <v>-1350</v>
      </c>
      <c r="CS4" s="69">
        <v>1.25E-3</v>
      </c>
      <c r="CT4" s="69">
        <v>1.25E-3</v>
      </c>
      <c r="CU4" s="69">
        <v>1</v>
      </c>
      <c r="CV4" s="46" t="s">
        <v>89</v>
      </c>
      <c r="CW4" s="34"/>
      <c r="CX4" s="35"/>
    </row>
    <row r="5" spans="1:102" ht="15" customHeight="1" x14ac:dyDescent="0.25">
      <c r="A5" s="33">
        <v>2</v>
      </c>
      <c r="B5" s="69" t="s">
        <v>1875</v>
      </c>
      <c r="C5" s="69">
        <v>1</v>
      </c>
      <c r="D5" s="69">
        <v>1</v>
      </c>
      <c r="E5" s="69" t="s">
        <v>99</v>
      </c>
      <c r="F5" s="69" t="s">
        <v>99</v>
      </c>
      <c r="G5" s="69" t="s">
        <v>185</v>
      </c>
      <c r="H5" s="69" t="s">
        <v>186</v>
      </c>
      <c r="I5" s="69" t="s">
        <v>185</v>
      </c>
      <c r="J5" s="69" t="s">
        <v>186</v>
      </c>
      <c r="K5" s="71" t="s">
        <v>1920</v>
      </c>
      <c r="L5" s="69" t="s">
        <v>96</v>
      </c>
      <c r="M5" s="69" t="s">
        <v>96</v>
      </c>
      <c r="N5" s="69" t="s">
        <v>187</v>
      </c>
      <c r="O5" s="69" t="s">
        <v>187</v>
      </c>
      <c r="P5" s="69" t="s">
        <v>187</v>
      </c>
      <c r="Q5" s="69" t="s">
        <v>187</v>
      </c>
      <c r="R5" s="69" t="s">
        <v>99</v>
      </c>
      <c r="S5" s="69"/>
      <c r="T5" s="69">
        <v>220</v>
      </c>
      <c r="U5" s="69">
        <v>31</v>
      </c>
      <c r="V5" s="69">
        <v>31</v>
      </c>
      <c r="W5" s="69">
        <v>1</v>
      </c>
      <c r="X5" s="69">
        <v>1</v>
      </c>
      <c r="Y5" s="69">
        <v>0.2</v>
      </c>
      <c r="Z5" s="69">
        <v>0.2</v>
      </c>
      <c r="AA5" s="69">
        <v>8000</v>
      </c>
      <c r="AB5" s="69">
        <v>1</v>
      </c>
      <c r="AC5" s="69">
        <v>8000</v>
      </c>
      <c r="AD5" s="69">
        <v>1</v>
      </c>
      <c r="AE5" s="69">
        <v>1</v>
      </c>
      <c r="AF5" s="69">
        <v>1</v>
      </c>
      <c r="AG5" s="69">
        <v>25</v>
      </c>
      <c r="AH5" s="69">
        <v>220</v>
      </c>
      <c r="AI5" s="69">
        <v>220</v>
      </c>
      <c r="AJ5" s="69" t="s">
        <v>190</v>
      </c>
      <c r="AK5" s="69">
        <v>1</v>
      </c>
      <c r="AL5" s="69">
        <v>4</v>
      </c>
      <c r="AM5" s="69">
        <v>1</v>
      </c>
      <c r="AN5" s="69">
        <v>1</v>
      </c>
      <c r="AO5" s="69">
        <v>1</v>
      </c>
      <c r="AP5" s="69">
        <v>1</v>
      </c>
      <c r="AQ5" s="69" t="s">
        <v>188</v>
      </c>
      <c r="AR5" s="69" t="s">
        <v>189</v>
      </c>
      <c r="AS5" s="69">
        <v>5000</v>
      </c>
      <c r="AT5" s="69">
        <v>25</v>
      </c>
      <c r="AU5" s="149">
        <v>1350</v>
      </c>
      <c r="AV5" s="149">
        <v>1350</v>
      </c>
      <c r="AW5" s="149">
        <v>50928.581789999997</v>
      </c>
      <c r="AX5" s="149">
        <v>0.99682700099999999</v>
      </c>
      <c r="AY5" s="149">
        <v>1350</v>
      </c>
      <c r="AZ5" s="149">
        <v>1350</v>
      </c>
      <c r="BA5" s="149">
        <v>50928.581789999997</v>
      </c>
      <c r="BB5" s="149">
        <v>0.99682700099999999</v>
      </c>
      <c r="BC5" s="69">
        <v>1</v>
      </c>
      <c r="BD5" s="69">
        <v>1</v>
      </c>
      <c r="BE5" s="69">
        <v>1</v>
      </c>
      <c r="BF5" s="69">
        <v>0</v>
      </c>
      <c r="BG5" s="69">
        <v>31</v>
      </c>
      <c r="BH5" s="69">
        <v>0</v>
      </c>
      <c r="BI5" s="69">
        <v>31</v>
      </c>
      <c r="BJ5" s="69">
        <v>1</v>
      </c>
      <c r="BK5" s="69">
        <v>0.02</v>
      </c>
      <c r="BL5" s="69">
        <v>8000</v>
      </c>
      <c r="BM5" s="69">
        <v>2</v>
      </c>
      <c r="BN5" s="124" t="s">
        <v>89</v>
      </c>
      <c r="BO5" s="124" t="s">
        <v>89</v>
      </c>
      <c r="BP5" s="124" t="s">
        <v>89</v>
      </c>
      <c r="BQ5" s="124" t="s">
        <v>89</v>
      </c>
      <c r="BR5" s="124" t="s">
        <v>89</v>
      </c>
      <c r="BS5" s="124" t="s">
        <v>89</v>
      </c>
      <c r="BT5" s="124" t="s">
        <v>89</v>
      </c>
      <c r="BU5" s="124" t="s">
        <v>89</v>
      </c>
      <c r="BV5" s="124" t="s">
        <v>89</v>
      </c>
      <c r="BW5" s="124" t="s">
        <v>89</v>
      </c>
      <c r="BX5" s="124" t="s">
        <v>89</v>
      </c>
      <c r="BY5" s="124" t="s">
        <v>89</v>
      </c>
      <c r="BZ5" s="124" t="s">
        <v>89</v>
      </c>
      <c r="CA5" s="124" t="s">
        <v>89</v>
      </c>
      <c r="CB5" s="124" t="s">
        <v>89</v>
      </c>
      <c r="CC5" s="124" t="s">
        <v>89</v>
      </c>
      <c r="CD5" s="124" t="s">
        <v>89</v>
      </c>
      <c r="CE5" s="69">
        <v>-4.47056274847714</v>
      </c>
      <c r="CF5" s="69">
        <v>1</v>
      </c>
      <c r="CG5" s="69">
        <v>0</v>
      </c>
      <c r="CH5" s="69">
        <v>0</v>
      </c>
      <c r="CI5" s="69">
        <v>0</v>
      </c>
      <c r="CJ5" s="69">
        <v>21.920310216783001</v>
      </c>
      <c r="CK5" s="69">
        <v>21.920310216783001</v>
      </c>
      <c r="CL5" s="69">
        <v>0</v>
      </c>
      <c r="CM5" s="69">
        <v>40943</v>
      </c>
      <c r="CN5" s="69">
        <v>5000</v>
      </c>
      <c r="CO5" s="69">
        <v>1350</v>
      </c>
      <c r="CP5" s="69">
        <v>1350</v>
      </c>
      <c r="CQ5" s="69">
        <v>31</v>
      </c>
      <c r="CR5" s="69">
        <v>68536806.976815403</v>
      </c>
      <c r="CS5" s="69">
        <v>0</v>
      </c>
      <c r="CT5" s="69">
        <v>0</v>
      </c>
      <c r="CU5" s="69">
        <v>1</v>
      </c>
      <c r="CV5" s="46" t="s">
        <v>89</v>
      </c>
      <c r="CW5" s="34"/>
      <c r="CX5" s="35"/>
    </row>
    <row r="6" spans="1:102" ht="15" customHeight="1" x14ac:dyDescent="0.25">
      <c r="A6" s="33">
        <v>3</v>
      </c>
      <c r="B6" s="69" t="s">
        <v>1873</v>
      </c>
      <c r="C6" s="69">
        <v>0.88090000000000002</v>
      </c>
      <c r="D6" s="69">
        <v>0.97899999999999998</v>
      </c>
      <c r="E6" s="69" t="s">
        <v>99</v>
      </c>
      <c r="F6" s="69" t="s">
        <v>153</v>
      </c>
      <c r="G6" s="69" t="s">
        <v>154</v>
      </c>
      <c r="H6" s="69" t="s">
        <v>155</v>
      </c>
      <c r="I6" s="69" t="s">
        <v>156</v>
      </c>
      <c r="J6" s="69" t="s">
        <v>157</v>
      </c>
      <c r="K6" s="71" t="s">
        <v>2032</v>
      </c>
      <c r="L6" s="69" t="s">
        <v>158</v>
      </c>
      <c r="M6" s="69" t="s">
        <v>159</v>
      </c>
      <c r="N6" s="69" t="s">
        <v>160</v>
      </c>
      <c r="O6" s="69" t="s">
        <v>161</v>
      </c>
      <c r="P6" s="69" t="s">
        <v>162</v>
      </c>
      <c r="Q6" s="69" t="s">
        <v>163</v>
      </c>
      <c r="R6" s="69" t="s">
        <v>164</v>
      </c>
      <c r="S6" s="69"/>
      <c r="T6" s="69">
        <v>-55.539000000000001</v>
      </c>
      <c r="U6" s="69">
        <v>8.0890000000000004</v>
      </c>
      <c r="V6" s="69">
        <v>-23.062000000000001</v>
      </c>
      <c r="W6" s="69">
        <v>0</v>
      </c>
      <c r="X6" s="69">
        <v>1</v>
      </c>
      <c r="Y6" s="69">
        <v>0.14199999999999999</v>
      </c>
      <c r="Z6" s="69">
        <v>0.19500000000000001</v>
      </c>
      <c r="AA6" s="69">
        <v>10</v>
      </c>
      <c r="AB6" s="69">
        <v>1</v>
      </c>
      <c r="AC6" s="69">
        <v>7088.3519999999999</v>
      </c>
      <c r="AD6" s="69">
        <v>0.63800000000000001</v>
      </c>
      <c r="AE6" s="69">
        <v>0.95599999999999996</v>
      </c>
      <c r="AF6" s="69">
        <v>0</v>
      </c>
      <c r="AG6" s="69">
        <v>-19.456</v>
      </c>
      <c r="AH6" s="69">
        <v>-145.16900000000001</v>
      </c>
      <c r="AI6" s="69">
        <v>83.948999999999998</v>
      </c>
      <c r="AJ6" s="69" t="s">
        <v>1412</v>
      </c>
      <c r="AK6" s="69">
        <v>0</v>
      </c>
      <c r="AL6" s="69">
        <v>2</v>
      </c>
      <c r="AM6" s="69">
        <v>1</v>
      </c>
      <c r="AN6" s="69">
        <v>1</v>
      </c>
      <c r="AO6" s="69">
        <v>1</v>
      </c>
      <c r="AP6" s="69">
        <v>1</v>
      </c>
      <c r="AQ6" s="72" t="s">
        <v>1752</v>
      </c>
      <c r="AR6" s="69" t="s">
        <v>166</v>
      </c>
      <c r="AS6" s="69">
        <v>335</v>
      </c>
      <c r="AT6" s="69">
        <v>-18.62</v>
      </c>
      <c r="AU6" s="69">
        <v>-657.1</v>
      </c>
      <c r="AV6" s="69">
        <v>-194.19</v>
      </c>
      <c r="AW6" s="69">
        <v>47050.16</v>
      </c>
      <c r="AX6" s="69">
        <v>2.29E-2</v>
      </c>
      <c r="AY6" s="69">
        <v>-657.1</v>
      </c>
      <c r="AZ6" s="69">
        <v>-194.19</v>
      </c>
      <c r="BA6" s="69">
        <v>47050.16</v>
      </c>
      <c r="BB6" s="69">
        <v>2.29E-2</v>
      </c>
      <c r="BC6" s="69">
        <v>0</v>
      </c>
      <c r="BD6" s="69">
        <v>0</v>
      </c>
      <c r="BE6" s="69">
        <v>0</v>
      </c>
      <c r="BF6" s="71">
        <v>-0.7</v>
      </c>
      <c r="BG6" s="69">
        <v>19.445</v>
      </c>
      <c r="BH6" s="71">
        <v>-0.7</v>
      </c>
      <c r="BI6" s="71">
        <v>17.912400000000002</v>
      </c>
      <c r="BJ6" s="71">
        <v>0</v>
      </c>
      <c r="BK6" s="71">
        <v>0.03</v>
      </c>
      <c r="BL6" s="71">
        <v>11.2</v>
      </c>
      <c r="BM6" s="69">
        <v>2</v>
      </c>
      <c r="BN6" s="124" t="s">
        <v>89</v>
      </c>
      <c r="BO6" s="124" t="s">
        <v>89</v>
      </c>
      <c r="BP6" s="124" t="s">
        <v>89</v>
      </c>
      <c r="BQ6" s="124" t="s">
        <v>89</v>
      </c>
      <c r="BR6" s="124" t="s">
        <v>89</v>
      </c>
      <c r="BS6" s="124" t="s">
        <v>89</v>
      </c>
      <c r="BT6" s="124" t="s">
        <v>89</v>
      </c>
      <c r="BU6" s="124" t="s">
        <v>89</v>
      </c>
      <c r="BV6" s="124" t="s">
        <v>89</v>
      </c>
      <c r="BW6" s="124" t="s">
        <v>89</v>
      </c>
      <c r="BX6" s="124" t="s">
        <v>89</v>
      </c>
      <c r="BY6" s="124" t="s">
        <v>89</v>
      </c>
      <c r="BZ6" s="124" t="s">
        <v>89</v>
      </c>
      <c r="CA6" s="124" t="s">
        <v>89</v>
      </c>
      <c r="CB6" s="124" t="s">
        <v>89</v>
      </c>
      <c r="CC6" s="124" t="s">
        <v>89</v>
      </c>
      <c r="CD6" s="124" t="s">
        <v>89</v>
      </c>
      <c r="CE6" s="69">
        <v>1</v>
      </c>
      <c r="CF6" s="69">
        <v>1</v>
      </c>
      <c r="CG6" s="69">
        <v>19.445</v>
      </c>
      <c r="CH6" s="69">
        <v>-0.7</v>
      </c>
      <c r="CI6" s="69">
        <v>220</v>
      </c>
      <c r="CJ6" s="69">
        <v>0.22</v>
      </c>
      <c r="CK6" s="69">
        <v>-19.183</v>
      </c>
      <c r="CL6" s="69">
        <v>50872</v>
      </c>
      <c r="CM6" s="69">
        <v>64150</v>
      </c>
      <c r="CN6" s="69">
        <v>315</v>
      </c>
      <c r="CO6" s="69">
        <v>-657.1</v>
      </c>
      <c r="CP6" s="69">
        <v>-194.19</v>
      </c>
      <c r="CQ6" s="69">
        <v>-657.1</v>
      </c>
      <c r="CR6" s="69">
        <v>-194.19</v>
      </c>
      <c r="CS6" s="69">
        <v>0.99875000000000003</v>
      </c>
      <c r="CT6" s="69">
        <v>0</v>
      </c>
      <c r="CU6" s="69">
        <v>1</v>
      </c>
      <c r="CV6" s="46" t="s">
        <v>89</v>
      </c>
      <c r="CW6" s="34"/>
      <c r="CX6" s="35"/>
    </row>
    <row r="7" spans="1:102" ht="15" customHeight="1" x14ac:dyDescent="0.25">
      <c r="A7" s="33">
        <v>4</v>
      </c>
      <c r="B7" s="69" t="s">
        <v>1871</v>
      </c>
      <c r="C7" s="69">
        <v>0.19470000000000001</v>
      </c>
      <c r="D7" s="69">
        <v>0.86</v>
      </c>
      <c r="E7" s="69" t="s">
        <v>165</v>
      </c>
      <c r="F7" s="69" t="s">
        <v>99</v>
      </c>
      <c r="G7" s="69" t="s">
        <v>257</v>
      </c>
      <c r="H7" s="69" t="s">
        <v>258</v>
      </c>
      <c r="I7" s="69" t="s">
        <v>259</v>
      </c>
      <c r="J7" s="69" t="s">
        <v>260</v>
      </c>
      <c r="K7" s="71" t="s">
        <v>2033</v>
      </c>
      <c r="L7" s="69" t="s">
        <v>261</v>
      </c>
      <c r="M7" s="69" t="s">
        <v>262</v>
      </c>
      <c r="N7" s="69" t="s">
        <v>263</v>
      </c>
      <c r="O7" s="69" t="s">
        <v>264</v>
      </c>
      <c r="P7" s="69" t="s">
        <v>265</v>
      </c>
      <c r="Q7" s="69" t="s">
        <v>266</v>
      </c>
      <c r="R7" s="69" t="s">
        <v>267</v>
      </c>
      <c r="S7" s="69"/>
      <c r="T7" s="69">
        <v>177.76300000000001</v>
      </c>
      <c r="U7" s="69">
        <v>12.4979</v>
      </c>
      <c r="V7" s="69">
        <v>14.706</v>
      </c>
      <c r="W7" s="69">
        <v>1</v>
      </c>
      <c r="X7" s="69">
        <v>1</v>
      </c>
      <c r="Y7" s="69">
        <v>6.2E-2</v>
      </c>
      <c r="Z7" s="69">
        <v>0.17599999999999999</v>
      </c>
      <c r="AA7" s="69">
        <v>5764.1080000000002</v>
      </c>
      <c r="AB7" s="69">
        <v>0.42699999999999999</v>
      </c>
      <c r="AC7" s="69">
        <v>3350.9740000000002</v>
      </c>
      <c r="AD7" s="69">
        <v>0.47</v>
      </c>
      <c r="AE7" s="69">
        <v>0.95899999999999996</v>
      </c>
      <c r="AF7" s="69">
        <v>1</v>
      </c>
      <c r="AG7" s="69">
        <v>21.795000000000002</v>
      </c>
      <c r="AH7" s="69">
        <v>54.112000000000002</v>
      </c>
      <c r="AI7" s="69">
        <v>75.082999999999998</v>
      </c>
      <c r="AJ7" s="69" t="s">
        <v>1416</v>
      </c>
      <c r="AK7" s="69">
        <v>1</v>
      </c>
      <c r="AL7" s="69">
        <v>4</v>
      </c>
      <c r="AM7" s="69">
        <v>0</v>
      </c>
      <c r="AN7" s="69">
        <v>0</v>
      </c>
      <c r="AO7" s="69">
        <v>0</v>
      </c>
      <c r="AP7" s="69">
        <v>0</v>
      </c>
      <c r="AQ7" s="69" t="s">
        <v>269</v>
      </c>
      <c r="AR7" s="69" t="s">
        <v>270</v>
      </c>
      <c r="AS7" s="69">
        <v>3800</v>
      </c>
      <c r="AT7" s="69">
        <v>21.138000000000002</v>
      </c>
      <c r="AU7" s="69">
        <v>1118</v>
      </c>
      <c r="AV7" s="69">
        <v>-340.13</v>
      </c>
      <c r="AW7" s="69">
        <v>31081.1502</v>
      </c>
      <c r="AX7" s="69">
        <v>0.79769999999999996</v>
      </c>
      <c r="AY7" s="69">
        <v>1118</v>
      </c>
      <c r="AZ7" s="69">
        <v>-340.13</v>
      </c>
      <c r="BA7" s="69">
        <v>31081.1502</v>
      </c>
      <c r="BB7" s="69">
        <v>0.79769999999999996</v>
      </c>
      <c r="BC7" s="69">
        <v>1</v>
      </c>
      <c r="BD7" s="69">
        <v>1</v>
      </c>
      <c r="BE7" s="69">
        <v>0</v>
      </c>
      <c r="BF7" s="69">
        <v>-4.5</v>
      </c>
      <c r="BG7" s="69">
        <v>12.2736</v>
      </c>
      <c r="BH7" s="69">
        <v>-4.5</v>
      </c>
      <c r="BI7" s="69">
        <v>12.297800000000001</v>
      </c>
      <c r="BJ7" s="69">
        <v>1</v>
      </c>
      <c r="BK7" s="69">
        <v>0.04</v>
      </c>
      <c r="BL7" s="69">
        <v>1200</v>
      </c>
      <c r="BM7" s="69">
        <v>2</v>
      </c>
      <c r="BN7" s="124" t="s">
        <v>89</v>
      </c>
      <c r="BO7" s="124" t="s">
        <v>89</v>
      </c>
      <c r="BP7" s="124" t="s">
        <v>89</v>
      </c>
      <c r="BQ7" s="124" t="s">
        <v>89</v>
      </c>
      <c r="BR7" s="124" t="s">
        <v>89</v>
      </c>
      <c r="BS7" s="124" t="s">
        <v>89</v>
      </c>
      <c r="BT7" s="124" t="s">
        <v>89</v>
      </c>
      <c r="BU7" s="124" t="s">
        <v>89</v>
      </c>
      <c r="BV7" s="124" t="s">
        <v>89</v>
      </c>
      <c r="BW7" s="124" t="s">
        <v>89</v>
      </c>
      <c r="BX7" s="124" t="s">
        <v>89</v>
      </c>
      <c r="BY7" s="124" t="s">
        <v>89</v>
      </c>
      <c r="BZ7" s="124" t="s">
        <v>89</v>
      </c>
      <c r="CA7" s="124" t="s">
        <v>89</v>
      </c>
      <c r="CB7" s="124" t="s">
        <v>89</v>
      </c>
      <c r="CC7" s="124" t="s">
        <v>89</v>
      </c>
      <c r="CD7" s="124" t="s">
        <v>89</v>
      </c>
      <c r="CE7" s="69">
        <v>-3.1814545932410301</v>
      </c>
      <c r="CF7" s="69">
        <v>1</v>
      </c>
      <c r="CG7" s="69">
        <v>0</v>
      </c>
      <c r="CH7" s="69">
        <v>0</v>
      </c>
      <c r="CI7" s="69">
        <v>-17.719000000000001</v>
      </c>
      <c r="CJ7" s="69">
        <v>-2.1686979559122102</v>
      </c>
      <c r="CK7" s="69">
        <v>-4.2765376387940499</v>
      </c>
      <c r="CL7" s="69">
        <v>0</v>
      </c>
      <c r="CM7" s="69">
        <v>40563</v>
      </c>
      <c r="CN7" s="69">
        <v>3800</v>
      </c>
      <c r="CO7" s="69">
        <v>1118</v>
      </c>
      <c r="CP7" s="69">
        <v>-340.13</v>
      </c>
      <c r="CQ7" s="69">
        <v>16.808</v>
      </c>
      <c r="CR7" s="69">
        <v>-8432085.3049588893</v>
      </c>
      <c r="CS7" s="69">
        <v>1</v>
      </c>
      <c r="CT7" s="69">
        <v>0.88887174999999996</v>
      </c>
      <c r="CU7" s="69">
        <v>1</v>
      </c>
      <c r="CV7" s="46" t="s">
        <v>89</v>
      </c>
      <c r="CW7" s="34"/>
      <c r="CX7" s="35"/>
    </row>
    <row r="8" spans="1:102" ht="15" customHeight="1" x14ac:dyDescent="0.25">
      <c r="A8" s="33">
        <v>5</v>
      </c>
      <c r="B8" s="69" t="s">
        <v>1872</v>
      </c>
      <c r="C8" s="69">
        <v>0.90210000000000001</v>
      </c>
      <c r="D8" s="69">
        <v>0.67500000000000004</v>
      </c>
      <c r="E8" s="69" t="s">
        <v>295</v>
      </c>
      <c r="F8" s="69" t="s">
        <v>178</v>
      </c>
      <c r="G8" s="69" t="s">
        <v>334</v>
      </c>
      <c r="H8" s="71" t="s">
        <v>182</v>
      </c>
      <c r="I8" s="69" t="s">
        <v>335</v>
      </c>
      <c r="J8" s="69" t="s">
        <v>336</v>
      </c>
      <c r="K8" s="71" t="s">
        <v>2034</v>
      </c>
      <c r="L8" s="69" t="s">
        <v>231</v>
      </c>
      <c r="M8" s="69" t="s">
        <v>209</v>
      </c>
      <c r="N8" s="69" t="s">
        <v>337</v>
      </c>
      <c r="O8" s="69" t="s">
        <v>338</v>
      </c>
      <c r="P8" s="69" t="s">
        <v>339</v>
      </c>
      <c r="Q8" s="69" t="s">
        <v>340</v>
      </c>
      <c r="R8" s="69" t="s">
        <v>341</v>
      </c>
      <c r="S8" s="69"/>
      <c r="T8" s="69">
        <v>-152.05099999999999</v>
      </c>
      <c r="U8" s="69">
        <v>20.0868</v>
      </c>
      <c r="V8" s="69">
        <v>15.917</v>
      </c>
      <c r="W8" s="69">
        <v>0</v>
      </c>
      <c r="X8" s="69">
        <v>1</v>
      </c>
      <c r="Y8" s="69">
        <v>0.189</v>
      </c>
      <c r="Z8" s="69">
        <v>2.9000000000000001E-2</v>
      </c>
      <c r="AA8" s="69">
        <v>6857.12</v>
      </c>
      <c r="AB8" s="69">
        <v>0.41799999999999998</v>
      </c>
      <c r="AC8" s="69">
        <v>2799.8760000000002</v>
      </c>
      <c r="AD8" s="69">
        <v>0.3</v>
      </c>
      <c r="AE8" s="69">
        <v>0.999</v>
      </c>
      <c r="AF8" s="69">
        <v>0</v>
      </c>
      <c r="AG8" s="69">
        <v>12.026</v>
      </c>
      <c r="AH8" s="69">
        <v>3.8929999999999998</v>
      </c>
      <c r="AI8" s="69">
        <v>136.34100000000001</v>
      </c>
      <c r="AJ8" s="69" t="s">
        <v>1409</v>
      </c>
      <c r="AK8" s="69">
        <v>1</v>
      </c>
      <c r="AL8" s="69">
        <v>1</v>
      </c>
      <c r="AM8" s="69">
        <v>0</v>
      </c>
      <c r="AN8" s="69">
        <v>0</v>
      </c>
      <c r="AO8" s="69">
        <v>0</v>
      </c>
      <c r="AP8" s="69">
        <v>0</v>
      </c>
      <c r="AQ8" s="72" t="s">
        <v>1794</v>
      </c>
      <c r="AR8" s="69" t="s">
        <v>342</v>
      </c>
      <c r="AS8" s="69">
        <v>3317</v>
      </c>
      <c r="AT8" s="69">
        <v>-23.265999999999998</v>
      </c>
      <c r="AU8" s="69">
        <v>1118</v>
      </c>
      <c r="AV8" s="69">
        <v>-194.19</v>
      </c>
      <c r="AW8" s="69">
        <v>8419.6921999999995</v>
      </c>
      <c r="AX8" s="69">
        <v>0.63480000000000003</v>
      </c>
      <c r="AY8" s="69">
        <v>1118</v>
      </c>
      <c r="AZ8" s="69">
        <v>-194.19</v>
      </c>
      <c r="BA8" s="69">
        <v>8419.6921999999995</v>
      </c>
      <c r="BB8" s="69">
        <v>0.63480000000000003</v>
      </c>
      <c r="BC8" s="69">
        <v>1</v>
      </c>
      <c r="BD8" s="69">
        <v>1</v>
      </c>
      <c r="BE8" s="69">
        <v>0</v>
      </c>
      <c r="BF8" s="69">
        <v>3.5</v>
      </c>
      <c r="BG8" s="69">
        <v>18.243400000000001</v>
      </c>
      <c r="BH8" s="69">
        <v>3.5</v>
      </c>
      <c r="BI8" s="69">
        <v>18.215199999999999</v>
      </c>
      <c r="BJ8" s="69">
        <v>0</v>
      </c>
      <c r="BK8" s="71">
        <v>0.05</v>
      </c>
      <c r="BL8" s="71">
        <v>13.6</v>
      </c>
      <c r="BM8" s="69">
        <v>2</v>
      </c>
      <c r="BN8" s="124" t="s">
        <v>89</v>
      </c>
      <c r="BO8" s="124" t="s">
        <v>89</v>
      </c>
      <c r="BP8" s="124" t="s">
        <v>89</v>
      </c>
      <c r="BQ8" s="124" t="s">
        <v>89</v>
      </c>
      <c r="BR8" s="124" t="s">
        <v>89</v>
      </c>
      <c r="BS8" s="124" t="s">
        <v>89</v>
      </c>
      <c r="BT8" s="124" t="s">
        <v>89</v>
      </c>
      <c r="BU8" s="124" t="s">
        <v>89</v>
      </c>
      <c r="BV8" s="124" t="s">
        <v>89</v>
      </c>
      <c r="BW8" s="124" t="s">
        <v>89</v>
      </c>
      <c r="BX8" s="124" t="s">
        <v>89</v>
      </c>
      <c r="BY8" s="124" t="s">
        <v>89</v>
      </c>
      <c r="BZ8" s="124" t="s">
        <v>89</v>
      </c>
      <c r="CA8" s="124" t="s">
        <v>89</v>
      </c>
      <c r="CB8" s="124" t="s">
        <v>89</v>
      </c>
      <c r="CC8" s="124" t="s">
        <v>89</v>
      </c>
      <c r="CD8" s="124" t="s">
        <v>89</v>
      </c>
      <c r="CE8" s="69">
        <v>-5.3083381052659803E-5</v>
      </c>
      <c r="CF8" s="69">
        <v>1.16825879071308E-4</v>
      </c>
      <c r="CG8" s="69">
        <v>0</v>
      </c>
      <c r="CH8" s="69">
        <v>0</v>
      </c>
      <c r="CI8" s="69">
        <v>-48.505000000000003</v>
      </c>
      <c r="CJ8" s="69">
        <v>2.26566459534592E-2</v>
      </c>
      <c r="CK8" s="69">
        <v>-4.9949486159913699</v>
      </c>
      <c r="CL8" s="69">
        <v>0</v>
      </c>
      <c r="CM8" s="69">
        <v>28236</v>
      </c>
      <c r="CN8" s="69">
        <v>3317</v>
      </c>
      <c r="CO8" s="69">
        <v>22.574999999999999</v>
      </c>
      <c r="CP8" s="69">
        <v>-1037186.67696627</v>
      </c>
      <c r="CQ8" s="69">
        <v>18.719000000000001</v>
      </c>
      <c r="CR8" s="69">
        <v>-1037189.12475507</v>
      </c>
      <c r="CS8" s="69">
        <v>1</v>
      </c>
      <c r="CT8" s="69">
        <v>0.64998449999999997</v>
      </c>
      <c r="CU8" s="69">
        <v>1</v>
      </c>
      <c r="CV8" s="46" t="s">
        <v>89</v>
      </c>
      <c r="CW8" s="34"/>
      <c r="CX8" s="35"/>
    </row>
    <row r="9" spans="1:102" ht="15" customHeight="1" x14ac:dyDescent="0.25">
      <c r="A9" s="33">
        <v>6</v>
      </c>
      <c r="B9" s="69" t="s">
        <v>1870</v>
      </c>
      <c r="C9" s="69">
        <v>0.71220000000000006</v>
      </c>
      <c r="D9" s="69">
        <v>0.65100000000000002</v>
      </c>
      <c r="E9" s="69" t="s">
        <v>191</v>
      </c>
      <c r="F9" s="69" t="s">
        <v>236</v>
      </c>
      <c r="G9" s="69" t="s">
        <v>344</v>
      </c>
      <c r="H9" s="69" t="s">
        <v>186</v>
      </c>
      <c r="I9" s="69" t="s">
        <v>345</v>
      </c>
      <c r="J9" s="69" t="s">
        <v>346</v>
      </c>
      <c r="K9" s="71" t="s">
        <v>2035</v>
      </c>
      <c r="L9" s="69" t="s">
        <v>247</v>
      </c>
      <c r="M9" s="69" t="s">
        <v>261</v>
      </c>
      <c r="N9" s="69" t="s">
        <v>347</v>
      </c>
      <c r="O9" s="69" t="s">
        <v>348</v>
      </c>
      <c r="P9" s="69" t="s">
        <v>349</v>
      </c>
      <c r="Q9" s="69" t="s">
        <v>350</v>
      </c>
      <c r="R9" s="69" t="s">
        <v>203</v>
      </c>
      <c r="S9" s="69"/>
      <c r="T9" s="69">
        <v>-51.11</v>
      </c>
      <c r="U9" s="69">
        <v>13.3757</v>
      </c>
      <c r="V9" s="69">
        <v>-24.161999999999999</v>
      </c>
      <c r="W9" s="69">
        <v>0</v>
      </c>
      <c r="X9" s="69">
        <v>0</v>
      </c>
      <c r="Y9" s="69">
        <v>0.16700000000000001</v>
      </c>
      <c r="Z9" s="69">
        <v>4.3999999999999997E-2</v>
      </c>
      <c r="AA9" s="69">
        <v>3678.45</v>
      </c>
      <c r="AB9" s="69">
        <v>0.42399999999999999</v>
      </c>
      <c r="AC9" s="69">
        <v>7603.6019999999999</v>
      </c>
      <c r="AD9" s="69">
        <v>0.39500000000000002</v>
      </c>
      <c r="AE9" s="69">
        <v>0.99</v>
      </c>
      <c r="AF9" s="69">
        <v>1</v>
      </c>
      <c r="AG9" s="69">
        <v>24.521000000000001</v>
      </c>
      <c r="AH9" s="69">
        <v>45.378</v>
      </c>
      <c r="AI9" s="69">
        <v>59.731999999999999</v>
      </c>
      <c r="AJ9" s="69" t="s">
        <v>1410</v>
      </c>
      <c r="AK9" s="69">
        <v>1</v>
      </c>
      <c r="AL9" s="69">
        <v>1</v>
      </c>
      <c r="AM9" s="69">
        <v>0</v>
      </c>
      <c r="AN9" s="69">
        <v>1</v>
      </c>
      <c r="AO9" s="69">
        <v>0</v>
      </c>
      <c r="AP9" s="69">
        <v>0</v>
      </c>
      <c r="AQ9" s="69" t="s">
        <v>351</v>
      </c>
      <c r="AR9" s="69" t="s">
        <v>1482</v>
      </c>
      <c r="AS9" s="69">
        <v>3803</v>
      </c>
      <c r="AT9" s="69">
        <v>-20.186</v>
      </c>
      <c r="AU9" s="69">
        <v>-38.799999999999997</v>
      </c>
      <c r="AV9" s="69">
        <v>-194.19</v>
      </c>
      <c r="AW9" s="69">
        <v>12079.872300000001</v>
      </c>
      <c r="AX9" s="69">
        <v>0.29820000000000002</v>
      </c>
      <c r="AY9" s="69">
        <v>-38.799999999999997</v>
      </c>
      <c r="AZ9" s="69">
        <v>-194.19</v>
      </c>
      <c r="BA9" s="69">
        <v>12079.872300000001</v>
      </c>
      <c r="BB9" s="69">
        <v>0.29820000000000002</v>
      </c>
      <c r="BC9" s="69">
        <v>1</v>
      </c>
      <c r="BD9" s="69">
        <v>1</v>
      </c>
      <c r="BE9" s="69">
        <v>0</v>
      </c>
      <c r="BF9" s="69">
        <v>-4.5</v>
      </c>
      <c r="BG9" s="69">
        <v>8.9556000000000004</v>
      </c>
      <c r="BH9" s="69">
        <v>-4.5</v>
      </c>
      <c r="BI9" s="69">
        <v>30.1203</v>
      </c>
      <c r="BJ9" s="69">
        <v>1</v>
      </c>
      <c r="BK9" s="69">
        <v>0.06</v>
      </c>
      <c r="BL9" s="69">
        <v>14.8</v>
      </c>
      <c r="BM9" s="69">
        <v>2</v>
      </c>
      <c r="BN9" s="124" t="s">
        <v>89</v>
      </c>
      <c r="BO9" s="124" t="s">
        <v>89</v>
      </c>
      <c r="BP9" s="124" t="s">
        <v>89</v>
      </c>
      <c r="BQ9" s="124" t="s">
        <v>89</v>
      </c>
      <c r="BR9" s="124" t="s">
        <v>89</v>
      </c>
      <c r="BS9" s="124" t="s">
        <v>89</v>
      </c>
      <c r="BT9" s="124" t="s">
        <v>89</v>
      </c>
      <c r="BU9" s="124" t="s">
        <v>89</v>
      </c>
      <c r="BV9" s="124" t="s">
        <v>89</v>
      </c>
      <c r="BW9" s="124" t="s">
        <v>89</v>
      </c>
      <c r="BX9" s="124" t="s">
        <v>89</v>
      </c>
      <c r="BY9" s="124" t="s">
        <v>89</v>
      </c>
      <c r="BZ9" s="124" t="s">
        <v>89</v>
      </c>
      <c r="CA9" s="124" t="s">
        <v>89</v>
      </c>
      <c r="CB9" s="124" t="s">
        <v>89</v>
      </c>
      <c r="CC9" s="124" t="s">
        <v>89</v>
      </c>
      <c r="CD9" s="124" t="s">
        <v>89</v>
      </c>
      <c r="CE9" s="69">
        <v>-5.3296367075128197</v>
      </c>
      <c r="CF9" s="69">
        <v>1</v>
      </c>
      <c r="CG9" s="69">
        <v>0</v>
      </c>
      <c r="CH9" s="69">
        <v>0</v>
      </c>
      <c r="CI9" s="69">
        <v>118.6</v>
      </c>
      <c r="CJ9" s="69">
        <v>-2.6840546557068299</v>
      </c>
      <c r="CK9" s="69">
        <v>-4.1591285872377703</v>
      </c>
      <c r="CL9" s="69">
        <v>0</v>
      </c>
      <c r="CM9" s="69">
        <v>6130</v>
      </c>
      <c r="CN9" s="69">
        <v>3803</v>
      </c>
      <c r="CO9" s="69">
        <v>-38.799999999999997</v>
      </c>
      <c r="CP9" s="69">
        <v>-194.19</v>
      </c>
      <c r="CQ9" s="69">
        <v>16.41</v>
      </c>
      <c r="CR9" s="69">
        <v>-699521.37455561396</v>
      </c>
      <c r="CS9" s="69">
        <v>0</v>
      </c>
      <c r="CT9" s="69">
        <v>1</v>
      </c>
      <c r="CU9" s="69">
        <v>1</v>
      </c>
      <c r="CV9" s="46" t="s">
        <v>89</v>
      </c>
      <c r="CW9" s="34"/>
      <c r="CX9" s="35"/>
    </row>
    <row r="10" spans="1:102" ht="15" customHeight="1" x14ac:dyDescent="0.25">
      <c r="A10" s="33">
        <v>7</v>
      </c>
      <c r="B10" s="69" t="s">
        <v>1876</v>
      </c>
      <c r="C10" s="69">
        <v>0.4894</v>
      </c>
      <c r="D10" s="69">
        <v>0.70340000000000003</v>
      </c>
      <c r="E10" s="69" t="s">
        <v>1519</v>
      </c>
      <c r="F10" s="69" t="s">
        <v>1523</v>
      </c>
      <c r="G10" s="69" t="s">
        <v>1531</v>
      </c>
      <c r="H10" s="69" t="s">
        <v>1543</v>
      </c>
      <c r="I10" s="69" t="s">
        <v>1555</v>
      </c>
      <c r="J10" s="69" t="s">
        <v>1567</v>
      </c>
      <c r="K10" s="69" t="s">
        <v>1576</v>
      </c>
      <c r="L10" s="69" t="s">
        <v>1586</v>
      </c>
      <c r="M10" s="69" t="s">
        <v>1515</v>
      </c>
      <c r="N10" s="69" t="s">
        <v>1595</v>
      </c>
      <c r="O10" s="69" t="s">
        <v>1601</v>
      </c>
      <c r="P10" s="69" t="s">
        <v>1607</v>
      </c>
      <c r="Q10" s="69" t="s">
        <v>1611</v>
      </c>
      <c r="R10" s="69" t="s">
        <v>1616</v>
      </c>
      <c r="S10" s="69"/>
      <c r="T10" s="69">
        <v>10.8985</v>
      </c>
      <c r="U10" s="69">
        <v>15.8293</v>
      </c>
      <c r="V10" s="69">
        <v>-1.395</v>
      </c>
      <c r="W10" s="69">
        <v>0</v>
      </c>
      <c r="X10" s="69">
        <v>0</v>
      </c>
      <c r="Y10" s="69">
        <v>0.114</v>
      </c>
      <c r="Z10" s="69">
        <v>0.14499999999999999</v>
      </c>
      <c r="AA10" s="69">
        <v>5911.3230000000003</v>
      </c>
      <c r="AB10" s="69">
        <v>0.91100000000000003</v>
      </c>
      <c r="AC10" s="69">
        <v>7823.2650000000003</v>
      </c>
      <c r="AD10" s="69">
        <v>0.81699999999999995</v>
      </c>
      <c r="AE10" s="69">
        <v>0.96299999999999997</v>
      </c>
      <c r="AF10" s="69">
        <v>0</v>
      </c>
      <c r="AG10" s="69">
        <v>-3.266</v>
      </c>
      <c r="AH10" s="69">
        <v>-34.619</v>
      </c>
      <c r="AI10" s="69">
        <v>136.34100000000001</v>
      </c>
      <c r="AJ10" s="69" t="s">
        <v>1443</v>
      </c>
      <c r="AK10" s="69">
        <v>0</v>
      </c>
      <c r="AL10" s="69">
        <v>2</v>
      </c>
      <c r="AM10" s="69">
        <v>1</v>
      </c>
      <c r="AN10" s="69">
        <v>1</v>
      </c>
      <c r="AO10" s="69">
        <v>0</v>
      </c>
      <c r="AP10" s="69">
        <v>0</v>
      </c>
      <c r="AQ10" s="72" t="s">
        <v>1733</v>
      </c>
      <c r="AR10" s="69" t="s">
        <v>874</v>
      </c>
      <c r="AS10" s="69">
        <v>903</v>
      </c>
      <c r="AT10" s="69">
        <v>4.3559999999999999</v>
      </c>
      <c r="AU10" s="69">
        <v>1118</v>
      </c>
      <c r="AV10" s="69">
        <v>1118</v>
      </c>
      <c r="AW10" s="69">
        <v>16.585100000000001</v>
      </c>
      <c r="AX10" s="69">
        <v>0.72719999999999996</v>
      </c>
      <c r="AY10" s="69">
        <v>-627.17999999999995</v>
      </c>
      <c r="AZ10" s="69">
        <v>-194.19</v>
      </c>
      <c r="BA10" s="69">
        <v>40.261200000000002</v>
      </c>
      <c r="BB10" s="69">
        <v>0.1767</v>
      </c>
      <c r="BC10" s="69">
        <v>1</v>
      </c>
      <c r="BD10" s="69">
        <v>1</v>
      </c>
      <c r="BE10" s="69">
        <v>1</v>
      </c>
      <c r="BF10" s="69">
        <v>-22.41</v>
      </c>
      <c r="BG10" s="69">
        <v>31</v>
      </c>
      <c r="BH10" s="69">
        <v>-22.41</v>
      </c>
      <c r="BI10" s="69">
        <v>28.3733</v>
      </c>
      <c r="BJ10" s="69">
        <v>0</v>
      </c>
      <c r="BK10" s="71">
        <v>7.0000000000000007E-2</v>
      </c>
      <c r="BL10" s="71">
        <v>6000</v>
      </c>
      <c r="BM10" s="69">
        <v>2</v>
      </c>
      <c r="BN10" s="124" t="s">
        <v>89</v>
      </c>
      <c r="BO10" s="124" t="s">
        <v>89</v>
      </c>
      <c r="BP10" s="124" t="s">
        <v>89</v>
      </c>
      <c r="BQ10" s="124" t="s">
        <v>89</v>
      </c>
      <c r="BR10" s="124" t="s">
        <v>89</v>
      </c>
      <c r="BS10" s="124" t="s">
        <v>89</v>
      </c>
      <c r="BT10" s="124" t="s">
        <v>89</v>
      </c>
      <c r="BU10" s="124" t="s">
        <v>89</v>
      </c>
      <c r="BV10" s="124" t="s">
        <v>89</v>
      </c>
      <c r="BW10" s="124" t="s">
        <v>89</v>
      </c>
      <c r="BX10" s="124" t="s">
        <v>89</v>
      </c>
      <c r="BY10" s="124" t="s">
        <v>89</v>
      </c>
      <c r="BZ10" s="124" t="s">
        <v>89</v>
      </c>
      <c r="CA10" s="124" t="s">
        <v>89</v>
      </c>
      <c r="CB10" s="124" t="s">
        <v>89</v>
      </c>
      <c r="CC10" s="124" t="s">
        <v>89</v>
      </c>
      <c r="CD10" s="124" t="s">
        <v>89</v>
      </c>
      <c r="CE10" s="69">
        <v>1.84789517620742E-3</v>
      </c>
      <c r="CF10" s="69">
        <v>-1.4533767254967199E-3</v>
      </c>
      <c r="CG10" s="69">
        <v>31</v>
      </c>
      <c r="CH10" s="69">
        <v>-22.41</v>
      </c>
      <c r="CI10" s="69">
        <v>152.8905</v>
      </c>
      <c r="CJ10" s="69">
        <v>2.3690825171296899</v>
      </c>
      <c r="CK10" s="69">
        <v>4.19185794451941</v>
      </c>
      <c r="CL10" s="69">
        <v>63111</v>
      </c>
      <c r="CM10" s="69">
        <v>5449</v>
      </c>
      <c r="CN10" s="69">
        <v>1779</v>
      </c>
      <c r="CO10" s="69">
        <v>1118</v>
      </c>
      <c r="CP10" s="69">
        <v>1118</v>
      </c>
      <c r="CQ10" s="69">
        <v>7.4809999999999999</v>
      </c>
      <c r="CR10" s="69">
        <v>-1490.9983863276</v>
      </c>
      <c r="CS10" s="69">
        <v>0.17208462499999999</v>
      </c>
      <c r="CT10" s="69">
        <v>1</v>
      </c>
      <c r="CU10" s="69">
        <v>1</v>
      </c>
      <c r="CV10" s="46" t="s">
        <v>89</v>
      </c>
      <c r="CW10" s="34"/>
      <c r="CX10" s="35"/>
    </row>
    <row r="11" spans="1:102" ht="15" customHeight="1" x14ac:dyDescent="0.25">
      <c r="A11" s="33">
        <v>8</v>
      </c>
      <c r="B11" s="69" t="s">
        <v>1876</v>
      </c>
      <c r="C11" s="69">
        <v>0.1908</v>
      </c>
      <c r="D11" s="69">
        <v>0.70799999999999996</v>
      </c>
      <c r="E11" s="69" t="s">
        <v>181</v>
      </c>
      <c r="F11" s="69" t="s">
        <v>191</v>
      </c>
      <c r="G11" s="69" t="s">
        <v>192</v>
      </c>
      <c r="H11" s="69" t="s">
        <v>193</v>
      </c>
      <c r="I11" s="69" t="s">
        <v>194</v>
      </c>
      <c r="J11" s="69" t="s">
        <v>195</v>
      </c>
      <c r="K11" s="71" t="s">
        <v>2036</v>
      </c>
      <c r="L11" s="69" t="s">
        <v>196</v>
      </c>
      <c r="M11" s="69" t="s">
        <v>197</v>
      </c>
      <c r="N11" s="69" t="s">
        <v>198</v>
      </c>
      <c r="O11" s="69" t="s">
        <v>199</v>
      </c>
      <c r="P11" s="69" t="s">
        <v>200</v>
      </c>
      <c r="Q11" s="69" t="s">
        <v>201</v>
      </c>
      <c r="R11" s="69" t="s">
        <v>202</v>
      </c>
      <c r="S11" s="69"/>
      <c r="T11" s="69">
        <v>-181.929</v>
      </c>
      <c r="U11" s="69">
        <v>7.8213999999999997</v>
      </c>
      <c r="V11" s="69">
        <v>19.751000000000001</v>
      </c>
      <c r="W11" s="69">
        <v>1</v>
      </c>
      <c r="X11" s="69">
        <v>0</v>
      </c>
      <c r="Y11" s="69">
        <v>0.01</v>
      </c>
      <c r="Z11" s="69">
        <v>8.7999999999999995E-2</v>
      </c>
      <c r="AA11" s="69">
        <v>10.101000000000001</v>
      </c>
      <c r="AB11" s="69">
        <v>0.41699999999999998</v>
      </c>
      <c r="AC11" s="69">
        <v>4233.2</v>
      </c>
      <c r="AD11" s="69">
        <v>0.78700000000000003</v>
      </c>
      <c r="AE11" s="69">
        <v>0.95099999999999996</v>
      </c>
      <c r="AF11" s="69">
        <v>0</v>
      </c>
      <c r="AG11" s="69">
        <v>-1.5940000000000001</v>
      </c>
      <c r="AH11" s="69">
        <v>77.188999999999993</v>
      </c>
      <c r="AI11" s="69">
        <v>-72.426000000000002</v>
      </c>
      <c r="AJ11" s="69" t="s">
        <v>1411</v>
      </c>
      <c r="AK11" s="69">
        <v>0</v>
      </c>
      <c r="AL11" s="69">
        <v>2</v>
      </c>
      <c r="AM11" s="69">
        <v>0</v>
      </c>
      <c r="AN11" s="69">
        <v>1</v>
      </c>
      <c r="AO11" s="69">
        <v>0</v>
      </c>
      <c r="AP11" s="69">
        <v>0</v>
      </c>
      <c r="AQ11" s="72" t="s">
        <v>1751</v>
      </c>
      <c r="AR11" s="69" t="s">
        <v>204</v>
      </c>
      <c r="AS11" s="69">
        <v>4932</v>
      </c>
      <c r="AT11" s="69">
        <v>8.3569999999999993</v>
      </c>
      <c r="AU11" s="69">
        <v>267.12</v>
      </c>
      <c r="AV11" s="69">
        <v>-657.13</v>
      </c>
      <c r="AW11" s="69">
        <v>48410.0533</v>
      </c>
      <c r="AX11" s="69">
        <v>8.3599999999999994E-2</v>
      </c>
      <c r="AY11" s="69">
        <v>267.12</v>
      </c>
      <c r="AZ11" s="69">
        <v>-657.13</v>
      </c>
      <c r="BA11" s="69">
        <v>48410.0533</v>
      </c>
      <c r="BB11" s="69">
        <v>8.3599999999999994E-2</v>
      </c>
      <c r="BC11" s="69">
        <v>0</v>
      </c>
      <c r="BD11" s="69">
        <v>0</v>
      </c>
      <c r="BE11" s="69">
        <v>0</v>
      </c>
      <c r="BF11" s="71">
        <v>-0.5</v>
      </c>
      <c r="BG11" s="69">
        <v>25.197500000000002</v>
      </c>
      <c r="BH11" s="71">
        <v>-0.5</v>
      </c>
      <c r="BI11" s="71">
        <v>12.937200000000001</v>
      </c>
      <c r="BJ11" s="71">
        <v>0</v>
      </c>
      <c r="BK11" s="69">
        <v>0.08</v>
      </c>
      <c r="BL11" s="69">
        <v>17.2</v>
      </c>
      <c r="BM11" s="69">
        <v>2</v>
      </c>
      <c r="BN11" s="124" t="s">
        <v>89</v>
      </c>
      <c r="BO11" s="124" t="s">
        <v>89</v>
      </c>
      <c r="BP11" s="124" t="s">
        <v>89</v>
      </c>
      <c r="BQ11" s="124" t="s">
        <v>89</v>
      </c>
      <c r="BR11" s="124" t="s">
        <v>89</v>
      </c>
      <c r="BS11" s="124" t="s">
        <v>89</v>
      </c>
      <c r="BT11" s="124" t="s">
        <v>89</v>
      </c>
      <c r="BU11" s="124" t="s">
        <v>89</v>
      </c>
      <c r="BV11" s="124" t="s">
        <v>89</v>
      </c>
      <c r="BW11" s="124" t="s">
        <v>89</v>
      </c>
      <c r="BX11" s="124" t="s">
        <v>89</v>
      </c>
      <c r="BY11" s="124" t="s">
        <v>89</v>
      </c>
      <c r="BZ11" s="124" t="s">
        <v>89</v>
      </c>
      <c r="CA11" s="124" t="s">
        <v>89</v>
      </c>
      <c r="CB11" s="124" t="s">
        <v>89</v>
      </c>
      <c r="CC11" s="124" t="s">
        <v>89</v>
      </c>
      <c r="CD11" s="124" t="s">
        <v>89</v>
      </c>
      <c r="CE11" s="69">
        <v>1.9955522609482901E-2</v>
      </c>
      <c r="CF11" s="69">
        <v>-5.6367860331290098E-2</v>
      </c>
      <c r="CG11" s="69">
        <v>-0.5</v>
      </c>
      <c r="CH11" s="69">
        <v>12.937200000000001</v>
      </c>
      <c r="CI11" s="69">
        <v>-38.070999999999998</v>
      </c>
      <c r="CJ11" s="69">
        <v>6.6950981005965202</v>
      </c>
      <c r="CK11" s="69">
        <v>11.8130440841585</v>
      </c>
      <c r="CL11" s="69">
        <v>62324</v>
      </c>
      <c r="CM11" s="69">
        <v>65261</v>
      </c>
      <c r="CN11" s="69">
        <v>1672</v>
      </c>
      <c r="CO11" s="69">
        <v>267.12</v>
      </c>
      <c r="CP11" s="69">
        <v>-657.13</v>
      </c>
      <c r="CQ11" s="69">
        <v>267.12</v>
      </c>
      <c r="CR11" s="69">
        <v>-657.13</v>
      </c>
      <c r="CS11" s="69">
        <v>0.41573737500000002</v>
      </c>
      <c r="CT11" s="69">
        <v>1</v>
      </c>
      <c r="CU11" s="69">
        <v>1</v>
      </c>
      <c r="CV11" s="46" t="s">
        <v>89</v>
      </c>
      <c r="CW11" s="34"/>
      <c r="CX11" s="35"/>
    </row>
    <row r="12" spans="1:102" ht="15" customHeight="1" x14ac:dyDescent="0.25">
      <c r="A12" s="33">
        <v>9</v>
      </c>
      <c r="B12" s="69" t="s">
        <v>1869</v>
      </c>
      <c r="C12" s="69">
        <v>0.1792</v>
      </c>
      <c r="D12" s="69">
        <v>0.25800000000000001</v>
      </c>
      <c r="E12" s="69" t="s">
        <v>396</v>
      </c>
      <c r="F12" s="69" t="s">
        <v>307</v>
      </c>
      <c r="G12" s="69" t="s">
        <v>397</v>
      </c>
      <c r="H12" s="69" t="s">
        <v>398</v>
      </c>
      <c r="I12" s="69" t="s">
        <v>399</v>
      </c>
      <c r="J12" s="69" t="s">
        <v>186</v>
      </c>
      <c r="K12" s="71" t="s">
        <v>400</v>
      </c>
      <c r="L12" s="69" t="s">
        <v>401</v>
      </c>
      <c r="M12" s="69" t="s">
        <v>173</v>
      </c>
      <c r="N12" s="69" t="s">
        <v>161</v>
      </c>
      <c r="O12" s="69" t="s">
        <v>402</v>
      </c>
      <c r="P12" s="69" t="s">
        <v>403</v>
      </c>
      <c r="Q12" s="69" t="s">
        <v>265</v>
      </c>
      <c r="R12" s="69" t="s">
        <v>268</v>
      </c>
      <c r="S12" s="69"/>
      <c r="T12" s="69">
        <v>114.532</v>
      </c>
      <c r="U12" s="69">
        <v>5.4291999999999998</v>
      </c>
      <c r="V12" s="69">
        <v>15.087</v>
      </c>
      <c r="W12" s="69">
        <v>0</v>
      </c>
      <c r="X12" s="69">
        <v>0</v>
      </c>
      <c r="Y12" s="69">
        <v>0.17699999999999999</v>
      </c>
      <c r="Z12" s="69">
        <v>7.9000000000000001E-2</v>
      </c>
      <c r="AA12" s="69">
        <v>2048.799</v>
      </c>
      <c r="AB12" s="69">
        <v>0.6</v>
      </c>
      <c r="AC12" s="69">
        <v>3548.886</v>
      </c>
      <c r="AD12" s="69">
        <v>0.9</v>
      </c>
      <c r="AE12" s="69">
        <v>0.95099999999999996</v>
      </c>
      <c r="AF12" s="69">
        <v>0</v>
      </c>
      <c r="AG12" s="69">
        <v>21.003</v>
      </c>
      <c r="AH12" s="69">
        <v>-34.619</v>
      </c>
      <c r="AI12" s="69">
        <v>107.702</v>
      </c>
      <c r="AJ12" s="69" t="s">
        <v>1417</v>
      </c>
      <c r="AK12" s="69">
        <v>1</v>
      </c>
      <c r="AL12" s="69">
        <v>2</v>
      </c>
      <c r="AM12" s="69">
        <v>1</v>
      </c>
      <c r="AN12" s="69">
        <v>0</v>
      </c>
      <c r="AO12" s="69">
        <v>1</v>
      </c>
      <c r="AP12" s="69">
        <v>1</v>
      </c>
      <c r="AQ12" s="72" t="s">
        <v>1725</v>
      </c>
      <c r="AR12" s="69" t="s">
        <v>404</v>
      </c>
      <c r="AS12" s="69">
        <v>4540</v>
      </c>
      <c r="AT12" s="69">
        <v>-9.2639999999999993</v>
      </c>
      <c r="AU12" s="69">
        <v>1118</v>
      </c>
      <c r="AV12" s="69">
        <v>404.9</v>
      </c>
      <c r="AW12" s="69">
        <v>46120.502399999998</v>
      </c>
      <c r="AX12" s="69">
        <v>0.57830000000000004</v>
      </c>
      <c r="AY12" s="69">
        <v>1118</v>
      </c>
      <c r="AZ12" s="69">
        <v>404.9</v>
      </c>
      <c r="BA12" s="69">
        <v>46120.502399999998</v>
      </c>
      <c r="BB12" s="69">
        <v>0.57830000000000004</v>
      </c>
      <c r="BC12" s="69">
        <v>1</v>
      </c>
      <c r="BD12" s="69">
        <v>1</v>
      </c>
      <c r="BE12" s="69">
        <v>0</v>
      </c>
      <c r="BF12" s="71">
        <v>-4.5</v>
      </c>
      <c r="BG12" s="69">
        <v>13.229699999999999</v>
      </c>
      <c r="BH12" s="71">
        <v>-13.2</v>
      </c>
      <c r="BI12" s="71">
        <v>2.3953000000000002</v>
      </c>
      <c r="BJ12" s="71">
        <v>1</v>
      </c>
      <c r="BK12" s="71">
        <v>0.09</v>
      </c>
      <c r="BL12" s="71">
        <v>18.399999999999999</v>
      </c>
      <c r="BM12" s="69">
        <v>2</v>
      </c>
      <c r="BN12" s="124" t="s">
        <v>89</v>
      </c>
      <c r="BO12" s="124" t="s">
        <v>89</v>
      </c>
      <c r="BP12" s="124" t="s">
        <v>89</v>
      </c>
      <c r="BQ12" s="124" t="s">
        <v>89</v>
      </c>
      <c r="BR12" s="124" t="s">
        <v>89</v>
      </c>
      <c r="BS12" s="124" t="s">
        <v>89</v>
      </c>
      <c r="BT12" s="124" t="s">
        <v>89</v>
      </c>
      <c r="BU12" s="124" t="s">
        <v>89</v>
      </c>
      <c r="BV12" s="124" t="s">
        <v>89</v>
      </c>
      <c r="BW12" s="124" t="s">
        <v>89</v>
      </c>
      <c r="BX12" s="124" t="s">
        <v>89</v>
      </c>
      <c r="BY12" s="124" t="s">
        <v>89</v>
      </c>
      <c r="BZ12" s="124" t="s">
        <v>89</v>
      </c>
      <c r="CA12" s="124" t="s">
        <v>89</v>
      </c>
      <c r="CB12" s="124" t="s">
        <v>89</v>
      </c>
      <c r="CC12" s="124" t="s">
        <v>89</v>
      </c>
      <c r="CD12" s="124" t="s">
        <v>89</v>
      </c>
      <c r="CE12" s="69">
        <v>-0.31535702734695198</v>
      </c>
      <c r="CF12" s="69">
        <v>0.16220603313445101</v>
      </c>
      <c r="CG12" s="69">
        <v>-4.5</v>
      </c>
      <c r="CH12" s="69">
        <v>0.91002850560000004</v>
      </c>
      <c r="CI12" s="69">
        <v>-7.3949999999999996</v>
      </c>
      <c r="CJ12" s="69">
        <v>3.1020409873872099</v>
      </c>
      <c r="CK12" s="69">
        <v>-29.3173447418515</v>
      </c>
      <c r="CL12" s="69">
        <v>0</v>
      </c>
      <c r="CM12" s="69">
        <v>20790</v>
      </c>
      <c r="CN12" s="69">
        <v>4540</v>
      </c>
      <c r="CO12" s="69">
        <v>1118</v>
      </c>
      <c r="CP12" s="69">
        <v>404.9</v>
      </c>
      <c r="CQ12" s="69">
        <v>7.9279999999999999</v>
      </c>
      <c r="CR12" s="69">
        <v>10799936.0233662</v>
      </c>
      <c r="CS12" s="69">
        <v>0.85609987499999995</v>
      </c>
      <c r="CT12" s="69">
        <v>0.45638925000000002</v>
      </c>
      <c r="CU12" s="69">
        <v>1</v>
      </c>
      <c r="CV12" s="46" t="s">
        <v>89</v>
      </c>
      <c r="CW12" s="34"/>
      <c r="CX12" s="35"/>
    </row>
    <row r="13" spans="1:102" ht="15" customHeight="1" thickBot="1" x14ac:dyDescent="0.3">
      <c r="A13" s="36">
        <v>10</v>
      </c>
      <c r="B13" s="167" t="s">
        <v>2053</v>
      </c>
      <c r="C13" s="167">
        <v>0.33560000000000001</v>
      </c>
      <c r="D13" s="167">
        <v>0.85199999999999998</v>
      </c>
      <c r="E13" s="167" t="s">
        <v>341</v>
      </c>
      <c r="F13" s="167" t="s">
        <v>252</v>
      </c>
      <c r="G13" s="167" t="s">
        <v>539</v>
      </c>
      <c r="H13" s="167" t="s">
        <v>540</v>
      </c>
      <c r="I13" s="167" t="s">
        <v>541</v>
      </c>
      <c r="J13" s="167" t="s">
        <v>542</v>
      </c>
      <c r="K13" s="169" t="s">
        <v>2037</v>
      </c>
      <c r="L13" s="167" t="s">
        <v>457</v>
      </c>
      <c r="M13" s="167" t="s">
        <v>543</v>
      </c>
      <c r="N13" s="167" t="s">
        <v>187</v>
      </c>
      <c r="O13" s="167" t="s">
        <v>337</v>
      </c>
      <c r="P13" s="167" t="s">
        <v>318</v>
      </c>
      <c r="Q13" s="167" t="s">
        <v>392</v>
      </c>
      <c r="R13" s="167" t="s">
        <v>267</v>
      </c>
      <c r="S13" s="167"/>
      <c r="T13" s="167">
        <v>152.01599999999999</v>
      </c>
      <c r="U13" s="167">
        <v>1.0876999999999999</v>
      </c>
      <c r="V13" s="167">
        <v>6.1760000000000002</v>
      </c>
      <c r="W13" s="167">
        <v>0</v>
      </c>
      <c r="X13" s="167">
        <v>1</v>
      </c>
      <c r="Y13" s="167">
        <v>1.2E-2</v>
      </c>
      <c r="Z13" s="167">
        <v>0.17899999999999999</v>
      </c>
      <c r="AA13" s="167">
        <v>2475.8110000000001</v>
      </c>
      <c r="AB13" s="167">
        <v>0.433</v>
      </c>
      <c r="AC13" s="167">
        <v>2645.0639999999999</v>
      </c>
      <c r="AD13" s="167">
        <v>1.0999999999999999E-2</v>
      </c>
      <c r="AE13" s="167">
        <v>0.96199999999999997</v>
      </c>
      <c r="AF13" s="167">
        <v>1</v>
      </c>
      <c r="AG13" s="167">
        <v>-1.27</v>
      </c>
      <c r="AH13" s="167">
        <v>-198.286</v>
      </c>
      <c r="AI13" s="167">
        <v>114.947</v>
      </c>
      <c r="AJ13" s="167" t="s">
        <v>1428</v>
      </c>
      <c r="AK13" s="167">
        <v>1</v>
      </c>
      <c r="AL13" s="167">
        <v>1</v>
      </c>
      <c r="AM13" s="167">
        <v>0</v>
      </c>
      <c r="AN13" s="167">
        <v>0</v>
      </c>
      <c r="AO13" s="167">
        <v>0</v>
      </c>
      <c r="AP13" s="167">
        <v>0</v>
      </c>
      <c r="AQ13" s="170" t="s">
        <v>1760</v>
      </c>
      <c r="AR13" s="167" t="s">
        <v>544</v>
      </c>
      <c r="AS13" s="167">
        <v>1956</v>
      </c>
      <c r="AT13" s="167">
        <v>16.945</v>
      </c>
      <c r="AU13" s="167">
        <v>-43.17</v>
      </c>
      <c r="AV13" s="167">
        <v>-10.210000000000001</v>
      </c>
      <c r="AW13" s="167">
        <v>12079.872300000001</v>
      </c>
      <c r="AX13" s="167">
        <v>0.62070000000000003</v>
      </c>
      <c r="AY13" s="167">
        <v>-43.17</v>
      </c>
      <c r="AZ13" s="167">
        <v>-10.210000000000001</v>
      </c>
      <c r="BA13" s="167">
        <v>12079.872300000001</v>
      </c>
      <c r="BB13" s="167">
        <v>0.62070000000000003</v>
      </c>
      <c r="BC13" s="167">
        <v>1</v>
      </c>
      <c r="BD13" s="167">
        <v>1</v>
      </c>
      <c r="BE13" s="167">
        <v>0</v>
      </c>
      <c r="BF13" s="167">
        <v>-6.5</v>
      </c>
      <c r="BG13" s="167">
        <v>0.6149</v>
      </c>
      <c r="BH13" s="167">
        <v>-4.0999999999999996</v>
      </c>
      <c r="BI13" s="167">
        <v>7.7065000000000001</v>
      </c>
      <c r="BJ13" s="167">
        <v>1</v>
      </c>
      <c r="BK13" s="167">
        <v>0.5</v>
      </c>
      <c r="BL13" s="167">
        <v>19.600000000000001</v>
      </c>
      <c r="BM13" s="167">
        <v>2</v>
      </c>
      <c r="BN13" s="168" t="s">
        <v>89</v>
      </c>
      <c r="BO13" s="168" t="s">
        <v>89</v>
      </c>
      <c r="BP13" s="168" t="s">
        <v>89</v>
      </c>
      <c r="BQ13" s="168" t="s">
        <v>89</v>
      </c>
      <c r="BR13" s="168" t="s">
        <v>89</v>
      </c>
      <c r="BS13" s="168" t="s">
        <v>89</v>
      </c>
      <c r="BT13" s="168" t="s">
        <v>89</v>
      </c>
      <c r="BU13" s="168" t="s">
        <v>89</v>
      </c>
      <c r="BV13" s="168" t="s">
        <v>89</v>
      </c>
      <c r="BW13" s="168" t="s">
        <v>89</v>
      </c>
      <c r="BX13" s="168" t="s">
        <v>89</v>
      </c>
      <c r="BY13" s="168" t="s">
        <v>89</v>
      </c>
      <c r="BZ13" s="168" t="s">
        <v>89</v>
      </c>
      <c r="CA13" s="168" t="s">
        <v>89</v>
      </c>
      <c r="CB13" s="168" t="s">
        <v>89</v>
      </c>
      <c r="CC13" s="168" t="s">
        <v>89</v>
      </c>
      <c r="CD13" s="168" t="s">
        <v>89</v>
      </c>
      <c r="CE13" s="167">
        <v>2.7603641924874001E-3</v>
      </c>
      <c r="CF13" s="167">
        <v>1</v>
      </c>
      <c r="CG13" s="167">
        <v>0</v>
      </c>
      <c r="CH13" s="167">
        <v>0</v>
      </c>
      <c r="CI13" s="167">
        <v>-220</v>
      </c>
      <c r="CJ13" s="167">
        <v>3.72783198828167</v>
      </c>
      <c r="CK13" s="167">
        <v>-3.0396329823095298</v>
      </c>
      <c r="CL13" s="167">
        <v>0</v>
      </c>
      <c r="CM13" s="167">
        <v>56324</v>
      </c>
      <c r="CN13" s="167">
        <v>1956</v>
      </c>
      <c r="CO13" s="167">
        <v>-43.17</v>
      </c>
      <c r="CP13" s="167">
        <v>-10.210000000000001</v>
      </c>
      <c r="CQ13" s="167">
        <v>5.3310000000000004</v>
      </c>
      <c r="CR13" s="167">
        <v>-76577.829148088102</v>
      </c>
      <c r="CS13" s="167">
        <v>0.74247637499999997</v>
      </c>
      <c r="CT13" s="167">
        <v>0.34163300000000002</v>
      </c>
      <c r="CU13" s="167">
        <v>1</v>
      </c>
      <c r="CV13" s="47" t="s">
        <v>89</v>
      </c>
      <c r="CW13" s="37"/>
      <c r="CX13" s="38"/>
    </row>
    <row r="14" spans="1:102"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row>
    <row r="15" spans="1:102"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row>
    <row r="16" spans="1:102" x14ac:dyDescent="0.25">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row>
    <row r="17" spans="1:102"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row>
    <row r="18" spans="1:102"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row>
    <row r="19" spans="1:102"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row>
    <row r="20" spans="1:102"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row>
    <row r="21" spans="1:102"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row>
    <row r="22" spans="1:102" x14ac:dyDescent="0.25">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row>
    <row r="23" spans="1:102" x14ac:dyDescent="0.25">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c r="CG23" s="39"/>
      <c r="CH23" s="39"/>
      <c r="CI23" s="39"/>
      <c r="CJ23" s="39"/>
      <c r="CK23" s="39"/>
      <c r="CL23" s="39"/>
      <c r="CM23" s="39"/>
      <c r="CN23" s="39"/>
      <c r="CO23" s="39"/>
      <c r="CP23" s="39"/>
      <c r="CQ23" s="39"/>
      <c r="CR23" s="39"/>
      <c r="CS23" s="39"/>
      <c r="CT23" s="39"/>
      <c r="CU23" s="39"/>
      <c r="CV23" s="39"/>
      <c r="CW23" s="39"/>
      <c r="CX23" s="39"/>
    </row>
  </sheetData>
  <sheetProtection sheet="1" objects="1" scenarios="1"/>
  <mergeCells count="2">
    <mergeCell ref="A1:B1"/>
    <mergeCell ref="A2:B2"/>
  </mergeCells>
  <hyperlinks>
    <hyperlink ref="A1" location="'PICurrCntrl_Per1'!A1" display="'PICurrCntrl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v>0</v>
      </c>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19"/>
      <c r="D15" s="221" t="s">
        <v>45</v>
      </c>
      <c r="E15" s="222"/>
      <c r="F15" s="130" t="s">
        <v>46</v>
      </c>
    </row>
    <row r="16" spans="1:6" x14ac:dyDescent="0.25">
      <c r="A16" s="133" t="s">
        <v>47</v>
      </c>
      <c r="B16" s="134" t="s">
        <v>48</v>
      </c>
      <c r="C16" s="135" t="s">
        <v>49</v>
      </c>
      <c r="D16" s="137" t="s">
        <v>50</v>
      </c>
      <c r="E16" s="136" t="s">
        <v>51</v>
      </c>
      <c r="F16" s="13" t="s">
        <v>47</v>
      </c>
    </row>
    <row r="17" spans="1:6" x14ac:dyDescent="0.25">
      <c r="A17" s="24" t="s">
        <v>56</v>
      </c>
      <c r="B17" s="14" t="s">
        <v>2064</v>
      </c>
      <c r="C17" s="15">
        <v>13</v>
      </c>
      <c r="D17" s="16" t="s">
        <v>1290</v>
      </c>
      <c r="E17" s="17" t="s">
        <v>60</v>
      </c>
      <c r="F17" s="18"/>
    </row>
    <row r="18" spans="1:6" x14ac:dyDescent="0.25">
      <c r="A18" s="14"/>
      <c r="B18" s="14"/>
      <c r="C18" s="15"/>
      <c r="D18" s="16" t="s">
        <v>1291</v>
      </c>
      <c r="E18" s="17" t="s">
        <v>63</v>
      </c>
      <c r="F18" s="18"/>
    </row>
    <row r="19" spans="1:6" x14ac:dyDescent="0.25">
      <c r="A19" s="14"/>
      <c r="B19" s="14"/>
      <c r="C19" s="15"/>
      <c r="D19" s="16" t="s">
        <v>1292</v>
      </c>
      <c r="E19" s="17" t="s">
        <v>1278</v>
      </c>
      <c r="F19" s="18"/>
    </row>
    <row r="20" spans="1:6" x14ac:dyDescent="0.25">
      <c r="A20" s="14"/>
      <c r="B20" s="14"/>
      <c r="C20" s="15"/>
      <c r="D20" s="16"/>
      <c r="E20" s="17" t="s">
        <v>1279</v>
      </c>
      <c r="F20" s="18"/>
    </row>
    <row r="21" spans="1:6" x14ac:dyDescent="0.25">
      <c r="A21" s="14"/>
      <c r="B21" s="14"/>
      <c r="C21" s="15"/>
      <c r="D21" s="16"/>
      <c r="E21" s="17" t="s">
        <v>1288</v>
      </c>
      <c r="F21" s="65"/>
    </row>
    <row r="22" spans="1:6" x14ac:dyDescent="0.25">
      <c r="A22" s="14"/>
      <c r="B22" s="14"/>
      <c r="C22" s="15"/>
      <c r="D22" s="16"/>
      <c r="E22" s="17" t="s">
        <v>1289</v>
      </c>
      <c r="F22" s="65"/>
    </row>
    <row r="23" spans="1:6" x14ac:dyDescent="0.25">
      <c r="A23" s="14"/>
      <c r="B23" s="14"/>
      <c r="C23" s="15"/>
      <c r="D23" s="16"/>
      <c r="E23" s="139" t="s">
        <v>1501</v>
      </c>
      <c r="F23" s="18"/>
    </row>
    <row r="24" spans="1:6" x14ac:dyDescent="0.25">
      <c r="A24" s="14"/>
      <c r="B24" s="14"/>
      <c r="C24" s="15"/>
      <c r="D24" s="16"/>
      <c r="E24" s="139" t="s">
        <v>1502</v>
      </c>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59"/>
      <c r="F316" s="18"/>
    </row>
    <row r="317" spans="1:6" x14ac:dyDescent="0.25">
      <c r="A317" s="14"/>
      <c r="B317" s="14"/>
      <c r="C317" s="15"/>
      <c r="D317" s="16"/>
      <c r="E317" s="59"/>
      <c r="F317" s="18"/>
    </row>
    <row r="318" spans="1:6" x14ac:dyDescent="0.25">
      <c r="A318" s="56"/>
      <c r="B318" s="56"/>
      <c r="C318" s="57"/>
      <c r="D318" s="58"/>
      <c r="E318" s="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59"/>
      <c r="F816" s="18"/>
    </row>
    <row r="817" spans="1:6" x14ac:dyDescent="0.25">
      <c r="A817" s="14"/>
      <c r="B817" s="14"/>
      <c r="C817" s="15"/>
      <c r="D817" s="16"/>
      <c r="E817" s="59"/>
      <c r="F817" s="18"/>
    </row>
    <row r="818" spans="1:6" x14ac:dyDescent="0.25">
      <c r="A818" s="56"/>
      <c r="B818" s="56"/>
      <c r="C818" s="57"/>
      <c r="D818" s="58"/>
      <c r="E818" s="59"/>
      <c r="F818" s="60"/>
    </row>
    <row r="819" spans="1:6" x14ac:dyDescent="0.25">
      <c r="A819" s="56"/>
      <c r="B819" s="56"/>
      <c r="C819" s="57"/>
      <c r="D819" s="58"/>
      <c r="E819" s="59"/>
      <c r="F819" s="60"/>
    </row>
    <row r="820" spans="1:6" x14ac:dyDescent="0.25">
      <c r="A820" s="56"/>
      <c r="B820" s="56"/>
      <c r="C820" s="57"/>
      <c r="D820" s="58"/>
      <c r="E820" s="59"/>
      <c r="F820" s="60"/>
    </row>
    <row r="821" spans="1:6" x14ac:dyDescent="0.25">
      <c r="A821" s="56"/>
      <c r="B821" s="56"/>
      <c r="C821" s="57"/>
      <c r="D821" s="58"/>
      <c r="E821" s="59"/>
      <c r="F821" s="60"/>
    </row>
    <row r="822" spans="1:6" x14ac:dyDescent="0.25">
      <c r="A822" s="56"/>
      <c r="B822" s="56"/>
      <c r="C822" s="57"/>
      <c r="D822" s="58"/>
      <c r="E822" s="59"/>
      <c r="F822" s="60"/>
    </row>
    <row r="823" spans="1:6" x14ac:dyDescent="0.25">
      <c r="A823" s="56"/>
      <c r="B823" s="56"/>
      <c r="C823" s="57"/>
      <c r="D823" s="58"/>
      <c r="E823" s="59"/>
      <c r="F823" s="60"/>
    </row>
    <row r="824" spans="1:6" x14ac:dyDescent="0.25">
      <c r="A824" s="56"/>
      <c r="B824" s="56"/>
      <c r="C824" s="57"/>
      <c r="D824" s="58"/>
      <c r="E824" s="59"/>
      <c r="F824" s="60"/>
    </row>
    <row r="825" spans="1:6" x14ac:dyDescent="0.25">
      <c r="A825" s="56"/>
      <c r="B825" s="56"/>
      <c r="C825" s="57"/>
      <c r="D825" s="58"/>
      <c r="E825" s="59"/>
      <c r="F825" s="60"/>
    </row>
    <row r="826" spans="1:6" x14ac:dyDescent="0.25">
      <c r="A826" s="56"/>
      <c r="B826" s="56"/>
      <c r="C826" s="57"/>
      <c r="D826" s="58"/>
      <c r="E826" s="64"/>
      <c r="F826" s="60"/>
    </row>
    <row r="827" spans="1:6" x14ac:dyDescent="0.25">
      <c r="A827" s="56"/>
      <c r="B827" s="56"/>
      <c r="C827" s="57"/>
      <c r="D827" s="58"/>
      <c r="E827" s="64"/>
      <c r="F827" s="60"/>
    </row>
    <row r="828" spans="1:6" x14ac:dyDescent="0.25">
      <c r="A828" s="61"/>
      <c r="B828" s="61"/>
      <c r="C828" s="62"/>
      <c r="D828" s="63"/>
      <c r="E828" s="64"/>
      <c r="F828" s="65"/>
    </row>
    <row r="829" spans="1:6" x14ac:dyDescent="0.25">
      <c r="A829" s="61"/>
      <c r="B829" s="61"/>
      <c r="C829" s="62"/>
      <c r="D829" s="63"/>
      <c r="E829" s="64"/>
      <c r="F829" s="65"/>
    </row>
    <row r="830" spans="1:6" x14ac:dyDescent="0.25">
      <c r="A830" s="61"/>
      <c r="B830" s="61"/>
      <c r="C830" s="62"/>
      <c r="D830" s="63"/>
      <c r="E830" s="64"/>
      <c r="F830" s="65"/>
    </row>
    <row r="831" spans="1:6" x14ac:dyDescent="0.25">
      <c r="A831" s="61"/>
      <c r="B831" s="61"/>
      <c r="C831" s="62"/>
      <c r="D831" s="63"/>
      <c r="E831" s="64"/>
      <c r="F831" s="65"/>
    </row>
    <row r="832" spans="1:6" x14ac:dyDescent="0.25">
      <c r="A832" s="61"/>
      <c r="B832" s="61"/>
      <c r="C832" s="62"/>
      <c r="D832" s="63"/>
      <c r="E832" s="64"/>
      <c r="F832" s="65"/>
    </row>
    <row r="833" spans="1:6" x14ac:dyDescent="0.25">
      <c r="A833" s="61"/>
      <c r="B833" s="61"/>
      <c r="C833" s="62"/>
      <c r="D833" s="63"/>
      <c r="E833" s="64"/>
      <c r="F833" s="65"/>
    </row>
    <row r="834" spans="1:6" x14ac:dyDescent="0.25">
      <c r="A834" s="61"/>
      <c r="B834" s="61"/>
      <c r="C834" s="62"/>
      <c r="D834" s="63"/>
      <c r="E834" s="64"/>
      <c r="F834" s="65"/>
    </row>
    <row r="835" spans="1:6" x14ac:dyDescent="0.25">
      <c r="A835" s="61"/>
      <c r="B835" s="61"/>
      <c r="C835" s="62"/>
      <c r="D835" s="63"/>
      <c r="E835" s="64"/>
      <c r="F835" s="65"/>
    </row>
    <row r="836" spans="1:6" x14ac:dyDescent="0.25">
      <c r="A836" s="61"/>
      <c r="B836" s="61"/>
      <c r="C836" s="62"/>
      <c r="D836" s="63"/>
      <c r="E836" s="64"/>
      <c r="F836" s="65"/>
    </row>
    <row r="837" spans="1:6" x14ac:dyDescent="0.25">
      <c r="A837" s="61"/>
      <c r="B837" s="61"/>
      <c r="C837" s="62"/>
      <c r="D837" s="63"/>
      <c r="E837" s="64"/>
      <c r="F837" s="65"/>
    </row>
    <row r="838" spans="1:6" x14ac:dyDescent="0.25">
      <c r="A838" s="61"/>
      <c r="B838" s="61"/>
      <c r="C838" s="62"/>
      <c r="D838" s="63"/>
      <c r="E838" s="64"/>
      <c r="F838" s="65"/>
    </row>
    <row r="839" spans="1:6" x14ac:dyDescent="0.25">
      <c r="A839" s="61"/>
      <c r="B839" s="61"/>
      <c r="C839" s="62"/>
      <c r="D839" s="63"/>
      <c r="E839" s="64"/>
      <c r="F839" s="65"/>
    </row>
    <row r="840" spans="1:6" x14ac:dyDescent="0.25">
      <c r="A840" s="61"/>
      <c r="B840" s="61"/>
      <c r="C840" s="62"/>
      <c r="D840" s="63"/>
      <c r="E840" s="64"/>
      <c r="F840" s="65"/>
    </row>
    <row r="841" spans="1:6" x14ac:dyDescent="0.25">
      <c r="A841" s="61"/>
      <c r="B841" s="61"/>
      <c r="C841" s="62"/>
      <c r="D841" s="63"/>
      <c r="E841" s="64"/>
      <c r="F841" s="65"/>
    </row>
    <row r="842" spans="1:6" x14ac:dyDescent="0.25">
      <c r="A842" s="61"/>
      <c r="B842" s="61"/>
      <c r="C842" s="62"/>
      <c r="D842" s="63"/>
      <c r="E842" s="64"/>
      <c r="F842" s="65"/>
    </row>
    <row r="843" spans="1:6" x14ac:dyDescent="0.25">
      <c r="A843" s="61"/>
      <c r="B843" s="61"/>
      <c r="C843" s="62"/>
      <c r="D843" s="63"/>
      <c r="E843" s="64"/>
      <c r="F843" s="65"/>
    </row>
    <row r="844" spans="1:6" x14ac:dyDescent="0.25">
      <c r="A844" s="61"/>
      <c r="B844" s="61"/>
      <c r="C844" s="62"/>
      <c r="D844" s="63"/>
      <c r="E844" s="64"/>
      <c r="F844" s="65"/>
    </row>
    <row r="845" spans="1:6" x14ac:dyDescent="0.25">
      <c r="A845" s="61"/>
      <c r="B845" s="61"/>
      <c r="C845" s="62"/>
      <c r="D845" s="63"/>
      <c r="E845" s="64"/>
      <c r="F845" s="65"/>
    </row>
    <row r="846" spans="1:6" x14ac:dyDescent="0.25">
      <c r="A846" s="61"/>
      <c r="B846" s="61"/>
      <c r="C846" s="62"/>
      <c r="D846" s="63"/>
      <c r="E846" s="64"/>
      <c r="F846" s="65"/>
    </row>
    <row r="847" spans="1:6" x14ac:dyDescent="0.25">
      <c r="A847" s="61"/>
      <c r="B847" s="61"/>
      <c r="C847" s="62"/>
      <c r="D847" s="63"/>
      <c r="E847" s="64"/>
      <c r="F847" s="65"/>
    </row>
    <row r="848" spans="1:6" x14ac:dyDescent="0.25">
      <c r="A848" s="61"/>
      <c r="B848" s="61"/>
      <c r="C848" s="62"/>
      <c r="D848" s="63"/>
      <c r="E848" s="64"/>
      <c r="F848" s="65"/>
    </row>
    <row r="849" spans="1:6" x14ac:dyDescent="0.25">
      <c r="A849" s="61"/>
      <c r="B849" s="61"/>
      <c r="C849" s="62"/>
      <c r="D849" s="63"/>
      <c r="E849" s="64"/>
      <c r="F849" s="65"/>
    </row>
    <row r="850" spans="1:6" x14ac:dyDescent="0.25">
      <c r="A850" s="61"/>
      <c r="B850" s="61"/>
      <c r="C850" s="62"/>
      <c r="D850" s="63"/>
      <c r="E850" s="64"/>
      <c r="F850" s="65"/>
    </row>
    <row r="851" spans="1:6" x14ac:dyDescent="0.25">
      <c r="A851" s="61"/>
      <c r="B851" s="61"/>
      <c r="C851" s="62"/>
      <c r="D851" s="63"/>
      <c r="E851" s="64"/>
      <c r="F851" s="65"/>
    </row>
    <row r="852" spans="1:6" x14ac:dyDescent="0.25">
      <c r="A852" s="61"/>
      <c r="B852" s="61"/>
      <c r="C852" s="62"/>
      <c r="D852" s="63"/>
      <c r="E852" s="64"/>
      <c r="F852" s="65"/>
    </row>
    <row r="853" spans="1:6" x14ac:dyDescent="0.25">
      <c r="A853" s="61"/>
      <c r="B853" s="61"/>
      <c r="C853" s="62"/>
      <c r="D853" s="63"/>
      <c r="E853" s="64"/>
      <c r="F853" s="65"/>
    </row>
    <row r="854" spans="1:6" x14ac:dyDescent="0.25">
      <c r="A854" s="61"/>
      <c r="B854" s="61"/>
      <c r="C854" s="62"/>
      <c r="D854" s="63"/>
      <c r="E854" s="64"/>
      <c r="F854" s="65"/>
    </row>
    <row r="855" spans="1:6" x14ac:dyDescent="0.25">
      <c r="A855" s="61"/>
      <c r="B855" s="61"/>
      <c r="C855" s="62"/>
      <c r="D855" s="63"/>
      <c r="E855" s="64"/>
      <c r="F855" s="65"/>
    </row>
    <row r="856" spans="1:6" x14ac:dyDescent="0.25">
      <c r="A856" s="61"/>
      <c r="B856" s="61"/>
      <c r="C856" s="62"/>
      <c r="D856" s="63"/>
      <c r="E856" s="64"/>
      <c r="F856" s="65"/>
    </row>
    <row r="857" spans="1:6" x14ac:dyDescent="0.25">
      <c r="A857" s="61"/>
      <c r="B857" s="61"/>
      <c r="C857" s="62"/>
      <c r="D857" s="63"/>
      <c r="E857" s="64"/>
      <c r="F857" s="65"/>
    </row>
    <row r="858" spans="1:6" x14ac:dyDescent="0.25">
      <c r="A858" s="61"/>
      <c r="B858" s="61"/>
      <c r="C858" s="62"/>
      <c r="D858" s="63"/>
      <c r="E858" s="64"/>
      <c r="F858" s="65"/>
    </row>
    <row r="859" spans="1:6" x14ac:dyDescent="0.25">
      <c r="A859" s="61"/>
      <c r="B859" s="61"/>
      <c r="C859" s="62"/>
      <c r="D859" s="63"/>
      <c r="E859" s="64"/>
      <c r="F859" s="65"/>
    </row>
    <row r="860" spans="1:6" x14ac:dyDescent="0.25">
      <c r="A860" s="61"/>
      <c r="B860" s="61"/>
      <c r="C860" s="62"/>
      <c r="D860" s="63"/>
      <c r="E860" s="64"/>
      <c r="F860" s="65"/>
    </row>
    <row r="861" spans="1:6" x14ac:dyDescent="0.25">
      <c r="A861" s="61"/>
      <c r="B861" s="61"/>
      <c r="C861" s="62"/>
      <c r="D861" s="63"/>
      <c r="E861" s="64"/>
      <c r="F861" s="65"/>
    </row>
    <row r="862" spans="1:6" x14ac:dyDescent="0.25">
      <c r="A862" s="61"/>
      <c r="B862" s="61"/>
      <c r="C862" s="62"/>
      <c r="D862" s="63"/>
      <c r="E862" s="64"/>
      <c r="F862" s="65"/>
    </row>
    <row r="863" spans="1:6" x14ac:dyDescent="0.25">
      <c r="A863" s="61"/>
      <c r="B863" s="61"/>
      <c r="C863" s="62"/>
      <c r="D863" s="63"/>
      <c r="E863" s="64"/>
      <c r="F863" s="65"/>
    </row>
    <row r="864" spans="1:6" x14ac:dyDescent="0.25">
      <c r="A864" s="61"/>
      <c r="B864" s="61"/>
      <c r="C864" s="62"/>
      <c r="D864" s="63"/>
      <c r="E864" s="64"/>
      <c r="F864" s="65"/>
    </row>
    <row r="865" spans="1:6" x14ac:dyDescent="0.25">
      <c r="A865" s="61"/>
      <c r="B865" s="61"/>
      <c r="C865" s="62"/>
      <c r="D865" s="63"/>
      <c r="E865" s="64"/>
      <c r="F865" s="65"/>
    </row>
    <row r="866" spans="1:6" x14ac:dyDescent="0.25">
      <c r="A866" s="61"/>
      <c r="B866" s="61"/>
      <c r="C866" s="62"/>
      <c r="D866" s="63"/>
      <c r="E866" s="64"/>
      <c r="F866" s="65"/>
    </row>
    <row r="867" spans="1:6" x14ac:dyDescent="0.25">
      <c r="A867" s="61"/>
      <c r="B867" s="61"/>
      <c r="C867" s="62"/>
      <c r="D867" s="63"/>
      <c r="E867" s="64"/>
      <c r="F867" s="65"/>
    </row>
    <row r="868" spans="1:6" x14ac:dyDescent="0.25">
      <c r="A868" s="61"/>
      <c r="B868" s="61"/>
      <c r="C868" s="62"/>
      <c r="D868" s="63"/>
      <c r="E868" s="64"/>
      <c r="F868" s="65"/>
    </row>
    <row r="869" spans="1:6" x14ac:dyDescent="0.25">
      <c r="A869" s="61"/>
      <c r="B869" s="61"/>
      <c r="C869" s="62"/>
      <c r="D869" s="63"/>
      <c r="E869" s="64"/>
      <c r="F869" s="65"/>
    </row>
    <row r="870" spans="1:6" x14ac:dyDescent="0.25">
      <c r="A870" s="61"/>
      <c r="B870" s="61"/>
      <c r="C870" s="62"/>
      <c r="D870" s="63"/>
      <c r="E870" s="64"/>
      <c r="F870" s="65"/>
    </row>
    <row r="871" spans="1:6" x14ac:dyDescent="0.25">
      <c r="A871" s="61"/>
      <c r="B871" s="61"/>
      <c r="C871" s="62"/>
      <c r="D871" s="63"/>
      <c r="E871" s="64"/>
      <c r="F871" s="65"/>
    </row>
    <row r="872" spans="1:6" x14ac:dyDescent="0.25">
      <c r="A872" s="61"/>
      <c r="B872" s="61"/>
      <c r="C872" s="62"/>
      <c r="D872" s="63"/>
      <c r="E872" s="64"/>
      <c r="F872" s="65"/>
    </row>
    <row r="873" spans="1:6" x14ac:dyDescent="0.25">
      <c r="A873" s="61"/>
      <c r="B873" s="61"/>
      <c r="C873" s="62"/>
      <c r="D873" s="63"/>
      <c r="E873" s="64"/>
      <c r="F873" s="65"/>
    </row>
    <row r="874" spans="1:6" x14ac:dyDescent="0.25">
      <c r="A874" s="61"/>
      <c r="B874" s="61"/>
      <c r="C874" s="62"/>
      <c r="D874" s="63"/>
      <c r="E874" s="64"/>
      <c r="F874" s="65"/>
    </row>
    <row r="875" spans="1:6" x14ac:dyDescent="0.25">
      <c r="A875" s="61"/>
      <c r="B875" s="61"/>
      <c r="C875" s="62"/>
      <c r="D875" s="63"/>
      <c r="E875" s="64"/>
      <c r="F875" s="65"/>
    </row>
    <row r="876" spans="1:6" x14ac:dyDescent="0.25">
      <c r="A876" s="61"/>
      <c r="B876" s="61"/>
      <c r="C876" s="62"/>
      <c r="D876" s="63"/>
      <c r="E876" s="64"/>
      <c r="F876" s="65"/>
    </row>
    <row r="877" spans="1:6" x14ac:dyDescent="0.25">
      <c r="A877" s="61"/>
      <c r="B877" s="61"/>
      <c r="C877" s="62"/>
      <c r="D877" s="63"/>
      <c r="E877" s="64"/>
      <c r="F877" s="65"/>
    </row>
    <row r="878" spans="1:6" x14ac:dyDescent="0.25">
      <c r="A878" s="61"/>
      <c r="B878" s="61"/>
      <c r="C878" s="62"/>
      <c r="D878" s="63"/>
      <c r="E878" s="64"/>
      <c r="F878" s="65"/>
    </row>
    <row r="879" spans="1:6" x14ac:dyDescent="0.25">
      <c r="A879" s="61"/>
      <c r="B879" s="61"/>
      <c r="C879" s="62"/>
      <c r="D879" s="63"/>
      <c r="E879" s="64"/>
      <c r="F879" s="65"/>
    </row>
    <row r="880" spans="1:6" x14ac:dyDescent="0.25">
      <c r="A880" s="61"/>
      <c r="B880" s="61"/>
      <c r="C880" s="62"/>
      <c r="D880" s="63"/>
      <c r="E880" s="64"/>
      <c r="F880" s="65"/>
    </row>
    <row r="881" spans="1:6" x14ac:dyDescent="0.25">
      <c r="A881" s="61"/>
      <c r="B881" s="61"/>
      <c r="C881" s="62"/>
      <c r="D881" s="63"/>
      <c r="E881" s="64"/>
      <c r="F881" s="65"/>
    </row>
    <row r="882" spans="1:6" x14ac:dyDescent="0.25">
      <c r="A882" s="61"/>
      <c r="B882" s="61"/>
      <c r="C882" s="62"/>
      <c r="D882" s="63"/>
      <c r="E882" s="64"/>
      <c r="F882" s="65"/>
    </row>
    <row r="883" spans="1:6" x14ac:dyDescent="0.25">
      <c r="A883" s="61"/>
      <c r="B883" s="61"/>
      <c r="C883" s="62"/>
      <c r="D883" s="63"/>
      <c r="E883" s="64"/>
      <c r="F883" s="65"/>
    </row>
    <row r="884" spans="1:6" x14ac:dyDescent="0.25">
      <c r="A884" s="61"/>
      <c r="B884" s="61"/>
      <c r="C884" s="62"/>
      <c r="D884" s="63"/>
      <c r="E884" s="64"/>
      <c r="F884" s="65"/>
    </row>
    <row r="885" spans="1:6" x14ac:dyDescent="0.25">
      <c r="A885" s="61"/>
      <c r="B885" s="61"/>
      <c r="C885" s="62"/>
      <c r="D885" s="63"/>
      <c r="E885" s="64"/>
      <c r="F885" s="65"/>
    </row>
    <row r="886" spans="1:6" x14ac:dyDescent="0.25">
      <c r="A886" s="61"/>
      <c r="B886" s="61"/>
      <c r="C886" s="62"/>
      <c r="D886" s="63"/>
      <c r="E886" s="64"/>
      <c r="F886" s="65"/>
    </row>
    <row r="887" spans="1:6" x14ac:dyDescent="0.25">
      <c r="A887" s="61"/>
      <c r="B887" s="61"/>
      <c r="C887" s="62"/>
      <c r="D887" s="63"/>
      <c r="E887" s="64"/>
      <c r="F887" s="65"/>
    </row>
    <row r="888" spans="1:6" x14ac:dyDescent="0.25">
      <c r="A888" s="61"/>
      <c r="B888" s="61"/>
      <c r="C888" s="62"/>
      <c r="D888" s="63"/>
      <c r="E888" s="64"/>
      <c r="F888" s="65"/>
    </row>
    <row r="889" spans="1:6" x14ac:dyDescent="0.25">
      <c r="A889" s="61"/>
      <c r="B889" s="61"/>
      <c r="C889" s="62"/>
      <c r="D889" s="63"/>
      <c r="E889" s="64"/>
      <c r="F889" s="65"/>
    </row>
    <row r="890" spans="1:6" x14ac:dyDescent="0.25">
      <c r="A890" s="61"/>
      <c r="B890" s="61"/>
      <c r="C890" s="62"/>
      <c r="D890" s="63"/>
      <c r="E890" s="64"/>
      <c r="F890" s="65"/>
    </row>
    <row r="891" spans="1:6" x14ac:dyDescent="0.25">
      <c r="A891" s="61"/>
      <c r="B891" s="61"/>
      <c r="C891" s="62"/>
      <c r="D891" s="63"/>
      <c r="E891" s="64"/>
      <c r="F891" s="65"/>
    </row>
    <row r="892" spans="1:6" x14ac:dyDescent="0.25">
      <c r="A892" s="61"/>
      <c r="B892" s="61"/>
      <c r="C892" s="62"/>
      <c r="D892" s="63"/>
      <c r="E892" s="64"/>
      <c r="F892" s="65"/>
    </row>
    <row r="893" spans="1:6" x14ac:dyDescent="0.25">
      <c r="A893" s="61"/>
      <c r="B893" s="61"/>
      <c r="C893" s="62"/>
      <c r="D893" s="63"/>
      <c r="E893" s="64"/>
      <c r="F893" s="65"/>
    </row>
    <row r="894" spans="1:6" x14ac:dyDescent="0.25">
      <c r="A894" s="61"/>
      <c r="B894" s="61"/>
      <c r="C894" s="62"/>
      <c r="D894" s="63"/>
      <c r="E894" s="64"/>
      <c r="F894" s="65"/>
    </row>
    <row r="895" spans="1:6" x14ac:dyDescent="0.25">
      <c r="A895" s="61"/>
      <c r="B895" s="61"/>
      <c r="C895" s="62"/>
      <c r="D895" s="63"/>
      <c r="E895" s="64"/>
      <c r="F895" s="65"/>
    </row>
    <row r="896" spans="1:6" x14ac:dyDescent="0.25">
      <c r="A896" s="61"/>
      <c r="B896" s="61"/>
      <c r="C896" s="62"/>
      <c r="D896" s="63"/>
      <c r="E896" s="64"/>
      <c r="F896" s="65"/>
    </row>
    <row r="897" spans="1:6" x14ac:dyDescent="0.25">
      <c r="A897" s="61"/>
      <c r="B897" s="61"/>
      <c r="C897" s="62"/>
      <c r="D897" s="63"/>
      <c r="E897" s="64"/>
      <c r="F897" s="65"/>
    </row>
    <row r="898" spans="1:6" x14ac:dyDescent="0.25">
      <c r="A898" s="61"/>
      <c r="B898" s="61"/>
      <c r="C898" s="62"/>
      <c r="D898" s="63"/>
      <c r="E898" s="64"/>
      <c r="F898" s="65"/>
    </row>
    <row r="899" spans="1:6" x14ac:dyDescent="0.25">
      <c r="A899" s="61"/>
      <c r="B899" s="61"/>
      <c r="C899" s="62"/>
      <c r="D899" s="63"/>
      <c r="E899" s="64"/>
      <c r="F899" s="65"/>
    </row>
    <row r="900" spans="1:6" x14ac:dyDescent="0.25">
      <c r="A900" s="61"/>
      <c r="B900" s="61"/>
      <c r="C900" s="62"/>
      <c r="D900" s="63"/>
      <c r="E900" s="64"/>
      <c r="F900" s="65"/>
    </row>
    <row r="901" spans="1:6" x14ac:dyDescent="0.25">
      <c r="A901" s="61"/>
      <c r="B901" s="61"/>
      <c r="C901" s="62"/>
      <c r="D901" s="63"/>
      <c r="E901" s="64"/>
      <c r="F901" s="65"/>
    </row>
    <row r="902" spans="1:6" x14ac:dyDescent="0.25">
      <c r="A902" s="61"/>
      <c r="B902" s="61"/>
      <c r="C902" s="62"/>
      <c r="D902" s="63"/>
      <c r="E902" s="64"/>
      <c r="F902" s="65"/>
    </row>
    <row r="903" spans="1:6" x14ac:dyDescent="0.25">
      <c r="A903" s="61"/>
      <c r="B903" s="61"/>
      <c r="C903" s="62"/>
      <c r="D903" s="63"/>
      <c r="E903" s="64"/>
      <c r="F903" s="65"/>
    </row>
    <row r="904" spans="1:6" x14ac:dyDescent="0.25">
      <c r="A904" s="61"/>
      <c r="B904" s="61"/>
      <c r="C904" s="62"/>
      <c r="D904" s="63"/>
      <c r="E904" s="64"/>
      <c r="F904" s="65"/>
    </row>
    <row r="905" spans="1:6" x14ac:dyDescent="0.25">
      <c r="A905" s="61"/>
      <c r="B905" s="61"/>
      <c r="C905" s="62"/>
      <c r="D905" s="63"/>
      <c r="E905" s="64"/>
      <c r="F905" s="65"/>
    </row>
    <row r="906" spans="1:6" x14ac:dyDescent="0.25">
      <c r="A906" s="61"/>
      <c r="B906" s="61"/>
      <c r="C906" s="62"/>
      <c r="D906" s="63"/>
      <c r="E906" s="64"/>
      <c r="F906" s="65"/>
    </row>
    <row r="907" spans="1:6" x14ac:dyDescent="0.25">
      <c r="A907" s="61"/>
      <c r="B907" s="61"/>
      <c r="C907" s="62"/>
      <c r="D907" s="63"/>
      <c r="E907" s="64"/>
      <c r="F907" s="65"/>
    </row>
    <row r="908" spans="1:6" x14ac:dyDescent="0.25">
      <c r="A908" s="61"/>
      <c r="B908" s="61"/>
      <c r="C908" s="62"/>
      <c r="D908" s="63"/>
      <c r="E908" s="64"/>
      <c r="F908" s="65"/>
    </row>
    <row r="909" spans="1:6" x14ac:dyDescent="0.25">
      <c r="A909" s="61"/>
      <c r="B909" s="61"/>
      <c r="C909" s="62"/>
      <c r="D909" s="63"/>
      <c r="E909" s="64"/>
      <c r="F909" s="65"/>
    </row>
    <row r="910" spans="1:6" x14ac:dyDescent="0.25">
      <c r="A910" s="61"/>
      <c r="B910" s="61"/>
      <c r="C910" s="62"/>
      <c r="D910" s="63"/>
      <c r="E910" s="64"/>
      <c r="F910" s="65"/>
    </row>
    <row r="911" spans="1:6" x14ac:dyDescent="0.25">
      <c r="A911" s="61"/>
      <c r="B911" s="61"/>
      <c r="C911" s="62"/>
      <c r="D911" s="63"/>
      <c r="E911" s="64"/>
      <c r="F911" s="65"/>
    </row>
    <row r="912" spans="1:6" x14ac:dyDescent="0.25">
      <c r="A912" s="61"/>
      <c r="B912" s="61"/>
      <c r="C912" s="62"/>
      <c r="D912" s="63"/>
      <c r="E912" s="64"/>
      <c r="F912" s="65"/>
    </row>
    <row r="913" spans="1:6" x14ac:dyDescent="0.25">
      <c r="A913" s="61"/>
      <c r="B913" s="61"/>
      <c r="C913" s="62"/>
      <c r="D913" s="63"/>
      <c r="E913" s="64"/>
      <c r="F913" s="65"/>
    </row>
    <row r="914" spans="1:6" x14ac:dyDescent="0.25">
      <c r="A914" s="61"/>
      <c r="B914" s="61"/>
      <c r="C914" s="62"/>
      <c r="D914" s="63"/>
      <c r="E914" s="64"/>
      <c r="F914" s="65"/>
    </row>
    <row r="915" spans="1:6" x14ac:dyDescent="0.25">
      <c r="A915" s="61"/>
      <c r="B915" s="61"/>
      <c r="C915" s="62"/>
      <c r="D915" s="63"/>
      <c r="E915" s="64"/>
      <c r="F915" s="65"/>
    </row>
    <row r="916" spans="1:6" x14ac:dyDescent="0.25">
      <c r="A916" s="61"/>
      <c r="B916" s="61"/>
      <c r="C916" s="62"/>
      <c r="D916" s="63"/>
      <c r="E916" s="64"/>
      <c r="F916" s="65"/>
    </row>
    <row r="917" spans="1:6" x14ac:dyDescent="0.25">
      <c r="A917" s="61"/>
      <c r="B917" s="61"/>
      <c r="C917" s="62"/>
      <c r="D917" s="63"/>
      <c r="E917" s="64"/>
      <c r="F917" s="65"/>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PICurrCntrl_Init() R'!A1" display="'PICurrCntrl_Init() R'!A1"/>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6"/>
  <sheetViews>
    <sheetView zoomScaleNormal="100" workbookViewId="0">
      <selection sqref="A1:B1"/>
    </sheetView>
  </sheetViews>
  <sheetFormatPr defaultRowHeight="15" x14ac:dyDescent="0.25"/>
  <cols>
    <col min="1" max="1" width="8.140625" bestFit="1" customWidth="1"/>
    <col min="2" max="2" width="34.85546875" bestFit="1" customWidth="1"/>
    <col min="3" max="3" width="9" bestFit="1" customWidth="1"/>
    <col min="4" max="4" width="10" bestFit="1" customWidth="1"/>
    <col min="5" max="5" width="9" bestFit="1" customWidth="1"/>
    <col min="6" max="11" width="3.28515625" bestFit="1" customWidth="1"/>
    <col min="12" max="13" width="3.28515625" customWidth="1"/>
    <col min="14" max="15" width="7.28515625" bestFit="1" customWidth="1"/>
    <col min="16" max="16" width="12.7109375" bestFit="1" customWidth="1"/>
    <col min="17" max="17" width="12" bestFit="1" customWidth="1"/>
    <col min="18" max="18" width="12.7109375" bestFit="1" customWidth="1"/>
    <col min="19" max="19" width="12" bestFit="1" customWidth="1"/>
    <col min="20" max="21" width="7.28515625" bestFit="1" customWidth="1"/>
    <col min="22" max="22" width="10.5703125" bestFit="1" customWidth="1"/>
    <col min="23" max="23" width="12.42578125" bestFit="1" customWidth="1"/>
    <col min="24" max="24" width="10.5703125" bestFit="1" customWidth="1"/>
  </cols>
  <sheetData>
    <row r="1" spans="1:24" x14ac:dyDescent="0.25">
      <c r="A1" s="228" t="s">
        <v>56</v>
      </c>
      <c r="B1" s="229"/>
      <c r="C1" s="42" t="s">
        <v>90</v>
      </c>
      <c r="D1" s="54" t="s">
        <v>89</v>
      </c>
      <c r="E1" s="131"/>
      <c r="F1" s="42" t="s">
        <v>90</v>
      </c>
      <c r="G1" s="54" t="s">
        <v>89</v>
      </c>
      <c r="H1" s="54"/>
      <c r="I1" s="54"/>
      <c r="J1" s="54"/>
      <c r="K1" s="54"/>
      <c r="L1" s="54"/>
      <c r="M1" s="54"/>
      <c r="N1" s="131"/>
      <c r="O1" s="131"/>
      <c r="P1" s="131"/>
      <c r="Q1" s="131"/>
      <c r="R1" s="131"/>
      <c r="S1" s="131"/>
      <c r="T1" s="131"/>
      <c r="U1" s="131"/>
      <c r="V1" s="40"/>
      <c r="W1" s="40"/>
      <c r="X1" s="41"/>
    </row>
    <row r="2" spans="1:24" ht="60" customHeight="1" x14ac:dyDescent="0.25">
      <c r="A2" s="230" t="s">
        <v>80</v>
      </c>
      <c r="B2" s="231"/>
      <c r="C2" s="50" t="s">
        <v>91</v>
      </c>
      <c r="D2" s="50" t="s">
        <v>91</v>
      </c>
      <c r="E2" s="50" t="s">
        <v>91</v>
      </c>
      <c r="F2" s="45" t="s">
        <v>83</v>
      </c>
      <c r="G2" s="25" t="s">
        <v>83</v>
      </c>
      <c r="H2" s="25" t="s">
        <v>83</v>
      </c>
      <c r="I2" s="25" t="s">
        <v>83</v>
      </c>
      <c r="J2" s="25" t="s">
        <v>83</v>
      </c>
      <c r="K2" s="25" t="s">
        <v>83</v>
      </c>
      <c r="L2" s="25" t="s">
        <v>83</v>
      </c>
      <c r="M2" s="25" t="s">
        <v>83</v>
      </c>
      <c r="N2" s="26" t="s">
        <v>84</v>
      </c>
      <c r="O2" s="26" t="s">
        <v>84</v>
      </c>
      <c r="P2" s="26" t="s">
        <v>84</v>
      </c>
      <c r="Q2" s="26" t="s">
        <v>84</v>
      </c>
      <c r="R2" s="26" t="s">
        <v>84</v>
      </c>
      <c r="S2" s="26" t="s">
        <v>84</v>
      </c>
      <c r="T2" s="26" t="s">
        <v>84</v>
      </c>
      <c r="U2" s="26" t="s">
        <v>84</v>
      </c>
      <c r="V2" s="27" t="s">
        <v>24</v>
      </c>
      <c r="W2" s="27" t="s">
        <v>86</v>
      </c>
      <c r="X2" s="28" t="s">
        <v>88</v>
      </c>
    </row>
    <row r="3" spans="1:24" ht="189.75" x14ac:dyDescent="0.25">
      <c r="A3" s="29" t="s">
        <v>81</v>
      </c>
      <c r="B3" s="30" t="s">
        <v>82</v>
      </c>
      <c r="C3" s="49" t="s">
        <v>1290</v>
      </c>
      <c r="D3" s="49" t="s">
        <v>1291</v>
      </c>
      <c r="E3" s="49" t="s">
        <v>1292</v>
      </c>
      <c r="F3" s="31" t="s">
        <v>60</v>
      </c>
      <c r="G3" s="31" t="s">
        <v>63</v>
      </c>
      <c r="H3" s="31" t="s">
        <v>1278</v>
      </c>
      <c r="I3" s="31" t="s">
        <v>1279</v>
      </c>
      <c r="J3" s="31" t="s">
        <v>1288</v>
      </c>
      <c r="K3" s="31" t="s">
        <v>1289</v>
      </c>
      <c r="L3" s="31" t="s">
        <v>1277</v>
      </c>
      <c r="M3" s="31" t="s">
        <v>1276</v>
      </c>
      <c r="N3" s="32" t="s">
        <v>60</v>
      </c>
      <c r="O3" s="32" t="s">
        <v>63</v>
      </c>
      <c r="P3" s="32" t="s">
        <v>1278</v>
      </c>
      <c r="Q3" s="32" t="s">
        <v>1279</v>
      </c>
      <c r="R3" s="32" t="s">
        <v>1288</v>
      </c>
      <c r="S3" s="32" t="s">
        <v>1289</v>
      </c>
      <c r="T3" s="32" t="s">
        <v>1277</v>
      </c>
      <c r="U3" s="32" t="s">
        <v>1276</v>
      </c>
      <c r="V3" s="27" t="s">
        <v>85</v>
      </c>
      <c r="W3" s="27" t="s">
        <v>87</v>
      </c>
      <c r="X3" s="28"/>
    </row>
    <row r="4" spans="1:24" x14ac:dyDescent="0.25">
      <c r="A4" s="33">
        <v>1</v>
      </c>
      <c r="B4" s="84" t="s">
        <v>94</v>
      </c>
      <c r="C4" s="86">
        <v>0.1</v>
      </c>
      <c r="D4" s="86">
        <v>6.2500000000000001E-5</v>
      </c>
      <c r="E4" s="86">
        <v>0.1</v>
      </c>
      <c r="F4" s="34" t="s">
        <v>89</v>
      </c>
      <c r="G4" s="34" t="s">
        <v>89</v>
      </c>
      <c r="H4" s="34" t="s">
        <v>89</v>
      </c>
      <c r="I4" s="34" t="s">
        <v>89</v>
      </c>
      <c r="J4" s="34" t="s">
        <v>89</v>
      </c>
      <c r="K4" s="34" t="s">
        <v>89</v>
      </c>
      <c r="L4" s="34" t="s">
        <v>89</v>
      </c>
      <c r="M4" s="34" t="s">
        <v>89</v>
      </c>
      <c r="N4" s="43">
        <v>1</v>
      </c>
      <c r="O4" s="43">
        <v>1</v>
      </c>
      <c r="P4" s="43">
        <v>50928.581789406402</v>
      </c>
      <c r="Q4" s="43">
        <v>1.96345685610841E-5</v>
      </c>
      <c r="R4" s="43">
        <v>50928.581789406402</v>
      </c>
      <c r="S4" s="43">
        <v>1.96345685610841E-5</v>
      </c>
      <c r="T4" s="43">
        <v>12</v>
      </c>
      <c r="U4" s="43">
        <v>12</v>
      </c>
      <c r="V4" s="46" t="s">
        <v>89</v>
      </c>
      <c r="W4" s="34"/>
      <c r="X4" s="35"/>
    </row>
    <row r="5" spans="1:24" x14ac:dyDescent="0.25">
      <c r="A5" s="33">
        <v>2</v>
      </c>
      <c r="B5" s="43" t="s">
        <v>95</v>
      </c>
      <c r="C5" s="51">
        <v>1000</v>
      </c>
      <c r="D5" s="51">
        <v>0.1</v>
      </c>
      <c r="E5" s="51">
        <v>1000</v>
      </c>
      <c r="F5" s="34" t="s">
        <v>89</v>
      </c>
      <c r="G5" s="34" t="s">
        <v>89</v>
      </c>
      <c r="H5" s="34" t="s">
        <v>89</v>
      </c>
      <c r="I5" s="34" t="s">
        <v>89</v>
      </c>
      <c r="J5" s="34" t="s">
        <v>89</v>
      </c>
      <c r="K5" s="34" t="s">
        <v>89</v>
      </c>
      <c r="L5" s="34" t="s">
        <v>89</v>
      </c>
      <c r="M5" s="34" t="s">
        <v>89</v>
      </c>
      <c r="N5" s="43">
        <v>1</v>
      </c>
      <c r="O5" s="43">
        <v>1</v>
      </c>
      <c r="P5" s="43">
        <v>-0.99681690113816201</v>
      </c>
      <c r="Q5" s="43">
        <v>0.99682700110732603</v>
      </c>
      <c r="R5" s="43">
        <v>-0.99681690113816201</v>
      </c>
      <c r="S5" s="43">
        <v>0.99682700110732603</v>
      </c>
      <c r="T5" s="43">
        <v>12</v>
      </c>
      <c r="U5" s="43">
        <v>12</v>
      </c>
      <c r="V5" s="46" t="s">
        <v>89</v>
      </c>
      <c r="W5" s="34"/>
      <c r="X5" s="35"/>
    </row>
    <row r="6" spans="1:24" x14ac:dyDescent="0.25">
      <c r="A6" s="33">
        <v>3</v>
      </c>
      <c r="B6" s="43" t="s">
        <v>1330</v>
      </c>
      <c r="C6" s="51">
        <v>0.1</v>
      </c>
      <c r="D6" s="43">
        <v>1E-4</v>
      </c>
      <c r="E6" s="43">
        <v>709.77670000000001</v>
      </c>
      <c r="F6" s="34" t="s">
        <v>89</v>
      </c>
      <c r="G6" s="34" t="s">
        <v>89</v>
      </c>
      <c r="H6" s="34" t="s">
        <v>89</v>
      </c>
      <c r="I6" s="34" t="s">
        <v>89</v>
      </c>
      <c r="J6" s="34" t="s">
        <v>89</v>
      </c>
      <c r="K6" s="34" t="s">
        <v>89</v>
      </c>
      <c r="L6" s="34" t="s">
        <v>89</v>
      </c>
      <c r="M6" s="34" t="s">
        <v>89</v>
      </c>
      <c r="N6" s="43">
        <v>1</v>
      </c>
      <c r="O6" s="43">
        <v>1</v>
      </c>
      <c r="P6" s="43">
        <v>31829.988618379</v>
      </c>
      <c r="Q6" s="43">
        <v>3.14149396064632E-5</v>
      </c>
      <c r="R6" s="43">
        <v>3.4846482870428099</v>
      </c>
      <c r="S6" s="43">
        <v>0.18232709695577901</v>
      </c>
      <c r="T6" s="43">
        <v>12</v>
      </c>
      <c r="U6" s="43">
        <v>12</v>
      </c>
      <c r="V6" s="46" t="s">
        <v>89</v>
      </c>
      <c r="W6" s="34"/>
      <c r="X6" s="35"/>
    </row>
    <row r="7" spans="1:24" x14ac:dyDescent="0.25">
      <c r="A7" s="33">
        <v>4</v>
      </c>
      <c r="B7" s="43" t="s">
        <v>1331</v>
      </c>
      <c r="C7" s="51">
        <v>1000</v>
      </c>
      <c r="D7" s="43">
        <v>2.0000000000000001E-4</v>
      </c>
      <c r="E7" s="43">
        <v>45.493600000000001</v>
      </c>
      <c r="F7" s="34" t="s">
        <v>89</v>
      </c>
      <c r="G7" s="34" t="s">
        <v>89</v>
      </c>
      <c r="H7" s="34" t="s">
        <v>89</v>
      </c>
      <c r="I7" s="34" t="s">
        <v>89</v>
      </c>
      <c r="J7" s="34" t="s">
        <v>89</v>
      </c>
      <c r="K7" s="34" t="s">
        <v>89</v>
      </c>
      <c r="L7" s="34" t="s">
        <v>89</v>
      </c>
      <c r="M7" s="34" t="s">
        <v>89</v>
      </c>
      <c r="N7" s="43">
        <v>1</v>
      </c>
      <c r="O7" s="43">
        <v>1</v>
      </c>
      <c r="P7" s="43">
        <v>0.59154943091894996</v>
      </c>
      <c r="Q7" s="43">
        <v>0.38586954509503801</v>
      </c>
      <c r="R7" s="43">
        <v>33.984029202326298</v>
      </c>
      <c r="S7" s="43">
        <v>2.7790106393515101E-2</v>
      </c>
      <c r="T7" s="43">
        <v>12</v>
      </c>
      <c r="U7" s="43">
        <v>12</v>
      </c>
      <c r="V7" s="46" t="s">
        <v>89</v>
      </c>
      <c r="W7" s="34"/>
      <c r="X7" s="35"/>
    </row>
    <row r="8" spans="1:24" x14ac:dyDescent="0.25">
      <c r="A8" s="33">
        <v>5</v>
      </c>
      <c r="B8" s="43" t="s">
        <v>1332</v>
      </c>
      <c r="C8" s="51">
        <v>59.236699999999999</v>
      </c>
      <c r="D8" s="43">
        <v>2.9999999999999997E-4</v>
      </c>
      <c r="E8" s="43">
        <v>414.50529999999998</v>
      </c>
      <c r="F8" s="34" t="s">
        <v>89</v>
      </c>
      <c r="G8" s="34" t="s">
        <v>89</v>
      </c>
      <c r="H8" s="34" t="s">
        <v>89</v>
      </c>
      <c r="I8" s="34" t="s">
        <v>89</v>
      </c>
      <c r="J8" s="34" t="s">
        <v>89</v>
      </c>
      <c r="K8" s="34" t="s">
        <v>89</v>
      </c>
      <c r="L8" s="34" t="s">
        <v>89</v>
      </c>
      <c r="M8" s="34" t="s">
        <v>89</v>
      </c>
      <c r="N8" s="43">
        <v>1</v>
      </c>
      <c r="O8" s="43">
        <v>1</v>
      </c>
      <c r="P8" s="43">
        <v>16.911749877119501</v>
      </c>
      <c r="Q8" s="43">
        <v>5.2877179874817097E-2</v>
      </c>
      <c r="R8" s="43">
        <v>1.5597572671470501</v>
      </c>
      <c r="S8" s="43">
        <v>0.280918030346897</v>
      </c>
      <c r="T8" s="43">
        <v>12</v>
      </c>
      <c r="U8" s="43">
        <v>12</v>
      </c>
      <c r="V8" s="46" t="s">
        <v>89</v>
      </c>
      <c r="W8" s="34"/>
      <c r="X8" s="35"/>
    </row>
    <row r="9" spans="1:24" x14ac:dyDescent="0.25">
      <c r="A9" s="33">
        <v>6</v>
      </c>
      <c r="B9" s="43" t="s">
        <v>1338</v>
      </c>
      <c r="C9" s="51">
        <v>200</v>
      </c>
      <c r="D9" s="43">
        <v>4.0000000000000002E-4</v>
      </c>
      <c r="E9" s="43">
        <v>863.49570000000006</v>
      </c>
      <c r="F9" s="34" t="s">
        <v>89</v>
      </c>
      <c r="G9" s="34" t="s">
        <v>89</v>
      </c>
      <c r="H9" s="34" t="s">
        <v>89</v>
      </c>
      <c r="I9" s="34" t="s">
        <v>89</v>
      </c>
      <c r="J9" s="34" t="s">
        <v>89</v>
      </c>
      <c r="K9" s="34" t="s">
        <v>89</v>
      </c>
      <c r="L9" s="34" t="s">
        <v>89</v>
      </c>
      <c r="M9" s="34" t="s">
        <v>89</v>
      </c>
      <c r="N9" s="43">
        <v>1</v>
      </c>
      <c r="O9" s="43">
        <v>1</v>
      </c>
      <c r="P9" s="43">
        <v>2.97887357729737</v>
      </c>
      <c r="Q9" s="43">
        <v>0.20084864266483701</v>
      </c>
      <c r="R9" s="43">
        <v>-7.8426545193595307E-2</v>
      </c>
      <c r="S9" s="43">
        <v>0.52040685590171598</v>
      </c>
      <c r="T9" s="43">
        <v>12</v>
      </c>
      <c r="U9" s="43">
        <v>12</v>
      </c>
      <c r="V9" s="46" t="s">
        <v>89</v>
      </c>
      <c r="W9" s="34"/>
      <c r="X9" s="35"/>
    </row>
    <row r="10" spans="1:24" x14ac:dyDescent="0.25">
      <c r="A10" s="33">
        <v>7</v>
      </c>
      <c r="B10" s="43" t="s">
        <v>1333</v>
      </c>
      <c r="C10" s="43">
        <v>289.92309999999998</v>
      </c>
      <c r="D10" s="51">
        <v>6.2500000000000001E-5</v>
      </c>
      <c r="E10" s="43">
        <v>791.29139999999995</v>
      </c>
      <c r="F10" s="34" t="s">
        <v>89</v>
      </c>
      <c r="G10" s="34" t="s">
        <v>89</v>
      </c>
      <c r="H10" s="34" t="s">
        <v>89</v>
      </c>
      <c r="I10" s="34" t="s">
        <v>89</v>
      </c>
      <c r="J10" s="34" t="s">
        <v>89</v>
      </c>
      <c r="K10" s="34" t="s">
        <v>89</v>
      </c>
      <c r="L10" s="34" t="s">
        <v>89</v>
      </c>
      <c r="M10" s="34" t="s">
        <v>89</v>
      </c>
      <c r="N10" s="43">
        <v>1</v>
      </c>
      <c r="O10" s="43">
        <v>1</v>
      </c>
      <c r="P10" s="43">
        <v>16.566582928164902</v>
      </c>
      <c r="Q10" s="43">
        <v>5.3860207011115303E-2</v>
      </c>
      <c r="R10" s="43">
        <v>5.43626125462837</v>
      </c>
      <c r="S10" s="43">
        <v>0.13447617905807099</v>
      </c>
      <c r="T10" s="43">
        <v>12</v>
      </c>
      <c r="U10" s="43">
        <v>12</v>
      </c>
      <c r="V10" s="46" t="s">
        <v>89</v>
      </c>
      <c r="W10" s="34"/>
      <c r="X10" s="35"/>
    </row>
    <row r="11" spans="1:24" x14ac:dyDescent="0.25">
      <c r="A11" s="33">
        <v>8</v>
      </c>
      <c r="B11" s="43" t="s">
        <v>1334</v>
      </c>
      <c r="C11" s="43">
        <v>302.31979999999999</v>
      </c>
      <c r="D11" s="51">
        <v>0.1</v>
      </c>
      <c r="E11" s="43">
        <v>801.49040000000002</v>
      </c>
      <c r="F11" s="34" t="s">
        <v>89</v>
      </c>
      <c r="G11" s="34" t="s">
        <v>89</v>
      </c>
      <c r="H11" s="34" t="s">
        <v>89</v>
      </c>
      <c r="I11" s="34" t="s">
        <v>89</v>
      </c>
      <c r="J11" s="34" t="s">
        <v>89</v>
      </c>
      <c r="K11" s="34" t="s">
        <v>89</v>
      </c>
      <c r="L11" s="34" t="s">
        <v>89</v>
      </c>
      <c r="M11" s="34" t="s">
        <v>89</v>
      </c>
      <c r="N11" s="43">
        <v>1</v>
      </c>
      <c r="O11" s="43">
        <v>1</v>
      </c>
      <c r="P11" s="43">
        <v>-0.98947108703486197</v>
      </c>
      <c r="Q11" s="43">
        <v>0.98958078999022103</v>
      </c>
      <c r="R11" s="43">
        <v>-0.99602852528010599</v>
      </c>
      <c r="S11" s="43">
        <v>0.99604423549882004</v>
      </c>
      <c r="T11" s="43">
        <v>12</v>
      </c>
      <c r="U11" s="43">
        <v>12</v>
      </c>
      <c r="V11" s="46" t="s">
        <v>89</v>
      </c>
      <c r="W11" s="34"/>
      <c r="X11" s="35"/>
    </row>
    <row r="12" spans="1:24" x14ac:dyDescent="0.25">
      <c r="A12" s="33">
        <v>9</v>
      </c>
      <c r="B12" s="43" t="s">
        <v>1339</v>
      </c>
      <c r="C12" s="43">
        <v>775.53740000000005</v>
      </c>
      <c r="D12" s="51">
        <v>1.25E-4</v>
      </c>
      <c r="E12" s="43">
        <v>325.59809999999999</v>
      </c>
      <c r="F12" s="34" t="s">
        <v>89</v>
      </c>
      <c r="G12" s="34" t="s">
        <v>89</v>
      </c>
      <c r="H12" s="34" t="s">
        <v>89</v>
      </c>
      <c r="I12" s="34" t="s">
        <v>89</v>
      </c>
      <c r="J12" s="34" t="s">
        <v>89</v>
      </c>
      <c r="K12" s="34" t="s">
        <v>89</v>
      </c>
      <c r="L12" s="34" t="s">
        <v>89</v>
      </c>
      <c r="M12" s="34" t="s">
        <v>89</v>
      </c>
      <c r="N12" s="43">
        <v>1</v>
      </c>
      <c r="O12" s="43">
        <v>1</v>
      </c>
      <c r="P12" s="43">
        <v>2.2835026260117401</v>
      </c>
      <c r="Q12" s="43">
        <v>0.23345380808860899</v>
      </c>
      <c r="R12" s="43">
        <v>6.8209273625070903</v>
      </c>
      <c r="S12" s="43">
        <v>0.113366765069447</v>
      </c>
      <c r="T12" s="43">
        <v>12</v>
      </c>
      <c r="U12" s="43">
        <v>12</v>
      </c>
      <c r="V12" s="46" t="s">
        <v>89</v>
      </c>
      <c r="W12" s="34"/>
      <c r="X12" s="35"/>
    </row>
    <row r="13" spans="1:24" x14ac:dyDescent="0.25">
      <c r="A13" s="33">
        <v>10</v>
      </c>
      <c r="B13" s="43" t="s">
        <v>1335</v>
      </c>
      <c r="C13" s="43">
        <v>14.1303</v>
      </c>
      <c r="D13" s="43">
        <v>9.8900000000000002E-2</v>
      </c>
      <c r="E13" s="51">
        <v>0.1</v>
      </c>
      <c r="F13" s="34" t="s">
        <v>89</v>
      </c>
      <c r="G13" s="34" t="s">
        <v>89</v>
      </c>
      <c r="H13" s="34" t="s">
        <v>89</v>
      </c>
      <c r="I13" s="34" t="s">
        <v>89</v>
      </c>
      <c r="J13" s="34" t="s">
        <v>89</v>
      </c>
      <c r="K13" s="34" t="s">
        <v>89</v>
      </c>
      <c r="L13" s="34" t="s">
        <v>89</v>
      </c>
      <c r="M13" s="34" t="s">
        <v>89</v>
      </c>
      <c r="N13" s="43">
        <v>1</v>
      </c>
      <c r="O13" s="43">
        <v>1</v>
      </c>
      <c r="P13" s="43">
        <v>-0.77222688915967297</v>
      </c>
      <c r="Q13" s="43">
        <v>0.81448273396016002</v>
      </c>
      <c r="R13" s="43">
        <v>31.185023881070801</v>
      </c>
      <c r="S13" s="43">
        <v>3.0134075044930601E-2</v>
      </c>
      <c r="T13" s="43">
        <v>12</v>
      </c>
      <c r="U13" s="43">
        <v>12</v>
      </c>
      <c r="V13" s="46" t="s">
        <v>89</v>
      </c>
      <c r="W13" s="34"/>
      <c r="X13" s="35"/>
    </row>
    <row r="14" spans="1:24" x14ac:dyDescent="0.25">
      <c r="A14" s="33">
        <v>11</v>
      </c>
      <c r="B14" s="43" t="s">
        <v>1336</v>
      </c>
      <c r="C14" s="43">
        <v>761.50819999999999</v>
      </c>
      <c r="D14" s="43">
        <v>3.4099999999999998E-2</v>
      </c>
      <c r="E14" s="51">
        <v>1000</v>
      </c>
      <c r="F14" s="34" t="s">
        <v>89</v>
      </c>
      <c r="G14" s="34" t="s">
        <v>89</v>
      </c>
      <c r="H14" s="34" t="s">
        <v>89</v>
      </c>
      <c r="I14" s="34" t="s">
        <v>89</v>
      </c>
      <c r="J14" s="34" t="s">
        <v>89</v>
      </c>
      <c r="K14" s="34" t="s">
        <v>89</v>
      </c>
      <c r="L14" s="34" t="s">
        <v>89</v>
      </c>
      <c r="M14" s="34" t="s">
        <v>89</v>
      </c>
      <c r="N14" s="43">
        <v>1</v>
      </c>
      <c r="O14" s="43">
        <v>1</v>
      </c>
      <c r="P14" s="43">
        <v>-0.98774195633369</v>
      </c>
      <c r="Q14" s="43">
        <v>0.98789039638360199</v>
      </c>
      <c r="R14" s="43">
        <v>-0.99066539923214703</v>
      </c>
      <c r="S14" s="43">
        <v>0.99075172815758805</v>
      </c>
      <c r="T14" s="43">
        <v>12</v>
      </c>
      <c r="U14" s="43">
        <v>12</v>
      </c>
      <c r="V14" s="46" t="s">
        <v>89</v>
      </c>
      <c r="W14" s="34"/>
      <c r="X14" s="35"/>
    </row>
    <row r="15" spans="1:24" x14ac:dyDescent="0.25">
      <c r="A15" s="33">
        <v>12</v>
      </c>
      <c r="B15" s="43" t="s">
        <v>1337</v>
      </c>
      <c r="C15" s="43">
        <v>815.32309999999995</v>
      </c>
      <c r="D15" s="43">
        <v>3.4099999999999998E-2</v>
      </c>
      <c r="E15" s="51">
        <v>213.23500000000001</v>
      </c>
      <c r="F15" s="34" t="s">
        <v>89</v>
      </c>
      <c r="G15" s="34" t="s">
        <v>89</v>
      </c>
      <c r="H15" s="34" t="s">
        <v>89</v>
      </c>
      <c r="I15" s="34" t="s">
        <v>89</v>
      </c>
      <c r="J15" s="34" t="s">
        <v>89</v>
      </c>
      <c r="K15" s="34" t="s">
        <v>89</v>
      </c>
      <c r="L15" s="34" t="s">
        <v>89</v>
      </c>
      <c r="M15" s="34" t="s">
        <v>89</v>
      </c>
      <c r="N15" s="43">
        <v>1</v>
      </c>
      <c r="O15" s="43">
        <v>1</v>
      </c>
      <c r="P15" s="43">
        <v>-0.98855104097031798</v>
      </c>
      <c r="Q15" s="43">
        <v>0.98868063590607203</v>
      </c>
      <c r="R15" s="43">
        <v>-0.95622388084576604</v>
      </c>
      <c r="S15" s="43">
        <v>0.95805985752030298</v>
      </c>
      <c r="T15" s="43">
        <v>12</v>
      </c>
      <c r="U15" s="43">
        <v>12</v>
      </c>
      <c r="V15" s="46" t="s">
        <v>89</v>
      </c>
      <c r="W15" s="34"/>
      <c r="X15" s="35"/>
    </row>
    <row r="16" spans="1:24" ht="15.75" thickBot="1" x14ac:dyDescent="0.3">
      <c r="A16" s="36">
        <v>13</v>
      </c>
      <c r="B16" s="44" t="s">
        <v>1340</v>
      </c>
      <c r="C16" s="44">
        <v>815.32309999999995</v>
      </c>
      <c r="D16" s="44">
        <v>3.0200000000000001E-2</v>
      </c>
      <c r="E16" s="55">
        <v>500</v>
      </c>
      <c r="F16" s="37" t="s">
        <v>89</v>
      </c>
      <c r="G16" s="37" t="s">
        <v>89</v>
      </c>
      <c r="H16" s="37" t="s">
        <v>89</v>
      </c>
      <c r="I16" s="37" t="s">
        <v>89</v>
      </c>
      <c r="J16" s="37" t="s">
        <v>89</v>
      </c>
      <c r="K16" s="37" t="s">
        <v>89</v>
      </c>
      <c r="L16" s="37" t="s">
        <v>89</v>
      </c>
      <c r="M16" s="37" t="s">
        <v>89</v>
      </c>
      <c r="N16" s="44">
        <v>1</v>
      </c>
      <c r="O16" s="44">
        <v>1</v>
      </c>
      <c r="P16" s="44">
        <v>-0.98707253301615405</v>
      </c>
      <c r="Q16" s="44">
        <v>0.98723751956066597</v>
      </c>
      <c r="R16" s="44">
        <v>-0.97891987508716605</v>
      </c>
      <c r="S16" s="44">
        <v>0.979355072732776</v>
      </c>
      <c r="T16" s="44">
        <v>12</v>
      </c>
      <c r="U16" s="44">
        <v>12</v>
      </c>
      <c r="V16" s="47" t="s">
        <v>89</v>
      </c>
      <c r="W16" s="37"/>
      <c r="X16" s="38"/>
    </row>
    <row r="17" spans="1:24"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row>
    <row r="18" spans="1:2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row>
    <row r="19" spans="1:24"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row>
    <row r="20" spans="1:24"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row>
    <row r="21" spans="1:24"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row>
    <row r="22" spans="1:24" x14ac:dyDescent="0.25">
      <c r="A22" s="39"/>
      <c r="B22" s="39"/>
      <c r="C22" s="39"/>
      <c r="D22" s="39"/>
      <c r="E22" s="39"/>
      <c r="F22" s="39"/>
      <c r="G22" s="39"/>
      <c r="H22" s="39"/>
      <c r="I22" s="39"/>
      <c r="J22" s="39"/>
      <c r="K22" s="39"/>
      <c r="L22" s="39"/>
      <c r="M22" s="39"/>
      <c r="N22" s="39"/>
      <c r="O22" s="39"/>
      <c r="P22" s="39"/>
      <c r="Q22" s="39"/>
      <c r="R22" s="39"/>
      <c r="S22" s="39"/>
      <c r="T22" s="39"/>
      <c r="U22" s="39"/>
      <c r="V22" s="39"/>
      <c r="W22" s="39"/>
      <c r="X22" s="39"/>
    </row>
    <row r="23" spans="1:24" x14ac:dyDescent="0.25">
      <c r="A23" s="39"/>
      <c r="B23" s="39"/>
      <c r="C23" s="39"/>
      <c r="D23" s="39"/>
      <c r="E23" s="39"/>
      <c r="F23" s="39"/>
      <c r="G23" s="39"/>
      <c r="H23" s="39"/>
      <c r="I23" s="39"/>
      <c r="J23" s="39"/>
      <c r="K23" s="39"/>
      <c r="L23" s="39"/>
      <c r="M23" s="39"/>
      <c r="N23" s="39"/>
      <c r="O23" s="39"/>
      <c r="P23" s="39"/>
      <c r="Q23" s="39"/>
      <c r="R23" s="39"/>
      <c r="S23" s="39"/>
      <c r="T23" s="39"/>
      <c r="U23" s="39"/>
      <c r="V23" s="39"/>
      <c r="W23" s="39"/>
      <c r="X23" s="39"/>
    </row>
    <row r="24" spans="1:24" x14ac:dyDescent="0.25">
      <c r="A24" s="39"/>
      <c r="B24" s="39"/>
      <c r="C24" s="39"/>
      <c r="D24" s="39"/>
      <c r="E24" s="39"/>
      <c r="F24" s="39"/>
      <c r="G24" s="39"/>
      <c r="H24" s="39"/>
      <c r="I24" s="39"/>
      <c r="J24" s="39"/>
      <c r="K24" s="39"/>
      <c r="L24" s="39"/>
      <c r="M24" s="39"/>
      <c r="N24" s="39"/>
      <c r="O24" s="39"/>
      <c r="P24" s="39"/>
      <c r="Q24" s="39"/>
      <c r="R24" s="39"/>
      <c r="S24" s="39"/>
      <c r="T24" s="39"/>
      <c r="U24" s="39"/>
      <c r="V24" s="39"/>
      <c r="W24" s="39"/>
      <c r="X24" s="39"/>
    </row>
    <row r="25" spans="1:2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row>
    <row r="26" spans="1:24" x14ac:dyDescent="0.25">
      <c r="A26" s="39"/>
      <c r="B26" s="39"/>
      <c r="C26" s="39"/>
      <c r="D26" s="39"/>
      <c r="E26" s="39"/>
      <c r="F26" s="39"/>
      <c r="G26" s="39"/>
      <c r="H26" s="39"/>
      <c r="I26" s="39"/>
      <c r="J26" s="39"/>
      <c r="K26" s="39"/>
      <c r="L26" s="39"/>
      <c r="M26" s="39"/>
      <c r="N26" s="39"/>
      <c r="O26" s="39"/>
      <c r="P26" s="39"/>
      <c r="Q26" s="39"/>
      <c r="R26" s="39"/>
      <c r="S26" s="39"/>
      <c r="T26" s="39"/>
      <c r="U26" s="39"/>
      <c r="V26" s="39"/>
      <c r="W26" s="39"/>
      <c r="X26" s="39"/>
    </row>
  </sheetData>
  <sheetProtection sheet="1" objects="1" scenarios="1"/>
  <mergeCells count="2">
    <mergeCell ref="A1:B1"/>
    <mergeCell ref="A2:B2"/>
  </mergeCells>
  <hyperlinks>
    <hyperlink ref="A1" location="'PICurrCntrl_Init'!A1" display="'PICurrCntrl_Init'!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27"/>
  <sheetViews>
    <sheetView workbookViewId="0">
      <selection activeCell="B17" sqref="B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1281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v>0</v>
      </c>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19"/>
      <c r="D15" s="221" t="s">
        <v>45</v>
      </c>
      <c r="E15" s="222"/>
      <c r="F15" s="74" t="s">
        <v>46</v>
      </c>
    </row>
    <row r="16" spans="1:6" x14ac:dyDescent="0.25">
      <c r="A16" s="77" t="s">
        <v>47</v>
      </c>
      <c r="B16" s="78" t="s">
        <v>48</v>
      </c>
      <c r="C16" s="79" t="s">
        <v>49</v>
      </c>
      <c r="D16" s="81" t="s">
        <v>50</v>
      </c>
      <c r="E16" s="80" t="s">
        <v>51</v>
      </c>
      <c r="F16" s="13" t="s">
        <v>47</v>
      </c>
    </row>
    <row r="17" spans="1:6" x14ac:dyDescent="0.25">
      <c r="A17" s="24" t="s">
        <v>1293</v>
      </c>
      <c r="B17" s="14" t="s">
        <v>2064</v>
      </c>
      <c r="C17" s="15">
        <v>8</v>
      </c>
      <c r="D17" s="16"/>
      <c r="E17" s="17" t="s">
        <v>1284</v>
      </c>
      <c r="F17" s="18"/>
    </row>
    <row r="18" spans="1:6" x14ac:dyDescent="0.25">
      <c r="A18" s="14"/>
      <c r="B18" s="14"/>
      <c r="C18" s="15"/>
      <c r="D18" s="16"/>
      <c r="E18" s="17" t="s">
        <v>1285</v>
      </c>
      <c r="F18" s="18"/>
    </row>
    <row r="19" spans="1:6" x14ac:dyDescent="0.25">
      <c r="A19" s="14"/>
      <c r="B19" s="14"/>
      <c r="C19" s="15"/>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BilinearTerm() R'!A1" display="'CalLowPassFiltBilinearTerm() R'!A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1"/>
  <sheetViews>
    <sheetView workbookViewId="0">
      <selection sqref="A1:B1"/>
    </sheetView>
  </sheetViews>
  <sheetFormatPr defaultRowHeight="15" x14ac:dyDescent="0.25"/>
  <cols>
    <col min="1" max="1" width="8.140625" bestFit="1" customWidth="1"/>
    <col min="2" max="2" width="24.5703125" bestFit="1" customWidth="1"/>
    <col min="3" max="3" width="11" bestFit="1" customWidth="1"/>
    <col min="4" max="4" width="10" bestFit="1" customWidth="1"/>
    <col min="5" max="6" width="3.28515625" bestFit="1" customWidth="1"/>
    <col min="7" max="7" width="12.7109375" bestFit="1" customWidth="1"/>
    <col min="8" max="8" width="12" bestFit="1" customWidth="1"/>
    <col min="9" max="9" width="10.5703125" bestFit="1" customWidth="1"/>
    <col min="10" max="10" width="12.42578125" bestFit="1" customWidth="1"/>
    <col min="11" max="11" width="10.5703125" bestFit="1" customWidth="1"/>
  </cols>
  <sheetData>
    <row r="1" spans="1:11" x14ac:dyDescent="0.25">
      <c r="A1" s="228" t="s">
        <v>1293</v>
      </c>
      <c r="B1" s="229"/>
      <c r="C1" s="42" t="s">
        <v>90</v>
      </c>
      <c r="D1" s="54" t="s">
        <v>89</v>
      </c>
      <c r="E1" s="75"/>
      <c r="F1" s="75"/>
      <c r="G1" s="75"/>
      <c r="H1" s="75"/>
      <c r="I1" s="40"/>
      <c r="J1" s="40"/>
      <c r="K1" s="41"/>
    </row>
    <row r="2" spans="1:11" ht="60" customHeight="1" x14ac:dyDescent="0.25">
      <c r="A2" s="230" t="s">
        <v>80</v>
      </c>
      <c r="B2" s="231"/>
      <c r="C2" s="50" t="s">
        <v>1302</v>
      </c>
      <c r="D2" s="50" t="s">
        <v>1302</v>
      </c>
      <c r="E2" s="45" t="s">
        <v>83</v>
      </c>
      <c r="F2" s="25" t="s">
        <v>83</v>
      </c>
      <c r="G2" s="26" t="s">
        <v>84</v>
      </c>
      <c r="H2" s="26" t="s">
        <v>84</v>
      </c>
      <c r="I2" s="27" t="s">
        <v>24</v>
      </c>
      <c r="J2" s="27" t="s">
        <v>86</v>
      </c>
      <c r="K2" s="28" t="s">
        <v>88</v>
      </c>
    </row>
    <row r="3" spans="1:11" ht="156" x14ac:dyDescent="0.25">
      <c r="A3" s="29" t="s">
        <v>81</v>
      </c>
      <c r="B3" s="30" t="s">
        <v>82</v>
      </c>
      <c r="C3" s="82" t="s">
        <v>1303</v>
      </c>
      <c r="D3" s="82" t="s">
        <v>1304</v>
      </c>
      <c r="E3" s="31" t="s">
        <v>1284</v>
      </c>
      <c r="F3" s="31" t="s">
        <v>1285</v>
      </c>
      <c r="G3" s="32" t="s">
        <v>1284</v>
      </c>
      <c r="H3" s="32" t="s">
        <v>1285</v>
      </c>
      <c r="I3" s="27" t="s">
        <v>85</v>
      </c>
      <c r="J3" s="27" t="s">
        <v>87</v>
      </c>
      <c r="K3" s="28"/>
    </row>
    <row r="4" spans="1:11" x14ac:dyDescent="0.25">
      <c r="A4" s="33">
        <v>1</v>
      </c>
      <c r="B4" s="43" t="s">
        <v>1305</v>
      </c>
      <c r="C4" s="51">
        <v>0.1</v>
      </c>
      <c r="D4" s="51">
        <v>6.2500000000000001E-5</v>
      </c>
      <c r="E4" s="34" t="s">
        <v>89</v>
      </c>
      <c r="F4" s="34" t="s">
        <v>89</v>
      </c>
      <c r="G4" s="43">
        <v>50928.581789406402</v>
      </c>
      <c r="H4" s="43">
        <v>1.96345685610841E-5</v>
      </c>
      <c r="I4" s="46" t="s">
        <v>89</v>
      </c>
      <c r="J4" s="34"/>
      <c r="K4" s="35"/>
    </row>
    <row r="5" spans="1:11" x14ac:dyDescent="0.25">
      <c r="A5" s="33">
        <v>2</v>
      </c>
      <c r="B5" s="43" t="s">
        <v>95</v>
      </c>
      <c r="C5" s="51">
        <v>2147483647</v>
      </c>
      <c r="D5" s="51">
        <v>0.1</v>
      </c>
      <c r="E5" s="34" t="s">
        <v>89</v>
      </c>
      <c r="F5" s="34" t="s">
        <v>89</v>
      </c>
      <c r="G5" s="43">
        <v>-0.99999999851775401</v>
      </c>
      <c r="H5" s="43">
        <v>0.99999999851775401</v>
      </c>
      <c r="I5" s="46" t="s">
        <v>89</v>
      </c>
      <c r="J5" s="34"/>
      <c r="K5" s="35"/>
    </row>
    <row r="6" spans="1:11" x14ac:dyDescent="0.25">
      <c r="A6" s="33">
        <v>3</v>
      </c>
      <c r="B6" s="43" t="s">
        <v>1309</v>
      </c>
      <c r="C6" s="51">
        <v>0.1</v>
      </c>
      <c r="D6" s="43">
        <v>2.3999999999999998E-3</v>
      </c>
      <c r="E6" s="34" t="s">
        <v>89</v>
      </c>
      <c r="F6" s="34" t="s">
        <v>89</v>
      </c>
      <c r="G6" s="43">
        <v>1325.2911924324601</v>
      </c>
      <c r="H6" s="43">
        <v>7.5341417595588202E-4</v>
      </c>
      <c r="I6" s="46" t="s">
        <v>89</v>
      </c>
      <c r="J6" s="34"/>
      <c r="K6" s="35"/>
    </row>
    <row r="7" spans="1:11" x14ac:dyDescent="0.25">
      <c r="A7" s="33">
        <v>4</v>
      </c>
      <c r="B7" s="43" t="s">
        <v>1310</v>
      </c>
      <c r="C7" s="51">
        <v>2147483647</v>
      </c>
      <c r="D7" s="43">
        <v>2.1399999999999999E-2</v>
      </c>
      <c r="E7" s="34" t="s">
        <v>89</v>
      </c>
      <c r="F7" s="34" t="s">
        <v>89</v>
      </c>
      <c r="G7" s="43">
        <v>-0.99999999307361698</v>
      </c>
      <c r="H7" s="43">
        <v>0.99999999307361698</v>
      </c>
      <c r="I7" s="46" t="s">
        <v>89</v>
      </c>
      <c r="J7" s="34"/>
      <c r="K7" s="35"/>
    </row>
    <row r="8" spans="1:11" x14ac:dyDescent="0.25">
      <c r="A8" s="33">
        <v>5</v>
      </c>
      <c r="B8" s="43" t="s">
        <v>1311</v>
      </c>
      <c r="C8" s="51">
        <v>25348.712299999999</v>
      </c>
      <c r="D8" s="43">
        <v>3.6519999999999997E-2</v>
      </c>
      <c r="E8" s="34" t="s">
        <v>89</v>
      </c>
      <c r="F8" s="34" t="s">
        <v>89</v>
      </c>
      <c r="G8" s="43">
        <v>-0.99965615441200795</v>
      </c>
      <c r="H8" s="43">
        <v>0.99965627260115697</v>
      </c>
      <c r="I8" s="46" t="s">
        <v>89</v>
      </c>
      <c r="J8" s="34"/>
      <c r="K8" s="35"/>
    </row>
    <row r="9" spans="1:11" x14ac:dyDescent="0.25">
      <c r="A9" s="33">
        <v>6</v>
      </c>
      <c r="B9" s="43" t="s">
        <v>1312</v>
      </c>
      <c r="C9" s="43">
        <v>250.41229999999999</v>
      </c>
      <c r="D9" s="51">
        <v>6.2500000000000001E-5</v>
      </c>
      <c r="E9" s="34" t="s">
        <v>89</v>
      </c>
      <c r="F9" s="34" t="s">
        <v>89</v>
      </c>
      <c r="G9" s="43">
        <v>19.338290806564402</v>
      </c>
      <c r="H9" s="43">
        <v>4.68641096452002E-2</v>
      </c>
      <c r="I9" s="46" t="s">
        <v>89</v>
      </c>
      <c r="J9" s="34"/>
      <c r="K9" s="35"/>
    </row>
    <row r="10" spans="1:11" x14ac:dyDescent="0.25">
      <c r="A10" s="33">
        <v>7</v>
      </c>
      <c r="B10" s="43" t="s">
        <v>1313</v>
      </c>
      <c r="C10" s="43">
        <v>1050.3255999999999</v>
      </c>
      <c r="D10" s="51">
        <v>0.1</v>
      </c>
      <c r="E10" s="34" t="s">
        <v>89</v>
      </c>
      <c r="F10" s="34" t="s">
        <v>89</v>
      </c>
      <c r="G10" s="43">
        <v>-0.99696941704378395</v>
      </c>
      <c r="H10" s="43">
        <v>0.99697857372675103</v>
      </c>
      <c r="I10" s="46" t="s">
        <v>89</v>
      </c>
      <c r="J10" s="34"/>
      <c r="K10" s="35"/>
    </row>
    <row r="11" spans="1:11" ht="15.75" thickBot="1" x14ac:dyDescent="0.3">
      <c r="A11" s="36">
        <v>8</v>
      </c>
      <c r="B11" s="44" t="s">
        <v>1314</v>
      </c>
      <c r="C11" s="44">
        <v>286.22359999999998</v>
      </c>
      <c r="D11" s="55">
        <v>3.0000000000000001E-3</v>
      </c>
      <c r="E11" s="37" t="s">
        <v>89</v>
      </c>
      <c r="F11" s="37" t="s">
        <v>89</v>
      </c>
      <c r="G11" s="44">
        <v>-0.62929927722732604</v>
      </c>
      <c r="H11" s="44">
        <v>0.729553857662806</v>
      </c>
      <c r="I11" s="47" t="s">
        <v>89</v>
      </c>
      <c r="J11" s="37"/>
      <c r="K11" s="38"/>
    </row>
    <row r="12" spans="1:11" x14ac:dyDescent="0.25">
      <c r="A12" s="39"/>
      <c r="B12" s="39"/>
      <c r="C12" s="39"/>
      <c r="D12" s="39"/>
      <c r="E12" s="39"/>
      <c r="F12" s="39"/>
      <c r="G12" s="39"/>
      <c r="H12" s="39"/>
      <c r="I12" s="39"/>
      <c r="J12" s="39"/>
      <c r="K12" s="39"/>
    </row>
    <row r="13" spans="1:11" x14ac:dyDescent="0.25">
      <c r="A13" s="39"/>
      <c r="B13" s="39"/>
      <c r="C13" s="39"/>
      <c r="D13" s="39"/>
      <c r="E13" s="39"/>
      <c r="F13" s="39"/>
      <c r="G13" s="39"/>
      <c r="H13" s="39"/>
      <c r="I13" s="39"/>
      <c r="J13" s="39"/>
      <c r="K13" s="39"/>
    </row>
    <row r="14" spans="1:11" x14ac:dyDescent="0.25">
      <c r="A14" s="39"/>
      <c r="B14" s="39"/>
      <c r="C14" s="39"/>
      <c r="D14" s="39"/>
      <c r="E14" s="39"/>
      <c r="F14" s="39"/>
      <c r="G14" s="39"/>
      <c r="H14" s="39"/>
      <c r="I14" s="39"/>
      <c r="J14" s="39"/>
      <c r="K14" s="39"/>
    </row>
    <row r="15" spans="1:11" x14ac:dyDescent="0.25">
      <c r="A15" s="39"/>
      <c r="B15" s="39"/>
      <c r="C15" s="39"/>
      <c r="D15" s="39"/>
      <c r="E15" s="39"/>
      <c r="F15" s="39"/>
      <c r="G15" s="39"/>
      <c r="H15" s="39"/>
      <c r="I15" s="39"/>
      <c r="J15" s="39"/>
      <c r="K15" s="39"/>
    </row>
    <row r="16" spans="1:11" x14ac:dyDescent="0.25">
      <c r="A16" s="39"/>
      <c r="B16" s="39"/>
      <c r="C16" s="39"/>
      <c r="D16" s="39"/>
      <c r="E16" s="39"/>
      <c r="F16" s="39"/>
      <c r="G16" s="39"/>
      <c r="H16" s="39"/>
      <c r="I16" s="39"/>
      <c r="J16" s="39"/>
      <c r="K16" s="39"/>
    </row>
    <row r="17" spans="1:11" x14ac:dyDescent="0.25">
      <c r="A17" s="39"/>
      <c r="B17" s="39"/>
      <c r="C17" s="39"/>
      <c r="D17" s="39"/>
      <c r="E17" s="39"/>
      <c r="F17" s="39"/>
      <c r="G17" s="39"/>
      <c r="H17" s="39"/>
      <c r="I17" s="39"/>
      <c r="J17" s="39"/>
      <c r="K17" s="39"/>
    </row>
    <row r="18" spans="1:11" x14ac:dyDescent="0.25">
      <c r="A18" s="39"/>
      <c r="B18" s="39"/>
      <c r="C18" s="39"/>
      <c r="D18" s="39"/>
      <c r="E18" s="39"/>
      <c r="F18" s="39"/>
      <c r="G18" s="39"/>
      <c r="H18" s="39"/>
      <c r="I18" s="39"/>
      <c r="J18" s="39"/>
      <c r="K18" s="39"/>
    </row>
    <row r="19" spans="1:11" x14ac:dyDescent="0.25">
      <c r="A19" s="39"/>
      <c r="B19" s="39"/>
      <c r="C19" s="39"/>
      <c r="D19" s="39"/>
      <c r="E19" s="39"/>
      <c r="F19" s="39"/>
      <c r="G19" s="39"/>
      <c r="H19" s="39"/>
      <c r="I19" s="39"/>
      <c r="J19" s="39"/>
      <c r="K19" s="39"/>
    </row>
    <row r="20" spans="1:11" x14ac:dyDescent="0.25">
      <c r="A20" s="39"/>
      <c r="B20" s="39"/>
      <c r="C20" s="39"/>
      <c r="D20" s="39"/>
      <c r="E20" s="39"/>
      <c r="F20" s="39"/>
      <c r="G20" s="39"/>
      <c r="H20" s="39"/>
      <c r="I20" s="39"/>
      <c r="J20" s="39"/>
      <c r="K20" s="39"/>
    </row>
    <row r="21" spans="1:11" x14ac:dyDescent="0.25">
      <c r="A21" s="39"/>
      <c r="B21" s="39"/>
      <c r="C21" s="39"/>
      <c r="D21" s="39"/>
      <c r="E21" s="39"/>
      <c r="F21" s="39"/>
      <c r="G21" s="39"/>
      <c r="H21" s="39"/>
      <c r="I21" s="39"/>
      <c r="J21" s="39"/>
      <c r="K21" s="39"/>
    </row>
  </sheetData>
  <sheetProtection sheet="1" objects="1" scenarios="1"/>
  <mergeCells count="2">
    <mergeCell ref="A1:B1"/>
    <mergeCell ref="A2:B2"/>
  </mergeCells>
  <hyperlinks>
    <hyperlink ref="A1" location="'CalLowPassFiltBilinearTerm'!A1" display="'CalLowPassFiltBilinearTerm'!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927"/>
  <sheetViews>
    <sheetView workbookViewId="0">
      <selection activeCell="B17" sqref="B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19"/>
      <c r="D15" s="221" t="s">
        <v>45</v>
      </c>
      <c r="E15" s="222"/>
      <c r="F15" s="140" t="s">
        <v>46</v>
      </c>
    </row>
    <row r="16" spans="1:6" x14ac:dyDescent="0.25">
      <c r="A16" s="141" t="s">
        <v>47</v>
      </c>
      <c r="B16" s="142" t="s">
        <v>48</v>
      </c>
      <c r="C16" s="143" t="s">
        <v>49</v>
      </c>
      <c r="D16" s="145" t="s">
        <v>50</v>
      </c>
      <c r="E16" s="144" t="s">
        <v>51</v>
      </c>
      <c r="F16" s="13" t="s">
        <v>47</v>
      </c>
    </row>
    <row r="17" spans="1:6" x14ac:dyDescent="0.25">
      <c r="A17" s="24" t="s">
        <v>1294</v>
      </c>
      <c r="B17" s="14" t="s">
        <v>2064</v>
      </c>
      <c r="C17" s="15">
        <v>27</v>
      </c>
      <c r="D17" s="16" t="s">
        <v>1282</v>
      </c>
      <c r="E17" s="17" t="s">
        <v>1282</v>
      </c>
      <c r="F17" s="18"/>
    </row>
    <row r="18" spans="1:6" x14ac:dyDescent="0.25">
      <c r="A18" s="132"/>
      <c r="B18" s="14"/>
      <c r="C18" s="15"/>
      <c r="D18" s="16" t="s">
        <v>1283</v>
      </c>
      <c r="E18" s="17" t="s">
        <v>1283</v>
      </c>
      <c r="F18" s="18"/>
    </row>
    <row r="19" spans="1:6" x14ac:dyDescent="0.25">
      <c r="A19" s="14"/>
      <c r="B19" s="14"/>
      <c r="C19" s="15"/>
      <c r="D19" s="16" t="s">
        <v>1284</v>
      </c>
      <c r="E19" s="17"/>
      <c r="F19" s="18"/>
    </row>
    <row r="20" spans="1:6" x14ac:dyDescent="0.25">
      <c r="A20" s="14"/>
      <c r="B20" s="14"/>
      <c r="C20" s="15"/>
      <c r="D20" s="16" t="s">
        <v>1285</v>
      </c>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58"/>
      <c r="E318" s="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61"/>
      <c r="B328" s="61"/>
      <c r="C328" s="62"/>
      <c r="D328" s="63"/>
      <c r="E328" s="64"/>
      <c r="F328" s="65"/>
    </row>
    <row r="329" spans="1:6" x14ac:dyDescent="0.25">
      <c r="A329" s="61"/>
      <c r="B329" s="61"/>
      <c r="C329" s="62"/>
      <c r="D329" s="63"/>
      <c r="E329" s="64"/>
      <c r="F329" s="65"/>
    </row>
    <row r="330" spans="1:6" x14ac:dyDescent="0.25">
      <c r="A330" s="61"/>
      <c r="B330" s="61"/>
      <c r="C330" s="62"/>
      <c r="D330" s="63"/>
      <c r="E330" s="64"/>
      <c r="F330" s="65"/>
    </row>
    <row r="331" spans="1:6" x14ac:dyDescent="0.25">
      <c r="A331" s="61"/>
      <c r="B331" s="61"/>
      <c r="C331" s="62"/>
      <c r="D331" s="63"/>
      <c r="E331" s="64"/>
      <c r="F331" s="65"/>
    </row>
    <row r="332" spans="1:6" x14ac:dyDescent="0.25">
      <c r="A332" s="61"/>
      <c r="B332" s="61"/>
      <c r="C332" s="62"/>
      <c r="D332" s="63"/>
      <c r="E332" s="64"/>
      <c r="F332" s="65"/>
    </row>
    <row r="333" spans="1:6" x14ac:dyDescent="0.25">
      <c r="A333" s="61"/>
      <c r="B333" s="61"/>
      <c r="C333" s="62"/>
      <c r="D333" s="63"/>
      <c r="E333" s="64"/>
      <c r="F333" s="65"/>
    </row>
    <row r="334" spans="1:6" x14ac:dyDescent="0.25">
      <c r="A334" s="61"/>
      <c r="B334" s="61"/>
      <c r="C334" s="62"/>
      <c r="D334" s="63"/>
      <c r="E334" s="64"/>
      <c r="F334" s="65"/>
    </row>
    <row r="335" spans="1:6" x14ac:dyDescent="0.25">
      <c r="A335" s="61"/>
      <c r="B335" s="61"/>
      <c r="C335" s="62"/>
      <c r="D335" s="63"/>
      <c r="E335" s="64"/>
      <c r="F335" s="65"/>
    </row>
    <row r="336" spans="1:6" x14ac:dyDescent="0.25">
      <c r="A336" s="61"/>
      <c r="B336" s="61"/>
      <c r="C336" s="62"/>
      <c r="D336" s="63"/>
      <c r="E336" s="64"/>
      <c r="F336" s="65"/>
    </row>
    <row r="337" spans="1:6" x14ac:dyDescent="0.25">
      <c r="A337" s="61"/>
      <c r="B337" s="61"/>
      <c r="C337" s="62"/>
      <c r="D337" s="63"/>
      <c r="E337" s="64"/>
      <c r="F337" s="65"/>
    </row>
    <row r="338" spans="1:6" x14ac:dyDescent="0.25">
      <c r="A338" s="61"/>
      <c r="B338" s="61"/>
      <c r="C338" s="62"/>
      <c r="D338" s="63"/>
      <c r="E338" s="64"/>
      <c r="F338" s="65"/>
    </row>
    <row r="339" spans="1:6" x14ac:dyDescent="0.25">
      <c r="A339" s="61"/>
      <c r="B339" s="61"/>
      <c r="C339" s="62"/>
      <c r="D339" s="63"/>
      <c r="E339" s="64"/>
      <c r="F339" s="65"/>
    </row>
    <row r="340" spans="1:6" x14ac:dyDescent="0.25">
      <c r="A340" s="61"/>
      <c r="B340" s="61"/>
      <c r="C340" s="62"/>
      <c r="D340" s="63"/>
      <c r="E340" s="64"/>
      <c r="F340" s="65"/>
    </row>
    <row r="341" spans="1:6" x14ac:dyDescent="0.25">
      <c r="A341" s="61"/>
      <c r="B341" s="61"/>
      <c r="C341" s="62"/>
      <c r="D341" s="63"/>
      <c r="E341" s="64"/>
      <c r="F341" s="65"/>
    </row>
    <row r="342" spans="1:6" x14ac:dyDescent="0.25">
      <c r="A342" s="61"/>
      <c r="B342" s="61"/>
      <c r="C342" s="62"/>
      <c r="D342" s="63"/>
      <c r="E342" s="64"/>
      <c r="F342" s="65"/>
    </row>
    <row r="343" spans="1:6" x14ac:dyDescent="0.25">
      <c r="A343" s="61"/>
      <c r="B343" s="61"/>
      <c r="C343" s="62"/>
      <c r="D343" s="63"/>
      <c r="E343" s="64"/>
      <c r="F343" s="65"/>
    </row>
    <row r="344" spans="1:6" x14ac:dyDescent="0.25">
      <c r="A344" s="61"/>
      <c r="B344" s="61"/>
      <c r="C344" s="62"/>
      <c r="D344" s="63"/>
      <c r="E344" s="64"/>
      <c r="F344" s="65"/>
    </row>
    <row r="345" spans="1:6" x14ac:dyDescent="0.25">
      <c r="A345" s="61"/>
      <c r="B345" s="61"/>
      <c r="C345" s="62"/>
      <c r="D345" s="63"/>
      <c r="E345" s="64"/>
      <c r="F345" s="65"/>
    </row>
    <row r="346" spans="1:6" x14ac:dyDescent="0.25">
      <c r="A346" s="61"/>
      <c r="B346" s="61"/>
      <c r="C346" s="62"/>
      <c r="D346" s="63"/>
      <c r="E346" s="64"/>
      <c r="F346" s="65"/>
    </row>
    <row r="347" spans="1:6" x14ac:dyDescent="0.25">
      <c r="A347" s="61"/>
      <c r="B347" s="61"/>
      <c r="C347" s="62"/>
      <c r="D347" s="63"/>
      <c r="E347" s="64"/>
      <c r="F347" s="65"/>
    </row>
    <row r="348" spans="1:6" x14ac:dyDescent="0.25">
      <c r="A348" s="61"/>
      <c r="B348" s="61"/>
      <c r="C348" s="62"/>
      <c r="D348" s="63"/>
      <c r="E348" s="64"/>
      <c r="F348" s="65"/>
    </row>
    <row r="349" spans="1:6" x14ac:dyDescent="0.25">
      <c r="A349" s="61"/>
      <c r="B349" s="61"/>
      <c r="C349" s="62"/>
      <c r="D349" s="63"/>
      <c r="E349" s="64"/>
      <c r="F349" s="65"/>
    </row>
    <row r="350" spans="1:6" x14ac:dyDescent="0.25">
      <c r="A350" s="61"/>
      <c r="B350" s="61"/>
      <c r="C350" s="62"/>
      <c r="D350" s="63"/>
      <c r="E350" s="64"/>
      <c r="F350" s="65"/>
    </row>
    <row r="351" spans="1:6" x14ac:dyDescent="0.25">
      <c r="A351" s="61"/>
      <c r="B351" s="61"/>
      <c r="C351" s="62"/>
      <c r="D351" s="63"/>
      <c r="E351" s="64"/>
      <c r="F351" s="65"/>
    </row>
    <row r="352" spans="1:6" x14ac:dyDescent="0.25">
      <c r="A352" s="61"/>
      <c r="B352" s="61"/>
      <c r="C352" s="62"/>
      <c r="D352" s="63"/>
      <c r="E352" s="64"/>
      <c r="F352" s="65"/>
    </row>
    <row r="353" spans="1:6" x14ac:dyDescent="0.25">
      <c r="A353" s="61"/>
      <c r="B353" s="61"/>
      <c r="C353" s="62"/>
      <c r="D353" s="63"/>
      <c r="E353" s="64"/>
      <c r="F353" s="65"/>
    </row>
    <row r="354" spans="1:6" x14ac:dyDescent="0.25">
      <c r="A354" s="61"/>
      <c r="B354" s="61"/>
      <c r="C354" s="62"/>
      <c r="D354" s="63"/>
      <c r="E354" s="64"/>
      <c r="F354" s="65"/>
    </row>
    <row r="355" spans="1:6" x14ac:dyDescent="0.25">
      <c r="A355" s="61"/>
      <c r="B355" s="61"/>
      <c r="C355" s="62"/>
      <c r="D355" s="63"/>
      <c r="E355" s="64"/>
      <c r="F355" s="65"/>
    </row>
    <row r="356" spans="1:6" x14ac:dyDescent="0.25">
      <c r="A356" s="61"/>
      <c r="B356" s="61"/>
      <c r="C356" s="62"/>
      <c r="D356" s="63"/>
      <c r="E356" s="64"/>
      <c r="F356" s="65"/>
    </row>
    <row r="357" spans="1:6" x14ac:dyDescent="0.25">
      <c r="A357" s="61"/>
      <c r="B357" s="61"/>
      <c r="C357" s="62"/>
      <c r="D357" s="63"/>
      <c r="E357" s="64"/>
      <c r="F357" s="65"/>
    </row>
    <row r="358" spans="1:6" x14ac:dyDescent="0.25">
      <c r="A358" s="61"/>
      <c r="B358" s="61"/>
      <c r="C358" s="62"/>
      <c r="D358" s="63"/>
      <c r="E358" s="64"/>
      <c r="F358" s="65"/>
    </row>
    <row r="359" spans="1:6" x14ac:dyDescent="0.25">
      <c r="A359" s="61"/>
      <c r="B359" s="61"/>
      <c r="C359" s="62"/>
      <c r="D359" s="63"/>
      <c r="E359" s="64"/>
      <c r="F359" s="65"/>
    </row>
    <row r="360" spans="1:6" x14ac:dyDescent="0.25">
      <c r="A360" s="61"/>
      <c r="B360" s="61"/>
      <c r="C360" s="62"/>
      <c r="D360" s="63"/>
      <c r="E360" s="64"/>
      <c r="F360" s="65"/>
    </row>
    <row r="361" spans="1:6" x14ac:dyDescent="0.25">
      <c r="A361" s="61"/>
      <c r="B361" s="61"/>
      <c r="C361" s="62"/>
      <c r="D361" s="63"/>
      <c r="E361" s="64"/>
      <c r="F361" s="65"/>
    </row>
    <row r="362" spans="1:6" x14ac:dyDescent="0.25">
      <c r="A362" s="61"/>
      <c r="B362" s="61"/>
      <c r="C362" s="62"/>
      <c r="D362" s="63"/>
      <c r="E362" s="64"/>
      <c r="F362" s="65"/>
    </row>
    <row r="363" spans="1:6" x14ac:dyDescent="0.25">
      <c r="A363" s="61"/>
      <c r="B363" s="61"/>
      <c r="C363" s="62"/>
      <c r="D363" s="63"/>
      <c r="E363" s="64"/>
      <c r="F363" s="65"/>
    </row>
    <row r="364" spans="1:6" x14ac:dyDescent="0.25">
      <c r="A364" s="61"/>
      <c r="B364" s="61"/>
      <c r="C364" s="62"/>
      <c r="D364" s="63"/>
      <c r="E364" s="64"/>
      <c r="F364" s="65"/>
    </row>
    <row r="365" spans="1:6" x14ac:dyDescent="0.25">
      <c r="A365" s="61"/>
      <c r="B365" s="61"/>
      <c r="C365" s="62"/>
      <c r="D365" s="63"/>
      <c r="E365" s="64"/>
      <c r="F365" s="65"/>
    </row>
    <row r="366" spans="1:6" x14ac:dyDescent="0.25">
      <c r="A366" s="61"/>
      <c r="B366" s="61"/>
      <c r="C366" s="62"/>
      <c r="D366" s="63"/>
      <c r="E366" s="64"/>
      <c r="F366" s="65"/>
    </row>
    <row r="367" spans="1:6" x14ac:dyDescent="0.25">
      <c r="A367" s="61"/>
      <c r="B367" s="61"/>
      <c r="C367" s="62"/>
      <c r="D367" s="63"/>
      <c r="E367" s="64"/>
      <c r="F367" s="65"/>
    </row>
    <row r="368" spans="1:6" x14ac:dyDescent="0.25">
      <c r="A368" s="61"/>
      <c r="B368" s="61"/>
      <c r="C368" s="62"/>
      <c r="D368" s="63"/>
      <c r="E368" s="64"/>
      <c r="F368" s="65"/>
    </row>
    <row r="369" spans="1:6" x14ac:dyDescent="0.25">
      <c r="A369" s="61"/>
      <c r="B369" s="61"/>
      <c r="C369" s="62"/>
      <c r="D369" s="63"/>
      <c r="E369" s="64"/>
      <c r="F369" s="65"/>
    </row>
    <row r="370" spans="1:6" x14ac:dyDescent="0.25">
      <c r="A370" s="61"/>
      <c r="B370" s="61"/>
      <c r="C370" s="62"/>
      <c r="D370" s="63"/>
      <c r="E370" s="64"/>
      <c r="F370" s="65"/>
    </row>
    <row r="371" spans="1:6" x14ac:dyDescent="0.25">
      <c r="A371" s="61"/>
      <c r="B371" s="61"/>
      <c r="C371" s="62"/>
      <c r="D371" s="63"/>
      <c r="E371" s="64"/>
      <c r="F371" s="65"/>
    </row>
    <row r="372" spans="1:6" x14ac:dyDescent="0.25">
      <c r="A372" s="61"/>
      <c r="B372" s="61"/>
      <c r="C372" s="62"/>
      <c r="D372" s="63"/>
      <c r="E372" s="64"/>
      <c r="F372" s="65"/>
    </row>
    <row r="373" spans="1:6" x14ac:dyDescent="0.25">
      <c r="A373" s="61"/>
      <c r="B373" s="61"/>
      <c r="C373" s="62"/>
      <c r="D373" s="63"/>
      <c r="E373" s="64"/>
      <c r="F373" s="65"/>
    </row>
    <row r="374" spans="1:6" x14ac:dyDescent="0.25">
      <c r="A374" s="61"/>
      <c r="B374" s="61"/>
      <c r="C374" s="62"/>
      <c r="D374" s="63"/>
      <c r="E374" s="64"/>
      <c r="F374" s="65"/>
    </row>
    <row r="375" spans="1:6" x14ac:dyDescent="0.25">
      <c r="A375" s="61"/>
      <c r="B375" s="61"/>
      <c r="C375" s="62"/>
      <c r="D375" s="63"/>
      <c r="E375" s="64"/>
      <c r="F375" s="65"/>
    </row>
    <row r="376" spans="1:6" x14ac:dyDescent="0.25">
      <c r="A376" s="61"/>
      <c r="B376" s="61"/>
      <c r="C376" s="62"/>
      <c r="D376" s="63"/>
      <c r="E376" s="64"/>
      <c r="F376" s="65"/>
    </row>
    <row r="377" spans="1:6" x14ac:dyDescent="0.25">
      <c r="A377" s="61"/>
      <c r="B377" s="61"/>
      <c r="C377" s="62"/>
      <c r="D377" s="63"/>
      <c r="E377" s="64"/>
      <c r="F377" s="65"/>
    </row>
    <row r="378" spans="1:6" x14ac:dyDescent="0.25">
      <c r="A378" s="61"/>
      <c r="B378" s="61"/>
      <c r="C378" s="62"/>
      <c r="D378" s="63"/>
      <c r="E378" s="64"/>
      <c r="F378" s="65"/>
    </row>
    <row r="379" spans="1:6" x14ac:dyDescent="0.25">
      <c r="A379" s="61"/>
      <c r="B379" s="61"/>
      <c r="C379" s="62"/>
      <c r="D379" s="63"/>
      <c r="E379" s="64"/>
      <c r="F379" s="65"/>
    </row>
    <row r="380" spans="1:6" x14ac:dyDescent="0.25">
      <c r="A380" s="61"/>
      <c r="B380" s="61"/>
      <c r="C380" s="62"/>
      <c r="D380" s="63"/>
      <c r="E380" s="64"/>
      <c r="F380" s="65"/>
    </row>
    <row r="381" spans="1:6" x14ac:dyDescent="0.25">
      <c r="A381" s="61"/>
      <c r="B381" s="61"/>
      <c r="C381" s="62"/>
      <c r="D381" s="63"/>
      <c r="E381" s="64"/>
      <c r="F381" s="65"/>
    </row>
    <row r="382" spans="1:6" x14ac:dyDescent="0.25">
      <c r="A382" s="61"/>
      <c r="B382" s="61"/>
      <c r="C382" s="62"/>
      <c r="D382" s="63"/>
      <c r="E382" s="64"/>
      <c r="F382" s="65"/>
    </row>
    <row r="383" spans="1:6" x14ac:dyDescent="0.25">
      <c r="A383" s="61"/>
      <c r="B383" s="61"/>
      <c r="C383" s="62"/>
      <c r="D383" s="63"/>
      <c r="E383" s="64"/>
      <c r="F383" s="65"/>
    </row>
    <row r="384" spans="1:6" x14ac:dyDescent="0.25">
      <c r="A384" s="61"/>
      <c r="B384" s="61"/>
      <c r="C384" s="62"/>
      <c r="D384" s="63"/>
      <c r="E384" s="64"/>
      <c r="F384" s="65"/>
    </row>
    <row r="385" spans="1:6" x14ac:dyDescent="0.25">
      <c r="A385" s="61"/>
      <c r="B385" s="61"/>
      <c r="C385" s="62"/>
      <c r="D385" s="63"/>
      <c r="E385" s="64"/>
      <c r="F385" s="65"/>
    </row>
    <row r="386" spans="1:6" x14ac:dyDescent="0.25">
      <c r="A386" s="61"/>
      <c r="B386" s="61"/>
      <c r="C386" s="62"/>
      <c r="D386" s="63"/>
      <c r="E386" s="64"/>
      <c r="F386" s="65"/>
    </row>
    <row r="387" spans="1:6" x14ac:dyDescent="0.25">
      <c r="A387" s="61"/>
      <c r="B387" s="61"/>
      <c r="C387" s="62"/>
      <c r="D387" s="63"/>
      <c r="E387" s="64"/>
      <c r="F387" s="65"/>
    </row>
    <row r="388" spans="1:6" x14ac:dyDescent="0.25">
      <c r="A388" s="61"/>
      <c r="B388" s="61"/>
      <c r="C388" s="62"/>
      <c r="D388" s="63"/>
      <c r="E388" s="64"/>
      <c r="F388" s="65"/>
    </row>
    <row r="389" spans="1:6" x14ac:dyDescent="0.25">
      <c r="A389" s="61"/>
      <c r="B389" s="61"/>
      <c r="C389" s="62"/>
      <c r="D389" s="63"/>
      <c r="E389" s="64"/>
      <c r="F389" s="65"/>
    </row>
    <row r="390" spans="1:6" x14ac:dyDescent="0.25">
      <c r="A390" s="61"/>
      <c r="B390" s="61"/>
      <c r="C390" s="62"/>
      <c r="D390" s="63"/>
      <c r="E390" s="64"/>
      <c r="F390" s="65"/>
    </row>
    <row r="391" spans="1:6" x14ac:dyDescent="0.25">
      <c r="A391" s="61"/>
      <c r="B391" s="61"/>
      <c r="C391" s="62"/>
      <c r="D391" s="63"/>
      <c r="E391" s="64"/>
      <c r="F391" s="65"/>
    </row>
    <row r="392" spans="1:6" x14ac:dyDescent="0.25">
      <c r="A392" s="61"/>
      <c r="B392" s="61"/>
      <c r="C392" s="62"/>
      <c r="D392" s="63"/>
      <c r="E392" s="64"/>
      <c r="F392" s="65"/>
    </row>
    <row r="393" spans="1:6" x14ac:dyDescent="0.25">
      <c r="A393" s="61"/>
      <c r="B393" s="61"/>
      <c r="C393" s="62"/>
      <c r="D393" s="63"/>
      <c r="E393" s="64"/>
      <c r="F393" s="65"/>
    </row>
    <row r="394" spans="1:6" x14ac:dyDescent="0.25">
      <c r="A394" s="61"/>
      <c r="B394" s="61"/>
      <c r="C394" s="62"/>
      <c r="D394" s="63"/>
      <c r="E394" s="64"/>
      <c r="F394" s="65"/>
    </row>
    <row r="395" spans="1:6" x14ac:dyDescent="0.25">
      <c r="A395" s="61"/>
      <c r="B395" s="61"/>
      <c r="C395" s="62"/>
      <c r="D395" s="63"/>
      <c r="E395" s="64"/>
      <c r="F395" s="65"/>
    </row>
    <row r="396" spans="1:6" x14ac:dyDescent="0.25">
      <c r="A396" s="61"/>
      <c r="B396" s="61"/>
      <c r="C396" s="62"/>
      <c r="D396" s="63"/>
      <c r="E396" s="64"/>
      <c r="F396" s="65"/>
    </row>
    <row r="397" spans="1:6" x14ac:dyDescent="0.25">
      <c r="A397" s="61"/>
      <c r="B397" s="61"/>
      <c r="C397" s="62"/>
      <c r="D397" s="63"/>
      <c r="E397" s="64"/>
      <c r="F397" s="65"/>
    </row>
    <row r="398" spans="1:6" x14ac:dyDescent="0.25">
      <c r="A398" s="61"/>
      <c r="B398" s="61"/>
      <c r="C398" s="62"/>
      <c r="D398" s="63"/>
      <c r="E398" s="64"/>
      <c r="F398" s="65"/>
    </row>
    <row r="399" spans="1:6" x14ac:dyDescent="0.25">
      <c r="A399" s="61"/>
      <c r="B399" s="61"/>
      <c r="C399" s="62"/>
      <c r="D399" s="63"/>
      <c r="E399" s="64"/>
      <c r="F399" s="65"/>
    </row>
    <row r="400" spans="1:6" x14ac:dyDescent="0.25">
      <c r="A400" s="61"/>
      <c r="B400" s="61"/>
      <c r="C400" s="62"/>
      <c r="D400" s="63"/>
      <c r="E400" s="64"/>
      <c r="F400" s="65"/>
    </row>
    <row r="401" spans="1:6" x14ac:dyDescent="0.25">
      <c r="A401" s="61"/>
      <c r="B401" s="61"/>
      <c r="C401" s="62"/>
      <c r="D401" s="63"/>
      <c r="E401" s="64"/>
      <c r="F401" s="65"/>
    </row>
    <row r="402" spans="1:6" x14ac:dyDescent="0.25">
      <c r="A402" s="61"/>
      <c r="B402" s="61"/>
      <c r="C402" s="62"/>
      <c r="D402" s="63"/>
      <c r="E402" s="64"/>
      <c r="F402" s="65"/>
    </row>
    <row r="403" spans="1:6" x14ac:dyDescent="0.25">
      <c r="A403" s="61"/>
      <c r="B403" s="61"/>
      <c r="C403" s="62"/>
      <c r="D403" s="63"/>
      <c r="E403" s="64"/>
      <c r="F403" s="65"/>
    </row>
    <row r="404" spans="1:6" x14ac:dyDescent="0.25">
      <c r="A404" s="61"/>
      <c r="B404" s="61"/>
      <c r="C404" s="62"/>
      <c r="D404" s="63"/>
      <c r="E404" s="64"/>
      <c r="F404" s="65"/>
    </row>
    <row r="405" spans="1:6" x14ac:dyDescent="0.25">
      <c r="A405" s="61"/>
      <c r="B405" s="61"/>
      <c r="C405" s="62"/>
      <c r="D405" s="63"/>
      <c r="E405" s="64"/>
      <c r="F405" s="65"/>
    </row>
    <row r="406" spans="1:6" x14ac:dyDescent="0.25">
      <c r="A406" s="61"/>
      <c r="B406" s="61"/>
      <c r="C406" s="62"/>
      <c r="D406" s="63"/>
      <c r="E406" s="64"/>
      <c r="F406" s="65"/>
    </row>
    <row r="407" spans="1:6" x14ac:dyDescent="0.25">
      <c r="A407" s="61"/>
      <c r="B407" s="61"/>
      <c r="C407" s="62"/>
      <c r="D407" s="63"/>
      <c r="E407" s="64"/>
      <c r="F407" s="65"/>
    </row>
    <row r="408" spans="1:6" x14ac:dyDescent="0.25">
      <c r="A408" s="61"/>
      <c r="B408" s="61"/>
      <c r="C408" s="62"/>
      <c r="D408" s="63"/>
      <c r="E408" s="64"/>
      <c r="F408" s="65"/>
    </row>
    <row r="409" spans="1:6" x14ac:dyDescent="0.25">
      <c r="A409" s="61"/>
      <c r="B409" s="61"/>
      <c r="C409" s="62"/>
      <c r="D409" s="63"/>
      <c r="E409" s="64"/>
      <c r="F409" s="65"/>
    </row>
    <row r="410" spans="1:6" x14ac:dyDescent="0.25">
      <c r="A410" s="61"/>
      <c r="B410" s="61"/>
      <c r="C410" s="62"/>
      <c r="D410" s="63"/>
      <c r="E410" s="64"/>
      <c r="F410" s="65"/>
    </row>
    <row r="411" spans="1:6" x14ac:dyDescent="0.25">
      <c r="A411" s="61"/>
      <c r="B411" s="61"/>
      <c r="C411" s="62"/>
      <c r="D411" s="63"/>
      <c r="E411" s="64"/>
      <c r="F411" s="65"/>
    </row>
    <row r="412" spans="1:6" x14ac:dyDescent="0.25">
      <c r="A412" s="61"/>
      <c r="B412" s="61"/>
      <c r="C412" s="62"/>
      <c r="D412" s="63"/>
      <c r="E412" s="64"/>
      <c r="F412" s="65"/>
    </row>
    <row r="413" spans="1:6" x14ac:dyDescent="0.25">
      <c r="A413" s="61"/>
      <c r="B413" s="61"/>
      <c r="C413" s="62"/>
      <c r="D413" s="63"/>
      <c r="E413" s="64"/>
      <c r="F413" s="65"/>
    </row>
    <row r="414" spans="1:6" x14ac:dyDescent="0.25">
      <c r="A414" s="61"/>
      <c r="B414" s="61"/>
      <c r="C414" s="62"/>
      <c r="D414" s="63"/>
      <c r="E414" s="64"/>
      <c r="F414" s="65"/>
    </row>
    <row r="415" spans="1:6" x14ac:dyDescent="0.25">
      <c r="A415" s="61"/>
      <c r="B415" s="61"/>
      <c r="C415" s="62"/>
      <c r="D415" s="63"/>
      <c r="E415" s="64"/>
      <c r="F415" s="65"/>
    </row>
    <row r="416" spans="1:6" x14ac:dyDescent="0.25">
      <c r="A416" s="61"/>
      <c r="B416" s="61"/>
      <c r="C416" s="62"/>
      <c r="D416" s="63"/>
      <c r="E416" s="64"/>
      <c r="F416" s="65"/>
    </row>
    <row r="417" spans="1:6" x14ac:dyDescent="0.25">
      <c r="A417" s="61"/>
      <c r="B417" s="61"/>
      <c r="C417" s="62"/>
      <c r="D417" s="63"/>
      <c r="E417" s="64"/>
      <c r="F417" s="65"/>
    </row>
    <row r="418" spans="1:6" x14ac:dyDescent="0.25">
      <c r="A418" s="61"/>
      <c r="B418" s="61"/>
      <c r="C418" s="62"/>
      <c r="D418" s="63"/>
      <c r="E418" s="64"/>
      <c r="F418" s="65"/>
    </row>
    <row r="419" spans="1:6" x14ac:dyDescent="0.25">
      <c r="A419" s="61"/>
      <c r="B419" s="61"/>
      <c r="C419" s="62"/>
      <c r="D419" s="63"/>
      <c r="E419" s="64"/>
      <c r="F419" s="65"/>
    </row>
    <row r="420" spans="1:6" x14ac:dyDescent="0.25">
      <c r="A420" s="61"/>
      <c r="B420" s="61"/>
      <c r="C420" s="62"/>
      <c r="D420" s="63"/>
      <c r="E420" s="64"/>
      <c r="F420" s="65"/>
    </row>
    <row r="421" spans="1:6" x14ac:dyDescent="0.25">
      <c r="A421" s="61"/>
      <c r="B421" s="61"/>
      <c r="C421" s="62"/>
      <c r="D421" s="63"/>
      <c r="E421" s="64"/>
      <c r="F421" s="65"/>
    </row>
    <row r="422" spans="1:6" x14ac:dyDescent="0.25">
      <c r="A422" s="61"/>
      <c r="B422" s="61"/>
      <c r="C422" s="62"/>
      <c r="D422" s="63"/>
      <c r="E422" s="64"/>
      <c r="F422" s="65"/>
    </row>
    <row r="423" spans="1:6" x14ac:dyDescent="0.25">
      <c r="A423" s="61"/>
      <c r="B423" s="61"/>
      <c r="C423" s="62"/>
      <c r="D423" s="63"/>
      <c r="E423" s="64"/>
      <c r="F423" s="65"/>
    </row>
    <row r="424" spans="1:6" x14ac:dyDescent="0.25">
      <c r="A424" s="61"/>
      <c r="B424" s="61"/>
      <c r="C424" s="62"/>
      <c r="D424" s="63"/>
      <c r="E424" s="64"/>
      <c r="F424" s="65"/>
    </row>
    <row r="425" spans="1:6" x14ac:dyDescent="0.25">
      <c r="A425" s="61"/>
      <c r="B425" s="61"/>
      <c r="C425" s="62"/>
      <c r="D425" s="63"/>
      <c r="E425" s="64"/>
      <c r="F425" s="65"/>
    </row>
    <row r="426" spans="1:6" x14ac:dyDescent="0.25">
      <c r="A426" s="61"/>
      <c r="B426" s="61"/>
      <c r="C426" s="62"/>
      <c r="D426" s="63"/>
      <c r="E426" s="64"/>
      <c r="F426" s="65"/>
    </row>
    <row r="427" spans="1:6" x14ac:dyDescent="0.25">
      <c r="A427" s="61"/>
      <c r="B427" s="61"/>
      <c r="C427" s="62"/>
      <c r="D427" s="63"/>
      <c r="E427" s="64"/>
      <c r="F427" s="65"/>
    </row>
    <row r="428" spans="1:6" x14ac:dyDescent="0.25">
      <c r="A428" s="61"/>
      <c r="B428" s="61"/>
      <c r="C428" s="62"/>
      <c r="D428" s="63"/>
      <c r="E428" s="64"/>
      <c r="F428" s="65"/>
    </row>
    <row r="429" spans="1:6" x14ac:dyDescent="0.25">
      <c r="A429" s="61"/>
      <c r="B429" s="61"/>
      <c r="C429" s="62"/>
      <c r="D429" s="63"/>
      <c r="E429" s="64"/>
      <c r="F429" s="65"/>
    </row>
    <row r="430" spans="1:6" x14ac:dyDescent="0.25">
      <c r="A430" s="61"/>
      <c r="B430" s="61"/>
      <c r="C430" s="62"/>
      <c r="D430" s="63"/>
      <c r="E430" s="64"/>
      <c r="F430" s="65"/>
    </row>
    <row r="431" spans="1:6" x14ac:dyDescent="0.25">
      <c r="A431" s="61"/>
      <c r="B431" s="61"/>
      <c r="C431" s="62"/>
      <c r="D431" s="63"/>
      <c r="E431" s="64"/>
      <c r="F431" s="65"/>
    </row>
    <row r="432" spans="1:6" x14ac:dyDescent="0.25">
      <c r="A432" s="61"/>
      <c r="B432" s="61"/>
      <c r="C432" s="62"/>
      <c r="D432" s="63"/>
      <c r="E432" s="64"/>
      <c r="F432" s="65"/>
    </row>
    <row r="433" spans="1:6" x14ac:dyDescent="0.25">
      <c r="A433" s="61"/>
      <c r="B433" s="61"/>
      <c r="C433" s="62"/>
      <c r="D433" s="63"/>
      <c r="E433" s="64"/>
      <c r="F433" s="65"/>
    </row>
    <row r="434" spans="1:6" x14ac:dyDescent="0.25">
      <c r="A434" s="61"/>
      <c r="B434" s="61"/>
      <c r="C434" s="62"/>
      <c r="D434" s="63"/>
      <c r="E434" s="64"/>
      <c r="F434" s="65"/>
    </row>
    <row r="435" spans="1:6" x14ac:dyDescent="0.25">
      <c r="A435" s="61"/>
      <c r="B435" s="61"/>
      <c r="C435" s="62"/>
      <c r="D435" s="63"/>
      <c r="E435" s="64"/>
      <c r="F435" s="65"/>
    </row>
    <row r="436" spans="1:6" x14ac:dyDescent="0.25">
      <c r="A436" s="61"/>
      <c r="B436" s="61"/>
      <c r="C436" s="62"/>
      <c r="D436" s="63"/>
      <c r="E436" s="64"/>
      <c r="F436" s="65"/>
    </row>
    <row r="437" spans="1:6" x14ac:dyDescent="0.25">
      <c r="A437" s="61"/>
      <c r="B437" s="61"/>
      <c r="C437" s="62"/>
      <c r="D437" s="63"/>
      <c r="E437" s="64"/>
      <c r="F437" s="65"/>
    </row>
    <row r="438" spans="1:6" x14ac:dyDescent="0.25">
      <c r="A438" s="61"/>
      <c r="B438" s="61"/>
      <c r="C438" s="62"/>
      <c r="D438" s="63"/>
      <c r="E438" s="64"/>
      <c r="F438" s="65"/>
    </row>
    <row r="439" spans="1:6" x14ac:dyDescent="0.25">
      <c r="A439" s="61"/>
      <c r="B439" s="61"/>
      <c r="C439" s="62"/>
      <c r="D439" s="63"/>
      <c r="E439" s="64"/>
      <c r="F439" s="65"/>
    </row>
    <row r="440" spans="1:6" x14ac:dyDescent="0.25">
      <c r="A440" s="61"/>
      <c r="B440" s="61"/>
      <c r="C440" s="62"/>
      <c r="D440" s="63"/>
      <c r="E440" s="64"/>
      <c r="F440" s="65"/>
    </row>
    <row r="441" spans="1:6" x14ac:dyDescent="0.25">
      <c r="A441" s="61"/>
      <c r="B441" s="61"/>
      <c r="C441" s="62"/>
      <c r="D441" s="63"/>
      <c r="E441" s="64"/>
      <c r="F441" s="65"/>
    </row>
    <row r="442" spans="1:6" x14ac:dyDescent="0.25">
      <c r="A442" s="61"/>
      <c r="B442" s="61"/>
      <c r="C442" s="62"/>
      <c r="D442" s="63"/>
      <c r="E442" s="64"/>
      <c r="F442" s="65"/>
    </row>
    <row r="443" spans="1:6" x14ac:dyDescent="0.25">
      <c r="A443" s="61"/>
      <c r="B443" s="61"/>
      <c r="C443" s="62"/>
      <c r="D443" s="63"/>
      <c r="E443" s="64"/>
      <c r="F443" s="65"/>
    </row>
    <row r="444" spans="1:6" x14ac:dyDescent="0.25">
      <c r="A444" s="61"/>
      <c r="B444" s="61"/>
      <c r="C444" s="62"/>
      <c r="D444" s="63"/>
      <c r="E444" s="64"/>
      <c r="F444" s="65"/>
    </row>
    <row r="445" spans="1:6" x14ac:dyDescent="0.25">
      <c r="A445" s="61"/>
      <c r="B445" s="61"/>
      <c r="C445" s="62"/>
      <c r="D445" s="63"/>
      <c r="E445" s="64"/>
      <c r="F445" s="65"/>
    </row>
    <row r="446" spans="1:6" x14ac:dyDescent="0.25">
      <c r="A446" s="61"/>
      <c r="B446" s="61"/>
      <c r="C446" s="62"/>
      <c r="D446" s="63"/>
      <c r="E446" s="64"/>
      <c r="F446" s="65"/>
    </row>
    <row r="447" spans="1:6" x14ac:dyDescent="0.25">
      <c r="A447" s="61"/>
      <c r="B447" s="61"/>
      <c r="C447" s="62"/>
      <c r="D447" s="63"/>
      <c r="E447" s="64"/>
      <c r="F447" s="65"/>
    </row>
    <row r="448" spans="1:6" x14ac:dyDescent="0.25">
      <c r="A448" s="61"/>
      <c r="B448" s="61"/>
      <c r="C448" s="62"/>
      <c r="D448" s="63"/>
      <c r="E448" s="64"/>
      <c r="F448" s="65"/>
    </row>
    <row r="449" spans="1:6" x14ac:dyDescent="0.25">
      <c r="A449" s="61"/>
      <c r="B449" s="61"/>
      <c r="C449" s="62"/>
      <c r="D449" s="63"/>
      <c r="E449" s="64"/>
      <c r="F449" s="65"/>
    </row>
    <row r="450" spans="1:6" x14ac:dyDescent="0.25">
      <c r="A450" s="61"/>
      <c r="B450" s="61"/>
      <c r="C450" s="62"/>
      <c r="D450" s="63"/>
      <c r="E450" s="64"/>
      <c r="F450" s="65"/>
    </row>
    <row r="451" spans="1:6" x14ac:dyDescent="0.25">
      <c r="A451" s="61"/>
      <c r="B451" s="61"/>
      <c r="C451" s="62"/>
      <c r="D451" s="63"/>
      <c r="E451" s="64"/>
      <c r="F451" s="65"/>
    </row>
    <row r="452" spans="1:6" x14ac:dyDescent="0.25">
      <c r="A452" s="61"/>
      <c r="B452" s="61"/>
      <c r="C452" s="62"/>
      <c r="D452" s="63"/>
      <c r="E452" s="64"/>
      <c r="F452" s="65"/>
    </row>
    <row r="453" spans="1:6" x14ac:dyDescent="0.25">
      <c r="A453" s="61"/>
      <c r="B453" s="61"/>
      <c r="C453" s="62"/>
      <c r="D453" s="63"/>
      <c r="E453" s="64"/>
      <c r="F453" s="65"/>
    </row>
    <row r="454" spans="1:6" x14ac:dyDescent="0.25">
      <c r="A454" s="61"/>
      <c r="B454" s="61"/>
      <c r="C454" s="62"/>
      <c r="D454" s="63"/>
      <c r="E454" s="64"/>
      <c r="F454" s="65"/>
    </row>
    <row r="455" spans="1:6" x14ac:dyDescent="0.25">
      <c r="A455" s="61"/>
      <c r="B455" s="61"/>
      <c r="C455" s="62"/>
      <c r="D455" s="63"/>
      <c r="E455" s="64"/>
      <c r="F455" s="65"/>
    </row>
    <row r="456" spans="1:6" x14ac:dyDescent="0.25">
      <c r="A456" s="61"/>
      <c r="B456" s="61"/>
      <c r="C456" s="62"/>
      <c r="D456" s="63"/>
      <c r="E456" s="64"/>
      <c r="F456" s="65"/>
    </row>
    <row r="457" spans="1:6" x14ac:dyDescent="0.25">
      <c r="A457" s="61"/>
      <c r="B457" s="61"/>
      <c r="C457" s="62"/>
      <c r="D457" s="63"/>
      <c r="E457" s="64"/>
      <c r="F457" s="65"/>
    </row>
    <row r="458" spans="1:6" x14ac:dyDescent="0.25">
      <c r="A458" s="61"/>
      <c r="B458" s="61"/>
      <c r="C458" s="62"/>
      <c r="D458" s="63"/>
      <c r="E458" s="64"/>
      <c r="F458" s="65"/>
    </row>
    <row r="459" spans="1:6" x14ac:dyDescent="0.25">
      <c r="A459" s="61"/>
      <c r="B459" s="61"/>
      <c r="C459" s="62"/>
      <c r="D459" s="63"/>
      <c r="E459" s="64"/>
      <c r="F459" s="65"/>
    </row>
    <row r="460" spans="1:6" x14ac:dyDescent="0.25">
      <c r="A460" s="61"/>
      <c r="B460" s="61"/>
      <c r="C460" s="62"/>
      <c r="D460" s="63"/>
      <c r="E460" s="64"/>
      <c r="F460" s="65"/>
    </row>
    <row r="461" spans="1:6" x14ac:dyDescent="0.25">
      <c r="A461" s="61"/>
      <c r="B461" s="61"/>
      <c r="C461" s="62"/>
      <c r="D461" s="63"/>
      <c r="E461" s="64"/>
      <c r="F461" s="65"/>
    </row>
    <row r="462" spans="1:6" x14ac:dyDescent="0.25">
      <c r="A462" s="61"/>
      <c r="B462" s="61"/>
      <c r="C462" s="62"/>
      <c r="D462" s="63"/>
      <c r="E462" s="64"/>
      <c r="F462" s="65"/>
    </row>
    <row r="463" spans="1:6" x14ac:dyDescent="0.25">
      <c r="A463" s="61"/>
      <c r="B463" s="61"/>
      <c r="C463" s="62"/>
      <c r="D463" s="63"/>
      <c r="E463" s="64"/>
      <c r="F463" s="65"/>
    </row>
    <row r="464" spans="1:6" x14ac:dyDescent="0.25">
      <c r="A464" s="61"/>
      <c r="B464" s="61"/>
      <c r="C464" s="62"/>
      <c r="D464" s="63"/>
      <c r="E464" s="64"/>
      <c r="F464" s="65"/>
    </row>
    <row r="465" spans="1:6" x14ac:dyDescent="0.25">
      <c r="A465" s="61"/>
      <c r="B465" s="61"/>
      <c r="C465" s="62"/>
      <c r="D465" s="63"/>
      <c r="E465" s="64"/>
      <c r="F465" s="65"/>
    </row>
    <row r="466" spans="1:6" x14ac:dyDescent="0.25">
      <c r="A466" s="61"/>
      <c r="B466" s="61"/>
      <c r="C466" s="62"/>
      <c r="D466" s="63"/>
      <c r="E466" s="64"/>
      <c r="F466" s="65"/>
    </row>
    <row r="467" spans="1:6" x14ac:dyDescent="0.25">
      <c r="A467" s="61"/>
      <c r="B467" s="61"/>
      <c r="C467" s="62"/>
      <c r="D467" s="63"/>
      <c r="E467" s="64"/>
      <c r="F467" s="65"/>
    </row>
    <row r="468" spans="1:6" x14ac:dyDescent="0.25">
      <c r="A468" s="61"/>
      <c r="B468" s="61"/>
      <c r="C468" s="62"/>
      <c r="D468" s="63"/>
      <c r="E468" s="64"/>
      <c r="F468" s="65"/>
    </row>
    <row r="469" spans="1:6" x14ac:dyDescent="0.25">
      <c r="A469" s="61"/>
      <c r="B469" s="61"/>
      <c r="C469" s="62"/>
      <c r="D469" s="63"/>
      <c r="E469" s="64"/>
      <c r="F469" s="65"/>
    </row>
    <row r="470" spans="1:6" x14ac:dyDescent="0.25">
      <c r="A470" s="61"/>
      <c r="B470" s="61"/>
      <c r="C470" s="62"/>
      <c r="D470" s="63"/>
      <c r="E470" s="64"/>
      <c r="F470" s="65"/>
    </row>
    <row r="471" spans="1:6" x14ac:dyDescent="0.25">
      <c r="A471" s="61"/>
      <c r="B471" s="61"/>
      <c r="C471" s="62"/>
      <c r="D471" s="63"/>
      <c r="E471" s="64"/>
      <c r="F471" s="65"/>
    </row>
    <row r="472" spans="1:6" x14ac:dyDescent="0.25">
      <c r="A472" s="61"/>
      <c r="B472" s="61"/>
      <c r="C472" s="62"/>
      <c r="D472" s="63"/>
      <c r="E472" s="64"/>
      <c r="F472" s="65"/>
    </row>
    <row r="473" spans="1:6" x14ac:dyDescent="0.25">
      <c r="A473" s="61"/>
      <c r="B473" s="61"/>
      <c r="C473" s="62"/>
      <c r="D473" s="63"/>
      <c r="E473" s="64"/>
      <c r="F473" s="65"/>
    </row>
    <row r="474" spans="1:6" x14ac:dyDescent="0.25">
      <c r="A474" s="61"/>
      <c r="B474" s="61"/>
      <c r="C474" s="62"/>
      <c r="D474" s="63"/>
      <c r="E474" s="64"/>
      <c r="F474" s="65"/>
    </row>
    <row r="475" spans="1:6" x14ac:dyDescent="0.25">
      <c r="A475" s="61"/>
      <c r="B475" s="61"/>
      <c r="C475" s="62"/>
      <c r="D475" s="63"/>
      <c r="E475" s="64"/>
      <c r="F475" s="65"/>
    </row>
    <row r="476" spans="1:6" x14ac:dyDescent="0.25">
      <c r="A476" s="61"/>
      <c r="B476" s="61"/>
      <c r="C476" s="62"/>
      <c r="D476" s="63"/>
      <c r="E476" s="64"/>
      <c r="F476" s="65"/>
    </row>
    <row r="477" spans="1:6" x14ac:dyDescent="0.25">
      <c r="A477" s="61"/>
      <c r="B477" s="61"/>
      <c r="C477" s="62"/>
      <c r="D477" s="63"/>
      <c r="E477" s="64"/>
      <c r="F477" s="65"/>
    </row>
    <row r="478" spans="1:6" x14ac:dyDescent="0.25">
      <c r="A478" s="61"/>
      <c r="B478" s="61"/>
      <c r="C478" s="62"/>
      <c r="D478" s="63"/>
      <c r="E478" s="64"/>
      <c r="F478" s="65"/>
    </row>
    <row r="479" spans="1:6" x14ac:dyDescent="0.25">
      <c r="A479" s="61"/>
      <c r="B479" s="61"/>
      <c r="C479" s="62"/>
      <c r="D479" s="63"/>
      <c r="E479" s="64"/>
      <c r="F479" s="65"/>
    </row>
    <row r="480" spans="1:6" x14ac:dyDescent="0.25">
      <c r="A480" s="61"/>
      <c r="B480" s="61"/>
      <c r="C480" s="62"/>
      <c r="D480" s="63"/>
      <c r="E480" s="64"/>
      <c r="F480" s="65"/>
    </row>
    <row r="481" spans="1:6" x14ac:dyDescent="0.25">
      <c r="A481" s="61"/>
      <c r="B481" s="61"/>
      <c r="C481" s="62"/>
      <c r="D481" s="63"/>
      <c r="E481" s="64"/>
      <c r="F481" s="65"/>
    </row>
    <row r="482" spans="1:6" x14ac:dyDescent="0.25">
      <c r="A482" s="61"/>
      <c r="B482" s="61"/>
      <c r="C482" s="62"/>
      <c r="D482" s="63"/>
      <c r="E482" s="64"/>
      <c r="F482" s="65"/>
    </row>
    <row r="483" spans="1:6" x14ac:dyDescent="0.25">
      <c r="A483" s="61"/>
      <c r="B483" s="61"/>
      <c r="C483" s="62"/>
      <c r="D483" s="63"/>
      <c r="E483" s="64"/>
      <c r="F483" s="65"/>
    </row>
    <row r="484" spans="1:6" x14ac:dyDescent="0.25">
      <c r="A484" s="61"/>
      <c r="B484" s="61"/>
      <c r="C484" s="62"/>
      <c r="D484" s="63"/>
      <c r="E484" s="64"/>
      <c r="F484" s="65"/>
    </row>
    <row r="485" spans="1:6" x14ac:dyDescent="0.25">
      <c r="A485" s="61"/>
      <c r="B485" s="61"/>
      <c r="C485" s="62"/>
      <c r="D485" s="63"/>
      <c r="E485" s="64"/>
      <c r="F485" s="65"/>
    </row>
    <row r="486" spans="1:6" x14ac:dyDescent="0.25">
      <c r="A486" s="61"/>
      <c r="B486" s="61"/>
      <c r="C486" s="62"/>
      <c r="D486" s="63"/>
      <c r="E486" s="64"/>
      <c r="F486" s="65"/>
    </row>
    <row r="487" spans="1:6" x14ac:dyDescent="0.25">
      <c r="A487" s="61"/>
      <c r="B487" s="61"/>
      <c r="C487" s="62"/>
      <c r="D487" s="63"/>
      <c r="E487" s="64"/>
      <c r="F487" s="65"/>
    </row>
    <row r="488" spans="1:6" x14ac:dyDescent="0.25">
      <c r="A488" s="61"/>
      <c r="B488" s="61"/>
      <c r="C488" s="62"/>
      <c r="D488" s="63"/>
      <c r="E488" s="64"/>
      <c r="F488" s="65"/>
    </row>
    <row r="489" spans="1:6" x14ac:dyDescent="0.25">
      <c r="A489" s="61"/>
      <c r="B489" s="61"/>
      <c r="C489" s="62"/>
      <c r="D489" s="63"/>
      <c r="E489" s="64"/>
      <c r="F489" s="65"/>
    </row>
    <row r="490" spans="1:6" x14ac:dyDescent="0.25">
      <c r="A490" s="61"/>
      <c r="B490" s="61"/>
      <c r="C490" s="62"/>
      <c r="D490" s="63"/>
      <c r="E490" s="64"/>
      <c r="F490" s="65"/>
    </row>
    <row r="491" spans="1:6" x14ac:dyDescent="0.25">
      <c r="A491" s="61"/>
      <c r="B491" s="61"/>
      <c r="C491" s="62"/>
      <c r="D491" s="63"/>
      <c r="E491" s="64"/>
      <c r="F491" s="65"/>
    </row>
    <row r="492" spans="1:6" x14ac:dyDescent="0.25">
      <c r="A492" s="61"/>
      <c r="B492" s="61"/>
      <c r="C492" s="62"/>
      <c r="D492" s="63"/>
      <c r="E492" s="64"/>
      <c r="F492" s="65"/>
    </row>
    <row r="493" spans="1:6" x14ac:dyDescent="0.25">
      <c r="A493" s="61"/>
      <c r="B493" s="61"/>
      <c r="C493" s="62"/>
      <c r="D493" s="63"/>
      <c r="E493" s="64"/>
      <c r="F493" s="65"/>
    </row>
    <row r="494" spans="1:6" x14ac:dyDescent="0.25">
      <c r="A494" s="61"/>
      <c r="B494" s="61"/>
      <c r="C494" s="62"/>
      <c r="D494" s="63"/>
      <c r="E494" s="64"/>
      <c r="F494" s="65"/>
    </row>
    <row r="495" spans="1:6" x14ac:dyDescent="0.25">
      <c r="A495" s="61"/>
      <c r="B495" s="61"/>
      <c r="C495" s="62"/>
      <c r="D495" s="63"/>
      <c r="E495" s="64"/>
      <c r="F495" s="65"/>
    </row>
    <row r="496" spans="1:6" x14ac:dyDescent="0.25">
      <c r="A496" s="61"/>
      <c r="B496" s="61"/>
      <c r="C496" s="62"/>
      <c r="D496" s="63"/>
      <c r="E496" s="64"/>
      <c r="F496" s="65"/>
    </row>
    <row r="497" spans="1:6" x14ac:dyDescent="0.25">
      <c r="A497" s="61"/>
      <c r="B497" s="61"/>
      <c r="C497" s="62"/>
      <c r="D497" s="63"/>
      <c r="E497" s="64"/>
      <c r="F497" s="65"/>
    </row>
    <row r="498" spans="1:6" x14ac:dyDescent="0.25">
      <c r="A498" s="61"/>
      <c r="B498" s="61"/>
      <c r="C498" s="62"/>
      <c r="D498" s="63"/>
      <c r="E498" s="64"/>
      <c r="F498" s="65"/>
    </row>
    <row r="499" spans="1:6" x14ac:dyDescent="0.25">
      <c r="A499" s="61"/>
      <c r="B499" s="61"/>
      <c r="C499" s="62"/>
      <c r="D499" s="63"/>
      <c r="E499" s="64"/>
      <c r="F499" s="65"/>
    </row>
    <row r="500" spans="1:6" x14ac:dyDescent="0.25">
      <c r="A500" s="61"/>
      <c r="B500" s="61"/>
      <c r="C500" s="62"/>
      <c r="D500" s="63"/>
      <c r="E500" s="64"/>
      <c r="F500" s="65"/>
    </row>
    <row r="501" spans="1:6" x14ac:dyDescent="0.25">
      <c r="A501" s="61"/>
      <c r="B501" s="61"/>
      <c r="C501" s="62"/>
      <c r="D501" s="63"/>
      <c r="E501" s="64"/>
      <c r="F501" s="65"/>
    </row>
    <row r="502" spans="1:6" x14ac:dyDescent="0.25">
      <c r="A502" s="61"/>
      <c r="B502" s="61"/>
      <c r="C502" s="62"/>
      <c r="D502" s="63"/>
      <c r="E502" s="64"/>
      <c r="F502" s="65"/>
    </row>
    <row r="503" spans="1:6" x14ac:dyDescent="0.25">
      <c r="A503" s="61"/>
      <c r="B503" s="61"/>
      <c r="C503" s="62"/>
      <c r="D503" s="63"/>
      <c r="E503" s="64"/>
      <c r="F503" s="65"/>
    </row>
    <row r="504" spans="1:6" x14ac:dyDescent="0.25">
      <c r="A504" s="61"/>
      <c r="B504" s="61"/>
      <c r="C504" s="62"/>
      <c r="D504" s="63"/>
      <c r="E504" s="64"/>
      <c r="F504" s="65"/>
    </row>
    <row r="505" spans="1:6" x14ac:dyDescent="0.25">
      <c r="A505" s="61"/>
      <c r="B505" s="61"/>
      <c r="C505" s="62"/>
      <c r="D505" s="63"/>
      <c r="E505" s="64"/>
      <c r="F505" s="65"/>
    </row>
    <row r="506" spans="1:6" x14ac:dyDescent="0.25">
      <c r="A506" s="61"/>
      <c r="B506" s="61"/>
      <c r="C506" s="62"/>
      <c r="D506" s="63"/>
      <c r="E506" s="64"/>
      <c r="F506" s="65"/>
    </row>
    <row r="507" spans="1:6" x14ac:dyDescent="0.25">
      <c r="A507" s="61"/>
      <c r="B507" s="61"/>
      <c r="C507" s="62"/>
      <c r="D507" s="63"/>
      <c r="E507" s="64"/>
      <c r="F507" s="65"/>
    </row>
    <row r="508" spans="1:6" x14ac:dyDescent="0.25">
      <c r="A508" s="61"/>
      <c r="B508" s="61"/>
      <c r="C508" s="62"/>
      <c r="D508" s="63"/>
      <c r="E508" s="64"/>
      <c r="F508" s="65"/>
    </row>
    <row r="509" spans="1:6" x14ac:dyDescent="0.25">
      <c r="A509" s="61"/>
      <c r="B509" s="61"/>
      <c r="C509" s="62"/>
      <c r="D509" s="63"/>
      <c r="E509" s="64"/>
      <c r="F509" s="65"/>
    </row>
    <row r="510" spans="1:6" x14ac:dyDescent="0.25">
      <c r="A510" s="61"/>
      <c r="B510" s="61"/>
      <c r="C510" s="62"/>
      <c r="D510" s="63"/>
      <c r="E510" s="64"/>
      <c r="F510" s="65"/>
    </row>
    <row r="511" spans="1:6" x14ac:dyDescent="0.25">
      <c r="A511" s="61"/>
      <c r="B511" s="61"/>
      <c r="C511" s="62"/>
      <c r="D511" s="63"/>
      <c r="E511" s="64"/>
      <c r="F511" s="65"/>
    </row>
    <row r="512" spans="1:6" x14ac:dyDescent="0.25">
      <c r="A512" s="61"/>
      <c r="B512" s="61"/>
      <c r="C512" s="62"/>
      <c r="D512" s="63"/>
      <c r="E512" s="64"/>
      <c r="F512" s="65"/>
    </row>
    <row r="513" spans="1:6" x14ac:dyDescent="0.25">
      <c r="A513" s="61"/>
      <c r="B513" s="61"/>
      <c r="C513" s="62"/>
      <c r="D513" s="63"/>
      <c r="E513" s="64"/>
      <c r="F513" s="65"/>
    </row>
    <row r="514" spans="1:6" x14ac:dyDescent="0.25">
      <c r="A514" s="61"/>
      <c r="B514" s="61"/>
      <c r="C514" s="62"/>
      <c r="D514" s="63"/>
      <c r="E514" s="64"/>
      <c r="F514" s="65"/>
    </row>
    <row r="515" spans="1:6" x14ac:dyDescent="0.25">
      <c r="A515" s="61"/>
      <c r="B515" s="61"/>
      <c r="C515" s="62"/>
      <c r="D515" s="63"/>
      <c r="E515" s="64"/>
      <c r="F515" s="65"/>
    </row>
    <row r="516" spans="1:6" x14ac:dyDescent="0.25">
      <c r="A516" s="61"/>
      <c r="B516" s="61"/>
      <c r="C516" s="62"/>
      <c r="D516" s="63"/>
      <c r="E516" s="64"/>
      <c r="F516" s="65"/>
    </row>
    <row r="517" spans="1:6" x14ac:dyDescent="0.25">
      <c r="A517" s="61"/>
      <c r="B517" s="61"/>
      <c r="C517" s="62"/>
      <c r="D517" s="63"/>
      <c r="E517" s="64"/>
      <c r="F517" s="65"/>
    </row>
    <row r="518" spans="1:6" x14ac:dyDescent="0.25">
      <c r="A518" s="61"/>
      <c r="B518" s="61"/>
      <c r="C518" s="62"/>
      <c r="D518" s="63"/>
      <c r="E518" s="64"/>
      <c r="F518" s="65"/>
    </row>
    <row r="519" spans="1:6" x14ac:dyDescent="0.25">
      <c r="A519" s="61"/>
      <c r="B519" s="61"/>
      <c r="C519" s="62"/>
      <c r="D519" s="63"/>
      <c r="E519" s="64"/>
      <c r="F519" s="65"/>
    </row>
    <row r="520" spans="1:6" x14ac:dyDescent="0.25">
      <c r="A520" s="61"/>
      <c r="B520" s="61"/>
      <c r="C520" s="62"/>
      <c r="D520" s="63"/>
      <c r="E520" s="64"/>
      <c r="F520" s="65"/>
    </row>
    <row r="521" spans="1:6" x14ac:dyDescent="0.25">
      <c r="A521" s="61"/>
      <c r="B521" s="61"/>
      <c r="C521" s="62"/>
      <c r="D521" s="63"/>
      <c r="E521" s="64"/>
      <c r="F521" s="65"/>
    </row>
    <row r="522" spans="1:6" x14ac:dyDescent="0.25">
      <c r="A522" s="61"/>
      <c r="B522" s="61"/>
      <c r="C522" s="62"/>
      <c r="D522" s="63"/>
      <c r="E522" s="64"/>
      <c r="F522" s="65"/>
    </row>
    <row r="523" spans="1:6" x14ac:dyDescent="0.25">
      <c r="A523" s="61"/>
      <c r="B523" s="61"/>
      <c r="C523" s="62"/>
      <c r="D523" s="63"/>
      <c r="E523" s="64"/>
      <c r="F523" s="65"/>
    </row>
    <row r="524" spans="1:6" x14ac:dyDescent="0.25">
      <c r="A524" s="61"/>
      <c r="B524" s="61"/>
      <c r="C524" s="62"/>
      <c r="D524" s="63"/>
      <c r="E524" s="64"/>
      <c r="F524" s="65"/>
    </row>
    <row r="525" spans="1:6" x14ac:dyDescent="0.25">
      <c r="A525" s="61"/>
      <c r="B525" s="61"/>
      <c r="C525" s="62"/>
      <c r="D525" s="63"/>
      <c r="E525" s="64"/>
      <c r="F525" s="65"/>
    </row>
    <row r="526" spans="1:6" x14ac:dyDescent="0.25">
      <c r="A526" s="61"/>
      <c r="B526" s="61"/>
      <c r="C526" s="62"/>
      <c r="D526" s="63"/>
      <c r="E526" s="64"/>
      <c r="F526" s="65"/>
    </row>
    <row r="527" spans="1:6" x14ac:dyDescent="0.25">
      <c r="A527" s="61"/>
      <c r="B527" s="61"/>
      <c r="C527" s="62"/>
      <c r="D527" s="63"/>
      <c r="E527" s="64"/>
      <c r="F527" s="65"/>
    </row>
    <row r="528" spans="1:6" x14ac:dyDescent="0.25">
      <c r="A528" s="61"/>
      <c r="B528" s="61"/>
      <c r="C528" s="62"/>
      <c r="D528" s="63"/>
      <c r="E528" s="64"/>
      <c r="F528" s="65"/>
    </row>
    <row r="529" spans="1:6" x14ac:dyDescent="0.25">
      <c r="A529" s="61"/>
      <c r="B529" s="61"/>
      <c r="C529" s="62"/>
      <c r="D529" s="63"/>
      <c r="E529" s="64"/>
      <c r="F529" s="65"/>
    </row>
    <row r="530" spans="1:6" x14ac:dyDescent="0.25">
      <c r="A530" s="61"/>
      <c r="B530" s="61"/>
      <c r="C530" s="62"/>
      <c r="D530" s="63"/>
      <c r="E530" s="64"/>
      <c r="F530" s="65"/>
    </row>
    <row r="531" spans="1:6" x14ac:dyDescent="0.25">
      <c r="A531" s="61"/>
      <c r="B531" s="61"/>
      <c r="C531" s="62"/>
      <c r="D531" s="63"/>
      <c r="E531" s="64"/>
      <c r="F531" s="65"/>
    </row>
    <row r="532" spans="1:6" x14ac:dyDescent="0.25">
      <c r="A532" s="61"/>
      <c r="B532" s="61"/>
      <c r="C532" s="62"/>
      <c r="D532" s="63"/>
      <c r="E532" s="64"/>
      <c r="F532" s="65"/>
    </row>
    <row r="533" spans="1:6" x14ac:dyDescent="0.25">
      <c r="A533" s="61"/>
      <c r="B533" s="61"/>
      <c r="C533" s="62"/>
      <c r="D533" s="63"/>
      <c r="E533" s="64"/>
      <c r="F533" s="65"/>
    </row>
    <row r="534" spans="1:6" x14ac:dyDescent="0.25">
      <c r="A534" s="61"/>
      <c r="B534" s="61"/>
      <c r="C534" s="62"/>
      <c r="D534" s="63"/>
      <c r="E534" s="64"/>
      <c r="F534" s="65"/>
    </row>
    <row r="535" spans="1:6" x14ac:dyDescent="0.25">
      <c r="A535" s="61"/>
      <c r="B535" s="61"/>
      <c r="C535" s="62"/>
      <c r="D535" s="63"/>
      <c r="E535" s="64"/>
      <c r="F535" s="65"/>
    </row>
    <row r="536" spans="1:6" x14ac:dyDescent="0.25">
      <c r="A536" s="61"/>
      <c r="B536" s="61"/>
      <c r="C536" s="62"/>
      <c r="D536" s="63"/>
      <c r="E536" s="64"/>
      <c r="F536" s="65"/>
    </row>
    <row r="537" spans="1:6" x14ac:dyDescent="0.25">
      <c r="A537" s="61"/>
      <c r="B537" s="61"/>
      <c r="C537" s="62"/>
      <c r="D537" s="63"/>
      <c r="E537" s="64"/>
      <c r="F537" s="65"/>
    </row>
    <row r="538" spans="1:6" x14ac:dyDescent="0.25">
      <c r="A538" s="61"/>
      <c r="B538" s="61"/>
      <c r="C538" s="62"/>
      <c r="D538" s="63"/>
      <c r="E538" s="64"/>
      <c r="F538" s="65"/>
    </row>
    <row r="539" spans="1:6" x14ac:dyDescent="0.25">
      <c r="A539" s="61"/>
      <c r="B539" s="61"/>
      <c r="C539" s="62"/>
      <c r="D539" s="63"/>
      <c r="E539" s="64"/>
      <c r="F539" s="65"/>
    </row>
    <row r="540" spans="1:6" x14ac:dyDescent="0.25">
      <c r="A540" s="61"/>
      <c r="B540" s="61"/>
      <c r="C540" s="62"/>
      <c r="D540" s="63"/>
      <c r="E540" s="64"/>
      <c r="F540" s="65"/>
    </row>
    <row r="541" spans="1:6" x14ac:dyDescent="0.25">
      <c r="A541" s="61"/>
      <c r="B541" s="61"/>
      <c r="C541" s="62"/>
      <c r="D541" s="63"/>
      <c r="E541" s="64"/>
      <c r="F541" s="65"/>
    </row>
    <row r="542" spans="1:6" x14ac:dyDescent="0.25">
      <c r="A542" s="61"/>
      <c r="B542" s="61"/>
      <c r="C542" s="62"/>
      <c r="D542" s="63"/>
      <c r="E542" s="64"/>
      <c r="F542" s="65"/>
    </row>
    <row r="543" spans="1:6" x14ac:dyDescent="0.25">
      <c r="A543" s="61"/>
      <c r="B543" s="61"/>
      <c r="C543" s="62"/>
      <c r="D543" s="63"/>
      <c r="E543" s="64"/>
      <c r="F543" s="65"/>
    </row>
    <row r="544" spans="1:6" x14ac:dyDescent="0.25">
      <c r="A544" s="61"/>
      <c r="B544" s="61"/>
      <c r="C544" s="62"/>
      <c r="D544" s="63"/>
      <c r="E544" s="64"/>
      <c r="F544" s="65"/>
    </row>
    <row r="545" spans="1:6" x14ac:dyDescent="0.25">
      <c r="A545" s="61"/>
      <c r="B545" s="61"/>
      <c r="C545" s="62"/>
      <c r="D545" s="63"/>
      <c r="E545" s="64"/>
      <c r="F545" s="65"/>
    </row>
    <row r="546" spans="1:6" x14ac:dyDescent="0.25">
      <c r="A546" s="61"/>
      <c r="B546" s="61"/>
      <c r="C546" s="62"/>
      <c r="D546" s="63"/>
      <c r="E546" s="64"/>
      <c r="F546" s="65"/>
    </row>
    <row r="547" spans="1:6" x14ac:dyDescent="0.25">
      <c r="A547" s="61"/>
      <c r="B547" s="61"/>
      <c r="C547" s="62"/>
      <c r="D547" s="63"/>
      <c r="E547" s="64"/>
      <c r="F547" s="65"/>
    </row>
    <row r="548" spans="1:6" x14ac:dyDescent="0.25">
      <c r="A548" s="61"/>
      <c r="B548" s="61"/>
      <c r="C548" s="62"/>
      <c r="D548" s="63"/>
      <c r="E548" s="64"/>
      <c r="F548" s="65"/>
    </row>
    <row r="549" spans="1:6" x14ac:dyDescent="0.25">
      <c r="A549" s="61"/>
      <c r="B549" s="61"/>
      <c r="C549" s="62"/>
      <c r="D549" s="63"/>
      <c r="E549" s="64"/>
      <c r="F549" s="65"/>
    </row>
    <row r="550" spans="1:6" x14ac:dyDescent="0.25">
      <c r="A550" s="61"/>
      <c r="B550" s="61"/>
      <c r="C550" s="62"/>
      <c r="D550" s="63"/>
      <c r="E550" s="64"/>
      <c r="F550" s="65"/>
    </row>
    <row r="551" spans="1:6" x14ac:dyDescent="0.25">
      <c r="A551" s="61"/>
      <c r="B551" s="61"/>
      <c r="C551" s="62"/>
      <c r="D551" s="63"/>
      <c r="E551" s="64"/>
      <c r="F551" s="65"/>
    </row>
    <row r="552" spans="1:6" x14ac:dyDescent="0.25">
      <c r="A552" s="61"/>
      <c r="B552" s="61"/>
      <c r="C552" s="62"/>
      <c r="D552" s="63"/>
      <c r="E552" s="64"/>
      <c r="F552" s="65"/>
    </row>
    <row r="553" spans="1:6" x14ac:dyDescent="0.25">
      <c r="A553" s="61"/>
      <c r="B553" s="61"/>
      <c r="C553" s="62"/>
      <c r="D553" s="63"/>
      <c r="E553" s="64"/>
      <c r="F553" s="65"/>
    </row>
    <row r="554" spans="1:6" x14ac:dyDescent="0.25">
      <c r="A554" s="61"/>
      <c r="B554" s="61"/>
      <c r="C554" s="62"/>
      <c r="D554" s="63"/>
      <c r="E554" s="64"/>
      <c r="F554" s="65"/>
    </row>
    <row r="555" spans="1:6" x14ac:dyDescent="0.25">
      <c r="A555" s="61"/>
      <c r="B555" s="61"/>
      <c r="C555" s="62"/>
      <c r="D555" s="63"/>
      <c r="E555" s="64"/>
      <c r="F555" s="65"/>
    </row>
    <row r="556" spans="1:6" x14ac:dyDescent="0.25">
      <c r="A556" s="61"/>
      <c r="B556" s="61"/>
      <c r="C556" s="62"/>
      <c r="D556" s="63"/>
      <c r="E556" s="64"/>
      <c r="F556" s="65"/>
    </row>
    <row r="557" spans="1:6" x14ac:dyDescent="0.25">
      <c r="A557" s="61"/>
      <c r="B557" s="61"/>
      <c r="C557" s="62"/>
      <c r="D557" s="63"/>
      <c r="E557" s="64"/>
      <c r="F557" s="65"/>
    </row>
    <row r="558" spans="1:6" x14ac:dyDescent="0.25">
      <c r="A558" s="61"/>
      <c r="B558" s="61"/>
      <c r="C558" s="62"/>
      <c r="D558" s="63"/>
      <c r="E558" s="64"/>
      <c r="F558" s="65"/>
    </row>
    <row r="559" spans="1:6" x14ac:dyDescent="0.25">
      <c r="A559" s="61"/>
      <c r="B559" s="61"/>
      <c r="C559" s="62"/>
      <c r="D559" s="63"/>
      <c r="E559" s="64"/>
      <c r="F559" s="65"/>
    </row>
    <row r="560" spans="1:6" x14ac:dyDescent="0.25">
      <c r="A560" s="61"/>
      <c r="B560" s="61"/>
      <c r="C560" s="62"/>
      <c r="D560" s="63"/>
      <c r="E560" s="64"/>
      <c r="F560" s="65"/>
    </row>
    <row r="561" spans="1:6" x14ac:dyDescent="0.25">
      <c r="A561" s="61"/>
      <c r="B561" s="61"/>
      <c r="C561" s="62"/>
      <c r="D561" s="63"/>
      <c r="E561" s="64"/>
      <c r="F561" s="65"/>
    </row>
    <row r="562" spans="1:6" x14ac:dyDescent="0.25">
      <c r="A562" s="61"/>
      <c r="B562" s="61"/>
      <c r="C562" s="62"/>
      <c r="D562" s="63"/>
      <c r="E562" s="64"/>
      <c r="F562" s="65"/>
    </row>
    <row r="563" spans="1:6" x14ac:dyDescent="0.25">
      <c r="A563" s="61"/>
      <c r="B563" s="61"/>
      <c r="C563" s="62"/>
      <c r="D563" s="63"/>
      <c r="E563" s="64"/>
      <c r="F563" s="65"/>
    </row>
    <row r="564" spans="1:6" x14ac:dyDescent="0.25">
      <c r="A564" s="61"/>
      <c r="B564" s="61"/>
      <c r="C564" s="62"/>
      <c r="D564" s="63"/>
      <c r="E564" s="64"/>
      <c r="F564" s="65"/>
    </row>
    <row r="565" spans="1:6" x14ac:dyDescent="0.25">
      <c r="A565" s="61"/>
      <c r="B565" s="61"/>
      <c r="C565" s="62"/>
      <c r="D565" s="63"/>
      <c r="E565" s="64"/>
      <c r="F565" s="65"/>
    </row>
    <row r="566" spans="1:6" x14ac:dyDescent="0.25">
      <c r="A566" s="61"/>
      <c r="B566" s="61"/>
      <c r="C566" s="62"/>
      <c r="D566" s="63"/>
      <c r="E566" s="64"/>
      <c r="F566" s="65"/>
    </row>
    <row r="567" spans="1:6" x14ac:dyDescent="0.25">
      <c r="A567" s="61"/>
      <c r="B567" s="61"/>
      <c r="C567" s="62"/>
      <c r="D567" s="63"/>
      <c r="E567" s="64"/>
      <c r="F567" s="65"/>
    </row>
    <row r="568" spans="1:6" x14ac:dyDescent="0.25">
      <c r="A568" s="61"/>
      <c r="B568" s="61"/>
      <c r="C568" s="62"/>
      <c r="D568" s="63"/>
      <c r="E568" s="64"/>
      <c r="F568" s="65"/>
    </row>
    <row r="569" spans="1:6" x14ac:dyDescent="0.25">
      <c r="A569" s="61"/>
      <c r="B569" s="61"/>
      <c r="C569" s="62"/>
      <c r="D569" s="63"/>
      <c r="E569" s="64"/>
      <c r="F569" s="65"/>
    </row>
    <row r="570" spans="1:6" x14ac:dyDescent="0.25">
      <c r="A570" s="61"/>
      <c r="B570" s="61"/>
      <c r="C570" s="62"/>
      <c r="D570" s="63"/>
      <c r="E570" s="64"/>
      <c r="F570" s="65"/>
    </row>
    <row r="571" spans="1:6" x14ac:dyDescent="0.25">
      <c r="A571" s="61"/>
      <c r="B571" s="61"/>
      <c r="C571" s="62"/>
      <c r="D571" s="63"/>
      <c r="E571" s="64"/>
      <c r="F571" s="65"/>
    </row>
    <row r="572" spans="1:6" x14ac:dyDescent="0.25">
      <c r="A572" s="61"/>
      <c r="B572" s="61"/>
      <c r="C572" s="62"/>
      <c r="D572" s="63"/>
      <c r="E572" s="64"/>
      <c r="F572" s="65"/>
    </row>
    <row r="573" spans="1:6" x14ac:dyDescent="0.25">
      <c r="A573" s="61"/>
      <c r="B573" s="61"/>
      <c r="C573" s="62"/>
      <c r="D573" s="63"/>
      <c r="E573" s="64"/>
      <c r="F573" s="65"/>
    </row>
    <row r="574" spans="1:6" x14ac:dyDescent="0.25">
      <c r="A574" s="61"/>
      <c r="B574" s="61"/>
      <c r="C574" s="62"/>
      <c r="D574" s="63"/>
      <c r="E574" s="64"/>
      <c r="F574" s="65"/>
    </row>
    <row r="575" spans="1:6" x14ac:dyDescent="0.25">
      <c r="A575" s="61"/>
      <c r="B575" s="61"/>
      <c r="C575" s="62"/>
      <c r="D575" s="63"/>
      <c r="E575" s="64"/>
      <c r="F575" s="65"/>
    </row>
    <row r="576" spans="1:6" x14ac:dyDescent="0.25">
      <c r="A576" s="61"/>
      <c r="B576" s="61"/>
      <c r="C576" s="62"/>
      <c r="D576" s="63"/>
      <c r="E576" s="64"/>
      <c r="F576" s="65"/>
    </row>
    <row r="577" spans="1:6" x14ac:dyDescent="0.25">
      <c r="A577" s="61"/>
      <c r="B577" s="61"/>
      <c r="C577" s="62"/>
      <c r="D577" s="63"/>
      <c r="E577" s="64"/>
      <c r="F577" s="65"/>
    </row>
    <row r="578" spans="1:6" x14ac:dyDescent="0.25">
      <c r="A578" s="61"/>
      <c r="B578" s="61"/>
      <c r="C578" s="62"/>
      <c r="D578" s="63"/>
      <c r="E578" s="64"/>
      <c r="F578" s="65"/>
    </row>
    <row r="579" spans="1:6" x14ac:dyDescent="0.25">
      <c r="A579" s="61"/>
      <c r="B579" s="61"/>
      <c r="C579" s="62"/>
      <c r="D579" s="63"/>
      <c r="E579" s="64"/>
      <c r="F579" s="65"/>
    </row>
    <row r="580" spans="1:6" x14ac:dyDescent="0.25">
      <c r="A580" s="61"/>
      <c r="B580" s="61"/>
      <c r="C580" s="62"/>
      <c r="D580" s="63"/>
      <c r="E580" s="64"/>
      <c r="F580" s="65"/>
    </row>
    <row r="581" spans="1:6" x14ac:dyDescent="0.25">
      <c r="A581" s="61"/>
      <c r="B581" s="61"/>
      <c r="C581" s="62"/>
      <c r="D581" s="63"/>
      <c r="E581" s="64"/>
      <c r="F581" s="65"/>
    </row>
    <row r="582" spans="1:6" x14ac:dyDescent="0.25">
      <c r="A582" s="61"/>
      <c r="B582" s="61"/>
      <c r="C582" s="62"/>
      <c r="D582" s="63"/>
      <c r="E582" s="64"/>
      <c r="F582" s="65"/>
    </row>
    <row r="583" spans="1:6" x14ac:dyDescent="0.25">
      <c r="A583" s="61"/>
      <c r="B583" s="61"/>
      <c r="C583" s="62"/>
      <c r="D583" s="63"/>
      <c r="E583" s="64"/>
      <c r="F583" s="65"/>
    </row>
    <row r="584" spans="1:6" x14ac:dyDescent="0.25">
      <c r="A584" s="61"/>
      <c r="B584" s="61"/>
      <c r="C584" s="62"/>
      <c r="D584" s="63"/>
      <c r="E584" s="64"/>
      <c r="F584" s="65"/>
    </row>
    <row r="585" spans="1:6" x14ac:dyDescent="0.25">
      <c r="A585" s="61"/>
      <c r="B585" s="61"/>
      <c r="C585" s="62"/>
      <c r="D585" s="63"/>
      <c r="E585" s="64"/>
      <c r="F585" s="65"/>
    </row>
    <row r="586" spans="1:6" x14ac:dyDescent="0.25">
      <c r="A586" s="61"/>
      <c r="B586" s="61"/>
      <c r="C586" s="62"/>
      <c r="D586" s="63"/>
      <c r="E586" s="64"/>
      <c r="F586" s="65"/>
    </row>
    <row r="587" spans="1:6" x14ac:dyDescent="0.25">
      <c r="A587" s="61"/>
      <c r="B587" s="61"/>
      <c r="C587" s="62"/>
      <c r="D587" s="63"/>
      <c r="E587" s="64"/>
      <c r="F587" s="65"/>
    </row>
    <row r="588" spans="1:6" x14ac:dyDescent="0.25">
      <c r="A588" s="61"/>
      <c r="B588" s="61"/>
      <c r="C588" s="62"/>
      <c r="D588" s="63"/>
      <c r="E588" s="64"/>
      <c r="F588" s="65"/>
    </row>
    <row r="589" spans="1:6" x14ac:dyDescent="0.25">
      <c r="A589" s="61"/>
      <c r="B589" s="61"/>
      <c r="C589" s="62"/>
      <c r="D589" s="63"/>
      <c r="E589" s="64"/>
      <c r="F589" s="65"/>
    </row>
    <row r="590" spans="1:6" x14ac:dyDescent="0.25">
      <c r="A590" s="61"/>
      <c r="B590" s="61"/>
      <c r="C590" s="62"/>
      <c r="D590" s="63"/>
      <c r="E590" s="64"/>
      <c r="F590" s="65"/>
    </row>
    <row r="591" spans="1:6" x14ac:dyDescent="0.25">
      <c r="A591" s="61"/>
      <c r="B591" s="61"/>
      <c r="C591" s="62"/>
      <c r="D591" s="63"/>
      <c r="E591" s="64"/>
      <c r="F591" s="65"/>
    </row>
    <row r="592" spans="1:6" x14ac:dyDescent="0.25">
      <c r="A592" s="61"/>
      <c r="B592" s="61"/>
      <c r="C592" s="62"/>
      <c r="D592" s="63"/>
      <c r="E592" s="64"/>
      <c r="F592" s="65"/>
    </row>
    <row r="593" spans="1:6" x14ac:dyDescent="0.25">
      <c r="A593" s="61"/>
      <c r="B593" s="61"/>
      <c r="C593" s="62"/>
      <c r="D593" s="63"/>
      <c r="E593" s="64"/>
      <c r="F593" s="65"/>
    </row>
    <row r="594" spans="1:6" x14ac:dyDescent="0.25">
      <c r="A594" s="61"/>
      <c r="B594" s="61"/>
      <c r="C594" s="62"/>
      <c r="D594" s="63"/>
      <c r="E594" s="64"/>
      <c r="F594" s="65"/>
    </row>
    <row r="595" spans="1:6" x14ac:dyDescent="0.25">
      <c r="A595" s="61"/>
      <c r="B595" s="61"/>
      <c r="C595" s="62"/>
      <c r="D595" s="63"/>
      <c r="E595" s="64"/>
      <c r="F595" s="65"/>
    </row>
    <row r="596" spans="1:6" x14ac:dyDescent="0.25">
      <c r="A596" s="61"/>
      <c r="B596" s="61"/>
      <c r="C596" s="62"/>
      <c r="D596" s="63"/>
      <c r="E596" s="64"/>
      <c r="F596" s="65"/>
    </row>
    <row r="597" spans="1:6" x14ac:dyDescent="0.25">
      <c r="A597" s="61"/>
      <c r="B597" s="61"/>
      <c r="C597" s="62"/>
      <c r="D597" s="63"/>
      <c r="E597" s="64"/>
      <c r="F597" s="65"/>
    </row>
    <row r="598" spans="1:6" x14ac:dyDescent="0.25">
      <c r="A598" s="61"/>
      <c r="B598" s="61"/>
      <c r="C598" s="62"/>
      <c r="D598" s="63"/>
      <c r="E598" s="64"/>
      <c r="F598" s="65"/>
    </row>
    <row r="599" spans="1:6" x14ac:dyDescent="0.25">
      <c r="A599" s="61"/>
      <c r="B599" s="61"/>
      <c r="C599" s="62"/>
      <c r="D599" s="63"/>
      <c r="E599" s="64"/>
      <c r="F599" s="65"/>
    </row>
    <row r="600" spans="1:6" x14ac:dyDescent="0.25">
      <c r="A600" s="61"/>
      <c r="B600" s="61"/>
      <c r="C600" s="62"/>
      <c r="D600" s="63"/>
      <c r="E600" s="64"/>
      <c r="F600" s="65"/>
    </row>
    <row r="601" spans="1:6" x14ac:dyDescent="0.25">
      <c r="A601" s="61"/>
      <c r="B601" s="61"/>
      <c r="C601" s="62"/>
      <c r="D601" s="63"/>
      <c r="E601" s="64"/>
      <c r="F601" s="65"/>
    </row>
    <row r="602" spans="1:6" x14ac:dyDescent="0.25">
      <c r="A602" s="61"/>
      <c r="B602" s="61"/>
      <c r="C602" s="62"/>
      <c r="D602" s="63"/>
      <c r="E602" s="64"/>
      <c r="F602" s="65"/>
    </row>
    <row r="603" spans="1:6" x14ac:dyDescent="0.25">
      <c r="A603" s="61"/>
      <c r="B603" s="61"/>
      <c r="C603" s="62"/>
      <c r="D603" s="63"/>
      <c r="E603" s="64"/>
      <c r="F603" s="65"/>
    </row>
    <row r="604" spans="1:6" x14ac:dyDescent="0.25">
      <c r="A604" s="61"/>
      <c r="B604" s="61"/>
      <c r="C604" s="62"/>
      <c r="D604" s="63"/>
      <c r="E604" s="64"/>
      <c r="F604" s="65"/>
    </row>
    <row r="605" spans="1:6" x14ac:dyDescent="0.25">
      <c r="A605" s="61"/>
      <c r="B605" s="61"/>
      <c r="C605" s="62"/>
      <c r="D605" s="63"/>
      <c r="E605" s="64"/>
      <c r="F605" s="65"/>
    </row>
    <row r="606" spans="1:6" x14ac:dyDescent="0.25">
      <c r="A606" s="61"/>
      <c r="B606" s="61"/>
      <c r="C606" s="62"/>
      <c r="D606" s="63"/>
      <c r="E606" s="64"/>
      <c r="F606" s="65"/>
    </row>
    <row r="607" spans="1:6" x14ac:dyDescent="0.25">
      <c r="A607" s="61"/>
      <c r="B607" s="61"/>
      <c r="C607" s="62"/>
      <c r="D607" s="63"/>
      <c r="E607" s="64"/>
      <c r="F607" s="65"/>
    </row>
    <row r="608" spans="1:6" x14ac:dyDescent="0.25">
      <c r="A608" s="61"/>
      <c r="B608" s="61"/>
      <c r="C608" s="62"/>
      <c r="D608" s="63"/>
      <c r="E608" s="64"/>
      <c r="F608" s="65"/>
    </row>
    <row r="609" spans="1:6" x14ac:dyDescent="0.25">
      <c r="A609" s="61"/>
      <c r="B609" s="61"/>
      <c r="C609" s="62"/>
      <c r="D609" s="63"/>
      <c r="E609" s="64"/>
      <c r="F609" s="65"/>
    </row>
    <row r="610" spans="1:6" x14ac:dyDescent="0.25">
      <c r="A610" s="61"/>
      <c r="B610" s="61"/>
      <c r="C610" s="62"/>
      <c r="D610" s="63"/>
      <c r="E610" s="64"/>
      <c r="F610" s="65"/>
    </row>
    <row r="611" spans="1:6" x14ac:dyDescent="0.25">
      <c r="A611" s="61"/>
      <c r="B611" s="61"/>
      <c r="C611" s="62"/>
      <c r="D611" s="63"/>
      <c r="E611" s="64"/>
      <c r="F611" s="65"/>
    </row>
    <row r="612" spans="1:6" x14ac:dyDescent="0.25">
      <c r="A612" s="61"/>
      <c r="B612" s="61"/>
      <c r="C612" s="62"/>
      <c r="D612" s="63"/>
      <c r="E612" s="64"/>
      <c r="F612" s="65"/>
    </row>
    <row r="613" spans="1:6" x14ac:dyDescent="0.25">
      <c r="A613" s="61"/>
      <c r="B613" s="61"/>
      <c r="C613" s="62"/>
      <c r="D613" s="63"/>
      <c r="E613" s="64"/>
      <c r="F613" s="65"/>
    </row>
    <row r="614" spans="1:6" x14ac:dyDescent="0.25">
      <c r="A614" s="61"/>
      <c r="B614" s="61"/>
      <c r="C614" s="62"/>
      <c r="D614" s="63"/>
      <c r="E614" s="64"/>
      <c r="F614" s="65"/>
    </row>
    <row r="615" spans="1:6" x14ac:dyDescent="0.25">
      <c r="A615" s="61"/>
      <c r="B615" s="61"/>
      <c r="C615" s="62"/>
      <c r="D615" s="63"/>
      <c r="E615" s="64"/>
      <c r="F615" s="65"/>
    </row>
    <row r="616" spans="1:6" x14ac:dyDescent="0.25">
      <c r="A616" s="61"/>
      <c r="B616" s="61"/>
      <c r="C616" s="62"/>
      <c r="D616" s="63"/>
      <c r="E616" s="64"/>
      <c r="F616" s="65"/>
    </row>
    <row r="617" spans="1:6" x14ac:dyDescent="0.25">
      <c r="A617" s="61"/>
      <c r="B617" s="61"/>
      <c r="C617" s="62"/>
      <c r="D617" s="63"/>
      <c r="E617" s="64"/>
      <c r="F617" s="65"/>
    </row>
    <row r="618" spans="1:6" x14ac:dyDescent="0.25">
      <c r="A618" s="61"/>
      <c r="B618" s="61"/>
      <c r="C618" s="62"/>
      <c r="D618" s="63"/>
      <c r="E618" s="64"/>
      <c r="F618" s="65"/>
    </row>
    <row r="619" spans="1:6" x14ac:dyDescent="0.25">
      <c r="A619" s="61"/>
      <c r="B619" s="61"/>
      <c r="C619" s="62"/>
      <c r="D619" s="63"/>
      <c r="E619" s="64"/>
      <c r="F619" s="65"/>
    </row>
    <row r="620" spans="1:6" x14ac:dyDescent="0.25">
      <c r="A620" s="61"/>
      <c r="B620" s="61"/>
      <c r="C620" s="62"/>
      <c r="D620" s="63"/>
      <c r="E620" s="64"/>
      <c r="F620" s="65"/>
    </row>
    <row r="621" spans="1:6" x14ac:dyDescent="0.25">
      <c r="A621" s="61"/>
      <c r="B621" s="61"/>
      <c r="C621" s="62"/>
      <c r="D621" s="63"/>
      <c r="E621" s="64"/>
      <c r="F621" s="65"/>
    </row>
    <row r="622" spans="1:6" x14ac:dyDescent="0.25">
      <c r="A622" s="61"/>
      <c r="B622" s="61"/>
      <c r="C622" s="62"/>
      <c r="D622" s="63"/>
      <c r="E622" s="64"/>
      <c r="F622" s="65"/>
    </row>
    <row r="623" spans="1:6" x14ac:dyDescent="0.25">
      <c r="A623" s="61"/>
      <c r="B623" s="61"/>
      <c r="C623" s="62"/>
      <c r="D623" s="63"/>
      <c r="E623" s="64"/>
      <c r="F623" s="65"/>
    </row>
    <row r="624" spans="1:6" x14ac:dyDescent="0.25">
      <c r="A624" s="61"/>
      <c r="B624" s="61"/>
      <c r="C624" s="62"/>
      <c r="D624" s="63"/>
      <c r="E624" s="64"/>
      <c r="F624" s="65"/>
    </row>
    <row r="625" spans="1:6" x14ac:dyDescent="0.25">
      <c r="A625" s="61"/>
      <c r="B625" s="61"/>
      <c r="C625" s="62"/>
      <c r="D625" s="63"/>
      <c r="E625" s="64"/>
      <c r="F625" s="65"/>
    </row>
    <row r="626" spans="1:6" x14ac:dyDescent="0.25">
      <c r="A626" s="61"/>
      <c r="B626" s="61"/>
      <c r="C626" s="62"/>
      <c r="D626" s="63"/>
      <c r="E626" s="64"/>
      <c r="F626" s="65"/>
    </row>
    <row r="627" spans="1:6" x14ac:dyDescent="0.25">
      <c r="A627" s="61"/>
      <c r="B627" s="61"/>
      <c r="C627" s="62"/>
      <c r="D627" s="63"/>
      <c r="E627" s="64"/>
      <c r="F627" s="65"/>
    </row>
    <row r="628" spans="1:6" x14ac:dyDescent="0.25">
      <c r="A628" s="61"/>
      <c r="B628" s="61"/>
      <c r="C628" s="62"/>
      <c r="D628" s="63"/>
      <c r="E628" s="64"/>
      <c r="F628" s="65"/>
    </row>
    <row r="629" spans="1:6" x14ac:dyDescent="0.25">
      <c r="A629" s="61"/>
      <c r="B629" s="61"/>
      <c r="C629" s="62"/>
      <c r="D629" s="63"/>
      <c r="E629" s="64"/>
      <c r="F629" s="65"/>
    </row>
    <row r="630" spans="1:6" x14ac:dyDescent="0.25">
      <c r="A630" s="61"/>
      <c r="B630" s="61"/>
      <c r="C630" s="62"/>
      <c r="D630" s="63"/>
      <c r="E630" s="64"/>
      <c r="F630" s="65"/>
    </row>
    <row r="631" spans="1:6" x14ac:dyDescent="0.25">
      <c r="A631" s="61"/>
      <c r="B631" s="61"/>
      <c r="C631" s="62"/>
      <c r="D631" s="63"/>
      <c r="E631" s="64"/>
      <c r="F631" s="65"/>
    </row>
    <row r="632" spans="1:6" x14ac:dyDescent="0.25">
      <c r="A632" s="61"/>
      <c r="B632" s="61"/>
      <c r="C632" s="62"/>
      <c r="D632" s="63"/>
      <c r="E632" s="64"/>
      <c r="F632" s="65"/>
    </row>
    <row r="633" spans="1:6" x14ac:dyDescent="0.25">
      <c r="A633" s="61"/>
      <c r="B633" s="61"/>
      <c r="C633" s="62"/>
      <c r="D633" s="63"/>
      <c r="E633" s="64"/>
      <c r="F633" s="65"/>
    </row>
    <row r="634" spans="1:6" x14ac:dyDescent="0.25">
      <c r="A634" s="61"/>
      <c r="B634" s="61"/>
      <c r="C634" s="62"/>
      <c r="D634" s="63"/>
      <c r="E634" s="64"/>
      <c r="F634" s="65"/>
    </row>
    <row r="635" spans="1:6" x14ac:dyDescent="0.25">
      <c r="A635" s="61"/>
      <c r="B635" s="61"/>
      <c r="C635" s="62"/>
      <c r="D635" s="63"/>
      <c r="E635" s="64"/>
      <c r="F635" s="65"/>
    </row>
    <row r="636" spans="1:6" x14ac:dyDescent="0.25">
      <c r="A636" s="61"/>
      <c r="B636" s="61"/>
      <c r="C636" s="62"/>
      <c r="D636" s="63"/>
      <c r="E636" s="64"/>
      <c r="F636" s="65"/>
    </row>
    <row r="637" spans="1:6" x14ac:dyDescent="0.25">
      <c r="A637" s="61"/>
      <c r="B637" s="61"/>
      <c r="C637" s="62"/>
      <c r="D637" s="63"/>
      <c r="E637" s="64"/>
      <c r="F637" s="65"/>
    </row>
    <row r="638" spans="1:6" x14ac:dyDescent="0.25">
      <c r="A638" s="61"/>
      <c r="B638" s="61"/>
      <c r="C638" s="62"/>
      <c r="D638" s="63"/>
      <c r="E638" s="64"/>
      <c r="F638" s="65"/>
    </row>
    <row r="639" spans="1:6" x14ac:dyDescent="0.25">
      <c r="A639" s="61"/>
      <c r="B639" s="61"/>
      <c r="C639" s="62"/>
      <c r="D639" s="63"/>
      <c r="E639" s="64"/>
      <c r="F639" s="65"/>
    </row>
    <row r="640" spans="1:6" x14ac:dyDescent="0.25">
      <c r="A640" s="61"/>
      <c r="B640" s="61"/>
      <c r="C640" s="62"/>
      <c r="D640" s="63"/>
      <c r="E640" s="64"/>
      <c r="F640" s="65"/>
    </row>
    <row r="641" spans="1:6" x14ac:dyDescent="0.25">
      <c r="A641" s="61"/>
      <c r="B641" s="61"/>
      <c r="C641" s="62"/>
      <c r="D641" s="63"/>
      <c r="E641" s="64"/>
      <c r="F641" s="65"/>
    </row>
    <row r="642" spans="1:6" x14ac:dyDescent="0.25">
      <c r="A642" s="61"/>
      <c r="B642" s="61"/>
      <c r="C642" s="62"/>
      <c r="D642" s="63"/>
      <c r="E642" s="64"/>
      <c r="F642" s="65"/>
    </row>
    <row r="643" spans="1:6" x14ac:dyDescent="0.25">
      <c r="A643" s="61"/>
      <c r="B643" s="61"/>
      <c r="C643" s="62"/>
      <c r="D643" s="63"/>
      <c r="E643" s="64"/>
      <c r="F643" s="65"/>
    </row>
    <row r="644" spans="1:6" x14ac:dyDescent="0.25">
      <c r="A644" s="61"/>
      <c r="B644" s="61"/>
      <c r="C644" s="62"/>
      <c r="D644" s="63"/>
      <c r="E644" s="64"/>
      <c r="F644" s="65"/>
    </row>
    <row r="645" spans="1:6" x14ac:dyDescent="0.25">
      <c r="A645" s="61"/>
      <c r="B645" s="61"/>
      <c r="C645" s="62"/>
      <c r="D645" s="63"/>
      <c r="E645" s="64"/>
      <c r="F645" s="65"/>
    </row>
    <row r="646" spans="1:6" x14ac:dyDescent="0.25">
      <c r="A646" s="61"/>
      <c r="B646" s="61"/>
      <c r="C646" s="62"/>
      <c r="D646" s="63"/>
      <c r="E646" s="64"/>
      <c r="F646" s="65"/>
    </row>
    <row r="647" spans="1:6" x14ac:dyDescent="0.25">
      <c r="A647" s="61"/>
      <c r="B647" s="61"/>
      <c r="C647" s="62"/>
      <c r="D647" s="63"/>
      <c r="E647" s="64"/>
      <c r="F647" s="65"/>
    </row>
    <row r="648" spans="1:6" x14ac:dyDescent="0.25">
      <c r="A648" s="61"/>
      <c r="B648" s="61"/>
      <c r="C648" s="62"/>
      <c r="D648" s="63"/>
      <c r="E648" s="64"/>
      <c r="F648" s="65"/>
    </row>
    <row r="649" spans="1:6" x14ac:dyDescent="0.25">
      <c r="A649" s="61"/>
      <c r="B649" s="61"/>
      <c r="C649" s="62"/>
      <c r="D649" s="63"/>
      <c r="E649" s="64"/>
      <c r="F649" s="65"/>
    </row>
    <row r="650" spans="1:6" x14ac:dyDescent="0.25">
      <c r="A650" s="61"/>
      <c r="B650" s="61"/>
      <c r="C650" s="62"/>
      <c r="D650" s="63"/>
      <c r="E650" s="64"/>
      <c r="F650" s="65"/>
    </row>
    <row r="651" spans="1:6" x14ac:dyDescent="0.25">
      <c r="A651" s="61"/>
      <c r="B651" s="61"/>
      <c r="C651" s="62"/>
      <c r="D651" s="63"/>
      <c r="E651" s="64"/>
      <c r="F651" s="65"/>
    </row>
    <row r="652" spans="1:6" x14ac:dyDescent="0.25">
      <c r="A652" s="61"/>
      <c r="B652" s="61"/>
      <c r="C652" s="62"/>
      <c r="D652" s="63"/>
      <c r="E652" s="64"/>
      <c r="F652" s="65"/>
    </row>
    <row r="653" spans="1:6" x14ac:dyDescent="0.25">
      <c r="A653" s="61"/>
      <c r="B653" s="61"/>
      <c r="C653" s="62"/>
      <c r="D653" s="63"/>
      <c r="E653" s="64"/>
      <c r="F653" s="65"/>
    </row>
    <row r="654" spans="1:6" x14ac:dyDescent="0.25">
      <c r="A654" s="61"/>
      <c r="B654" s="61"/>
      <c r="C654" s="62"/>
      <c r="D654" s="63"/>
      <c r="E654" s="64"/>
      <c r="F654" s="65"/>
    </row>
    <row r="655" spans="1:6" x14ac:dyDescent="0.25">
      <c r="A655" s="61"/>
      <c r="B655" s="61"/>
      <c r="C655" s="62"/>
      <c r="D655" s="63"/>
      <c r="E655" s="64"/>
      <c r="F655" s="65"/>
    </row>
    <row r="656" spans="1:6" x14ac:dyDescent="0.25">
      <c r="A656" s="61"/>
      <c r="B656" s="61"/>
      <c r="C656" s="62"/>
      <c r="D656" s="63"/>
      <c r="E656" s="64"/>
      <c r="F656" s="65"/>
    </row>
    <row r="657" spans="1:6" x14ac:dyDescent="0.25">
      <c r="A657" s="61"/>
      <c r="B657" s="61"/>
      <c r="C657" s="62"/>
      <c r="D657" s="63"/>
      <c r="E657" s="64"/>
      <c r="F657" s="65"/>
    </row>
    <row r="658" spans="1:6" x14ac:dyDescent="0.25">
      <c r="A658" s="61"/>
      <c r="B658" s="61"/>
      <c r="C658" s="62"/>
      <c r="D658" s="63"/>
      <c r="E658" s="64"/>
      <c r="F658" s="65"/>
    </row>
    <row r="659" spans="1:6" x14ac:dyDescent="0.25">
      <c r="A659" s="61"/>
      <c r="B659" s="61"/>
      <c r="C659" s="62"/>
      <c r="D659" s="63"/>
      <c r="E659" s="64"/>
      <c r="F659" s="65"/>
    </row>
    <row r="660" spans="1:6" x14ac:dyDescent="0.25">
      <c r="A660" s="61"/>
      <c r="B660" s="61"/>
      <c r="C660" s="62"/>
      <c r="D660" s="63"/>
      <c r="E660" s="64"/>
      <c r="F660" s="65"/>
    </row>
    <row r="661" spans="1:6" x14ac:dyDescent="0.25">
      <c r="A661" s="61"/>
      <c r="B661" s="61"/>
      <c r="C661" s="62"/>
      <c r="D661" s="63"/>
      <c r="E661" s="64"/>
      <c r="F661" s="65"/>
    </row>
    <row r="662" spans="1:6" x14ac:dyDescent="0.25">
      <c r="A662" s="61"/>
      <c r="B662" s="61"/>
      <c r="C662" s="62"/>
      <c r="D662" s="63"/>
      <c r="E662" s="64"/>
      <c r="F662" s="65"/>
    </row>
    <row r="663" spans="1:6" x14ac:dyDescent="0.25">
      <c r="A663" s="61"/>
      <c r="B663" s="61"/>
      <c r="C663" s="62"/>
      <c r="D663" s="63"/>
      <c r="E663" s="64"/>
      <c r="F663" s="65"/>
    </row>
    <row r="664" spans="1:6" x14ac:dyDescent="0.25">
      <c r="A664" s="61"/>
      <c r="B664" s="61"/>
      <c r="C664" s="62"/>
      <c r="D664" s="63"/>
      <c r="E664" s="64"/>
      <c r="F664" s="65"/>
    </row>
    <row r="665" spans="1:6" x14ac:dyDescent="0.25">
      <c r="A665" s="61"/>
      <c r="B665" s="61"/>
      <c r="C665" s="62"/>
      <c r="D665" s="63"/>
      <c r="E665" s="64"/>
      <c r="F665" s="65"/>
    </row>
    <row r="666" spans="1:6" x14ac:dyDescent="0.25">
      <c r="A666" s="61"/>
      <c r="B666" s="61"/>
      <c r="C666" s="62"/>
      <c r="D666" s="63"/>
      <c r="E666" s="64"/>
      <c r="F666" s="65"/>
    </row>
    <row r="667" spans="1:6" x14ac:dyDescent="0.25">
      <c r="A667" s="61"/>
      <c r="B667" s="61"/>
      <c r="C667" s="62"/>
      <c r="D667" s="63"/>
      <c r="E667" s="64"/>
      <c r="F667" s="65"/>
    </row>
    <row r="668" spans="1:6" x14ac:dyDescent="0.25">
      <c r="A668" s="61"/>
      <c r="B668" s="61"/>
      <c r="C668" s="62"/>
      <c r="D668" s="63"/>
      <c r="E668" s="64"/>
      <c r="F668" s="65"/>
    </row>
    <row r="669" spans="1:6" x14ac:dyDescent="0.25">
      <c r="A669" s="61"/>
      <c r="B669" s="61"/>
      <c r="C669" s="62"/>
      <c r="D669" s="63"/>
      <c r="E669" s="64"/>
      <c r="F669" s="65"/>
    </row>
    <row r="670" spans="1:6" x14ac:dyDescent="0.25">
      <c r="A670" s="61"/>
      <c r="B670" s="61"/>
      <c r="C670" s="62"/>
      <c r="D670" s="63"/>
      <c r="E670" s="64"/>
      <c r="F670" s="65"/>
    </row>
    <row r="671" spans="1:6" x14ac:dyDescent="0.25">
      <c r="A671" s="61"/>
      <c r="B671" s="61"/>
      <c r="C671" s="62"/>
      <c r="D671" s="63"/>
      <c r="E671" s="64"/>
      <c r="F671" s="65"/>
    </row>
    <row r="672" spans="1:6" x14ac:dyDescent="0.25">
      <c r="A672" s="61"/>
      <c r="B672" s="61"/>
      <c r="C672" s="62"/>
      <c r="D672" s="63"/>
      <c r="E672" s="64"/>
      <c r="F672" s="65"/>
    </row>
    <row r="673" spans="1:6" x14ac:dyDescent="0.25">
      <c r="A673" s="61"/>
      <c r="B673" s="61"/>
      <c r="C673" s="62"/>
      <c r="D673" s="63"/>
      <c r="E673" s="64"/>
      <c r="F673" s="65"/>
    </row>
    <row r="674" spans="1:6" x14ac:dyDescent="0.25">
      <c r="A674" s="61"/>
      <c r="B674" s="61"/>
      <c r="C674" s="62"/>
      <c r="D674" s="63"/>
      <c r="E674" s="64"/>
      <c r="F674" s="65"/>
    </row>
    <row r="675" spans="1:6" x14ac:dyDescent="0.25">
      <c r="A675" s="61"/>
      <c r="B675" s="61"/>
      <c r="C675" s="62"/>
      <c r="D675" s="63"/>
      <c r="E675" s="64"/>
      <c r="F675" s="65"/>
    </row>
    <row r="676" spans="1:6" x14ac:dyDescent="0.25">
      <c r="A676" s="61"/>
      <c r="B676" s="61"/>
      <c r="C676" s="62"/>
      <c r="D676" s="63"/>
      <c r="E676" s="64"/>
      <c r="F676" s="65"/>
    </row>
    <row r="677" spans="1:6" x14ac:dyDescent="0.25">
      <c r="A677" s="61"/>
      <c r="B677" s="61"/>
      <c r="C677" s="62"/>
      <c r="D677" s="63"/>
      <c r="E677" s="64"/>
      <c r="F677" s="65"/>
    </row>
    <row r="678" spans="1:6" x14ac:dyDescent="0.25">
      <c r="A678" s="61"/>
      <c r="B678" s="61"/>
      <c r="C678" s="62"/>
      <c r="D678" s="63"/>
      <c r="E678" s="64"/>
      <c r="F678" s="65"/>
    </row>
    <row r="679" spans="1:6" x14ac:dyDescent="0.25">
      <c r="A679" s="61"/>
      <c r="B679" s="61"/>
      <c r="C679" s="62"/>
      <c r="D679" s="63"/>
      <c r="E679" s="64"/>
      <c r="F679" s="65"/>
    </row>
    <row r="680" spans="1:6" x14ac:dyDescent="0.25">
      <c r="A680" s="61"/>
      <c r="B680" s="61"/>
      <c r="C680" s="62"/>
      <c r="D680" s="63"/>
      <c r="E680" s="64"/>
      <c r="F680" s="65"/>
    </row>
    <row r="681" spans="1:6" x14ac:dyDescent="0.25">
      <c r="A681" s="61"/>
      <c r="B681" s="61"/>
      <c r="C681" s="62"/>
      <c r="D681" s="63"/>
      <c r="E681" s="64"/>
      <c r="F681" s="65"/>
    </row>
    <row r="682" spans="1:6" x14ac:dyDescent="0.25">
      <c r="A682" s="61"/>
      <c r="B682" s="61"/>
      <c r="C682" s="62"/>
      <c r="D682" s="63"/>
      <c r="E682" s="64"/>
      <c r="F682" s="65"/>
    </row>
    <row r="683" spans="1:6" x14ac:dyDescent="0.25">
      <c r="A683" s="61"/>
      <c r="B683" s="61"/>
      <c r="C683" s="62"/>
      <c r="D683" s="63"/>
      <c r="E683" s="64"/>
      <c r="F683" s="65"/>
    </row>
    <row r="684" spans="1:6" x14ac:dyDescent="0.25">
      <c r="A684" s="61"/>
      <c r="B684" s="61"/>
      <c r="C684" s="62"/>
      <c r="D684" s="63"/>
      <c r="E684" s="64"/>
      <c r="F684" s="65"/>
    </row>
    <row r="685" spans="1:6" x14ac:dyDescent="0.25">
      <c r="A685" s="61"/>
      <c r="B685" s="61"/>
      <c r="C685" s="62"/>
      <c r="D685" s="63"/>
      <c r="E685" s="64"/>
      <c r="F685" s="65"/>
    </row>
    <row r="686" spans="1:6" x14ac:dyDescent="0.25">
      <c r="A686" s="61"/>
      <c r="B686" s="61"/>
      <c r="C686" s="62"/>
      <c r="D686" s="63"/>
      <c r="E686" s="64"/>
      <c r="F686" s="65"/>
    </row>
    <row r="687" spans="1:6" x14ac:dyDescent="0.25">
      <c r="A687" s="61"/>
      <c r="B687" s="61"/>
      <c r="C687" s="62"/>
      <c r="D687" s="63"/>
      <c r="E687" s="64"/>
      <c r="F687" s="65"/>
    </row>
    <row r="688" spans="1:6" x14ac:dyDescent="0.25">
      <c r="A688" s="61"/>
      <c r="B688" s="61"/>
      <c r="C688" s="62"/>
      <c r="D688" s="63"/>
      <c r="E688" s="64"/>
      <c r="F688" s="65"/>
    </row>
    <row r="689" spans="1:6" x14ac:dyDescent="0.25">
      <c r="A689" s="61"/>
      <c r="B689" s="61"/>
      <c r="C689" s="62"/>
      <c r="D689" s="63"/>
      <c r="E689" s="64"/>
      <c r="F689" s="65"/>
    </row>
    <row r="690" spans="1:6" x14ac:dyDescent="0.25">
      <c r="A690" s="61"/>
      <c r="B690" s="61"/>
      <c r="C690" s="62"/>
      <c r="D690" s="63"/>
      <c r="E690" s="64"/>
      <c r="F690" s="65"/>
    </row>
    <row r="691" spans="1:6" x14ac:dyDescent="0.25">
      <c r="A691" s="61"/>
      <c r="B691" s="61"/>
      <c r="C691" s="62"/>
      <c r="D691" s="63"/>
      <c r="E691" s="64"/>
      <c r="F691" s="65"/>
    </row>
    <row r="692" spans="1:6" x14ac:dyDescent="0.25">
      <c r="A692" s="61"/>
      <c r="B692" s="61"/>
      <c r="C692" s="62"/>
      <c r="D692" s="63"/>
      <c r="E692" s="64"/>
      <c r="F692" s="65"/>
    </row>
    <row r="693" spans="1:6" x14ac:dyDescent="0.25">
      <c r="A693" s="61"/>
      <c r="B693" s="61"/>
      <c r="C693" s="62"/>
      <c r="D693" s="63"/>
      <c r="E693" s="64"/>
      <c r="F693" s="65"/>
    </row>
    <row r="694" spans="1:6" x14ac:dyDescent="0.25">
      <c r="A694" s="61"/>
      <c r="B694" s="61"/>
      <c r="C694" s="62"/>
      <c r="D694" s="63"/>
      <c r="E694" s="64"/>
      <c r="F694" s="65"/>
    </row>
    <row r="695" spans="1:6" x14ac:dyDescent="0.25">
      <c r="A695" s="61"/>
      <c r="B695" s="61"/>
      <c r="C695" s="62"/>
      <c r="D695" s="63"/>
      <c r="E695" s="64"/>
      <c r="F695" s="65"/>
    </row>
    <row r="696" spans="1:6" x14ac:dyDescent="0.25">
      <c r="A696" s="61"/>
      <c r="B696" s="61"/>
      <c r="C696" s="62"/>
      <c r="D696" s="63"/>
      <c r="E696" s="64"/>
      <c r="F696" s="65"/>
    </row>
    <row r="697" spans="1:6" x14ac:dyDescent="0.25">
      <c r="A697" s="61"/>
      <c r="B697" s="61"/>
      <c r="C697" s="62"/>
      <c r="D697" s="63"/>
      <c r="E697" s="64"/>
      <c r="F697" s="65"/>
    </row>
    <row r="698" spans="1:6" x14ac:dyDescent="0.25">
      <c r="A698" s="61"/>
      <c r="B698" s="61"/>
      <c r="C698" s="62"/>
      <c r="D698" s="63"/>
      <c r="E698" s="64"/>
      <c r="F698" s="65"/>
    </row>
    <row r="699" spans="1:6" x14ac:dyDescent="0.25">
      <c r="A699" s="61"/>
      <c r="B699" s="61"/>
      <c r="C699" s="62"/>
      <c r="D699" s="63"/>
      <c r="E699" s="64"/>
      <c r="F699" s="65"/>
    </row>
    <row r="700" spans="1:6" x14ac:dyDescent="0.25">
      <c r="A700" s="61"/>
      <c r="B700" s="61"/>
      <c r="C700" s="62"/>
      <c r="D700" s="63"/>
      <c r="E700" s="64"/>
      <c r="F700" s="65"/>
    </row>
    <row r="701" spans="1:6" x14ac:dyDescent="0.25">
      <c r="A701" s="61"/>
      <c r="B701" s="61"/>
      <c r="C701" s="62"/>
      <c r="D701" s="63"/>
      <c r="E701" s="64"/>
      <c r="F701" s="65"/>
    </row>
    <row r="702" spans="1:6" x14ac:dyDescent="0.25">
      <c r="A702" s="61"/>
      <c r="B702" s="61"/>
      <c r="C702" s="62"/>
      <c r="D702" s="63"/>
      <c r="E702" s="64"/>
      <c r="F702" s="65"/>
    </row>
    <row r="703" spans="1:6" x14ac:dyDescent="0.25">
      <c r="A703" s="61"/>
      <c r="B703" s="61"/>
      <c r="C703" s="62"/>
      <c r="D703" s="63"/>
      <c r="E703" s="64"/>
      <c r="F703" s="65"/>
    </row>
    <row r="704" spans="1:6" x14ac:dyDescent="0.25">
      <c r="A704" s="61"/>
      <c r="B704" s="61"/>
      <c r="C704" s="62"/>
      <c r="D704" s="63"/>
      <c r="E704" s="64"/>
      <c r="F704" s="65"/>
    </row>
    <row r="705" spans="1:6" x14ac:dyDescent="0.25">
      <c r="A705" s="61"/>
      <c r="B705" s="61"/>
      <c r="C705" s="62"/>
      <c r="D705" s="63"/>
      <c r="E705" s="64"/>
      <c r="F705" s="65"/>
    </row>
    <row r="706" spans="1:6" x14ac:dyDescent="0.25">
      <c r="A706" s="61"/>
      <c r="B706" s="61"/>
      <c r="C706" s="62"/>
      <c r="D706" s="63"/>
      <c r="E706" s="64"/>
      <c r="F706" s="65"/>
    </row>
    <row r="707" spans="1:6" x14ac:dyDescent="0.25">
      <c r="A707" s="61"/>
      <c r="B707" s="61"/>
      <c r="C707" s="62"/>
      <c r="D707" s="63"/>
      <c r="E707" s="64"/>
      <c r="F707" s="65"/>
    </row>
    <row r="708" spans="1:6" x14ac:dyDescent="0.25">
      <c r="A708" s="61"/>
      <c r="B708" s="61"/>
      <c r="C708" s="62"/>
      <c r="D708" s="63"/>
      <c r="E708" s="64"/>
      <c r="F708" s="65"/>
    </row>
    <row r="709" spans="1:6" x14ac:dyDescent="0.25">
      <c r="A709" s="61"/>
      <c r="B709" s="61"/>
      <c r="C709" s="62"/>
      <c r="D709" s="63"/>
      <c r="E709" s="64"/>
      <c r="F709" s="65"/>
    </row>
    <row r="710" spans="1:6" x14ac:dyDescent="0.25">
      <c r="A710" s="61"/>
      <c r="B710" s="61"/>
      <c r="C710" s="62"/>
      <c r="D710" s="63"/>
      <c r="E710" s="64"/>
      <c r="F710" s="65"/>
    </row>
    <row r="711" spans="1:6" x14ac:dyDescent="0.25">
      <c r="A711" s="61"/>
      <c r="B711" s="61"/>
      <c r="C711" s="62"/>
      <c r="D711" s="63"/>
      <c r="E711" s="64"/>
      <c r="F711" s="65"/>
    </row>
    <row r="712" spans="1:6" x14ac:dyDescent="0.25">
      <c r="A712" s="61"/>
      <c r="B712" s="61"/>
      <c r="C712" s="62"/>
      <c r="D712" s="63"/>
      <c r="E712" s="64"/>
      <c r="F712" s="65"/>
    </row>
    <row r="713" spans="1:6" x14ac:dyDescent="0.25">
      <c r="A713" s="61"/>
      <c r="B713" s="61"/>
      <c r="C713" s="62"/>
      <c r="D713" s="63"/>
      <c r="E713" s="64"/>
      <c r="F713" s="65"/>
    </row>
    <row r="714" spans="1:6" x14ac:dyDescent="0.25">
      <c r="A714" s="61"/>
      <c r="B714" s="61"/>
      <c r="C714" s="62"/>
      <c r="D714" s="63"/>
      <c r="E714" s="64"/>
      <c r="F714" s="65"/>
    </row>
    <row r="715" spans="1:6" x14ac:dyDescent="0.25">
      <c r="A715" s="61"/>
      <c r="B715" s="61"/>
      <c r="C715" s="62"/>
      <c r="D715" s="63"/>
      <c r="E715" s="64"/>
      <c r="F715" s="65"/>
    </row>
    <row r="716" spans="1:6" x14ac:dyDescent="0.25">
      <c r="A716" s="61"/>
      <c r="B716" s="61"/>
      <c r="C716" s="62"/>
      <c r="D716" s="63"/>
      <c r="E716" s="64"/>
      <c r="F716" s="65"/>
    </row>
    <row r="717" spans="1:6" x14ac:dyDescent="0.25">
      <c r="A717" s="61"/>
      <c r="B717" s="61"/>
      <c r="C717" s="62"/>
      <c r="D717" s="63"/>
      <c r="E717" s="64"/>
      <c r="F717" s="65"/>
    </row>
    <row r="718" spans="1:6" x14ac:dyDescent="0.25">
      <c r="A718" s="61"/>
      <c r="B718" s="61"/>
      <c r="C718" s="62"/>
      <c r="D718" s="63"/>
      <c r="E718" s="64"/>
      <c r="F718" s="65"/>
    </row>
    <row r="719" spans="1:6" x14ac:dyDescent="0.25">
      <c r="A719" s="61"/>
      <c r="B719" s="61"/>
      <c r="C719" s="62"/>
      <c r="D719" s="63"/>
      <c r="E719" s="64"/>
      <c r="F719" s="65"/>
    </row>
    <row r="720" spans="1:6" x14ac:dyDescent="0.25">
      <c r="A720" s="61"/>
      <c r="B720" s="61"/>
      <c r="C720" s="62"/>
      <c r="D720" s="63"/>
      <c r="E720" s="64"/>
      <c r="F720" s="65"/>
    </row>
    <row r="721" spans="1:6" x14ac:dyDescent="0.25">
      <c r="A721" s="61"/>
      <c r="B721" s="61"/>
      <c r="C721" s="62"/>
      <c r="D721" s="63"/>
      <c r="E721" s="64"/>
      <c r="F721" s="65"/>
    </row>
    <row r="722" spans="1:6" x14ac:dyDescent="0.25">
      <c r="A722" s="61"/>
      <c r="B722" s="61"/>
      <c r="C722" s="62"/>
      <c r="D722" s="63"/>
      <c r="E722" s="64"/>
      <c r="F722" s="65"/>
    </row>
    <row r="723" spans="1:6" x14ac:dyDescent="0.25">
      <c r="A723" s="61"/>
      <c r="B723" s="61"/>
      <c r="C723" s="62"/>
      <c r="D723" s="63"/>
      <c r="E723" s="64"/>
      <c r="F723" s="65"/>
    </row>
    <row r="724" spans="1:6" x14ac:dyDescent="0.25">
      <c r="A724" s="61"/>
      <c r="B724" s="61"/>
      <c r="C724" s="62"/>
      <c r="D724" s="63"/>
      <c r="E724" s="64"/>
      <c r="F724" s="65"/>
    </row>
    <row r="725" spans="1:6" x14ac:dyDescent="0.25">
      <c r="A725" s="61"/>
      <c r="B725" s="61"/>
      <c r="C725" s="62"/>
      <c r="D725" s="63"/>
      <c r="E725" s="64"/>
      <c r="F725" s="65"/>
    </row>
    <row r="726" spans="1:6" x14ac:dyDescent="0.25">
      <c r="A726" s="61"/>
      <c r="B726" s="61"/>
      <c r="C726" s="62"/>
      <c r="D726" s="63"/>
      <c r="E726" s="64"/>
      <c r="F726" s="65"/>
    </row>
    <row r="727" spans="1:6" x14ac:dyDescent="0.25">
      <c r="A727" s="61"/>
      <c r="B727" s="61"/>
      <c r="C727" s="62"/>
      <c r="D727" s="63"/>
      <c r="E727" s="64"/>
      <c r="F727" s="65"/>
    </row>
    <row r="728" spans="1:6" x14ac:dyDescent="0.25">
      <c r="A728" s="61"/>
      <c r="B728" s="61"/>
      <c r="C728" s="62"/>
      <c r="D728" s="63"/>
      <c r="E728" s="64"/>
      <c r="F728" s="65"/>
    </row>
    <row r="729" spans="1:6" x14ac:dyDescent="0.25">
      <c r="A729" s="61"/>
      <c r="B729" s="61"/>
      <c r="C729" s="62"/>
      <c r="D729" s="63"/>
      <c r="E729" s="64"/>
      <c r="F729" s="65"/>
    </row>
    <row r="730" spans="1:6" x14ac:dyDescent="0.25">
      <c r="A730" s="61"/>
      <c r="B730" s="61"/>
      <c r="C730" s="62"/>
      <c r="D730" s="63"/>
      <c r="E730" s="64"/>
      <c r="F730" s="65"/>
    </row>
    <row r="731" spans="1:6" x14ac:dyDescent="0.25">
      <c r="A731" s="61"/>
      <c r="B731" s="61"/>
      <c r="C731" s="62"/>
      <c r="D731" s="63"/>
      <c r="E731" s="64"/>
      <c r="F731" s="65"/>
    </row>
    <row r="732" spans="1:6" x14ac:dyDescent="0.25">
      <c r="A732" s="61"/>
      <c r="B732" s="61"/>
      <c r="C732" s="62"/>
      <c r="D732" s="63"/>
      <c r="E732" s="64"/>
      <c r="F732" s="65"/>
    </row>
    <row r="733" spans="1:6" x14ac:dyDescent="0.25">
      <c r="A733" s="61"/>
      <c r="B733" s="61"/>
      <c r="C733" s="62"/>
      <c r="D733" s="63"/>
      <c r="E733" s="64"/>
      <c r="F733" s="65"/>
    </row>
    <row r="734" spans="1:6" x14ac:dyDescent="0.25">
      <c r="A734" s="61"/>
      <c r="B734" s="61"/>
      <c r="C734" s="62"/>
      <c r="D734" s="63"/>
      <c r="E734" s="64"/>
      <c r="F734" s="65"/>
    </row>
    <row r="735" spans="1:6" x14ac:dyDescent="0.25">
      <c r="A735" s="61"/>
      <c r="B735" s="61"/>
      <c r="C735" s="62"/>
      <c r="D735" s="63"/>
      <c r="E735" s="64"/>
      <c r="F735" s="65"/>
    </row>
    <row r="736" spans="1:6" x14ac:dyDescent="0.25">
      <c r="A736" s="61"/>
      <c r="B736" s="61"/>
      <c r="C736" s="62"/>
      <c r="D736" s="63"/>
      <c r="E736" s="64"/>
      <c r="F736" s="65"/>
    </row>
    <row r="737" spans="1:6" x14ac:dyDescent="0.25">
      <c r="A737" s="61"/>
      <c r="B737" s="61"/>
      <c r="C737" s="62"/>
      <c r="D737" s="63"/>
      <c r="E737" s="64"/>
      <c r="F737" s="65"/>
    </row>
    <row r="738" spans="1:6" x14ac:dyDescent="0.25">
      <c r="A738" s="61"/>
      <c r="B738" s="61"/>
      <c r="C738" s="62"/>
      <c r="D738" s="63"/>
      <c r="E738" s="64"/>
      <c r="F738" s="65"/>
    </row>
    <row r="739" spans="1:6" x14ac:dyDescent="0.25">
      <c r="A739" s="61"/>
      <c r="B739" s="61"/>
      <c r="C739" s="62"/>
      <c r="D739" s="63"/>
      <c r="E739" s="64"/>
      <c r="F739" s="65"/>
    </row>
    <row r="740" spans="1:6" x14ac:dyDescent="0.25">
      <c r="A740" s="61"/>
      <c r="B740" s="61"/>
      <c r="C740" s="62"/>
      <c r="D740" s="63"/>
      <c r="E740" s="64"/>
      <c r="F740" s="65"/>
    </row>
    <row r="741" spans="1:6" x14ac:dyDescent="0.25">
      <c r="A741" s="61"/>
      <c r="B741" s="61"/>
      <c r="C741" s="62"/>
      <c r="D741" s="63"/>
      <c r="E741" s="64"/>
      <c r="F741" s="65"/>
    </row>
    <row r="742" spans="1:6" x14ac:dyDescent="0.25">
      <c r="A742" s="61"/>
      <c r="B742" s="61"/>
      <c r="C742" s="62"/>
      <c r="D742" s="63"/>
      <c r="E742" s="64"/>
      <c r="F742" s="65"/>
    </row>
    <row r="743" spans="1:6" x14ac:dyDescent="0.25">
      <c r="A743" s="61"/>
      <c r="B743" s="61"/>
      <c r="C743" s="62"/>
      <c r="D743" s="63"/>
      <c r="E743" s="64"/>
      <c r="F743" s="65"/>
    </row>
    <row r="744" spans="1:6" x14ac:dyDescent="0.25">
      <c r="A744" s="61"/>
      <c r="B744" s="61"/>
      <c r="C744" s="62"/>
      <c r="D744" s="63"/>
      <c r="E744" s="64"/>
      <c r="F744" s="65"/>
    </row>
    <row r="745" spans="1:6" x14ac:dyDescent="0.25">
      <c r="A745" s="61"/>
      <c r="B745" s="61"/>
      <c r="C745" s="62"/>
      <c r="D745" s="63"/>
      <c r="E745" s="64"/>
      <c r="F745" s="65"/>
    </row>
    <row r="746" spans="1:6" x14ac:dyDescent="0.25">
      <c r="A746" s="61"/>
      <c r="B746" s="61"/>
      <c r="C746" s="62"/>
      <c r="D746" s="63"/>
      <c r="E746" s="64"/>
      <c r="F746" s="65"/>
    </row>
    <row r="747" spans="1:6" x14ac:dyDescent="0.25">
      <c r="A747" s="61"/>
      <c r="B747" s="61"/>
      <c r="C747" s="62"/>
      <c r="D747" s="63"/>
      <c r="E747" s="64"/>
      <c r="F747" s="65"/>
    </row>
    <row r="748" spans="1:6" x14ac:dyDescent="0.25">
      <c r="A748" s="61"/>
      <c r="B748" s="61"/>
      <c r="C748" s="62"/>
      <c r="D748" s="63"/>
      <c r="E748" s="64"/>
      <c r="F748" s="65"/>
    </row>
    <row r="749" spans="1:6" x14ac:dyDescent="0.25">
      <c r="A749" s="61"/>
      <c r="B749" s="61"/>
      <c r="C749" s="62"/>
      <c r="D749" s="63"/>
      <c r="E749" s="64"/>
      <c r="F749" s="65"/>
    </row>
    <row r="750" spans="1:6" x14ac:dyDescent="0.25">
      <c r="A750" s="61"/>
      <c r="B750" s="61"/>
      <c r="C750" s="62"/>
      <c r="D750" s="63"/>
      <c r="E750" s="64"/>
      <c r="F750" s="65"/>
    </row>
    <row r="751" spans="1:6" x14ac:dyDescent="0.25">
      <c r="A751" s="61"/>
      <c r="B751" s="61"/>
      <c r="C751" s="62"/>
      <c r="D751" s="63"/>
      <c r="E751" s="64"/>
      <c r="F751" s="65"/>
    </row>
    <row r="752" spans="1:6" x14ac:dyDescent="0.25">
      <c r="A752" s="61"/>
      <c r="B752" s="61"/>
      <c r="C752" s="62"/>
      <c r="D752" s="63"/>
      <c r="E752" s="64"/>
      <c r="F752" s="65"/>
    </row>
    <row r="753" spans="1:6" x14ac:dyDescent="0.25">
      <c r="A753" s="61"/>
      <c r="B753" s="61"/>
      <c r="C753" s="62"/>
      <c r="D753" s="63"/>
      <c r="E753" s="64"/>
      <c r="F753" s="65"/>
    </row>
    <row r="754" spans="1:6" x14ac:dyDescent="0.25">
      <c r="A754" s="61"/>
      <c r="B754" s="61"/>
      <c r="C754" s="62"/>
      <c r="D754" s="63"/>
      <c r="E754" s="64"/>
      <c r="F754" s="65"/>
    </row>
    <row r="755" spans="1:6" x14ac:dyDescent="0.25">
      <c r="A755" s="61"/>
      <c r="B755" s="61"/>
      <c r="C755" s="62"/>
      <c r="D755" s="63"/>
      <c r="E755" s="64"/>
      <c r="F755" s="65"/>
    </row>
    <row r="756" spans="1:6" x14ac:dyDescent="0.25">
      <c r="A756" s="61"/>
      <c r="B756" s="61"/>
      <c r="C756" s="62"/>
      <c r="D756" s="63"/>
      <c r="E756" s="64"/>
      <c r="F756" s="65"/>
    </row>
    <row r="757" spans="1:6" x14ac:dyDescent="0.25">
      <c r="A757" s="61"/>
      <c r="B757" s="61"/>
      <c r="C757" s="62"/>
      <c r="D757" s="63"/>
      <c r="E757" s="64"/>
      <c r="F757" s="65"/>
    </row>
    <row r="758" spans="1:6" x14ac:dyDescent="0.25">
      <c r="A758" s="61"/>
      <c r="B758" s="61"/>
      <c r="C758" s="62"/>
      <c r="D758" s="63"/>
      <c r="E758" s="64"/>
      <c r="F758" s="65"/>
    </row>
    <row r="759" spans="1:6" x14ac:dyDescent="0.25">
      <c r="A759" s="61"/>
      <c r="B759" s="61"/>
      <c r="C759" s="62"/>
      <c r="D759" s="63"/>
      <c r="E759" s="64"/>
      <c r="F759" s="65"/>
    </row>
    <row r="760" spans="1:6" x14ac:dyDescent="0.25">
      <c r="A760" s="61"/>
      <c r="B760" s="61"/>
      <c r="C760" s="62"/>
      <c r="D760" s="63"/>
      <c r="E760" s="64"/>
      <c r="F760" s="65"/>
    </row>
    <row r="761" spans="1:6" x14ac:dyDescent="0.25">
      <c r="A761" s="61"/>
      <c r="B761" s="61"/>
      <c r="C761" s="62"/>
      <c r="D761" s="63"/>
      <c r="E761" s="64"/>
      <c r="F761" s="65"/>
    </row>
    <row r="762" spans="1:6" x14ac:dyDescent="0.25">
      <c r="A762" s="61"/>
      <c r="B762" s="61"/>
      <c r="C762" s="62"/>
      <c r="D762" s="63"/>
      <c r="E762" s="64"/>
      <c r="F762" s="65"/>
    </row>
    <row r="763" spans="1:6" x14ac:dyDescent="0.25">
      <c r="A763" s="61"/>
      <c r="B763" s="61"/>
      <c r="C763" s="62"/>
      <c r="D763" s="63"/>
      <c r="E763" s="64"/>
      <c r="F763" s="65"/>
    </row>
    <row r="764" spans="1:6" x14ac:dyDescent="0.25">
      <c r="A764" s="61"/>
      <c r="B764" s="61"/>
      <c r="C764" s="62"/>
      <c r="D764" s="63"/>
      <c r="E764" s="64"/>
      <c r="F764" s="65"/>
    </row>
    <row r="765" spans="1:6" x14ac:dyDescent="0.25">
      <c r="A765" s="61"/>
      <c r="B765" s="61"/>
      <c r="C765" s="62"/>
      <c r="D765" s="63"/>
      <c r="E765" s="64"/>
      <c r="F765" s="65"/>
    </row>
    <row r="766" spans="1:6" x14ac:dyDescent="0.25">
      <c r="A766" s="61"/>
      <c r="B766" s="61"/>
      <c r="C766" s="62"/>
      <c r="D766" s="63"/>
      <c r="E766" s="64"/>
      <c r="F766" s="65"/>
    </row>
    <row r="767" spans="1:6" x14ac:dyDescent="0.25">
      <c r="A767" s="61"/>
      <c r="B767" s="61"/>
      <c r="C767" s="62"/>
      <c r="D767" s="63"/>
      <c r="E767" s="64"/>
      <c r="F767" s="65"/>
    </row>
    <row r="768" spans="1:6" x14ac:dyDescent="0.25">
      <c r="A768" s="61"/>
      <c r="B768" s="61"/>
      <c r="C768" s="62"/>
      <c r="D768" s="63"/>
      <c r="E768" s="64"/>
      <c r="F768" s="65"/>
    </row>
    <row r="769" spans="1:6" x14ac:dyDescent="0.25">
      <c r="A769" s="61"/>
      <c r="B769" s="61"/>
      <c r="C769" s="62"/>
      <c r="D769" s="63"/>
      <c r="E769" s="64"/>
      <c r="F769" s="65"/>
    </row>
    <row r="770" spans="1:6" x14ac:dyDescent="0.25">
      <c r="A770" s="61"/>
      <c r="B770" s="61"/>
      <c r="C770" s="62"/>
      <c r="D770" s="63"/>
      <c r="E770" s="64"/>
      <c r="F770" s="65"/>
    </row>
    <row r="771" spans="1:6" x14ac:dyDescent="0.25">
      <c r="A771" s="61"/>
      <c r="B771" s="61"/>
      <c r="C771" s="62"/>
      <c r="D771" s="63"/>
      <c r="E771" s="64"/>
      <c r="F771" s="65"/>
    </row>
    <row r="772" spans="1:6" x14ac:dyDescent="0.25">
      <c r="A772" s="61"/>
      <c r="B772" s="61"/>
      <c r="C772" s="62"/>
      <c r="D772" s="63"/>
      <c r="E772" s="64"/>
      <c r="F772" s="65"/>
    </row>
    <row r="773" spans="1:6" x14ac:dyDescent="0.25">
      <c r="A773" s="61"/>
      <c r="B773" s="61"/>
      <c r="C773" s="62"/>
      <c r="D773" s="63"/>
      <c r="E773" s="64"/>
      <c r="F773" s="65"/>
    </row>
    <row r="774" spans="1:6" x14ac:dyDescent="0.25">
      <c r="A774" s="61"/>
      <c r="B774" s="61"/>
      <c r="C774" s="62"/>
      <c r="D774" s="63"/>
      <c r="E774" s="64"/>
      <c r="F774" s="65"/>
    </row>
    <row r="775" spans="1:6" x14ac:dyDescent="0.25">
      <c r="A775" s="61"/>
      <c r="B775" s="61"/>
      <c r="C775" s="62"/>
      <c r="D775" s="63"/>
      <c r="E775" s="64"/>
      <c r="F775" s="65"/>
    </row>
    <row r="776" spans="1:6" x14ac:dyDescent="0.25">
      <c r="A776" s="61"/>
      <c r="B776" s="61"/>
      <c r="C776" s="62"/>
      <c r="D776" s="63"/>
      <c r="E776" s="64"/>
      <c r="F776" s="65"/>
    </row>
    <row r="777" spans="1:6" x14ac:dyDescent="0.25">
      <c r="A777" s="61"/>
      <c r="B777" s="61"/>
      <c r="C777" s="62"/>
      <c r="D777" s="63"/>
      <c r="E777" s="64"/>
      <c r="F777" s="65"/>
    </row>
    <row r="778" spans="1:6" x14ac:dyDescent="0.25">
      <c r="A778" s="61"/>
      <c r="B778" s="61"/>
      <c r="C778" s="62"/>
      <c r="D778" s="63"/>
      <c r="E778" s="64"/>
      <c r="F778" s="65"/>
    </row>
    <row r="779" spans="1:6" x14ac:dyDescent="0.25">
      <c r="A779" s="61"/>
      <c r="B779" s="61"/>
      <c r="C779" s="62"/>
      <c r="D779" s="63"/>
      <c r="E779" s="64"/>
      <c r="F779" s="65"/>
    </row>
    <row r="780" spans="1:6" x14ac:dyDescent="0.25">
      <c r="A780" s="61"/>
      <c r="B780" s="61"/>
      <c r="C780" s="62"/>
      <c r="D780" s="63"/>
      <c r="E780" s="64"/>
      <c r="F780" s="65"/>
    </row>
    <row r="781" spans="1:6" x14ac:dyDescent="0.25">
      <c r="A781" s="61"/>
      <c r="B781" s="61"/>
      <c r="C781" s="62"/>
      <c r="D781" s="63"/>
      <c r="E781" s="64"/>
      <c r="F781" s="65"/>
    </row>
    <row r="782" spans="1:6" x14ac:dyDescent="0.25">
      <c r="A782" s="61"/>
      <c r="B782" s="61"/>
      <c r="C782" s="62"/>
      <c r="D782" s="63"/>
      <c r="E782" s="64"/>
      <c r="F782" s="65"/>
    </row>
    <row r="783" spans="1:6" x14ac:dyDescent="0.25">
      <c r="A783" s="61"/>
      <c r="B783" s="61"/>
      <c r="C783" s="62"/>
      <c r="D783" s="63"/>
      <c r="E783" s="64"/>
      <c r="F783" s="65"/>
    </row>
    <row r="784" spans="1:6" x14ac:dyDescent="0.25">
      <c r="A784" s="61"/>
      <c r="B784" s="61"/>
      <c r="C784" s="62"/>
      <c r="D784" s="63"/>
      <c r="E784" s="64"/>
      <c r="F784" s="65"/>
    </row>
    <row r="785" spans="1:6" x14ac:dyDescent="0.25">
      <c r="A785" s="61"/>
      <c r="B785" s="61"/>
      <c r="C785" s="62"/>
      <c r="D785" s="63"/>
      <c r="E785" s="64"/>
      <c r="F785" s="65"/>
    </row>
    <row r="786" spans="1:6" x14ac:dyDescent="0.25">
      <c r="A786" s="61"/>
      <c r="B786" s="61"/>
      <c r="C786" s="62"/>
      <c r="D786" s="63"/>
      <c r="E786" s="64"/>
      <c r="F786" s="65"/>
    </row>
    <row r="787" spans="1:6" x14ac:dyDescent="0.25">
      <c r="A787" s="61"/>
      <c r="B787" s="61"/>
      <c r="C787" s="62"/>
      <c r="D787" s="63"/>
      <c r="E787" s="64"/>
      <c r="F787" s="65"/>
    </row>
    <row r="788" spans="1:6" x14ac:dyDescent="0.25">
      <c r="A788" s="61"/>
      <c r="B788" s="61"/>
      <c r="C788" s="62"/>
      <c r="D788" s="63"/>
      <c r="E788" s="64"/>
      <c r="F788" s="65"/>
    </row>
    <row r="789" spans="1:6" x14ac:dyDescent="0.25">
      <c r="A789" s="61"/>
      <c r="B789" s="61"/>
      <c r="C789" s="62"/>
      <c r="D789" s="63"/>
      <c r="E789" s="64"/>
      <c r="F789" s="65"/>
    </row>
    <row r="790" spans="1:6" x14ac:dyDescent="0.25">
      <c r="A790" s="61"/>
      <c r="B790" s="61"/>
      <c r="C790" s="62"/>
      <c r="D790" s="63"/>
      <c r="E790" s="64"/>
      <c r="F790" s="65"/>
    </row>
    <row r="791" spans="1:6" x14ac:dyDescent="0.25">
      <c r="A791" s="61"/>
      <c r="B791" s="61"/>
      <c r="C791" s="62"/>
      <c r="D791" s="63"/>
      <c r="E791" s="64"/>
      <c r="F791" s="65"/>
    </row>
    <row r="792" spans="1:6" x14ac:dyDescent="0.25">
      <c r="A792" s="61"/>
      <c r="B792" s="61"/>
      <c r="C792" s="62"/>
      <c r="D792" s="63"/>
      <c r="E792" s="64"/>
      <c r="F792" s="65"/>
    </row>
    <row r="793" spans="1:6" x14ac:dyDescent="0.25">
      <c r="A793" s="61"/>
      <c r="B793" s="61"/>
      <c r="C793" s="62"/>
      <c r="D793" s="63"/>
      <c r="E793" s="64"/>
      <c r="F793" s="65"/>
    </row>
    <row r="794" spans="1:6" x14ac:dyDescent="0.25">
      <c r="A794" s="61"/>
      <c r="B794" s="61"/>
      <c r="C794" s="62"/>
      <c r="D794" s="63"/>
      <c r="E794" s="64"/>
      <c r="F794" s="65"/>
    </row>
    <row r="795" spans="1:6" x14ac:dyDescent="0.25">
      <c r="A795" s="61"/>
      <c r="B795" s="61"/>
      <c r="C795" s="62"/>
      <c r="D795" s="63"/>
      <c r="E795" s="64"/>
      <c r="F795" s="65"/>
    </row>
    <row r="796" spans="1:6" x14ac:dyDescent="0.25">
      <c r="A796" s="61"/>
      <c r="B796" s="61"/>
      <c r="C796" s="62"/>
      <c r="D796" s="63"/>
      <c r="E796" s="64"/>
      <c r="F796" s="65"/>
    </row>
    <row r="797" spans="1:6" x14ac:dyDescent="0.25">
      <c r="A797" s="61"/>
      <c r="B797" s="61"/>
      <c r="C797" s="62"/>
      <c r="D797" s="63"/>
      <c r="E797" s="64"/>
      <c r="F797" s="65"/>
    </row>
    <row r="798" spans="1:6" x14ac:dyDescent="0.25">
      <c r="A798" s="61"/>
      <c r="B798" s="61"/>
      <c r="C798" s="62"/>
      <c r="D798" s="63"/>
      <c r="E798" s="64"/>
      <c r="F798" s="65"/>
    </row>
    <row r="799" spans="1:6" x14ac:dyDescent="0.25">
      <c r="A799" s="61"/>
      <c r="B799" s="61"/>
      <c r="C799" s="62"/>
      <c r="D799" s="63"/>
      <c r="E799" s="64"/>
      <c r="F799" s="65"/>
    </row>
    <row r="800" spans="1:6" x14ac:dyDescent="0.25">
      <c r="A800" s="61"/>
      <c r="B800" s="61"/>
      <c r="C800" s="62"/>
      <c r="D800" s="63"/>
      <c r="E800" s="64"/>
      <c r="F800" s="65"/>
    </row>
    <row r="801" spans="1:6" x14ac:dyDescent="0.25">
      <c r="A801" s="61"/>
      <c r="B801" s="61"/>
      <c r="C801" s="62"/>
      <c r="D801" s="63"/>
      <c r="E801" s="64"/>
      <c r="F801" s="65"/>
    </row>
    <row r="802" spans="1:6" x14ac:dyDescent="0.25">
      <c r="A802" s="61"/>
      <c r="B802" s="61"/>
      <c r="C802" s="62"/>
      <c r="D802" s="63"/>
      <c r="E802" s="64"/>
      <c r="F802" s="65"/>
    </row>
    <row r="803" spans="1:6" x14ac:dyDescent="0.25">
      <c r="A803" s="61"/>
      <c r="B803" s="61"/>
      <c r="C803" s="62"/>
      <c r="D803" s="63"/>
      <c r="E803" s="64"/>
      <c r="F803" s="65"/>
    </row>
    <row r="804" spans="1:6" x14ac:dyDescent="0.25">
      <c r="A804" s="61"/>
      <c r="B804" s="61"/>
      <c r="C804" s="62"/>
      <c r="D804" s="63"/>
      <c r="E804" s="64"/>
      <c r="F804" s="65"/>
    </row>
    <row r="805" spans="1:6" x14ac:dyDescent="0.25">
      <c r="A805" s="61"/>
      <c r="B805" s="61"/>
      <c r="C805" s="62"/>
      <c r="D805" s="63"/>
      <c r="E805" s="64"/>
      <c r="F805" s="65"/>
    </row>
    <row r="806" spans="1:6" x14ac:dyDescent="0.25">
      <c r="A806" s="61"/>
      <c r="B806" s="61"/>
      <c r="C806" s="62"/>
      <c r="D806" s="63"/>
      <c r="E806" s="64"/>
      <c r="F806" s="65"/>
    </row>
    <row r="807" spans="1:6" x14ac:dyDescent="0.25">
      <c r="A807" s="61"/>
      <c r="B807" s="61"/>
      <c r="C807" s="62"/>
      <c r="D807" s="63"/>
      <c r="E807" s="64"/>
      <c r="F807" s="65"/>
    </row>
    <row r="808" spans="1:6" x14ac:dyDescent="0.25">
      <c r="A808" s="61"/>
      <c r="B808" s="61"/>
      <c r="C808" s="62"/>
      <c r="D808" s="63"/>
      <c r="E808" s="64"/>
      <c r="F808" s="65"/>
    </row>
    <row r="809" spans="1:6" x14ac:dyDescent="0.25">
      <c r="A809" s="61"/>
      <c r="B809" s="61"/>
      <c r="C809" s="62"/>
      <c r="D809" s="63"/>
      <c r="E809" s="64"/>
      <c r="F809" s="65"/>
    </row>
    <row r="810" spans="1:6" x14ac:dyDescent="0.25">
      <c r="A810" s="61"/>
      <c r="B810" s="61"/>
      <c r="C810" s="62"/>
      <c r="D810" s="63"/>
      <c r="E810" s="64"/>
      <c r="F810" s="65"/>
    </row>
    <row r="811" spans="1:6" x14ac:dyDescent="0.25">
      <c r="A811" s="61"/>
      <c r="B811" s="61"/>
      <c r="C811" s="62"/>
      <c r="D811" s="63"/>
      <c r="E811" s="64"/>
      <c r="F811" s="65"/>
    </row>
    <row r="812" spans="1:6" x14ac:dyDescent="0.25">
      <c r="A812" s="61"/>
      <c r="B812" s="61"/>
      <c r="C812" s="62"/>
      <c r="D812" s="63"/>
      <c r="E812" s="64"/>
      <c r="F812" s="65"/>
    </row>
    <row r="813" spans="1:6" x14ac:dyDescent="0.25">
      <c r="A813" s="61"/>
      <c r="B813" s="61"/>
      <c r="C813" s="62"/>
      <c r="D813" s="63"/>
      <c r="E813" s="64"/>
      <c r="F813" s="65"/>
    </row>
    <row r="814" spans="1:6" x14ac:dyDescent="0.25">
      <c r="A814" s="61"/>
      <c r="B814" s="61"/>
      <c r="C814" s="62"/>
      <c r="D814" s="63"/>
      <c r="E814" s="64"/>
      <c r="F814" s="65"/>
    </row>
    <row r="815" spans="1:6" x14ac:dyDescent="0.25">
      <c r="A815" s="61"/>
      <c r="B815" s="61"/>
      <c r="C815" s="62"/>
      <c r="D815" s="63"/>
      <c r="E815" s="64"/>
      <c r="F815" s="65"/>
    </row>
    <row r="816" spans="1:6" x14ac:dyDescent="0.25">
      <c r="A816" s="61"/>
      <c r="B816" s="61"/>
      <c r="C816" s="62"/>
      <c r="D816" s="63"/>
      <c r="E816" s="64"/>
      <c r="F816" s="65"/>
    </row>
    <row r="817" spans="1:6" x14ac:dyDescent="0.25">
      <c r="A817" s="61"/>
      <c r="B817" s="61"/>
      <c r="C817" s="62"/>
      <c r="D817" s="63"/>
      <c r="E817" s="64"/>
      <c r="F817" s="65"/>
    </row>
    <row r="818" spans="1:6" x14ac:dyDescent="0.25">
      <c r="A818" s="61"/>
      <c r="B818" s="61"/>
      <c r="C818" s="62"/>
      <c r="D818" s="63"/>
      <c r="E818" s="64"/>
      <c r="F818" s="65"/>
    </row>
    <row r="819" spans="1:6" x14ac:dyDescent="0.25">
      <c r="A819" s="61"/>
      <c r="B819" s="61"/>
      <c r="C819" s="62"/>
      <c r="D819" s="63"/>
      <c r="E819" s="64"/>
      <c r="F819" s="65"/>
    </row>
    <row r="820" spans="1:6" x14ac:dyDescent="0.25">
      <c r="A820" s="61"/>
      <c r="B820" s="61"/>
      <c r="C820" s="62"/>
      <c r="D820" s="63"/>
      <c r="E820" s="64"/>
      <c r="F820" s="65"/>
    </row>
    <row r="821" spans="1:6" x14ac:dyDescent="0.25">
      <c r="A821" s="61"/>
      <c r="B821" s="61"/>
      <c r="C821" s="62"/>
      <c r="D821" s="63"/>
      <c r="E821" s="64"/>
      <c r="F821" s="65"/>
    </row>
    <row r="822" spans="1:6" x14ac:dyDescent="0.25">
      <c r="A822" s="61"/>
      <c r="B822" s="61"/>
      <c r="C822" s="62"/>
      <c r="D822" s="63"/>
      <c r="E822" s="64"/>
      <c r="F822" s="65"/>
    </row>
    <row r="823" spans="1:6" x14ac:dyDescent="0.25">
      <c r="A823" s="61"/>
      <c r="B823" s="61"/>
      <c r="C823" s="62"/>
      <c r="D823" s="63"/>
      <c r="E823" s="64"/>
      <c r="F823" s="65"/>
    </row>
    <row r="824" spans="1:6" x14ac:dyDescent="0.25">
      <c r="A824" s="61"/>
      <c r="B824" s="61"/>
      <c r="C824" s="62"/>
      <c r="D824" s="63"/>
      <c r="E824" s="64"/>
      <c r="F824" s="65"/>
    </row>
    <row r="825" spans="1:6" x14ac:dyDescent="0.25">
      <c r="A825" s="61"/>
      <c r="B825" s="61"/>
      <c r="C825" s="62"/>
      <c r="D825" s="63"/>
      <c r="E825" s="64"/>
      <c r="F825" s="65"/>
    </row>
    <row r="826" spans="1:6" x14ac:dyDescent="0.25">
      <c r="A826" s="61"/>
      <c r="B826" s="61"/>
      <c r="C826" s="62"/>
      <c r="D826" s="63"/>
      <c r="E826" s="64"/>
      <c r="F826" s="65"/>
    </row>
    <row r="827" spans="1:6" x14ac:dyDescent="0.25">
      <c r="A827" s="61"/>
      <c r="B827" s="61"/>
      <c r="C827" s="62"/>
      <c r="D827" s="63"/>
      <c r="E827" s="64"/>
      <c r="F827" s="65"/>
    </row>
    <row r="828" spans="1:6" x14ac:dyDescent="0.25">
      <c r="A828" s="61"/>
      <c r="B828" s="61"/>
      <c r="C828" s="62"/>
      <c r="D828" s="63"/>
      <c r="E828" s="64"/>
      <c r="F828" s="65"/>
    </row>
    <row r="829" spans="1:6" x14ac:dyDescent="0.25">
      <c r="A829" s="61"/>
      <c r="B829" s="61"/>
      <c r="C829" s="62"/>
      <c r="D829" s="63"/>
      <c r="E829" s="64"/>
      <c r="F829" s="65"/>
    </row>
    <row r="830" spans="1:6" x14ac:dyDescent="0.25">
      <c r="A830" s="61"/>
      <c r="B830" s="61"/>
      <c r="C830" s="62"/>
      <c r="D830" s="63"/>
      <c r="E830" s="64"/>
      <c r="F830" s="65"/>
    </row>
    <row r="831" spans="1:6" x14ac:dyDescent="0.25">
      <c r="A831" s="61"/>
      <c r="B831" s="61"/>
      <c r="C831" s="62"/>
      <c r="D831" s="63"/>
      <c r="E831" s="64"/>
      <c r="F831" s="65"/>
    </row>
    <row r="832" spans="1:6" x14ac:dyDescent="0.25">
      <c r="A832" s="61"/>
      <c r="B832" s="61"/>
      <c r="C832" s="62"/>
      <c r="D832" s="63"/>
      <c r="E832" s="64"/>
      <c r="F832" s="65"/>
    </row>
    <row r="833" spans="1:6" x14ac:dyDescent="0.25">
      <c r="A833" s="61"/>
      <c r="B833" s="61"/>
      <c r="C833" s="62"/>
      <c r="D833" s="63"/>
      <c r="E833" s="64"/>
      <c r="F833" s="65"/>
    </row>
    <row r="834" spans="1:6" x14ac:dyDescent="0.25">
      <c r="A834" s="61"/>
      <c r="B834" s="61"/>
      <c r="C834" s="62"/>
      <c r="D834" s="63"/>
      <c r="E834" s="64"/>
      <c r="F834" s="65"/>
    </row>
    <row r="835" spans="1:6" x14ac:dyDescent="0.25">
      <c r="A835" s="61"/>
      <c r="B835" s="61"/>
      <c r="C835" s="62"/>
      <c r="D835" s="63"/>
      <c r="E835" s="64"/>
      <c r="F835" s="65"/>
    </row>
    <row r="836" spans="1:6" x14ac:dyDescent="0.25">
      <c r="A836" s="61"/>
      <c r="B836" s="61"/>
      <c r="C836" s="62"/>
      <c r="D836" s="63"/>
      <c r="E836" s="64"/>
      <c r="F836" s="65"/>
    </row>
    <row r="837" spans="1:6" x14ac:dyDescent="0.25">
      <c r="A837" s="61"/>
      <c r="B837" s="61"/>
      <c r="C837" s="62"/>
      <c r="D837" s="63"/>
      <c r="E837" s="64"/>
      <c r="F837" s="65"/>
    </row>
    <row r="838" spans="1:6" x14ac:dyDescent="0.25">
      <c r="A838" s="61"/>
      <c r="B838" s="61"/>
      <c r="C838" s="62"/>
      <c r="D838" s="63"/>
      <c r="E838" s="64"/>
      <c r="F838" s="65"/>
    </row>
    <row r="839" spans="1:6" x14ac:dyDescent="0.25">
      <c r="A839" s="61"/>
      <c r="B839" s="61"/>
      <c r="C839" s="62"/>
      <c r="D839" s="63"/>
      <c r="E839" s="64"/>
      <c r="F839" s="65"/>
    </row>
    <row r="840" spans="1:6" x14ac:dyDescent="0.25">
      <c r="A840" s="61"/>
      <c r="B840" s="61"/>
      <c r="C840" s="62"/>
      <c r="D840" s="63"/>
      <c r="E840" s="64"/>
      <c r="F840" s="65"/>
    </row>
    <row r="841" spans="1:6" x14ac:dyDescent="0.25">
      <c r="A841" s="61"/>
      <c r="B841" s="61"/>
      <c r="C841" s="62"/>
      <c r="D841" s="63"/>
      <c r="E841" s="64"/>
      <c r="F841" s="65"/>
    </row>
    <row r="842" spans="1:6" x14ac:dyDescent="0.25">
      <c r="A842" s="61"/>
      <c r="B842" s="61"/>
      <c r="C842" s="62"/>
      <c r="D842" s="63"/>
      <c r="E842" s="64"/>
      <c r="F842" s="65"/>
    </row>
    <row r="843" spans="1:6" x14ac:dyDescent="0.25">
      <c r="A843" s="61"/>
      <c r="B843" s="61"/>
      <c r="C843" s="62"/>
      <c r="D843" s="63"/>
      <c r="E843" s="64"/>
      <c r="F843" s="65"/>
    </row>
    <row r="844" spans="1:6" x14ac:dyDescent="0.25">
      <c r="A844" s="61"/>
      <c r="B844" s="61"/>
      <c r="C844" s="62"/>
      <c r="D844" s="63"/>
      <c r="E844" s="64"/>
      <c r="F844" s="65"/>
    </row>
    <row r="845" spans="1:6" x14ac:dyDescent="0.25">
      <c r="A845" s="61"/>
      <c r="B845" s="61"/>
      <c r="C845" s="62"/>
      <c r="D845" s="63"/>
      <c r="E845" s="64"/>
      <c r="F845" s="65"/>
    </row>
    <row r="846" spans="1:6" x14ac:dyDescent="0.25">
      <c r="A846" s="61"/>
      <c r="B846" s="61"/>
      <c r="C846" s="62"/>
      <c r="D846" s="63"/>
      <c r="E846" s="64"/>
      <c r="F846" s="65"/>
    </row>
    <row r="847" spans="1:6" x14ac:dyDescent="0.25">
      <c r="A847" s="61"/>
      <c r="B847" s="61"/>
      <c r="C847" s="62"/>
      <c r="D847" s="63"/>
      <c r="E847" s="64"/>
      <c r="F847" s="65"/>
    </row>
    <row r="848" spans="1:6" x14ac:dyDescent="0.25">
      <c r="A848" s="61"/>
      <c r="B848" s="61"/>
      <c r="C848" s="62"/>
      <c r="D848" s="63"/>
      <c r="E848" s="64"/>
      <c r="F848" s="65"/>
    </row>
    <row r="849" spans="1:6" x14ac:dyDescent="0.25">
      <c r="A849" s="61"/>
      <c r="B849" s="61"/>
      <c r="C849" s="62"/>
      <c r="D849" s="63"/>
      <c r="E849" s="64"/>
      <c r="F849" s="65"/>
    </row>
    <row r="850" spans="1:6" x14ac:dyDescent="0.25">
      <c r="A850" s="61"/>
      <c r="B850" s="61"/>
      <c r="C850" s="62"/>
      <c r="D850" s="63"/>
      <c r="E850" s="64"/>
      <c r="F850" s="65"/>
    </row>
    <row r="851" spans="1:6" x14ac:dyDescent="0.25">
      <c r="A851" s="61"/>
      <c r="B851" s="61"/>
      <c r="C851" s="62"/>
      <c r="D851" s="63"/>
      <c r="E851" s="64"/>
      <c r="F851" s="65"/>
    </row>
    <row r="852" spans="1:6" x14ac:dyDescent="0.25">
      <c r="A852" s="61"/>
      <c r="B852" s="61"/>
      <c r="C852" s="62"/>
      <c r="D852" s="63"/>
      <c r="E852" s="64"/>
      <c r="F852" s="65"/>
    </row>
    <row r="853" spans="1:6" x14ac:dyDescent="0.25">
      <c r="A853" s="61"/>
      <c r="B853" s="61"/>
      <c r="C853" s="62"/>
      <c r="D853" s="63"/>
      <c r="E853" s="64"/>
      <c r="F853" s="65"/>
    </row>
    <row r="854" spans="1:6" x14ac:dyDescent="0.25">
      <c r="A854" s="61"/>
      <c r="B854" s="61"/>
      <c r="C854" s="62"/>
      <c r="D854" s="63"/>
      <c r="E854" s="64"/>
      <c r="F854" s="65"/>
    </row>
    <row r="855" spans="1:6" x14ac:dyDescent="0.25">
      <c r="A855" s="61"/>
      <c r="B855" s="61"/>
      <c r="C855" s="62"/>
      <c r="D855" s="63"/>
      <c r="E855" s="64"/>
      <c r="F855" s="65"/>
    </row>
    <row r="856" spans="1:6" x14ac:dyDescent="0.25">
      <c r="A856" s="61"/>
      <c r="B856" s="61"/>
      <c r="C856" s="62"/>
      <c r="D856" s="63"/>
      <c r="E856" s="64"/>
      <c r="F856" s="65"/>
    </row>
    <row r="857" spans="1:6" x14ac:dyDescent="0.25">
      <c r="A857" s="61"/>
      <c r="B857" s="61"/>
      <c r="C857" s="62"/>
      <c r="D857" s="63"/>
      <c r="E857" s="64"/>
      <c r="F857" s="65"/>
    </row>
    <row r="858" spans="1:6" x14ac:dyDescent="0.25">
      <c r="A858" s="61"/>
      <c r="B858" s="61"/>
      <c r="C858" s="62"/>
      <c r="D858" s="63"/>
      <c r="E858" s="64"/>
      <c r="F858" s="65"/>
    </row>
    <row r="859" spans="1:6" x14ac:dyDescent="0.25">
      <c r="A859" s="61"/>
      <c r="B859" s="61"/>
      <c r="C859" s="62"/>
      <c r="D859" s="63"/>
      <c r="E859" s="64"/>
      <c r="F859" s="65"/>
    </row>
    <row r="860" spans="1:6" x14ac:dyDescent="0.25">
      <c r="A860" s="61"/>
      <c r="B860" s="61"/>
      <c r="C860" s="62"/>
      <c r="D860" s="63"/>
      <c r="E860" s="64"/>
      <c r="F860" s="65"/>
    </row>
    <row r="861" spans="1:6" x14ac:dyDescent="0.25">
      <c r="A861" s="61"/>
      <c r="B861" s="61"/>
      <c r="C861" s="62"/>
      <c r="D861" s="63"/>
      <c r="E861" s="64"/>
      <c r="F861" s="65"/>
    </row>
    <row r="862" spans="1:6" x14ac:dyDescent="0.25">
      <c r="A862" s="61"/>
      <c r="B862" s="61"/>
      <c r="C862" s="62"/>
      <c r="D862" s="63"/>
      <c r="E862" s="64"/>
      <c r="F862" s="65"/>
    </row>
    <row r="863" spans="1:6" x14ac:dyDescent="0.25">
      <c r="A863" s="61"/>
      <c r="B863" s="61"/>
      <c r="C863" s="62"/>
      <c r="D863" s="63"/>
      <c r="E863" s="64"/>
      <c r="F863" s="65"/>
    </row>
    <row r="864" spans="1:6" x14ac:dyDescent="0.25">
      <c r="A864" s="61"/>
      <c r="B864" s="61"/>
      <c r="C864" s="62"/>
      <c r="D864" s="63"/>
      <c r="E864" s="64"/>
      <c r="F864" s="65"/>
    </row>
    <row r="865" spans="1:6" x14ac:dyDescent="0.25">
      <c r="A865" s="61"/>
      <c r="B865" s="61"/>
      <c r="C865" s="62"/>
      <c r="D865" s="63"/>
      <c r="E865" s="64"/>
      <c r="F865" s="65"/>
    </row>
    <row r="866" spans="1:6" x14ac:dyDescent="0.25">
      <c r="A866" s="61"/>
      <c r="B866" s="61"/>
      <c r="C866" s="62"/>
      <c r="D866" s="63"/>
      <c r="E866" s="64"/>
      <c r="F866" s="65"/>
    </row>
    <row r="867" spans="1:6" x14ac:dyDescent="0.25">
      <c r="A867" s="61"/>
      <c r="B867" s="61"/>
      <c r="C867" s="62"/>
      <c r="D867" s="63"/>
      <c r="E867" s="64"/>
      <c r="F867" s="65"/>
    </row>
    <row r="868" spans="1:6" x14ac:dyDescent="0.25">
      <c r="A868" s="61"/>
      <c r="B868" s="61"/>
      <c r="C868" s="62"/>
      <c r="D868" s="63"/>
      <c r="E868" s="64"/>
      <c r="F868" s="65"/>
    </row>
    <row r="869" spans="1:6" x14ac:dyDescent="0.25">
      <c r="A869" s="61"/>
      <c r="B869" s="61"/>
      <c r="C869" s="62"/>
      <c r="D869" s="63"/>
      <c r="E869" s="64"/>
      <c r="F869" s="65"/>
    </row>
    <row r="870" spans="1:6" x14ac:dyDescent="0.25">
      <c r="A870" s="61"/>
      <c r="B870" s="61"/>
      <c r="C870" s="62"/>
      <c r="D870" s="63"/>
      <c r="E870" s="64"/>
      <c r="F870" s="65"/>
    </row>
    <row r="871" spans="1:6" x14ac:dyDescent="0.25">
      <c r="A871" s="61"/>
      <c r="B871" s="61"/>
      <c r="C871" s="62"/>
      <c r="D871" s="63"/>
      <c r="E871" s="64"/>
      <c r="F871" s="65"/>
    </row>
    <row r="872" spans="1:6" x14ac:dyDescent="0.25">
      <c r="A872" s="61"/>
      <c r="B872" s="61"/>
      <c r="C872" s="62"/>
      <c r="D872" s="63"/>
      <c r="E872" s="64"/>
      <c r="F872" s="65"/>
    </row>
    <row r="873" spans="1:6" x14ac:dyDescent="0.25">
      <c r="A873" s="61"/>
      <c r="B873" s="61"/>
      <c r="C873" s="62"/>
      <c r="D873" s="63"/>
      <c r="E873" s="64"/>
      <c r="F873" s="65"/>
    </row>
    <row r="874" spans="1:6" x14ac:dyDescent="0.25">
      <c r="A874" s="61"/>
      <c r="B874" s="61"/>
      <c r="C874" s="62"/>
      <c r="D874" s="63"/>
      <c r="E874" s="64"/>
      <c r="F874" s="65"/>
    </row>
    <row r="875" spans="1:6" x14ac:dyDescent="0.25">
      <c r="A875" s="61"/>
      <c r="B875" s="61"/>
      <c r="C875" s="62"/>
      <c r="D875" s="63"/>
      <c r="E875" s="64"/>
      <c r="F875" s="65"/>
    </row>
    <row r="876" spans="1:6" x14ac:dyDescent="0.25">
      <c r="A876" s="61"/>
      <c r="B876" s="61"/>
      <c r="C876" s="62"/>
      <c r="D876" s="63"/>
      <c r="E876" s="64"/>
      <c r="F876" s="65"/>
    </row>
    <row r="877" spans="1:6" x14ac:dyDescent="0.25">
      <c r="A877" s="61"/>
      <c r="B877" s="61"/>
      <c r="C877" s="62"/>
      <c r="D877" s="63"/>
      <c r="E877" s="64"/>
      <c r="F877" s="65"/>
    </row>
    <row r="878" spans="1:6" x14ac:dyDescent="0.25">
      <c r="A878" s="61"/>
      <c r="B878" s="61"/>
      <c r="C878" s="62"/>
      <c r="D878" s="63"/>
      <c r="E878" s="64"/>
      <c r="F878" s="65"/>
    </row>
    <row r="879" spans="1:6" x14ac:dyDescent="0.25">
      <c r="A879" s="61"/>
      <c r="B879" s="61"/>
      <c r="C879" s="62"/>
      <c r="D879" s="63"/>
      <c r="E879" s="64"/>
      <c r="F879" s="65"/>
    </row>
    <row r="880" spans="1:6" x14ac:dyDescent="0.25">
      <c r="A880" s="61"/>
      <c r="B880" s="61"/>
      <c r="C880" s="62"/>
      <c r="D880" s="63"/>
      <c r="E880" s="64"/>
      <c r="F880" s="65"/>
    </row>
    <row r="881" spans="1:6" x14ac:dyDescent="0.25">
      <c r="A881" s="61"/>
      <c r="B881" s="61"/>
      <c r="C881" s="62"/>
      <c r="D881" s="63"/>
      <c r="E881" s="64"/>
      <c r="F881" s="65"/>
    </row>
    <row r="882" spans="1:6" x14ac:dyDescent="0.25">
      <c r="A882" s="61"/>
      <c r="B882" s="61"/>
      <c r="C882" s="62"/>
      <c r="D882" s="63"/>
      <c r="E882" s="64"/>
      <c r="F882" s="65"/>
    </row>
    <row r="883" spans="1:6" x14ac:dyDescent="0.25">
      <c r="A883" s="61"/>
      <c r="B883" s="61"/>
      <c r="C883" s="62"/>
      <c r="D883" s="63"/>
      <c r="E883" s="64"/>
      <c r="F883" s="65"/>
    </row>
    <row r="884" spans="1:6" x14ac:dyDescent="0.25">
      <c r="A884" s="61"/>
      <c r="B884" s="61"/>
      <c r="C884" s="62"/>
      <c r="D884" s="63"/>
      <c r="E884" s="64"/>
      <c r="F884" s="65"/>
    </row>
    <row r="885" spans="1:6" x14ac:dyDescent="0.25">
      <c r="A885" s="61"/>
      <c r="B885" s="61"/>
      <c r="C885" s="62"/>
      <c r="D885" s="63"/>
      <c r="E885" s="64"/>
      <c r="F885" s="65"/>
    </row>
    <row r="886" spans="1:6" x14ac:dyDescent="0.25">
      <c r="A886" s="61"/>
      <c r="B886" s="61"/>
      <c r="C886" s="62"/>
      <c r="D886" s="63"/>
      <c r="E886" s="64"/>
      <c r="F886" s="65"/>
    </row>
    <row r="887" spans="1:6" x14ac:dyDescent="0.25">
      <c r="A887" s="61"/>
      <c r="B887" s="61"/>
      <c r="C887" s="62"/>
      <c r="D887" s="63"/>
      <c r="E887" s="64"/>
      <c r="F887" s="65"/>
    </row>
    <row r="888" spans="1:6" x14ac:dyDescent="0.25">
      <c r="A888" s="61"/>
      <c r="B888" s="61"/>
      <c r="C888" s="62"/>
      <c r="D888" s="63"/>
      <c r="E888" s="64"/>
      <c r="F888" s="65"/>
    </row>
    <row r="889" spans="1:6" x14ac:dyDescent="0.25">
      <c r="A889" s="61"/>
      <c r="B889" s="61"/>
      <c r="C889" s="62"/>
      <c r="D889" s="63"/>
      <c r="E889" s="64"/>
      <c r="F889" s="65"/>
    </row>
    <row r="890" spans="1:6" x14ac:dyDescent="0.25">
      <c r="A890" s="61"/>
      <c r="B890" s="61"/>
      <c r="C890" s="62"/>
      <c r="D890" s="63"/>
      <c r="E890" s="64"/>
      <c r="F890" s="65"/>
    </row>
    <row r="891" spans="1:6" x14ac:dyDescent="0.25">
      <c r="A891" s="61"/>
      <c r="B891" s="61"/>
      <c r="C891" s="62"/>
      <c r="D891" s="63"/>
      <c r="E891" s="64"/>
      <c r="F891" s="65"/>
    </row>
    <row r="892" spans="1:6" x14ac:dyDescent="0.25">
      <c r="A892" s="61"/>
      <c r="B892" s="61"/>
      <c r="C892" s="62"/>
      <c r="D892" s="63"/>
      <c r="E892" s="64"/>
      <c r="F892" s="65"/>
    </row>
    <row r="893" spans="1:6" x14ac:dyDescent="0.25">
      <c r="A893" s="61"/>
      <c r="B893" s="61"/>
      <c r="C893" s="62"/>
      <c r="D893" s="63"/>
      <c r="E893" s="64"/>
      <c r="F893" s="65"/>
    </row>
    <row r="894" spans="1:6" x14ac:dyDescent="0.25">
      <c r="A894" s="61"/>
      <c r="B894" s="61"/>
      <c r="C894" s="62"/>
      <c r="D894" s="63"/>
      <c r="E894" s="64"/>
      <c r="F894" s="65"/>
    </row>
    <row r="895" spans="1:6" x14ac:dyDescent="0.25">
      <c r="A895" s="61"/>
      <c r="B895" s="61"/>
      <c r="C895" s="62"/>
      <c r="D895" s="63"/>
      <c r="E895" s="64"/>
      <c r="F895" s="65"/>
    </row>
    <row r="896" spans="1:6" x14ac:dyDescent="0.25">
      <c r="A896" s="61"/>
      <c r="B896" s="61"/>
      <c r="C896" s="62"/>
      <c r="D896" s="63"/>
      <c r="E896" s="64"/>
      <c r="F896" s="65"/>
    </row>
    <row r="897" spans="1:6" x14ac:dyDescent="0.25">
      <c r="A897" s="61"/>
      <c r="B897" s="61"/>
      <c r="C897" s="62"/>
      <c r="D897" s="63"/>
      <c r="E897" s="64"/>
      <c r="F897" s="65"/>
    </row>
    <row r="898" spans="1:6" x14ac:dyDescent="0.25">
      <c r="A898" s="61"/>
      <c r="B898" s="61"/>
      <c r="C898" s="62"/>
      <c r="D898" s="63"/>
      <c r="E898" s="64"/>
      <c r="F898" s="65"/>
    </row>
    <row r="899" spans="1:6" x14ac:dyDescent="0.25">
      <c r="A899" s="61"/>
      <c r="B899" s="61"/>
      <c r="C899" s="62"/>
      <c r="D899" s="63"/>
      <c r="E899" s="64"/>
      <c r="F899" s="65"/>
    </row>
    <row r="900" spans="1:6" x14ac:dyDescent="0.25">
      <c r="A900" s="61"/>
      <c r="B900" s="61"/>
      <c r="C900" s="62"/>
      <c r="D900" s="63"/>
      <c r="E900" s="64"/>
      <c r="F900" s="65"/>
    </row>
    <row r="901" spans="1:6" x14ac:dyDescent="0.25">
      <c r="A901" s="61"/>
      <c r="B901" s="61"/>
      <c r="C901" s="62"/>
      <c r="D901" s="63"/>
      <c r="E901" s="64"/>
      <c r="F901" s="65"/>
    </row>
    <row r="902" spans="1:6" x14ac:dyDescent="0.25">
      <c r="A902" s="61"/>
      <c r="B902" s="61"/>
      <c r="C902" s="62"/>
      <c r="D902" s="63"/>
      <c r="E902" s="64"/>
      <c r="F902" s="65"/>
    </row>
    <row r="903" spans="1:6" x14ac:dyDescent="0.25">
      <c r="A903" s="61"/>
      <c r="B903" s="61"/>
      <c r="C903" s="62"/>
      <c r="D903" s="63"/>
      <c r="E903" s="64"/>
      <c r="F903" s="65"/>
    </row>
    <row r="904" spans="1:6" x14ac:dyDescent="0.25">
      <c r="A904" s="61"/>
      <c r="B904" s="61"/>
      <c r="C904" s="62"/>
      <c r="D904" s="63"/>
      <c r="E904" s="64"/>
      <c r="F904" s="65"/>
    </row>
    <row r="905" spans="1:6" x14ac:dyDescent="0.25">
      <c r="A905" s="61"/>
      <c r="B905" s="61"/>
      <c r="C905" s="62"/>
      <c r="D905" s="63"/>
      <c r="E905" s="64"/>
      <c r="F905" s="65"/>
    </row>
    <row r="906" spans="1:6" x14ac:dyDescent="0.25">
      <c r="A906" s="61"/>
      <c r="B906" s="61"/>
      <c r="C906" s="62"/>
      <c r="D906" s="63"/>
      <c r="E906" s="64"/>
      <c r="F906" s="65"/>
    </row>
    <row r="907" spans="1:6" x14ac:dyDescent="0.25">
      <c r="A907" s="61"/>
      <c r="B907" s="61"/>
      <c r="C907" s="62"/>
      <c r="D907" s="63"/>
      <c r="E907" s="64"/>
      <c r="F907" s="65"/>
    </row>
    <row r="908" spans="1:6" x14ac:dyDescent="0.25">
      <c r="A908" s="61"/>
      <c r="B908" s="61"/>
      <c r="C908" s="62"/>
      <c r="D908" s="63"/>
      <c r="E908" s="64"/>
      <c r="F908" s="65"/>
    </row>
    <row r="909" spans="1:6" x14ac:dyDescent="0.25">
      <c r="A909" s="61"/>
      <c r="B909" s="61"/>
      <c r="C909" s="62"/>
      <c r="D909" s="63"/>
      <c r="E909" s="64"/>
      <c r="F909" s="65"/>
    </row>
    <row r="910" spans="1:6" x14ac:dyDescent="0.25">
      <c r="A910" s="61"/>
      <c r="B910" s="61"/>
      <c r="C910" s="62"/>
      <c r="D910" s="63"/>
      <c r="E910" s="64"/>
      <c r="F910" s="65"/>
    </row>
    <row r="911" spans="1:6" x14ac:dyDescent="0.25">
      <c r="A911" s="61"/>
      <c r="B911" s="61"/>
      <c r="C911" s="62"/>
      <c r="D911" s="63"/>
      <c r="E911" s="64"/>
      <c r="F911" s="65"/>
    </row>
    <row r="912" spans="1:6" x14ac:dyDescent="0.25">
      <c r="A912" s="61"/>
      <c r="B912" s="61"/>
      <c r="C912" s="62"/>
      <c r="D912" s="63"/>
      <c r="E912" s="64"/>
      <c r="F912" s="65"/>
    </row>
    <row r="913" spans="1:6" x14ac:dyDescent="0.25">
      <c r="A913" s="61"/>
      <c r="B913" s="61"/>
      <c r="C913" s="62"/>
      <c r="D913" s="63"/>
      <c r="E913" s="64"/>
      <c r="F913" s="65"/>
    </row>
    <row r="914" spans="1:6" x14ac:dyDescent="0.25">
      <c r="A914" s="61"/>
      <c r="B914" s="61"/>
      <c r="C914" s="62"/>
      <c r="D914" s="63"/>
      <c r="E914" s="64"/>
      <c r="F914" s="65"/>
    </row>
    <row r="915" spans="1:6" x14ac:dyDescent="0.25">
      <c r="A915" s="61"/>
      <c r="B915" s="61"/>
      <c r="C915" s="62"/>
      <c r="D915" s="63"/>
      <c r="E915" s="64"/>
      <c r="F915" s="65"/>
    </row>
    <row r="916" spans="1:6" x14ac:dyDescent="0.25">
      <c r="A916" s="61"/>
      <c r="B916" s="61"/>
      <c r="C916" s="62"/>
      <c r="D916" s="63"/>
      <c r="E916" s="64"/>
      <c r="F916" s="65"/>
    </row>
    <row r="917" spans="1:6" x14ac:dyDescent="0.25">
      <c r="A917" s="61"/>
      <c r="B917" s="61"/>
      <c r="C917" s="62"/>
      <c r="D917" s="63"/>
      <c r="E917" s="64"/>
      <c r="F917" s="65"/>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CalLowPassFiltBilinearOut() R'!A1" display="'CalLowPassFiltBilinearOut() R'!A1"/>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40"/>
  <sheetViews>
    <sheetView workbookViewId="0">
      <selection sqref="A1:B1"/>
    </sheetView>
  </sheetViews>
  <sheetFormatPr defaultRowHeight="15" x14ac:dyDescent="0.25"/>
  <cols>
    <col min="1" max="1" width="8.140625" bestFit="1" customWidth="1"/>
    <col min="2" max="2" width="48.140625" bestFit="1" customWidth="1"/>
    <col min="3" max="7" width="11.7109375" bestFit="1" customWidth="1"/>
    <col min="8" max="8" width="7.28515625" bestFit="1" customWidth="1"/>
    <col min="9" max="10" width="4.140625" bestFit="1" customWidth="1"/>
    <col min="11" max="11" width="12.7109375" bestFit="1" customWidth="1"/>
    <col min="12" max="12" width="11.7109375" bestFit="1" customWidth="1"/>
    <col min="13" max="13" width="12.7109375" bestFit="1" customWidth="1"/>
    <col min="14" max="14" width="10.5703125" bestFit="1" customWidth="1"/>
    <col min="15" max="15" width="12.42578125" bestFit="1" customWidth="1"/>
    <col min="16" max="16" width="10.5703125" bestFit="1" customWidth="1"/>
  </cols>
  <sheetData>
    <row r="1" spans="1:16" x14ac:dyDescent="0.25">
      <c r="A1" s="228" t="s">
        <v>1294</v>
      </c>
      <c r="B1" s="229"/>
      <c r="C1" s="42" t="s">
        <v>90</v>
      </c>
      <c r="D1" s="54" t="s">
        <v>89</v>
      </c>
      <c r="E1" s="126"/>
      <c r="F1" s="126"/>
      <c r="G1" s="126"/>
      <c r="H1" s="126"/>
      <c r="I1" s="126"/>
      <c r="J1" s="126"/>
      <c r="K1" s="126"/>
      <c r="L1" s="126"/>
      <c r="M1" s="126"/>
      <c r="N1" s="40"/>
      <c r="O1" s="40"/>
      <c r="P1" s="41"/>
    </row>
    <row r="2" spans="1:16" ht="60" customHeight="1" x14ac:dyDescent="0.25">
      <c r="A2" s="230" t="s">
        <v>80</v>
      </c>
      <c r="B2" s="231"/>
      <c r="C2" s="50" t="s">
        <v>1302</v>
      </c>
      <c r="D2" s="50" t="s">
        <v>91</v>
      </c>
      <c r="E2" s="50" t="s">
        <v>91</v>
      </c>
      <c r="F2" s="50" t="s">
        <v>91</v>
      </c>
      <c r="G2" s="50" t="s">
        <v>91</v>
      </c>
      <c r="H2" s="67" t="s">
        <v>1307</v>
      </c>
      <c r="I2" s="48" t="s">
        <v>83</v>
      </c>
      <c r="J2" s="48" t="s">
        <v>83</v>
      </c>
      <c r="K2" s="26" t="s">
        <v>1308</v>
      </c>
      <c r="L2" s="26" t="s">
        <v>84</v>
      </c>
      <c r="M2" s="26" t="s">
        <v>84</v>
      </c>
      <c r="N2" s="27" t="s">
        <v>24</v>
      </c>
      <c r="O2" s="27" t="s">
        <v>86</v>
      </c>
      <c r="P2" s="28" t="s">
        <v>88</v>
      </c>
    </row>
    <row r="3" spans="1:16" ht="172.5" x14ac:dyDescent="0.25">
      <c r="A3" s="29" t="s">
        <v>81</v>
      </c>
      <c r="B3" s="30" t="s">
        <v>82</v>
      </c>
      <c r="C3" s="82" t="s">
        <v>1306</v>
      </c>
      <c r="D3" s="49" t="s">
        <v>1282</v>
      </c>
      <c r="E3" s="49" t="s">
        <v>1283</v>
      </c>
      <c r="F3" s="49" t="s">
        <v>1284</v>
      </c>
      <c r="G3" s="49" t="s">
        <v>1285</v>
      </c>
      <c r="H3" s="31" t="s">
        <v>1294</v>
      </c>
      <c r="I3" s="31" t="s">
        <v>1282</v>
      </c>
      <c r="J3" s="31" t="s">
        <v>1283</v>
      </c>
      <c r="K3" s="32" t="s">
        <v>1294</v>
      </c>
      <c r="L3" s="32" t="s">
        <v>1282</v>
      </c>
      <c r="M3" s="32" t="s">
        <v>1283</v>
      </c>
      <c r="N3" s="27" t="s">
        <v>85</v>
      </c>
      <c r="O3" s="27" t="s">
        <v>87</v>
      </c>
      <c r="P3" s="28"/>
    </row>
    <row r="4" spans="1:16" ht="15" customHeight="1" x14ac:dyDescent="0.25">
      <c r="A4" s="33">
        <v>1</v>
      </c>
      <c r="B4" s="43" t="s">
        <v>94</v>
      </c>
      <c r="C4" s="51">
        <v>-2147483648</v>
      </c>
      <c r="D4" s="51">
        <v>-2147483648</v>
      </c>
      <c r="E4" s="51">
        <v>-2147483648</v>
      </c>
      <c r="F4" s="51">
        <v>-2147483648</v>
      </c>
      <c r="G4" s="51">
        <v>-2147483648</v>
      </c>
      <c r="H4" s="34" t="s">
        <v>89</v>
      </c>
      <c r="I4" s="34" t="s">
        <v>89</v>
      </c>
      <c r="J4" s="34" t="s">
        <v>89</v>
      </c>
      <c r="K4" s="43">
        <v>-9.9035203050596702E+27</v>
      </c>
      <c r="L4" s="43">
        <v>-2147483648</v>
      </c>
      <c r="M4" s="43">
        <v>-9.9035203050596702E+27</v>
      </c>
      <c r="N4" s="46" t="s">
        <v>89</v>
      </c>
      <c r="O4" s="34"/>
      <c r="P4" s="35"/>
    </row>
    <row r="5" spans="1:16" ht="15" customHeight="1" x14ac:dyDescent="0.25">
      <c r="A5" s="33">
        <v>2</v>
      </c>
      <c r="B5" s="43" t="s">
        <v>95</v>
      </c>
      <c r="C5" s="51">
        <v>2147483647</v>
      </c>
      <c r="D5" s="51">
        <v>2147483647</v>
      </c>
      <c r="E5" s="51">
        <v>2147483647</v>
      </c>
      <c r="F5" s="51">
        <v>2147483647</v>
      </c>
      <c r="G5" s="51">
        <v>2147483647</v>
      </c>
      <c r="H5" s="34" t="s">
        <v>89</v>
      </c>
      <c r="I5" s="34" t="s">
        <v>89</v>
      </c>
      <c r="J5" s="34" t="s">
        <v>89</v>
      </c>
      <c r="K5" s="43">
        <v>9.9035203096713595E+27</v>
      </c>
      <c r="L5" s="43">
        <v>2147483647</v>
      </c>
      <c r="M5" s="43">
        <v>9.9035203096713595E+27</v>
      </c>
      <c r="N5" s="46" t="s">
        <v>89</v>
      </c>
      <c r="O5" s="34"/>
      <c r="P5" s="35"/>
    </row>
    <row r="6" spans="1:16" ht="15" customHeight="1" x14ac:dyDescent="0.25">
      <c r="A6" s="33">
        <v>3</v>
      </c>
      <c r="B6" s="43" t="s">
        <v>1315</v>
      </c>
      <c r="C6" s="51">
        <v>-2147483648</v>
      </c>
      <c r="D6" s="43">
        <v>153.83690000000001</v>
      </c>
      <c r="E6" s="43">
        <v>8286.3649999999998</v>
      </c>
      <c r="F6" s="43">
        <v>1000.2236</v>
      </c>
      <c r="G6" s="43">
        <v>5.5236000000000001</v>
      </c>
      <c r="H6" s="34" t="s">
        <v>89</v>
      </c>
      <c r="I6" s="34" t="s">
        <v>89</v>
      </c>
      <c r="J6" s="34" t="s">
        <v>89</v>
      </c>
      <c r="K6" s="43">
        <v>-11816059028.3468</v>
      </c>
      <c r="L6" s="43">
        <v>-2147483648</v>
      </c>
      <c r="M6" s="43">
        <v>-11816059028.3468</v>
      </c>
      <c r="N6" s="46" t="s">
        <v>89</v>
      </c>
      <c r="O6" s="34"/>
      <c r="P6" s="35"/>
    </row>
    <row r="7" spans="1:16" ht="15" customHeight="1" x14ac:dyDescent="0.25">
      <c r="A7" s="33">
        <v>4</v>
      </c>
      <c r="B7" s="43" t="s">
        <v>1316</v>
      </c>
      <c r="C7" s="51">
        <v>2147483647</v>
      </c>
      <c r="D7" s="43">
        <v>42.252299999999998</v>
      </c>
      <c r="E7" s="43">
        <v>123.3657</v>
      </c>
      <c r="F7" s="43">
        <v>1050.8788999999999</v>
      </c>
      <c r="G7" s="43">
        <v>99.923599999999993</v>
      </c>
      <c r="H7" s="34" t="s">
        <v>89</v>
      </c>
      <c r="I7" s="34" t="s">
        <v>89</v>
      </c>
      <c r="J7" s="34" t="s">
        <v>89</v>
      </c>
      <c r="K7" s="43">
        <v>214597255507.802</v>
      </c>
      <c r="L7" s="43">
        <v>2147483647</v>
      </c>
      <c r="M7" s="43">
        <v>214597255507.802</v>
      </c>
      <c r="N7" s="46" t="s">
        <v>89</v>
      </c>
      <c r="O7" s="34"/>
      <c r="P7" s="35"/>
    </row>
    <row r="8" spans="1:16" ht="15" customHeight="1" x14ac:dyDescent="0.25">
      <c r="A8" s="33">
        <v>5</v>
      </c>
      <c r="B8" s="43" t="s">
        <v>1341</v>
      </c>
      <c r="C8" s="51">
        <v>0</v>
      </c>
      <c r="D8" s="43">
        <v>-895.36210000000005</v>
      </c>
      <c r="E8" s="43">
        <v>-89.741200000000006</v>
      </c>
      <c r="F8" s="43">
        <v>85.963099999999997</v>
      </c>
      <c r="G8" s="43">
        <v>-5.3620999999999999</v>
      </c>
      <c r="H8" s="34" t="s">
        <v>89</v>
      </c>
      <c r="I8" s="34" t="s">
        <v>89</v>
      </c>
      <c r="J8" s="34" t="s">
        <v>89</v>
      </c>
      <c r="K8" s="43">
        <v>46166.575601583601</v>
      </c>
      <c r="L8" s="43">
        <v>0</v>
      </c>
      <c r="M8" s="43">
        <v>46166.575601583601</v>
      </c>
      <c r="N8" s="46" t="s">
        <v>89</v>
      </c>
      <c r="O8" s="34"/>
      <c r="P8" s="35"/>
    </row>
    <row r="9" spans="1:16" ht="15" customHeight="1" x14ac:dyDescent="0.25">
      <c r="A9" s="33">
        <v>6</v>
      </c>
      <c r="B9" s="83" t="s">
        <v>1317</v>
      </c>
      <c r="C9" s="51">
        <v>2546.16</v>
      </c>
      <c r="D9" s="43">
        <v>258.32600000000002</v>
      </c>
      <c r="E9" s="43">
        <v>423.57400000000001</v>
      </c>
      <c r="F9" s="43">
        <v>1101.4740999999999</v>
      </c>
      <c r="G9" s="43">
        <v>1283.396</v>
      </c>
      <c r="H9" s="34" t="s">
        <v>89</v>
      </c>
      <c r="I9" s="34" t="s">
        <v>89</v>
      </c>
      <c r="J9" s="34" t="s">
        <v>89</v>
      </c>
      <c r="K9" s="43">
        <v>602375101.33352005</v>
      </c>
      <c r="L9" s="43">
        <v>2546.16</v>
      </c>
      <c r="M9" s="43">
        <v>602375101.33352005</v>
      </c>
      <c r="N9" s="46" t="s">
        <v>89</v>
      </c>
      <c r="O9" s="34"/>
      <c r="P9" s="35"/>
    </row>
    <row r="10" spans="1:16" ht="15" customHeight="1" x14ac:dyDescent="0.25">
      <c r="A10" s="33">
        <v>7</v>
      </c>
      <c r="B10" s="83" t="s">
        <v>1342</v>
      </c>
      <c r="C10" s="51">
        <v>-2546.16</v>
      </c>
      <c r="D10" s="43">
        <v>58.326000000000001</v>
      </c>
      <c r="E10" s="43">
        <v>423.57400000000001</v>
      </c>
      <c r="F10" s="43">
        <v>1101.4740999999999</v>
      </c>
      <c r="G10" s="43">
        <v>1283.396</v>
      </c>
      <c r="H10" s="34" t="s">
        <v>89</v>
      </c>
      <c r="I10" s="34" t="s">
        <v>89</v>
      </c>
      <c r="J10" s="34" t="s">
        <v>89</v>
      </c>
      <c r="K10" s="43">
        <v>595582959.01479995</v>
      </c>
      <c r="L10" s="43">
        <v>-2546.16</v>
      </c>
      <c r="M10" s="43">
        <v>595582959.01479995</v>
      </c>
      <c r="N10" s="46" t="s">
        <v>89</v>
      </c>
      <c r="O10" s="34"/>
      <c r="P10" s="35"/>
    </row>
    <row r="11" spans="1:16" ht="15" customHeight="1" x14ac:dyDescent="0.25">
      <c r="A11" s="33">
        <v>8</v>
      </c>
      <c r="B11" s="43" t="s">
        <v>1318</v>
      </c>
      <c r="C11" s="43">
        <v>252.321</v>
      </c>
      <c r="D11" s="51">
        <v>-2147483648</v>
      </c>
      <c r="E11" s="43">
        <v>724.32119999999998</v>
      </c>
      <c r="F11" s="43">
        <v>1152.3124</v>
      </c>
      <c r="G11" s="43">
        <v>6845.5213000000003</v>
      </c>
      <c r="H11" s="34" t="s">
        <v>89</v>
      </c>
      <c r="I11" s="34" t="s">
        <v>89</v>
      </c>
      <c r="J11" s="34" t="s">
        <v>89</v>
      </c>
      <c r="K11" s="43">
        <v>-14694929751181</v>
      </c>
      <c r="L11" s="43">
        <v>252.321</v>
      </c>
      <c r="M11" s="43">
        <v>-14694929751181</v>
      </c>
      <c r="N11" s="46" t="s">
        <v>89</v>
      </c>
      <c r="O11" s="34"/>
      <c r="P11" s="35"/>
    </row>
    <row r="12" spans="1:16" ht="15" customHeight="1" x14ac:dyDescent="0.25">
      <c r="A12" s="33">
        <v>9</v>
      </c>
      <c r="B12" s="43" t="s">
        <v>1319</v>
      </c>
      <c r="C12" s="43">
        <v>356.62310000000002</v>
      </c>
      <c r="D12" s="51">
        <v>2147483647</v>
      </c>
      <c r="E12" s="43">
        <v>1024.547</v>
      </c>
      <c r="F12" s="43">
        <v>5000.3209999999999</v>
      </c>
      <c r="G12" s="43">
        <v>12407.3614</v>
      </c>
      <c r="H12" s="34" t="s">
        <v>89</v>
      </c>
      <c r="I12" s="34" t="s">
        <v>89</v>
      </c>
      <c r="J12" s="34" t="s">
        <v>89</v>
      </c>
      <c r="K12" s="43">
        <v>26708173838700</v>
      </c>
      <c r="L12" s="43">
        <v>356.62310000000002</v>
      </c>
      <c r="M12" s="43">
        <v>26708173838700</v>
      </c>
      <c r="N12" s="46" t="s">
        <v>89</v>
      </c>
      <c r="O12" s="34"/>
      <c r="P12" s="35"/>
    </row>
    <row r="13" spans="1:16" ht="15" customHeight="1" x14ac:dyDescent="0.25">
      <c r="A13" s="33">
        <v>10</v>
      </c>
      <c r="B13" s="43" t="s">
        <v>1343</v>
      </c>
      <c r="C13" s="43">
        <v>52.365200000000002</v>
      </c>
      <c r="D13" s="51">
        <v>0</v>
      </c>
      <c r="E13" s="43">
        <v>-86.314999999999998</v>
      </c>
      <c r="F13" s="43">
        <v>546.39869999999996</v>
      </c>
      <c r="G13" s="43">
        <v>-785.63199999999995</v>
      </c>
      <c r="H13" s="34" t="s">
        <v>89</v>
      </c>
      <c r="I13" s="34" t="s">
        <v>89</v>
      </c>
      <c r="J13" s="34" t="s">
        <v>89</v>
      </c>
      <c r="K13" s="43">
        <v>37011153.8379317</v>
      </c>
      <c r="L13" s="43">
        <v>52.365200000000002</v>
      </c>
      <c r="M13" s="43">
        <v>37011153.8379317</v>
      </c>
      <c r="N13" s="46" t="s">
        <v>89</v>
      </c>
      <c r="O13" s="34"/>
      <c r="P13" s="35"/>
    </row>
    <row r="14" spans="1:16" ht="15" customHeight="1" x14ac:dyDescent="0.25">
      <c r="A14" s="33">
        <v>11</v>
      </c>
      <c r="B14" s="43" t="s">
        <v>1320</v>
      </c>
      <c r="C14" s="43">
        <v>11423.231400000001</v>
      </c>
      <c r="D14" s="51">
        <v>3582.42</v>
      </c>
      <c r="E14" s="43">
        <v>1325.123</v>
      </c>
      <c r="F14" s="43">
        <v>1253.223</v>
      </c>
      <c r="G14" s="43">
        <v>17969.741099999999</v>
      </c>
      <c r="H14" s="34" t="s">
        <v>89</v>
      </c>
      <c r="I14" s="34" t="s">
        <v>89</v>
      </c>
      <c r="J14" s="34" t="s">
        <v>89</v>
      </c>
      <c r="K14" s="43">
        <v>30111540669.114498</v>
      </c>
      <c r="L14" s="43">
        <v>11423.231400000001</v>
      </c>
      <c r="M14" s="43">
        <v>30111540669.114498</v>
      </c>
      <c r="N14" s="46" t="s">
        <v>89</v>
      </c>
      <c r="O14" s="34"/>
      <c r="P14" s="35"/>
    </row>
    <row r="15" spans="1:16" ht="15" customHeight="1" x14ac:dyDescent="0.25">
      <c r="A15" s="33">
        <v>12</v>
      </c>
      <c r="B15" s="43" t="s">
        <v>1344</v>
      </c>
      <c r="C15" s="43">
        <v>11423.231400000001</v>
      </c>
      <c r="D15" s="51">
        <v>-3582.42</v>
      </c>
      <c r="E15" s="43">
        <v>1325.123</v>
      </c>
      <c r="F15" s="43">
        <v>1253.223</v>
      </c>
      <c r="G15" s="43">
        <v>17969.741099999999</v>
      </c>
      <c r="H15" s="34" t="s">
        <v>89</v>
      </c>
      <c r="I15" s="34" t="s">
        <v>89</v>
      </c>
      <c r="J15" s="34" t="s">
        <v>89</v>
      </c>
      <c r="K15" s="43">
        <v>29982790349.291599</v>
      </c>
      <c r="L15" s="43">
        <v>11423.231400000001</v>
      </c>
      <c r="M15" s="43">
        <v>29982790349.291599</v>
      </c>
      <c r="N15" s="46" t="s">
        <v>89</v>
      </c>
      <c r="O15" s="34"/>
      <c r="P15" s="35"/>
    </row>
    <row r="16" spans="1:16" ht="15" customHeight="1" x14ac:dyDescent="0.25">
      <c r="A16" s="33">
        <v>13</v>
      </c>
      <c r="B16" s="43" t="s">
        <v>1321</v>
      </c>
      <c r="C16" s="43">
        <v>286.32100000000003</v>
      </c>
      <c r="D16" s="43">
        <v>12.5236</v>
      </c>
      <c r="E16" s="51">
        <v>-2147483648</v>
      </c>
      <c r="F16" s="43">
        <v>1303.8235999999999</v>
      </c>
      <c r="G16" s="43">
        <v>23531.321199999998</v>
      </c>
      <c r="H16" s="34" t="s">
        <v>89</v>
      </c>
      <c r="I16" s="34" t="s">
        <v>89</v>
      </c>
      <c r="J16" s="34" t="s">
        <v>89</v>
      </c>
      <c r="K16" s="43">
        <v>-6.58862841999358E+16</v>
      </c>
      <c r="L16" s="43">
        <v>286.32100000000003</v>
      </c>
      <c r="M16" s="43">
        <v>-6.58862841999358E+16</v>
      </c>
      <c r="N16" s="46" t="s">
        <v>89</v>
      </c>
      <c r="O16" s="34"/>
      <c r="P16" s="35"/>
    </row>
    <row r="17" spans="1:16" ht="15" customHeight="1" x14ac:dyDescent="0.25">
      <c r="A17" s="33">
        <v>14</v>
      </c>
      <c r="B17" s="43" t="s">
        <v>1322</v>
      </c>
      <c r="C17" s="43">
        <v>1123.3652</v>
      </c>
      <c r="D17" s="43">
        <v>102.8236</v>
      </c>
      <c r="E17" s="51">
        <v>2147483647</v>
      </c>
      <c r="F17" s="43">
        <v>1354.423</v>
      </c>
      <c r="G17" s="43">
        <v>29093.447199999999</v>
      </c>
      <c r="H17" s="34" t="s">
        <v>89</v>
      </c>
      <c r="I17" s="34" t="s">
        <v>89</v>
      </c>
      <c r="J17" s="34" t="s">
        <v>89</v>
      </c>
      <c r="K17" s="43">
        <v>8.4621236742806704E+16</v>
      </c>
      <c r="L17" s="43">
        <v>1123.3652</v>
      </c>
      <c r="M17" s="43">
        <v>8.4621236742806704E+16</v>
      </c>
      <c r="N17" s="46" t="s">
        <v>89</v>
      </c>
      <c r="O17" s="34"/>
      <c r="P17" s="35"/>
    </row>
    <row r="18" spans="1:16" ht="15" customHeight="1" x14ac:dyDescent="0.25">
      <c r="A18" s="33">
        <v>15</v>
      </c>
      <c r="B18" s="43" t="s">
        <v>1345</v>
      </c>
      <c r="C18" s="43">
        <v>563.23099999999999</v>
      </c>
      <c r="D18" s="43">
        <v>-5657.5141999999996</v>
      </c>
      <c r="E18" s="51">
        <v>0</v>
      </c>
      <c r="F18" s="43">
        <v>-73.361999999999995</v>
      </c>
      <c r="G18" s="43">
        <v>-89.653999999999996</v>
      </c>
      <c r="H18" s="34" t="s">
        <v>89</v>
      </c>
      <c r="I18" s="34" t="s">
        <v>89</v>
      </c>
      <c r="J18" s="34" t="s">
        <v>89</v>
      </c>
      <c r="K18" s="43">
        <v>456722.86601280002</v>
      </c>
      <c r="L18" s="43">
        <v>563.23099999999999</v>
      </c>
      <c r="M18" s="43">
        <v>456722.86601280002</v>
      </c>
      <c r="N18" s="46" t="s">
        <v>89</v>
      </c>
      <c r="O18" s="34"/>
      <c r="P18" s="35"/>
    </row>
    <row r="19" spans="1:16" ht="15" customHeight="1" x14ac:dyDescent="0.25">
      <c r="A19" s="33">
        <v>16</v>
      </c>
      <c r="B19" s="43" t="s">
        <v>1323</v>
      </c>
      <c r="C19" s="43">
        <v>968.31449999999995</v>
      </c>
      <c r="D19" s="43">
        <v>-93.112300000000005</v>
      </c>
      <c r="E19" s="51">
        <v>525.83000000000004</v>
      </c>
      <c r="F19" s="43">
        <v>1405.1242</v>
      </c>
      <c r="G19" s="43">
        <v>34655.325199999999</v>
      </c>
      <c r="H19" s="34" t="s">
        <v>89</v>
      </c>
      <c r="I19" s="34" t="s">
        <v>89</v>
      </c>
      <c r="J19" s="34" t="s">
        <v>89</v>
      </c>
      <c r="K19" s="43">
        <v>25635641247.9473</v>
      </c>
      <c r="L19" s="43">
        <v>968.31449999999995</v>
      </c>
      <c r="M19" s="43">
        <v>25635641247.9473</v>
      </c>
      <c r="N19" s="46" t="s">
        <v>89</v>
      </c>
      <c r="O19" s="34"/>
      <c r="P19" s="35"/>
    </row>
    <row r="20" spans="1:16" ht="15" customHeight="1" x14ac:dyDescent="0.25">
      <c r="A20" s="33">
        <v>17</v>
      </c>
      <c r="B20" s="43" t="s">
        <v>1346</v>
      </c>
      <c r="C20" s="43">
        <v>968.31449999999995</v>
      </c>
      <c r="D20" s="43">
        <v>193.1123</v>
      </c>
      <c r="E20" s="51">
        <v>-1525.83</v>
      </c>
      <c r="F20" s="43">
        <v>1405.1242</v>
      </c>
      <c r="G20" s="43">
        <v>34655.325199999999</v>
      </c>
      <c r="H20" s="34" t="s">
        <v>89</v>
      </c>
      <c r="I20" s="34" t="s">
        <v>89</v>
      </c>
      <c r="J20" s="34" t="s">
        <v>89</v>
      </c>
      <c r="K20" s="43">
        <v>-74260097305.030304</v>
      </c>
      <c r="L20" s="43">
        <v>968.31449999999995</v>
      </c>
      <c r="M20" s="43">
        <v>-74260097305.030304</v>
      </c>
      <c r="N20" s="46" t="s">
        <v>89</v>
      </c>
      <c r="O20" s="34"/>
      <c r="P20" s="35"/>
    </row>
    <row r="21" spans="1:16" ht="15" customHeight="1" x14ac:dyDescent="0.25">
      <c r="A21" s="33">
        <v>18</v>
      </c>
      <c r="B21" s="43" t="s">
        <v>1324</v>
      </c>
      <c r="C21" s="43">
        <v>12.3512</v>
      </c>
      <c r="D21" s="43">
        <v>283.42360000000002</v>
      </c>
      <c r="E21" s="43">
        <v>2.423</v>
      </c>
      <c r="F21" s="51">
        <v>-2147483648</v>
      </c>
      <c r="G21" s="43">
        <v>40217.287400000001</v>
      </c>
      <c r="H21" s="34" t="s">
        <v>89</v>
      </c>
      <c r="I21" s="34" t="s">
        <v>89</v>
      </c>
      <c r="J21" s="34" t="s">
        <v>89</v>
      </c>
      <c r="K21" s="43">
        <v>-209264726287283</v>
      </c>
      <c r="L21" s="43">
        <v>12.3512</v>
      </c>
      <c r="M21" s="43">
        <v>-209264726287283</v>
      </c>
      <c r="N21" s="46" t="s">
        <v>89</v>
      </c>
      <c r="O21" s="34"/>
      <c r="P21" s="35"/>
    </row>
    <row r="22" spans="1:16" ht="15" customHeight="1" x14ac:dyDescent="0.25">
      <c r="A22" s="33">
        <v>19</v>
      </c>
      <c r="B22" s="43" t="s">
        <v>1325</v>
      </c>
      <c r="C22" s="43">
        <v>-88.912450000000007</v>
      </c>
      <c r="D22" s="43">
        <v>373.72309999999999</v>
      </c>
      <c r="E22" s="43">
        <v>56.7744</v>
      </c>
      <c r="F22" s="51">
        <v>2147483647</v>
      </c>
      <c r="G22" s="43">
        <v>45779.321100000001</v>
      </c>
      <c r="H22" s="34" t="s">
        <v>89</v>
      </c>
      <c r="I22" s="34" t="s">
        <v>89</v>
      </c>
      <c r="J22" s="34" t="s">
        <v>89</v>
      </c>
      <c r="K22" s="43">
        <v>5581510775241640</v>
      </c>
      <c r="L22" s="43">
        <v>-88.912450000000007</v>
      </c>
      <c r="M22" s="43">
        <v>5581510775241640</v>
      </c>
      <c r="N22" s="46" t="s">
        <v>89</v>
      </c>
      <c r="O22" s="34"/>
      <c r="P22" s="35"/>
    </row>
    <row r="23" spans="1:16" ht="15" customHeight="1" x14ac:dyDescent="0.25">
      <c r="A23" s="33">
        <v>20</v>
      </c>
      <c r="B23" s="43" t="s">
        <v>1347</v>
      </c>
      <c r="C23" s="43">
        <v>-12.362</v>
      </c>
      <c r="D23" s="43">
        <v>-78.959999999999994</v>
      </c>
      <c r="E23" s="43">
        <v>56.122999999999998</v>
      </c>
      <c r="F23" s="51">
        <v>0</v>
      </c>
      <c r="G23" s="43">
        <v>-741.23649999999998</v>
      </c>
      <c r="H23" s="34" t="s">
        <v>89</v>
      </c>
      <c r="I23" s="34" t="s">
        <v>89</v>
      </c>
      <c r="J23" s="34" t="s">
        <v>89</v>
      </c>
      <c r="K23" s="43">
        <v>67691.199653000003</v>
      </c>
      <c r="L23" s="43">
        <v>-12.362</v>
      </c>
      <c r="M23" s="43">
        <v>67691.199653000003</v>
      </c>
      <c r="N23" s="46" t="s">
        <v>89</v>
      </c>
      <c r="O23" s="34"/>
      <c r="P23" s="35"/>
    </row>
    <row r="24" spans="1:16" ht="15" customHeight="1" x14ac:dyDescent="0.25">
      <c r="A24" s="33">
        <v>21</v>
      </c>
      <c r="B24" s="43" t="s">
        <v>1326</v>
      </c>
      <c r="C24" s="43">
        <v>753.74559999999997</v>
      </c>
      <c r="D24" s="43">
        <v>464.32100000000003</v>
      </c>
      <c r="E24" s="43">
        <v>111.3214</v>
      </c>
      <c r="F24" s="51">
        <v>990.09</v>
      </c>
      <c r="G24" s="43">
        <v>51341.162300000004</v>
      </c>
      <c r="H24" s="34" t="s">
        <v>89</v>
      </c>
      <c r="I24" s="34" t="s">
        <v>89</v>
      </c>
      <c r="J24" s="34" t="s">
        <v>89</v>
      </c>
      <c r="K24" s="43">
        <v>5721267702.5232401</v>
      </c>
      <c r="L24" s="43">
        <v>753.74559999999997</v>
      </c>
      <c r="M24" s="43">
        <v>5721267702.5232401</v>
      </c>
      <c r="N24" s="46" t="s">
        <v>89</v>
      </c>
      <c r="O24" s="34"/>
      <c r="P24" s="35"/>
    </row>
    <row r="25" spans="1:16" ht="15" customHeight="1" x14ac:dyDescent="0.25">
      <c r="A25" s="33">
        <v>22</v>
      </c>
      <c r="B25" s="43" t="s">
        <v>1348</v>
      </c>
      <c r="C25" s="43">
        <v>753.74559999999997</v>
      </c>
      <c r="D25" s="43">
        <v>464.32100000000003</v>
      </c>
      <c r="E25" s="43">
        <v>111.3214</v>
      </c>
      <c r="F25" s="51">
        <v>-89.65</v>
      </c>
      <c r="G25" s="43">
        <v>51341.162300000004</v>
      </c>
      <c r="H25" s="34" t="s">
        <v>89</v>
      </c>
      <c r="I25" s="34" t="s">
        <v>89</v>
      </c>
      <c r="J25" s="34" t="s">
        <v>89</v>
      </c>
      <c r="K25" s="43">
        <v>-449845971.31217903</v>
      </c>
      <c r="L25" s="43">
        <v>753.74559999999997</v>
      </c>
      <c r="M25" s="43">
        <v>-449845971.31217903</v>
      </c>
      <c r="N25" s="46" t="s">
        <v>89</v>
      </c>
      <c r="O25" s="34"/>
      <c r="P25" s="35"/>
    </row>
    <row r="26" spans="1:16" ht="15" customHeight="1" x14ac:dyDescent="0.25">
      <c r="A26" s="33">
        <v>23</v>
      </c>
      <c r="B26" s="43" t="s">
        <v>1327</v>
      </c>
      <c r="C26" s="43">
        <v>186.52359999999999</v>
      </c>
      <c r="D26" s="43">
        <v>554.33000000000004</v>
      </c>
      <c r="E26" s="43">
        <v>165.35740000000001</v>
      </c>
      <c r="F26" s="43">
        <v>86.632000000000005</v>
      </c>
      <c r="G26" s="51">
        <v>-2147483648</v>
      </c>
      <c r="H26" s="34" t="s">
        <v>89</v>
      </c>
      <c r="I26" s="34" t="s">
        <v>89</v>
      </c>
      <c r="J26" s="34" t="s">
        <v>89</v>
      </c>
      <c r="K26" s="43">
        <v>-32354194534628.199</v>
      </c>
      <c r="L26" s="43">
        <v>186.52359999999999</v>
      </c>
      <c r="M26" s="43">
        <v>-32354194534628.199</v>
      </c>
      <c r="N26" s="46" t="s">
        <v>89</v>
      </c>
      <c r="O26" s="34"/>
      <c r="P26" s="35"/>
    </row>
    <row r="27" spans="1:16" ht="15" customHeight="1" x14ac:dyDescent="0.25">
      <c r="A27" s="33">
        <v>24</v>
      </c>
      <c r="B27" s="43" t="s">
        <v>1328</v>
      </c>
      <c r="C27" s="43">
        <v>32.556399999999996</v>
      </c>
      <c r="D27" s="43">
        <v>644.63210000000004</v>
      </c>
      <c r="E27" s="43">
        <v>219.65469999999999</v>
      </c>
      <c r="F27" s="43">
        <v>3.3220000000000001</v>
      </c>
      <c r="G27" s="51">
        <v>2147483647</v>
      </c>
      <c r="H27" s="34" t="s">
        <v>89</v>
      </c>
      <c r="I27" s="34" t="s">
        <v>89</v>
      </c>
      <c r="J27" s="34" t="s">
        <v>89</v>
      </c>
      <c r="K27" s="43">
        <v>3021254828544.75</v>
      </c>
      <c r="L27" s="43">
        <v>32.556399999999996</v>
      </c>
      <c r="M27" s="43">
        <v>3021254828544.75</v>
      </c>
      <c r="N27" s="46" t="s">
        <v>89</v>
      </c>
      <c r="O27" s="34"/>
      <c r="P27" s="35"/>
    </row>
    <row r="28" spans="1:16" ht="15" customHeight="1" x14ac:dyDescent="0.25">
      <c r="A28" s="33">
        <v>25</v>
      </c>
      <c r="B28" s="43" t="s">
        <v>1349</v>
      </c>
      <c r="C28" s="43">
        <v>-89.632000000000005</v>
      </c>
      <c r="D28" s="43">
        <v>-78.959999999999994</v>
      </c>
      <c r="E28" s="43">
        <v>-89.471199999999996</v>
      </c>
      <c r="F28" s="43">
        <v>-78.959999999999994</v>
      </c>
      <c r="G28" s="51">
        <v>0</v>
      </c>
      <c r="H28" s="34" t="s">
        <v>89</v>
      </c>
      <c r="I28" s="34" t="s">
        <v>89</v>
      </c>
      <c r="J28" s="34" t="s">
        <v>89</v>
      </c>
      <c r="K28" s="43">
        <v>0</v>
      </c>
      <c r="L28" s="43">
        <v>-89.632000000000005</v>
      </c>
      <c r="M28" s="43">
        <v>0</v>
      </c>
      <c r="N28" s="46" t="s">
        <v>89</v>
      </c>
      <c r="O28" s="34"/>
      <c r="P28" s="35"/>
    </row>
    <row r="29" spans="1:16" ht="15" customHeight="1" x14ac:dyDescent="0.25">
      <c r="A29" s="33">
        <v>26</v>
      </c>
      <c r="B29" s="43" t="s">
        <v>1329</v>
      </c>
      <c r="C29" s="43">
        <v>236.35</v>
      </c>
      <c r="D29" s="43">
        <v>99999.320999999996</v>
      </c>
      <c r="E29" s="43">
        <v>1000.321</v>
      </c>
      <c r="F29" s="43">
        <v>78.451400000000007</v>
      </c>
      <c r="G29" s="51">
        <v>10250.07</v>
      </c>
      <c r="H29" s="34" t="s">
        <v>89</v>
      </c>
      <c r="I29" s="34" t="s">
        <v>89</v>
      </c>
      <c r="J29" s="34" t="s">
        <v>89</v>
      </c>
      <c r="K29" s="43">
        <v>1831813112.3266201</v>
      </c>
      <c r="L29" s="43">
        <v>236.35</v>
      </c>
      <c r="M29" s="43">
        <v>1831813112.3266201</v>
      </c>
      <c r="N29" s="46" t="s">
        <v>89</v>
      </c>
      <c r="O29" s="34"/>
      <c r="P29" s="35"/>
    </row>
    <row r="30" spans="1:16" ht="15.75" thickBot="1" x14ac:dyDescent="0.3">
      <c r="A30" s="36">
        <v>27</v>
      </c>
      <c r="B30" s="44" t="s">
        <v>1350</v>
      </c>
      <c r="C30" s="44">
        <v>-78.959999999999994</v>
      </c>
      <c r="D30" s="44">
        <v>125.63</v>
      </c>
      <c r="E30" s="44">
        <v>86.741</v>
      </c>
      <c r="F30" s="44">
        <v>78.451400000000007</v>
      </c>
      <c r="G30" s="55">
        <v>-20.07</v>
      </c>
      <c r="H30" s="37" t="s">
        <v>89</v>
      </c>
      <c r="I30" s="37" t="s">
        <v>89</v>
      </c>
      <c r="J30" s="37" t="s">
        <v>89</v>
      </c>
      <c r="K30" s="44">
        <v>-137512.071350118</v>
      </c>
      <c r="L30" s="44">
        <v>-78.959999999999994</v>
      </c>
      <c r="M30" s="44">
        <v>-137512.071350118</v>
      </c>
      <c r="N30" s="47" t="s">
        <v>89</v>
      </c>
      <c r="O30" s="37"/>
      <c r="P30" s="38"/>
    </row>
    <row r="31" spans="1:16" x14ac:dyDescent="0.25">
      <c r="A31" s="39"/>
      <c r="B31" s="39"/>
      <c r="C31" s="39"/>
      <c r="D31" s="39"/>
      <c r="E31" s="39"/>
      <c r="F31" s="39"/>
      <c r="G31" s="39"/>
      <c r="H31" s="39"/>
      <c r="I31" s="39"/>
      <c r="J31" s="39"/>
      <c r="K31" s="39"/>
      <c r="L31" s="39"/>
      <c r="M31" s="39"/>
      <c r="N31" s="39"/>
      <c r="O31" s="39"/>
      <c r="P31" s="39"/>
    </row>
    <row r="32" spans="1:16" x14ac:dyDescent="0.25">
      <c r="A32" s="39"/>
      <c r="B32" s="39"/>
      <c r="C32" s="39"/>
      <c r="D32" s="39"/>
      <c r="E32" s="39"/>
      <c r="F32" s="39"/>
      <c r="G32" s="39"/>
      <c r="H32" s="39"/>
      <c r="I32" s="39"/>
      <c r="J32" s="39"/>
      <c r="K32" s="39"/>
      <c r="L32" s="39"/>
      <c r="M32" s="39"/>
      <c r="N32" s="39"/>
      <c r="O32" s="39"/>
      <c r="P32" s="39"/>
    </row>
    <row r="33" spans="1:16" x14ac:dyDescent="0.25">
      <c r="A33" s="39"/>
      <c r="B33" s="39"/>
      <c r="C33" s="39"/>
      <c r="D33" s="39"/>
      <c r="E33" s="39"/>
      <c r="F33" s="39"/>
      <c r="G33" s="39"/>
      <c r="H33" s="39"/>
      <c r="I33" s="39"/>
      <c r="J33" s="39"/>
      <c r="K33" s="39"/>
      <c r="L33" s="39"/>
      <c r="M33" s="39"/>
      <c r="N33" s="39"/>
      <c r="O33" s="39"/>
      <c r="P33" s="39"/>
    </row>
    <row r="34" spans="1:16" x14ac:dyDescent="0.25">
      <c r="A34" s="39"/>
      <c r="B34" s="39"/>
      <c r="C34" s="39"/>
      <c r="D34" s="39"/>
      <c r="E34" s="39"/>
      <c r="F34" s="39"/>
      <c r="G34" s="39"/>
      <c r="H34" s="39"/>
      <c r="I34" s="39"/>
      <c r="J34" s="39"/>
      <c r="K34" s="39"/>
      <c r="L34" s="39"/>
      <c r="M34" s="39"/>
      <c r="N34" s="39"/>
      <c r="O34" s="39"/>
      <c r="P34" s="39"/>
    </row>
    <row r="35" spans="1:16" x14ac:dyDescent="0.25">
      <c r="A35" s="39"/>
      <c r="B35" s="39"/>
      <c r="C35" s="39"/>
      <c r="D35" s="39"/>
      <c r="E35" s="39"/>
      <c r="F35" s="39"/>
      <c r="G35" s="39"/>
      <c r="H35" s="39"/>
      <c r="I35" s="39"/>
      <c r="J35" s="39"/>
      <c r="K35" s="39"/>
      <c r="L35" s="39"/>
      <c r="M35" s="39"/>
      <c r="N35" s="39"/>
      <c r="O35" s="39"/>
      <c r="P35" s="39"/>
    </row>
    <row r="36" spans="1:16" x14ac:dyDescent="0.25">
      <c r="A36" s="39"/>
      <c r="B36" s="39"/>
      <c r="C36" s="39"/>
      <c r="D36" s="39"/>
      <c r="E36" s="39"/>
      <c r="F36" s="39"/>
      <c r="G36" s="39"/>
      <c r="H36" s="39"/>
      <c r="I36" s="39"/>
      <c r="J36" s="39"/>
      <c r="K36" s="39"/>
      <c r="L36" s="39"/>
      <c r="M36" s="39"/>
      <c r="N36" s="39"/>
      <c r="O36" s="39"/>
      <c r="P36" s="39"/>
    </row>
    <row r="37" spans="1:16" x14ac:dyDescent="0.25">
      <c r="A37" s="39"/>
      <c r="B37" s="39"/>
      <c r="C37" s="39"/>
      <c r="D37" s="39"/>
      <c r="E37" s="39"/>
      <c r="F37" s="39"/>
      <c r="G37" s="39"/>
      <c r="H37" s="39"/>
      <c r="I37" s="39"/>
      <c r="J37" s="39"/>
      <c r="K37" s="39"/>
      <c r="L37" s="39"/>
      <c r="M37" s="39"/>
      <c r="N37" s="39"/>
      <c r="O37" s="39"/>
      <c r="P37" s="39"/>
    </row>
    <row r="38" spans="1:16" x14ac:dyDescent="0.25">
      <c r="A38" s="39"/>
      <c r="B38" s="39"/>
      <c r="C38" s="39"/>
      <c r="D38" s="39"/>
      <c r="E38" s="39"/>
      <c r="F38" s="39"/>
      <c r="G38" s="39"/>
      <c r="H38" s="39"/>
      <c r="I38" s="39"/>
      <c r="J38" s="39"/>
      <c r="K38" s="39"/>
      <c r="L38" s="39"/>
      <c r="M38" s="39"/>
      <c r="N38" s="39"/>
      <c r="O38" s="39"/>
      <c r="P38" s="39"/>
    </row>
    <row r="39" spans="1:16" x14ac:dyDescent="0.25">
      <c r="A39" s="39"/>
      <c r="B39" s="39"/>
      <c r="C39" s="39"/>
      <c r="D39" s="39"/>
      <c r="E39" s="39"/>
      <c r="F39" s="39"/>
      <c r="G39" s="39"/>
      <c r="H39" s="39"/>
      <c r="I39" s="39"/>
      <c r="J39" s="39"/>
      <c r="K39" s="39"/>
      <c r="L39" s="39"/>
      <c r="M39" s="39"/>
      <c r="N39" s="39"/>
      <c r="O39" s="39"/>
      <c r="P39" s="39"/>
    </row>
    <row r="40" spans="1:16" x14ac:dyDescent="0.25">
      <c r="A40" s="39"/>
      <c r="B40" s="39"/>
      <c r="C40" s="39"/>
      <c r="D40" s="39"/>
      <c r="E40" s="39"/>
      <c r="F40" s="39"/>
      <c r="G40" s="39"/>
      <c r="H40" s="39"/>
      <c r="I40" s="39"/>
      <c r="J40" s="39"/>
      <c r="K40" s="39"/>
      <c r="L40" s="39"/>
      <c r="M40" s="39"/>
      <c r="N40" s="39"/>
      <c r="O40" s="39"/>
      <c r="P40" s="39"/>
    </row>
  </sheetData>
  <sheetProtection sheet="1" objects="1" scenarios="1"/>
  <mergeCells count="2">
    <mergeCell ref="A1:B1"/>
    <mergeCell ref="A2:B2"/>
  </mergeCells>
  <hyperlinks>
    <hyperlink ref="A1" location="'CalLowPassFiltBilinearOut'!A1" display="'CalLowPassFiltBilinearOu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v>0</v>
      </c>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20"/>
      <c r="D15" s="221" t="s">
        <v>45</v>
      </c>
      <c r="E15" s="222"/>
      <c r="F15" s="186" t="s">
        <v>46</v>
      </c>
    </row>
    <row r="16" spans="1:6" x14ac:dyDescent="0.25">
      <c r="A16" s="189" t="s">
        <v>47</v>
      </c>
      <c r="B16" s="190" t="s">
        <v>48</v>
      </c>
      <c r="C16" s="191" t="s">
        <v>49</v>
      </c>
      <c r="D16" s="193" t="s">
        <v>50</v>
      </c>
      <c r="E16" s="192" t="s">
        <v>51</v>
      </c>
      <c r="F16" s="13" t="s">
        <v>47</v>
      </c>
    </row>
    <row r="17" spans="1:6" x14ac:dyDescent="0.25">
      <c r="A17" s="24" t="s">
        <v>1491</v>
      </c>
      <c r="B17" s="14" t="s">
        <v>61</v>
      </c>
      <c r="C17" s="15">
        <v>2</v>
      </c>
      <c r="D17" s="16" t="s">
        <v>125</v>
      </c>
      <c r="E17" s="17" t="s">
        <v>125</v>
      </c>
      <c r="F17" s="18"/>
    </row>
    <row r="18" spans="1:6" x14ac:dyDescent="0.25">
      <c r="A18" s="24" t="s">
        <v>1491</v>
      </c>
      <c r="B18" s="14" t="s">
        <v>2064</v>
      </c>
      <c r="C18" s="15">
        <v>28</v>
      </c>
      <c r="D18" s="16" t="s">
        <v>133</v>
      </c>
      <c r="E18" s="17" t="s">
        <v>127</v>
      </c>
      <c r="F18" s="18"/>
    </row>
    <row r="19" spans="1:6" x14ac:dyDescent="0.25">
      <c r="A19" s="24" t="s">
        <v>1491</v>
      </c>
      <c r="B19" s="14" t="s">
        <v>106</v>
      </c>
      <c r="C19" s="15">
        <v>9</v>
      </c>
      <c r="D19" s="16" t="s">
        <v>134</v>
      </c>
      <c r="E19" s="17" t="s">
        <v>2041</v>
      </c>
      <c r="F19" s="18"/>
    </row>
    <row r="20" spans="1:6" x14ac:dyDescent="0.25">
      <c r="A20" s="14"/>
      <c r="B20" s="14"/>
      <c r="C20" s="15"/>
      <c r="D20" s="16" t="s">
        <v>127</v>
      </c>
      <c r="E20" s="17"/>
      <c r="F20" s="18"/>
    </row>
    <row r="21" spans="1:6" x14ac:dyDescent="0.25">
      <c r="A21" s="14"/>
      <c r="B21" s="14"/>
      <c r="C21" s="15"/>
      <c r="D21" s="16" t="s">
        <v>2044</v>
      </c>
      <c r="E21" s="17"/>
      <c r="F21" s="18"/>
    </row>
    <row r="22" spans="1:6" x14ac:dyDescent="0.25">
      <c r="A22" s="14"/>
      <c r="B22" s="14"/>
      <c r="C22" s="15"/>
      <c r="D22" s="16" t="s">
        <v>2041</v>
      </c>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58"/>
      <c r="E318" s="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56"/>
      <c r="B918" s="56"/>
      <c r="C918" s="57"/>
      <c r="D918" s="58"/>
      <c r="E918" s="59"/>
      <c r="F918" s="60"/>
    </row>
    <row r="919" spans="1:6" x14ac:dyDescent="0.25">
      <c r="A919" s="56"/>
      <c r="B919" s="56"/>
      <c r="C919" s="57"/>
      <c r="D919" s="58"/>
      <c r="E919" s="59"/>
      <c r="F919" s="60"/>
    </row>
    <row r="920" spans="1:6" x14ac:dyDescent="0.25">
      <c r="A920" s="56"/>
      <c r="B920" s="56"/>
      <c r="C920" s="57"/>
      <c r="D920" s="58"/>
      <c r="E920" s="59"/>
      <c r="F920" s="60"/>
    </row>
    <row r="921" spans="1:6" x14ac:dyDescent="0.25">
      <c r="A921" s="56"/>
      <c r="B921" s="56"/>
      <c r="C921" s="57"/>
      <c r="D921" s="58"/>
      <c r="E921" s="59"/>
      <c r="F921" s="60"/>
    </row>
    <row r="922" spans="1:6" x14ac:dyDescent="0.25">
      <c r="A922" s="56"/>
      <c r="B922" s="56"/>
      <c r="C922" s="57"/>
      <c r="D922" s="58"/>
      <c r="E922" s="59"/>
      <c r="F922" s="60"/>
    </row>
    <row r="923" spans="1:6" x14ac:dyDescent="0.25">
      <c r="A923" s="56"/>
      <c r="B923" s="56"/>
      <c r="C923" s="57"/>
      <c r="D923" s="58"/>
      <c r="E923" s="59"/>
      <c r="F923" s="60"/>
    </row>
    <row r="924" spans="1:6" x14ac:dyDescent="0.25">
      <c r="A924" s="56"/>
      <c r="B924" s="56"/>
      <c r="C924" s="57"/>
      <c r="D924" s="58"/>
      <c r="E924" s="59"/>
      <c r="F924" s="60"/>
    </row>
    <row r="925" spans="1:6" x14ac:dyDescent="0.25">
      <c r="A925" s="56"/>
      <c r="B925" s="56"/>
      <c r="C925" s="57"/>
      <c r="D925" s="58"/>
      <c r="E925" s="59"/>
      <c r="F925" s="60"/>
    </row>
    <row r="926" spans="1:6" x14ac:dyDescent="0.25">
      <c r="A926" s="56"/>
      <c r="B926" s="56"/>
      <c r="C926" s="57"/>
      <c r="D926" s="58"/>
      <c r="E926" s="59"/>
      <c r="F926" s="60"/>
    </row>
    <row r="927" spans="1:6" x14ac:dyDescent="0.25">
      <c r="A927" s="56"/>
      <c r="B927" s="56"/>
      <c r="C927" s="57"/>
      <c r="D927" s="58"/>
      <c r="E927" s="59"/>
      <c r="F927" s="60"/>
    </row>
    <row r="928" spans="1:6" x14ac:dyDescent="0.25">
      <c r="A928" s="61"/>
      <c r="B928" s="61"/>
      <c r="C928" s="62"/>
      <c r="D928" s="63"/>
      <c r="E928" s="64"/>
      <c r="F928" s="65"/>
    </row>
    <row r="929" spans="1:6" x14ac:dyDescent="0.25">
      <c r="A929" s="61"/>
      <c r="B929" s="61"/>
      <c r="C929" s="62"/>
      <c r="D929" s="63"/>
      <c r="E929" s="64"/>
      <c r="F929" s="65"/>
    </row>
    <row r="930" spans="1:6" x14ac:dyDescent="0.25">
      <c r="A930" s="61"/>
      <c r="B930" s="61"/>
      <c r="C930" s="62"/>
      <c r="D930" s="63"/>
      <c r="E930" s="64"/>
      <c r="F930" s="65"/>
    </row>
    <row r="931" spans="1:6" x14ac:dyDescent="0.25">
      <c r="A931" s="61"/>
      <c r="B931" s="61"/>
      <c r="C931" s="62"/>
      <c r="D931" s="63"/>
      <c r="E931" s="64"/>
      <c r="F931" s="65"/>
    </row>
    <row r="932" spans="1:6" x14ac:dyDescent="0.25">
      <c r="A932" s="61"/>
      <c r="B932" s="61"/>
      <c r="C932" s="62"/>
      <c r="D932" s="63"/>
      <c r="E932" s="64"/>
      <c r="F932" s="65"/>
    </row>
    <row r="933" spans="1:6" x14ac:dyDescent="0.25">
      <c r="A933" s="61"/>
      <c r="B933" s="61"/>
      <c r="C933" s="62"/>
      <c r="D933" s="63"/>
      <c r="E933" s="64"/>
      <c r="F933" s="65"/>
    </row>
    <row r="934" spans="1:6" x14ac:dyDescent="0.25">
      <c r="A934" s="61"/>
      <c r="B934" s="61"/>
      <c r="C934" s="62"/>
      <c r="D934" s="63"/>
      <c r="E934" s="64"/>
      <c r="F934" s="65"/>
    </row>
    <row r="935" spans="1:6" x14ac:dyDescent="0.25">
      <c r="A935" s="61"/>
      <c r="B935" s="61"/>
      <c r="C935" s="62"/>
      <c r="D935" s="63"/>
      <c r="E935" s="64"/>
      <c r="F935" s="65"/>
    </row>
    <row r="936" spans="1:6" x14ac:dyDescent="0.25">
      <c r="A936" s="61"/>
      <c r="B936" s="61"/>
      <c r="C936" s="62"/>
      <c r="D936" s="63"/>
      <c r="E936" s="64"/>
      <c r="F936" s="65"/>
    </row>
    <row r="937" spans="1:6" x14ac:dyDescent="0.25">
      <c r="A937" s="61"/>
      <c r="B937" s="61"/>
      <c r="C937" s="62"/>
      <c r="D937" s="63"/>
      <c r="E937" s="64"/>
      <c r="F937" s="65"/>
    </row>
    <row r="938" spans="1:6" x14ac:dyDescent="0.25">
      <c r="A938" s="61"/>
      <c r="B938" s="61"/>
      <c r="C938" s="62"/>
      <c r="D938" s="63"/>
      <c r="E938" s="64"/>
      <c r="F938" s="65"/>
    </row>
    <row r="939" spans="1:6" x14ac:dyDescent="0.25">
      <c r="A939" s="61"/>
      <c r="B939" s="61"/>
      <c r="C939" s="62"/>
      <c r="D939" s="63"/>
      <c r="E939" s="64"/>
      <c r="F939" s="65"/>
    </row>
    <row r="940" spans="1:6" x14ac:dyDescent="0.25">
      <c r="A940" s="61"/>
      <c r="B940" s="61"/>
      <c r="C940" s="62"/>
      <c r="D940" s="63"/>
      <c r="E940" s="64"/>
      <c r="F940" s="65"/>
    </row>
    <row r="941" spans="1:6" x14ac:dyDescent="0.25">
      <c r="A941" s="61"/>
      <c r="B941" s="61"/>
      <c r="C941" s="62"/>
      <c r="D941" s="63"/>
      <c r="E941" s="64"/>
      <c r="F941" s="65"/>
    </row>
    <row r="942" spans="1:6" x14ac:dyDescent="0.25">
      <c r="A942" s="61"/>
      <c r="B942" s="61"/>
      <c r="C942" s="62"/>
      <c r="D942" s="63"/>
      <c r="E942" s="64"/>
      <c r="F942" s="65"/>
    </row>
    <row r="943" spans="1:6" x14ac:dyDescent="0.25">
      <c r="A943" s="61"/>
      <c r="B943" s="61"/>
      <c r="C943" s="62"/>
      <c r="D943" s="63"/>
      <c r="E943" s="64"/>
      <c r="F943" s="65"/>
    </row>
    <row r="944" spans="1:6" x14ac:dyDescent="0.25">
      <c r="A944" s="61"/>
      <c r="B944" s="61"/>
      <c r="C944" s="62"/>
      <c r="D944" s="63"/>
      <c r="E944" s="64"/>
      <c r="F944" s="65"/>
    </row>
    <row r="945" spans="1:6" x14ac:dyDescent="0.25">
      <c r="A945" s="61"/>
      <c r="B945" s="61"/>
      <c r="C945" s="62"/>
      <c r="D945" s="63"/>
      <c r="E945" s="64"/>
      <c r="F945" s="65"/>
    </row>
    <row r="946" spans="1:6" x14ac:dyDescent="0.25">
      <c r="A946" s="61"/>
      <c r="B946" s="61"/>
      <c r="C946" s="62"/>
      <c r="D946" s="63"/>
      <c r="E946" s="64"/>
      <c r="F946" s="65"/>
    </row>
    <row r="947" spans="1:6" x14ac:dyDescent="0.25">
      <c r="A947" s="61"/>
      <c r="B947" s="61"/>
      <c r="C947" s="62"/>
      <c r="D947" s="63"/>
      <c r="E947" s="64"/>
      <c r="F947" s="65"/>
    </row>
    <row r="948" spans="1:6" x14ac:dyDescent="0.25">
      <c r="A948" s="61"/>
      <c r="B948" s="61"/>
      <c r="C948" s="62"/>
      <c r="D948" s="63"/>
      <c r="E948" s="64"/>
      <c r="F948" s="65"/>
    </row>
    <row r="949" spans="1:6" x14ac:dyDescent="0.25">
      <c r="A949" s="61"/>
      <c r="B949" s="61"/>
      <c r="C949" s="62"/>
      <c r="D949" s="63"/>
      <c r="E949" s="64"/>
      <c r="F949" s="65"/>
    </row>
    <row r="950" spans="1:6" x14ac:dyDescent="0.25">
      <c r="A950" s="61"/>
      <c r="B950" s="61"/>
      <c r="C950" s="62"/>
      <c r="D950" s="63"/>
      <c r="E950" s="64"/>
      <c r="F950" s="65"/>
    </row>
    <row r="951" spans="1:6" x14ac:dyDescent="0.25">
      <c r="A951" s="61"/>
      <c r="B951" s="61"/>
      <c r="C951" s="62"/>
      <c r="D951" s="63"/>
      <c r="E951" s="64"/>
      <c r="F951" s="65"/>
    </row>
    <row r="952" spans="1:6" x14ac:dyDescent="0.25">
      <c r="A952" s="61"/>
      <c r="B952" s="61"/>
      <c r="C952" s="62"/>
      <c r="D952" s="63"/>
      <c r="E952" s="64"/>
      <c r="F952" s="65"/>
    </row>
    <row r="953" spans="1:6" x14ac:dyDescent="0.25">
      <c r="A953" s="61"/>
      <c r="B953" s="61"/>
      <c r="C953" s="62"/>
      <c r="D953" s="63"/>
      <c r="E953" s="64"/>
      <c r="F953" s="65"/>
    </row>
    <row r="954" spans="1:6" x14ac:dyDescent="0.25">
      <c r="A954" s="61"/>
      <c r="B954" s="61"/>
      <c r="C954" s="62"/>
      <c r="D954" s="63"/>
      <c r="E954" s="64"/>
      <c r="F954" s="65"/>
    </row>
    <row r="955" spans="1:6" x14ac:dyDescent="0.25">
      <c r="A955" s="61"/>
      <c r="B955" s="61"/>
      <c r="C955" s="62"/>
      <c r="D955" s="63"/>
      <c r="E955" s="64"/>
      <c r="F955" s="65"/>
    </row>
    <row r="956" spans="1:6" x14ac:dyDescent="0.25">
      <c r="A956" s="61"/>
      <c r="B956" s="61"/>
      <c r="C956" s="62"/>
      <c r="D956" s="63"/>
      <c r="E956" s="64"/>
      <c r="F956" s="65"/>
    </row>
    <row r="957" spans="1:6" x14ac:dyDescent="0.25">
      <c r="A957" s="61"/>
      <c r="B957" s="61"/>
      <c r="C957" s="62"/>
      <c r="D957" s="63"/>
      <c r="E957" s="64"/>
      <c r="F957" s="65"/>
    </row>
    <row r="958" spans="1:6" x14ac:dyDescent="0.25">
      <c r="A958" s="61"/>
      <c r="B958" s="61"/>
      <c r="C958" s="62"/>
      <c r="D958" s="63"/>
      <c r="E958" s="64"/>
      <c r="F958" s="65"/>
    </row>
    <row r="959" spans="1:6" x14ac:dyDescent="0.25">
      <c r="A959" s="61"/>
      <c r="B959" s="61"/>
      <c r="C959" s="62"/>
      <c r="D959" s="63"/>
      <c r="E959" s="64"/>
      <c r="F959" s="65"/>
    </row>
    <row r="960" spans="1:6" x14ac:dyDescent="0.25">
      <c r="A960" s="61"/>
      <c r="B960" s="61"/>
      <c r="C960" s="62"/>
      <c r="D960" s="63"/>
      <c r="E960" s="64"/>
      <c r="F960" s="65"/>
    </row>
    <row r="961" spans="1:6" x14ac:dyDescent="0.25">
      <c r="A961" s="61"/>
      <c r="B961" s="61"/>
      <c r="C961" s="62"/>
      <c r="D961" s="63"/>
      <c r="E961" s="64"/>
      <c r="F961" s="65"/>
    </row>
    <row r="962" spans="1:6" x14ac:dyDescent="0.25">
      <c r="A962" s="61"/>
      <c r="B962" s="61"/>
      <c r="C962" s="62"/>
      <c r="D962" s="63"/>
      <c r="E962" s="64"/>
      <c r="F962" s="65"/>
    </row>
    <row r="963" spans="1:6" x14ac:dyDescent="0.25">
      <c r="A963" s="61"/>
      <c r="B963" s="61"/>
      <c r="C963" s="62"/>
      <c r="D963" s="63"/>
      <c r="E963" s="64"/>
      <c r="F963" s="65"/>
    </row>
    <row r="964" spans="1:6" x14ac:dyDescent="0.25">
      <c r="A964" s="61"/>
      <c r="B964" s="61"/>
      <c r="C964" s="62"/>
      <c r="D964" s="63"/>
      <c r="E964" s="64"/>
      <c r="F964" s="65"/>
    </row>
    <row r="965" spans="1:6" x14ac:dyDescent="0.25">
      <c r="A965" s="61"/>
      <c r="B965" s="61"/>
      <c r="C965" s="62"/>
      <c r="D965" s="63"/>
      <c r="E965" s="64"/>
      <c r="F965" s="65"/>
    </row>
    <row r="966" spans="1:6" x14ac:dyDescent="0.25">
      <c r="A966" s="61"/>
      <c r="B966" s="61"/>
      <c r="C966" s="62"/>
      <c r="D966" s="63"/>
      <c r="E966" s="64"/>
      <c r="F966" s="65"/>
    </row>
    <row r="967" spans="1:6" x14ac:dyDescent="0.25">
      <c r="A967" s="61"/>
      <c r="B967" s="61"/>
      <c r="C967" s="62"/>
      <c r="D967" s="63"/>
      <c r="E967" s="64"/>
      <c r="F967" s="65"/>
    </row>
    <row r="968" spans="1:6" x14ac:dyDescent="0.25">
      <c r="A968" s="61"/>
      <c r="B968" s="61"/>
      <c r="C968" s="62"/>
      <c r="D968" s="63"/>
      <c r="E968" s="64"/>
      <c r="F968" s="65"/>
    </row>
    <row r="969" spans="1:6" x14ac:dyDescent="0.25">
      <c r="A969" s="61"/>
      <c r="B969" s="61"/>
      <c r="C969" s="62"/>
      <c r="D969" s="63"/>
      <c r="E969" s="64"/>
      <c r="F969" s="65"/>
    </row>
    <row r="970" spans="1:6" x14ac:dyDescent="0.25">
      <c r="A970" s="61"/>
      <c r="B970" s="61"/>
      <c r="C970" s="62"/>
      <c r="D970" s="63"/>
      <c r="E970" s="64"/>
      <c r="F970" s="65"/>
    </row>
    <row r="971" spans="1:6" x14ac:dyDescent="0.25">
      <c r="A971" s="61"/>
      <c r="B971" s="61"/>
      <c r="C971" s="62"/>
      <c r="D971" s="63"/>
      <c r="E971" s="64"/>
      <c r="F971" s="65"/>
    </row>
    <row r="972" spans="1:6" x14ac:dyDescent="0.25">
      <c r="A972" s="61"/>
      <c r="B972" s="61"/>
      <c r="C972" s="62"/>
      <c r="D972" s="63"/>
      <c r="E972" s="64"/>
      <c r="F972" s="65"/>
    </row>
    <row r="973" spans="1:6" x14ac:dyDescent="0.25">
      <c r="A973" s="61"/>
      <c r="B973" s="61"/>
      <c r="C973" s="62"/>
      <c r="D973" s="63"/>
      <c r="E973" s="64"/>
      <c r="F973" s="65"/>
    </row>
    <row r="974" spans="1:6" x14ac:dyDescent="0.25">
      <c r="A974" s="61"/>
      <c r="B974" s="61"/>
      <c r="C974" s="62"/>
      <c r="D974" s="63"/>
      <c r="E974" s="64"/>
      <c r="F974" s="65"/>
    </row>
    <row r="975" spans="1:6" x14ac:dyDescent="0.25">
      <c r="A975" s="61"/>
      <c r="B975" s="61"/>
      <c r="C975" s="62"/>
      <c r="D975" s="63"/>
      <c r="E975" s="64"/>
      <c r="F975" s="65"/>
    </row>
    <row r="976" spans="1:6" x14ac:dyDescent="0.25">
      <c r="A976" s="61"/>
      <c r="B976" s="61"/>
      <c r="C976" s="62"/>
      <c r="D976" s="63"/>
      <c r="E976" s="64"/>
      <c r="F976" s="65"/>
    </row>
    <row r="977" spans="1:6" x14ac:dyDescent="0.25">
      <c r="A977" s="61"/>
      <c r="B977" s="61"/>
      <c r="C977" s="62"/>
      <c r="D977" s="63"/>
      <c r="E977" s="64"/>
      <c r="F977" s="65"/>
    </row>
    <row r="978" spans="1:6" x14ac:dyDescent="0.25">
      <c r="A978" s="61"/>
      <c r="B978" s="61"/>
      <c r="C978" s="62"/>
      <c r="D978" s="63"/>
      <c r="E978" s="64"/>
      <c r="F978" s="65"/>
    </row>
    <row r="979" spans="1:6" x14ac:dyDescent="0.25">
      <c r="A979" s="61"/>
      <c r="B979" s="61"/>
      <c r="C979" s="62"/>
      <c r="D979" s="63"/>
      <c r="E979" s="64"/>
      <c r="F979" s="65"/>
    </row>
    <row r="980" spans="1:6" x14ac:dyDescent="0.25">
      <c r="A980" s="61"/>
      <c r="B980" s="61"/>
      <c r="C980" s="62"/>
      <c r="D980" s="63"/>
      <c r="E980" s="64"/>
      <c r="F980" s="65"/>
    </row>
    <row r="981" spans="1:6" x14ac:dyDescent="0.25">
      <c r="A981" s="61"/>
      <c r="B981" s="61"/>
      <c r="C981" s="62"/>
      <c r="D981" s="63"/>
      <c r="E981" s="64"/>
      <c r="F981" s="65"/>
    </row>
    <row r="982" spans="1:6" x14ac:dyDescent="0.25">
      <c r="A982" s="61"/>
      <c r="B982" s="61"/>
      <c r="C982" s="62"/>
      <c r="D982" s="63"/>
      <c r="E982" s="64"/>
      <c r="F982" s="65"/>
    </row>
    <row r="983" spans="1:6" x14ac:dyDescent="0.25">
      <c r="A983" s="61"/>
      <c r="B983" s="61"/>
      <c r="C983" s="62"/>
      <c r="D983" s="63"/>
      <c r="E983" s="64"/>
      <c r="F983" s="65"/>
    </row>
    <row r="984" spans="1:6" x14ac:dyDescent="0.25">
      <c r="A984" s="61"/>
      <c r="B984" s="61"/>
      <c r="C984" s="62"/>
      <c r="D984" s="63"/>
      <c r="E984" s="64"/>
      <c r="F984" s="65"/>
    </row>
    <row r="985" spans="1:6" x14ac:dyDescent="0.25">
      <c r="A985" s="61"/>
      <c r="B985" s="61"/>
      <c r="C985" s="62"/>
      <c r="D985" s="63"/>
      <c r="E985" s="64"/>
      <c r="F985" s="65"/>
    </row>
    <row r="986" spans="1:6" x14ac:dyDescent="0.25">
      <c r="A986" s="61"/>
      <c r="B986" s="61"/>
      <c r="C986" s="62"/>
      <c r="D986" s="63"/>
      <c r="E986" s="64"/>
      <c r="F986" s="65"/>
    </row>
    <row r="987" spans="1:6" x14ac:dyDescent="0.25">
      <c r="A987" s="61"/>
      <c r="B987" s="61"/>
      <c r="C987" s="62"/>
      <c r="D987" s="63"/>
      <c r="E987" s="64"/>
      <c r="F987" s="65"/>
    </row>
    <row r="988" spans="1:6" x14ac:dyDescent="0.25">
      <c r="A988" s="61"/>
      <c r="B988" s="61"/>
      <c r="C988" s="62"/>
      <c r="D988" s="63"/>
      <c r="E988" s="64"/>
      <c r="F988" s="65"/>
    </row>
    <row r="989" spans="1:6" x14ac:dyDescent="0.25">
      <c r="A989" s="61"/>
      <c r="B989" s="61"/>
      <c r="C989" s="62"/>
      <c r="D989" s="63"/>
      <c r="E989" s="64"/>
      <c r="F989" s="65"/>
    </row>
    <row r="990" spans="1:6" x14ac:dyDescent="0.25">
      <c r="A990" s="61"/>
      <c r="B990" s="61"/>
      <c r="C990" s="62"/>
      <c r="D990" s="63"/>
      <c r="E990" s="64"/>
      <c r="F990" s="65"/>
    </row>
    <row r="991" spans="1:6" x14ac:dyDescent="0.25">
      <c r="A991" s="61"/>
      <c r="B991" s="61"/>
      <c r="C991" s="62"/>
      <c r="D991" s="63"/>
      <c r="E991" s="64"/>
      <c r="F991" s="65"/>
    </row>
    <row r="992" spans="1:6" x14ac:dyDescent="0.25">
      <c r="A992" s="61"/>
      <c r="B992" s="61"/>
      <c r="C992" s="62"/>
      <c r="D992" s="63"/>
      <c r="E992" s="64"/>
      <c r="F992" s="65"/>
    </row>
    <row r="993" spans="1:6" x14ac:dyDescent="0.25">
      <c r="A993" s="61"/>
      <c r="B993" s="61"/>
      <c r="C993" s="62"/>
      <c r="D993" s="63"/>
      <c r="E993" s="64"/>
      <c r="F993" s="65"/>
    </row>
    <row r="994" spans="1:6" x14ac:dyDescent="0.25">
      <c r="A994" s="61"/>
      <c r="B994" s="61"/>
      <c r="C994" s="62"/>
      <c r="D994" s="63"/>
      <c r="E994" s="64"/>
      <c r="F994" s="65"/>
    </row>
    <row r="995" spans="1:6" x14ac:dyDescent="0.25">
      <c r="A995" s="61"/>
      <c r="B995" s="61"/>
      <c r="C995" s="62"/>
      <c r="D995" s="63"/>
      <c r="E995" s="64"/>
      <c r="F995" s="65"/>
    </row>
    <row r="996" spans="1:6" x14ac:dyDescent="0.25">
      <c r="A996" s="61"/>
      <c r="B996" s="61"/>
      <c r="C996" s="62"/>
      <c r="D996" s="63"/>
      <c r="E996" s="64"/>
      <c r="F996" s="65"/>
    </row>
    <row r="997" spans="1:6" x14ac:dyDescent="0.25">
      <c r="A997" s="61"/>
      <c r="B997" s="61"/>
      <c r="C997" s="62"/>
      <c r="D997" s="63"/>
      <c r="E997" s="64"/>
      <c r="F997" s="65"/>
    </row>
    <row r="998" spans="1:6" x14ac:dyDescent="0.25">
      <c r="A998" s="61"/>
      <c r="B998" s="61"/>
      <c r="C998" s="62"/>
      <c r="D998" s="63"/>
      <c r="E998" s="64"/>
      <c r="F998" s="65"/>
    </row>
    <row r="999" spans="1:6" x14ac:dyDescent="0.25">
      <c r="A999" s="61"/>
      <c r="B999" s="61"/>
      <c r="C999" s="62"/>
      <c r="D999" s="63"/>
      <c r="E999" s="64"/>
      <c r="F999" s="65"/>
    </row>
    <row r="1000" spans="1:6" x14ac:dyDescent="0.25">
      <c r="A1000" s="61"/>
      <c r="B1000" s="61"/>
      <c r="C1000" s="62"/>
      <c r="D1000" s="63"/>
      <c r="E1000" s="64"/>
      <c r="F1000" s="65"/>
    </row>
    <row r="1001" spans="1:6" x14ac:dyDescent="0.25">
      <c r="A1001" s="61"/>
      <c r="B1001" s="61"/>
      <c r="C1001" s="62"/>
      <c r="D1001" s="63"/>
      <c r="E1001" s="64"/>
      <c r="F1001" s="65"/>
    </row>
    <row r="1002" spans="1:6" x14ac:dyDescent="0.25">
      <c r="A1002" s="61"/>
      <c r="B1002" s="61"/>
      <c r="C1002" s="62"/>
      <c r="D1002" s="63"/>
      <c r="E1002" s="64"/>
      <c r="F1002" s="65"/>
    </row>
    <row r="1003" spans="1:6" x14ac:dyDescent="0.25">
      <c r="A1003" s="61"/>
      <c r="B1003" s="61"/>
      <c r="C1003" s="62"/>
      <c r="D1003" s="63"/>
      <c r="E1003" s="64"/>
      <c r="F1003" s="65"/>
    </row>
    <row r="1004" spans="1:6" x14ac:dyDescent="0.25">
      <c r="A1004" s="61"/>
      <c r="B1004" s="61"/>
      <c r="C1004" s="62"/>
      <c r="D1004" s="63"/>
      <c r="E1004" s="64"/>
      <c r="F1004" s="65"/>
    </row>
    <row r="1005" spans="1:6" x14ac:dyDescent="0.25">
      <c r="A1005" s="61"/>
      <c r="B1005" s="61"/>
      <c r="C1005" s="62"/>
      <c r="D1005" s="63"/>
      <c r="E1005" s="64"/>
      <c r="F1005" s="65"/>
    </row>
    <row r="1006" spans="1:6" x14ac:dyDescent="0.25">
      <c r="A1006" s="61"/>
      <c r="B1006" s="61"/>
      <c r="C1006" s="62"/>
      <c r="D1006" s="63"/>
      <c r="E1006" s="64"/>
      <c r="F1006" s="65"/>
    </row>
    <row r="1007" spans="1:6" x14ac:dyDescent="0.25">
      <c r="A1007" s="61"/>
      <c r="B1007" s="61"/>
      <c r="C1007" s="62"/>
      <c r="D1007" s="63"/>
      <c r="E1007" s="64"/>
      <c r="F1007" s="65"/>
    </row>
    <row r="1008" spans="1:6" x14ac:dyDescent="0.25">
      <c r="A1008" s="61"/>
      <c r="B1008" s="61"/>
      <c r="C1008" s="62"/>
      <c r="D1008" s="63"/>
      <c r="E1008" s="64"/>
      <c r="F1008" s="65"/>
    </row>
    <row r="1009" spans="1:6" x14ac:dyDescent="0.25">
      <c r="A1009" s="61"/>
      <c r="B1009" s="61"/>
      <c r="C1009" s="62"/>
      <c r="D1009" s="63"/>
      <c r="E1009" s="64"/>
      <c r="F1009" s="65"/>
    </row>
    <row r="1010" spans="1:6" x14ac:dyDescent="0.25">
      <c r="A1010" s="61"/>
      <c r="B1010" s="61"/>
      <c r="C1010" s="62"/>
      <c r="D1010" s="63"/>
      <c r="E1010" s="64"/>
      <c r="F1010" s="65"/>
    </row>
    <row r="1011" spans="1:6" x14ac:dyDescent="0.25">
      <c r="A1011" s="61"/>
      <c r="B1011" s="61"/>
      <c r="C1011" s="62"/>
      <c r="D1011" s="63"/>
      <c r="E1011" s="64"/>
      <c r="F1011" s="65"/>
    </row>
    <row r="1012" spans="1:6" x14ac:dyDescent="0.25">
      <c r="A1012" s="61"/>
      <c r="B1012" s="61"/>
      <c r="C1012" s="62"/>
      <c r="D1012" s="63"/>
      <c r="E1012" s="64"/>
      <c r="F1012" s="65"/>
    </row>
    <row r="1013" spans="1:6" x14ac:dyDescent="0.25">
      <c r="A1013" s="61"/>
      <c r="B1013" s="61"/>
      <c r="C1013" s="62"/>
      <c r="D1013" s="63"/>
      <c r="E1013" s="64"/>
      <c r="F1013" s="65"/>
    </row>
    <row r="1014" spans="1:6" x14ac:dyDescent="0.25">
      <c r="A1014" s="61"/>
      <c r="B1014" s="61"/>
      <c r="C1014" s="62"/>
      <c r="D1014" s="63"/>
      <c r="E1014" s="64"/>
      <c r="F1014" s="65"/>
    </row>
    <row r="1015" spans="1:6" x14ac:dyDescent="0.25">
      <c r="A1015" s="61"/>
      <c r="B1015" s="61"/>
      <c r="C1015" s="62"/>
      <c r="D1015" s="63"/>
      <c r="E1015" s="64"/>
      <c r="F1015" s="65"/>
    </row>
    <row r="1016" spans="1:6" x14ac:dyDescent="0.25">
      <c r="A1016" s="61"/>
      <c r="B1016" s="61"/>
      <c r="C1016" s="62"/>
      <c r="D1016" s="63"/>
      <c r="E1016" s="64"/>
      <c r="F1016" s="65"/>
    </row>
    <row r="1017" spans="1:6" x14ac:dyDescent="0.25">
      <c r="A1017" s="61"/>
      <c r="B1017" s="61"/>
      <c r="C1017" s="62"/>
      <c r="D1017" s="63"/>
      <c r="E1017" s="64"/>
      <c r="F1017" s="65"/>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LoaMtgtnSclFac() M'!A1" display="'LoaMtgtnSclFac() M'!A1"/>
    <hyperlink ref="A18" location="'LoaMtgtnSclFac() R'!A1" display="'LoaMtgtnSclFac() R'!A1"/>
    <hyperlink ref="A19" location="'LoaMtgtnSclFac() P'!A1" display="'LoaMtgtnSclFac() P'!A1"/>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15"/>
  <sheetViews>
    <sheetView zoomScale="115" zoomScaleNormal="115" workbookViewId="0">
      <selection sqref="A1:B1"/>
    </sheetView>
  </sheetViews>
  <sheetFormatPr defaultRowHeight="15" x14ac:dyDescent="0.25"/>
  <cols>
    <col min="1" max="1" width="8.140625" customWidth="1"/>
    <col min="2" max="2" width="255.7109375" bestFit="1" customWidth="1"/>
    <col min="3" max="5" width="4.140625" bestFit="1" customWidth="1"/>
    <col min="6" max="6" width="3.28515625" bestFit="1" customWidth="1"/>
    <col min="7" max="8" width="5.5703125" bestFit="1" customWidth="1"/>
    <col min="9" max="9" width="3.28515625" bestFit="1" customWidth="1"/>
    <col min="10" max="10" width="5.5703125" bestFit="1" customWidth="1"/>
    <col min="11" max="11" width="3.28515625" customWidth="1"/>
    <col min="12" max="13" width="3.28515625" bestFit="1" customWidth="1"/>
    <col min="14" max="14" width="3.28515625" customWidth="1"/>
    <col min="15" max="17" width="9" bestFit="1" customWidth="1"/>
    <col min="18" max="18" width="10.85546875" bestFit="1" customWidth="1"/>
    <col min="19" max="19" width="12.5703125" bestFit="1" customWidth="1"/>
    <col min="20" max="20" width="10.7109375" bestFit="1" customWidth="1"/>
  </cols>
  <sheetData>
    <row r="1" spans="1:20" x14ac:dyDescent="0.25">
      <c r="A1" s="228" t="s">
        <v>1491</v>
      </c>
      <c r="B1" s="229"/>
      <c r="C1" s="42" t="s">
        <v>90</v>
      </c>
      <c r="D1" s="54" t="s">
        <v>89</v>
      </c>
      <c r="E1" s="54"/>
      <c r="F1" s="187"/>
      <c r="G1" s="187"/>
      <c r="H1" s="187"/>
      <c r="I1" s="187"/>
      <c r="J1" s="187"/>
      <c r="K1" s="187"/>
      <c r="L1" s="187"/>
      <c r="M1" s="187"/>
      <c r="N1" s="187"/>
      <c r="O1" s="187"/>
      <c r="P1" s="187"/>
      <c r="Q1" s="187"/>
      <c r="R1" s="40"/>
      <c r="S1" s="40"/>
      <c r="T1" s="41"/>
    </row>
    <row r="2" spans="1:20" ht="60" customHeight="1" x14ac:dyDescent="0.25">
      <c r="A2" s="230" t="s">
        <v>61</v>
      </c>
      <c r="B2" s="231"/>
      <c r="C2" s="50" t="s">
        <v>1302</v>
      </c>
      <c r="D2" s="50" t="s">
        <v>1302</v>
      </c>
      <c r="E2" s="50" t="s">
        <v>1302</v>
      </c>
      <c r="F2" s="50" t="s">
        <v>91</v>
      </c>
      <c r="G2" s="50" t="s">
        <v>91</v>
      </c>
      <c r="H2" s="50" t="s">
        <v>91</v>
      </c>
      <c r="I2" s="50" t="s">
        <v>91</v>
      </c>
      <c r="J2" s="50" t="s">
        <v>91</v>
      </c>
      <c r="K2" s="50" t="s">
        <v>91</v>
      </c>
      <c r="L2" s="45" t="s">
        <v>83</v>
      </c>
      <c r="M2" s="25" t="s">
        <v>83</v>
      </c>
      <c r="N2" s="25" t="s">
        <v>83</v>
      </c>
      <c r="O2" s="26" t="s">
        <v>84</v>
      </c>
      <c r="P2" s="26" t="s">
        <v>84</v>
      </c>
      <c r="Q2" s="26" t="s">
        <v>84</v>
      </c>
      <c r="R2" s="27" t="s">
        <v>24</v>
      </c>
      <c r="S2" s="27" t="s">
        <v>86</v>
      </c>
      <c r="T2" s="28" t="s">
        <v>88</v>
      </c>
    </row>
    <row r="3" spans="1:20" ht="165.75" x14ac:dyDescent="0.25">
      <c r="A3" s="29" t="s">
        <v>81</v>
      </c>
      <c r="B3" s="30" t="s">
        <v>82</v>
      </c>
      <c r="C3" s="82" t="s">
        <v>1494</v>
      </c>
      <c r="D3" s="82" t="s">
        <v>1495</v>
      </c>
      <c r="E3" s="82" t="s">
        <v>2043</v>
      </c>
      <c r="F3" s="49" t="s">
        <v>125</v>
      </c>
      <c r="G3" s="49" t="s">
        <v>133</v>
      </c>
      <c r="H3" s="49" t="s">
        <v>134</v>
      </c>
      <c r="I3" s="49" t="s">
        <v>127</v>
      </c>
      <c r="J3" s="49" t="s">
        <v>2044</v>
      </c>
      <c r="K3" s="49" t="s">
        <v>2041</v>
      </c>
      <c r="L3" s="31" t="s">
        <v>125</v>
      </c>
      <c r="M3" s="31" t="s">
        <v>127</v>
      </c>
      <c r="N3" s="31" t="s">
        <v>2041</v>
      </c>
      <c r="O3" s="32" t="s">
        <v>125</v>
      </c>
      <c r="P3" s="32" t="s">
        <v>127</v>
      </c>
      <c r="Q3" s="32" t="s">
        <v>2041</v>
      </c>
      <c r="R3" s="27" t="s">
        <v>85</v>
      </c>
      <c r="S3" s="27" t="s">
        <v>87</v>
      </c>
      <c r="T3" s="28"/>
    </row>
    <row r="4" spans="1:20" x14ac:dyDescent="0.25">
      <c r="A4" s="33">
        <v>1</v>
      </c>
      <c r="B4" s="43" t="s">
        <v>1867</v>
      </c>
      <c r="C4" s="43" t="s">
        <v>1849</v>
      </c>
      <c r="D4" s="43" t="s">
        <v>1849</v>
      </c>
      <c r="E4" s="43">
        <v>0</v>
      </c>
      <c r="F4" s="43" t="s">
        <v>1849</v>
      </c>
      <c r="G4" s="43" t="s">
        <v>1854</v>
      </c>
      <c r="H4" s="43" t="s">
        <v>1854</v>
      </c>
      <c r="I4" s="43" t="s">
        <v>1849</v>
      </c>
      <c r="J4" s="43">
        <v>10</v>
      </c>
      <c r="K4" s="43">
        <v>0</v>
      </c>
      <c r="L4" s="34" t="s">
        <v>89</v>
      </c>
      <c r="M4" s="34" t="s">
        <v>89</v>
      </c>
      <c r="N4" s="34" t="s">
        <v>89</v>
      </c>
      <c r="O4" s="43">
        <v>1.25E-3</v>
      </c>
      <c r="P4" s="43">
        <v>1.25E-3</v>
      </c>
      <c r="Q4" s="43">
        <v>1.25E-3</v>
      </c>
      <c r="R4" s="46" t="s">
        <v>89</v>
      </c>
      <c r="S4" s="34"/>
      <c r="T4" s="35"/>
    </row>
    <row r="5" spans="1:20" ht="15.75" thickBot="1" x14ac:dyDescent="0.3">
      <c r="A5" s="36">
        <v>2</v>
      </c>
      <c r="B5" s="44" t="s">
        <v>1868</v>
      </c>
      <c r="C5" s="44" t="s">
        <v>1850</v>
      </c>
      <c r="D5" s="44" t="s">
        <v>1850</v>
      </c>
      <c r="E5" s="44">
        <v>1</v>
      </c>
      <c r="F5" s="44" t="s">
        <v>1850</v>
      </c>
      <c r="G5" s="44" t="s">
        <v>1855</v>
      </c>
      <c r="H5" s="44" t="s">
        <v>1855</v>
      </c>
      <c r="I5" s="44" t="s">
        <v>1850</v>
      </c>
      <c r="J5" s="44">
        <v>1000</v>
      </c>
      <c r="K5" s="44">
        <v>1</v>
      </c>
      <c r="L5" s="37" t="s">
        <v>89</v>
      </c>
      <c r="M5" s="37" t="s">
        <v>89</v>
      </c>
      <c r="N5" s="37" t="s">
        <v>89</v>
      </c>
      <c r="O5" s="44">
        <v>0</v>
      </c>
      <c r="P5" s="44">
        <v>0</v>
      </c>
      <c r="Q5" s="44">
        <v>0.875</v>
      </c>
      <c r="R5" s="47" t="s">
        <v>89</v>
      </c>
      <c r="S5" s="37"/>
      <c r="T5" s="38"/>
    </row>
    <row r="6" spans="1:20" x14ac:dyDescent="0.25">
      <c r="A6" s="39"/>
      <c r="B6" s="39"/>
      <c r="C6" s="39"/>
      <c r="D6" s="39"/>
      <c r="E6" s="39"/>
      <c r="F6" s="39"/>
      <c r="G6" s="39"/>
      <c r="H6" s="39"/>
      <c r="I6" s="39"/>
      <c r="J6" s="39"/>
      <c r="K6" s="39"/>
      <c r="L6" s="39"/>
      <c r="M6" s="39"/>
      <c r="N6" s="39"/>
      <c r="O6" s="39"/>
      <c r="P6" s="39"/>
      <c r="Q6" s="39"/>
      <c r="R6" s="39"/>
      <c r="S6" s="39"/>
      <c r="T6" s="39"/>
    </row>
    <row r="7" spans="1:20" x14ac:dyDescent="0.25">
      <c r="A7" s="39"/>
      <c r="B7" s="39"/>
      <c r="C7" s="39"/>
      <c r="D7" s="39"/>
      <c r="E7" s="39"/>
      <c r="F7" s="39"/>
      <c r="G7" s="39"/>
      <c r="H7" s="39"/>
      <c r="I7" s="39"/>
      <c r="J7" s="39"/>
      <c r="K7" s="39"/>
      <c r="L7" s="39"/>
      <c r="M7" s="39"/>
      <c r="N7" s="39"/>
      <c r="O7" s="39"/>
      <c r="P7" s="39"/>
      <c r="Q7" s="39"/>
      <c r="R7" s="39"/>
      <c r="S7" s="39"/>
      <c r="T7" s="39"/>
    </row>
    <row r="8" spans="1:20" x14ac:dyDescent="0.25">
      <c r="A8" s="39"/>
      <c r="B8" s="39"/>
      <c r="C8" s="39"/>
      <c r="D8" s="39"/>
      <c r="E8" s="39"/>
      <c r="F8" s="39"/>
      <c r="G8" s="39"/>
      <c r="H8" s="39"/>
      <c r="I8" s="39"/>
      <c r="J8" s="39"/>
      <c r="K8" s="39"/>
      <c r="L8" s="39"/>
      <c r="M8" s="39"/>
      <c r="N8" s="39"/>
      <c r="O8" s="39"/>
      <c r="P8" s="39"/>
      <c r="Q8" s="39"/>
      <c r="R8" s="39"/>
      <c r="S8" s="39"/>
      <c r="T8" s="39"/>
    </row>
    <row r="9" spans="1:20" x14ac:dyDescent="0.25">
      <c r="A9" s="39"/>
      <c r="B9" s="39"/>
      <c r="C9" s="39"/>
      <c r="D9" s="39"/>
      <c r="E9" s="39"/>
      <c r="F9" s="39"/>
      <c r="G9" s="39"/>
      <c r="H9" s="39"/>
      <c r="I9" s="39"/>
      <c r="J9" s="39"/>
      <c r="K9" s="39"/>
      <c r="L9" s="39"/>
      <c r="M9" s="39"/>
      <c r="N9" s="39"/>
      <c r="O9" s="39"/>
      <c r="P9" s="39"/>
      <c r="Q9" s="39"/>
      <c r="R9" s="39"/>
      <c r="S9" s="39"/>
      <c r="T9" s="39"/>
    </row>
    <row r="10" spans="1:20" x14ac:dyDescent="0.25">
      <c r="A10" s="39"/>
      <c r="B10" s="39"/>
      <c r="C10" s="39"/>
      <c r="D10" s="39"/>
      <c r="E10" s="39"/>
      <c r="F10" s="39"/>
      <c r="G10" s="39"/>
      <c r="H10" s="39"/>
      <c r="I10" s="39"/>
      <c r="J10" s="39"/>
      <c r="K10" s="39"/>
      <c r="L10" s="39"/>
      <c r="M10" s="39"/>
      <c r="N10" s="39"/>
      <c r="O10" s="39"/>
      <c r="P10" s="39"/>
      <c r="Q10" s="39"/>
      <c r="R10" s="39"/>
      <c r="S10" s="39"/>
      <c r="T10" s="39"/>
    </row>
    <row r="11" spans="1:20" x14ac:dyDescent="0.25">
      <c r="A11" s="39"/>
      <c r="B11" s="39"/>
      <c r="C11" s="39"/>
      <c r="D11" s="39"/>
      <c r="E11" s="39"/>
      <c r="F11" s="39"/>
      <c r="G11" s="39"/>
      <c r="H11" s="39"/>
      <c r="I11" s="39"/>
      <c r="J11" s="39"/>
      <c r="K11" s="39"/>
      <c r="L11" s="39"/>
      <c r="M11" s="39"/>
      <c r="N11" s="39"/>
      <c r="O11" s="39"/>
      <c r="P11" s="39"/>
      <c r="Q11" s="39"/>
      <c r="R11" s="39"/>
      <c r="S11" s="39"/>
      <c r="T11" s="39"/>
    </row>
    <row r="12" spans="1:20" x14ac:dyDescent="0.25">
      <c r="A12" s="39"/>
      <c r="B12" s="39"/>
      <c r="C12" s="39"/>
      <c r="D12" s="39"/>
      <c r="E12" s="39"/>
      <c r="F12" s="39"/>
      <c r="G12" s="39"/>
      <c r="H12" s="39"/>
      <c r="I12" s="39"/>
      <c r="J12" s="39"/>
      <c r="K12" s="39"/>
      <c r="L12" s="39"/>
      <c r="M12" s="39"/>
      <c r="N12" s="39"/>
      <c r="O12" s="39"/>
      <c r="P12" s="39"/>
      <c r="Q12" s="39"/>
      <c r="R12" s="39"/>
      <c r="S12" s="39"/>
      <c r="T12" s="39"/>
    </row>
    <row r="13" spans="1:20" x14ac:dyDescent="0.25">
      <c r="A13" s="39"/>
      <c r="B13" s="39"/>
      <c r="C13" s="39"/>
      <c r="D13" s="39"/>
      <c r="E13" s="39"/>
      <c r="F13" s="39"/>
      <c r="G13" s="39"/>
      <c r="H13" s="39"/>
      <c r="I13" s="39"/>
      <c r="J13" s="39"/>
      <c r="K13" s="39"/>
      <c r="L13" s="39"/>
      <c r="M13" s="39"/>
      <c r="N13" s="39"/>
      <c r="O13" s="39"/>
      <c r="P13" s="39"/>
      <c r="Q13" s="39"/>
      <c r="R13" s="39"/>
      <c r="S13" s="39"/>
      <c r="T13" s="39"/>
    </row>
    <row r="14" spans="1:20" x14ac:dyDescent="0.25">
      <c r="A14" s="39"/>
      <c r="B14" s="39"/>
      <c r="C14" s="39"/>
      <c r="D14" s="39"/>
      <c r="E14" s="39"/>
      <c r="F14" s="39"/>
      <c r="G14" s="39"/>
      <c r="H14" s="39"/>
      <c r="I14" s="39"/>
      <c r="J14" s="39"/>
      <c r="K14" s="39"/>
      <c r="L14" s="39"/>
      <c r="M14" s="39"/>
      <c r="N14" s="39"/>
      <c r="O14" s="39"/>
      <c r="P14" s="39"/>
      <c r="Q14" s="39"/>
      <c r="R14" s="39"/>
      <c r="S14" s="39"/>
      <c r="T14" s="39"/>
    </row>
    <row r="15" spans="1:20" x14ac:dyDescent="0.25">
      <c r="A15" s="39"/>
      <c r="B15" s="39"/>
      <c r="C15" s="39"/>
      <c r="D15" s="39"/>
      <c r="E15" s="39"/>
      <c r="F15" s="39"/>
      <c r="G15" s="39"/>
      <c r="H15" s="39"/>
      <c r="I15" s="39"/>
      <c r="J15" s="39"/>
      <c r="K15" s="39"/>
      <c r="L15" s="39"/>
      <c r="M15" s="39"/>
      <c r="N15" s="39"/>
      <c r="O15" s="39"/>
      <c r="P15" s="39"/>
      <c r="Q15" s="39"/>
      <c r="R15" s="39"/>
      <c r="S15" s="39"/>
      <c r="T15" s="39"/>
    </row>
  </sheetData>
  <sheetProtection sheet="1" objects="1" scenarios="1"/>
  <mergeCells count="2">
    <mergeCell ref="A1:B1"/>
    <mergeCell ref="A2:B2"/>
  </mergeCells>
  <hyperlinks>
    <hyperlink ref="A1" location="'LoaMtgtnSclFac'!A1" display="'LoaMtgtnSclFac'!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4"/>
  <sheetViews>
    <sheetView zoomScaleNormal="100" workbookViewId="0">
      <selection sqref="A1:B1"/>
    </sheetView>
  </sheetViews>
  <sheetFormatPr defaultColWidth="8.28515625" defaultRowHeight="15" x14ac:dyDescent="0.25"/>
  <cols>
    <col min="1" max="1" width="8.140625" bestFit="1" customWidth="1"/>
    <col min="2" max="2" width="255.7109375" bestFit="1" customWidth="1"/>
    <col min="3" max="5" width="4.140625" bestFit="1" customWidth="1"/>
    <col min="6" max="6" width="6.5703125" bestFit="1" customWidth="1"/>
    <col min="7" max="8" width="7.5703125" bestFit="1" customWidth="1"/>
    <col min="9" max="9" width="6.5703125" bestFit="1" customWidth="1"/>
    <col min="10" max="11" width="4" bestFit="1" customWidth="1"/>
    <col min="12" max="14" width="3.28515625" bestFit="1" customWidth="1"/>
    <col min="15" max="17" width="8" bestFit="1" customWidth="1"/>
    <col min="18" max="18" width="10.5703125" bestFit="1" customWidth="1"/>
    <col min="19" max="19" width="12.42578125" bestFit="1" customWidth="1"/>
    <col min="20" max="20" width="10.5703125" bestFit="1" customWidth="1"/>
  </cols>
  <sheetData>
    <row r="1" spans="1:20" x14ac:dyDescent="0.25">
      <c r="A1" s="228" t="s">
        <v>1491</v>
      </c>
      <c r="B1" s="229"/>
      <c r="C1" s="42" t="s">
        <v>90</v>
      </c>
      <c r="D1" s="54" t="s">
        <v>89</v>
      </c>
      <c r="E1" s="54"/>
      <c r="F1" s="187"/>
      <c r="G1" s="187"/>
      <c r="H1" s="187"/>
      <c r="I1" s="187"/>
      <c r="J1" s="187"/>
      <c r="K1" s="187"/>
      <c r="L1" s="187"/>
      <c r="M1" s="187"/>
      <c r="N1" s="187"/>
      <c r="O1" s="187"/>
      <c r="P1" s="187"/>
      <c r="Q1" s="187"/>
      <c r="R1" s="40"/>
      <c r="S1" s="40"/>
      <c r="T1" s="41"/>
    </row>
    <row r="2" spans="1:20" ht="60" customHeight="1" x14ac:dyDescent="0.25">
      <c r="A2" s="230" t="s">
        <v>106</v>
      </c>
      <c r="B2" s="231"/>
      <c r="C2" s="50" t="s">
        <v>1302</v>
      </c>
      <c r="D2" s="50" t="s">
        <v>1302</v>
      </c>
      <c r="E2" s="50" t="s">
        <v>1302</v>
      </c>
      <c r="F2" s="50" t="s">
        <v>91</v>
      </c>
      <c r="G2" s="50" t="s">
        <v>91</v>
      </c>
      <c r="H2" s="50" t="s">
        <v>91</v>
      </c>
      <c r="I2" s="50" t="s">
        <v>91</v>
      </c>
      <c r="J2" s="50" t="s">
        <v>91</v>
      </c>
      <c r="K2" s="50" t="s">
        <v>91</v>
      </c>
      <c r="L2" s="45" t="s">
        <v>83</v>
      </c>
      <c r="M2" s="25" t="s">
        <v>83</v>
      </c>
      <c r="N2" s="25" t="s">
        <v>83</v>
      </c>
      <c r="O2" s="26" t="s">
        <v>84</v>
      </c>
      <c r="P2" s="26" t="s">
        <v>84</v>
      </c>
      <c r="Q2" s="26" t="s">
        <v>84</v>
      </c>
      <c r="R2" s="27" t="s">
        <v>24</v>
      </c>
      <c r="S2" s="27" t="s">
        <v>86</v>
      </c>
      <c r="T2" s="28" t="s">
        <v>88</v>
      </c>
    </row>
    <row r="3" spans="1:20" ht="240" customHeight="1" x14ac:dyDescent="0.25">
      <c r="A3" s="29" t="s">
        <v>81</v>
      </c>
      <c r="B3" s="30" t="s">
        <v>82</v>
      </c>
      <c r="C3" s="82" t="s">
        <v>1494</v>
      </c>
      <c r="D3" s="82" t="s">
        <v>1495</v>
      </c>
      <c r="E3" s="82" t="s">
        <v>2043</v>
      </c>
      <c r="F3" s="49" t="s">
        <v>125</v>
      </c>
      <c r="G3" s="49" t="s">
        <v>133</v>
      </c>
      <c r="H3" s="49" t="s">
        <v>134</v>
      </c>
      <c r="I3" s="49" t="s">
        <v>127</v>
      </c>
      <c r="J3" s="49" t="s">
        <v>2044</v>
      </c>
      <c r="K3" s="49" t="s">
        <v>2041</v>
      </c>
      <c r="L3" s="31" t="s">
        <v>125</v>
      </c>
      <c r="M3" s="31" t="s">
        <v>127</v>
      </c>
      <c r="N3" s="31" t="s">
        <v>2041</v>
      </c>
      <c r="O3" s="32" t="s">
        <v>125</v>
      </c>
      <c r="P3" s="32" t="s">
        <v>127</v>
      </c>
      <c r="Q3" s="32" t="s">
        <v>2041</v>
      </c>
      <c r="R3" s="27" t="s">
        <v>85</v>
      </c>
      <c r="S3" s="27" t="s">
        <v>87</v>
      </c>
      <c r="T3" s="28"/>
    </row>
    <row r="4" spans="1:20" x14ac:dyDescent="0.25">
      <c r="A4" s="33">
        <v>1</v>
      </c>
      <c r="B4" s="43" t="s">
        <v>1861</v>
      </c>
      <c r="C4" s="43" t="s">
        <v>1849</v>
      </c>
      <c r="D4" s="43" t="s">
        <v>1849</v>
      </c>
      <c r="E4" s="43">
        <v>0</v>
      </c>
      <c r="F4" s="43" t="s">
        <v>1849</v>
      </c>
      <c r="G4" s="43" t="s">
        <v>1854</v>
      </c>
      <c r="H4" s="43" t="s">
        <v>1854</v>
      </c>
      <c r="I4" s="43" t="s">
        <v>1849</v>
      </c>
      <c r="J4" s="43">
        <v>10</v>
      </c>
      <c r="K4" s="43">
        <v>0</v>
      </c>
      <c r="L4" s="34" t="s">
        <v>89</v>
      </c>
      <c r="M4" s="34" t="s">
        <v>89</v>
      </c>
      <c r="N4" s="34" t="s">
        <v>89</v>
      </c>
      <c r="O4" s="43">
        <v>1.25E-3</v>
      </c>
      <c r="P4" s="43">
        <v>1.25E-3</v>
      </c>
      <c r="Q4" s="43">
        <v>1.25E-3</v>
      </c>
      <c r="R4" s="46" t="s">
        <v>89</v>
      </c>
      <c r="S4" s="34"/>
      <c r="T4" s="35"/>
    </row>
    <row r="5" spans="1:20" x14ac:dyDescent="0.25">
      <c r="A5" s="33">
        <v>2</v>
      </c>
      <c r="B5" s="43" t="s">
        <v>1866</v>
      </c>
      <c r="C5" s="43" t="s">
        <v>1850</v>
      </c>
      <c r="D5" s="43" t="s">
        <v>1850</v>
      </c>
      <c r="E5" s="43">
        <v>1</v>
      </c>
      <c r="F5" s="43" t="s">
        <v>1850</v>
      </c>
      <c r="G5" s="43" t="s">
        <v>1855</v>
      </c>
      <c r="H5" s="43" t="s">
        <v>1855</v>
      </c>
      <c r="I5" s="43" t="s">
        <v>1850</v>
      </c>
      <c r="J5" s="43">
        <v>20</v>
      </c>
      <c r="K5" s="43">
        <v>0.1</v>
      </c>
      <c r="L5" s="34" t="s">
        <v>89</v>
      </c>
      <c r="M5" s="34" t="s">
        <v>89</v>
      </c>
      <c r="N5" s="34" t="s">
        <v>89</v>
      </c>
      <c r="O5" s="43">
        <v>0</v>
      </c>
      <c r="P5" s="43">
        <v>0</v>
      </c>
      <c r="Q5" s="43">
        <v>9.7500000000000003E-2</v>
      </c>
      <c r="R5" s="46" t="s">
        <v>89</v>
      </c>
      <c r="S5" s="34"/>
      <c r="T5" s="35"/>
    </row>
    <row r="6" spans="1:20" x14ac:dyDescent="0.25">
      <c r="A6" s="33">
        <v>3</v>
      </c>
      <c r="B6" s="43" t="s">
        <v>1863</v>
      </c>
      <c r="C6" s="43" t="s">
        <v>1849</v>
      </c>
      <c r="D6" s="43" t="s">
        <v>1849</v>
      </c>
      <c r="E6" s="43">
        <v>0</v>
      </c>
      <c r="F6" s="43" t="s">
        <v>1851</v>
      </c>
      <c r="G6" s="43" t="s">
        <v>1856</v>
      </c>
      <c r="H6" s="43" t="s">
        <v>1857</v>
      </c>
      <c r="I6" s="43" t="s">
        <v>1851</v>
      </c>
      <c r="J6" s="43">
        <v>30</v>
      </c>
      <c r="K6" s="43">
        <v>0.2</v>
      </c>
      <c r="L6" s="34" t="s">
        <v>89</v>
      </c>
      <c r="M6" s="34" t="s">
        <v>89</v>
      </c>
      <c r="N6" s="34" t="s">
        <v>89</v>
      </c>
      <c r="O6" s="43">
        <v>1</v>
      </c>
      <c r="P6" s="43">
        <v>1</v>
      </c>
      <c r="Q6" s="43">
        <v>0.20374999999999999</v>
      </c>
      <c r="R6" s="46" t="s">
        <v>89</v>
      </c>
      <c r="S6" s="34"/>
      <c r="T6" s="35"/>
    </row>
    <row r="7" spans="1:20" x14ac:dyDescent="0.25">
      <c r="A7" s="33">
        <v>4</v>
      </c>
      <c r="B7" s="43" t="s">
        <v>1858</v>
      </c>
      <c r="C7" s="43" t="s">
        <v>1849</v>
      </c>
      <c r="D7" s="43" t="s">
        <v>1849</v>
      </c>
      <c r="E7" s="43">
        <v>1</v>
      </c>
      <c r="F7" s="43" t="s">
        <v>1852</v>
      </c>
      <c r="G7" s="43" t="s">
        <v>1849</v>
      </c>
      <c r="H7" s="43" t="s">
        <v>1857</v>
      </c>
      <c r="I7" s="43" t="s">
        <v>1850</v>
      </c>
      <c r="J7" s="43">
        <v>40</v>
      </c>
      <c r="K7" s="43">
        <v>0.3</v>
      </c>
      <c r="L7" s="34" t="s">
        <v>89</v>
      </c>
      <c r="M7" s="34" t="s">
        <v>89</v>
      </c>
      <c r="N7" s="34" t="s">
        <v>89</v>
      </c>
      <c r="O7" s="43">
        <v>2</v>
      </c>
      <c r="P7" s="43">
        <v>1</v>
      </c>
      <c r="Q7" s="43">
        <v>0.29499999999999998</v>
      </c>
      <c r="R7" s="46" t="s">
        <v>89</v>
      </c>
      <c r="S7" s="34"/>
      <c r="T7" s="35"/>
    </row>
    <row r="8" spans="1:20" x14ac:dyDescent="0.25">
      <c r="A8" s="33">
        <v>5</v>
      </c>
      <c r="B8" s="43" t="s">
        <v>1859</v>
      </c>
      <c r="C8" s="43" t="s">
        <v>1850</v>
      </c>
      <c r="D8" s="43" t="s">
        <v>1850</v>
      </c>
      <c r="E8" s="43">
        <v>0</v>
      </c>
      <c r="F8" s="43" t="s">
        <v>1853</v>
      </c>
      <c r="G8" s="43" t="s">
        <v>1849</v>
      </c>
      <c r="H8" s="43" t="s">
        <v>1855</v>
      </c>
      <c r="I8" s="43" t="s">
        <v>1850</v>
      </c>
      <c r="J8" s="43">
        <v>50</v>
      </c>
      <c r="K8" s="43">
        <v>0.4</v>
      </c>
      <c r="L8" s="34" t="s">
        <v>89</v>
      </c>
      <c r="M8" s="34" t="s">
        <v>89</v>
      </c>
      <c r="N8" s="34" t="s">
        <v>89</v>
      </c>
      <c r="O8" s="43">
        <v>-1</v>
      </c>
      <c r="P8" s="43">
        <v>0</v>
      </c>
      <c r="Q8" s="43">
        <v>0.40625</v>
      </c>
      <c r="R8" s="46" t="s">
        <v>89</v>
      </c>
      <c r="S8" s="34"/>
      <c r="T8" s="35"/>
    </row>
    <row r="9" spans="1:20" x14ac:dyDescent="0.25">
      <c r="A9" s="33">
        <v>6</v>
      </c>
      <c r="B9" s="43" t="s">
        <v>1860</v>
      </c>
      <c r="C9" s="43" t="s">
        <v>1850</v>
      </c>
      <c r="D9" s="43" t="s">
        <v>1850</v>
      </c>
      <c r="E9" s="43">
        <v>1</v>
      </c>
      <c r="F9" s="43" t="s">
        <v>1850</v>
      </c>
      <c r="G9" s="43" t="s">
        <v>1849</v>
      </c>
      <c r="H9" s="43" t="s">
        <v>1855</v>
      </c>
      <c r="I9" s="43" t="s">
        <v>1850</v>
      </c>
      <c r="J9" s="43">
        <v>60</v>
      </c>
      <c r="K9" s="43">
        <v>0.5</v>
      </c>
      <c r="L9" s="34" t="s">
        <v>89</v>
      </c>
      <c r="M9" s="34" t="s">
        <v>89</v>
      </c>
      <c r="N9" s="34" t="s">
        <v>89</v>
      </c>
      <c r="O9" s="43">
        <v>1</v>
      </c>
      <c r="P9" s="43">
        <v>0</v>
      </c>
      <c r="Q9" s="43">
        <v>0.49249999999999999</v>
      </c>
      <c r="R9" s="46" t="s">
        <v>89</v>
      </c>
      <c r="S9" s="34"/>
      <c r="T9" s="35"/>
    </row>
    <row r="10" spans="1:20" x14ac:dyDescent="0.25">
      <c r="A10" s="33">
        <v>7</v>
      </c>
      <c r="B10" s="43" t="s">
        <v>1862</v>
      </c>
      <c r="C10" s="43" t="s">
        <v>1849</v>
      </c>
      <c r="D10" s="43" t="s">
        <v>1849</v>
      </c>
      <c r="E10" s="43">
        <v>0</v>
      </c>
      <c r="F10" s="43" t="s">
        <v>1851</v>
      </c>
      <c r="G10" s="43" t="s">
        <v>1856</v>
      </c>
      <c r="H10" s="43" t="s">
        <v>1849</v>
      </c>
      <c r="I10" s="43" t="s">
        <v>1852</v>
      </c>
      <c r="J10" s="43">
        <v>70</v>
      </c>
      <c r="K10" s="194">
        <v>0.6</v>
      </c>
      <c r="L10" s="34" t="s">
        <v>89</v>
      </c>
      <c r="M10" s="34" t="s">
        <v>89</v>
      </c>
      <c r="N10" s="34" t="s">
        <v>89</v>
      </c>
      <c r="O10" s="43">
        <v>1</v>
      </c>
      <c r="P10" s="43">
        <v>2</v>
      </c>
      <c r="Q10" s="43">
        <v>0.60875000000000001</v>
      </c>
      <c r="R10" s="46" t="s">
        <v>89</v>
      </c>
      <c r="S10" s="34"/>
      <c r="T10" s="35"/>
    </row>
    <row r="11" spans="1:20" x14ac:dyDescent="0.25">
      <c r="A11" s="33">
        <v>8</v>
      </c>
      <c r="B11" s="43" t="s">
        <v>1864</v>
      </c>
      <c r="C11" s="43" t="s">
        <v>1850</v>
      </c>
      <c r="D11" s="43" t="s">
        <v>1850</v>
      </c>
      <c r="E11" s="43">
        <v>1</v>
      </c>
      <c r="F11" s="43" t="s">
        <v>1850</v>
      </c>
      <c r="G11" s="43" t="s">
        <v>1855</v>
      </c>
      <c r="H11" s="43" t="s">
        <v>1849</v>
      </c>
      <c r="I11" s="43" t="s">
        <v>1853</v>
      </c>
      <c r="J11" s="194">
        <v>80</v>
      </c>
      <c r="K11" s="43">
        <v>0.7</v>
      </c>
      <c r="L11" s="34" t="s">
        <v>89</v>
      </c>
      <c r="M11" s="34" t="s">
        <v>89</v>
      </c>
      <c r="N11" s="34" t="s">
        <v>89</v>
      </c>
      <c r="O11" s="43">
        <v>0</v>
      </c>
      <c r="P11" s="43">
        <v>-1</v>
      </c>
      <c r="Q11" s="43">
        <v>0.69</v>
      </c>
      <c r="R11" s="46" t="s">
        <v>89</v>
      </c>
      <c r="S11" s="34"/>
      <c r="T11" s="35"/>
    </row>
    <row r="12" spans="1:20" x14ac:dyDescent="0.25">
      <c r="A12" s="33">
        <v>9</v>
      </c>
      <c r="B12" s="43" t="s">
        <v>1865</v>
      </c>
      <c r="C12" s="43" t="s">
        <v>1850</v>
      </c>
      <c r="D12" s="43" t="s">
        <v>1850</v>
      </c>
      <c r="E12" s="43">
        <v>1</v>
      </c>
      <c r="F12" s="43" t="s">
        <v>1850</v>
      </c>
      <c r="G12" s="43" t="s">
        <v>1855</v>
      </c>
      <c r="H12" s="43" t="s">
        <v>1855</v>
      </c>
      <c r="I12" s="43" t="s">
        <v>1852</v>
      </c>
      <c r="J12" s="194">
        <v>100</v>
      </c>
      <c r="K12" s="43">
        <v>0.8</v>
      </c>
      <c r="L12" s="34"/>
      <c r="M12" s="34"/>
      <c r="N12" s="34"/>
      <c r="O12" s="43">
        <v>0</v>
      </c>
      <c r="P12" s="43">
        <v>1</v>
      </c>
      <c r="Q12" s="43">
        <v>0.78749999999999998</v>
      </c>
      <c r="R12" s="46" t="s">
        <v>89</v>
      </c>
      <c r="S12" s="34"/>
      <c r="T12" s="35"/>
    </row>
    <row r="13" spans="1:20" x14ac:dyDescent="0.25">
      <c r="A13" s="33">
        <v>10</v>
      </c>
      <c r="B13" s="195" t="s">
        <v>2059</v>
      </c>
      <c r="C13" s="195" t="s">
        <v>1849</v>
      </c>
      <c r="D13" s="195" t="s">
        <v>1849</v>
      </c>
      <c r="E13" s="195">
        <v>0</v>
      </c>
      <c r="F13" s="195" t="s">
        <v>1851</v>
      </c>
      <c r="G13" s="195" t="s">
        <v>1856</v>
      </c>
      <c r="H13" s="195" t="s">
        <v>1849</v>
      </c>
      <c r="I13" s="195" t="s">
        <v>1851</v>
      </c>
      <c r="J13" s="196">
        <v>0</v>
      </c>
      <c r="K13" s="195">
        <v>2</v>
      </c>
      <c r="L13" s="197"/>
      <c r="M13" s="197"/>
      <c r="N13" s="197"/>
      <c r="O13" s="195">
        <v>1</v>
      </c>
      <c r="P13" s="195">
        <v>0.2356</v>
      </c>
      <c r="Q13" s="195">
        <v>2</v>
      </c>
      <c r="R13" s="198" t="s">
        <v>89</v>
      </c>
      <c r="S13" s="197"/>
      <c r="T13" s="199"/>
    </row>
    <row r="14" spans="1:20" ht="15.75" thickBot="1" x14ac:dyDescent="0.3">
      <c r="A14" s="36">
        <v>11</v>
      </c>
      <c r="B14" s="44" t="s">
        <v>2060</v>
      </c>
      <c r="C14" s="44" t="s">
        <v>1850</v>
      </c>
      <c r="D14" s="44" t="s">
        <v>1850</v>
      </c>
      <c r="E14" s="44">
        <v>1</v>
      </c>
      <c r="F14" s="44" t="s">
        <v>1850</v>
      </c>
      <c r="G14" s="44" t="s">
        <v>1855</v>
      </c>
      <c r="H14" s="44" t="s">
        <v>1849</v>
      </c>
      <c r="I14" s="44" t="s">
        <v>1850</v>
      </c>
      <c r="J14" s="44">
        <v>0</v>
      </c>
      <c r="K14" s="44">
        <v>-1</v>
      </c>
      <c r="L14" s="37" t="s">
        <v>89</v>
      </c>
      <c r="M14" s="37" t="s">
        <v>89</v>
      </c>
      <c r="N14" s="37" t="s">
        <v>89</v>
      </c>
      <c r="O14" s="44">
        <v>0</v>
      </c>
      <c r="P14" s="44">
        <v>1</v>
      </c>
      <c r="Q14" s="44">
        <v>-1</v>
      </c>
      <c r="R14" s="47" t="s">
        <v>89</v>
      </c>
      <c r="S14" s="37"/>
      <c r="T14" s="38"/>
    </row>
    <row r="15" spans="1:20" x14ac:dyDescent="0.25">
      <c r="A15" s="39"/>
      <c r="B15" s="39"/>
      <c r="C15" s="39"/>
      <c r="D15" s="39"/>
      <c r="E15" s="39"/>
      <c r="F15" s="39"/>
      <c r="G15" s="39"/>
      <c r="H15" s="39"/>
      <c r="I15" s="39"/>
      <c r="J15" s="39"/>
      <c r="K15" s="39"/>
      <c r="L15" s="39"/>
      <c r="M15" s="39"/>
      <c r="N15" s="39"/>
      <c r="O15" s="39"/>
      <c r="P15" s="39"/>
      <c r="Q15" s="39"/>
      <c r="R15" s="39"/>
      <c r="S15" s="39"/>
      <c r="T15" s="39"/>
    </row>
    <row r="16" spans="1:20" x14ac:dyDescent="0.25">
      <c r="A16" s="39"/>
      <c r="B16" s="39"/>
      <c r="C16" s="39"/>
      <c r="D16" s="39"/>
      <c r="E16" s="39"/>
      <c r="F16" s="39"/>
      <c r="G16" s="39"/>
      <c r="H16" s="39"/>
      <c r="I16" s="39"/>
      <c r="J16" s="39"/>
      <c r="K16" s="39"/>
      <c r="L16" s="39"/>
      <c r="M16" s="39"/>
      <c r="N16" s="39"/>
      <c r="O16" s="39"/>
      <c r="P16" s="39"/>
      <c r="Q16" s="39"/>
      <c r="R16" s="39"/>
      <c r="S16" s="39"/>
      <c r="T16" s="39"/>
    </row>
    <row r="17" spans="1:20" x14ac:dyDescent="0.25">
      <c r="A17" s="39"/>
      <c r="B17" s="39"/>
      <c r="C17" s="39"/>
      <c r="D17" s="39"/>
      <c r="E17" s="39"/>
      <c r="F17" s="39"/>
      <c r="G17" s="39"/>
      <c r="H17" s="39"/>
      <c r="I17" s="39"/>
      <c r="J17" s="39"/>
      <c r="K17" s="39"/>
      <c r="L17" s="39"/>
      <c r="M17" s="39"/>
      <c r="N17" s="39"/>
      <c r="O17" s="39"/>
      <c r="P17" s="39"/>
      <c r="Q17" s="39"/>
      <c r="R17" s="39"/>
      <c r="S17" s="39"/>
      <c r="T17" s="39"/>
    </row>
    <row r="18" spans="1:20" x14ac:dyDescent="0.25">
      <c r="A18" s="39"/>
      <c r="B18" s="39"/>
      <c r="C18" s="39"/>
      <c r="D18" s="39"/>
      <c r="E18" s="39"/>
      <c r="F18" s="39"/>
      <c r="G18" s="39"/>
      <c r="H18" s="39"/>
      <c r="I18" s="39"/>
      <c r="J18" s="39"/>
      <c r="K18" s="39"/>
      <c r="L18" s="39"/>
      <c r="M18" s="39"/>
      <c r="N18" s="39"/>
      <c r="O18" s="39"/>
      <c r="P18" s="39"/>
      <c r="Q18" s="39"/>
      <c r="R18" s="39"/>
      <c r="S18" s="39"/>
      <c r="T18" s="39"/>
    </row>
    <row r="19" spans="1:20" x14ac:dyDescent="0.25">
      <c r="A19" s="39"/>
      <c r="B19" s="39"/>
      <c r="C19" s="39"/>
      <c r="D19" s="39"/>
      <c r="E19" s="39"/>
      <c r="F19" s="39"/>
      <c r="G19" s="39"/>
      <c r="H19" s="39"/>
      <c r="I19" s="39"/>
      <c r="J19" s="39"/>
      <c r="K19" s="39"/>
      <c r="L19" s="39"/>
      <c r="M19" s="39"/>
      <c r="N19" s="39"/>
      <c r="O19" s="39"/>
      <c r="P19" s="39"/>
      <c r="Q19" s="39"/>
      <c r="R19" s="39"/>
      <c r="S19" s="39"/>
      <c r="T19" s="39"/>
    </row>
    <row r="20" spans="1:20" x14ac:dyDescent="0.25">
      <c r="A20" s="39"/>
      <c r="B20" s="39"/>
      <c r="C20" s="39"/>
      <c r="D20" s="39"/>
      <c r="E20" s="39"/>
      <c r="F20" s="39"/>
      <c r="G20" s="39"/>
      <c r="H20" s="39"/>
      <c r="I20" s="39"/>
      <c r="J20" s="39"/>
      <c r="K20" s="39"/>
      <c r="L20" s="39"/>
      <c r="M20" s="39"/>
      <c r="N20" s="39"/>
      <c r="O20" s="39"/>
      <c r="P20" s="39"/>
      <c r="Q20" s="39"/>
      <c r="R20" s="39"/>
      <c r="S20" s="39"/>
      <c r="T20" s="39"/>
    </row>
    <row r="21" spans="1:20" x14ac:dyDescent="0.25">
      <c r="A21" s="39"/>
      <c r="B21" s="39"/>
      <c r="C21" s="39"/>
      <c r="D21" s="39"/>
      <c r="E21" s="39"/>
      <c r="F21" s="39"/>
      <c r="G21" s="39"/>
      <c r="H21" s="39"/>
      <c r="I21" s="39"/>
      <c r="J21" s="39"/>
      <c r="K21" s="39"/>
      <c r="L21" s="39"/>
      <c r="M21" s="39"/>
      <c r="N21" s="39"/>
      <c r="O21" s="39"/>
      <c r="P21" s="39"/>
      <c r="Q21" s="39"/>
      <c r="R21" s="39"/>
      <c r="S21" s="39"/>
      <c r="T21" s="39"/>
    </row>
    <row r="22" spans="1:20" x14ac:dyDescent="0.25">
      <c r="A22" s="39"/>
      <c r="B22" s="39"/>
      <c r="C22" s="39"/>
      <c r="D22" s="39"/>
      <c r="E22" s="39"/>
      <c r="F22" s="39"/>
      <c r="G22" s="39"/>
      <c r="H22" s="39"/>
      <c r="I22" s="39"/>
      <c r="J22" s="39"/>
      <c r="K22" s="39"/>
      <c r="L22" s="39"/>
      <c r="M22" s="39"/>
      <c r="N22" s="39"/>
      <c r="O22" s="39"/>
      <c r="P22" s="39"/>
      <c r="Q22" s="39"/>
      <c r="R22" s="39"/>
      <c r="S22" s="39"/>
      <c r="T22" s="39"/>
    </row>
    <row r="23" spans="1:20" x14ac:dyDescent="0.25">
      <c r="A23" s="39"/>
      <c r="B23" s="39"/>
      <c r="C23" s="39"/>
      <c r="D23" s="39"/>
      <c r="E23" s="39"/>
      <c r="F23" s="39"/>
      <c r="G23" s="39"/>
      <c r="H23" s="39"/>
      <c r="I23" s="39"/>
      <c r="J23" s="39"/>
      <c r="K23" s="39"/>
      <c r="L23" s="39"/>
      <c r="M23" s="39"/>
      <c r="N23" s="39"/>
      <c r="O23" s="39"/>
      <c r="P23" s="39"/>
      <c r="Q23" s="39"/>
      <c r="R23" s="39"/>
      <c r="S23" s="39"/>
      <c r="T23" s="39"/>
    </row>
    <row r="24" spans="1:20" x14ac:dyDescent="0.25">
      <c r="A24" s="39"/>
      <c r="B24" s="39"/>
      <c r="C24" s="39"/>
      <c r="D24" s="39"/>
      <c r="E24" s="39"/>
      <c r="F24" s="39"/>
      <c r="G24" s="39"/>
      <c r="H24" s="39"/>
      <c r="I24" s="39"/>
      <c r="J24" s="39"/>
      <c r="K24" s="39"/>
      <c r="L24" s="39"/>
      <c r="M24" s="39"/>
      <c r="N24" s="39"/>
      <c r="O24" s="39"/>
      <c r="P24" s="39"/>
      <c r="Q24" s="39"/>
      <c r="R24" s="39"/>
      <c r="S24" s="39"/>
      <c r="T24" s="39"/>
    </row>
  </sheetData>
  <sheetProtection sheet="1" objects="1" scenarios="1"/>
  <mergeCells count="2">
    <mergeCell ref="A1:B1"/>
    <mergeCell ref="A2:B2"/>
  </mergeCells>
  <hyperlinks>
    <hyperlink ref="A1" location="'LoaMtgtnSclFac'!A1" display="'LoaMtgtnSclFac'!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41"/>
  <sheetViews>
    <sheetView workbookViewId="0">
      <selection sqref="A1:B1"/>
    </sheetView>
  </sheetViews>
  <sheetFormatPr defaultRowHeight="15" x14ac:dyDescent="0.25"/>
  <cols>
    <col min="1" max="1" width="8.140625" bestFit="1" customWidth="1"/>
    <col min="2" max="2" width="49.7109375" bestFit="1" customWidth="1"/>
    <col min="3" max="5" width="4.140625" bestFit="1" customWidth="1"/>
    <col min="6" max="6" width="7" bestFit="1" customWidth="1"/>
    <col min="7" max="8" width="10" bestFit="1" customWidth="1"/>
    <col min="9" max="9" width="8" bestFit="1" customWidth="1"/>
    <col min="10" max="10" width="7" bestFit="1" customWidth="1"/>
    <col min="11" max="11" width="5" bestFit="1" customWidth="1"/>
    <col min="12" max="13" width="3.28515625" bestFit="1" customWidth="1"/>
    <col min="14" max="14" width="3.28515625" customWidth="1"/>
    <col min="15" max="16" width="12" bestFit="1" customWidth="1"/>
    <col min="17" max="17" width="11" bestFit="1" customWidth="1"/>
    <col min="18" max="18" width="10.5703125" bestFit="1" customWidth="1"/>
    <col min="19" max="19" width="12.42578125" bestFit="1" customWidth="1"/>
    <col min="20" max="20" width="10.5703125" bestFit="1" customWidth="1"/>
  </cols>
  <sheetData>
    <row r="1" spans="1:20" x14ac:dyDescent="0.25">
      <c r="A1" s="228" t="s">
        <v>1491</v>
      </c>
      <c r="B1" s="229"/>
      <c r="C1" s="42" t="s">
        <v>90</v>
      </c>
      <c r="D1" s="54" t="s">
        <v>89</v>
      </c>
      <c r="E1" s="54"/>
      <c r="F1" s="187"/>
      <c r="G1" s="187"/>
      <c r="H1" s="187"/>
      <c r="I1" s="187"/>
      <c r="J1" s="187"/>
      <c r="K1" s="187"/>
      <c r="L1" s="187"/>
      <c r="M1" s="187"/>
      <c r="N1" s="187"/>
      <c r="O1" s="187"/>
      <c r="P1" s="187"/>
      <c r="Q1" s="187"/>
      <c r="R1" s="40"/>
      <c r="S1" s="40"/>
      <c r="T1" s="41"/>
    </row>
    <row r="2" spans="1:20" ht="60" customHeight="1" x14ac:dyDescent="0.25">
      <c r="A2" s="230" t="s">
        <v>80</v>
      </c>
      <c r="B2" s="231"/>
      <c r="C2" s="50" t="s">
        <v>1302</v>
      </c>
      <c r="D2" s="50" t="s">
        <v>1302</v>
      </c>
      <c r="E2" s="50" t="s">
        <v>1302</v>
      </c>
      <c r="F2" s="50" t="s">
        <v>91</v>
      </c>
      <c r="G2" s="50" t="s">
        <v>91</v>
      </c>
      <c r="H2" s="50" t="s">
        <v>91</v>
      </c>
      <c r="I2" s="50" t="s">
        <v>91</v>
      </c>
      <c r="J2" s="50" t="s">
        <v>91</v>
      </c>
      <c r="K2" s="50" t="s">
        <v>91</v>
      </c>
      <c r="L2" s="45" t="s">
        <v>83</v>
      </c>
      <c r="M2" s="25" t="s">
        <v>83</v>
      </c>
      <c r="N2" s="25" t="s">
        <v>83</v>
      </c>
      <c r="O2" s="26" t="s">
        <v>84</v>
      </c>
      <c r="P2" s="26" t="s">
        <v>84</v>
      </c>
      <c r="Q2" s="26" t="s">
        <v>84</v>
      </c>
      <c r="R2" s="27" t="s">
        <v>24</v>
      </c>
      <c r="S2" s="27" t="s">
        <v>86</v>
      </c>
      <c r="T2" s="28" t="s">
        <v>88</v>
      </c>
    </row>
    <row r="3" spans="1:20" ht="165.75" x14ac:dyDescent="0.25">
      <c r="A3" s="29" t="s">
        <v>81</v>
      </c>
      <c r="B3" s="30" t="s">
        <v>82</v>
      </c>
      <c r="C3" s="82" t="s">
        <v>1494</v>
      </c>
      <c r="D3" s="82" t="s">
        <v>1495</v>
      </c>
      <c r="E3" s="82" t="s">
        <v>2043</v>
      </c>
      <c r="F3" s="49" t="s">
        <v>125</v>
      </c>
      <c r="G3" s="49" t="s">
        <v>133</v>
      </c>
      <c r="H3" s="49" t="s">
        <v>134</v>
      </c>
      <c r="I3" s="49" t="s">
        <v>127</v>
      </c>
      <c r="J3" s="49" t="s">
        <v>2044</v>
      </c>
      <c r="K3" s="49" t="s">
        <v>2041</v>
      </c>
      <c r="L3" s="31" t="s">
        <v>125</v>
      </c>
      <c r="M3" s="31" t="s">
        <v>127</v>
      </c>
      <c r="N3" s="31" t="s">
        <v>2041</v>
      </c>
      <c r="O3" s="32" t="s">
        <v>125</v>
      </c>
      <c r="P3" s="32" t="s">
        <v>127</v>
      </c>
      <c r="Q3" s="32" t="s">
        <v>2041</v>
      </c>
      <c r="R3" s="27" t="s">
        <v>85</v>
      </c>
      <c r="S3" s="27" t="s">
        <v>87</v>
      </c>
      <c r="T3" s="28"/>
    </row>
    <row r="4" spans="1:20" x14ac:dyDescent="0.25">
      <c r="A4" s="33">
        <v>1</v>
      </c>
      <c r="B4" s="43" t="s">
        <v>219</v>
      </c>
      <c r="C4" s="51">
        <v>0</v>
      </c>
      <c r="D4" s="51">
        <v>0</v>
      </c>
      <c r="E4" s="51">
        <v>0</v>
      </c>
      <c r="F4" s="51">
        <v>0</v>
      </c>
      <c r="G4" s="51">
        <v>10</v>
      </c>
      <c r="H4" s="51">
        <v>10</v>
      </c>
      <c r="I4" s="51">
        <v>0</v>
      </c>
      <c r="J4" s="51">
        <v>10</v>
      </c>
      <c r="K4" s="51">
        <v>0</v>
      </c>
      <c r="L4" s="34" t="s">
        <v>89</v>
      </c>
      <c r="M4" s="34" t="s">
        <v>89</v>
      </c>
      <c r="N4" s="34" t="s">
        <v>89</v>
      </c>
      <c r="O4" s="43">
        <v>1.25E-3</v>
      </c>
      <c r="P4" s="43">
        <v>1.25E-3</v>
      </c>
      <c r="Q4" s="43">
        <v>1.25E-3</v>
      </c>
      <c r="R4" s="46" t="s">
        <v>89</v>
      </c>
      <c r="S4" s="34"/>
      <c r="T4" s="35"/>
    </row>
    <row r="5" spans="1:20" x14ac:dyDescent="0.25">
      <c r="A5" s="33">
        <v>2</v>
      </c>
      <c r="B5" s="43" t="s">
        <v>220</v>
      </c>
      <c r="C5" s="51">
        <v>1</v>
      </c>
      <c r="D5" s="51">
        <v>1</v>
      </c>
      <c r="E5" s="51">
        <v>1</v>
      </c>
      <c r="F5" s="51">
        <v>1</v>
      </c>
      <c r="G5" s="51">
        <v>8000</v>
      </c>
      <c r="H5" s="51">
        <v>8000</v>
      </c>
      <c r="I5" s="51">
        <v>1</v>
      </c>
      <c r="J5" s="51">
        <v>8000</v>
      </c>
      <c r="K5" s="51">
        <v>1</v>
      </c>
      <c r="L5" s="34" t="s">
        <v>89</v>
      </c>
      <c r="M5" s="34" t="s">
        <v>89</v>
      </c>
      <c r="N5" s="34" t="s">
        <v>89</v>
      </c>
      <c r="O5" s="43">
        <v>0</v>
      </c>
      <c r="P5" s="43">
        <v>0</v>
      </c>
      <c r="Q5" s="43">
        <v>0</v>
      </c>
      <c r="R5" s="46" t="s">
        <v>89</v>
      </c>
      <c r="S5" s="34"/>
      <c r="T5" s="35"/>
    </row>
    <row r="6" spans="1:20" x14ac:dyDescent="0.25">
      <c r="A6" s="33">
        <v>3</v>
      </c>
      <c r="B6" s="43" t="s">
        <v>1622</v>
      </c>
      <c r="C6" s="51">
        <v>0</v>
      </c>
      <c r="D6" s="43">
        <v>0</v>
      </c>
      <c r="E6" s="43">
        <v>0</v>
      </c>
      <c r="F6" s="53">
        <v>0.2356</v>
      </c>
      <c r="G6" s="43">
        <v>7702.7619000000004</v>
      </c>
      <c r="H6" s="43">
        <v>6599.2560000000003</v>
      </c>
      <c r="I6" s="43">
        <v>0.2356</v>
      </c>
      <c r="J6" s="43">
        <v>11</v>
      </c>
      <c r="K6" s="43">
        <v>0.1</v>
      </c>
      <c r="L6" s="34" t="s">
        <v>89</v>
      </c>
      <c r="M6" s="34" t="s">
        <v>89</v>
      </c>
      <c r="N6" s="34" t="s">
        <v>89</v>
      </c>
      <c r="O6" s="43">
        <v>1</v>
      </c>
      <c r="P6" s="43">
        <v>1</v>
      </c>
      <c r="Q6" s="43">
        <v>0.10137500000000001</v>
      </c>
      <c r="R6" s="46" t="s">
        <v>89</v>
      </c>
      <c r="S6" s="34"/>
      <c r="T6" s="35"/>
    </row>
    <row r="7" spans="1:20" x14ac:dyDescent="0.25">
      <c r="A7" s="33">
        <v>4</v>
      </c>
      <c r="B7" s="43" t="s">
        <v>1623</v>
      </c>
      <c r="C7" s="51">
        <v>1</v>
      </c>
      <c r="D7" s="43">
        <v>0</v>
      </c>
      <c r="E7" s="43">
        <v>1</v>
      </c>
      <c r="F7" s="43">
        <v>0.3256</v>
      </c>
      <c r="G7" s="43">
        <v>7466.0209000000004</v>
      </c>
      <c r="H7" s="43">
        <v>5753.8751000000002</v>
      </c>
      <c r="I7" s="43">
        <v>0.32500000000000001</v>
      </c>
      <c r="J7" s="43">
        <v>21.2</v>
      </c>
      <c r="K7" s="43">
        <v>0.2</v>
      </c>
      <c r="L7" s="34" t="s">
        <v>89</v>
      </c>
      <c r="M7" s="34" t="s">
        <v>89</v>
      </c>
      <c r="N7" s="34" t="s">
        <v>89</v>
      </c>
      <c r="O7" s="43">
        <v>0</v>
      </c>
      <c r="P7" s="43">
        <v>1</v>
      </c>
      <c r="Q7" s="43">
        <v>0.19735</v>
      </c>
      <c r="R7" s="46" t="s">
        <v>89</v>
      </c>
      <c r="S7" s="34"/>
      <c r="T7" s="35"/>
    </row>
    <row r="8" spans="1:20" x14ac:dyDescent="0.25">
      <c r="A8" s="33">
        <v>5</v>
      </c>
      <c r="B8" s="43" t="s">
        <v>1624</v>
      </c>
      <c r="C8" s="43">
        <v>0</v>
      </c>
      <c r="D8" s="51">
        <v>0</v>
      </c>
      <c r="E8" s="51">
        <v>0</v>
      </c>
      <c r="F8" s="43">
        <v>0.14249999999999999</v>
      </c>
      <c r="G8" s="43">
        <v>6719.1328000000003</v>
      </c>
      <c r="H8" s="43">
        <v>1788.2534000000001</v>
      </c>
      <c r="I8" s="43">
        <v>0.1245</v>
      </c>
      <c r="J8" s="43">
        <v>310</v>
      </c>
      <c r="K8" s="43">
        <v>0.3</v>
      </c>
      <c r="L8" s="34" t="s">
        <v>89</v>
      </c>
      <c r="M8" s="34" t="s">
        <v>89</v>
      </c>
      <c r="N8" s="34" t="s">
        <v>89</v>
      </c>
      <c r="O8" s="43">
        <v>0.98239160000000003</v>
      </c>
      <c r="P8" s="43">
        <v>0.34803167499999998</v>
      </c>
      <c r="Q8" s="43">
        <v>0.33875</v>
      </c>
      <c r="R8" s="46" t="s">
        <v>89</v>
      </c>
      <c r="S8" s="34"/>
      <c r="T8" s="35"/>
    </row>
    <row r="9" spans="1:20" x14ac:dyDescent="0.25">
      <c r="A9" s="33">
        <v>6</v>
      </c>
      <c r="B9" s="43" t="s">
        <v>1625</v>
      </c>
      <c r="C9" s="43">
        <v>0</v>
      </c>
      <c r="D9" s="51">
        <v>1</v>
      </c>
      <c r="E9" s="51">
        <v>0</v>
      </c>
      <c r="F9" s="43">
        <v>0.3256</v>
      </c>
      <c r="G9" s="43">
        <v>3280.9022</v>
      </c>
      <c r="H9" s="43">
        <v>2855.3285000000001</v>
      </c>
      <c r="I9" s="43">
        <v>0.3256</v>
      </c>
      <c r="J9" s="43">
        <v>41</v>
      </c>
      <c r="K9" s="43">
        <v>0.4</v>
      </c>
      <c r="L9" s="34" t="s">
        <v>89</v>
      </c>
      <c r="M9" s="34" t="s">
        <v>89</v>
      </c>
      <c r="N9" s="34" t="s">
        <v>89</v>
      </c>
      <c r="O9" s="43">
        <v>0.73571277499999999</v>
      </c>
      <c r="P9" s="43">
        <v>0</v>
      </c>
      <c r="Q9" s="43">
        <v>0.40512500000000001</v>
      </c>
      <c r="R9" s="46" t="s">
        <v>89</v>
      </c>
      <c r="S9" s="34"/>
      <c r="T9" s="35"/>
    </row>
    <row r="10" spans="1:20" x14ac:dyDescent="0.25">
      <c r="A10" s="33">
        <v>7</v>
      </c>
      <c r="B10" s="43" t="s">
        <v>1626</v>
      </c>
      <c r="C10" s="43">
        <v>0</v>
      </c>
      <c r="D10" s="43">
        <v>0</v>
      </c>
      <c r="E10" s="43">
        <v>0</v>
      </c>
      <c r="F10" s="51">
        <v>0</v>
      </c>
      <c r="G10" s="43">
        <v>7916.5209000000004</v>
      </c>
      <c r="H10" s="43">
        <v>2851.42</v>
      </c>
      <c r="I10" s="43">
        <v>0.22559999999999999</v>
      </c>
      <c r="J10" s="43">
        <v>15.5</v>
      </c>
      <c r="K10" s="43">
        <v>0.5</v>
      </c>
      <c r="L10" s="34" t="s">
        <v>89</v>
      </c>
      <c r="M10" s="34" t="s">
        <v>89</v>
      </c>
      <c r="N10" s="34" t="s">
        <v>89</v>
      </c>
      <c r="O10" s="43">
        <v>0.98956511250000001</v>
      </c>
      <c r="P10" s="43">
        <v>0.58202750000000003</v>
      </c>
      <c r="Q10" s="43">
        <v>0.50193750000000004</v>
      </c>
      <c r="R10" s="46" t="s">
        <v>89</v>
      </c>
      <c r="S10" s="34"/>
      <c r="T10" s="35"/>
    </row>
    <row r="11" spans="1:20" x14ac:dyDescent="0.25">
      <c r="A11" s="33">
        <v>8</v>
      </c>
      <c r="B11" s="43" t="s">
        <v>1627</v>
      </c>
      <c r="C11" s="43">
        <v>1</v>
      </c>
      <c r="D11" s="43">
        <v>0</v>
      </c>
      <c r="E11" s="43">
        <v>1</v>
      </c>
      <c r="F11" s="51">
        <v>1</v>
      </c>
      <c r="G11" s="43">
        <v>2075.2103000000002</v>
      </c>
      <c r="H11" s="43">
        <v>1642.6063999999999</v>
      </c>
      <c r="I11" s="43">
        <v>0.3256</v>
      </c>
      <c r="J11" s="43">
        <v>61</v>
      </c>
      <c r="K11" s="43">
        <v>0.6</v>
      </c>
      <c r="L11" s="34" t="s">
        <v>89</v>
      </c>
      <c r="M11" s="34" t="s">
        <v>89</v>
      </c>
      <c r="N11" s="34" t="s">
        <v>89</v>
      </c>
      <c r="O11" s="43">
        <v>0.74059871249999998</v>
      </c>
      <c r="P11" s="43">
        <v>0.5309258</v>
      </c>
      <c r="Q11" s="43">
        <v>0.59237499999999998</v>
      </c>
      <c r="R11" s="46" t="s">
        <v>89</v>
      </c>
      <c r="S11" s="34"/>
      <c r="T11" s="35"/>
    </row>
    <row r="12" spans="1:20" x14ac:dyDescent="0.25">
      <c r="A12" s="33">
        <v>9</v>
      </c>
      <c r="B12" s="43" t="s">
        <v>1846</v>
      </c>
      <c r="C12" s="43">
        <v>1</v>
      </c>
      <c r="D12" s="43">
        <v>0</v>
      </c>
      <c r="E12" s="43">
        <v>1</v>
      </c>
      <c r="F12" s="52">
        <v>0.5</v>
      </c>
      <c r="G12" s="43">
        <v>1404.3022000000001</v>
      </c>
      <c r="H12" s="43">
        <v>4636.4588000000003</v>
      </c>
      <c r="I12" s="43">
        <v>0.32440000000000002</v>
      </c>
      <c r="J12" s="43">
        <v>71</v>
      </c>
      <c r="K12" s="43">
        <v>0.7</v>
      </c>
      <c r="L12" s="34" t="s">
        <v>89</v>
      </c>
      <c r="M12" s="34" t="s">
        <v>89</v>
      </c>
      <c r="N12" s="34" t="s">
        <v>89</v>
      </c>
      <c r="O12" s="43">
        <v>0.32446222499999999</v>
      </c>
      <c r="P12" s="43">
        <v>0.90395734999999999</v>
      </c>
      <c r="Q12" s="43">
        <v>0.69112499999999999</v>
      </c>
      <c r="R12" s="46" t="s">
        <v>89</v>
      </c>
      <c r="S12" s="34"/>
      <c r="T12" s="35"/>
    </row>
    <row r="13" spans="1:20" x14ac:dyDescent="0.25">
      <c r="A13" s="33">
        <v>10</v>
      </c>
      <c r="B13" s="43" t="s">
        <v>1628</v>
      </c>
      <c r="C13" s="43">
        <v>1</v>
      </c>
      <c r="D13" s="43">
        <v>0</v>
      </c>
      <c r="E13" s="43">
        <v>0</v>
      </c>
      <c r="F13" s="43">
        <v>0.53259999999999996</v>
      </c>
      <c r="G13" s="51">
        <v>10</v>
      </c>
      <c r="H13" s="43">
        <v>5044.2289000000001</v>
      </c>
      <c r="I13" s="43">
        <v>0.12559999999999999</v>
      </c>
      <c r="J13" s="43">
        <v>810</v>
      </c>
      <c r="K13" s="43">
        <v>0.8</v>
      </c>
      <c r="L13" s="34" t="s">
        <v>89</v>
      </c>
      <c r="M13" s="34" t="s">
        <v>89</v>
      </c>
      <c r="N13" s="34" t="s">
        <v>89</v>
      </c>
      <c r="O13" s="43">
        <v>0.53134999999999999</v>
      </c>
      <c r="P13" s="43">
        <v>0.75612861249999996</v>
      </c>
      <c r="Q13" s="43">
        <v>0.90125</v>
      </c>
      <c r="R13" s="46" t="s">
        <v>89</v>
      </c>
      <c r="S13" s="34"/>
      <c r="T13" s="35"/>
    </row>
    <row r="14" spans="1:20" x14ac:dyDescent="0.25">
      <c r="A14" s="33">
        <v>11</v>
      </c>
      <c r="B14" s="43" t="s">
        <v>1629</v>
      </c>
      <c r="C14" s="43">
        <v>0</v>
      </c>
      <c r="D14" s="43">
        <v>1</v>
      </c>
      <c r="E14" s="43">
        <v>1</v>
      </c>
      <c r="F14" s="43">
        <v>0.32140000000000002</v>
      </c>
      <c r="G14" s="51">
        <v>8000</v>
      </c>
      <c r="H14" s="43">
        <v>1124.2488000000001</v>
      </c>
      <c r="I14" s="43">
        <v>0.12356</v>
      </c>
      <c r="J14" s="43">
        <v>91.2</v>
      </c>
      <c r="K14" s="43">
        <v>0.9</v>
      </c>
      <c r="L14" s="34" t="s">
        <v>89</v>
      </c>
      <c r="M14" s="34" t="s">
        <v>89</v>
      </c>
      <c r="N14" s="34" t="s">
        <v>89</v>
      </c>
      <c r="O14" s="43">
        <v>1</v>
      </c>
      <c r="P14" s="43">
        <v>0</v>
      </c>
      <c r="Q14" s="43">
        <v>0.88859999999999995</v>
      </c>
      <c r="R14" s="46" t="s">
        <v>89</v>
      </c>
      <c r="S14" s="34"/>
      <c r="T14" s="35"/>
    </row>
    <row r="15" spans="1:20" x14ac:dyDescent="0.25">
      <c r="A15" s="33">
        <v>12</v>
      </c>
      <c r="B15" s="43" t="s">
        <v>1649</v>
      </c>
      <c r="C15" s="43">
        <v>1</v>
      </c>
      <c r="D15" s="43">
        <v>0</v>
      </c>
      <c r="E15" s="43">
        <v>1</v>
      </c>
      <c r="F15" s="43">
        <v>0.2356</v>
      </c>
      <c r="G15" s="51">
        <v>100</v>
      </c>
      <c r="H15" s="43">
        <v>4636.4588000000003</v>
      </c>
      <c r="I15" s="43">
        <v>0.3256</v>
      </c>
      <c r="J15" s="43">
        <v>101</v>
      </c>
      <c r="K15" s="43">
        <v>0.01</v>
      </c>
      <c r="L15" s="34" t="s">
        <v>89</v>
      </c>
      <c r="M15" s="34" t="s">
        <v>89</v>
      </c>
      <c r="N15" s="34" t="s">
        <v>89</v>
      </c>
      <c r="O15" s="43">
        <v>0.22309999999999999</v>
      </c>
      <c r="P15" s="83">
        <v>0.90515734999999997</v>
      </c>
      <c r="Q15" s="83">
        <v>0</v>
      </c>
      <c r="R15" s="46" t="s">
        <v>89</v>
      </c>
      <c r="S15" s="34"/>
      <c r="T15" s="35"/>
    </row>
    <row r="16" spans="1:20" x14ac:dyDescent="0.25">
      <c r="A16" s="33">
        <v>13</v>
      </c>
      <c r="B16" s="43" t="s">
        <v>1845</v>
      </c>
      <c r="C16" s="43">
        <v>0</v>
      </c>
      <c r="D16" s="43">
        <v>0</v>
      </c>
      <c r="E16" s="43">
        <v>1</v>
      </c>
      <c r="F16" s="43">
        <v>0.83320000000000005</v>
      </c>
      <c r="G16" s="52">
        <v>4217.0011999999997</v>
      </c>
      <c r="H16" s="43">
        <v>497.26130000000001</v>
      </c>
      <c r="I16" s="43">
        <v>0.14249999999999999</v>
      </c>
      <c r="J16" s="43">
        <v>111.3</v>
      </c>
      <c r="K16" s="43">
        <v>0.02</v>
      </c>
      <c r="L16" s="34" t="s">
        <v>89</v>
      </c>
      <c r="M16" s="34" t="s">
        <v>89</v>
      </c>
      <c r="N16" s="34" t="s">
        <v>89</v>
      </c>
      <c r="O16" s="43">
        <v>1</v>
      </c>
      <c r="P16" s="43">
        <v>0.2046576625</v>
      </c>
      <c r="Q16" s="43">
        <v>6.0875E-3</v>
      </c>
      <c r="R16" s="46" t="s">
        <v>89</v>
      </c>
      <c r="S16" s="34"/>
      <c r="T16" s="35"/>
    </row>
    <row r="17" spans="1:20" x14ac:dyDescent="0.25">
      <c r="A17" s="33">
        <v>14</v>
      </c>
      <c r="B17" s="43" t="s">
        <v>1630</v>
      </c>
      <c r="C17" s="43">
        <v>1</v>
      </c>
      <c r="D17" s="43">
        <v>0</v>
      </c>
      <c r="E17" s="43">
        <v>0</v>
      </c>
      <c r="F17" s="43">
        <v>0.24610000000000001</v>
      </c>
      <c r="G17" s="43">
        <v>5544.1499000000003</v>
      </c>
      <c r="H17" s="51">
        <v>10</v>
      </c>
      <c r="I17" s="43">
        <v>0.78879999999999995</v>
      </c>
      <c r="J17" s="43">
        <v>121</v>
      </c>
      <c r="K17" s="43">
        <v>0.03</v>
      </c>
      <c r="L17" s="34" t="s">
        <v>89</v>
      </c>
      <c r="M17" s="34" t="s">
        <v>89</v>
      </c>
      <c r="N17" s="34" t="s">
        <v>89</v>
      </c>
      <c r="O17" s="43">
        <v>0</v>
      </c>
      <c r="P17" s="43">
        <v>0.79005000000000003</v>
      </c>
      <c r="Q17" s="43">
        <v>4.5124999999999998E-2</v>
      </c>
      <c r="R17" s="46" t="s">
        <v>89</v>
      </c>
      <c r="S17" s="34"/>
      <c r="T17" s="35"/>
    </row>
    <row r="18" spans="1:20" x14ac:dyDescent="0.25">
      <c r="A18" s="33">
        <v>15</v>
      </c>
      <c r="B18" s="43" t="s">
        <v>1631</v>
      </c>
      <c r="C18" s="43">
        <v>1</v>
      </c>
      <c r="D18" s="43">
        <v>0</v>
      </c>
      <c r="E18" s="43">
        <v>1</v>
      </c>
      <c r="F18" s="53" t="s">
        <v>1834</v>
      </c>
      <c r="G18" s="43">
        <v>892.10130000000004</v>
      </c>
      <c r="H18" s="51">
        <v>8000</v>
      </c>
      <c r="I18" s="43">
        <v>0.87426000000000004</v>
      </c>
      <c r="J18" s="43">
        <v>133</v>
      </c>
      <c r="K18" s="43">
        <v>0.04</v>
      </c>
      <c r="L18" s="34" t="s">
        <v>89</v>
      </c>
      <c r="M18" s="34" t="s">
        <v>89</v>
      </c>
      <c r="N18" s="34" t="s">
        <v>89</v>
      </c>
      <c r="O18" s="43">
        <v>0.88848733749999997</v>
      </c>
      <c r="P18" s="43">
        <v>1</v>
      </c>
      <c r="Q18" s="43">
        <v>2.3375E-2</v>
      </c>
      <c r="R18" s="46" t="s">
        <v>89</v>
      </c>
      <c r="S18" s="34"/>
      <c r="T18" s="35"/>
    </row>
    <row r="19" spans="1:20" x14ac:dyDescent="0.25">
      <c r="A19" s="33">
        <v>16</v>
      </c>
      <c r="B19" s="43" t="s">
        <v>1650</v>
      </c>
      <c r="C19" s="43">
        <v>0</v>
      </c>
      <c r="D19" s="43">
        <v>1</v>
      </c>
      <c r="E19" s="43">
        <v>0</v>
      </c>
      <c r="F19" s="43">
        <v>0.2145</v>
      </c>
      <c r="G19" s="43">
        <v>892.10130000000004</v>
      </c>
      <c r="H19" s="51">
        <v>100</v>
      </c>
      <c r="I19" s="43">
        <v>0.61250000000000004</v>
      </c>
      <c r="J19" s="43">
        <v>141</v>
      </c>
      <c r="K19" s="43">
        <v>0.05</v>
      </c>
      <c r="L19" s="34" t="s">
        <v>89</v>
      </c>
      <c r="M19" s="34" t="s">
        <v>89</v>
      </c>
      <c r="N19" s="34" t="s">
        <v>89</v>
      </c>
      <c r="O19" s="43">
        <v>0.32601266249999999</v>
      </c>
      <c r="P19" s="43">
        <v>0.6</v>
      </c>
      <c r="Q19" s="43">
        <v>6.7625000000000005E-2</v>
      </c>
      <c r="R19" s="46" t="s">
        <v>89</v>
      </c>
      <c r="S19" s="34"/>
      <c r="T19" s="35"/>
    </row>
    <row r="20" spans="1:20" x14ac:dyDescent="0.25">
      <c r="A20" s="33">
        <v>17</v>
      </c>
      <c r="B20" s="43" t="s">
        <v>1847</v>
      </c>
      <c r="C20" s="43">
        <v>0</v>
      </c>
      <c r="D20" s="43">
        <v>0</v>
      </c>
      <c r="E20" s="43">
        <v>1</v>
      </c>
      <c r="F20" s="43">
        <v>0.32140000000000002</v>
      </c>
      <c r="G20" s="43">
        <v>886.92049999999995</v>
      </c>
      <c r="H20" s="52">
        <v>1071.5</v>
      </c>
      <c r="I20" s="43">
        <v>0.53620000000000001</v>
      </c>
      <c r="J20" s="43">
        <v>151</v>
      </c>
      <c r="K20" s="43">
        <v>0.06</v>
      </c>
      <c r="L20" s="34" t="s">
        <v>89</v>
      </c>
      <c r="M20" s="34" t="s">
        <v>89</v>
      </c>
      <c r="N20" s="34" t="s">
        <v>89</v>
      </c>
      <c r="O20" s="43">
        <v>0.43226506250000002</v>
      </c>
      <c r="P20" s="43">
        <v>0.67013750000000005</v>
      </c>
      <c r="Q20" s="43">
        <v>4.1125000000000002E-2</v>
      </c>
      <c r="R20" s="46" t="s">
        <v>89</v>
      </c>
      <c r="S20" s="34"/>
      <c r="T20" s="35"/>
    </row>
    <row r="21" spans="1:20" x14ac:dyDescent="0.25">
      <c r="A21" s="33">
        <v>18</v>
      </c>
      <c r="B21" s="43" t="s">
        <v>1632</v>
      </c>
      <c r="C21" s="43">
        <v>1</v>
      </c>
      <c r="D21" s="43">
        <v>0</v>
      </c>
      <c r="E21" s="43">
        <v>0</v>
      </c>
      <c r="F21" s="43">
        <v>0.36980000000000002</v>
      </c>
      <c r="G21" s="43">
        <v>2332.0050000000001</v>
      </c>
      <c r="H21" s="43">
        <v>3405.6087000000002</v>
      </c>
      <c r="I21" s="51">
        <v>0</v>
      </c>
      <c r="J21" s="43">
        <v>464</v>
      </c>
      <c r="K21" s="43">
        <v>7.0000000000000007E-2</v>
      </c>
      <c r="L21" s="34" t="s">
        <v>89</v>
      </c>
      <c r="M21" s="34" t="s">
        <v>89</v>
      </c>
      <c r="N21" s="34" t="s">
        <v>89</v>
      </c>
      <c r="O21" s="43">
        <v>7.8299375000000004E-2</v>
      </c>
      <c r="P21" s="43">
        <v>0.42570108750000002</v>
      </c>
      <c r="Q21" s="43">
        <v>0.128</v>
      </c>
      <c r="R21" s="46" t="s">
        <v>89</v>
      </c>
      <c r="S21" s="34"/>
      <c r="T21" s="35"/>
    </row>
    <row r="22" spans="1:20" x14ac:dyDescent="0.25">
      <c r="A22" s="33">
        <v>19</v>
      </c>
      <c r="B22" s="43" t="s">
        <v>1633</v>
      </c>
      <c r="C22" s="43">
        <v>1</v>
      </c>
      <c r="D22" s="43">
        <v>0</v>
      </c>
      <c r="E22" s="43">
        <v>1</v>
      </c>
      <c r="F22" s="43">
        <v>0.80320000000000003</v>
      </c>
      <c r="G22" s="43">
        <v>3197.4371999999998</v>
      </c>
      <c r="H22" s="43">
        <v>1505.1778999999999</v>
      </c>
      <c r="I22" s="51">
        <v>1</v>
      </c>
      <c r="J22" s="43">
        <v>571.23</v>
      </c>
      <c r="K22" s="43">
        <v>0.08</v>
      </c>
      <c r="L22" s="34" t="s">
        <v>89</v>
      </c>
      <c r="M22" s="34" t="s">
        <v>89</v>
      </c>
      <c r="N22" s="34" t="s">
        <v>89</v>
      </c>
      <c r="O22" s="43">
        <v>0.40352035000000003</v>
      </c>
      <c r="P22" s="43">
        <v>1</v>
      </c>
      <c r="Q22" s="43">
        <v>8.5962499999999997E-3</v>
      </c>
      <c r="R22" s="46" t="s">
        <v>89</v>
      </c>
      <c r="S22" s="34"/>
      <c r="T22" s="35"/>
    </row>
    <row r="23" spans="1:20" x14ac:dyDescent="0.25">
      <c r="A23" s="33">
        <v>20</v>
      </c>
      <c r="B23" s="43" t="s">
        <v>1848</v>
      </c>
      <c r="C23" s="43">
        <v>0</v>
      </c>
      <c r="D23" s="43">
        <v>0</v>
      </c>
      <c r="E23" s="43">
        <v>0</v>
      </c>
      <c r="F23" s="43">
        <v>3.2500000000000001E-2</v>
      </c>
      <c r="G23" s="43">
        <v>4477.1463000000003</v>
      </c>
      <c r="H23" s="43">
        <v>3969.3935000000001</v>
      </c>
      <c r="I23" s="52">
        <v>0.65400000000000003</v>
      </c>
      <c r="J23" s="43">
        <v>678</v>
      </c>
      <c r="K23" s="43">
        <v>0.09</v>
      </c>
      <c r="L23" s="34" t="s">
        <v>89</v>
      </c>
      <c r="M23" s="34" t="s">
        <v>89</v>
      </c>
      <c r="N23" s="34" t="s">
        <v>89</v>
      </c>
      <c r="O23" s="43">
        <v>0.5921432875</v>
      </c>
      <c r="P23" s="43">
        <v>1</v>
      </c>
      <c r="Q23" s="43">
        <v>0.17474999999999999</v>
      </c>
      <c r="R23" s="46" t="s">
        <v>89</v>
      </c>
      <c r="S23" s="34"/>
      <c r="T23" s="35"/>
    </row>
    <row r="24" spans="1:20" x14ac:dyDescent="0.25">
      <c r="A24" s="33">
        <v>21</v>
      </c>
      <c r="B24" s="43" t="s">
        <v>2045</v>
      </c>
      <c r="C24" s="43">
        <v>1</v>
      </c>
      <c r="D24" s="43">
        <v>0</v>
      </c>
      <c r="E24" s="51">
        <v>0</v>
      </c>
      <c r="F24" s="43">
        <v>0.80320000000000003</v>
      </c>
      <c r="G24" s="43">
        <v>3197.4371999999998</v>
      </c>
      <c r="H24" s="43">
        <v>1505.1778999999999</v>
      </c>
      <c r="I24" s="43">
        <v>1</v>
      </c>
      <c r="J24" s="43">
        <v>785.2</v>
      </c>
      <c r="K24" s="43">
        <v>0.1</v>
      </c>
      <c r="L24" s="34" t="s">
        <v>89</v>
      </c>
      <c r="M24" s="34" t="s">
        <v>89</v>
      </c>
      <c r="N24" s="34" t="s">
        <v>89</v>
      </c>
      <c r="O24" s="43">
        <v>0.40352035000000003</v>
      </c>
      <c r="P24" s="43">
        <v>1</v>
      </c>
      <c r="Q24" s="43">
        <v>0.19814999999999999</v>
      </c>
      <c r="R24" s="46" t="s">
        <v>89</v>
      </c>
      <c r="S24" s="34"/>
      <c r="T24" s="35"/>
    </row>
    <row r="25" spans="1:20" x14ac:dyDescent="0.25">
      <c r="A25" s="33">
        <v>22</v>
      </c>
      <c r="B25" s="43" t="s">
        <v>2046</v>
      </c>
      <c r="C25" s="43">
        <v>0</v>
      </c>
      <c r="D25" s="43">
        <v>1</v>
      </c>
      <c r="E25" s="51">
        <v>1</v>
      </c>
      <c r="F25" s="43">
        <v>3.2500000000000001E-2</v>
      </c>
      <c r="G25" s="43">
        <v>4477.1463000000003</v>
      </c>
      <c r="H25" s="43">
        <v>3969.3935000000001</v>
      </c>
      <c r="I25" s="43">
        <v>0.65400000000000003</v>
      </c>
      <c r="J25" s="43">
        <v>892</v>
      </c>
      <c r="K25" s="43">
        <v>0.11</v>
      </c>
      <c r="L25" s="34" t="s">
        <v>89</v>
      </c>
      <c r="M25" s="34" t="s">
        <v>89</v>
      </c>
      <c r="N25" s="34" t="s">
        <v>89</v>
      </c>
      <c r="O25" s="43">
        <v>0.5921432875</v>
      </c>
      <c r="P25" s="43">
        <v>0.1578258125</v>
      </c>
      <c r="Q25" s="43">
        <v>0</v>
      </c>
      <c r="R25" s="46" t="s">
        <v>89</v>
      </c>
      <c r="S25" s="34"/>
      <c r="T25" s="35"/>
    </row>
    <row r="26" spans="1:20" x14ac:dyDescent="0.25">
      <c r="A26" s="33">
        <v>23</v>
      </c>
      <c r="B26" s="43" t="s">
        <v>2047</v>
      </c>
      <c r="C26" s="43">
        <v>0</v>
      </c>
      <c r="D26" s="43">
        <v>1</v>
      </c>
      <c r="E26" s="43">
        <v>0</v>
      </c>
      <c r="F26" s="43">
        <v>0.2145</v>
      </c>
      <c r="G26" s="43">
        <v>892.10130000000004</v>
      </c>
      <c r="H26" s="43">
        <v>100</v>
      </c>
      <c r="I26" s="43">
        <v>0.61250000000000004</v>
      </c>
      <c r="J26" s="51">
        <v>10</v>
      </c>
      <c r="K26" s="43">
        <v>0.12</v>
      </c>
      <c r="L26" s="34" t="s">
        <v>89</v>
      </c>
      <c r="M26" s="34" t="s">
        <v>89</v>
      </c>
      <c r="N26" s="34" t="s">
        <v>89</v>
      </c>
      <c r="O26" s="43">
        <v>0.32601266249999999</v>
      </c>
      <c r="P26" s="43">
        <v>0.6</v>
      </c>
      <c r="Q26" s="43">
        <v>0.12125</v>
      </c>
      <c r="R26" s="46" t="s">
        <v>89</v>
      </c>
      <c r="S26" s="34"/>
      <c r="T26" s="35"/>
    </row>
    <row r="27" spans="1:20" x14ac:dyDescent="0.25">
      <c r="A27" s="33">
        <v>24</v>
      </c>
      <c r="B27" s="43" t="s">
        <v>2048</v>
      </c>
      <c r="C27" s="43">
        <v>0</v>
      </c>
      <c r="D27" s="43">
        <v>0</v>
      </c>
      <c r="E27" s="43">
        <v>1</v>
      </c>
      <c r="F27" s="43">
        <v>0.32140000000000002</v>
      </c>
      <c r="G27" s="43">
        <v>886.92049999999995</v>
      </c>
      <c r="H27" s="43">
        <v>1071.5</v>
      </c>
      <c r="I27" s="43">
        <v>0.53620000000000001</v>
      </c>
      <c r="J27" s="51">
        <v>8000</v>
      </c>
      <c r="K27" s="43">
        <v>0.13</v>
      </c>
      <c r="L27" s="34" t="s">
        <v>89</v>
      </c>
      <c r="M27" s="34" t="s">
        <v>89</v>
      </c>
      <c r="N27" s="34" t="s">
        <v>89</v>
      </c>
      <c r="O27" s="43">
        <v>0.43226506250000002</v>
      </c>
      <c r="P27" s="43">
        <v>0.67013750000000005</v>
      </c>
      <c r="Q27" s="43">
        <v>0</v>
      </c>
      <c r="R27" s="46" t="s">
        <v>89</v>
      </c>
      <c r="S27" s="34"/>
      <c r="T27" s="35"/>
    </row>
    <row r="28" spans="1:20" x14ac:dyDescent="0.25">
      <c r="A28" s="33">
        <v>25</v>
      </c>
      <c r="B28" s="43" t="s">
        <v>2049</v>
      </c>
      <c r="C28" s="43">
        <v>1</v>
      </c>
      <c r="D28" s="43">
        <v>0</v>
      </c>
      <c r="E28" s="43">
        <v>0</v>
      </c>
      <c r="F28" s="43">
        <v>0.36980000000000002</v>
      </c>
      <c r="G28" s="43">
        <v>2332.0050000000001</v>
      </c>
      <c r="H28" s="43">
        <v>3405.6087000000002</v>
      </c>
      <c r="I28" s="43">
        <v>0</v>
      </c>
      <c r="J28" s="51">
        <v>100</v>
      </c>
      <c r="K28" s="43">
        <v>0.14000000000000001</v>
      </c>
      <c r="L28" s="34" t="s">
        <v>89</v>
      </c>
      <c r="M28" s="34" t="s">
        <v>89</v>
      </c>
      <c r="N28" s="34" t="s">
        <v>89</v>
      </c>
      <c r="O28" s="43">
        <v>7.8299375000000004E-2</v>
      </c>
      <c r="P28" s="43">
        <v>0.42570108750000002</v>
      </c>
      <c r="Q28" s="43">
        <v>0.1525</v>
      </c>
      <c r="R28" s="46" t="s">
        <v>89</v>
      </c>
      <c r="S28" s="34"/>
      <c r="T28" s="35"/>
    </row>
    <row r="29" spans="1:20" x14ac:dyDescent="0.25">
      <c r="A29" s="33">
        <v>26</v>
      </c>
      <c r="B29" s="43" t="s">
        <v>2050</v>
      </c>
      <c r="C29" s="43">
        <v>1</v>
      </c>
      <c r="D29" s="43">
        <v>0</v>
      </c>
      <c r="E29" s="43">
        <v>1</v>
      </c>
      <c r="F29" s="43">
        <v>0.5</v>
      </c>
      <c r="G29" s="43">
        <v>1404.3022000000001</v>
      </c>
      <c r="H29" s="43">
        <v>4636.4588000000003</v>
      </c>
      <c r="I29" s="43">
        <v>0.32440000000000002</v>
      </c>
      <c r="J29" s="43">
        <v>1320</v>
      </c>
      <c r="K29" s="51">
        <v>0</v>
      </c>
      <c r="L29" s="34" t="s">
        <v>89</v>
      </c>
      <c r="M29" s="34" t="s">
        <v>89</v>
      </c>
      <c r="N29" s="34" t="s">
        <v>89</v>
      </c>
      <c r="O29" s="43">
        <v>0.32446222499999999</v>
      </c>
      <c r="P29" s="43">
        <v>0.90395734999999999</v>
      </c>
      <c r="Q29" s="43">
        <v>0</v>
      </c>
      <c r="R29" s="46" t="s">
        <v>89</v>
      </c>
      <c r="S29" s="34"/>
      <c r="T29" s="35"/>
    </row>
    <row r="30" spans="1:20" x14ac:dyDescent="0.25">
      <c r="A30" s="33">
        <v>27</v>
      </c>
      <c r="B30" s="43" t="s">
        <v>2051</v>
      </c>
      <c r="C30" s="43">
        <v>1</v>
      </c>
      <c r="D30" s="43">
        <v>0</v>
      </c>
      <c r="E30" s="43">
        <v>0</v>
      </c>
      <c r="F30" s="43">
        <v>0.53259999999999996</v>
      </c>
      <c r="G30" s="43">
        <v>10</v>
      </c>
      <c r="H30" s="43">
        <v>5044.2289000000001</v>
      </c>
      <c r="I30" s="43">
        <v>0.12559999999999999</v>
      </c>
      <c r="J30" s="43">
        <v>251.1</v>
      </c>
      <c r="K30" s="51">
        <v>1</v>
      </c>
      <c r="L30" s="34" t="s">
        <v>89</v>
      </c>
      <c r="M30" s="34" t="s">
        <v>89</v>
      </c>
      <c r="N30" s="34" t="s">
        <v>89</v>
      </c>
      <c r="O30" s="43">
        <v>0.53134999999999999</v>
      </c>
      <c r="P30" s="43">
        <v>0.75612861249999996</v>
      </c>
      <c r="Q30" s="43">
        <v>1</v>
      </c>
      <c r="R30" s="46" t="s">
        <v>89</v>
      </c>
      <c r="S30" s="34"/>
      <c r="T30" s="35"/>
    </row>
    <row r="31" spans="1:20" ht="15.75" thickBot="1" x14ac:dyDescent="0.3">
      <c r="A31" s="36">
        <v>28</v>
      </c>
      <c r="B31" s="44" t="s">
        <v>2052</v>
      </c>
      <c r="C31" s="44">
        <v>1</v>
      </c>
      <c r="D31" s="44">
        <v>0</v>
      </c>
      <c r="E31" s="44">
        <v>1</v>
      </c>
      <c r="F31" s="44">
        <v>0.3256</v>
      </c>
      <c r="G31" s="44">
        <v>7466.0209000000004</v>
      </c>
      <c r="H31" s="44">
        <v>5753.8751000000002</v>
      </c>
      <c r="I31" s="44">
        <v>0.32500000000000001</v>
      </c>
      <c r="J31" s="44">
        <v>261</v>
      </c>
      <c r="K31" s="55">
        <v>0.17</v>
      </c>
      <c r="L31" s="37" t="s">
        <v>89</v>
      </c>
      <c r="M31" s="37" t="s">
        <v>89</v>
      </c>
      <c r="N31" s="37" t="s">
        <v>89</v>
      </c>
      <c r="O31" s="44">
        <v>0</v>
      </c>
      <c r="P31" s="44">
        <v>1</v>
      </c>
      <c r="Q31" s="44">
        <v>0.137375</v>
      </c>
      <c r="R31" s="47" t="s">
        <v>89</v>
      </c>
      <c r="S31" s="37"/>
      <c r="T31" s="38"/>
    </row>
    <row r="32" spans="1:20" x14ac:dyDescent="0.25">
      <c r="A32" s="39"/>
      <c r="B32" s="39"/>
      <c r="C32" s="39"/>
      <c r="D32" s="39"/>
      <c r="E32" s="39"/>
      <c r="F32" s="39"/>
      <c r="G32" s="39"/>
      <c r="H32" s="39"/>
      <c r="I32" s="39"/>
      <c r="J32" s="39"/>
      <c r="K32" s="39"/>
      <c r="L32" s="39"/>
      <c r="M32" s="39"/>
      <c r="N32" s="39"/>
      <c r="O32" s="39"/>
      <c r="P32" s="39"/>
      <c r="Q32" s="39"/>
      <c r="R32" s="39"/>
      <c r="S32" s="39"/>
      <c r="T32" s="39"/>
    </row>
    <row r="33" spans="1:20" x14ac:dyDescent="0.25">
      <c r="A33" s="39"/>
      <c r="B33" s="39"/>
      <c r="C33" s="39"/>
      <c r="D33" s="39"/>
      <c r="E33" s="39"/>
      <c r="F33" s="39"/>
      <c r="G33" s="39"/>
      <c r="H33" s="39"/>
      <c r="I33" s="39"/>
      <c r="J33" s="39"/>
      <c r="K33" s="39"/>
      <c r="L33" s="39"/>
      <c r="M33" s="39"/>
      <c r="N33" s="39"/>
      <c r="O33" s="39"/>
      <c r="P33" s="39"/>
      <c r="Q33" s="39"/>
      <c r="R33" s="39"/>
      <c r="S33" s="39"/>
      <c r="T33" s="39"/>
    </row>
    <row r="34" spans="1:20" x14ac:dyDescent="0.25">
      <c r="A34" s="39"/>
      <c r="B34" s="39"/>
      <c r="C34" s="39"/>
      <c r="D34" s="39"/>
      <c r="E34" s="39"/>
      <c r="F34" s="39"/>
      <c r="G34" s="39"/>
      <c r="H34" s="39"/>
      <c r="I34" s="39"/>
      <c r="J34" s="39"/>
      <c r="K34" s="39"/>
      <c r="L34" s="39"/>
      <c r="M34" s="39"/>
      <c r="N34" s="39"/>
      <c r="O34" s="39"/>
      <c r="P34" s="39"/>
      <c r="Q34" s="39"/>
      <c r="R34" s="39"/>
      <c r="S34" s="39"/>
      <c r="T34" s="39"/>
    </row>
    <row r="35" spans="1:20" x14ac:dyDescent="0.25">
      <c r="A35" s="39"/>
      <c r="B35" s="39"/>
      <c r="C35" s="39"/>
      <c r="D35" s="39"/>
      <c r="E35" s="39"/>
      <c r="F35" s="39"/>
      <c r="G35" s="39"/>
      <c r="H35" s="39"/>
      <c r="I35" s="39"/>
      <c r="J35" s="39"/>
      <c r="K35" s="39"/>
      <c r="L35" s="39"/>
      <c r="M35" s="39"/>
      <c r="N35" s="39"/>
      <c r="O35" s="39"/>
      <c r="P35" s="39"/>
      <c r="Q35" s="39"/>
      <c r="R35" s="39"/>
      <c r="S35" s="39"/>
      <c r="T35" s="39"/>
    </row>
    <row r="36" spans="1:20" x14ac:dyDescent="0.25">
      <c r="A36" s="39"/>
      <c r="B36" s="39"/>
      <c r="C36" s="39"/>
      <c r="D36" s="39"/>
      <c r="E36" s="39"/>
      <c r="F36" s="39"/>
      <c r="G36" s="39"/>
      <c r="H36" s="39"/>
      <c r="I36" s="39"/>
      <c r="J36" s="39"/>
      <c r="K36" s="39"/>
      <c r="L36" s="39"/>
      <c r="M36" s="39"/>
      <c r="N36" s="39"/>
      <c r="O36" s="39"/>
      <c r="P36" s="39"/>
      <c r="Q36" s="39"/>
      <c r="R36" s="39"/>
      <c r="S36" s="39"/>
      <c r="T36" s="39"/>
    </row>
    <row r="37" spans="1:20" x14ac:dyDescent="0.25">
      <c r="A37" s="39"/>
      <c r="B37" s="39"/>
      <c r="C37" s="39"/>
      <c r="D37" s="39"/>
      <c r="E37" s="39"/>
      <c r="F37" s="39"/>
      <c r="G37" s="39"/>
      <c r="H37" s="39"/>
      <c r="I37" s="39"/>
      <c r="J37" s="39"/>
      <c r="K37" s="39"/>
      <c r="L37" s="39"/>
      <c r="M37" s="39"/>
      <c r="N37" s="39"/>
      <c r="O37" s="39"/>
      <c r="P37" s="39"/>
      <c r="Q37" s="39"/>
      <c r="R37" s="39"/>
      <c r="S37" s="39"/>
      <c r="T37" s="39"/>
    </row>
    <row r="38" spans="1:20" x14ac:dyDescent="0.25">
      <c r="A38" s="39"/>
      <c r="B38" s="39"/>
      <c r="C38" s="39"/>
      <c r="D38" s="39"/>
      <c r="E38" s="39"/>
      <c r="F38" s="39"/>
      <c r="G38" s="39"/>
      <c r="H38" s="39"/>
      <c r="I38" s="39"/>
      <c r="J38" s="39"/>
      <c r="K38" s="39"/>
      <c r="L38" s="39"/>
      <c r="M38" s="39"/>
      <c r="N38" s="39"/>
      <c r="O38" s="39"/>
      <c r="P38" s="39"/>
      <c r="Q38" s="39"/>
      <c r="R38" s="39"/>
      <c r="S38" s="39"/>
      <c r="T38" s="39"/>
    </row>
    <row r="39" spans="1:20" x14ac:dyDescent="0.25">
      <c r="A39" s="39"/>
      <c r="B39" s="39"/>
      <c r="C39" s="39"/>
      <c r="D39" s="39"/>
      <c r="E39" s="39"/>
      <c r="F39" s="39"/>
      <c r="G39" s="39"/>
      <c r="H39" s="39"/>
      <c r="I39" s="39"/>
      <c r="J39" s="39"/>
      <c r="K39" s="39"/>
      <c r="L39" s="39"/>
      <c r="M39" s="39"/>
      <c r="N39" s="39"/>
      <c r="O39" s="39"/>
      <c r="P39" s="39"/>
      <c r="Q39" s="39"/>
      <c r="R39" s="39"/>
      <c r="S39" s="39"/>
      <c r="T39" s="39"/>
    </row>
    <row r="40" spans="1:20" x14ac:dyDescent="0.25">
      <c r="A40" s="39"/>
      <c r="B40" s="39"/>
      <c r="C40" s="39"/>
      <c r="D40" s="39"/>
      <c r="E40" s="39"/>
      <c r="F40" s="39"/>
      <c r="G40" s="39"/>
      <c r="H40" s="39"/>
      <c r="I40" s="39"/>
      <c r="J40" s="39"/>
      <c r="K40" s="39"/>
      <c r="L40" s="39"/>
      <c r="M40" s="39"/>
      <c r="N40" s="39"/>
      <c r="O40" s="39"/>
      <c r="P40" s="39"/>
      <c r="Q40" s="39"/>
      <c r="R40" s="39"/>
      <c r="S40" s="39"/>
      <c r="T40" s="39"/>
    </row>
    <row r="41" spans="1:20" x14ac:dyDescent="0.25">
      <c r="A41" s="39"/>
      <c r="B41" s="39"/>
      <c r="C41" s="39"/>
      <c r="D41" s="39"/>
      <c r="E41" s="39"/>
      <c r="F41" s="39"/>
      <c r="G41" s="39"/>
      <c r="H41" s="39"/>
      <c r="I41" s="39"/>
      <c r="J41" s="39"/>
      <c r="K41" s="39"/>
      <c r="L41" s="39"/>
      <c r="M41" s="39"/>
      <c r="N41" s="39"/>
      <c r="O41" s="39"/>
      <c r="P41" s="39"/>
      <c r="Q41" s="39"/>
      <c r="R41" s="39"/>
      <c r="S41" s="39"/>
      <c r="T41" s="39"/>
    </row>
  </sheetData>
  <sheetProtection sheet="1" objects="1" scenarios="1"/>
  <mergeCells count="2">
    <mergeCell ref="A1:B1"/>
    <mergeCell ref="A2:B2"/>
  </mergeCells>
  <hyperlinks>
    <hyperlink ref="A1" location="'LoaMtgtnSclFac'!A1" display="'LoaMtgtnSclFac'!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v>0</v>
      </c>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20"/>
      <c r="D15" s="221" t="s">
        <v>45</v>
      </c>
      <c r="E15" s="222"/>
      <c r="F15" s="174" t="s">
        <v>46</v>
      </c>
    </row>
    <row r="16" spans="1:6" x14ac:dyDescent="0.25">
      <c r="A16" s="176" t="s">
        <v>47</v>
      </c>
      <c r="B16" s="177" t="s">
        <v>48</v>
      </c>
      <c r="C16" s="178" t="s">
        <v>49</v>
      </c>
      <c r="D16" s="182" t="s">
        <v>50</v>
      </c>
      <c r="E16" s="181" t="s">
        <v>51</v>
      </c>
      <c r="F16" s="13" t="s">
        <v>47</v>
      </c>
    </row>
    <row r="17" spans="1:6" x14ac:dyDescent="0.25">
      <c r="A17" s="24" t="s">
        <v>1487</v>
      </c>
      <c r="B17" s="14" t="s">
        <v>61</v>
      </c>
      <c r="C17" s="15">
        <v>2</v>
      </c>
      <c r="D17" s="16" t="s">
        <v>118</v>
      </c>
      <c r="E17" s="17" t="s">
        <v>118</v>
      </c>
      <c r="F17" s="18"/>
    </row>
    <row r="18" spans="1:6" x14ac:dyDescent="0.25">
      <c r="A18" s="24" t="s">
        <v>1487</v>
      </c>
      <c r="B18" s="14" t="s">
        <v>2064</v>
      </c>
      <c r="C18" s="15">
        <v>7</v>
      </c>
      <c r="D18" s="16" t="s">
        <v>121</v>
      </c>
      <c r="E18" s="17" t="s">
        <v>121</v>
      </c>
      <c r="F18" s="18"/>
    </row>
    <row r="19" spans="1:6" x14ac:dyDescent="0.25">
      <c r="A19" s="24" t="s">
        <v>1487</v>
      </c>
      <c r="B19" s="14" t="s">
        <v>106</v>
      </c>
      <c r="C19" s="15">
        <v>2</v>
      </c>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146"/>
      <c r="E318" s="147"/>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6">
    <dataValidation type="list" allowBlank="1" showInputMessage="1" showErrorMessage="1" sqref="A318:A917">
      <formula1>TestFunctionNameList</formula1>
    </dataValidation>
    <dataValidation type="list" allowBlank="1" showInputMessage="1" showErrorMessage="1" sqref="D318:E917">
      <formula1>VariableNameList</formula1>
    </dataValidation>
    <dataValidation type="list" allowBlank="1" showInputMessage="1" showErrorMessage="1" sqref="F318:F917">
      <formula1>StubFunctionNameList</formula1>
    </dataValidation>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IntegralStateVarNonOperState( M'!A1" display="'IntegralStateVarNonOperState( M'!A1"/>
    <hyperlink ref="A18" location="'IntegralStateVarNonOperState( R'!A1" display="'IntegralStateVarNonOperState( R'!A1"/>
    <hyperlink ref="A19" location="'IntegralStateVarNonOperState( P'!A1" display="'IntegralStateVarNonOperState( P'!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5"/>
  <sheetViews>
    <sheetView workbookViewId="0">
      <selection sqref="A1:B1"/>
    </sheetView>
  </sheetViews>
  <sheetFormatPr defaultRowHeight="15" x14ac:dyDescent="0.25"/>
  <cols>
    <col min="1" max="1" width="8.140625" bestFit="1" customWidth="1"/>
    <col min="2" max="2" width="78.42578125" bestFit="1" customWidth="1"/>
    <col min="3" max="3" width="4.140625" bestFit="1" customWidth="1"/>
    <col min="4" max="4" width="8" bestFit="1" customWidth="1"/>
    <col min="5" max="5" width="6.7109375" bestFit="1" customWidth="1"/>
    <col min="6" max="7" width="3.28515625" bestFit="1" customWidth="1"/>
    <col min="8" max="8" width="8" bestFit="1" customWidth="1"/>
    <col min="9" max="9" width="7.28515625" bestFit="1" customWidth="1"/>
    <col min="10" max="10" width="10.5703125" bestFit="1" customWidth="1"/>
    <col min="11" max="11" width="12.42578125" bestFit="1" customWidth="1"/>
    <col min="12" max="12" width="10.5703125" bestFit="1" customWidth="1"/>
  </cols>
  <sheetData>
    <row r="1" spans="1:12" x14ac:dyDescent="0.25">
      <c r="A1" s="228" t="s">
        <v>1487</v>
      </c>
      <c r="B1" s="229"/>
      <c r="C1" s="42" t="s">
        <v>90</v>
      </c>
      <c r="D1" s="54" t="s">
        <v>89</v>
      </c>
      <c r="E1" s="175"/>
      <c r="F1" s="175"/>
      <c r="G1" s="175"/>
      <c r="H1" s="175"/>
      <c r="I1" s="175"/>
      <c r="J1" s="40"/>
      <c r="K1" s="40"/>
      <c r="L1" s="41"/>
    </row>
    <row r="2" spans="1:12" ht="60" customHeight="1" x14ac:dyDescent="0.25">
      <c r="A2" s="230" t="s">
        <v>61</v>
      </c>
      <c r="B2" s="231"/>
      <c r="C2" s="50" t="s">
        <v>1302</v>
      </c>
      <c r="D2" s="50" t="s">
        <v>91</v>
      </c>
      <c r="E2" s="50" t="s">
        <v>91</v>
      </c>
      <c r="F2" s="45" t="s">
        <v>83</v>
      </c>
      <c r="G2" s="25" t="s">
        <v>83</v>
      </c>
      <c r="H2" s="26" t="s">
        <v>84</v>
      </c>
      <c r="I2" s="26" t="s">
        <v>84</v>
      </c>
      <c r="J2" s="27" t="s">
        <v>24</v>
      </c>
      <c r="K2" s="27" t="s">
        <v>86</v>
      </c>
      <c r="L2" s="28" t="s">
        <v>88</v>
      </c>
    </row>
    <row r="3" spans="1:12" ht="120" x14ac:dyDescent="0.25">
      <c r="A3" s="29" t="s">
        <v>81</v>
      </c>
      <c r="B3" s="30" t="s">
        <v>82</v>
      </c>
      <c r="C3" s="82" t="s">
        <v>1493</v>
      </c>
      <c r="D3" s="49" t="s">
        <v>118</v>
      </c>
      <c r="E3" s="49" t="s">
        <v>121</v>
      </c>
      <c r="F3" s="31" t="s">
        <v>118</v>
      </c>
      <c r="G3" s="31" t="s">
        <v>121</v>
      </c>
      <c r="H3" s="32" t="s">
        <v>118</v>
      </c>
      <c r="I3" s="32" t="s">
        <v>121</v>
      </c>
      <c r="J3" s="27" t="s">
        <v>85</v>
      </c>
      <c r="K3" s="27" t="s">
        <v>87</v>
      </c>
      <c r="L3" s="28"/>
    </row>
    <row r="4" spans="1:12" ht="16.5" customHeight="1" x14ac:dyDescent="0.25">
      <c r="A4" s="33">
        <v>1</v>
      </c>
      <c r="B4" s="43" t="s">
        <v>1905</v>
      </c>
      <c r="C4" s="69">
        <v>0</v>
      </c>
      <c r="D4" s="71">
        <v>-31</v>
      </c>
      <c r="E4" s="71" t="s">
        <v>184</v>
      </c>
      <c r="F4" s="69" t="s">
        <v>89</v>
      </c>
      <c r="G4" s="69" t="s">
        <v>89</v>
      </c>
      <c r="H4" s="69">
        <v>0</v>
      </c>
      <c r="I4" s="69">
        <v>0</v>
      </c>
      <c r="J4" s="46" t="s">
        <v>89</v>
      </c>
      <c r="K4" s="34"/>
      <c r="L4" s="35"/>
    </row>
    <row r="5" spans="1:12" ht="15.75" thickBot="1" x14ac:dyDescent="0.3">
      <c r="A5" s="36">
        <v>2</v>
      </c>
      <c r="B5" s="44" t="s">
        <v>1906</v>
      </c>
      <c r="C5" s="167">
        <v>2</v>
      </c>
      <c r="D5" s="167">
        <v>24.839099999999998</v>
      </c>
      <c r="E5" s="167">
        <v>-6.7229999999999999</v>
      </c>
      <c r="F5" s="168" t="s">
        <v>89</v>
      </c>
      <c r="G5" s="168" t="s">
        <v>89</v>
      </c>
      <c r="H5" s="167">
        <v>24.839099999999998</v>
      </c>
      <c r="I5" s="167">
        <v>-6.7229999999999999</v>
      </c>
      <c r="J5" s="47" t="s">
        <v>89</v>
      </c>
      <c r="K5" s="37"/>
      <c r="L5" s="38"/>
    </row>
    <row r="6" spans="1:12" x14ac:dyDescent="0.25">
      <c r="A6" s="39"/>
      <c r="B6" s="39"/>
      <c r="C6" s="39"/>
      <c r="D6" s="39"/>
      <c r="E6" s="39"/>
      <c r="F6" s="39"/>
      <c r="G6" s="39"/>
      <c r="H6" s="39"/>
      <c r="I6" s="39"/>
      <c r="J6" s="39"/>
      <c r="K6" s="39"/>
      <c r="L6" s="39"/>
    </row>
    <row r="7" spans="1:12" x14ac:dyDescent="0.25">
      <c r="A7" s="39"/>
      <c r="B7" s="39"/>
      <c r="C7" s="39"/>
      <c r="D7" s="39"/>
      <c r="E7" s="39"/>
      <c r="F7" s="39"/>
      <c r="G7" s="39"/>
      <c r="H7" s="39"/>
      <c r="I7" s="39"/>
      <c r="J7" s="39"/>
      <c r="K7" s="39"/>
      <c r="L7" s="39"/>
    </row>
    <row r="8" spans="1:12" x14ac:dyDescent="0.25">
      <c r="A8" s="39"/>
      <c r="B8" s="39"/>
      <c r="C8" s="39"/>
      <c r="D8" s="39"/>
      <c r="E8" s="39"/>
      <c r="F8" s="39"/>
      <c r="G8" s="39"/>
      <c r="H8" s="39"/>
      <c r="I8" s="39"/>
      <c r="J8" s="39"/>
      <c r="K8" s="39"/>
      <c r="L8" s="39"/>
    </row>
    <row r="9" spans="1:12" x14ac:dyDescent="0.25">
      <c r="A9" s="39"/>
      <c r="B9" s="39"/>
      <c r="C9" s="39"/>
      <c r="D9" s="39"/>
      <c r="E9" s="39"/>
      <c r="F9" s="39"/>
      <c r="G9" s="39"/>
      <c r="H9" s="39"/>
      <c r="I9" s="39"/>
      <c r="J9" s="39"/>
      <c r="K9" s="39"/>
      <c r="L9" s="39"/>
    </row>
    <row r="10" spans="1:12" x14ac:dyDescent="0.25">
      <c r="A10" s="39"/>
      <c r="B10" s="39"/>
      <c r="C10" s="39"/>
      <c r="D10" s="39"/>
      <c r="E10" s="39"/>
      <c r="F10" s="39"/>
      <c r="G10" s="39"/>
      <c r="H10" s="39"/>
      <c r="I10" s="39"/>
      <c r="J10" s="39"/>
      <c r="K10" s="39"/>
      <c r="L10" s="39"/>
    </row>
    <row r="11" spans="1:12" x14ac:dyDescent="0.25">
      <c r="A11" s="39"/>
      <c r="B11" s="39"/>
      <c r="C11" s="39"/>
      <c r="D11" s="39"/>
      <c r="E11" s="39"/>
      <c r="F11" s="39"/>
      <c r="G11" s="39"/>
      <c r="H11" s="39"/>
      <c r="I11" s="39"/>
      <c r="J11" s="39"/>
      <c r="K11" s="39"/>
      <c r="L11" s="39"/>
    </row>
    <row r="12" spans="1:12" x14ac:dyDescent="0.25">
      <c r="A12" s="39"/>
      <c r="B12" s="39"/>
      <c r="C12" s="39"/>
      <c r="D12" s="39"/>
      <c r="E12" s="39"/>
      <c r="F12" s="39"/>
      <c r="G12" s="39"/>
      <c r="H12" s="39"/>
      <c r="I12" s="39"/>
      <c r="J12" s="39"/>
      <c r="K12" s="39"/>
      <c r="L12" s="39"/>
    </row>
    <row r="13" spans="1:12" x14ac:dyDescent="0.25">
      <c r="A13" s="39"/>
      <c r="B13" s="39"/>
      <c r="C13" s="39"/>
      <c r="D13" s="39"/>
      <c r="E13" s="39"/>
      <c r="F13" s="39"/>
      <c r="G13" s="39"/>
      <c r="H13" s="39"/>
      <c r="I13" s="39"/>
      <c r="J13" s="39"/>
      <c r="K13" s="39"/>
      <c r="L13" s="39"/>
    </row>
    <row r="14" spans="1:12" x14ac:dyDescent="0.25">
      <c r="A14" s="39"/>
      <c r="B14" s="39"/>
      <c r="C14" s="39"/>
      <c r="D14" s="39"/>
      <c r="E14" s="39"/>
      <c r="F14" s="39"/>
      <c r="G14" s="39"/>
      <c r="H14" s="39"/>
      <c r="I14" s="39"/>
      <c r="J14" s="39"/>
      <c r="K14" s="39"/>
      <c r="L14" s="39"/>
    </row>
    <row r="15" spans="1:12" x14ac:dyDescent="0.25">
      <c r="A15" s="39"/>
      <c r="B15" s="39"/>
      <c r="C15" s="39"/>
      <c r="D15" s="39"/>
      <c r="E15" s="39"/>
      <c r="F15" s="39"/>
      <c r="G15" s="39"/>
      <c r="H15" s="39"/>
      <c r="I15" s="39"/>
      <c r="J15" s="39"/>
      <c r="K15" s="39"/>
      <c r="L15" s="39"/>
    </row>
  </sheetData>
  <sheetProtection sheet="1" objects="1" scenarios="1"/>
  <mergeCells count="2">
    <mergeCell ref="A1:B1"/>
    <mergeCell ref="A2:B2"/>
  </mergeCells>
  <hyperlinks>
    <hyperlink ref="A1" location="'IntegralStateVarNonOperState'!A1" display="'IntegralStateVarNonOperState'!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15"/>
  <sheetViews>
    <sheetView workbookViewId="0">
      <selection sqref="A1:B1"/>
    </sheetView>
  </sheetViews>
  <sheetFormatPr defaultRowHeight="15" x14ac:dyDescent="0.25"/>
  <cols>
    <col min="1" max="1" width="8.140625" bestFit="1" customWidth="1"/>
    <col min="2" max="2" width="63.140625" bestFit="1" customWidth="1"/>
    <col min="3" max="3" width="4.140625" bestFit="1" customWidth="1"/>
    <col min="4" max="4" width="8" bestFit="1" customWidth="1"/>
    <col min="5" max="5" width="6.7109375" bestFit="1" customWidth="1"/>
    <col min="6" max="7" width="3.28515625" bestFit="1" customWidth="1"/>
    <col min="8" max="8" width="8" bestFit="1" customWidth="1"/>
    <col min="9" max="9" width="7.28515625" bestFit="1" customWidth="1"/>
    <col min="10" max="10" width="10.5703125" bestFit="1" customWidth="1"/>
    <col min="11" max="11" width="12.42578125" bestFit="1" customWidth="1"/>
    <col min="12" max="12" width="10.5703125" bestFit="1" customWidth="1"/>
  </cols>
  <sheetData>
    <row r="1" spans="1:12" x14ac:dyDescent="0.25">
      <c r="A1" s="228" t="s">
        <v>1487</v>
      </c>
      <c r="B1" s="229"/>
      <c r="C1" s="42" t="s">
        <v>90</v>
      </c>
      <c r="D1" s="54" t="s">
        <v>89</v>
      </c>
      <c r="E1" s="175"/>
      <c r="F1" s="175"/>
      <c r="G1" s="175"/>
      <c r="H1" s="175"/>
      <c r="I1" s="175"/>
      <c r="J1" s="40"/>
      <c r="K1" s="40"/>
      <c r="L1" s="41"/>
    </row>
    <row r="2" spans="1:12" ht="60" customHeight="1" x14ac:dyDescent="0.25">
      <c r="A2" s="230" t="s">
        <v>106</v>
      </c>
      <c r="B2" s="231"/>
      <c r="C2" s="50" t="s">
        <v>1302</v>
      </c>
      <c r="D2" s="50" t="s">
        <v>91</v>
      </c>
      <c r="E2" s="50" t="s">
        <v>91</v>
      </c>
      <c r="F2" s="45" t="s">
        <v>83</v>
      </c>
      <c r="G2" s="25" t="s">
        <v>83</v>
      </c>
      <c r="H2" s="26" t="s">
        <v>84</v>
      </c>
      <c r="I2" s="26" t="s">
        <v>84</v>
      </c>
      <c r="J2" s="27" t="s">
        <v>24</v>
      </c>
      <c r="K2" s="27" t="s">
        <v>86</v>
      </c>
      <c r="L2" s="28" t="s">
        <v>88</v>
      </c>
    </row>
    <row r="3" spans="1:12" ht="120" x14ac:dyDescent="0.25">
      <c r="A3" s="29" t="s">
        <v>81</v>
      </c>
      <c r="B3" s="30" t="s">
        <v>82</v>
      </c>
      <c r="C3" s="82" t="s">
        <v>1493</v>
      </c>
      <c r="D3" s="49" t="s">
        <v>118</v>
      </c>
      <c r="E3" s="49" t="s">
        <v>121</v>
      </c>
      <c r="F3" s="31" t="s">
        <v>118</v>
      </c>
      <c r="G3" s="31" t="s">
        <v>121</v>
      </c>
      <c r="H3" s="32" t="s">
        <v>118</v>
      </c>
      <c r="I3" s="32" t="s">
        <v>121</v>
      </c>
      <c r="J3" s="27" t="s">
        <v>85</v>
      </c>
      <c r="K3" s="27" t="s">
        <v>87</v>
      </c>
      <c r="L3" s="28"/>
    </row>
    <row r="4" spans="1:12" x14ac:dyDescent="0.25">
      <c r="A4" s="33">
        <v>1</v>
      </c>
      <c r="B4" s="43" t="s">
        <v>1903</v>
      </c>
      <c r="C4" s="69">
        <v>0</v>
      </c>
      <c r="D4" s="71">
        <v>-31</v>
      </c>
      <c r="E4" s="71" t="s">
        <v>184</v>
      </c>
      <c r="F4" s="69" t="s">
        <v>89</v>
      </c>
      <c r="G4" s="69" t="s">
        <v>89</v>
      </c>
      <c r="H4" s="69">
        <v>0</v>
      </c>
      <c r="I4" s="69">
        <v>0</v>
      </c>
      <c r="J4" s="46" t="s">
        <v>89</v>
      </c>
      <c r="K4" s="34"/>
      <c r="L4" s="35"/>
    </row>
    <row r="5" spans="1:12" ht="15.75" thickBot="1" x14ac:dyDescent="0.3">
      <c r="A5" s="36">
        <v>2</v>
      </c>
      <c r="B5" s="44" t="s">
        <v>1904</v>
      </c>
      <c r="C5" s="167">
        <v>2</v>
      </c>
      <c r="D5" s="167">
        <v>24.839099999999998</v>
      </c>
      <c r="E5" s="167">
        <v>-6.7229999999999999</v>
      </c>
      <c r="F5" s="168" t="s">
        <v>89</v>
      </c>
      <c r="G5" s="168" t="s">
        <v>89</v>
      </c>
      <c r="H5" s="167">
        <v>24.839099999999998</v>
      </c>
      <c r="I5" s="167">
        <v>-6.7229999999999999</v>
      </c>
      <c r="J5" s="47" t="s">
        <v>89</v>
      </c>
      <c r="K5" s="37"/>
      <c r="L5" s="38"/>
    </row>
    <row r="6" spans="1:12" x14ac:dyDescent="0.25">
      <c r="A6" s="39"/>
      <c r="B6" s="39"/>
      <c r="C6" s="39"/>
      <c r="D6" s="39"/>
      <c r="E6" s="39"/>
      <c r="F6" s="39"/>
      <c r="G6" s="39"/>
      <c r="H6" s="39"/>
      <c r="I6" s="39"/>
      <c r="J6" s="39"/>
      <c r="K6" s="39"/>
      <c r="L6" s="39"/>
    </row>
    <row r="7" spans="1:12" x14ac:dyDescent="0.25">
      <c r="A7" s="39"/>
      <c r="B7" s="39"/>
      <c r="C7" s="39"/>
      <c r="D7" s="39"/>
      <c r="E7" s="39"/>
      <c r="F7" s="39"/>
      <c r="G7" s="39"/>
      <c r="H7" s="39"/>
      <c r="I7" s="39"/>
      <c r="J7" s="39"/>
      <c r="K7" s="39"/>
      <c r="L7" s="39"/>
    </row>
    <row r="8" spans="1:12" x14ac:dyDescent="0.25">
      <c r="A8" s="39"/>
      <c r="B8" s="39"/>
      <c r="C8" s="39"/>
      <c r="D8" s="39"/>
      <c r="E8" s="39"/>
      <c r="F8" s="39"/>
      <c r="G8" s="39"/>
      <c r="H8" s="39"/>
      <c r="I8" s="39"/>
      <c r="J8" s="39"/>
      <c r="K8" s="39"/>
      <c r="L8" s="39"/>
    </row>
    <row r="9" spans="1:12" x14ac:dyDescent="0.25">
      <c r="A9" s="39"/>
      <c r="B9" s="39"/>
      <c r="C9" s="39"/>
      <c r="D9" s="39"/>
      <c r="E9" s="39"/>
      <c r="F9" s="39"/>
      <c r="G9" s="39"/>
      <c r="H9" s="39"/>
      <c r="I9" s="39"/>
      <c r="J9" s="39"/>
      <c r="K9" s="39"/>
      <c r="L9" s="39"/>
    </row>
    <row r="10" spans="1:12" x14ac:dyDescent="0.25">
      <c r="A10" s="39"/>
      <c r="B10" s="39"/>
      <c r="C10" s="39"/>
      <c r="D10" s="39"/>
      <c r="E10" s="39"/>
      <c r="F10" s="39"/>
      <c r="G10" s="39"/>
      <c r="H10" s="39"/>
      <c r="I10" s="39"/>
      <c r="J10" s="39"/>
      <c r="K10" s="39"/>
      <c r="L10" s="39"/>
    </row>
    <row r="11" spans="1:12" x14ac:dyDescent="0.25">
      <c r="A11" s="39"/>
      <c r="B11" s="39"/>
      <c r="C11" s="39"/>
      <c r="D11" s="39"/>
      <c r="E11" s="39"/>
      <c r="F11" s="39"/>
      <c r="G11" s="39"/>
      <c r="H11" s="39"/>
      <c r="I11" s="39"/>
      <c r="J11" s="39"/>
      <c r="K11" s="39"/>
      <c r="L11" s="39"/>
    </row>
    <row r="12" spans="1:12" x14ac:dyDescent="0.25">
      <c r="A12" s="39"/>
      <c r="B12" s="39"/>
      <c r="C12" s="39"/>
      <c r="D12" s="39"/>
      <c r="E12" s="39"/>
      <c r="F12" s="39"/>
      <c r="G12" s="39"/>
      <c r="H12" s="39"/>
      <c r="I12" s="39"/>
      <c r="J12" s="39"/>
      <c r="K12" s="39"/>
      <c r="L12" s="39"/>
    </row>
    <row r="13" spans="1:12" x14ac:dyDescent="0.25">
      <c r="A13" s="39"/>
      <c r="B13" s="39"/>
      <c r="C13" s="39"/>
      <c r="D13" s="39"/>
      <c r="E13" s="39"/>
      <c r="F13" s="39"/>
      <c r="G13" s="39"/>
      <c r="H13" s="39"/>
      <c r="I13" s="39"/>
      <c r="J13" s="39"/>
      <c r="K13" s="39"/>
      <c r="L13" s="39"/>
    </row>
    <row r="14" spans="1:12" x14ac:dyDescent="0.25">
      <c r="A14" s="39"/>
      <c r="B14" s="39"/>
      <c r="C14" s="39"/>
      <c r="D14" s="39"/>
      <c r="E14" s="39"/>
      <c r="F14" s="39"/>
      <c r="G14" s="39"/>
      <c r="H14" s="39"/>
      <c r="I14" s="39"/>
      <c r="J14" s="39"/>
      <c r="K14" s="39"/>
      <c r="L14" s="39"/>
    </row>
    <row r="15" spans="1:12" x14ac:dyDescent="0.25">
      <c r="A15" s="39"/>
      <c r="B15" s="39"/>
      <c r="C15" s="39"/>
      <c r="D15" s="39"/>
      <c r="E15" s="39"/>
      <c r="F15" s="39"/>
      <c r="G15" s="39"/>
      <c r="H15" s="39"/>
      <c r="I15" s="39"/>
      <c r="J15" s="39"/>
      <c r="K15" s="39"/>
      <c r="L15" s="39"/>
    </row>
  </sheetData>
  <sheetProtection sheet="1" objects="1" scenarios="1"/>
  <mergeCells count="2">
    <mergeCell ref="A1:B1"/>
    <mergeCell ref="A2:B2"/>
  </mergeCells>
  <hyperlinks>
    <hyperlink ref="A1" location="'IntegralStateVarNonOperState'!A1" display="'IntegralStateVarNonOperState'!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L20"/>
  <sheetViews>
    <sheetView workbookViewId="0">
      <selection sqref="A1:B1"/>
    </sheetView>
  </sheetViews>
  <sheetFormatPr defaultRowHeight="15" x14ac:dyDescent="0.25"/>
  <cols>
    <col min="1" max="1" width="8.140625" bestFit="1" customWidth="1"/>
    <col min="2" max="2" width="56.85546875" bestFit="1" customWidth="1"/>
    <col min="3" max="3" width="4.140625" bestFit="1" customWidth="1"/>
    <col min="4" max="4" width="8" bestFit="1" customWidth="1"/>
    <col min="5" max="5" width="7.7109375" bestFit="1" customWidth="1"/>
    <col min="6" max="7" width="3.28515625" customWidth="1"/>
    <col min="8" max="8" width="8" bestFit="1" customWidth="1"/>
    <col min="9" max="9" width="7.28515625" bestFit="1" customWidth="1"/>
    <col min="10" max="10" width="10.5703125" bestFit="1" customWidth="1"/>
    <col min="11" max="11" width="12.42578125" bestFit="1" customWidth="1"/>
    <col min="12" max="12" width="10.5703125" bestFit="1" customWidth="1"/>
  </cols>
  <sheetData>
    <row r="1" spans="1:12" x14ac:dyDescent="0.25">
      <c r="A1" s="228" t="s">
        <v>1487</v>
      </c>
      <c r="B1" s="229"/>
      <c r="C1" s="42" t="s">
        <v>90</v>
      </c>
      <c r="D1" s="54" t="s">
        <v>89</v>
      </c>
      <c r="E1" s="42"/>
      <c r="F1" s="54" t="s">
        <v>89</v>
      </c>
      <c r="G1" s="42"/>
      <c r="H1" s="175"/>
      <c r="I1" s="175"/>
      <c r="J1" s="40"/>
      <c r="K1" s="40"/>
      <c r="L1" s="41"/>
    </row>
    <row r="2" spans="1:12" ht="60" customHeight="1" x14ac:dyDescent="0.25">
      <c r="A2" s="230" t="s">
        <v>80</v>
      </c>
      <c r="B2" s="231"/>
      <c r="C2" s="50" t="s">
        <v>1302</v>
      </c>
      <c r="D2" s="50" t="s">
        <v>91</v>
      </c>
      <c r="E2" s="50" t="s">
        <v>91</v>
      </c>
      <c r="F2" s="45" t="s">
        <v>83</v>
      </c>
      <c r="G2" s="45" t="s">
        <v>83</v>
      </c>
      <c r="H2" s="26" t="s">
        <v>84</v>
      </c>
      <c r="I2" s="26" t="s">
        <v>84</v>
      </c>
      <c r="J2" s="27" t="s">
        <v>24</v>
      </c>
      <c r="K2" s="27" t="s">
        <v>86</v>
      </c>
      <c r="L2" s="28" t="s">
        <v>88</v>
      </c>
    </row>
    <row r="3" spans="1:12" ht="120" x14ac:dyDescent="0.25">
      <c r="A3" s="29" t="s">
        <v>81</v>
      </c>
      <c r="B3" s="127" t="s">
        <v>82</v>
      </c>
      <c r="C3" s="128" t="s">
        <v>1493</v>
      </c>
      <c r="D3" s="148" t="s">
        <v>118</v>
      </c>
      <c r="E3" s="148" t="s">
        <v>121</v>
      </c>
      <c r="F3" s="76" t="s">
        <v>118</v>
      </c>
      <c r="G3" s="76" t="s">
        <v>121</v>
      </c>
      <c r="H3" s="129" t="s">
        <v>118</v>
      </c>
      <c r="I3" s="129" t="s">
        <v>121</v>
      </c>
      <c r="J3" s="27" t="s">
        <v>85</v>
      </c>
      <c r="K3" s="27" t="s">
        <v>87</v>
      </c>
      <c r="L3" s="28"/>
    </row>
    <row r="4" spans="1:12" ht="16.5" customHeight="1" x14ac:dyDescent="0.25">
      <c r="A4" s="33">
        <v>1</v>
      </c>
      <c r="B4" s="43" t="s">
        <v>94</v>
      </c>
      <c r="C4" s="51">
        <v>0</v>
      </c>
      <c r="D4" s="52">
        <v>-31</v>
      </c>
      <c r="E4" s="52" t="s">
        <v>184</v>
      </c>
      <c r="F4" s="43" t="s">
        <v>89</v>
      </c>
      <c r="G4" s="43" t="s">
        <v>89</v>
      </c>
      <c r="H4" s="43">
        <v>0</v>
      </c>
      <c r="I4" s="43">
        <v>0</v>
      </c>
      <c r="J4" s="46" t="s">
        <v>89</v>
      </c>
      <c r="K4" s="34"/>
      <c r="L4" s="35"/>
    </row>
    <row r="5" spans="1:12" x14ac:dyDescent="0.25">
      <c r="A5" s="33">
        <v>2</v>
      </c>
      <c r="B5" s="43" t="s">
        <v>95</v>
      </c>
      <c r="C5" s="51">
        <v>4</v>
      </c>
      <c r="D5" s="51">
        <v>31</v>
      </c>
      <c r="E5" s="51">
        <v>31</v>
      </c>
      <c r="F5" s="34" t="s">
        <v>89</v>
      </c>
      <c r="G5" s="34" t="s">
        <v>89</v>
      </c>
      <c r="H5" s="43">
        <v>0</v>
      </c>
      <c r="I5" s="43">
        <v>0</v>
      </c>
      <c r="J5" s="46" t="s">
        <v>89</v>
      </c>
      <c r="K5" s="34"/>
      <c r="L5" s="35"/>
    </row>
    <row r="6" spans="1:12" x14ac:dyDescent="0.25">
      <c r="A6" s="33">
        <v>3</v>
      </c>
      <c r="B6" s="43" t="s">
        <v>1843</v>
      </c>
      <c r="C6" s="51">
        <v>0</v>
      </c>
      <c r="D6" s="43">
        <v>7.8213999999999997</v>
      </c>
      <c r="E6" s="43">
        <v>19.751000000000001</v>
      </c>
      <c r="F6" s="34" t="s">
        <v>89</v>
      </c>
      <c r="G6" s="34" t="s">
        <v>89</v>
      </c>
      <c r="H6" s="43">
        <v>0</v>
      </c>
      <c r="I6" s="43">
        <v>0</v>
      </c>
      <c r="J6" s="46" t="s">
        <v>89</v>
      </c>
      <c r="K6" s="34"/>
      <c r="L6" s="35"/>
    </row>
    <row r="7" spans="1:12" x14ac:dyDescent="0.25">
      <c r="A7" s="33">
        <v>4</v>
      </c>
      <c r="B7" s="43" t="s">
        <v>1842</v>
      </c>
      <c r="C7" s="51">
        <v>1</v>
      </c>
      <c r="D7" s="43">
        <v>8.0890000000000004</v>
      </c>
      <c r="E7" s="43">
        <v>-23.062000000000001</v>
      </c>
      <c r="F7" s="34" t="s">
        <v>89</v>
      </c>
      <c r="G7" s="34" t="s">
        <v>89</v>
      </c>
      <c r="H7" s="43">
        <v>0</v>
      </c>
      <c r="I7" s="43">
        <v>0</v>
      </c>
      <c r="J7" s="46" t="s">
        <v>89</v>
      </c>
      <c r="K7" s="34"/>
      <c r="L7" s="35"/>
    </row>
    <row r="8" spans="1:12" x14ac:dyDescent="0.25">
      <c r="A8" s="33">
        <v>5</v>
      </c>
      <c r="B8" s="43" t="s">
        <v>1841</v>
      </c>
      <c r="C8" s="51">
        <v>2</v>
      </c>
      <c r="D8" s="43">
        <v>24.839099999999998</v>
      </c>
      <c r="E8" s="43">
        <v>-6.7229999999999999</v>
      </c>
      <c r="F8" s="34" t="s">
        <v>89</v>
      </c>
      <c r="G8" s="34" t="s">
        <v>89</v>
      </c>
      <c r="H8" s="43">
        <v>24.839099999999998</v>
      </c>
      <c r="I8" s="43">
        <v>-6.7229999999999999</v>
      </c>
      <c r="J8" s="46" t="s">
        <v>89</v>
      </c>
      <c r="K8" s="34"/>
      <c r="L8" s="35"/>
    </row>
    <row r="9" spans="1:12" x14ac:dyDescent="0.25">
      <c r="A9" s="33">
        <v>6</v>
      </c>
      <c r="B9" s="43" t="s">
        <v>1840</v>
      </c>
      <c r="C9" s="51">
        <v>3</v>
      </c>
      <c r="D9" s="43">
        <v>22.344999999999999</v>
      </c>
      <c r="E9" s="43">
        <v>25.76</v>
      </c>
      <c r="F9" s="34" t="s">
        <v>89</v>
      </c>
      <c r="G9" s="34" t="s">
        <v>89</v>
      </c>
      <c r="H9" s="43">
        <v>0</v>
      </c>
      <c r="I9" s="43">
        <v>0</v>
      </c>
      <c r="J9" s="46" t="s">
        <v>89</v>
      </c>
      <c r="K9" s="34"/>
      <c r="L9" s="35"/>
    </row>
    <row r="10" spans="1:12" ht="15.75" thickBot="1" x14ac:dyDescent="0.3">
      <c r="A10" s="36">
        <v>7</v>
      </c>
      <c r="B10" s="44" t="s">
        <v>1839</v>
      </c>
      <c r="C10" s="55">
        <v>4</v>
      </c>
      <c r="D10" s="44">
        <v>12.45</v>
      </c>
      <c r="E10" s="44">
        <v>11.34</v>
      </c>
      <c r="F10" s="37" t="s">
        <v>89</v>
      </c>
      <c r="G10" s="37" t="s">
        <v>89</v>
      </c>
      <c r="H10" s="44">
        <v>0</v>
      </c>
      <c r="I10" s="44">
        <v>0</v>
      </c>
      <c r="J10" s="47" t="s">
        <v>89</v>
      </c>
      <c r="K10" s="37"/>
      <c r="L10" s="38"/>
    </row>
    <row r="11" spans="1:12" x14ac:dyDescent="0.25">
      <c r="A11" s="39"/>
      <c r="B11" s="39"/>
      <c r="C11" s="39"/>
      <c r="D11" s="39"/>
      <c r="E11" s="39"/>
      <c r="F11" s="39"/>
      <c r="G11" s="39"/>
      <c r="H11" s="39"/>
      <c r="I11" s="39"/>
      <c r="J11" s="39"/>
      <c r="K11" s="39"/>
      <c r="L11" s="39"/>
    </row>
    <row r="12" spans="1:12" x14ac:dyDescent="0.25">
      <c r="A12" s="39"/>
      <c r="B12" s="39"/>
      <c r="C12" s="39"/>
      <c r="D12" s="39"/>
      <c r="E12" s="39"/>
      <c r="F12" s="39"/>
      <c r="G12" s="39"/>
      <c r="H12" s="39"/>
      <c r="I12" s="39"/>
      <c r="J12" s="39"/>
      <c r="K12" s="39"/>
      <c r="L12" s="39"/>
    </row>
    <row r="13" spans="1:12" x14ac:dyDescent="0.25">
      <c r="A13" s="39"/>
      <c r="B13" s="39"/>
      <c r="C13" s="39"/>
      <c r="D13" s="39"/>
      <c r="E13" s="39"/>
      <c r="F13" s="39"/>
      <c r="G13" s="39"/>
      <c r="H13" s="39"/>
      <c r="I13" s="39"/>
      <c r="J13" s="39"/>
      <c r="K13" s="39"/>
      <c r="L13" s="39"/>
    </row>
    <row r="14" spans="1:12" x14ac:dyDescent="0.25">
      <c r="A14" s="39"/>
      <c r="B14" s="39"/>
      <c r="C14" s="39"/>
      <c r="D14" s="39"/>
      <c r="E14" s="39"/>
      <c r="F14" s="39"/>
      <c r="G14" s="39"/>
      <c r="H14" s="39"/>
      <c r="I14" s="39"/>
      <c r="J14" s="39"/>
      <c r="K14" s="39"/>
      <c r="L14" s="39"/>
    </row>
    <row r="15" spans="1:12" x14ac:dyDescent="0.25">
      <c r="A15" s="39"/>
      <c r="B15" s="39"/>
      <c r="C15" s="39"/>
      <c r="D15" s="39"/>
      <c r="E15" s="39"/>
      <c r="F15" s="39"/>
      <c r="G15" s="39"/>
      <c r="H15" s="39"/>
      <c r="I15" s="39"/>
      <c r="J15" s="39"/>
      <c r="K15" s="39"/>
      <c r="L15" s="39"/>
    </row>
    <row r="16" spans="1:12" x14ac:dyDescent="0.25">
      <c r="A16" s="39"/>
      <c r="B16" s="39"/>
      <c r="C16" s="39"/>
      <c r="D16" s="39"/>
      <c r="E16" s="39"/>
      <c r="F16" s="39"/>
      <c r="G16" s="39"/>
      <c r="H16" s="39"/>
      <c r="I16" s="39"/>
      <c r="J16" s="39"/>
      <c r="K16" s="39"/>
      <c r="L16" s="39"/>
    </row>
    <row r="17" spans="1:12" x14ac:dyDescent="0.25">
      <c r="A17" s="39"/>
      <c r="B17" s="39"/>
      <c r="C17" s="39"/>
      <c r="D17" s="39"/>
      <c r="E17" s="39"/>
      <c r="F17" s="39"/>
      <c r="G17" s="39"/>
      <c r="H17" s="39"/>
      <c r="I17" s="39"/>
      <c r="J17" s="39"/>
      <c r="K17" s="39"/>
      <c r="L17" s="39"/>
    </row>
    <row r="18" spans="1:12" x14ac:dyDescent="0.25">
      <c r="A18" s="39"/>
      <c r="B18" s="39"/>
      <c r="C18" s="39"/>
      <c r="D18" s="39"/>
      <c r="E18" s="39"/>
      <c r="F18" s="39"/>
      <c r="G18" s="39"/>
      <c r="H18" s="39"/>
      <c r="I18" s="39"/>
      <c r="J18" s="39"/>
      <c r="K18" s="39"/>
      <c r="L18" s="39"/>
    </row>
    <row r="19" spans="1:12" x14ac:dyDescent="0.25">
      <c r="A19" s="39"/>
      <c r="B19" s="39"/>
      <c r="C19" s="39"/>
      <c r="D19" s="39"/>
      <c r="E19" s="39"/>
      <c r="F19" s="39"/>
      <c r="G19" s="39"/>
      <c r="H19" s="39"/>
      <c r="I19" s="39"/>
      <c r="J19" s="39"/>
      <c r="K19" s="39"/>
      <c r="L19" s="39"/>
    </row>
    <row r="20" spans="1:12" x14ac:dyDescent="0.25">
      <c r="A20" s="39"/>
      <c r="B20" s="39"/>
      <c r="C20" s="39"/>
      <c r="D20" s="39"/>
      <c r="E20" s="39"/>
      <c r="F20" s="39"/>
      <c r="G20" s="39"/>
      <c r="H20" s="39"/>
      <c r="I20" s="39"/>
      <c r="J20" s="39"/>
      <c r="K20" s="39"/>
      <c r="L20" s="39"/>
    </row>
  </sheetData>
  <sheetProtection sheet="1" objects="1" scenarios="1"/>
  <mergeCells count="2">
    <mergeCell ref="A1:B1"/>
    <mergeCell ref="A2:B2"/>
  </mergeCells>
  <hyperlinks>
    <hyperlink ref="A1" location="'IntegralStateVarNonOperState'!A1" display="'IntegralStateVarNonOperState'!A1"/>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2" t="s">
        <v>0</v>
      </c>
      <c r="B5" s="202"/>
      <c r="C5" s="202"/>
      <c r="D5" s="202"/>
      <c r="E5" s="202"/>
      <c r="F5" s="202"/>
    </row>
    <row r="6" spans="1:6" x14ac:dyDescent="0.25">
      <c r="A6" s="1"/>
      <c r="B6" s="1"/>
      <c r="C6" s="1"/>
      <c r="D6" s="1"/>
      <c r="E6" s="1"/>
      <c r="F6" s="1"/>
    </row>
    <row r="7" spans="1:6" x14ac:dyDescent="0.25">
      <c r="A7" s="203" t="s">
        <v>1</v>
      </c>
      <c r="B7" s="203"/>
      <c r="C7" s="203"/>
      <c r="D7" s="203"/>
      <c r="E7" s="203"/>
      <c r="F7" s="203"/>
    </row>
    <row r="8" spans="1:6" ht="15.75" thickBot="1" x14ac:dyDescent="0.3">
      <c r="A8" s="1"/>
      <c r="B8" s="1"/>
      <c r="C8" s="1"/>
      <c r="D8" s="1"/>
      <c r="E8" s="1"/>
      <c r="F8" s="1"/>
    </row>
    <row r="9" spans="1:6" ht="15.75" thickBot="1" x14ac:dyDescent="0.3">
      <c r="A9" s="223" t="s">
        <v>43</v>
      </c>
      <c r="B9" s="224"/>
      <c r="C9" s="225"/>
      <c r="D9" s="1"/>
      <c r="E9" s="1"/>
      <c r="F9" s="1"/>
    </row>
    <row r="10" spans="1:6" ht="15.75" thickBot="1" x14ac:dyDescent="0.3">
      <c r="A10" s="12" t="s">
        <v>40</v>
      </c>
      <c r="B10" s="226">
        <v>0</v>
      </c>
      <c r="C10" s="227"/>
      <c r="D10" s="1"/>
      <c r="E10" s="1"/>
      <c r="F10" s="1"/>
    </row>
    <row r="11" spans="1:6" ht="15.75" thickBot="1" x14ac:dyDescent="0.3">
      <c r="A11" s="12" t="s">
        <v>41</v>
      </c>
      <c r="B11" s="226">
        <v>0</v>
      </c>
      <c r="C11" s="227"/>
      <c r="D11" s="1"/>
      <c r="E11" s="1"/>
      <c r="F11" s="1"/>
    </row>
    <row r="12" spans="1:6" ht="15.75" thickBot="1" x14ac:dyDescent="0.3">
      <c r="A12" s="12" t="s">
        <v>42</v>
      </c>
      <c r="B12" s="226"/>
      <c r="C12" s="227"/>
      <c r="D12" s="1"/>
      <c r="E12" s="1"/>
      <c r="F12" s="1"/>
    </row>
    <row r="13" spans="1:6" x14ac:dyDescent="0.25">
      <c r="A13" s="1"/>
      <c r="B13" s="1"/>
      <c r="C13" s="1"/>
      <c r="D13" s="1"/>
      <c r="E13" s="1"/>
      <c r="F13" s="1"/>
    </row>
    <row r="14" spans="1:6" x14ac:dyDescent="0.25">
      <c r="A14" s="1"/>
      <c r="B14" s="1"/>
      <c r="C14" s="1"/>
      <c r="D14" s="1"/>
      <c r="E14" s="1"/>
      <c r="F14" s="1"/>
    </row>
    <row r="15" spans="1:6" x14ac:dyDescent="0.25">
      <c r="A15" s="219" t="s">
        <v>44</v>
      </c>
      <c r="B15" s="219"/>
      <c r="C15" s="220"/>
      <c r="D15" s="221" t="s">
        <v>45</v>
      </c>
      <c r="E15" s="222"/>
      <c r="F15" s="174" t="s">
        <v>46</v>
      </c>
    </row>
    <row r="16" spans="1:6" x14ac:dyDescent="0.25">
      <c r="A16" s="176" t="s">
        <v>47</v>
      </c>
      <c r="B16" s="177" t="s">
        <v>48</v>
      </c>
      <c r="C16" s="178" t="s">
        <v>49</v>
      </c>
      <c r="D16" s="182" t="s">
        <v>50</v>
      </c>
      <c r="E16" s="181" t="s">
        <v>51</v>
      </c>
      <c r="F16" s="13" t="s">
        <v>47</v>
      </c>
    </row>
    <row r="17" spans="1:6" x14ac:dyDescent="0.25">
      <c r="A17" s="24" t="s">
        <v>1489</v>
      </c>
      <c r="B17" s="14" t="s">
        <v>61</v>
      </c>
      <c r="C17" s="15">
        <v>2</v>
      </c>
      <c r="D17" s="16" t="s">
        <v>1299</v>
      </c>
      <c r="E17" s="17" t="s">
        <v>1276</v>
      </c>
      <c r="F17" s="18"/>
    </row>
    <row r="18" spans="1:6" x14ac:dyDescent="0.25">
      <c r="A18" s="24" t="s">
        <v>1489</v>
      </c>
      <c r="B18" s="14" t="s">
        <v>2064</v>
      </c>
      <c r="C18" s="15">
        <v>27</v>
      </c>
      <c r="D18" s="16" t="s">
        <v>1637</v>
      </c>
      <c r="E18" s="17" t="s">
        <v>1277</v>
      </c>
      <c r="F18" s="18"/>
    </row>
    <row r="19" spans="1:6" x14ac:dyDescent="0.25">
      <c r="A19" s="24" t="s">
        <v>1489</v>
      </c>
      <c r="B19" s="14" t="s">
        <v>106</v>
      </c>
      <c r="C19" s="15">
        <v>3</v>
      </c>
      <c r="D19" s="16" t="s">
        <v>1276</v>
      </c>
      <c r="E19" s="17" t="s">
        <v>1278</v>
      </c>
      <c r="F19" s="18"/>
    </row>
    <row r="20" spans="1:6" x14ac:dyDescent="0.25">
      <c r="A20" s="132"/>
      <c r="B20" s="14"/>
      <c r="C20" s="15"/>
      <c r="D20" s="16" t="s">
        <v>1277</v>
      </c>
      <c r="E20" s="17" t="s">
        <v>1279</v>
      </c>
      <c r="F20" s="18"/>
    </row>
    <row r="21" spans="1:6" x14ac:dyDescent="0.25">
      <c r="A21" s="14"/>
      <c r="B21" s="14"/>
      <c r="C21" s="15"/>
      <c r="D21" s="16" t="s">
        <v>1278</v>
      </c>
      <c r="E21" s="17" t="s">
        <v>1637</v>
      </c>
      <c r="F21" s="18"/>
    </row>
    <row r="22" spans="1:6" x14ac:dyDescent="0.25">
      <c r="A22" s="14"/>
      <c r="B22" s="14"/>
      <c r="C22" s="15"/>
      <c r="D22" s="16" t="s">
        <v>1279</v>
      </c>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179"/>
      <c r="E318" s="180"/>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6">
    <dataValidation type="list" allowBlank="1" showInputMessage="1" showErrorMessage="1" sqref="A318:A917">
      <formula1>TestFunctionNameList</formula1>
    </dataValidation>
    <dataValidation type="list" allowBlank="1" showInputMessage="1" showErrorMessage="1" sqref="D318:E917">
      <formula1>VariableNameList</formula1>
    </dataValidation>
    <dataValidation type="list" allowBlank="1" showInputMessage="1" showErrorMessage="1" sqref="F318:F917">
      <formula1>StubFunctionNameList</formula1>
    </dataValidation>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VecuOut() M'!A1" display="'CalLowPassFiltVecuOut() M'!A1"/>
    <hyperlink ref="A18" location="'CalLowPassFiltVecuOut() R'!A1" display="'CalLowPassFiltVecuOut() R'!A1"/>
    <hyperlink ref="A19" location="'CalLowPassFiltVecuOut() P'!A1" display="'CalLowPassFiltVecuOut() P'!A1"/>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U15"/>
  <sheetViews>
    <sheetView workbookViewId="0">
      <selection sqref="A1:B1"/>
    </sheetView>
  </sheetViews>
  <sheetFormatPr defaultRowHeight="15" x14ac:dyDescent="0.25"/>
  <cols>
    <col min="1" max="1" width="8.140625" bestFit="1" customWidth="1"/>
    <col min="2" max="2" width="116.28515625" bestFit="1" customWidth="1"/>
    <col min="3" max="3" width="3.28515625" bestFit="1" customWidth="1"/>
    <col min="4" max="4" width="7" bestFit="1" customWidth="1"/>
    <col min="5" max="5" width="11.7109375" bestFit="1" customWidth="1"/>
    <col min="6" max="6" width="11" bestFit="1" customWidth="1"/>
    <col min="7" max="7" width="12.7109375" bestFit="1" customWidth="1"/>
    <col min="8" max="8" width="11" bestFit="1" customWidth="1"/>
    <col min="9" max="13" width="3.28515625" bestFit="1" customWidth="1"/>
    <col min="14" max="14" width="7.28515625" bestFit="1" customWidth="1"/>
    <col min="15" max="16" width="12.7109375" bestFit="1" customWidth="1"/>
    <col min="17" max="17" width="11" bestFit="1" customWidth="1"/>
    <col min="18" max="18" width="7.28515625" bestFit="1" customWidth="1"/>
    <col min="19" max="19" width="10.5703125" bestFit="1" customWidth="1"/>
    <col min="20" max="20" width="12.42578125" bestFit="1" customWidth="1"/>
    <col min="21" max="21" width="10.5703125" bestFit="1" customWidth="1"/>
  </cols>
  <sheetData>
    <row r="1" spans="1:21" x14ac:dyDescent="0.25">
      <c r="A1" s="228" t="s">
        <v>1489</v>
      </c>
      <c r="B1" s="229"/>
      <c r="C1" s="42" t="s">
        <v>90</v>
      </c>
      <c r="D1" s="54" t="s">
        <v>89</v>
      </c>
      <c r="E1" s="175"/>
      <c r="F1" s="175"/>
      <c r="G1" s="175"/>
      <c r="H1" s="175"/>
      <c r="I1" s="175"/>
      <c r="J1" s="175"/>
      <c r="K1" s="175"/>
      <c r="L1" s="175"/>
      <c r="M1" s="175"/>
      <c r="N1" s="175"/>
      <c r="O1" s="175"/>
      <c r="P1" s="175"/>
      <c r="Q1" s="175"/>
      <c r="R1" s="175"/>
      <c r="S1" s="40"/>
      <c r="T1" s="40"/>
      <c r="U1" s="41"/>
    </row>
    <row r="2" spans="1:21" ht="60" customHeight="1" x14ac:dyDescent="0.25">
      <c r="A2" s="230" t="s">
        <v>61</v>
      </c>
      <c r="B2" s="231"/>
      <c r="C2" s="50" t="s">
        <v>91</v>
      </c>
      <c r="D2" s="50" t="s">
        <v>91</v>
      </c>
      <c r="E2" s="50" t="s">
        <v>91</v>
      </c>
      <c r="F2" s="50" t="s">
        <v>91</v>
      </c>
      <c r="G2" s="50" t="s">
        <v>91</v>
      </c>
      <c r="H2" s="50" t="s">
        <v>91</v>
      </c>
      <c r="I2" s="45" t="s">
        <v>83</v>
      </c>
      <c r="J2" s="25" t="s">
        <v>83</v>
      </c>
      <c r="K2" s="25" t="s">
        <v>83</v>
      </c>
      <c r="L2" s="25" t="s">
        <v>83</v>
      </c>
      <c r="M2" s="25" t="s">
        <v>83</v>
      </c>
      <c r="N2" s="26" t="s">
        <v>84</v>
      </c>
      <c r="O2" s="26" t="s">
        <v>84</v>
      </c>
      <c r="P2" s="26" t="s">
        <v>84</v>
      </c>
      <c r="Q2" s="26" t="s">
        <v>84</v>
      </c>
      <c r="R2" s="26" t="s">
        <v>84</v>
      </c>
      <c r="S2" s="27" t="s">
        <v>24</v>
      </c>
      <c r="T2" s="27" t="s">
        <v>86</v>
      </c>
      <c r="U2" s="28" t="s">
        <v>88</v>
      </c>
    </row>
    <row r="3" spans="1:21" ht="186" x14ac:dyDescent="0.25">
      <c r="A3" s="29" t="s">
        <v>81</v>
      </c>
      <c r="B3" s="30" t="s">
        <v>82</v>
      </c>
      <c r="C3" s="49" t="s">
        <v>1299</v>
      </c>
      <c r="D3" s="49" t="s">
        <v>1637</v>
      </c>
      <c r="E3" s="49" t="s">
        <v>1276</v>
      </c>
      <c r="F3" s="49" t="s">
        <v>1277</v>
      </c>
      <c r="G3" s="49" t="s">
        <v>1278</v>
      </c>
      <c r="H3" s="49" t="s">
        <v>1279</v>
      </c>
      <c r="I3" s="31" t="s">
        <v>1276</v>
      </c>
      <c r="J3" s="31" t="s">
        <v>1277</v>
      </c>
      <c r="K3" s="31" t="s">
        <v>1278</v>
      </c>
      <c r="L3" s="31" t="s">
        <v>1279</v>
      </c>
      <c r="M3" s="31" t="s">
        <v>1637</v>
      </c>
      <c r="N3" s="32" t="s">
        <v>1276</v>
      </c>
      <c r="O3" s="32" t="s">
        <v>1277</v>
      </c>
      <c r="P3" s="32" t="s">
        <v>1278</v>
      </c>
      <c r="Q3" s="32" t="s">
        <v>1279</v>
      </c>
      <c r="R3" s="32" t="s">
        <v>1637</v>
      </c>
      <c r="S3" s="27" t="s">
        <v>85</v>
      </c>
      <c r="T3" s="27" t="s">
        <v>87</v>
      </c>
      <c r="U3" s="28"/>
    </row>
    <row r="4" spans="1:21" x14ac:dyDescent="0.25">
      <c r="A4" s="33">
        <v>1</v>
      </c>
      <c r="B4" s="43" t="s">
        <v>1912</v>
      </c>
      <c r="C4" s="69">
        <v>1</v>
      </c>
      <c r="D4" s="69">
        <v>31</v>
      </c>
      <c r="E4" s="69">
        <v>2147483647</v>
      </c>
      <c r="F4" s="69">
        <v>2147483647</v>
      </c>
      <c r="G4" s="69">
        <v>2147483647</v>
      </c>
      <c r="H4" s="69">
        <v>2147483647</v>
      </c>
      <c r="I4" s="34" t="s">
        <v>89</v>
      </c>
      <c r="J4" s="34" t="s">
        <v>89</v>
      </c>
      <c r="K4" s="34" t="s">
        <v>89</v>
      </c>
      <c r="L4" s="34" t="s">
        <v>89</v>
      </c>
      <c r="M4" s="34" t="s">
        <v>89</v>
      </c>
      <c r="N4" s="43">
        <v>31</v>
      </c>
      <c r="O4" s="43">
        <v>9.9035203050596702E+27</v>
      </c>
      <c r="P4" s="43">
        <v>2147483647</v>
      </c>
      <c r="Q4" s="43">
        <v>2147483647</v>
      </c>
      <c r="R4" s="43">
        <v>31</v>
      </c>
      <c r="S4" s="46" t="s">
        <v>89</v>
      </c>
      <c r="T4" s="34"/>
      <c r="U4" s="35"/>
    </row>
    <row r="5" spans="1:21" ht="15.75" thickBot="1" x14ac:dyDescent="0.3">
      <c r="A5" s="36">
        <v>2</v>
      </c>
      <c r="B5" s="44" t="s">
        <v>1913</v>
      </c>
      <c r="C5" s="167">
        <v>1</v>
      </c>
      <c r="D5" s="167">
        <v>5.2355999999999998</v>
      </c>
      <c r="E5" s="167">
        <v>-2147483648</v>
      </c>
      <c r="F5" s="167">
        <v>360171240.03149998</v>
      </c>
      <c r="G5" s="167">
        <v>-954881472.25629997</v>
      </c>
      <c r="H5" s="167">
        <v>1885939345.0213001</v>
      </c>
      <c r="I5" s="37" t="s">
        <v>89</v>
      </c>
      <c r="J5" s="37" t="s">
        <v>89</v>
      </c>
      <c r="K5" s="37" t="s">
        <v>89</v>
      </c>
      <c r="L5" s="37" t="s">
        <v>89</v>
      </c>
      <c r="M5" s="37" t="s">
        <v>89</v>
      </c>
      <c r="N5" s="44">
        <v>5.2355999999999998</v>
      </c>
      <c r="O5" s="44">
        <v>-6.4861385522006704E+26</v>
      </c>
      <c r="P5" s="44">
        <v>-954881472.25629997</v>
      </c>
      <c r="Q5" s="44">
        <v>1885939345.0213001</v>
      </c>
      <c r="R5" s="44">
        <v>5</v>
      </c>
      <c r="S5" s="47" t="s">
        <v>89</v>
      </c>
      <c r="T5" s="37"/>
      <c r="U5" s="38"/>
    </row>
    <row r="6" spans="1:21" x14ac:dyDescent="0.25">
      <c r="A6" s="39"/>
      <c r="B6" s="39"/>
      <c r="C6" s="39"/>
      <c r="D6" s="39"/>
      <c r="E6" s="39"/>
      <c r="F6" s="39"/>
      <c r="G6" s="39"/>
      <c r="H6" s="39"/>
      <c r="I6" s="39"/>
      <c r="J6" s="39"/>
      <c r="K6" s="39"/>
      <c r="L6" s="39"/>
      <c r="M6" s="39"/>
      <c r="N6" s="39"/>
      <c r="O6" s="39"/>
      <c r="P6" s="39"/>
      <c r="Q6" s="39"/>
      <c r="R6" s="39"/>
      <c r="S6" s="39"/>
      <c r="T6" s="39"/>
      <c r="U6" s="39"/>
    </row>
    <row r="7" spans="1:21" x14ac:dyDescent="0.25">
      <c r="A7" s="39"/>
      <c r="B7" s="39"/>
      <c r="C7" s="39"/>
      <c r="D7" s="39"/>
      <c r="E7" s="39"/>
      <c r="F7" s="39"/>
      <c r="G7" s="39"/>
      <c r="H7" s="39"/>
      <c r="I7" s="39"/>
      <c r="J7" s="39"/>
      <c r="K7" s="39"/>
      <c r="L7" s="39"/>
      <c r="M7" s="39"/>
      <c r="N7" s="39"/>
      <c r="O7" s="39"/>
      <c r="P7" s="39"/>
      <c r="Q7" s="39"/>
      <c r="R7" s="39"/>
      <c r="S7" s="39"/>
      <c r="T7" s="39"/>
      <c r="U7" s="39"/>
    </row>
    <row r="8" spans="1:21" x14ac:dyDescent="0.25">
      <c r="A8" s="39"/>
      <c r="B8" s="39"/>
      <c r="C8" s="39"/>
      <c r="D8" s="39"/>
      <c r="E8" s="39"/>
      <c r="F8" s="39"/>
      <c r="G8" s="39"/>
      <c r="H8" s="39"/>
      <c r="I8" s="39"/>
      <c r="J8" s="39"/>
      <c r="K8" s="39"/>
      <c r="L8" s="39"/>
      <c r="M8" s="39"/>
      <c r="N8" s="39"/>
      <c r="O8" s="39"/>
      <c r="P8" s="39"/>
      <c r="Q8" s="39"/>
      <c r="R8" s="39"/>
      <c r="S8" s="39"/>
      <c r="T8" s="39"/>
      <c r="U8" s="39"/>
    </row>
    <row r="9" spans="1:21" x14ac:dyDescent="0.25">
      <c r="A9" s="39"/>
      <c r="B9" s="39"/>
      <c r="C9" s="39"/>
      <c r="D9" s="39"/>
      <c r="E9" s="39"/>
      <c r="F9" s="39"/>
      <c r="G9" s="39"/>
      <c r="H9" s="39"/>
      <c r="I9" s="39"/>
      <c r="J9" s="39"/>
      <c r="K9" s="39"/>
      <c r="L9" s="39"/>
      <c r="M9" s="39"/>
      <c r="N9" s="39"/>
      <c r="O9" s="39"/>
      <c r="P9" s="39"/>
      <c r="Q9" s="39"/>
      <c r="R9" s="39"/>
      <c r="S9" s="39"/>
      <c r="T9" s="39"/>
      <c r="U9" s="39"/>
    </row>
    <row r="10" spans="1:21" x14ac:dyDescent="0.25">
      <c r="A10" s="39"/>
      <c r="B10" s="39"/>
      <c r="C10" s="39"/>
      <c r="D10" s="39"/>
      <c r="E10" s="39"/>
      <c r="F10" s="39"/>
      <c r="G10" s="39"/>
      <c r="H10" s="39"/>
      <c r="I10" s="39"/>
      <c r="J10" s="39"/>
      <c r="K10" s="39"/>
      <c r="L10" s="39"/>
      <c r="M10" s="39"/>
      <c r="N10" s="39"/>
      <c r="O10" s="39"/>
      <c r="P10" s="39"/>
      <c r="Q10" s="39"/>
      <c r="R10" s="39"/>
      <c r="S10" s="39"/>
      <c r="T10" s="39"/>
      <c r="U10" s="39"/>
    </row>
    <row r="11" spans="1:21" x14ac:dyDescent="0.25">
      <c r="A11" s="39"/>
      <c r="B11" s="39"/>
      <c r="C11" s="39"/>
      <c r="D11" s="39"/>
      <c r="E11" s="39"/>
      <c r="F11" s="39"/>
      <c r="G11" s="39"/>
      <c r="H11" s="39"/>
      <c r="I11" s="39"/>
      <c r="J11" s="39"/>
      <c r="K11" s="39"/>
      <c r="L11" s="39"/>
      <c r="M11" s="39"/>
      <c r="N11" s="39"/>
      <c r="O11" s="39"/>
      <c r="P11" s="39"/>
      <c r="Q11" s="39"/>
      <c r="R11" s="39"/>
      <c r="S11" s="39"/>
      <c r="T11" s="39"/>
      <c r="U11" s="39"/>
    </row>
    <row r="12" spans="1:21" x14ac:dyDescent="0.25">
      <c r="A12" s="39"/>
      <c r="B12" s="39"/>
      <c r="C12" s="39"/>
      <c r="D12" s="39"/>
      <c r="E12" s="39"/>
      <c r="F12" s="39"/>
      <c r="G12" s="39"/>
      <c r="H12" s="39"/>
      <c r="I12" s="39"/>
      <c r="J12" s="39"/>
      <c r="K12" s="39"/>
      <c r="L12" s="39"/>
      <c r="M12" s="39"/>
      <c r="N12" s="39"/>
      <c r="O12" s="39"/>
      <c r="P12" s="39"/>
      <c r="Q12" s="39"/>
      <c r="R12" s="39"/>
      <c r="S12" s="39"/>
      <c r="T12" s="39"/>
      <c r="U12" s="39"/>
    </row>
    <row r="13" spans="1:21" x14ac:dyDescent="0.25">
      <c r="A13" s="39"/>
      <c r="B13" s="39"/>
      <c r="C13" s="39"/>
      <c r="D13" s="39"/>
      <c r="E13" s="39"/>
      <c r="F13" s="39"/>
      <c r="G13" s="39"/>
      <c r="H13" s="39"/>
      <c r="I13" s="39"/>
      <c r="J13" s="39"/>
      <c r="K13" s="39"/>
      <c r="L13" s="39"/>
      <c r="M13" s="39"/>
      <c r="N13" s="39"/>
      <c r="O13" s="39"/>
      <c r="P13" s="39"/>
      <c r="Q13" s="39"/>
      <c r="R13" s="39"/>
      <c r="S13" s="39"/>
      <c r="T13" s="39"/>
      <c r="U13" s="39"/>
    </row>
    <row r="14" spans="1:21" x14ac:dyDescent="0.25">
      <c r="A14" s="39"/>
      <c r="B14" s="39"/>
      <c r="C14" s="39"/>
      <c r="D14" s="39"/>
      <c r="E14" s="39"/>
      <c r="F14" s="39"/>
      <c r="G14" s="39"/>
      <c r="H14" s="39"/>
      <c r="I14" s="39"/>
      <c r="J14" s="39"/>
      <c r="K14" s="39"/>
      <c r="L14" s="39"/>
      <c r="M14" s="39"/>
      <c r="N14" s="39"/>
      <c r="O14" s="39"/>
      <c r="P14" s="39"/>
      <c r="Q14" s="39"/>
      <c r="R14" s="39"/>
      <c r="S14" s="39"/>
      <c r="T14" s="39"/>
      <c r="U14" s="39"/>
    </row>
    <row r="15" spans="1:21" x14ac:dyDescent="0.25">
      <c r="A15" s="39"/>
      <c r="B15" s="39"/>
      <c r="C15" s="39"/>
      <c r="D15" s="39"/>
      <c r="E15" s="39"/>
      <c r="F15" s="39"/>
      <c r="G15" s="39"/>
      <c r="H15" s="39"/>
      <c r="I15" s="39"/>
      <c r="J15" s="39"/>
      <c r="K15" s="39"/>
      <c r="L15" s="39"/>
      <c r="M15" s="39"/>
      <c r="N15" s="39"/>
      <c r="O15" s="39"/>
      <c r="P15" s="39"/>
      <c r="Q15" s="39"/>
      <c r="R15" s="39"/>
      <c r="S15" s="39"/>
      <c r="T15" s="39"/>
      <c r="U15" s="39"/>
    </row>
  </sheetData>
  <sheetProtection sheet="1" objects="1" scenarios="1"/>
  <mergeCells count="2">
    <mergeCell ref="A1:B1"/>
    <mergeCell ref="A2:B2"/>
  </mergeCells>
  <hyperlinks>
    <hyperlink ref="A1" location="'CalLowPassFiltVecuOut'!A1" display="'CalLowPassFiltVecuOut'!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16"/>
  <sheetViews>
    <sheetView workbookViewId="0">
      <selection sqref="A1:B1"/>
    </sheetView>
  </sheetViews>
  <sheetFormatPr defaultRowHeight="15" x14ac:dyDescent="0.25"/>
  <cols>
    <col min="1" max="1" width="8.140625" bestFit="1" customWidth="1"/>
    <col min="2" max="2" width="147.85546875" bestFit="1" customWidth="1"/>
    <col min="3" max="3" width="3.28515625" bestFit="1" customWidth="1"/>
    <col min="4" max="4" width="7" bestFit="1" customWidth="1"/>
    <col min="5" max="7" width="11.7109375" bestFit="1" customWidth="1"/>
    <col min="8" max="8" width="12.7109375" bestFit="1" customWidth="1"/>
    <col min="9" max="13" width="3.28515625" bestFit="1" customWidth="1"/>
    <col min="14" max="14" width="11.7109375" bestFit="1" customWidth="1"/>
    <col min="15" max="15" width="12" bestFit="1" customWidth="1"/>
    <col min="16" max="16" width="11.7109375" bestFit="1" customWidth="1"/>
    <col min="17" max="17" width="12.7109375" bestFit="1" customWidth="1"/>
    <col min="18" max="18" width="7.28515625" bestFit="1" customWidth="1"/>
    <col min="19" max="19" width="10.5703125" bestFit="1" customWidth="1"/>
    <col min="20" max="20" width="12.42578125" bestFit="1" customWidth="1"/>
    <col min="21" max="21" width="10.5703125" bestFit="1" customWidth="1"/>
  </cols>
  <sheetData>
    <row r="1" spans="1:21" x14ac:dyDescent="0.25">
      <c r="A1" s="228" t="s">
        <v>1489</v>
      </c>
      <c r="B1" s="229"/>
      <c r="C1" s="42" t="s">
        <v>90</v>
      </c>
      <c r="D1" s="54" t="s">
        <v>89</v>
      </c>
      <c r="E1" s="175"/>
      <c r="F1" s="175"/>
      <c r="G1" s="175"/>
      <c r="H1" s="175"/>
      <c r="I1" s="175"/>
      <c r="J1" s="175"/>
      <c r="K1" s="175"/>
      <c r="L1" s="175"/>
      <c r="M1" s="175"/>
      <c r="N1" s="175"/>
      <c r="O1" s="175"/>
      <c r="P1" s="175"/>
      <c r="Q1" s="175"/>
      <c r="R1" s="175"/>
      <c r="S1" s="40"/>
      <c r="T1" s="40"/>
      <c r="U1" s="41"/>
    </row>
    <row r="2" spans="1:21" ht="60" customHeight="1" x14ac:dyDescent="0.25">
      <c r="A2" s="230" t="s">
        <v>106</v>
      </c>
      <c r="B2" s="231"/>
      <c r="C2" s="50" t="s">
        <v>91</v>
      </c>
      <c r="D2" s="50" t="s">
        <v>91</v>
      </c>
      <c r="E2" s="50" t="s">
        <v>91</v>
      </c>
      <c r="F2" s="50" t="s">
        <v>91</v>
      </c>
      <c r="G2" s="50" t="s">
        <v>91</v>
      </c>
      <c r="H2" s="50" t="s">
        <v>91</v>
      </c>
      <c r="I2" s="45" t="s">
        <v>83</v>
      </c>
      <c r="J2" s="25" t="s">
        <v>83</v>
      </c>
      <c r="K2" s="25" t="s">
        <v>83</v>
      </c>
      <c r="L2" s="25" t="s">
        <v>83</v>
      </c>
      <c r="M2" s="25" t="s">
        <v>83</v>
      </c>
      <c r="N2" s="26" t="s">
        <v>84</v>
      </c>
      <c r="O2" s="26" t="s">
        <v>84</v>
      </c>
      <c r="P2" s="26" t="s">
        <v>84</v>
      </c>
      <c r="Q2" s="26" t="s">
        <v>84</v>
      </c>
      <c r="R2" s="26" t="s">
        <v>84</v>
      </c>
      <c r="S2" s="27" t="s">
        <v>24</v>
      </c>
      <c r="T2" s="27" t="s">
        <v>86</v>
      </c>
      <c r="U2" s="28" t="s">
        <v>88</v>
      </c>
    </row>
    <row r="3" spans="1:21" ht="186" x14ac:dyDescent="0.25">
      <c r="A3" s="29" t="s">
        <v>81</v>
      </c>
      <c r="B3" s="30" t="s">
        <v>82</v>
      </c>
      <c r="C3" s="49" t="s">
        <v>1299</v>
      </c>
      <c r="D3" s="49" t="s">
        <v>1637</v>
      </c>
      <c r="E3" s="49" t="s">
        <v>1276</v>
      </c>
      <c r="F3" s="49" t="s">
        <v>1277</v>
      </c>
      <c r="G3" s="49" t="s">
        <v>1278</v>
      </c>
      <c r="H3" s="49" t="s">
        <v>1279</v>
      </c>
      <c r="I3" s="31" t="s">
        <v>1276</v>
      </c>
      <c r="J3" s="31" t="s">
        <v>1277</v>
      </c>
      <c r="K3" s="31" t="s">
        <v>1278</v>
      </c>
      <c r="L3" s="31" t="s">
        <v>1279</v>
      </c>
      <c r="M3" s="31" t="s">
        <v>1637</v>
      </c>
      <c r="N3" s="32" t="s">
        <v>1276</v>
      </c>
      <c r="O3" s="32" t="s">
        <v>1277</v>
      </c>
      <c r="P3" s="32" t="s">
        <v>1278</v>
      </c>
      <c r="Q3" s="32" t="s">
        <v>1279</v>
      </c>
      <c r="R3" s="32" t="s">
        <v>1637</v>
      </c>
      <c r="S3" s="27" t="s">
        <v>85</v>
      </c>
      <c r="T3" s="27" t="s">
        <v>87</v>
      </c>
      <c r="U3" s="28"/>
    </row>
    <row r="4" spans="1:21" x14ac:dyDescent="0.25">
      <c r="A4" s="33">
        <v>1</v>
      </c>
      <c r="B4" s="43" t="s">
        <v>1909</v>
      </c>
      <c r="C4" s="69">
        <v>0</v>
      </c>
      <c r="D4" s="69">
        <v>5</v>
      </c>
      <c r="E4" s="69">
        <v>-2147483648</v>
      </c>
      <c r="F4" s="69">
        <v>-2147483648</v>
      </c>
      <c r="G4" s="69">
        <v>-2147483648</v>
      </c>
      <c r="H4" s="69">
        <v>-2147483648</v>
      </c>
      <c r="I4" s="124" t="s">
        <v>89</v>
      </c>
      <c r="J4" s="124" t="s">
        <v>89</v>
      </c>
      <c r="K4" s="124" t="s">
        <v>89</v>
      </c>
      <c r="L4" s="124" t="s">
        <v>89</v>
      </c>
      <c r="M4" s="124" t="s">
        <v>89</v>
      </c>
      <c r="N4" s="69">
        <v>-2147483648</v>
      </c>
      <c r="O4" s="69">
        <v>-2147483648</v>
      </c>
      <c r="P4" s="69">
        <v>-2147483648</v>
      </c>
      <c r="Q4" s="43">
        <v>-2147483648</v>
      </c>
      <c r="R4" s="43">
        <v>5</v>
      </c>
      <c r="S4" s="46" t="s">
        <v>89</v>
      </c>
      <c r="T4" s="34"/>
      <c r="U4" s="35"/>
    </row>
    <row r="5" spans="1:21" x14ac:dyDescent="0.25">
      <c r="A5" s="33">
        <v>2</v>
      </c>
      <c r="B5" s="43" t="s">
        <v>1908</v>
      </c>
      <c r="C5" s="69">
        <v>1</v>
      </c>
      <c r="D5" s="69">
        <v>31</v>
      </c>
      <c r="E5" s="69">
        <v>2147483647</v>
      </c>
      <c r="F5" s="69">
        <v>2147483647</v>
      </c>
      <c r="G5" s="69">
        <v>2147483647</v>
      </c>
      <c r="H5" s="69">
        <v>2147483647</v>
      </c>
      <c r="I5" s="124" t="s">
        <v>89</v>
      </c>
      <c r="J5" s="124" t="s">
        <v>89</v>
      </c>
      <c r="K5" s="124" t="s">
        <v>89</v>
      </c>
      <c r="L5" s="124" t="s">
        <v>89</v>
      </c>
      <c r="M5" s="124" t="s">
        <v>89</v>
      </c>
      <c r="N5" s="69">
        <v>31</v>
      </c>
      <c r="O5" s="69">
        <v>9.9035203050596702E+27</v>
      </c>
      <c r="P5" s="69">
        <v>2147483647</v>
      </c>
      <c r="Q5" s="43">
        <v>2147483647</v>
      </c>
      <c r="R5" s="43">
        <v>31</v>
      </c>
      <c r="S5" s="46" t="s">
        <v>89</v>
      </c>
      <c r="T5" s="34"/>
      <c r="U5" s="35"/>
    </row>
    <row r="6" spans="1:21" ht="15.75" thickBot="1" x14ac:dyDescent="0.3">
      <c r="A6" s="36">
        <v>3</v>
      </c>
      <c r="B6" s="44" t="s">
        <v>1910</v>
      </c>
      <c r="C6" s="167">
        <v>0</v>
      </c>
      <c r="D6" s="167">
        <v>6.1253000000000002</v>
      </c>
      <c r="E6" s="167">
        <v>1254217679.9920001</v>
      </c>
      <c r="F6" s="167">
        <v>-1788407399.8074</v>
      </c>
      <c r="G6" s="167">
        <v>2035574302.3052001</v>
      </c>
      <c r="H6" s="167">
        <v>-453077201.53659999</v>
      </c>
      <c r="I6" s="168" t="s">
        <v>89</v>
      </c>
      <c r="J6" s="168" t="s">
        <v>89</v>
      </c>
      <c r="K6" s="168" t="s">
        <v>89</v>
      </c>
      <c r="L6" s="168" t="s">
        <v>89</v>
      </c>
      <c r="M6" s="168" t="s">
        <v>89</v>
      </c>
      <c r="N6" s="167">
        <v>1254217679.9920001</v>
      </c>
      <c r="O6" s="167">
        <v>-1788407399.8074</v>
      </c>
      <c r="P6" s="167">
        <v>2035574302.3052001</v>
      </c>
      <c r="Q6" s="44">
        <v>-453077201.53659999</v>
      </c>
      <c r="R6" s="44">
        <v>6.1253000000000002</v>
      </c>
      <c r="S6" s="47" t="s">
        <v>89</v>
      </c>
      <c r="T6" s="37"/>
      <c r="U6" s="38"/>
    </row>
    <row r="7" spans="1:21" x14ac:dyDescent="0.25">
      <c r="A7" s="39"/>
      <c r="B7" s="39"/>
      <c r="C7" s="39"/>
      <c r="D7" s="39"/>
      <c r="E7" s="39"/>
      <c r="F7" s="39"/>
      <c r="G7" s="39"/>
      <c r="H7" s="39"/>
      <c r="I7" s="39"/>
      <c r="J7" s="39"/>
      <c r="K7" s="39"/>
      <c r="L7" s="39"/>
      <c r="M7" s="39"/>
      <c r="N7" s="39"/>
      <c r="O7" s="39"/>
      <c r="P7" s="39"/>
      <c r="Q7" s="39"/>
      <c r="R7" s="39"/>
      <c r="S7" s="39"/>
      <c r="T7" s="39"/>
      <c r="U7" s="39"/>
    </row>
    <row r="8" spans="1:21" x14ac:dyDescent="0.25">
      <c r="A8" s="39"/>
      <c r="B8" s="39"/>
      <c r="C8" s="39"/>
      <c r="D8" s="39"/>
      <c r="E8" s="39"/>
      <c r="F8" s="39"/>
      <c r="G8" s="39"/>
      <c r="H8" s="39"/>
      <c r="I8" s="39"/>
      <c r="J8" s="39"/>
      <c r="K8" s="39"/>
      <c r="L8" s="39"/>
      <c r="M8" s="39"/>
      <c r="N8" s="39"/>
      <c r="O8" s="39"/>
      <c r="P8" s="39"/>
      <c r="Q8" s="39"/>
      <c r="R8" s="39"/>
      <c r="S8" s="39"/>
      <c r="T8" s="39"/>
      <c r="U8" s="39"/>
    </row>
    <row r="9" spans="1:21" x14ac:dyDescent="0.25">
      <c r="A9" s="39"/>
      <c r="B9" s="39"/>
      <c r="C9" s="39"/>
      <c r="D9" s="39"/>
      <c r="E9" s="39"/>
      <c r="F9" s="39"/>
      <c r="G9" s="39"/>
      <c r="H9" s="39"/>
      <c r="I9" s="39"/>
      <c r="J9" s="39"/>
      <c r="K9" s="39"/>
      <c r="L9" s="39"/>
      <c r="M9" s="39"/>
      <c r="N9" s="39"/>
      <c r="O9" s="39"/>
      <c r="P9" s="39"/>
      <c r="Q9" s="39"/>
      <c r="R9" s="39"/>
      <c r="S9" s="39"/>
      <c r="T9" s="39"/>
      <c r="U9" s="39"/>
    </row>
    <row r="10" spans="1:21" x14ac:dyDescent="0.25">
      <c r="A10" s="39"/>
      <c r="B10" s="39"/>
      <c r="C10" s="39"/>
      <c r="D10" s="39"/>
      <c r="E10" s="39"/>
      <c r="F10" s="39"/>
      <c r="G10" s="39"/>
      <c r="H10" s="39"/>
      <c r="I10" s="39"/>
      <c r="J10" s="39"/>
      <c r="K10" s="39"/>
      <c r="L10" s="39"/>
      <c r="M10" s="39"/>
      <c r="N10" s="39"/>
      <c r="O10" s="39"/>
      <c r="P10" s="39"/>
      <c r="Q10" s="39"/>
      <c r="R10" s="39"/>
      <c r="S10" s="39"/>
      <c r="T10" s="39"/>
      <c r="U10" s="39"/>
    </row>
    <row r="11" spans="1:21" x14ac:dyDescent="0.25">
      <c r="A11" s="39"/>
      <c r="B11" s="39"/>
      <c r="C11" s="39"/>
      <c r="D11" s="39"/>
      <c r="E11" s="39"/>
      <c r="F11" s="39"/>
      <c r="G11" s="39"/>
      <c r="H11" s="39"/>
      <c r="I11" s="39"/>
      <c r="J11" s="39"/>
      <c r="K11" s="39"/>
      <c r="L11" s="39"/>
      <c r="M11" s="39"/>
      <c r="N11" s="39"/>
      <c r="O11" s="39"/>
      <c r="P11" s="39"/>
      <c r="Q11" s="39"/>
      <c r="R11" s="39"/>
      <c r="S11" s="39"/>
      <c r="T11" s="39"/>
      <c r="U11" s="39"/>
    </row>
    <row r="12" spans="1:21" x14ac:dyDescent="0.25">
      <c r="A12" s="39"/>
      <c r="B12" s="39"/>
      <c r="C12" s="39"/>
      <c r="D12" s="39"/>
      <c r="E12" s="39"/>
      <c r="F12" s="39"/>
      <c r="G12" s="39"/>
      <c r="H12" s="39"/>
      <c r="I12" s="39"/>
      <c r="J12" s="39"/>
      <c r="K12" s="39"/>
      <c r="L12" s="39"/>
      <c r="M12" s="39"/>
      <c r="N12" s="39"/>
      <c r="O12" s="39"/>
      <c r="P12" s="39"/>
      <c r="Q12" s="39"/>
      <c r="R12" s="39"/>
      <c r="S12" s="39"/>
      <c r="T12" s="39"/>
      <c r="U12" s="39"/>
    </row>
    <row r="13" spans="1:21" x14ac:dyDescent="0.25">
      <c r="A13" s="39"/>
      <c r="B13" s="39"/>
      <c r="C13" s="39"/>
      <c r="D13" s="39"/>
      <c r="E13" s="39"/>
      <c r="F13" s="39"/>
      <c r="G13" s="39"/>
      <c r="H13" s="39"/>
      <c r="I13" s="39"/>
      <c r="J13" s="39"/>
      <c r="K13" s="39"/>
      <c r="L13" s="39"/>
      <c r="M13" s="39"/>
      <c r="N13" s="39"/>
      <c r="O13" s="39"/>
      <c r="P13" s="39"/>
      <c r="Q13" s="39"/>
      <c r="R13" s="39"/>
      <c r="S13" s="39"/>
      <c r="T13" s="39"/>
      <c r="U13" s="39"/>
    </row>
    <row r="14" spans="1:21" x14ac:dyDescent="0.25">
      <c r="A14" s="39"/>
      <c r="B14" s="39"/>
      <c r="C14" s="39"/>
      <c r="D14" s="39"/>
      <c r="E14" s="39"/>
      <c r="F14" s="39"/>
      <c r="G14" s="39"/>
      <c r="H14" s="39"/>
      <c r="I14" s="39"/>
      <c r="J14" s="39"/>
      <c r="K14" s="39"/>
      <c r="L14" s="39"/>
      <c r="M14" s="39"/>
      <c r="N14" s="39"/>
      <c r="O14" s="39"/>
      <c r="P14" s="39"/>
      <c r="Q14" s="39"/>
      <c r="R14" s="39"/>
      <c r="S14" s="39"/>
      <c r="T14" s="39"/>
      <c r="U14" s="39"/>
    </row>
    <row r="15" spans="1:21" x14ac:dyDescent="0.25">
      <c r="A15" s="39"/>
      <c r="B15" s="39"/>
      <c r="C15" s="39"/>
      <c r="D15" s="39"/>
      <c r="E15" s="39"/>
      <c r="F15" s="39"/>
      <c r="G15" s="39"/>
      <c r="H15" s="39"/>
      <c r="I15" s="39"/>
      <c r="J15" s="39"/>
      <c r="K15" s="39"/>
      <c r="L15" s="39"/>
      <c r="M15" s="39"/>
      <c r="N15" s="39"/>
      <c r="O15" s="39"/>
      <c r="P15" s="39"/>
      <c r="Q15" s="39"/>
      <c r="R15" s="39"/>
      <c r="S15" s="39"/>
      <c r="T15" s="39"/>
      <c r="U15" s="39"/>
    </row>
    <row r="16" spans="1:21" x14ac:dyDescent="0.25">
      <c r="A16" s="39"/>
      <c r="B16" s="39"/>
      <c r="C16" s="39"/>
      <c r="D16" s="39"/>
      <c r="E16" s="39"/>
      <c r="F16" s="39"/>
      <c r="G16" s="39"/>
      <c r="H16" s="39"/>
      <c r="I16" s="39"/>
      <c r="J16" s="39"/>
      <c r="K16" s="39"/>
      <c r="L16" s="39"/>
      <c r="M16" s="39"/>
      <c r="N16" s="39"/>
      <c r="O16" s="39"/>
      <c r="P16" s="39"/>
      <c r="Q16" s="39"/>
      <c r="R16" s="39"/>
      <c r="S16" s="39"/>
      <c r="T16" s="39"/>
      <c r="U16" s="39"/>
    </row>
  </sheetData>
  <sheetProtection sheet="1" objects="1" scenarios="1"/>
  <mergeCells count="2">
    <mergeCell ref="A1:B1"/>
    <mergeCell ref="A2:B2"/>
  </mergeCells>
  <hyperlinks>
    <hyperlink ref="A1" location="'CalLowPassFiltVecuOut'!A1" display="'CalLowPassFiltVecuOut'!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40"/>
  <sheetViews>
    <sheetView workbookViewId="0">
      <selection sqref="A1:B1"/>
    </sheetView>
  </sheetViews>
  <sheetFormatPr defaultRowHeight="15" x14ac:dyDescent="0.25"/>
  <cols>
    <col min="1" max="1" width="8.140625" bestFit="1" customWidth="1"/>
    <col min="2" max="2" width="54.140625" bestFit="1" customWidth="1"/>
    <col min="3" max="3" width="3.28515625" bestFit="1" customWidth="1"/>
    <col min="4" max="4" width="9" bestFit="1" customWidth="1"/>
    <col min="5" max="8" width="12.7109375" bestFit="1" customWidth="1"/>
    <col min="9" max="13" width="3.28515625" bestFit="1" customWidth="1"/>
    <col min="14" max="17" width="12.7109375" bestFit="1" customWidth="1"/>
    <col min="18" max="18" width="9" bestFit="1" customWidth="1"/>
    <col min="19" max="19" width="10.5703125" bestFit="1" customWidth="1"/>
    <col min="20" max="20" width="12.42578125" bestFit="1" customWidth="1"/>
    <col min="21" max="21" width="10.5703125" bestFit="1" customWidth="1"/>
  </cols>
  <sheetData>
    <row r="1" spans="1:21" x14ac:dyDescent="0.25">
      <c r="A1" s="228" t="s">
        <v>1489</v>
      </c>
      <c r="B1" s="229"/>
      <c r="C1" s="42" t="s">
        <v>90</v>
      </c>
      <c r="D1" s="54" t="s">
        <v>89</v>
      </c>
      <c r="E1" s="175"/>
      <c r="F1" s="175"/>
      <c r="G1" s="175"/>
      <c r="H1" s="175"/>
      <c r="I1" s="175"/>
      <c r="J1" s="175"/>
      <c r="K1" s="175"/>
      <c r="L1" s="175"/>
      <c r="M1" s="175"/>
      <c r="N1" s="175"/>
      <c r="O1" s="175"/>
      <c r="P1" s="175"/>
      <c r="Q1" s="175"/>
      <c r="R1" s="175"/>
      <c r="S1" s="40"/>
      <c r="T1" s="40"/>
      <c r="U1" s="41"/>
    </row>
    <row r="2" spans="1:21" ht="60" customHeight="1" x14ac:dyDescent="0.25">
      <c r="A2" s="230" t="s">
        <v>80</v>
      </c>
      <c r="B2" s="231"/>
      <c r="C2" s="50" t="s">
        <v>91</v>
      </c>
      <c r="D2" s="50" t="s">
        <v>91</v>
      </c>
      <c r="E2" s="50" t="s">
        <v>91</v>
      </c>
      <c r="F2" s="50" t="s">
        <v>91</v>
      </c>
      <c r="G2" s="50" t="s">
        <v>91</v>
      </c>
      <c r="H2" s="50" t="s">
        <v>91</v>
      </c>
      <c r="I2" s="45" t="s">
        <v>83</v>
      </c>
      <c r="J2" s="25" t="s">
        <v>83</v>
      </c>
      <c r="K2" s="25" t="s">
        <v>83</v>
      </c>
      <c r="L2" s="25" t="s">
        <v>83</v>
      </c>
      <c r="M2" s="25" t="s">
        <v>83</v>
      </c>
      <c r="N2" s="26" t="s">
        <v>84</v>
      </c>
      <c r="O2" s="26" t="s">
        <v>84</v>
      </c>
      <c r="P2" s="26" t="s">
        <v>84</v>
      </c>
      <c r="Q2" s="26" t="s">
        <v>84</v>
      </c>
      <c r="R2" s="26" t="s">
        <v>84</v>
      </c>
      <c r="S2" s="27" t="s">
        <v>24</v>
      </c>
      <c r="T2" s="27" t="s">
        <v>86</v>
      </c>
      <c r="U2" s="28" t="s">
        <v>88</v>
      </c>
    </row>
    <row r="3" spans="1:21" ht="186" x14ac:dyDescent="0.25">
      <c r="A3" s="29" t="s">
        <v>81</v>
      </c>
      <c r="B3" s="30" t="s">
        <v>82</v>
      </c>
      <c r="C3" s="49" t="s">
        <v>1299</v>
      </c>
      <c r="D3" s="49" t="s">
        <v>1637</v>
      </c>
      <c r="E3" s="49" t="s">
        <v>1276</v>
      </c>
      <c r="F3" s="49" t="s">
        <v>1277</v>
      </c>
      <c r="G3" s="49" t="s">
        <v>1278</v>
      </c>
      <c r="H3" s="49" t="s">
        <v>1279</v>
      </c>
      <c r="I3" s="31" t="s">
        <v>1276</v>
      </c>
      <c r="J3" s="31" t="s">
        <v>1277</v>
      </c>
      <c r="K3" s="31" t="s">
        <v>1278</v>
      </c>
      <c r="L3" s="31" t="s">
        <v>1279</v>
      </c>
      <c r="M3" s="31" t="s">
        <v>1637</v>
      </c>
      <c r="N3" s="32" t="s">
        <v>1276</v>
      </c>
      <c r="O3" s="32" t="s">
        <v>1277</v>
      </c>
      <c r="P3" s="32" t="s">
        <v>1278</v>
      </c>
      <c r="Q3" s="32" t="s">
        <v>1279</v>
      </c>
      <c r="R3" s="32" t="s">
        <v>1637</v>
      </c>
      <c r="S3" s="27" t="s">
        <v>85</v>
      </c>
      <c r="T3" s="27" t="s">
        <v>87</v>
      </c>
      <c r="U3" s="28"/>
    </row>
    <row r="4" spans="1:21" x14ac:dyDescent="0.25">
      <c r="A4" s="33">
        <v>1</v>
      </c>
      <c r="B4" s="43" t="s">
        <v>94</v>
      </c>
      <c r="C4" s="51">
        <v>0</v>
      </c>
      <c r="D4" s="51">
        <v>5</v>
      </c>
      <c r="E4" s="51">
        <v>-2147483648</v>
      </c>
      <c r="F4" s="51">
        <v>-2147483648</v>
      </c>
      <c r="G4" s="51">
        <v>-2147483648</v>
      </c>
      <c r="H4" s="51">
        <v>-2147483648</v>
      </c>
      <c r="I4" s="34" t="s">
        <v>89</v>
      </c>
      <c r="J4" s="34" t="s">
        <v>89</v>
      </c>
      <c r="K4" s="34" t="s">
        <v>89</v>
      </c>
      <c r="L4" s="34" t="s">
        <v>89</v>
      </c>
      <c r="M4" s="34" t="s">
        <v>89</v>
      </c>
      <c r="N4" s="43">
        <v>-2147483648</v>
      </c>
      <c r="O4" s="43">
        <v>-2147483648</v>
      </c>
      <c r="P4" s="43">
        <v>-2147483648</v>
      </c>
      <c r="Q4" s="43">
        <v>-2147483648</v>
      </c>
      <c r="R4" s="43">
        <v>5</v>
      </c>
      <c r="S4" s="46" t="s">
        <v>89</v>
      </c>
      <c r="T4" s="34"/>
      <c r="U4" s="35"/>
    </row>
    <row r="5" spans="1:21" x14ac:dyDescent="0.25">
      <c r="A5" s="33">
        <v>2</v>
      </c>
      <c r="B5" s="43" t="s">
        <v>95</v>
      </c>
      <c r="C5" s="51">
        <v>1</v>
      </c>
      <c r="D5" s="51">
        <v>31</v>
      </c>
      <c r="E5" s="51">
        <v>2147483647</v>
      </c>
      <c r="F5" s="51">
        <v>2147483647</v>
      </c>
      <c r="G5" s="51">
        <v>2147483647</v>
      </c>
      <c r="H5" s="51">
        <v>2147483647</v>
      </c>
      <c r="I5" s="34" t="s">
        <v>89</v>
      </c>
      <c r="J5" s="34" t="s">
        <v>89</v>
      </c>
      <c r="K5" s="34" t="s">
        <v>89</v>
      </c>
      <c r="L5" s="34" t="s">
        <v>89</v>
      </c>
      <c r="M5" s="34" t="s">
        <v>89</v>
      </c>
      <c r="N5" s="43">
        <v>31</v>
      </c>
      <c r="O5" s="43">
        <v>9.9035203050596702E+27</v>
      </c>
      <c r="P5" s="43">
        <v>2147483647</v>
      </c>
      <c r="Q5" s="43">
        <v>2147483647</v>
      </c>
      <c r="R5" s="43">
        <v>31</v>
      </c>
      <c r="S5" s="46" t="s">
        <v>89</v>
      </c>
      <c r="T5" s="34"/>
      <c r="U5" s="35"/>
    </row>
    <row r="6" spans="1:21" x14ac:dyDescent="0.25">
      <c r="A6" s="33">
        <v>3</v>
      </c>
      <c r="B6" s="43" t="s">
        <v>1634</v>
      </c>
      <c r="C6" s="51">
        <v>0</v>
      </c>
      <c r="D6" s="43">
        <v>6.1253000000000002</v>
      </c>
      <c r="E6" s="43">
        <v>1254217679.9920001</v>
      </c>
      <c r="F6" s="43">
        <v>-1788407399.8074</v>
      </c>
      <c r="G6" s="43">
        <v>2035574302.3052001</v>
      </c>
      <c r="H6" s="43">
        <v>-453077201.53659999</v>
      </c>
      <c r="I6" s="34" t="s">
        <v>89</v>
      </c>
      <c r="J6" s="34" t="s">
        <v>89</v>
      </c>
      <c r="K6" s="34" t="s">
        <v>89</v>
      </c>
      <c r="L6" s="34" t="s">
        <v>89</v>
      </c>
      <c r="M6" s="34" t="s">
        <v>89</v>
      </c>
      <c r="N6" s="43">
        <v>1254217679.9920001</v>
      </c>
      <c r="O6" s="43">
        <v>-1788407399.8074</v>
      </c>
      <c r="P6" s="43">
        <v>2035574302.3052001</v>
      </c>
      <c r="Q6" s="43">
        <v>-453077201.53659999</v>
      </c>
      <c r="R6" s="43">
        <v>6.1253000000000002</v>
      </c>
      <c r="S6" s="46" t="s">
        <v>89</v>
      </c>
      <c r="T6" s="34"/>
      <c r="U6" s="35"/>
    </row>
    <row r="7" spans="1:21" x14ac:dyDescent="0.25">
      <c r="A7" s="33">
        <v>4</v>
      </c>
      <c r="B7" s="43" t="s">
        <v>1635</v>
      </c>
      <c r="C7" s="51">
        <v>1</v>
      </c>
      <c r="D7" s="43">
        <v>7.2355999999999998</v>
      </c>
      <c r="E7" s="43">
        <v>1598213706.3471999</v>
      </c>
      <c r="F7" s="43">
        <v>-1509350305.8403001</v>
      </c>
      <c r="G7" s="43">
        <v>-334438291.58109999</v>
      </c>
      <c r="H7" s="43">
        <v>1170518309.0581</v>
      </c>
      <c r="I7" s="34" t="s">
        <v>89</v>
      </c>
      <c r="J7" s="34" t="s">
        <v>89</v>
      </c>
      <c r="K7" s="34" t="s">
        <v>89</v>
      </c>
      <c r="L7" s="34" t="s">
        <v>89</v>
      </c>
      <c r="M7" s="34" t="s">
        <v>89</v>
      </c>
      <c r="N7" s="43">
        <v>7.2355999999999998</v>
      </c>
      <c r="O7" s="43">
        <v>5.9085954535769799E+26</v>
      </c>
      <c r="P7" s="43">
        <v>-334438291.58109999</v>
      </c>
      <c r="Q7" s="43">
        <v>1170518309.0581</v>
      </c>
      <c r="R7" s="43">
        <v>31</v>
      </c>
      <c r="S7" s="46" t="s">
        <v>89</v>
      </c>
      <c r="T7" s="34"/>
      <c r="U7" s="35"/>
    </row>
    <row r="8" spans="1:21" x14ac:dyDescent="0.25">
      <c r="A8" s="33">
        <v>5</v>
      </c>
      <c r="B8" s="43" t="s">
        <v>1638</v>
      </c>
      <c r="C8" s="43">
        <v>0</v>
      </c>
      <c r="D8" s="51">
        <v>5</v>
      </c>
      <c r="E8" s="43">
        <v>1303387931.1819</v>
      </c>
      <c r="F8" s="43">
        <v>-526130096.29799998</v>
      </c>
      <c r="G8" s="43">
        <v>1460702844.8027</v>
      </c>
      <c r="H8" s="43">
        <v>1444665445.7154</v>
      </c>
      <c r="I8" s="34" t="s">
        <v>89</v>
      </c>
      <c r="J8" s="34" t="s">
        <v>89</v>
      </c>
      <c r="K8" s="34" t="s">
        <v>89</v>
      </c>
      <c r="L8" s="34" t="s">
        <v>89</v>
      </c>
      <c r="M8" s="34" t="s">
        <v>89</v>
      </c>
      <c r="N8" s="43">
        <v>1303387931.1819</v>
      </c>
      <c r="O8" s="43">
        <v>-526130096.29799998</v>
      </c>
      <c r="P8" s="43">
        <v>1460702844.8027</v>
      </c>
      <c r="Q8" s="43">
        <v>1444665445.7154</v>
      </c>
      <c r="R8" s="43">
        <v>5</v>
      </c>
      <c r="S8" s="46" t="s">
        <v>89</v>
      </c>
      <c r="T8" s="34"/>
      <c r="U8" s="35"/>
    </row>
    <row r="9" spans="1:21" x14ac:dyDescent="0.25">
      <c r="A9" s="33">
        <v>6</v>
      </c>
      <c r="B9" s="43" t="s">
        <v>1639</v>
      </c>
      <c r="C9" s="43">
        <v>1</v>
      </c>
      <c r="D9" s="51">
        <v>31</v>
      </c>
      <c r="E9" s="43">
        <v>-1936128614.4231999</v>
      </c>
      <c r="F9" s="43">
        <v>1575154314.4619999</v>
      </c>
      <c r="G9" s="43">
        <v>255735803.16710001</v>
      </c>
      <c r="H9" s="43">
        <v>1209360783.7472</v>
      </c>
      <c r="I9" s="34" t="s">
        <v>89</v>
      </c>
      <c r="J9" s="34" t="s">
        <v>89</v>
      </c>
      <c r="K9" s="34" t="s">
        <v>89</v>
      </c>
      <c r="L9" s="34" t="s">
        <v>89</v>
      </c>
      <c r="M9" s="34" t="s">
        <v>89</v>
      </c>
      <c r="N9" s="43">
        <v>31</v>
      </c>
      <c r="O9" s="43">
        <v>4.8715876442630201E+26</v>
      </c>
      <c r="P9" s="43">
        <v>255735803.16710001</v>
      </c>
      <c r="Q9" s="43">
        <v>1209360783.7472</v>
      </c>
      <c r="R9" s="43">
        <v>31</v>
      </c>
      <c r="S9" s="46" t="s">
        <v>89</v>
      </c>
      <c r="T9" s="34"/>
      <c r="U9" s="35"/>
    </row>
    <row r="10" spans="1:21" x14ac:dyDescent="0.25">
      <c r="A10" s="33">
        <v>7</v>
      </c>
      <c r="B10" s="43" t="s">
        <v>1640</v>
      </c>
      <c r="C10" s="43">
        <v>0</v>
      </c>
      <c r="D10" s="51">
        <v>23.0214</v>
      </c>
      <c r="E10" s="43">
        <v>1448021335.8290999</v>
      </c>
      <c r="F10" s="43">
        <v>-2041125880.7533</v>
      </c>
      <c r="G10" s="43">
        <v>-608367045.27810001</v>
      </c>
      <c r="H10" s="43">
        <v>-1914249317.8203001</v>
      </c>
      <c r="I10" s="34" t="s">
        <v>89</v>
      </c>
      <c r="J10" s="34" t="s">
        <v>89</v>
      </c>
      <c r="K10" s="34" t="s">
        <v>89</v>
      </c>
      <c r="L10" s="34" t="s">
        <v>89</v>
      </c>
      <c r="M10" s="34" t="s">
        <v>89</v>
      </c>
      <c r="N10" s="43">
        <v>1448021335.8290999</v>
      </c>
      <c r="O10" s="43">
        <v>-2041125880.7533</v>
      </c>
      <c r="P10" s="43">
        <v>-608367045.27810001</v>
      </c>
      <c r="Q10" s="43">
        <v>-1914249317.8203001</v>
      </c>
      <c r="R10" s="43">
        <v>23.0214</v>
      </c>
      <c r="S10" s="46" t="s">
        <v>89</v>
      </c>
      <c r="T10" s="34"/>
      <c r="U10" s="35"/>
    </row>
    <row r="11" spans="1:21" x14ac:dyDescent="0.25">
      <c r="A11" s="33">
        <v>8</v>
      </c>
      <c r="B11" s="43" t="s">
        <v>1642</v>
      </c>
      <c r="C11" s="43">
        <v>1</v>
      </c>
      <c r="D11" s="43">
        <v>5.2355999999999998</v>
      </c>
      <c r="E11" s="51">
        <v>-2147483648</v>
      </c>
      <c r="F11" s="43">
        <v>360171240.03149998</v>
      </c>
      <c r="G11" s="43">
        <v>-954881472.25629997</v>
      </c>
      <c r="H11" s="43">
        <v>1885939345.0213001</v>
      </c>
      <c r="I11" s="34" t="s">
        <v>89</v>
      </c>
      <c r="J11" s="34" t="s">
        <v>89</v>
      </c>
      <c r="K11" s="34" t="s">
        <v>89</v>
      </c>
      <c r="L11" s="34" t="s">
        <v>89</v>
      </c>
      <c r="M11" s="34" t="s">
        <v>89</v>
      </c>
      <c r="N11" s="43">
        <v>5.2355999999999998</v>
      </c>
      <c r="O11" s="43">
        <v>-6.4861385522006704E+26</v>
      </c>
      <c r="P11" s="43">
        <v>-954881472.25629997</v>
      </c>
      <c r="Q11" s="43">
        <v>1885939345.0213001</v>
      </c>
      <c r="R11" s="43">
        <v>5</v>
      </c>
      <c r="S11" s="46" t="s">
        <v>89</v>
      </c>
      <c r="T11" s="34"/>
      <c r="U11" s="35"/>
    </row>
    <row r="12" spans="1:21" x14ac:dyDescent="0.25">
      <c r="A12" s="33">
        <v>9</v>
      </c>
      <c r="B12" s="43" t="s">
        <v>1643</v>
      </c>
      <c r="C12" s="43">
        <v>0</v>
      </c>
      <c r="D12" s="43">
        <v>12.3256</v>
      </c>
      <c r="E12" s="51">
        <v>2147483647</v>
      </c>
      <c r="F12" s="43">
        <v>-1263420248.0042</v>
      </c>
      <c r="G12" s="43">
        <v>552748379.79320002</v>
      </c>
      <c r="H12" s="43">
        <v>-256137216.80059999</v>
      </c>
      <c r="I12" s="34" t="s">
        <v>89</v>
      </c>
      <c r="J12" s="34" t="s">
        <v>89</v>
      </c>
      <c r="K12" s="34" t="s">
        <v>89</v>
      </c>
      <c r="L12" s="34" t="s">
        <v>89</v>
      </c>
      <c r="M12" s="34" t="s">
        <v>89</v>
      </c>
      <c r="N12" s="43">
        <v>2147483647</v>
      </c>
      <c r="O12" s="43">
        <v>-1263420248.0042</v>
      </c>
      <c r="P12" s="43">
        <v>552748379.79320002</v>
      </c>
      <c r="Q12" s="43">
        <v>-256137216.80059999</v>
      </c>
      <c r="R12" s="43">
        <v>12.3256</v>
      </c>
      <c r="S12" s="46" t="s">
        <v>89</v>
      </c>
      <c r="T12" s="34"/>
      <c r="U12" s="35"/>
    </row>
    <row r="13" spans="1:21" x14ac:dyDescent="0.25">
      <c r="A13" s="33">
        <v>10</v>
      </c>
      <c r="B13" s="43" t="s">
        <v>1710</v>
      </c>
      <c r="C13" s="43">
        <v>0</v>
      </c>
      <c r="D13" s="43">
        <v>7.2535999999999996</v>
      </c>
      <c r="E13" s="52">
        <v>0</v>
      </c>
      <c r="F13" s="43">
        <v>6524178.0213000001</v>
      </c>
      <c r="G13" s="43">
        <v>20154789.021400001</v>
      </c>
      <c r="H13" s="43">
        <v>231546.02129999999</v>
      </c>
      <c r="I13" s="34" t="s">
        <v>89</v>
      </c>
      <c r="J13" s="34" t="s">
        <v>89</v>
      </c>
      <c r="K13" s="34" t="s">
        <v>89</v>
      </c>
      <c r="L13" s="34" t="s">
        <v>89</v>
      </c>
      <c r="M13" s="34" t="s">
        <v>89</v>
      </c>
      <c r="N13" s="43">
        <v>0</v>
      </c>
      <c r="O13" s="43">
        <v>6524178.0213000001</v>
      </c>
      <c r="P13" s="43">
        <v>20154789.021400001</v>
      </c>
      <c r="Q13" s="43">
        <v>231546.02129999999</v>
      </c>
      <c r="R13" s="43">
        <v>7.2535999999999996</v>
      </c>
      <c r="S13" s="46" t="s">
        <v>89</v>
      </c>
      <c r="T13" s="34"/>
      <c r="U13" s="35"/>
    </row>
    <row r="14" spans="1:21" x14ac:dyDescent="0.25">
      <c r="A14" s="33">
        <v>11</v>
      </c>
      <c r="B14" s="43" t="s">
        <v>1711</v>
      </c>
      <c r="C14" s="43">
        <v>1</v>
      </c>
      <c r="D14" s="43">
        <v>8.2144999999999992</v>
      </c>
      <c r="E14" s="51">
        <v>32145698.001200002</v>
      </c>
      <c r="F14" s="43">
        <v>12365479.021400001</v>
      </c>
      <c r="G14" s="43">
        <v>23651489.325599998</v>
      </c>
      <c r="H14" s="43">
        <v>12546.3215</v>
      </c>
      <c r="I14" s="34" t="s">
        <v>89</v>
      </c>
      <c r="J14" s="34" t="s">
        <v>89</v>
      </c>
      <c r="K14" s="34" t="s">
        <v>89</v>
      </c>
      <c r="L14" s="34" t="s">
        <v>89</v>
      </c>
      <c r="M14" s="34" t="s">
        <v>89</v>
      </c>
      <c r="N14" s="43">
        <v>8.2144999999999992</v>
      </c>
      <c r="O14" s="43">
        <v>3.6693226201226501E+18</v>
      </c>
      <c r="P14" s="43">
        <v>23651489.325599998</v>
      </c>
      <c r="Q14" s="43">
        <v>12546.3215</v>
      </c>
      <c r="R14" s="43">
        <v>31</v>
      </c>
      <c r="S14" s="46" t="s">
        <v>89</v>
      </c>
      <c r="T14" s="34"/>
      <c r="U14" s="35"/>
    </row>
    <row r="15" spans="1:21" x14ac:dyDescent="0.25">
      <c r="A15" s="33">
        <v>12</v>
      </c>
      <c r="B15" s="43" t="s">
        <v>1712</v>
      </c>
      <c r="C15" s="43">
        <v>0</v>
      </c>
      <c r="D15" s="43">
        <v>9.3255999999999997</v>
      </c>
      <c r="E15" s="51">
        <v>-96547896.0123</v>
      </c>
      <c r="F15" s="43">
        <v>63254178.021399997</v>
      </c>
      <c r="G15" s="43">
        <v>11254698.021400001</v>
      </c>
      <c r="H15" s="43">
        <v>96321.021399999998</v>
      </c>
      <c r="I15" s="34" t="s">
        <v>89</v>
      </c>
      <c r="J15" s="34" t="s">
        <v>89</v>
      </c>
      <c r="K15" s="34" t="s">
        <v>89</v>
      </c>
      <c r="L15" s="34" t="s">
        <v>89</v>
      </c>
      <c r="M15" s="34" t="s">
        <v>89</v>
      </c>
      <c r="N15" s="43">
        <v>-96547896.0123</v>
      </c>
      <c r="O15" s="43">
        <v>63254178.021399997</v>
      </c>
      <c r="P15" s="43">
        <v>11254698.021400001</v>
      </c>
      <c r="Q15" s="43">
        <v>96321.021399999998</v>
      </c>
      <c r="R15" s="43">
        <v>9.3255999999999997</v>
      </c>
      <c r="S15" s="46" t="s">
        <v>89</v>
      </c>
      <c r="T15" s="34"/>
      <c r="U15" s="35"/>
    </row>
    <row r="16" spans="1:21" x14ac:dyDescent="0.25">
      <c r="A16" s="33">
        <v>13</v>
      </c>
      <c r="B16" s="43" t="s">
        <v>1641</v>
      </c>
      <c r="C16" s="43">
        <v>1</v>
      </c>
      <c r="D16" s="43">
        <v>5.2145000000000001</v>
      </c>
      <c r="E16" s="43">
        <v>-1758681408.8076</v>
      </c>
      <c r="F16" s="51">
        <v>-2147483648</v>
      </c>
      <c r="G16" s="43">
        <v>-1925364193.3555</v>
      </c>
      <c r="H16" s="43">
        <v>795439744.65910006</v>
      </c>
      <c r="I16" s="34" t="s">
        <v>89</v>
      </c>
      <c r="J16" s="34" t="s">
        <v>89</v>
      </c>
      <c r="K16" s="34" t="s">
        <v>89</v>
      </c>
      <c r="L16" s="34" t="s">
        <v>89</v>
      </c>
      <c r="M16" s="34" t="s">
        <v>89</v>
      </c>
      <c r="N16" s="43">
        <v>5.2145000000000001</v>
      </c>
      <c r="O16" s="43">
        <v>3.28889526235176E+27</v>
      </c>
      <c r="P16" s="43">
        <v>-1925364193.3555</v>
      </c>
      <c r="Q16" s="43">
        <v>795439744.65910006</v>
      </c>
      <c r="R16" s="43">
        <v>31</v>
      </c>
      <c r="S16" s="46" t="s">
        <v>89</v>
      </c>
      <c r="T16" s="34"/>
      <c r="U16" s="35"/>
    </row>
    <row r="17" spans="1:21" x14ac:dyDescent="0.25">
      <c r="A17" s="33">
        <v>14</v>
      </c>
      <c r="B17" s="43" t="s">
        <v>1644</v>
      </c>
      <c r="C17" s="43">
        <v>1</v>
      </c>
      <c r="D17" s="43">
        <v>13.3256</v>
      </c>
      <c r="E17" s="43">
        <v>91816171.645199999</v>
      </c>
      <c r="F17" s="51">
        <v>2147483647</v>
      </c>
      <c r="G17" s="43">
        <v>-2026222407.1740999</v>
      </c>
      <c r="H17" s="43">
        <v>-237473579.48550001</v>
      </c>
      <c r="I17" s="34" t="s">
        <v>89</v>
      </c>
      <c r="J17" s="34" t="s">
        <v>89</v>
      </c>
      <c r="K17" s="34" t="s">
        <v>89</v>
      </c>
      <c r="L17" s="34" t="s">
        <v>89</v>
      </c>
      <c r="M17" s="34" t="s">
        <v>89</v>
      </c>
      <c r="N17" s="43">
        <v>13.3256</v>
      </c>
      <c r="O17" s="43">
        <v>1.03331391452593E+27</v>
      </c>
      <c r="P17" s="43">
        <v>-2026222407.1740999</v>
      </c>
      <c r="Q17" s="43">
        <v>-237473579.48550001</v>
      </c>
      <c r="R17" s="43">
        <v>31</v>
      </c>
      <c r="S17" s="46" t="s">
        <v>89</v>
      </c>
      <c r="T17" s="34"/>
      <c r="U17" s="35"/>
    </row>
    <row r="18" spans="1:21" x14ac:dyDescent="0.25">
      <c r="A18" s="33">
        <v>15</v>
      </c>
      <c r="B18" s="43" t="s">
        <v>1713</v>
      </c>
      <c r="C18" s="43">
        <v>1</v>
      </c>
      <c r="D18" s="43">
        <v>7.1456</v>
      </c>
      <c r="E18" s="43">
        <v>12365478.3256</v>
      </c>
      <c r="F18" s="52">
        <v>0</v>
      </c>
      <c r="G18" s="43">
        <v>11025639.021400001</v>
      </c>
      <c r="H18" s="43">
        <v>1223.2563</v>
      </c>
      <c r="I18" s="34" t="s">
        <v>89</v>
      </c>
      <c r="J18" s="34" t="s">
        <v>89</v>
      </c>
      <c r="K18" s="34" t="s">
        <v>89</v>
      </c>
      <c r="L18" s="34" t="s">
        <v>89</v>
      </c>
      <c r="M18" s="34" t="s">
        <v>89</v>
      </c>
      <c r="N18" s="43">
        <v>7.1456</v>
      </c>
      <c r="O18" s="43">
        <v>15126158005.203899</v>
      </c>
      <c r="P18" s="43">
        <v>11025639.021400001</v>
      </c>
      <c r="Q18" s="43">
        <v>1223.2563</v>
      </c>
      <c r="R18" s="43">
        <v>31</v>
      </c>
      <c r="S18" s="46" t="s">
        <v>89</v>
      </c>
      <c r="T18" s="34"/>
      <c r="U18" s="35"/>
    </row>
    <row r="19" spans="1:21" x14ac:dyDescent="0.25">
      <c r="A19" s="33">
        <v>16</v>
      </c>
      <c r="B19" s="43" t="s">
        <v>1714</v>
      </c>
      <c r="C19" s="43">
        <v>0</v>
      </c>
      <c r="D19" s="43">
        <v>5.3255999999999997</v>
      </c>
      <c r="E19" s="43">
        <v>2543698.0214999998</v>
      </c>
      <c r="F19" s="51">
        <v>63527148.001199998</v>
      </c>
      <c r="G19" s="43">
        <v>21456.321400000001</v>
      </c>
      <c r="H19" s="43">
        <v>152639.0214</v>
      </c>
      <c r="I19" s="34" t="s">
        <v>89</v>
      </c>
      <c r="J19" s="34" t="s">
        <v>89</v>
      </c>
      <c r="K19" s="34" t="s">
        <v>89</v>
      </c>
      <c r="L19" s="34" t="s">
        <v>89</v>
      </c>
      <c r="M19" s="34" t="s">
        <v>89</v>
      </c>
      <c r="N19" s="43">
        <v>2543698.0214999998</v>
      </c>
      <c r="O19" s="43">
        <v>63527148.001199998</v>
      </c>
      <c r="P19" s="43">
        <v>21456.321400000001</v>
      </c>
      <c r="Q19" s="43">
        <v>152639.0214</v>
      </c>
      <c r="R19" s="43">
        <v>5.3255999999999997</v>
      </c>
      <c r="S19" s="46" t="s">
        <v>89</v>
      </c>
      <c r="T19" s="34"/>
      <c r="U19" s="35"/>
    </row>
    <row r="20" spans="1:21" x14ac:dyDescent="0.25">
      <c r="A20" s="33">
        <v>17</v>
      </c>
      <c r="B20" s="43" t="s">
        <v>1715</v>
      </c>
      <c r="C20" s="43">
        <v>1</v>
      </c>
      <c r="D20" s="43">
        <v>6.2145999999999999</v>
      </c>
      <c r="E20" s="43">
        <v>96412589.325599998</v>
      </c>
      <c r="F20" s="51">
        <v>-65981479.123000003</v>
      </c>
      <c r="G20" s="43">
        <v>25634.021400000001</v>
      </c>
      <c r="H20" s="43">
        <v>3654.0214000000001</v>
      </c>
      <c r="I20" s="34" t="s">
        <v>89</v>
      </c>
      <c r="J20" s="34" t="s">
        <v>89</v>
      </c>
      <c r="K20" s="34" t="s">
        <v>89</v>
      </c>
      <c r="L20" s="34" t="s">
        <v>89</v>
      </c>
      <c r="M20" s="34" t="s">
        <v>89</v>
      </c>
      <c r="N20" s="43">
        <v>6.2145999999999999</v>
      </c>
      <c r="O20" s="43">
        <v>-6179952248861520</v>
      </c>
      <c r="P20" s="43">
        <v>25634.021400000001</v>
      </c>
      <c r="Q20" s="43">
        <v>3654.0214000000001</v>
      </c>
      <c r="R20" s="43">
        <v>5</v>
      </c>
      <c r="S20" s="46" t="s">
        <v>89</v>
      </c>
      <c r="T20" s="34"/>
      <c r="U20" s="35"/>
    </row>
    <row r="21" spans="1:21" x14ac:dyDescent="0.25">
      <c r="A21" s="33">
        <v>18</v>
      </c>
      <c r="B21" s="43" t="s">
        <v>1645</v>
      </c>
      <c r="C21" s="43">
        <v>1</v>
      </c>
      <c r="D21" s="43">
        <v>6.3255999999999997</v>
      </c>
      <c r="E21" s="43">
        <v>-1083995699.6461</v>
      </c>
      <c r="F21" s="43">
        <v>1287427422.7895999</v>
      </c>
      <c r="G21" s="51">
        <v>-2147483648</v>
      </c>
      <c r="H21" s="43">
        <v>-302148958.0176</v>
      </c>
      <c r="I21" s="34" t="s">
        <v>89</v>
      </c>
      <c r="J21" s="34" t="s">
        <v>89</v>
      </c>
      <c r="K21" s="34" t="s">
        <v>89</v>
      </c>
      <c r="L21" s="34" t="s">
        <v>89</v>
      </c>
      <c r="M21" s="34" t="s">
        <v>89</v>
      </c>
      <c r="N21" s="43">
        <v>6.3255999999999997</v>
      </c>
      <c r="O21" s="43">
        <v>8.3536008913407001E+26</v>
      </c>
      <c r="P21" s="43">
        <v>-2147483648</v>
      </c>
      <c r="Q21" s="43">
        <v>-302148958.0176</v>
      </c>
      <c r="R21" s="43">
        <v>31</v>
      </c>
      <c r="S21" s="46" t="s">
        <v>89</v>
      </c>
      <c r="T21" s="34"/>
      <c r="U21" s="35"/>
    </row>
    <row r="22" spans="1:21" x14ac:dyDescent="0.25">
      <c r="A22" s="33">
        <v>19</v>
      </c>
      <c r="B22" s="43" t="s">
        <v>1646</v>
      </c>
      <c r="C22" s="43">
        <v>0</v>
      </c>
      <c r="D22" s="43">
        <v>22.142499999999998</v>
      </c>
      <c r="E22" s="43">
        <v>-1417493516.7465</v>
      </c>
      <c r="F22" s="43">
        <v>-721043773.88709998</v>
      </c>
      <c r="G22" s="51">
        <v>2147483647</v>
      </c>
      <c r="H22" s="43">
        <v>2069569512.5051999</v>
      </c>
      <c r="I22" s="34" t="s">
        <v>89</v>
      </c>
      <c r="J22" s="34" t="s">
        <v>89</v>
      </c>
      <c r="K22" s="34" t="s">
        <v>89</v>
      </c>
      <c r="L22" s="34" t="s">
        <v>89</v>
      </c>
      <c r="M22" s="34" t="s">
        <v>89</v>
      </c>
      <c r="N22" s="43">
        <v>-1417493516.7465</v>
      </c>
      <c r="O22" s="43">
        <v>-721043773.88709998</v>
      </c>
      <c r="P22" s="43">
        <v>2147483647</v>
      </c>
      <c r="Q22" s="43">
        <v>2069569512.5051999</v>
      </c>
      <c r="R22" s="43">
        <v>22.142499999999998</v>
      </c>
      <c r="S22" s="46" t="s">
        <v>89</v>
      </c>
      <c r="T22" s="34"/>
      <c r="U22" s="35"/>
    </row>
    <row r="23" spans="1:21" x14ac:dyDescent="0.25">
      <c r="A23" s="33">
        <v>20</v>
      </c>
      <c r="B23" s="43" t="s">
        <v>1716</v>
      </c>
      <c r="C23" s="43">
        <v>0</v>
      </c>
      <c r="D23" s="43">
        <v>7.3255999999999997</v>
      </c>
      <c r="E23" s="43">
        <v>65478936.023500003</v>
      </c>
      <c r="F23" s="43">
        <v>1235698.0214</v>
      </c>
      <c r="G23" s="52">
        <v>0</v>
      </c>
      <c r="H23" s="43">
        <v>124563.0214</v>
      </c>
      <c r="I23" s="34" t="s">
        <v>89</v>
      </c>
      <c r="J23" s="34" t="s">
        <v>89</v>
      </c>
      <c r="K23" s="34" t="s">
        <v>89</v>
      </c>
      <c r="L23" s="34" t="s">
        <v>89</v>
      </c>
      <c r="M23" s="34" t="s">
        <v>89</v>
      </c>
      <c r="N23" s="43">
        <v>65478936.023500003</v>
      </c>
      <c r="O23" s="43">
        <v>1235698.0214</v>
      </c>
      <c r="P23" s="43">
        <v>0</v>
      </c>
      <c r="Q23" s="43">
        <v>124563.0214</v>
      </c>
      <c r="R23" s="43">
        <v>7.3255999999999997</v>
      </c>
      <c r="S23" s="46" t="s">
        <v>89</v>
      </c>
      <c r="T23" s="34"/>
      <c r="U23" s="35"/>
    </row>
    <row r="24" spans="1:21" x14ac:dyDescent="0.25">
      <c r="A24" s="33">
        <v>21</v>
      </c>
      <c r="B24" s="43" t="s">
        <v>1717</v>
      </c>
      <c r="C24" s="43">
        <v>1</v>
      </c>
      <c r="D24" s="43">
        <v>8.1244999999999994</v>
      </c>
      <c r="E24" s="43">
        <v>214578963.3256</v>
      </c>
      <c r="F24" s="43">
        <v>36521478.021399997</v>
      </c>
      <c r="G24" s="52">
        <v>12456.2145</v>
      </c>
      <c r="H24" s="43">
        <v>2529634.0214</v>
      </c>
      <c r="I24" s="34" t="s">
        <v>89</v>
      </c>
      <c r="J24" s="34" t="s">
        <v>89</v>
      </c>
      <c r="K24" s="34" t="s">
        <v>89</v>
      </c>
      <c r="L24" s="34" t="s">
        <v>89</v>
      </c>
      <c r="M24" s="34" t="s">
        <v>89</v>
      </c>
      <c r="N24" s="43">
        <v>8.1244999999999994</v>
      </c>
      <c r="O24" s="43">
        <v>1.15132230666621E+18</v>
      </c>
      <c r="P24" s="43">
        <v>12456.2145</v>
      </c>
      <c r="Q24" s="43">
        <v>2529634.0214</v>
      </c>
      <c r="R24" s="43">
        <v>31</v>
      </c>
      <c r="S24" s="46" t="s">
        <v>89</v>
      </c>
      <c r="T24" s="34"/>
      <c r="U24" s="35"/>
    </row>
    <row r="25" spans="1:21" x14ac:dyDescent="0.25">
      <c r="A25" s="33">
        <v>22</v>
      </c>
      <c r="B25" s="43" t="s">
        <v>1718</v>
      </c>
      <c r="C25" s="43">
        <v>0</v>
      </c>
      <c r="D25" s="43">
        <v>6.2145000000000001</v>
      </c>
      <c r="E25" s="43">
        <v>23564178.021499999</v>
      </c>
      <c r="F25" s="43">
        <v>65987415.021499999</v>
      </c>
      <c r="G25" s="52">
        <v>-12456.3215</v>
      </c>
      <c r="H25" s="43">
        <v>132645.0214</v>
      </c>
      <c r="I25" s="34" t="s">
        <v>89</v>
      </c>
      <c r="J25" s="34" t="s">
        <v>89</v>
      </c>
      <c r="K25" s="34" t="s">
        <v>89</v>
      </c>
      <c r="L25" s="34" t="s">
        <v>89</v>
      </c>
      <c r="M25" s="34" t="s">
        <v>89</v>
      </c>
      <c r="N25" s="43">
        <v>23564178.021499999</v>
      </c>
      <c r="O25" s="43">
        <v>65987415.021499999</v>
      </c>
      <c r="P25" s="43">
        <v>-12456.3215</v>
      </c>
      <c r="Q25" s="43">
        <v>132645.0214</v>
      </c>
      <c r="R25" s="43">
        <v>6.2145000000000001</v>
      </c>
      <c r="S25" s="46" t="s">
        <v>89</v>
      </c>
      <c r="T25" s="34"/>
      <c r="U25" s="35"/>
    </row>
    <row r="26" spans="1:21" x14ac:dyDescent="0.25">
      <c r="A26" s="33">
        <v>23</v>
      </c>
      <c r="B26" s="43" t="s">
        <v>1647</v>
      </c>
      <c r="C26" s="43">
        <v>0</v>
      </c>
      <c r="D26" s="43">
        <v>11.2563</v>
      </c>
      <c r="E26" s="43">
        <v>-980435302.0891</v>
      </c>
      <c r="F26" s="43">
        <v>991659614.10829997</v>
      </c>
      <c r="G26" s="43">
        <v>-416541271.01999998</v>
      </c>
      <c r="H26" s="51">
        <v>-2147483648</v>
      </c>
      <c r="I26" s="34" t="s">
        <v>89</v>
      </c>
      <c r="J26" s="34" t="s">
        <v>89</v>
      </c>
      <c r="K26" s="34" t="s">
        <v>89</v>
      </c>
      <c r="L26" s="34" t="s">
        <v>89</v>
      </c>
      <c r="M26" s="34" t="s">
        <v>89</v>
      </c>
      <c r="N26" s="43">
        <v>-980435302.0891</v>
      </c>
      <c r="O26" s="43">
        <v>991659614.10829997</v>
      </c>
      <c r="P26" s="43">
        <v>-416541271.01999998</v>
      </c>
      <c r="Q26" s="43">
        <v>-2147483648</v>
      </c>
      <c r="R26" s="43">
        <v>11.2563</v>
      </c>
      <c r="S26" s="46" t="s">
        <v>89</v>
      </c>
      <c r="T26" s="34"/>
      <c r="U26" s="35"/>
    </row>
    <row r="27" spans="1:21" x14ac:dyDescent="0.25">
      <c r="A27" s="33">
        <v>24</v>
      </c>
      <c r="B27" s="43" t="s">
        <v>1648</v>
      </c>
      <c r="C27" s="43">
        <v>1</v>
      </c>
      <c r="D27" s="43">
        <v>30.235600000000002</v>
      </c>
      <c r="E27" s="43">
        <v>1127301051.7539001</v>
      </c>
      <c r="F27" s="43">
        <v>-2101609701.4102001</v>
      </c>
      <c r="G27" s="43">
        <v>1937574494.6942</v>
      </c>
      <c r="H27" s="51">
        <v>2147483647</v>
      </c>
      <c r="I27" s="34" t="s">
        <v>89</v>
      </c>
      <c r="J27" s="34" t="s">
        <v>89</v>
      </c>
      <c r="K27" s="34" t="s">
        <v>89</v>
      </c>
      <c r="L27" s="34" t="s">
        <v>89</v>
      </c>
      <c r="M27" s="34" t="s">
        <v>89</v>
      </c>
      <c r="N27" s="43">
        <v>30.235600000000002</v>
      </c>
      <c r="O27" s="43">
        <v>-8.7446078581571105E+27</v>
      </c>
      <c r="P27" s="43">
        <v>1937574494.6942</v>
      </c>
      <c r="Q27" s="43">
        <v>2147483647</v>
      </c>
      <c r="R27" s="43">
        <v>5</v>
      </c>
      <c r="S27" s="46" t="s">
        <v>89</v>
      </c>
      <c r="T27" s="34"/>
      <c r="U27" s="35"/>
    </row>
    <row r="28" spans="1:21" x14ac:dyDescent="0.25">
      <c r="A28" s="33">
        <v>25</v>
      </c>
      <c r="B28" s="43" t="s">
        <v>1719</v>
      </c>
      <c r="C28" s="43">
        <v>1</v>
      </c>
      <c r="D28" s="43">
        <v>6.3256800000000002</v>
      </c>
      <c r="E28" s="43">
        <v>112563.0214</v>
      </c>
      <c r="F28" s="43">
        <v>1223653.0214</v>
      </c>
      <c r="G28" s="43">
        <v>124556.23149999999</v>
      </c>
      <c r="H28" s="52">
        <v>0</v>
      </c>
      <c r="I28" s="34" t="s">
        <v>89</v>
      </c>
      <c r="J28" s="34" t="s">
        <v>89</v>
      </c>
      <c r="K28" s="34" t="s">
        <v>89</v>
      </c>
      <c r="L28" s="34" t="s">
        <v>89</v>
      </c>
      <c r="M28" s="34" t="s">
        <v>89</v>
      </c>
      <c r="N28" s="43">
        <v>6.3256800000000002</v>
      </c>
      <c r="O28" s="43">
        <v>0</v>
      </c>
      <c r="P28" s="43">
        <v>124556.23149999999</v>
      </c>
      <c r="Q28" s="43">
        <v>0</v>
      </c>
      <c r="R28" s="43">
        <v>5</v>
      </c>
      <c r="S28" s="46" t="s">
        <v>89</v>
      </c>
      <c r="T28" s="34"/>
      <c r="U28" s="35"/>
    </row>
    <row r="29" spans="1:21" x14ac:dyDescent="0.25">
      <c r="A29" s="33">
        <v>26</v>
      </c>
      <c r="B29" s="43" t="s">
        <v>1720</v>
      </c>
      <c r="C29" s="43">
        <v>0</v>
      </c>
      <c r="D29" s="43">
        <v>11.25469</v>
      </c>
      <c r="E29" s="43">
        <v>325648.02140000003</v>
      </c>
      <c r="F29" s="43">
        <v>302145.02149999997</v>
      </c>
      <c r="G29" s="43">
        <v>21456.321400000001</v>
      </c>
      <c r="H29" s="51">
        <v>124539865.23559999</v>
      </c>
      <c r="I29" s="34" t="s">
        <v>89</v>
      </c>
      <c r="J29" s="34" t="s">
        <v>89</v>
      </c>
      <c r="K29" s="34" t="s">
        <v>89</v>
      </c>
      <c r="L29" s="34" t="s">
        <v>89</v>
      </c>
      <c r="M29" s="34" t="s">
        <v>89</v>
      </c>
      <c r="N29" s="43">
        <v>325648.02140000003</v>
      </c>
      <c r="O29" s="43">
        <v>302145.02149999997</v>
      </c>
      <c r="P29" s="43">
        <v>21456.321400000001</v>
      </c>
      <c r="Q29" s="43">
        <v>124539865.23559999</v>
      </c>
      <c r="R29" s="43">
        <v>11.25469</v>
      </c>
      <c r="S29" s="46" t="s">
        <v>89</v>
      </c>
      <c r="T29" s="34"/>
      <c r="U29" s="35"/>
    </row>
    <row r="30" spans="1:21" ht="15.75" thickBot="1" x14ac:dyDescent="0.3">
      <c r="A30" s="36">
        <v>27</v>
      </c>
      <c r="B30" s="44" t="s">
        <v>1721</v>
      </c>
      <c r="C30" s="44">
        <v>1</v>
      </c>
      <c r="D30" s="44">
        <v>12.36548</v>
      </c>
      <c r="E30" s="44">
        <v>214563.0214</v>
      </c>
      <c r="F30" s="44">
        <v>21456.302100000001</v>
      </c>
      <c r="G30" s="44">
        <v>121548.0214</v>
      </c>
      <c r="H30" s="55">
        <v>-163254.00320000001</v>
      </c>
      <c r="I30" s="37" t="s">
        <v>89</v>
      </c>
      <c r="J30" s="37" t="s">
        <v>89</v>
      </c>
      <c r="K30" s="37" t="s">
        <v>89</v>
      </c>
      <c r="L30" s="37" t="s">
        <v>89</v>
      </c>
      <c r="M30" s="37" t="s">
        <v>89</v>
      </c>
      <c r="N30" s="44">
        <v>12.36548</v>
      </c>
      <c r="O30" s="44">
        <v>-425796747178328</v>
      </c>
      <c r="P30" s="44">
        <v>121548.0214</v>
      </c>
      <c r="Q30" s="44">
        <v>-163254.00320000001</v>
      </c>
      <c r="R30" s="44">
        <v>5</v>
      </c>
      <c r="S30" s="47" t="s">
        <v>89</v>
      </c>
      <c r="T30" s="37"/>
      <c r="U30" s="38"/>
    </row>
    <row r="31" spans="1:21" x14ac:dyDescent="0.25">
      <c r="A31" s="39"/>
      <c r="B31" s="39"/>
      <c r="C31" s="39"/>
      <c r="D31" s="39"/>
      <c r="E31" s="39"/>
      <c r="F31" s="39"/>
      <c r="G31" s="39"/>
      <c r="H31" s="39"/>
      <c r="I31" s="39"/>
      <c r="J31" s="39"/>
      <c r="K31" s="39"/>
      <c r="L31" s="39"/>
      <c r="M31" s="39"/>
      <c r="N31" s="39"/>
      <c r="O31" s="39"/>
      <c r="P31" s="39"/>
      <c r="Q31" s="39"/>
      <c r="R31" s="39"/>
      <c r="S31" s="39"/>
      <c r="T31" s="39"/>
      <c r="U31" s="39"/>
    </row>
    <row r="32" spans="1:21" x14ac:dyDescent="0.25">
      <c r="A32" s="39"/>
      <c r="B32" s="39"/>
      <c r="C32" s="39"/>
      <c r="D32" s="39"/>
      <c r="E32" s="39"/>
      <c r="F32" s="39"/>
      <c r="G32" s="39"/>
      <c r="H32" s="39"/>
      <c r="I32" s="39"/>
      <c r="J32" s="39"/>
      <c r="K32" s="39"/>
      <c r="L32" s="39"/>
      <c r="M32" s="39"/>
      <c r="N32" s="39"/>
      <c r="O32" s="39"/>
      <c r="P32" s="39"/>
      <c r="Q32" s="39"/>
      <c r="R32" s="39"/>
      <c r="S32" s="39"/>
      <c r="T32" s="39"/>
      <c r="U32" s="39"/>
    </row>
    <row r="33" spans="1:21" x14ac:dyDescent="0.25">
      <c r="A33" s="39"/>
      <c r="B33" s="39"/>
      <c r="C33" s="39"/>
      <c r="D33" s="39"/>
      <c r="E33" s="39"/>
      <c r="F33" s="39"/>
      <c r="G33" s="39"/>
      <c r="H33" s="39"/>
      <c r="I33" s="39"/>
      <c r="J33" s="39"/>
      <c r="K33" s="39"/>
      <c r="L33" s="39"/>
      <c r="M33" s="39"/>
      <c r="N33" s="39"/>
      <c r="O33" s="39"/>
      <c r="P33" s="39"/>
      <c r="Q33" s="39"/>
      <c r="R33" s="39"/>
      <c r="S33" s="39"/>
      <c r="T33" s="39"/>
      <c r="U33" s="39"/>
    </row>
    <row r="34" spans="1:21" x14ac:dyDescent="0.25">
      <c r="A34" s="39"/>
      <c r="B34" s="39"/>
      <c r="C34" s="39"/>
      <c r="D34" s="39"/>
      <c r="E34" s="39"/>
      <c r="F34" s="39"/>
      <c r="G34" s="39"/>
      <c r="H34" s="39"/>
      <c r="I34" s="39"/>
      <c r="J34" s="39"/>
      <c r="K34" s="39"/>
      <c r="L34" s="39"/>
      <c r="M34" s="39"/>
      <c r="N34" s="39"/>
      <c r="O34" s="39"/>
      <c r="P34" s="39"/>
      <c r="Q34" s="39"/>
      <c r="R34" s="39"/>
      <c r="S34" s="39"/>
      <c r="T34" s="39"/>
      <c r="U34" s="39"/>
    </row>
    <row r="35" spans="1:21" x14ac:dyDescent="0.25">
      <c r="A35" s="39"/>
      <c r="B35" s="39"/>
      <c r="C35" s="39"/>
      <c r="D35" s="39"/>
      <c r="E35" s="39"/>
      <c r="F35" s="39"/>
      <c r="G35" s="39"/>
      <c r="H35" s="39"/>
      <c r="I35" s="39"/>
      <c r="J35" s="39"/>
      <c r="K35" s="39"/>
      <c r="L35" s="39"/>
      <c r="M35" s="39"/>
      <c r="N35" s="39"/>
      <c r="O35" s="39"/>
      <c r="P35" s="39"/>
      <c r="Q35" s="39"/>
      <c r="R35" s="39"/>
      <c r="S35" s="39"/>
      <c r="T35" s="39"/>
      <c r="U35" s="39"/>
    </row>
    <row r="36" spans="1:21" x14ac:dyDescent="0.25">
      <c r="A36" s="39"/>
      <c r="B36" s="39"/>
      <c r="C36" s="39"/>
      <c r="D36" s="39"/>
      <c r="E36" s="39"/>
      <c r="F36" s="39"/>
      <c r="G36" s="39"/>
      <c r="H36" s="39"/>
      <c r="I36" s="39"/>
      <c r="J36" s="39"/>
      <c r="K36" s="39"/>
      <c r="L36" s="39"/>
      <c r="M36" s="39"/>
      <c r="N36" s="39"/>
      <c r="O36" s="39"/>
      <c r="P36" s="39"/>
      <c r="Q36" s="39"/>
      <c r="R36" s="39"/>
      <c r="S36" s="39"/>
      <c r="T36" s="39"/>
      <c r="U36" s="39"/>
    </row>
    <row r="37" spans="1:21" x14ac:dyDescent="0.25">
      <c r="A37" s="39"/>
      <c r="B37" s="39"/>
      <c r="C37" s="39"/>
      <c r="D37" s="39"/>
      <c r="E37" s="39"/>
      <c r="F37" s="39"/>
      <c r="G37" s="39"/>
      <c r="H37" s="39"/>
      <c r="I37" s="39"/>
      <c r="J37" s="39"/>
      <c r="K37" s="39"/>
      <c r="L37" s="39"/>
      <c r="M37" s="39"/>
      <c r="N37" s="39"/>
      <c r="O37" s="39"/>
      <c r="P37" s="39"/>
      <c r="Q37" s="39"/>
      <c r="R37" s="39"/>
      <c r="S37" s="39"/>
      <c r="T37" s="39"/>
      <c r="U37" s="39"/>
    </row>
    <row r="38" spans="1:21" x14ac:dyDescent="0.25">
      <c r="A38" s="39"/>
      <c r="B38" s="39"/>
      <c r="C38" s="39"/>
      <c r="D38" s="39"/>
      <c r="E38" s="39"/>
      <c r="F38" s="39"/>
      <c r="G38" s="39"/>
      <c r="H38" s="39"/>
      <c r="I38" s="39"/>
      <c r="J38" s="39"/>
      <c r="K38" s="39"/>
      <c r="L38" s="39"/>
      <c r="M38" s="39"/>
      <c r="N38" s="39"/>
      <c r="O38" s="39"/>
      <c r="P38" s="39"/>
      <c r="Q38" s="39"/>
      <c r="R38" s="39"/>
      <c r="S38" s="39"/>
      <c r="T38" s="39"/>
      <c r="U38" s="39"/>
    </row>
    <row r="39" spans="1:21" x14ac:dyDescent="0.25">
      <c r="A39" s="39"/>
      <c r="B39" s="39"/>
      <c r="C39" s="39"/>
      <c r="D39" s="39"/>
      <c r="E39" s="39"/>
      <c r="F39" s="39"/>
      <c r="G39" s="39"/>
      <c r="H39" s="39"/>
      <c r="I39" s="39"/>
      <c r="J39" s="39"/>
      <c r="K39" s="39"/>
      <c r="L39" s="39"/>
      <c r="M39" s="39"/>
      <c r="N39" s="39"/>
      <c r="O39" s="39"/>
      <c r="P39" s="39"/>
      <c r="Q39" s="39"/>
      <c r="R39" s="39"/>
      <c r="S39" s="39"/>
      <c r="T39" s="39"/>
      <c r="U39" s="39"/>
    </row>
    <row r="40" spans="1:21" x14ac:dyDescent="0.25">
      <c r="A40" s="39"/>
      <c r="B40" s="39"/>
      <c r="C40" s="39"/>
      <c r="D40" s="39"/>
      <c r="E40" s="39"/>
      <c r="F40" s="39"/>
      <c r="G40" s="39"/>
      <c r="H40" s="39"/>
      <c r="I40" s="39"/>
      <c r="J40" s="39"/>
      <c r="K40" s="39"/>
      <c r="L40" s="39"/>
      <c r="M40" s="39"/>
      <c r="N40" s="39"/>
      <c r="O40" s="39"/>
      <c r="P40" s="39"/>
      <c r="Q40" s="39"/>
      <c r="R40" s="39"/>
      <c r="S40" s="39"/>
      <c r="T40" s="39"/>
      <c r="U40" s="39"/>
    </row>
  </sheetData>
  <sheetProtection sheet="1" objects="1" scenarios="1"/>
  <mergeCells count="2">
    <mergeCell ref="A1:B1"/>
    <mergeCell ref="A2:B2"/>
  </mergeCells>
  <hyperlinks>
    <hyperlink ref="A1" location="'CalLowPassFiltVecuOut'!A1" display="'CalLowPassFiltVecuOut'!A1"/>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X6"/>
  <sheetViews>
    <sheetView zoomScale="96" zoomScaleNormal="96" workbookViewId="0"/>
  </sheetViews>
  <sheetFormatPr defaultRowHeight="15" x14ac:dyDescent="0.25"/>
  <cols>
    <col min="1" max="1" width="7.42578125" bestFit="1" customWidth="1"/>
    <col min="2" max="2" width="8.140625" bestFit="1" customWidth="1"/>
    <col min="3" max="3" width="14.85546875" bestFit="1" customWidth="1"/>
    <col min="4" max="4" width="39.140625" customWidth="1"/>
    <col min="5" max="5" width="32.5703125" customWidth="1"/>
    <col min="6" max="6" width="40.42578125" customWidth="1"/>
    <col min="7" max="7" width="29.5703125" customWidth="1"/>
    <col min="8" max="8" width="40" customWidth="1"/>
    <col min="9" max="9" width="33.7109375" customWidth="1"/>
    <col min="10" max="10" width="42.5703125" customWidth="1"/>
    <col min="11" max="11" width="29.7109375" customWidth="1"/>
    <col min="12" max="12" width="76.5703125" customWidth="1"/>
    <col min="13" max="13" width="32.140625" customWidth="1"/>
    <col min="14" max="14" width="44.28515625" customWidth="1"/>
    <col min="15" max="15" width="31.42578125" customWidth="1"/>
    <col min="16" max="16" width="25" customWidth="1"/>
    <col min="17" max="17" width="26.28515625" customWidth="1"/>
    <col min="18" max="18" width="34.85546875" customWidth="1"/>
    <col min="19" max="19" width="30.5703125" customWidth="1"/>
    <col min="20" max="20" width="48.42578125" customWidth="1"/>
    <col min="21" max="21" width="27.42578125" customWidth="1"/>
    <col min="22" max="22" width="48.42578125" customWidth="1"/>
    <col min="23" max="23" width="28.7109375" customWidth="1"/>
    <col min="24" max="24" width="92.5703125" bestFit="1" customWidth="1"/>
    <col min="25" max="25" width="27.5703125" customWidth="1"/>
  </cols>
  <sheetData>
    <row r="1" spans="1:50" x14ac:dyDescent="0.25">
      <c r="A1" s="87" t="s">
        <v>1351</v>
      </c>
      <c r="B1" s="87" t="s">
        <v>1352</v>
      </c>
      <c r="C1" s="88" t="s">
        <v>1353</v>
      </c>
      <c r="D1" s="89" t="s">
        <v>1354</v>
      </c>
      <c r="E1" s="89" t="s">
        <v>1355</v>
      </c>
      <c r="F1" s="89" t="s">
        <v>1356</v>
      </c>
      <c r="G1" s="89" t="s">
        <v>1357</v>
      </c>
      <c r="H1" s="89" t="s">
        <v>1358</v>
      </c>
      <c r="I1" s="89" t="s">
        <v>1359</v>
      </c>
      <c r="J1" s="89" t="s">
        <v>1360</v>
      </c>
      <c r="K1" s="89" t="s">
        <v>1361</v>
      </c>
      <c r="L1" s="89" t="s">
        <v>1362</v>
      </c>
      <c r="M1" s="89" t="s">
        <v>1363</v>
      </c>
      <c r="N1" s="89" t="s">
        <v>1364</v>
      </c>
      <c r="O1" s="89" t="s">
        <v>1365</v>
      </c>
      <c r="P1" s="89" t="s">
        <v>1469</v>
      </c>
      <c r="Q1" s="89" t="s">
        <v>1470</v>
      </c>
      <c r="R1" s="89" t="s">
        <v>1471</v>
      </c>
      <c r="S1" s="89" t="s">
        <v>1472</v>
      </c>
      <c r="T1" s="89" t="s">
        <v>1473</v>
      </c>
      <c r="U1" s="89" t="s">
        <v>1474</v>
      </c>
    </row>
    <row r="2" spans="1:50" s="90" customFormat="1" ht="50.1" customHeight="1" x14ac:dyDescent="0.25">
      <c r="A2" s="90">
        <v>1</v>
      </c>
      <c r="B2" s="90">
        <v>13283</v>
      </c>
      <c r="C2" s="90" t="s">
        <v>1480</v>
      </c>
      <c r="D2" s="121" t="s">
        <v>1455</v>
      </c>
      <c r="E2" s="121" t="s">
        <v>1456</v>
      </c>
      <c r="F2" s="121" t="s">
        <v>1457</v>
      </c>
      <c r="G2" s="121" t="s">
        <v>1458</v>
      </c>
      <c r="H2" s="121" t="s">
        <v>1459</v>
      </c>
      <c r="I2" s="121" t="s">
        <v>1460</v>
      </c>
      <c r="J2" s="121" t="s">
        <v>1462</v>
      </c>
      <c r="K2" s="121" t="s">
        <v>1461</v>
      </c>
      <c r="L2" s="121" t="s">
        <v>1463</v>
      </c>
      <c r="M2" s="121" t="s">
        <v>1464</v>
      </c>
      <c r="N2" s="121" t="s">
        <v>1466</v>
      </c>
      <c r="O2" s="121" t="s">
        <v>1465</v>
      </c>
      <c r="P2" s="121" t="s">
        <v>1467</v>
      </c>
      <c r="Q2" s="121" t="s">
        <v>1468</v>
      </c>
      <c r="R2" s="121" t="s">
        <v>1475</v>
      </c>
      <c r="S2" s="122" t="s">
        <v>1478</v>
      </c>
      <c r="T2" s="121" t="s">
        <v>1476</v>
      </c>
      <c r="U2" s="121" t="s">
        <v>1477</v>
      </c>
      <c r="V2"/>
      <c r="W2"/>
      <c r="X2"/>
      <c r="Y2"/>
      <c r="Z2"/>
      <c r="AA2"/>
      <c r="AB2"/>
      <c r="AC2"/>
      <c r="AD2"/>
      <c r="AE2"/>
      <c r="AF2"/>
      <c r="AG2"/>
      <c r="AH2"/>
      <c r="AI2"/>
      <c r="AJ2"/>
      <c r="AK2"/>
      <c r="AL2"/>
      <c r="AM2"/>
      <c r="AN2"/>
      <c r="AO2"/>
      <c r="AP2"/>
      <c r="AQ2"/>
      <c r="AR2" s="118"/>
      <c r="AS2" s="118"/>
      <c r="AT2" s="118"/>
      <c r="AU2" s="118"/>
      <c r="AV2" s="118"/>
      <c r="AW2" s="118"/>
      <c r="AX2" s="118"/>
    </row>
    <row r="3" spans="1:50" s="91" customFormat="1" ht="50.1" customHeight="1" x14ac:dyDescent="0.25">
      <c r="A3" s="90">
        <v>2</v>
      </c>
      <c r="B3" s="90">
        <v>6526</v>
      </c>
      <c r="C3" s="90" t="s">
        <v>1480</v>
      </c>
      <c r="D3" s="171" t="s">
        <v>1915</v>
      </c>
      <c r="E3" s="172" t="s">
        <v>1916</v>
      </c>
      <c r="F3" s="173" t="s">
        <v>1917</v>
      </c>
      <c r="G3" s="172" t="s">
        <v>1918</v>
      </c>
      <c r="H3"/>
      <c r="I3"/>
      <c r="J3"/>
      <c r="K3"/>
      <c r="L3"/>
      <c r="M3"/>
      <c r="N3"/>
      <c r="O3"/>
      <c r="P3"/>
      <c r="Q3"/>
      <c r="R3"/>
      <c r="S3"/>
      <c r="T3"/>
      <c r="U3"/>
      <c r="V3"/>
      <c r="W3"/>
      <c r="X3"/>
      <c r="Y3"/>
      <c r="Z3"/>
      <c r="AA3"/>
      <c r="AB3"/>
      <c r="AC3"/>
      <c r="AD3"/>
      <c r="AE3"/>
      <c r="AF3"/>
      <c r="AG3"/>
      <c r="AH3"/>
      <c r="AI3"/>
      <c r="AJ3"/>
      <c r="AK3"/>
      <c r="AL3"/>
      <c r="AM3"/>
      <c r="AN3"/>
    </row>
    <row r="4" spans="1:50" x14ac:dyDescent="0.25">
      <c r="A4" s="90">
        <v>3</v>
      </c>
      <c r="B4" s="90">
        <v>9293</v>
      </c>
      <c r="C4" s="90" t="s">
        <v>2063</v>
      </c>
      <c r="D4" s="120"/>
    </row>
    <row r="5" spans="1:50" x14ac:dyDescent="0.25">
      <c r="D5" s="123"/>
    </row>
    <row r="6" spans="1:50" x14ac:dyDescent="0.25">
      <c r="D6" s="119"/>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0"/>
  <sheetViews>
    <sheetView workbookViewId="0"/>
  </sheetViews>
  <sheetFormatPr defaultRowHeight="15" x14ac:dyDescent="0.25"/>
  <cols>
    <col min="1" max="1" width="28" bestFit="1" customWidth="1"/>
    <col min="2" max="2" width="22" bestFit="1" customWidth="1"/>
    <col min="3" max="3" width="20.28515625" customWidth="1"/>
    <col min="4" max="4" width="16.28515625" customWidth="1"/>
    <col min="5" max="5" width="18.140625" customWidth="1"/>
    <col min="6" max="6" width="14.5703125" customWidth="1"/>
    <col min="7" max="7" width="13.7109375" bestFit="1" customWidth="1"/>
    <col min="8" max="8" width="9.5703125" bestFit="1" customWidth="1"/>
  </cols>
  <sheetData>
    <row r="1" spans="1:9" x14ac:dyDescent="0.25">
      <c r="A1" s="92" t="s">
        <v>1366</v>
      </c>
      <c r="B1" s="93">
        <f>DATE(2016,9,14)</f>
        <v>42627</v>
      </c>
      <c r="C1" s="94"/>
      <c r="D1" s="94"/>
      <c r="E1" s="94"/>
      <c r="F1" s="94"/>
      <c r="G1" s="94"/>
      <c r="H1" s="94"/>
      <c r="I1" s="94"/>
    </row>
    <row r="2" spans="1:9" x14ac:dyDescent="0.25">
      <c r="A2" s="95" t="s">
        <v>1367</v>
      </c>
      <c r="B2" s="96" t="s">
        <v>1479</v>
      </c>
      <c r="C2" s="95" t="s">
        <v>1368</v>
      </c>
      <c r="D2" s="235" t="s">
        <v>2062</v>
      </c>
      <c r="E2" s="236"/>
      <c r="F2" s="236"/>
      <c r="G2" s="236"/>
      <c r="H2" s="236"/>
      <c r="I2" s="237"/>
    </row>
    <row r="3" spans="1:9" x14ac:dyDescent="0.25">
      <c r="A3" s="95" t="s">
        <v>1369</v>
      </c>
      <c r="B3" s="96" t="s">
        <v>2063</v>
      </c>
      <c r="C3" s="95" t="s">
        <v>1370</v>
      </c>
      <c r="D3" s="235" t="s">
        <v>2038</v>
      </c>
      <c r="E3" s="236"/>
      <c r="F3" s="236"/>
      <c r="G3" s="236"/>
      <c r="H3" s="236"/>
      <c r="I3" s="237"/>
    </row>
    <row r="4" spans="1:9" x14ac:dyDescent="0.25">
      <c r="A4" s="238" t="s">
        <v>1371</v>
      </c>
      <c r="B4" s="97" t="s">
        <v>1372</v>
      </c>
      <c r="C4" s="97" t="s">
        <v>1373</v>
      </c>
      <c r="D4" s="97" t="s">
        <v>1374</v>
      </c>
      <c r="E4" s="97" t="s">
        <v>1375</v>
      </c>
      <c r="F4" s="98" t="s">
        <v>1376</v>
      </c>
      <c r="G4" s="98" t="s">
        <v>1377</v>
      </c>
      <c r="H4" s="98" t="s">
        <v>1378</v>
      </c>
      <c r="I4" s="98" t="s">
        <v>1379</v>
      </c>
    </row>
    <row r="5" spans="1:9" x14ac:dyDescent="0.25">
      <c r="A5" s="239"/>
      <c r="B5" s="99">
        <v>1</v>
      </c>
      <c r="C5" s="99">
        <v>1</v>
      </c>
      <c r="D5" s="99">
        <v>1</v>
      </c>
      <c r="E5" s="99">
        <v>1</v>
      </c>
      <c r="F5" s="99">
        <v>1</v>
      </c>
      <c r="G5" s="98">
        <v>328</v>
      </c>
      <c r="H5" s="98">
        <v>328</v>
      </c>
      <c r="I5" s="98">
        <v>0</v>
      </c>
    </row>
    <row r="6" spans="1:9" x14ac:dyDescent="0.25">
      <c r="A6" s="100" t="s">
        <v>1380</v>
      </c>
      <c r="B6" s="232" t="s">
        <v>1381</v>
      </c>
      <c r="C6" s="233"/>
      <c r="D6" s="233"/>
      <c r="E6" s="234"/>
      <c r="F6" s="232"/>
      <c r="G6" s="233"/>
      <c r="H6" s="233"/>
      <c r="I6" s="234"/>
    </row>
    <row r="7" spans="1:9" x14ac:dyDescent="0.25">
      <c r="A7" s="100" t="s">
        <v>1382</v>
      </c>
      <c r="B7" s="232" t="s">
        <v>1381</v>
      </c>
      <c r="C7" s="233"/>
      <c r="D7" s="233"/>
      <c r="E7" s="233"/>
      <c r="F7" s="233"/>
      <c r="G7" s="233"/>
      <c r="H7" s="233"/>
      <c r="I7" s="234"/>
    </row>
    <row r="8" spans="1:9" x14ac:dyDescent="0.25">
      <c r="A8" s="100" t="s">
        <v>1383</v>
      </c>
      <c r="B8" s="232" t="s">
        <v>1381</v>
      </c>
      <c r="C8" s="233"/>
      <c r="D8" s="233"/>
      <c r="E8" s="233"/>
      <c r="F8" s="233"/>
      <c r="G8" s="233"/>
      <c r="H8" s="233"/>
      <c r="I8" s="234"/>
    </row>
    <row r="9" spans="1:9" x14ac:dyDescent="0.25">
      <c r="A9" s="100" t="s">
        <v>1384</v>
      </c>
      <c r="B9" s="232" t="s">
        <v>1381</v>
      </c>
      <c r="C9" s="233"/>
      <c r="D9" s="233"/>
      <c r="E9" s="233"/>
      <c r="F9" s="233"/>
      <c r="G9" s="233"/>
      <c r="H9" s="233"/>
      <c r="I9" s="234"/>
    </row>
    <row r="10" spans="1:9" x14ac:dyDescent="0.25">
      <c r="A10" s="100" t="s">
        <v>1385</v>
      </c>
      <c r="B10" s="232" t="s">
        <v>1381</v>
      </c>
      <c r="C10" s="233"/>
      <c r="D10" s="233"/>
      <c r="E10" s="233"/>
      <c r="F10" s="233"/>
      <c r="G10" s="233"/>
      <c r="H10" s="233"/>
      <c r="I10" s="234"/>
    </row>
  </sheetData>
  <mergeCells count="9">
    <mergeCell ref="B9:I9"/>
    <mergeCell ref="B10:I10"/>
    <mergeCell ref="D2:I2"/>
    <mergeCell ref="D3:I3"/>
    <mergeCell ref="A4:A5"/>
    <mergeCell ref="B6:E6"/>
    <mergeCell ref="F6:I6"/>
    <mergeCell ref="B7:I7"/>
    <mergeCell ref="B8:I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AB19"/>
  <sheetViews>
    <sheetView workbookViewId="0">
      <selection activeCell="D17" sqref="D17:D18"/>
    </sheetView>
  </sheetViews>
  <sheetFormatPr defaultRowHeight="15" x14ac:dyDescent="0.25"/>
  <cols>
    <col min="1" max="1" width="1.5703125" customWidth="1"/>
    <col min="2" max="2" width="26" bestFit="1" customWidth="1"/>
    <col min="3" max="3" width="25.7109375" customWidth="1"/>
    <col min="4" max="4" width="22.7109375" bestFit="1" customWidth="1"/>
    <col min="5" max="5" width="22.140625" bestFit="1" customWidth="1"/>
    <col min="6" max="6" width="19.28515625" bestFit="1" customWidth="1"/>
    <col min="7" max="7" width="22.5703125"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7" ht="15.75" thickBot="1" x14ac:dyDescent="0.3"/>
    <row r="3" spans="2:7" ht="15.75" thickBot="1" x14ac:dyDescent="0.3">
      <c r="B3" s="101" t="s">
        <v>1386</v>
      </c>
      <c r="C3" s="102" t="s">
        <v>1479</v>
      </c>
      <c r="F3" s="158" t="s">
        <v>1387</v>
      </c>
      <c r="G3" s="159" t="s">
        <v>2062</v>
      </c>
    </row>
    <row r="4" spans="2:7" ht="15.75" thickBot="1" x14ac:dyDescent="0.3">
      <c r="B4" s="240" t="s">
        <v>1388</v>
      </c>
      <c r="C4" s="103" t="s">
        <v>1389</v>
      </c>
      <c r="D4" s="185">
        <v>9</v>
      </c>
    </row>
    <row r="5" spans="2:7" ht="15.75" thickBot="1" x14ac:dyDescent="0.3">
      <c r="B5" s="241"/>
      <c r="C5" s="103" t="s">
        <v>1390</v>
      </c>
      <c r="D5" s="184">
        <v>7300</v>
      </c>
    </row>
    <row r="6" spans="2:7" ht="15.75" thickBot="1" x14ac:dyDescent="0.3">
      <c r="B6" s="104"/>
      <c r="C6" s="104"/>
      <c r="D6" s="104"/>
    </row>
    <row r="7" spans="2:7" ht="15.75" thickBot="1" x14ac:dyDescent="0.3">
      <c r="B7" s="105" t="s">
        <v>1391</v>
      </c>
      <c r="C7" s="185">
        <v>9</v>
      </c>
    </row>
    <row r="8" spans="2:7" ht="15.75" thickBot="1" x14ac:dyDescent="0.3">
      <c r="B8" s="106" t="s">
        <v>1392</v>
      </c>
      <c r="C8" s="108">
        <v>2</v>
      </c>
      <c r="D8" s="110" t="s">
        <v>102</v>
      </c>
    </row>
    <row r="9" spans="2:7" ht="15.75" thickBot="1" x14ac:dyDescent="0.3">
      <c r="B9" s="107" t="s">
        <v>1393</v>
      </c>
      <c r="C9" s="108" t="s">
        <v>1394</v>
      </c>
      <c r="D9" s="113" t="s">
        <v>1394</v>
      </c>
    </row>
    <row r="11" spans="2:7" ht="15.75" thickBot="1" x14ac:dyDescent="0.3">
      <c r="G11" s="117"/>
    </row>
    <row r="12" spans="2:7" ht="15.75" thickBot="1" x14ac:dyDescent="0.3">
      <c r="B12" s="109"/>
      <c r="C12" s="150" t="s">
        <v>1395</v>
      </c>
      <c r="D12" s="151" t="s">
        <v>102</v>
      </c>
    </row>
    <row r="13" spans="2:7" x14ac:dyDescent="0.25">
      <c r="B13" s="111" t="s">
        <v>1396</v>
      </c>
      <c r="C13" s="155">
        <v>2834</v>
      </c>
      <c r="D13" s="154">
        <v>2404</v>
      </c>
      <c r="E13" s="112"/>
      <c r="F13" s="112"/>
    </row>
    <row r="14" spans="2:7" x14ac:dyDescent="0.25">
      <c r="B14" s="106" t="s">
        <v>1397</v>
      </c>
      <c r="C14" s="153">
        <v>2865</v>
      </c>
      <c r="D14" s="152">
        <v>2865</v>
      </c>
      <c r="E14" s="112"/>
      <c r="F14" s="112"/>
    </row>
    <row r="15" spans="2:7" ht="15.75" thickBot="1" x14ac:dyDescent="0.3">
      <c r="B15" s="107" t="s">
        <v>1398</v>
      </c>
      <c r="C15" s="156">
        <v>164</v>
      </c>
      <c r="D15" s="157">
        <v>156</v>
      </c>
      <c r="E15" s="112"/>
      <c r="F15" s="112"/>
    </row>
    <row r="16" spans="2:7" ht="15.75" thickBot="1" x14ac:dyDescent="0.3">
      <c r="D16" s="114"/>
    </row>
    <row r="17" spans="1:28" ht="15.75" thickBot="1" x14ac:dyDescent="0.3">
      <c r="B17" s="240" t="s">
        <v>1388</v>
      </c>
      <c r="C17" s="103" t="s">
        <v>1389</v>
      </c>
      <c r="D17" s="160">
        <v>7005</v>
      </c>
    </row>
    <row r="18" spans="1:28" ht="15.75" thickBot="1" x14ac:dyDescent="0.3">
      <c r="B18" s="241"/>
      <c r="C18" s="115" t="s">
        <v>1390</v>
      </c>
      <c r="D18" s="161">
        <v>7300</v>
      </c>
    </row>
    <row r="19" spans="1:28" s="116" customFormat="1" x14ac:dyDescent="0.25">
      <c r="A19"/>
      <c r="B19"/>
      <c r="C19"/>
      <c r="D19"/>
      <c r="E19"/>
      <c r="F19"/>
      <c r="G19"/>
      <c r="H19"/>
      <c r="I19"/>
      <c r="J19"/>
      <c r="K19"/>
      <c r="L19"/>
      <c r="M19"/>
      <c r="N19"/>
      <c r="O19"/>
      <c r="P19"/>
      <c r="Q19"/>
      <c r="R19"/>
      <c r="S19"/>
      <c r="T19"/>
      <c r="U19"/>
      <c r="V19"/>
      <c r="W19"/>
      <c r="X19"/>
      <c r="Y19"/>
      <c r="Z19"/>
      <c r="AA19"/>
      <c r="AB19"/>
    </row>
  </sheetData>
  <mergeCells count="2">
    <mergeCell ref="B4:B5"/>
    <mergeCell ref="B17:B1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vt:i4>
      </vt:variant>
    </vt:vector>
  </HeadingPairs>
  <TitlesOfParts>
    <vt:vector size="32" baseType="lpstr">
      <vt:lpstr>Unit Test Information</vt:lpstr>
      <vt:lpstr>Embedded Files</vt:lpstr>
      <vt:lpstr>Module Definitions</vt:lpstr>
      <vt:lpstr>Variable Range</vt:lpstr>
      <vt:lpstr>PICurrCntrl_Per1</vt:lpstr>
      <vt:lpstr>PICurrCntrl_Per1() M</vt:lpstr>
      <vt:lpstr>PICurrCntrl_Per1() R</vt:lpstr>
      <vt:lpstr>PICurrCntrl_Per1() P</vt:lpstr>
      <vt:lpstr>PICurrCntrl_Init</vt:lpstr>
      <vt:lpstr>PICurrCntrl_Init() R</vt:lpstr>
      <vt:lpstr>CalLowPassFiltBilinearTerm</vt:lpstr>
      <vt:lpstr>CalLowPassFiltBilinearTerm() R</vt:lpstr>
      <vt:lpstr>CalLowPassFiltBilinearOut</vt:lpstr>
      <vt:lpstr>CalLowPassFiltBilinearOut() R</vt:lpstr>
      <vt:lpstr>LoaMtgtnSclFac</vt:lpstr>
      <vt:lpstr>LoaMtgtnSclFac() M</vt:lpstr>
      <vt:lpstr>LoaMtgtnSclFac() P</vt:lpstr>
      <vt:lpstr>LoaMtgtnSclFac() R</vt:lpstr>
      <vt:lpstr>IntegralStateVarNonOperState</vt:lpstr>
      <vt:lpstr>IntegralStateVarNonOperState( M</vt:lpstr>
      <vt:lpstr>IntegralStateVarNonOperState( P</vt:lpstr>
      <vt:lpstr>IntegralStateVarNonOperState( R</vt:lpstr>
      <vt:lpstr>CalLowPassFiltVecuOut</vt:lpstr>
      <vt:lpstr>CalLowPassFiltVecuOut() M</vt:lpstr>
      <vt:lpstr>CalLowPassFiltVecuOut() P</vt:lpstr>
      <vt:lpstr>CalLowPassFiltVecuOut() R</vt:lpstr>
      <vt:lpstr>Clarification Sheet</vt:lpstr>
      <vt:lpstr>Coverage Analysis Sheet</vt:lpstr>
      <vt:lpstr>Metrics Sheet</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2016-09-16T03:01:58Z</dcterms:modified>
</cp:coreProperties>
</file>