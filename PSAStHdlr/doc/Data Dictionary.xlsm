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325" yWindow="765" windowWidth="7905" windowHeight="6870" tabRatio="719" activeTab="1"/>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Dictionary'!$A$1:$P$15</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Dictionary'!$A$4:$W$105</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DataValidationLists!$A$1:$A$205</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DataValidationLists!$A$1:$B$205</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Dictionary'!$A$1:$N$15</definedName>
    <definedName name="_xlnm.Print_Area" localSheetId="4">NVM!$A$1:$J$42</definedName>
    <definedName name="_xlnm.Print_Area" localSheetId="1">'Variable Dictionary'!$A$2:$P$56</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Dictionary'!$2:$4</definedName>
  </definedNames>
  <calcPr calcId="145621"/>
</workbook>
</file>

<file path=xl/calcChain.xml><?xml version="1.0" encoding="utf-8"?>
<calcChain xmlns="http://schemas.openxmlformats.org/spreadsheetml/2006/main">
  <c r="A1" i="7" l="1"/>
  <c r="A1" i="26" l="1"/>
  <c r="R3" i="27" l="1"/>
  <c r="R2" i="27"/>
  <c r="R1" i="27"/>
  <c r="A1" i="27"/>
  <c r="A1" i="25"/>
  <c r="A1" i="10"/>
</calcChain>
</file>

<file path=xl/comments1.xml><?xml version="1.0" encoding="utf-8"?>
<comments xmlns="http://schemas.openxmlformats.org/spreadsheetml/2006/main">
  <authors>
    <author>Terry Smith</author>
    <author>Owen Tosh (nzx5jd)</author>
    <author>Anne, Krishna</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 ref="I35" authorId="2">
      <text>
        <r>
          <rPr>
            <b/>
            <sz val="9"/>
            <color indexed="81"/>
            <rFont val="Tahoma"/>
            <family val="2"/>
          </rPr>
          <t>Anne, Krishna:</t>
        </r>
        <r>
          <rPr>
            <sz val="9"/>
            <color indexed="81"/>
            <rFont val="Tahoma"/>
            <family val="2"/>
          </rPr>
          <t xml:space="preserve">
(Unavailable State)</t>
        </r>
      </text>
    </comment>
    <comment ref="J35" authorId="2">
      <text>
        <r>
          <rPr>
            <b/>
            <sz val="9"/>
            <color indexed="81"/>
            <rFont val="Tahoma"/>
            <family val="2"/>
          </rPr>
          <t>Anne, Krishna:</t>
        </r>
        <r>
          <rPr>
            <sz val="9"/>
            <color indexed="81"/>
            <rFont val="Tahoma"/>
            <family val="2"/>
          </rPr>
          <t xml:space="preserve">
(Unavailable State)</t>
        </r>
      </text>
    </comment>
    <comment ref="K35" authorId="2">
      <text>
        <r>
          <rPr>
            <b/>
            <sz val="9"/>
            <color indexed="81"/>
            <rFont val="Tahoma"/>
            <family val="2"/>
          </rPr>
          <t>Anne, Krishna:</t>
        </r>
        <r>
          <rPr>
            <sz val="9"/>
            <color indexed="81"/>
            <rFont val="Tahoma"/>
            <family val="2"/>
          </rPr>
          <t xml:space="preserve">
Note: Possible states:
0 - Unavailable State
1 - Available
2 - Control in Progress
3 - Defective</t>
        </r>
      </text>
    </comment>
    <comment ref="I98" authorId="2">
      <text>
        <r>
          <rPr>
            <b/>
            <sz val="9"/>
            <color indexed="81"/>
            <rFont val="Tahoma"/>
            <family val="2"/>
          </rPr>
          <t>Anne, Krishna:</t>
        </r>
        <r>
          <rPr>
            <sz val="9"/>
            <color indexed="81"/>
            <rFont val="Tahoma"/>
            <family val="2"/>
          </rPr>
          <t xml:space="preserve">
Array of D_HWTRQBUFSIZE_ULS_U08 elements.</t>
        </r>
      </text>
    </comment>
    <comment ref="J98" authorId="2">
      <text>
        <r>
          <rPr>
            <b/>
            <sz val="9"/>
            <color indexed="81"/>
            <rFont val="Tahoma"/>
            <family val="2"/>
          </rPr>
          <t>Anne, Krishna:</t>
        </r>
        <r>
          <rPr>
            <sz val="9"/>
            <color indexed="81"/>
            <rFont val="Tahoma"/>
            <family val="2"/>
          </rPr>
          <t xml:space="preserve">
Array of D_HWTRQBUFSIZE_ULS_U08 elements.</t>
        </r>
      </text>
    </comment>
    <comment ref="K98" authorId="2">
      <text>
        <r>
          <rPr>
            <b/>
            <sz val="9"/>
            <color indexed="81"/>
            <rFont val="Tahoma"/>
            <family val="2"/>
          </rPr>
          <t>Anne, Krishna:</t>
        </r>
        <r>
          <rPr>
            <sz val="9"/>
            <color indexed="81"/>
            <rFont val="Tahoma"/>
            <family val="2"/>
          </rPr>
          <t xml:space="preserve">
Array of D_HWTRQBUFSIZE_ULS_U08 elements.
</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<sst xmlns="http://schemas.openxmlformats.org/spreadsheetml/2006/main" count="1879" uniqueCount="787">
  <si>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</si>
  <si>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</si>
  <si>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</si>
  <si>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</si>
  <si>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</si>
  <si>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</si>
  <si>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</si>
  <si>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</si>
  <si>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</si>
  <si>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</si>
  <si>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</si>
  <si>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</si>
  <si>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</si>
  <si>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</si>
  <si>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</si>
  <si>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</si>
  <si>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</si>
  <si>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</si>
  <si>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</si>
  <si>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</si>
  <si>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</si>
  <si>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</si>
  <si>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</si>
  <si>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</si>
  <si>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</si>
  <si>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</si>
  <si>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</si>
  <si>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</si>
  <si>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</si>
  <si>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</si>
  <si>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</si>
  <si>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</si>
  <si>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</si>
  <si>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</si>
  <si>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</si>
  <si>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</si>
  <si>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</si>
  <si>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</si>
  <si>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</si>
  <si>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</si>
  <si>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</si>
  <si>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</si>
  <si>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</si>
  <si>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</si>
  <si>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</si>
  <si>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</si>
  <si>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</si>
  <si>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</si>
  <si>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</si>
  <si>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</si>
  <si>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</si>
  <si>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</si>
  <si>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</si>
  <si>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</si>
  <si>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</si>
  <si>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</si>
  <si>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</si>
  <si>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</si>
  <si>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</si>
  <si>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</si>
  <si>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</si>
  <si>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</si>
  <si>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</si>
  <si>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</si>
  <si>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</si>
  <si>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</si>
  <si>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</si>
  <si>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</si>
  <si>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</si>
  <si>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</si>
  <si>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</si>
  <si>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</si>
  <si>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</si>
  <si>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</si>
  <si>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</si>
  <si>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</si>
  <si>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</si>
  <si>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</si>
  <si>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</si>
  <si>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</si>
  <si>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</si>
  <si>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</si>
  <si>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</si>
  <si>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</si>
  <si>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</si>
  <si>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</si>
  <si>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</si>
  <si>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</si>
  <si>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</si>
  <si>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</si>
  <si>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</si>
  <si>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</si>
  <si>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</si>
  <si>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</si>
  <si>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</si>
  <si>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</si>
  <si>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</si>
  <si>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</si>
  <si>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</si>
  <si>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</si>
  <si>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</si>
  <si>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</si>
  <si>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</si>
  <si>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</si>
  <si>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</si>
  <si>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</si>
  <si>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</si>
  <si>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</si>
  <si>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</si>
  <si>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</si>
  <si>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</si>
  <si>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</si>
  <si>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</si>
  <si>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</si>
  <si>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</si>
  <si>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</si>
  <si>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</si>
  <si>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</si>
  <si>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</si>
  <si>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</si>
  <si>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</si>
  <si>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</si>
  <si>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</si>
  <si>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</si>
  <si>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</si>
  <si>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</si>
  <si>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</si>
  <si>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</si>
  <si>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</si>
  <si>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</si>
  <si>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</si>
  <si>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</si>
  <si>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</si>
  <si>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</si>
  <si>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</si>
  <si>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</si>
  <si>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</si>
  <si>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</si>
  <si>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</si>
  <si>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</si>
  <si>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</si>
  <si>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</si>
  <si>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</si>
  <si>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</si>
  <si>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</si>
  <si>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</si>
  <si>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</si>
  <si>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</si>
  <si>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</si>
  <si>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</si>
  <si>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</si>
  <si>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</si>
  <si>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</si>
  <si>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</si>
  <si>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</si>
  <si>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</si>
  <si>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</si>
  <si>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</si>
  <si>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</si>
  <si>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</si>
  <si>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</si>
  <si>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</si>
  <si>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</si>
  <si>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</si>
  <si>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</si>
  <si>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</si>
  <si>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</si>
  <si>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</si>
  <si>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</si>
  <si>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</si>
  <si>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</si>
  <si>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</si>
  <si>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</si>
  <si>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</si>
  <si>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</si>
  <si>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</si>
  <si>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</si>
  <si>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</si>
  <si>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</si>
  <si>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</si>
  <si>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</si>
  <si>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</si>
  <si>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</si>
  <si>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</si>
  <si>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</si>
  <si>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</si>
  <si>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</si>
  <si>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</si>
  <si>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</si>
  <si>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</si>
  <si>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</si>
  <si>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</si>
  <si>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</si>
  <si>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</si>
  <si>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</si>
  <si>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</si>
  <si>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</si>
  <si>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</si>
  <si>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</si>
  <si>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</si>
  <si>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</si>
  <si>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</si>
  <si>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</si>
  <si>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</si>
  <si>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</si>
  <si>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</si>
  <si>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</si>
  <si>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</si>
  <si>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</si>
  <si>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</si>
  <si>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</si>
  <si>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</si>
  <si>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</si>
  <si>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</si>
  <si>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</si>
  <si>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</si>
  <si>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</si>
  <si>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</si>
  <si>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</si>
  <si>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</si>
  <si>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</si>
  <si>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</si>
  <si>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</si>
  <si>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</si>
  <si>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SF00 CommonCalibrations</t>
  </si>
  <si>
    <t>CF01 FordLaneAssist</t>
  </si>
  <si>
    <t>CF02 FordActiveNibbleControl</t>
  </si>
  <si>
    <t>CF03 FordTrailerBackupAssistant</t>
  </si>
  <si>
    <t>CF04 FordArbiterLimiter</t>
  </si>
  <si>
    <t>CF05 ChryslerArbiterLimiter</t>
  </si>
  <si>
    <t>CF06 BMWCurrentLimit</t>
  </si>
  <si>
    <t>CF08C ChryslerHalFwithTorqueOverlayFunction</t>
  </si>
  <si>
    <t>CF08B ChryslerStabilityControlTorqueOverlayFunction</t>
  </si>
  <si>
    <t>CF08A ChryslerPark AssistwithTorqueOverlayFunction</t>
  </si>
  <si>
    <t>CF09 GMOverlayStateHandler</t>
  </si>
  <si>
    <t>CF10 GMTorqueArbitrator</t>
  </si>
  <si>
    <t>CF11 BMW_TJA_Damping</t>
  </si>
  <si>
    <t>CF13 PSA_StateHandler</t>
  </si>
  <si>
    <t>CF14 PSA_TorqueArbitrator</t>
  </si>
  <si>
    <t>ES34C NhetTimer_for_Brush</t>
  </si>
  <si>
    <t>FDD04C DigitalHWTorqueSENT</t>
  </si>
  <si>
    <t>FDD04D AnalogPressureMeasurement</t>
  </si>
  <si>
    <t>FDD05G I2CAbsoluteHandwheelPositionFunction</t>
  </si>
  <si>
    <t>FDD13B HwPwUpSeq</t>
  </si>
  <si>
    <t>FDD10B StatesandModes</t>
  </si>
  <si>
    <t>FDD16 OverVoltageMonitor</t>
  </si>
  <si>
    <t>SFD20 ParkAsstManufacturingServices</t>
  </si>
  <si>
    <t>FDD32B uCDiagnostics</t>
  </si>
  <si>
    <t>FDD40C TorqueOverlay</t>
  </si>
  <si>
    <t>FDD41A NibbleRejection</t>
  </si>
  <si>
    <t>FDD48 FlexrayErrorIndicationInterface</t>
  </si>
  <si>
    <t>FDD49 SineVoltageGenerationDiagnostics</t>
  </si>
  <si>
    <t>FDD50A DigiMSB</t>
  </si>
  <si>
    <t>FDD98 TurnsCounterReflash</t>
  </si>
  <si>
    <t>DF01 FaultInjection</t>
  </si>
  <si>
    <t>HS09 ThermalManagement</t>
  </si>
  <si>
    <t>SF08C ElectricPowerConsumption_Brush</t>
  </si>
  <si>
    <t>SF23 TuningSelectAuthority</t>
  </si>
  <si>
    <t>SF27 EOTDampingFirewall</t>
  </si>
  <si>
    <t>SF31 TorqueReasonablenessDiagnostic</t>
  </si>
  <si>
    <t>SF33 VehicleSpeedConditioning</t>
  </si>
  <si>
    <t>SF33A SignalConditioning</t>
  </si>
  <si>
    <t>SF34 AssistFirewall</t>
  </si>
  <si>
    <t>SF35 DampingFirewall</t>
  </si>
  <si>
    <t>SF36 ReturnFirewall</t>
  </si>
  <si>
    <t>SF37 GlobalSignalOverwriteDetection</t>
  </si>
  <si>
    <t>SF38 LimiterConditioning</t>
  </si>
  <si>
    <t>SF39 LearnRackCenter</t>
  </si>
  <si>
    <t>SF40AB MotorVelocity</t>
  </si>
  <si>
    <t>SF42 VehCentrDtmnByMotPosn</t>
  </si>
  <si>
    <t>SF43 TorqueOscillation</t>
  </si>
  <si>
    <t>SF44 HandsOnWheelDetect</t>
  </si>
  <si>
    <t>SF46 GrossCrossCheckDiag</t>
  </si>
  <si>
    <t>SF48A TorqueLossofAssist</t>
  </si>
  <si>
    <t>HS33 CoilPIControl</t>
  </si>
  <si>
    <t>MtrNm</t>
  </si>
  <si>
    <t>uint16</t>
  </si>
  <si>
    <t>HwDeg</t>
  </si>
  <si>
    <t>Uls</t>
  </si>
  <si>
    <t>Sec</t>
  </si>
  <si>
    <t>uint8</t>
  </si>
  <si>
    <t>HwNm</t>
  </si>
  <si>
    <t>float32</t>
  </si>
  <si>
    <t>Hz</t>
  </si>
  <si>
    <t>Kph</t>
  </si>
  <si>
    <t>boolean</t>
  </si>
  <si>
    <t>Cnt</t>
  </si>
  <si>
    <t>mS</t>
  </si>
  <si>
    <t>uint32</t>
  </si>
  <si>
    <t>single preicision float</t>
  </si>
  <si>
    <t>NA</t>
  </si>
  <si>
    <t>LPF32KSV_Str</t>
  </si>
  <si>
    <t>Hand wheel torque filter structure variable</t>
  </si>
  <si>
    <t>HwTrqFilterSV_M_Str</t>
  </si>
  <si>
    <t>VehicleSpeed_Kph_f32</t>
  </si>
  <si>
    <t>HwTorque_HwNm_f32</t>
  </si>
  <si>
    <t>HandwheelPosition_HwDeg_f32</t>
  </si>
  <si>
    <t>VehicleSpeedValid_Cnt_lgc</t>
  </si>
  <si>
    <t>HandwheelAuthority_Uls_f32</t>
  </si>
  <si>
    <t>PosSrvoHwAngle_HwDeg_f32</t>
  </si>
  <si>
    <t>PosSrvoEnable_Cnt_lgc</t>
  </si>
  <si>
    <t>Sankardu Varadapureddi</t>
  </si>
  <si>
    <t>Initial version</t>
  </si>
  <si>
    <t>ES34D ePWM Subsystem</t>
  </si>
  <si>
    <t>ES35A HwTqMeasSent</t>
  </si>
  <si>
    <t>FDD33F ADCUseandConfiguration</t>
  </si>
  <si>
    <t>SF49A LOAManager</t>
  </si>
  <si>
    <t>SF50A TransitionalDamping</t>
  </si>
  <si>
    <t>ES53A AnalogMSBSignalInterface</t>
  </si>
  <si>
    <t>ES54A AnaMSBArbitration</t>
  </si>
  <si>
    <t>ES55A AnaMSBCorrelation</t>
  </si>
  <si>
    <t>HwTrqFilterSV_M_Str.K_Uls_f32</t>
  </si>
  <si>
    <t>HwTrqFilterSV_M_Str.SV_Uls_f32</t>
  </si>
  <si>
    <t>Hand wheel torque filter structure variable - SV_Uls_f32 member</t>
  </si>
  <si>
    <t>Hand wheel torque filter structure variable - K_Uls_f32 member</t>
  </si>
  <si>
    <t>ES35B Nhet1CfgAndUse</t>
  </si>
  <si>
    <t>ES36A PhaseFdbkMeas</t>
  </si>
  <si>
    <t>ES54B DigMSBArbitration</t>
  </si>
  <si>
    <t>ES58A MtrPos3SinCos</t>
  </si>
  <si>
    <t>Updated for EA3#471 and EA3#2476</t>
  </si>
  <si>
    <t>ES11C Power Disconnect - Dual Inverter</t>
  </si>
  <si>
    <t>ES55B MotAgCorrln</t>
  </si>
  <si>
    <t>ES62A MotPosnCmp</t>
  </si>
  <si>
    <t>ES13C HwPwrUpSeq</t>
  </si>
  <si>
    <t>CF015A HaitecTrqCmd</t>
  </si>
  <si>
    <t>ES19D TmplMonrDualIvtr</t>
  </si>
  <si>
    <t>SF002B CtrldVelRtn</t>
  </si>
  <si>
    <t>SF052A SnsrOffsCorrn</t>
  </si>
  <si>
    <t>CF021A FordTqLoaWarn</t>
  </si>
  <si>
    <t>ES57B HwTqCorrln</t>
  </si>
  <si>
    <t>CF019 BrnwRtnArbn</t>
  </si>
  <si>
    <t>AbsActv_Cnt_lgc</t>
  </si>
  <si>
    <t>ApaHwAgCmd_HwDeg_f32</t>
  </si>
  <si>
    <t>CpkOk_Cnt_lgc</t>
  </si>
  <si>
    <t>LxaInpVld_Cnt_lgc</t>
  </si>
  <si>
    <t>EscEna_Cnt_lgc</t>
  </si>
  <si>
    <t>EscFltPrsnt_Cnt_lgc</t>
  </si>
  <si>
    <t>EscActv_Cnt_lgc</t>
  </si>
  <si>
    <t>FTermActv_Cnt_lgc</t>
  </si>
  <si>
    <t>HOWState_Cnt_s08</t>
  </si>
  <si>
    <t>sint8</t>
  </si>
  <si>
    <t>LxaHwAgCmd_HwDeg_f32</t>
  </si>
  <si>
    <t>ES56A HwTrqArbn</t>
  </si>
  <si>
    <t>ES56B HwTqArbn</t>
  </si>
  <si>
    <t>SF51 SnsrOffsLrng</t>
  </si>
  <si>
    <t>CF020A BmwHaptcFb</t>
  </si>
  <si>
    <t>Minimum handwheel confidence necessary to enable APA.</t>
  </si>
  <si>
    <t>Confirmation time to detect that handwheel torque rate exceeds a certain threshold</t>
  </si>
  <si>
    <t>HwNmpS</t>
  </si>
  <si>
    <t>Time to compute the handwheel torque rate</t>
  </si>
  <si>
    <t>u9p7_T</t>
  </si>
  <si>
    <t>Confirmation time to detect that hands are not on the wheel during Lpa activation</t>
  </si>
  <si>
    <t>Step to increment the handwheel velocity detection counter in case hands are not on the wheel</t>
  </si>
  <si>
    <t>Step to decrement the handwheel velocity detection counter in case hands are not on the wheel</t>
  </si>
  <si>
    <t>Handwheel velocity index to determine the step of the handwheel velocity detection counter in case hands are not on the wheel</t>
  </si>
  <si>
    <t>HwRadpS</t>
  </si>
  <si>
    <t>Vehicle speed index to determine the Lxa Handwheel Angle Command Saturation</t>
  </si>
  <si>
    <t>u7p9_T</t>
  </si>
  <si>
    <t>Step to decrement the handwheel angle detection counter</t>
  </si>
  <si>
    <t>Step to increment the handwheel angle detection counter</t>
  </si>
  <si>
    <t>Vehicle speed index to determine the step of the handwheel velocity detection counter in case hands are not on the wheel</t>
  </si>
  <si>
    <t>Vehicle speed index to determine the Lxa Handwheel Angle Command Rate</t>
  </si>
  <si>
    <t>u11p5_T</t>
  </si>
  <si>
    <t>Step to decrement the handwheel velocity detection counter</t>
  </si>
  <si>
    <t>Step to increment the handwheel velocity detection counter</t>
  </si>
  <si>
    <t>Handwheel velocity index to determine the step of the handwheel velocity detection counter in case hands are on the wheel</t>
  </si>
  <si>
    <t>CF12 GMStartStop</t>
  </si>
  <si>
    <t>CF13B PSAStateHandler</t>
  </si>
  <si>
    <t>CF22 ChanganOvrlStMgr</t>
  </si>
  <si>
    <t>CF23 ChanganTqArbn</t>
  </si>
  <si>
    <t>ES33H ADCConfigurationAndUse_Family38</t>
  </si>
  <si>
    <t>ES20D DigColPs</t>
  </si>
  <si>
    <t>ES59A BattVltgCorrln</t>
  </si>
  <si>
    <t>ES055C DualMotPosnCorrln</t>
  </si>
  <si>
    <t>ES054D DualMotPosnArbn</t>
  </si>
  <si>
    <t>u5p11_T</t>
  </si>
  <si>
    <t>HandwheelVelocity_HwRadpS_f32</t>
  </si>
  <si>
    <t>OutputRampMult_Uls_f32</t>
  </si>
  <si>
    <t>DrvrIntvDetd_Cnt_lgc</t>
  </si>
  <si>
    <t>LxaApaConflictReqNTC_Cnt_lgc</t>
  </si>
  <si>
    <t>LxaDrvrAbsntDetd_Cnt_lgc</t>
  </si>
  <si>
    <t>LxaDrvrAbsntHwVelDetd_Cnt_lgc</t>
  </si>
  <si>
    <t>LxaDrvrAbsntWarn_Cnt_lgc</t>
  </si>
  <si>
    <t>LxaHwAgDetd_Cnt_lgc</t>
  </si>
  <si>
    <t>LxaInactivOnDrvrBhvr_Cnt_lgc</t>
  </si>
  <si>
    <t>Flag to indicate 'HwTrqBuf' is full</t>
  </si>
  <si>
    <t>HwTrqBufPtr_Uls_u08</t>
  </si>
  <si>
    <t>HwTrqBuf' Index</t>
  </si>
  <si>
    <t>Lxa Handwheel Angle Confirmation Count</t>
  </si>
  <si>
    <t>Lxa Driver Absent Detection Time</t>
  </si>
  <si>
    <t>Lxa hand wheel torque detection timer</t>
  </si>
  <si>
    <t>Lxa hand wheel torque buffer</t>
  </si>
  <si>
    <t>Lxa Handwheel Torque Rate Detection Time</t>
  </si>
  <si>
    <t>ES057C HwTqCorrln</t>
  </si>
  <si>
    <t>ES056C HwTqArbn</t>
  </si>
  <si>
    <t>ES060B MotPosn1Meas</t>
  </si>
  <si>
    <t>ES061B MotPosn2Meas</t>
  </si>
  <si>
    <t>CF024A PSADMQ</t>
  </si>
  <si>
    <t>ES011E PwrDiscnctCfgC</t>
  </si>
  <si>
    <t>Updated for FDD version 4.1.0</t>
  </si>
  <si>
    <t>CF08D FcaOvrlStHdlr</t>
  </si>
  <si>
    <t>CF09B GmAtnmsCmdStMac</t>
  </si>
  <si>
    <t>CF10B GmTqOvrlCndg</t>
  </si>
  <si>
    <t>CF029A FordTSC</t>
  </si>
  <si>
    <t>SF05H AbsHwPosScomOvlDi</t>
  </si>
  <si>
    <t>ES05J I2CAbsoluteHandwheelPositionFunction I2C Init</t>
  </si>
  <si>
    <t>SF32 EndOfLineTorqueScaling</t>
  </si>
  <si>
    <t>SF58 SysOutpCpby</t>
  </si>
  <si>
    <t>SF59 SysPrfmncSts</t>
  </si>
  <si>
    <t>SF063A ImcSigArbn</t>
  </si>
  <si>
    <t>SF061A SteerMod</t>
  </si>
  <si>
    <t>ES011D PwrDiscnctCfgA</t>
  </si>
  <si>
    <t>ES033J AdcConfigAndUseFamily39</t>
  </si>
  <si>
    <t>ES35C Nhet1CfgAndUse_AnaMotPsn</t>
  </si>
  <si>
    <t>ES073A ImcArbr</t>
  </si>
  <si>
    <t>SF062A DualCtrlrOutpMgr</t>
  </si>
  <si>
    <t>ES020E DualSpurDigHwAg</t>
  </si>
  <si>
    <t>CF028A SpdDptLatCtrl</t>
  </si>
  <si>
    <t>ES70A EcuIdn</t>
  </si>
  <si>
    <t>ES020F TurnsCntrEnhdSpiDiag</t>
  </si>
  <si>
    <t>ES35D Nhet1CfgAndUse</t>
  </si>
  <si>
    <t>SF057A CustRqrdDampg</t>
  </si>
  <si>
    <t>CF05B FcaTqArbn</t>
  </si>
  <si>
    <t>SF020B PosnTrakgServo</t>
  </si>
  <si>
    <t>Krishna Anne</t>
  </si>
  <si>
    <t>Dynamic Handwheel Threshold error to set a Static Error</t>
  </si>
  <si>
    <t>DiagSettings_Str</t>
  </si>
  <si>
    <t>Time to confirm static error</t>
  </si>
  <si>
    <t>{0, 0, 0}</t>
  </si>
  <si>
    <t>{65535, 65535, 65535}</t>
  </si>
  <si>
    <t>N Step</t>
  </si>
  <si>
    <t xml:space="preserve">P step </t>
  </si>
  <si>
    <t>HwTrq filter</t>
  </si>
  <si>
    <t>CF13A</t>
  </si>
  <si>
    <t>Time to confirm no allow HwTrq</t>
  </si>
  <si>
    <t>Timer to exit keep transition cause</t>
  </si>
  <si>
    <t>Time to confirm dynamic error</t>
  </si>
  <si>
    <t>CF030A GmHwAgCmdArbn</t>
  </si>
  <si>
    <t>CF031A FordFctCtrl</t>
  </si>
  <si>
    <t>ES71A Sci</t>
  </si>
  <si>
    <t>{{2, 2, 2, 2, 2, 2, 2, 2}, {2, 2, 2, 2, 2, 2, 2, 2}, {2, 2, 2, 2, 2, 2, 2, 2}, {2, 2, 2, 2, 2, 2, 2, 2}, {2, 2, 2, 2, 2, 2, 2, 2}, {2, 2, 2, 2, 2, 2, 2, 2}, {2, 2, 2, 2, 2, 2, 2, 2}, {2, 2, 2, 2, 2, 2, 2, 2}, {2, 2, 2, 2, 2, 2, 2, 2}}</t>
  </si>
  <si>
    <t>SF064A EcuCrossChk</t>
  </si>
  <si>
    <t>HwDegpS</t>
  </si>
  <si>
    <t>u16p0_T</t>
  </si>
  <si>
    <t>Updated for FDD version 5.0.0 to 5.2.0 (Include City park function)</t>
  </si>
  <si>
    <t>Variand coding to enable/disbale the Lxa function</t>
  </si>
  <si>
    <t>Threshold</t>
  </si>
  <si>
    <t>SystemState_Cnt_enum</t>
  </si>
  <si>
    <t>Rte_ModeType_StaMd_Mode</t>
  </si>
  <si>
    <t>ApaCmdReq_Cnt_lgc</t>
  </si>
  <si>
    <t>ApaAuthn_Cnt_lgc</t>
  </si>
  <si>
    <t>ApaEna_Cnt_lgc</t>
  </si>
  <si>
    <t>ApaRelaxReq_Cnt_lgc</t>
  </si>
  <si>
    <t>uint08</t>
  </si>
  <si>
    <t>{50, 2, 1}</t>
  </si>
  <si>
    <t xml:space="preserve">Fix for anomaly EA3#13197 </t>
  </si>
  <si>
    <t>((D_HWTRQBUFSIZE_ULS_U08) - 1)</t>
  </si>
  <si>
    <t>SF056A DrvrTqEstimn</t>
  </si>
  <si>
    <t>Updated PSASH_HwVelDetnCntr_Uls_M_u16 as per UT results and discussion with FDD owner</t>
  </si>
  <si>
    <t>CF034A GmPwrpkSrvDataRcvry</t>
  </si>
  <si>
    <t xml:space="preserve">Fix for anomalies EA3#13650, EA3#13651 as per FDD v5.4.0 </t>
  </si>
  <si>
    <t>Updated for FDD version 6.0.0</t>
  </si>
  <si>
    <t>SF99B MotorControl</t>
  </si>
  <si>
    <t>Updated as per UT findings</t>
  </si>
  <si>
    <t>CF035A BmwFctDiMgr</t>
  </si>
  <si>
    <t>CF034B GmPwrpkSrvDataRcvry</t>
  </si>
  <si>
    <t>Updated for FDD version 6.2.0</t>
  </si>
  <si>
    <t>k_PsaSH_ApaAssiStallLim_MtrNm_f32</t>
  </si>
  <si>
    <t>k_PsaSH_ApaDynErr_Cnt_str</t>
  </si>
  <si>
    <t>k_PsaSH_ApaDynErr_Cnt_str.Threshold</t>
  </si>
  <si>
    <t>k_PsaSH_ApaDynErr_Cnt_str.PStep</t>
  </si>
  <si>
    <t>k_PsaSH_ApaDynErr_Cnt_str.NStep</t>
  </si>
  <si>
    <t>k_PsaSH_ApaDynHwThd_HwDeg_u16</t>
  </si>
  <si>
    <t>k_PsaSH_ApaExitCtrlProgsTi_mS_u16</t>
  </si>
  <si>
    <t>k_PsaSH_ApaStatHwThd_HwDeg_u16</t>
  </si>
  <si>
    <t>k_PsaSH_ApaHwAuthority_Uls_f32</t>
  </si>
  <si>
    <t>k_PsaSH_ApaHwTrqMax_HwNm_f32</t>
  </si>
  <si>
    <t>k_PsaSH_ApaHwTrqMin_HwNm_f32</t>
  </si>
  <si>
    <t>k_PsaSH_ApaMaxHwTrqFilt_Hz_f32</t>
  </si>
  <si>
    <t>k_PsaSH_ApaStatErr_Cnt_str</t>
  </si>
  <si>
    <t>k_PsaSH_ApaStatErr_Cnt_str.PStep</t>
  </si>
  <si>
    <t>k_PsaSH_ApaStatErr_Cnt_str.NStep</t>
  </si>
  <si>
    <t>k_PsaSH_ApaThemLimPerc_Uls_f32</t>
  </si>
  <si>
    <t>k_PsaSH_ApaVehSpd_Kph_f32</t>
  </si>
  <si>
    <t>k_PsaSH_LxaDrvrAbsntDetnTi_Sec_f32</t>
  </si>
  <si>
    <t>k_PsaSH_LxaDrvrIntvtWarnTi_Sec_f32</t>
  </si>
  <si>
    <t>k_PsaSH_LxaHwAuthy_Uls_f32</t>
  </si>
  <si>
    <t>k_PsaSH_LxaMaxHwTrq_HwNm_f32</t>
  </si>
  <si>
    <t>k_PsaSH_LxaHwTrqDetnTi_Sec_f32</t>
  </si>
  <si>
    <t>k_PsaSH_LxaHwTrqRateThd_HwNmpS_f32</t>
  </si>
  <si>
    <t>k_PsaSH_LxaHwTrqRateDetnTi_Sec_f32</t>
  </si>
  <si>
    <t>k_PsaSH_LxaHwTrqRateTi_Hz_f32</t>
  </si>
  <si>
    <t>k_PsaSH_LxaVehSpdMin_Kph_f32</t>
  </si>
  <si>
    <t>t_PsaSH_LxaDrvrAbsntDetnTiX_Kph_u9p7[10]</t>
  </si>
  <si>
    <t>t_PsaSH_LxaDrvrAbsntDetnTiX_Kph_u9p7</t>
  </si>
  <si>
    <t>t_PsaSH_LxaDrvrAbsntDetnTiY_Sec_u9p7[10]</t>
  </si>
  <si>
    <t>t_PsaSH_LxaDrvrAbsntDetnTiY_Sec_u9p7</t>
  </si>
  <si>
    <t>t2_PsaSH_LxaDrvrAbsntHwVelDetnCntrStepX_HwRadpS_u5p11[9][8]</t>
  </si>
  <si>
    <t>t2_PsaSH_LxaDrvrAbsntHwVelDetnCntrStepX_HwRadpS_u5p11</t>
  </si>
  <si>
    <t>t_PsaSH_LxaDrvrAbsntHwVelThdX_Kph_u9p7[15]</t>
  </si>
  <si>
    <t>t_PsaSH_LxaDrvrAbsntHwVelThdX_Kph_u9p7</t>
  </si>
  <si>
    <t>t_PsaSH_LxaDrvrAbsntHwVelThdY_HwRadpS_u7p9[15]</t>
  </si>
  <si>
    <t>t_PsaSH_LxaDrvrAbsntHwVelThdY_HwRadpS_u7p9</t>
  </si>
  <si>
    <t>t_PsaSH_LxaHwAgCmdSatnX_Kph_u9p7[15]</t>
  </si>
  <si>
    <t>t_PsaSH_LxaHwAgCmdSatnX_Kph_u9p7</t>
  </si>
  <si>
    <t>t_PsaSH_LxaHwAgCmdSatnY_HwDeg_u16[15]</t>
  </si>
  <si>
    <t>t_PsaSH_LxaHwAgCmdSatnY_HwDeg_u16</t>
  </si>
  <si>
    <t>t2_PsaSH_LxaHwAgDetnCntrStepX_HwDeg_u11p5[9][8]</t>
  </si>
  <si>
    <t>t2_PsaSH_LxaHwAgDetnCntrStepX_HwDeg_u11p5</t>
  </si>
  <si>
    <t>t_PsaSH_LxaHwAgCmdRateX_Kph_u9p7[15]</t>
  </si>
  <si>
    <t>t_PsaSH_LxaHwAgCmdRateX_Kph_u9p7</t>
  </si>
  <si>
    <t>t_PsaSH_LxaHwAgCmdRateY_HwDegpS_u11p5[15]</t>
  </si>
  <si>
    <t>t_PsaSH_LxaHwAgCmdRateY_HwDegpS_u11p5</t>
  </si>
  <si>
    <t>t_PsaSH_LxaHwAgThdX_Kph_u9p7[15]</t>
  </si>
  <si>
    <t>t_PsaSH_LxaHwAgThdX_Kph_u9p7</t>
  </si>
  <si>
    <t>t_PsaSH_LxaHwAgThdY_HwDeg_u16[15]</t>
  </si>
  <si>
    <t>t_PsaSH_LxaHwAgThdY_HwDeg_u16</t>
  </si>
  <si>
    <t>t2_PsaSH_LxaHwVelDetnCntrStepX_HwRadpS_u5p11[9][8]</t>
  </si>
  <si>
    <t>t2_PsaSH_LxaHwVelDetnCntrStepX_HwRadpS_u5p11</t>
  </si>
  <si>
    <t>t_PsaSH_LxaVehSpdBndTbl_Kph_u9p7[9]</t>
  </si>
  <si>
    <t>t_PsaSH_LxaVehSpdBndTbl_Kph_u9p7</t>
  </si>
  <si>
    <t>k_PsaSH_LxaDrvrIntvDetnThd_Uls_s08</t>
  </si>
  <si>
    <t>k_PsaSH_ApaHwTrqMaxTi_mS_u32</t>
  </si>
  <si>
    <t>k_PsaSH_ApaHwTrqMinTi_mS_u32</t>
  </si>
  <si>
    <t>k_PsaSH_LxaHwAgDetnCnt_Cnt_u16</t>
  </si>
  <si>
    <t>k_PsaSH_LxaHwVelDetnCnt_Cnt_u16</t>
  </si>
  <si>
    <t>t2_PsaSH_LxaDrvrAbsntHwVelDetnCntrNStepY_Cnt_u16[9][8]</t>
  </si>
  <si>
    <t>t2_PsaSH_LxaDrvrAbsntHwVelDetnCntrNStepY_Cnt_u16</t>
  </si>
  <si>
    <t>t2_PsaSH_LxaDrvrAbsntHwVelDetnCntrPStepY_Cnt_u16[9][8]</t>
  </si>
  <si>
    <t>t2_PsaSH_LxaDrvrAbsntHwVelDetnCntrPStepY_Cnt_u16</t>
  </si>
  <si>
    <t>t2_PsaSH_LxaHwAgDetnCntrNStepY_Cnt_u16[9][8]</t>
  </si>
  <si>
    <t>t2_PsaSH_LxaHwAgDetnCntrNStepY_Cnt_u16</t>
  </si>
  <si>
    <t>t2_PsaSH_LxaHwAgDetnCntrPStepY_Cnt_u16[9][8]</t>
  </si>
  <si>
    <t>t2_PsaSH_LxaHwAgDetnCntrPStepY_Cnt_u16</t>
  </si>
  <si>
    <t>t2_PsaSH_LxaHwVelDetnCntrNStepY_Cnt_u16[9][8]</t>
  </si>
  <si>
    <t>t2_PsaSH_LxaHwVelDetnCntrNStepY_Cnt_u16</t>
  </si>
  <si>
    <t>t2_PsaSH_LxaHwVelDetnCntrPStepY_Cnt_u16[9][8]</t>
  </si>
  <si>
    <t>t2_PsaSH_LxaHwVelDetnCntrPStepY_Cnt_u16</t>
  </si>
  <si>
    <t>CF04B FordArbLmt</t>
  </si>
  <si>
    <t>CF025A GmFctDiArbn</t>
  </si>
  <si>
    <t>CF032A DflzOvrlStMgr</t>
  </si>
  <si>
    <t>CF033A DflzTqArbn</t>
  </si>
  <si>
    <t>CF039A PsaAgArbn</t>
  </si>
  <si>
    <t>CF040A BmwTqOvrlCdng</t>
  </si>
  <si>
    <t>CF041A HaitecOvrlStMgr</t>
  </si>
  <si>
    <t>CF042A HaitecTqArbn</t>
  </si>
  <si>
    <t>ES73B ImcArbr</t>
  </si>
  <si>
    <t>FDD1C CmMtrCurr</t>
  </si>
  <si>
    <t>SF19B PwrLmtFuncCr</t>
  </si>
  <si>
    <t>SF34B AssistSummation</t>
  </si>
  <si>
    <t>SF34B AstPathSum</t>
  </si>
  <si>
    <t>SF35B DampingSummation</t>
  </si>
  <si>
    <t>SF35B DampgPathSum</t>
  </si>
  <si>
    <t xml:space="preserve">NM100A MotVelCtrl </t>
  </si>
  <si>
    <t>11.0</t>
  </si>
  <si>
    <t>10.0</t>
  </si>
  <si>
    <t>9.0</t>
  </si>
  <si>
    <t>8.0</t>
  </si>
  <si>
    <t>7.0</t>
  </si>
  <si>
    <t>6.0</t>
  </si>
  <si>
    <t>5.0</t>
  </si>
  <si>
    <t>4.0</t>
  </si>
  <si>
    <t>3.0</t>
  </si>
  <si>
    <t>2.0</t>
  </si>
  <si>
    <t>1.0</t>
  </si>
  <si>
    <t>Krzysztof Byrski</t>
  </si>
  <si>
    <t>Updated for FDD version 7.0.0</t>
  </si>
  <si>
    <t>LxaState_Cnt_enum</t>
  </si>
  <si>
    <t>ApaState_Cnt_enum</t>
  </si>
  <si>
    <t>AssistStallLimit_MtrNm_f32</t>
  </si>
  <si>
    <t>ApaStateTransitionCause_Cnt_enum</t>
  </si>
  <si>
    <t>EPSStateForLxa_Cnt_enum</t>
  </si>
  <si>
    <t>CAN signal indicating whether ABS is active or not.</t>
  </si>
  <si>
    <t>True: Automatic Parking Assist Command is requested.</t>
  </si>
  <si>
    <t>True: if the coding variant of Automatic Parking Assist is enabled</t>
  </si>
  <si>
    <t>Handwheel position set point for Automatic Parking Assist.</t>
  </si>
  <si>
    <t>ApaPosSrvoFlt_Cnt_lgc</t>
  </si>
  <si>
    <t>True: If an NTC is detected due to fact that Automatic Parking Assist is still active during a vehicle speed greater than a certain threshold</t>
  </si>
  <si>
    <t>True: Ignition is running and auto park function is authorized.</t>
  </si>
  <si>
    <t>True: Temporary request to hold the Automatic Parking Assist command.</t>
  </si>
  <si>
    <t>True: All CAN signal used by Automatic Parking Assist are valid.</t>
  </si>
  <si>
    <t>Motor is stalled when Stall limit is lower or equal than a certain calibrated threshold</t>
  </si>
  <si>
    <t>True: Electrical stability control is active</t>
  </si>
  <si>
    <t>True: Electronic Stability Control is enabled.</t>
  </si>
  <si>
    <t>True: Fault present on Electronic Stability Control</t>
  </si>
  <si>
    <t>True: Fault term is active</t>
  </si>
  <si>
    <t>Computes if hands are on the wheel or not with a levelof confident going from -3 to 3</t>
  </si>
  <si>
    <t>True: CAN signals used by the LXA function are valid</t>
  </si>
  <si>
    <t>Indicates the system state.</t>
  </si>
  <si>
    <t>Thermal Limit is reached when thermal Limit is higher than or equal to a certain calibrated threshold.</t>
  </si>
  <si>
    <t>Lane Keeping Assist comand request to change the EPS state for LKA</t>
  </si>
  <si>
    <t>PsaLxaSt_Cnt_enum</t>
  </si>
  <si>
    <t>LpaSeld_Cnt_lgc</t>
  </si>
  <si>
    <t>To select between LKA (Lane Keeping Assist) &amp; LPA (Lane Positioning Assist). 0 = LPA Not Selected (LKA Active), 1 - Otherwise</t>
  </si>
  <si>
    <t>TRUE: Vehicle Speed signal is valid</t>
  </si>
  <si>
    <t>PsaApaTranCause_Cnt_enum</t>
  </si>
  <si>
    <t>PsaApaSt_Cnt_enum</t>
  </si>
  <si>
    <t>PsaEpsStLxa_Cnt_enum</t>
  </si>
  <si>
    <t>Automatic Parking Assist State</t>
  </si>
  <si>
    <t>HwTrqRate_HwNmpS_f32</t>
  </si>
  <si>
    <t>Computes Handwheel Torque gradient during LXA command</t>
  </si>
  <si>
    <t>True = Lxa is inactive or driver absent detected</t>
  </si>
  <si>
    <t>True means Lxa has been deactivated on handwheel velocity.</t>
  </si>
  <si>
    <t>True means a warning that hands are not on the wheel.</t>
  </si>
  <si>
    <t>True means LXA has been deactivated on handwheel angle.</t>
  </si>
  <si>
    <t>True means Position Servo is enabled.</t>
  </si>
  <si>
    <t>PrevApaPosSrvoEna_Cnt_M_lgc</t>
  </si>
  <si>
    <t>PrevLxaApaConflictReqNTC_Cnt_M_lgc</t>
  </si>
  <si>
    <t>PrevLxaDrvrAbsntDetd_Cnt_M_lgc</t>
  </si>
  <si>
    <t>PrevLxaDrvrAbsntWarn_Cnt_M_lgc</t>
  </si>
  <si>
    <t>PrevLxaDrvrAbsntHwVelDetd_Cnt_M_lgc</t>
  </si>
  <si>
    <t>PrevLxaHwAgDetd_Cnt_M_lgc</t>
  </si>
  <si>
    <t>PrevLxaInactivOnDrvrBhvr_Cnt_M_lgc</t>
  </si>
  <si>
    <t>LxaApaConflictReqFltTrig_Cnt_M_lgc</t>
  </si>
  <si>
    <t>PsaSH_HwTrqBufFilled_Cnt_M_lgc</t>
  </si>
  <si>
    <t>PsaSH_MtrStalled_Cnt_D_lgc</t>
  </si>
  <si>
    <t>PsaSH_ThrmlLmtReached_Cnt_D_lgc</t>
  </si>
  <si>
    <t>PsaSH_VehSpdTooHi_Cnt_D_lgc</t>
  </si>
  <si>
    <t>PsaSH_HwTrqBufPtr_Cnt_M_u08</t>
  </si>
  <si>
    <t>PsaSH_ApaState_Cnt_M_u08</t>
  </si>
  <si>
    <t>PsaSH_EPSStateForLxa_Cnt_M_u08</t>
  </si>
  <si>
    <t>PrevHwVelDetnCntr_Cnt_M_u16</t>
  </si>
  <si>
    <t>PsaSH_DynErrAcc_Cnt_M_u16</t>
  </si>
  <si>
    <t>PsaSH_StaErrAcc_Cnt_M_u16</t>
  </si>
  <si>
    <t>PsaSH_HwAgDetnCntr_Cnt_M_u16</t>
  </si>
  <si>
    <t>PsaSH_ApaExitCtrlProgsCntr_Cnt_M_u16</t>
  </si>
  <si>
    <t>PsaSH_LxaDrvrAbsntHwVelDetnCntrNStep_Cnt_D_u16</t>
  </si>
  <si>
    <t>PsaSH_LxaDrvrAbsntHwVelDetnCntrPStep_Cnt_D_u16</t>
  </si>
  <si>
    <t>PsaSH_LxaHwAgDetnCntrNStep_Cnt_D_u16</t>
  </si>
  <si>
    <t>PsaSH_LxaHwAgDetnCntrPStep_Cnt_D_u16</t>
  </si>
  <si>
    <t>PsaSH_LxaHwVelDetnCntrNStep_Cnt_D_u16</t>
  </si>
  <si>
    <t>PsaSH_LxaHwVelDetnCntrPStep_Cnt_D_u16</t>
  </si>
  <si>
    <t>PrevDeltaApaHwAg_HwDeg_M_f32</t>
  </si>
  <si>
    <t>MinTqTimer_mS_M_u32</t>
  </si>
  <si>
    <t>MaxTqTimer_mS_M_u32</t>
  </si>
  <si>
    <t>PrevLxaInactivRstTmr_Sec_M_f32</t>
  </si>
  <si>
    <t>PsaSH_HwTrqDetnTmr_Sec_M_f32</t>
  </si>
  <si>
    <t>PsaSH_HwTrqBuf_HwNm_M_f32</t>
  </si>
  <si>
    <t>PsaSH_HwTrqRateDetnTmr_Sec_M_f32</t>
  </si>
  <si>
    <t>PsaSH_LxaDrvrAbsntDetdTmr_Sec_M_f32</t>
  </si>
  <si>
    <t>PsaSH_LxaDrvrAbsntHwVelThd_HwRadpS_D_f32</t>
  </si>
  <si>
    <t>PsaSH_LxaHwAgThd_HwDeg_D_f32</t>
  </si>
  <si>
    <t>PsaSH_LxaHwVelThd_HwRadpS_D_f32</t>
  </si>
  <si>
    <t>HwTrqFilterSV_Str_M_Str</t>
  </si>
  <si>
    <t>PsaSH_EPSStateForLxa_Cnt_M_enum</t>
  </si>
  <si>
    <t>PsaSH_ApaState_Cnt_M_enum</t>
  </si>
  <si>
    <t>PsaSH_ApaStateTransitionCause_Cnt_M_enum</t>
  </si>
  <si>
    <t>HwTrqFilterSV_Str_M_Str.K_Uls_f32</t>
  </si>
  <si>
    <t>HwTrqFilterSV_Str_M_Str.SV_Uls_f32</t>
  </si>
  <si>
    <t>LxA Driver Absent Handwheel Velocity Detection Counter N Step</t>
  </si>
  <si>
    <t>LxA Driver Absent Handwheel Velocity Detection Counter P Step</t>
  </si>
  <si>
    <t>LxA Driver Absent Handwheel Velocity Threshold</t>
  </si>
  <si>
    <t>LxA Handwheel Angle Detection Counter N Step</t>
  </si>
  <si>
    <t>LxA Handwheel Angle Detection Counter P Step</t>
  </si>
  <si>
    <t>LxA Handwheel Angle Threshold</t>
  </si>
  <si>
    <t>LxA Handwheel Velocity Detection Counter N Step</t>
  </si>
  <si>
    <t>LxA Handwheel Velocity Detection Counter P Step</t>
  </si>
  <si>
    <t>LxA Handwheel Velocity Threshold</t>
  </si>
  <si>
    <t>Motor Stalled</t>
  </si>
  <si>
    <t>Thermal Limit Reached</t>
  </si>
  <si>
    <t>Vehicle Speed Too High</t>
  </si>
  <si>
    <t>True -&gt; Hands are on the wheel.</t>
  </si>
  <si>
    <t>EPS State For LXA</t>
  </si>
  <si>
    <t>ThermLimitPerc_Uls_f32</t>
  </si>
  <si>
    <t>True means disable Lxa on driver behavior.</t>
  </si>
  <si>
    <t>LxaSelected_Cnt_lgc</t>
  </si>
  <si>
    <t>Tracking angle.</t>
  </si>
  <si>
    <t>8.8</t>
  </si>
  <si>
    <t>Dynamic Handwheel Threshold error to set a Dynamic Error</t>
  </si>
  <si>
    <t>Maximum handwheel torque to exit APA</t>
  </si>
  <si>
    <t>Minimum handwheel torque to enable APA</t>
  </si>
  <si>
    <t>Time to confirm exiit APA by HwTrq</t>
  </si>
  <si>
    <t>APA Thermal Limit Percentage</t>
  </si>
  <si>
    <t>Automatic Parking Assist Vehicle Speed</t>
  </si>
  <si>
    <t>Confirmation time to detect that hands are not the wheel during LXA activation</t>
  </si>
  <si>
    <t>LXA Handwheel angle Confirmation count</t>
  </si>
  <si>
    <t>LXA Handwheel velocity Confirmation count</t>
  </si>
  <si>
    <t>LXA Handwheel Torque Confirmation Time</t>
  </si>
  <si>
    <t>Maximum handwheel torque for activation of LXA</t>
  </si>
  <si>
    <t>Minimum handwheel confidence necessary to enable LXA.</t>
  </si>
  <si>
    <t>LXA driver intervention detection threshold</t>
  </si>
  <si>
    <t>0.3</t>
  </si>
  <si>
    <t>0.2</t>
  </si>
  <si>
    <t>0.1</t>
  </si>
  <si>
    <t>LXA handwheel angle command rate</t>
  </si>
  <si>
    <t>Minimum threshold of the vehicle speed at which the LXA can be activated</t>
  </si>
  <si>
    <t>Confirmation time to stop LXA function due to the driver not holding the steering wheel</t>
  </si>
  <si>
    <t>{0, 10, 20, 30, 40, 50, 60, 70, 100, 240}</t>
  </si>
  <si>
    <t>{60, 50, 40, 30, 20, 18, 16, 14, 10, 8}</t>
  </si>
  <si>
    <t>{{0, 5, 10, 15, 20, 23, 26, 29}, {0, 5, 10, 15, 20, 23, 26, 29}, {0, 5, 10, 15, 20, 23, 26, 29}, {0, 5, 10, 15, 20, 23, 26, 29}, {0, 5, 10, 15, 20, 23, 26, 29}, {0, 5, 10, 15, 20, 23, 26, 29}, {0, 5, 10, 15, 20, 23, 26, 29}, {0, 5, 10, 15, 20, 23, 26, 29}, {0, 5, 10, 15, 20, 23, 26, 29}}</t>
  </si>
  <si>
    <t>{0, 40, 50, 60, 70, 100, 110, 120, 130, 140, 150, 160, 170, 180, 200}</t>
  </si>
  <si>
    <t>{25, 24, 23, 22, 21, 20, 18, 16, 15, 14, 13, 12, 11, 10, 9}</t>
  </si>
  <si>
    <t>{100, 100, 100, 100, 100, 100, 100, 100, 100, 100, 100, 100, 100, 100, 100}</t>
  </si>
  <si>
    <t>{{0, 100, 300, 500, 700, 900, 1100, 1300}, {0, 100, 300, 500, 700, 900, 1100, 1300}, {0, 100, 300, 500, 700, 900, 1100, 1300}, {0, 100, 300, 500, 700, 900, 1100, 1300}, {0, 100, 300, 500, 700, 900, 1100, 1300}, {0, 100, 300, 500, 700, 900, 1100, 1300}, {0, 100, 300, 500, 700, 900, 1100, 1300}, {0, 100, 300, 500, 700, 900, 1100, 1300}, {0, 100, 300, 500, 700, 900, 1100, 1300}}</t>
  </si>
  <si>
    <t>{0.1, 0.1, 0.1, 0.1, 0.1, 0.1, 0.1, 0.1, 0.1, 0.1, 0.1, 0.1, 0.1, 0.1, 0.1}</t>
  </si>
  <si>
    <t>{0, 25, 50, 75, 100, 125, 150, 175, 200}</t>
  </si>
  <si>
    <t>LXA Handwheel Angle Command Saturation</t>
  </si>
  <si>
    <t>Vehicle Speed Boundary Table</t>
  </si>
  <si>
    <t>Handwheel Angle Threshold for LXA Activation</t>
  </si>
  <si>
    <t>Vehicle speed index to determine Handwheel Angle Threshold for LXA Activation</t>
  </si>
  <si>
    <t>Handwheel Velocity Threshold for LXA Activation when hands  are not on the wheel.</t>
  </si>
  <si>
    <t>Vehicle speed index to determine handwheel velocity threshold for LXAactivation when hands not on wheel</t>
  </si>
  <si>
    <t>Vehicle speed index to determine the confirmation time to detect thathands are not on the wheel during Lpa activation</t>
  </si>
  <si>
    <t>{100, 2, 1}</t>
  </si>
  <si>
    <t>Stall Limit used to detect an obstacle</t>
  </si>
  <si>
    <t>k_PsaSH_LxaCorrnFacReqRate_UlspS_f32</t>
  </si>
  <si>
    <t>Lxa Corrcetion Factor Request Rate</t>
  </si>
  <si>
    <t>UlspS</t>
  </si>
  <si>
    <t>t2_PsaSH_LxaHwVelThdX_Kph_u9p7</t>
  </si>
  <si>
    <t>t2_PsaSH_LxaHwVelThdY_HwRadpS_u7p9</t>
  </si>
  <si>
    <t>Lxa handwheel velocity threshold to disable Lxa</t>
  </si>
  <si>
    <t>X axis of the bilinear table in order to define the handwheel velocity threshold to disable Lxa function</t>
  </si>
  <si>
    <t>{{0, 40, 60, 80, 100, 120, 140, 160, 200}, {0, 40, 60, 80, 100, 120, 140, 160, 200}, {0, 40, 60, 80, 100, 120, 140, 160, 200}, {0, 40, 60, 80, 100, 120, 140, 160, 200}, {0, 40, 60, 80, 100, 120, 140, 160, 200}, {0, 40, 60, 80, 100, 120, 140, 160, 200}, {0, 40, 60, 80, 100, 120, 140, 160, 200}, {0, 40, 60, 80, 100, 120, 140, 160, 200}}</t>
  </si>
  <si>
    <t>{{25, 24, 23, 22, 21, 20, 18, 16, 15}, {25, 24, 23, 22, 21, 20, 18, 16, 15}, {25, 24, 23, 22, 21, 20, 18, 16, 15}, {25, 24, 23, 22, 21, 20, 18, 16, 15}, {25, 24, 23, 22, 21, 20, 18, 16, 15}, {25, 24, 23, 22, 21, 20, 18, 16, 15}, {25, 24, 23, 22, 21, 20, 18, 16, 15}, {25, 24, 23, 22, 21, 20, 18, 16, 15}}</t>
  </si>
  <si>
    <t>t2_PsaSH_LxaHwVelThdX_Kph_u9p7[8][9]</t>
  </si>
  <si>
    <t>t2_PsaSH_LxaHwVelThdY_HwRadpS_u7p9[8][9]</t>
  </si>
  <si>
    <t>t_PsaSH_LxaHwTqBndTbl_HwNm_u5p11</t>
  </si>
  <si>
    <t>Lxa Handwheel Torque Boundary Table</t>
  </si>
  <si>
    <t>{0, 0.601, 1, 1.199, 1.601, 2, 2.699, 10}</t>
  </si>
  <si>
    <t>t_PsaSH_LxaInactvRstTmrX_Kph_u9p7[3]</t>
  </si>
  <si>
    <t>t_PsaSH_LxaInactvRstTmrX_Kph_u9p7</t>
  </si>
  <si>
    <t>t_PsaSH_LxaInactvRstTmrY_Sec_u7p9[3]</t>
  </si>
  <si>
    <t>t_PsaSH_LxaInactvRstTmrY_Sec_u7p9</t>
  </si>
  <si>
    <t>The Time to reset the Lxa Inactive on Driver Behavior signal</t>
  </si>
  <si>
    <t>{0, 10, 20}</t>
  </si>
  <si>
    <t>{20, 15, 10}</t>
  </si>
  <si>
    <t>t_PsaSH_LxaHwTqBndTbl_HwNm_u5p11[8]</t>
  </si>
  <si>
    <t>Handwheel Authority signal whichis used in order to determine APA State and LXA State.</t>
  </si>
  <si>
    <t>Handwheel Position Signal. Used in all kinds of computations: LXA State, APA State and LXA Driver Behavior</t>
  </si>
  <si>
    <t>Handwheel Velocity. Used for calculating handwheel velocity thresholds used in LXA Driver Behavior algorithm to determine its outputs.</t>
  </si>
  <si>
    <t>Standard Handwheel Torque used in LXA Driver Behavior algorithm.</t>
  </si>
  <si>
    <t>Handwheel position set point for LXA</t>
  </si>
  <si>
    <t>LxaTqFacReq_Uls_f32</t>
  </si>
  <si>
    <t>A scale factor for LXA Command.</t>
  </si>
  <si>
    <t>Signal used in computing internal EPS State which is part of EPS State For Lxa computations.</t>
  </si>
  <si>
    <t>Standard Vehicle Speed signal.</t>
  </si>
  <si>
    <t>Indicates the transition reason of the Automatic Parking Assist State</t>
  </si>
  <si>
    <t>True means that NTC VLF_20 has been set to FAILED at least one time.</t>
  </si>
  <si>
    <t>LxaCorrnFacReqLimd_Uls_f32</t>
  </si>
  <si>
    <t>True: The trajectory correction is maximal.</t>
  </si>
  <si>
    <t>PsaSH_LxaCorrnFacReq_Uls_D_f32</t>
  </si>
  <si>
    <t>LxA Correction Factor Request</t>
  </si>
  <si>
    <t>LxaTqFacReqBufFull_Cnt_M_lgc</t>
  </si>
  <si>
    <t>LxaTqFacReqBufFull_Cnt_T_lgc</t>
  </si>
  <si>
    <t>LxaTqFacReqPtr_Cnt_M_u08</t>
  </si>
  <si>
    <t>LxaTqFacReqPtr_Cnt_T_u08</t>
  </si>
  <si>
    <t>LxaCorrnFacReqLimd_Uls_M_f32</t>
  </si>
  <si>
    <t>LxaTqFacReqBuf_Uls_M_f32[25]</t>
  </si>
  <si>
    <t>LxaTqFacReqSum_Uls_M_f32</t>
  </si>
  <si>
    <t>PosSrvoHwAngle_HwDeg_M_f32</t>
  </si>
  <si>
    <t>LxaTqFacReqBuf_Uls_T_f32</t>
  </si>
  <si>
    <t>LxaTqFacReqSum_Uls_T_f32</t>
  </si>
  <si>
    <t>{0}</t>
  </si>
  <si>
    <t>k_PsaSH_ApaStatErr_Cnt_str.Pstep</t>
  </si>
  <si>
    <t>k_PsaSH_ApaStatErr_Cnt_str.Threshold</t>
  </si>
  <si>
    <t>Updated for FDD version 8.0.0
Removed Input Variable:
LkaCorrnFac_Uls_f32
Removed calibration:
k_PsaSH_LxaInactivRstTi_Sec_f32</t>
  </si>
  <si>
    <t>CF098A SgmwTrqOvrlStMgr</t>
  </si>
  <si>
    <t>CF098B SgmwTrqOvrlStMgr</t>
  </si>
  <si>
    <t>CF099A SgmwTrqOvrlArbr</t>
  </si>
  <si>
    <t>CF099B SgmwTrqOvrlArbr</t>
  </si>
  <si>
    <t>CF102A FordSteerDataColl</t>
  </si>
  <si>
    <t>ES34E ePWM Subsystem</t>
  </si>
  <si>
    <t>Marek Brykczyński</t>
  </si>
  <si>
    <t>PrevPosSrvoHwAngle_HwDeg_M_f32</t>
  </si>
  <si>
    <t>t_PsaSH_ApaHwAgCmdRateX_Kph_u9p7</t>
  </si>
  <si>
    <t>t_PsaSH_ApaHwAgCmdRateY_HwDegpS_u11p5</t>
  </si>
  <si>
    <t>LXA handwheel angle command rate'</t>
  </si>
  <si>
    <t>t_PsaSH_ApaHwAgCmdRateX_Kph_u9p7[15]</t>
  </si>
  <si>
    <t>t_PsaSH_ApaHwAgCmdRateY_HwDegpS_u11p5[15]</t>
  </si>
  <si>
    <t>k_PsaSH_LxaCorrnFacThd_Uls_f32</t>
  </si>
  <si>
    <t>Threshold for the Lxa Correction factor to stop Lxa regulation</t>
  </si>
  <si>
    <t>PsaSH_ApaAllw_Cnt_D_lgc</t>
  </si>
  <si>
    <t>PsaSH_ApaFltActv_Cnt_D_lgc</t>
  </si>
  <si>
    <t>PsaSH_ApaHwAgDynErr_Cnt_D_lgc</t>
  </si>
  <si>
    <t>PsaSH_ApaHwAgStatErr_Cnt_D_lgc</t>
  </si>
  <si>
    <t>PsaSH_ApaHwMaxTrqReached_Cnt_D_lgc</t>
  </si>
  <si>
    <t>PsaSH_ApaHwMinTrqReached_Cnt_D_lgc</t>
  </si>
  <si>
    <t>True: Handwheel torque condition is met to activate citypark</t>
  </si>
  <si>
    <t>True: Handwheel torque condition is met to disactivate citypark</t>
  </si>
  <si>
    <t>True: Apa Handwheel Angle Static Error condition is met to disactivate citypark</t>
  </si>
  <si>
    <t>True: Apa Handwheel Angle Dynamic Error condition is met to disactivate citypark</t>
  </si>
  <si>
    <t>True: Fault condition which disable citypark</t>
  </si>
  <si>
    <t>True: Condition is met to activate citypark</t>
  </si>
  <si>
    <t>Updated for FDD version 8.2.0
Added Module Variable:
PrevPosSrvoHwAngle_HwDeg_M_f32</t>
  </si>
  <si>
    <t>LxaTqFacReqCntr_Cnt_M_u08</t>
  </si>
  <si>
    <t>LxaTqFacReqCntr_Cnt_T_u08</t>
  </si>
  <si>
    <t>Updated for FDD version 8.3.0
Added Display Variables:
PsaSH_ApaAllw_Cnt_D_lgc
PsaSH_ApaFltActv_Cnt_D_lgc
PsaSH_ApaHwAgDynErr_Cnt_D_lgc
PsaSH_ApaHwAgStatErr_Cnt_D_lgc
PsaSH_ApaHwMaxTrqReached_Cnt_D_lgc
PsaSH_ApaHwMinTrqReached_Cnt_D_lgc
Added Module Variable:
LxaTqFacReqCntr_Cnt_M_u08
Added Calibrations:
k_PsaSH_LxaCorrnFacThd_Uls_f32
t_PsaSH_ApaHwAgCmdRateX_Kph_u9p7
t_PsaSH_ApaHwAgCmdRateY_HwDegpS_u11p5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</si>
</sst>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0.0"/>
  </numFmts>
  <fonts count="42" x14ac:knownFonts="1">
    <font>
      <sz val="10"/>
      <name val="Arial"/>
    </font>
    <font>
      <sz val="11"/>
      <color theme="1"/>
      <name val="Calibri"/>
      <family val="2"/>
      <charset val="238"/>
      <scheme val="minor"/>
    </font>
    <font>
      <sz val="11"/>
      <color theme="1"/>
      <name val="Calibri"/>
      <family val="2"/>
      <charset val="238"/>
      <scheme val="minor"/>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
      <sz val="9"/>
      <color indexed="81"/>
      <name val="Tahoma"/>
      <family val="2"/>
    </font>
    <font>
      <b/>
      <sz val="9"/>
      <color indexed="81"/>
      <name val="Tahoma"/>
      <family val="2"/>
    </font>
    <font>
      <b/>
      <sz val="18"/>
      <color theme="3"/>
      <name val="Cambria"/>
      <family val="2"/>
      <charset val="238"/>
      <scheme val="maj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006100"/>
      <name val="Calibri"/>
      <family val="2"/>
      <charset val="238"/>
      <scheme val="minor"/>
    </font>
    <font>
      <sz val="11"/>
      <color rgb="FF9C0006"/>
      <name val="Calibri"/>
      <family val="2"/>
      <charset val="238"/>
      <scheme val="minor"/>
    </font>
    <font>
      <sz val="11"/>
      <color rgb="FF9C6500"/>
      <name val="Calibri"/>
      <family val="2"/>
      <charset val="238"/>
      <scheme val="minor"/>
    </font>
    <font>
      <sz val="11"/>
      <color rgb="FF3F3F76"/>
      <name val="Calibri"/>
      <family val="2"/>
      <charset val="238"/>
      <scheme val="minor"/>
    </font>
    <font>
      <b/>
      <sz val="11"/>
      <color rgb="FF3F3F3F"/>
      <name val="Calibri"/>
      <family val="2"/>
      <charset val="238"/>
      <scheme val="minor"/>
    </font>
    <font>
      <b/>
      <sz val="11"/>
      <color rgb="FFFA7D00"/>
      <name val="Calibri"/>
      <family val="2"/>
      <charset val="238"/>
      <scheme val="minor"/>
    </font>
    <font>
      <sz val="11"/>
      <color rgb="FFFA7D00"/>
      <name val="Calibri"/>
      <family val="2"/>
      <charset val="238"/>
      <scheme val="minor"/>
    </font>
    <font>
      <b/>
      <sz val="11"/>
      <color theme="0"/>
      <name val="Calibri"/>
      <family val="2"/>
      <charset val="238"/>
      <scheme val="minor"/>
    </font>
    <font>
      <sz val="11"/>
      <color rgb="FFFF0000"/>
      <name val="Calibri"/>
      <family val="2"/>
      <charset val="238"/>
      <scheme val="minor"/>
    </font>
    <font>
      <i/>
      <sz val="11"/>
      <color rgb="FF7F7F7F"/>
      <name val="Calibri"/>
      <family val="2"/>
      <charset val="238"/>
      <scheme val="minor"/>
    </font>
    <font>
      <b/>
      <sz val="11"/>
      <color theme="1"/>
      <name val="Calibri"/>
      <family val="2"/>
      <charset val="238"/>
      <scheme val="minor"/>
    </font>
    <font>
      <sz val="11"/>
      <color theme="0"/>
      <name val="Calibri"/>
      <family val="2"/>
      <charset val="238"/>
      <scheme val="minor"/>
    </font>
    <font>
      <sz val="8"/>
      <color theme="1"/>
      <name val="Calibri"/>
      <family val="2"/>
      <scheme val="minor"/>
    </font>
    <font>
      <sz val="8"/>
      <color theme="1"/>
      <name val="Arial"/>
      <family val="2"/>
    </font>
  </fonts>
  <fills count="45">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FF99"/>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72">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9">
    <xf numFmtId="0" fontId="0" fillId="0" borderId="0"/>
    <xf numFmtId="0" fontId="3" fillId="2" borderId="1" applyFont="0" applyAlignment="0">
      <alignment horizontal="center"/>
    </xf>
    <xf numFmtId="0" fontId="6" fillId="0" borderId="0"/>
    <xf numFmtId="0" fontId="24" fillId="0" borderId="0" applyNumberFormat="0" applyFill="0" applyBorder="0" applyAlignment="0" applyProtection="0"/>
    <xf numFmtId="0" fontId="25" fillId="0" borderId="63" applyNumberFormat="0" applyFill="0" applyAlignment="0" applyProtection="0"/>
    <xf numFmtId="0" fontId="26" fillId="0" borderId="64" applyNumberFormat="0" applyFill="0" applyAlignment="0" applyProtection="0"/>
    <xf numFmtId="0" fontId="27" fillId="0" borderId="65" applyNumberFormat="0" applyFill="0" applyAlignment="0" applyProtection="0"/>
    <xf numFmtId="0" fontId="27" fillId="0" borderId="0" applyNumberFormat="0" applyFill="0" applyBorder="0" applyAlignment="0" applyProtection="0"/>
    <xf numFmtId="0" fontId="28" fillId="14" borderId="0" applyNumberFormat="0" applyBorder="0" applyAlignment="0" applyProtection="0"/>
    <xf numFmtId="0" fontId="29" fillId="15" borderId="0" applyNumberFormat="0" applyBorder="0" applyAlignment="0" applyProtection="0"/>
    <xf numFmtId="0" fontId="30" fillId="16" borderId="0" applyNumberFormat="0" applyBorder="0" applyAlignment="0" applyProtection="0"/>
    <xf numFmtId="0" fontId="31" fillId="17" borderId="66" applyNumberFormat="0" applyAlignment="0" applyProtection="0"/>
    <xf numFmtId="0" fontId="32" fillId="18" borderId="67" applyNumberFormat="0" applyAlignment="0" applyProtection="0"/>
    <xf numFmtId="0" fontId="33" fillId="18" borderId="66" applyNumberFormat="0" applyAlignment="0" applyProtection="0"/>
    <xf numFmtId="0" fontId="34" fillId="0" borderId="68" applyNumberFormat="0" applyFill="0" applyAlignment="0" applyProtection="0"/>
    <xf numFmtId="0" fontId="35" fillId="19" borderId="69" applyNumberFormat="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8" fillId="0" borderId="71" applyNumberFormat="0" applyFill="0" applyAlignment="0" applyProtection="0"/>
    <xf numFmtId="0" fontId="39"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39" fillId="24" borderId="0" applyNumberFormat="0" applyBorder="0" applyAlignment="0" applyProtection="0"/>
    <xf numFmtId="0" fontId="39"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39" fillId="28" borderId="0" applyNumberFormat="0" applyBorder="0" applyAlignment="0" applyProtection="0"/>
    <xf numFmtId="0" fontId="39"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39" fillId="32" borderId="0" applyNumberFormat="0" applyBorder="0" applyAlignment="0" applyProtection="0"/>
    <xf numFmtId="0" fontId="39"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39" fillId="36" borderId="0" applyNumberFormat="0" applyBorder="0" applyAlignment="0" applyProtection="0"/>
    <xf numFmtId="0" fontId="39"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39" fillId="40" borderId="0" applyNumberFormat="0" applyBorder="0" applyAlignment="0" applyProtection="0"/>
    <xf numFmtId="0" fontId="39"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39" fillId="44" borderId="0" applyNumberFormat="0" applyBorder="0" applyAlignment="0" applyProtection="0"/>
    <xf numFmtId="0" fontId="2" fillId="0" borderId="0"/>
    <xf numFmtId="0" fontId="2" fillId="20" borderId="70" applyNumberFormat="0" applyFont="0" applyAlignment="0" applyProtection="0"/>
    <xf numFmtId="0" fontId="1" fillId="0" borderId="0"/>
    <xf numFmtId="0" fontId="1" fillId="20" borderId="70" applyNumberFormat="0" applyFont="0" applyAlignment="0" applyProtection="0"/>
    <xf numFmtId="0" fontId="1" fillId="22" borderId="0" applyNumberFormat="0" applyBorder="0" applyAlignment="0" applyProtection="0"/>
    <xf numFmtId="0" fontId="1" fillId="23"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cellStyleXfs>
  <cellXfs count="331">
    <xf numFmtId="0" fontId="0" fillId="0" borderId="0" xfId="0"/>
    <xf numFmtId="0" fontId="6" fillId="0" borderId="0" xfId="0" applyFont="1" applyFill="1" applyAlignment="1"/>
    <xf numFmtId="0" fontId="3"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8" fillId="0" borderId="8" xfId="0" applyFont="1" applyBorder="1" applyAlignment="1">
      <alignment wrapText="1"/>
    </xf>
    <xf numFmtId="0" fontId="8" fillId="0" borderId="9" xfId="0" applyFont="1" applyBorder="1" applyAlignment="1">
      <alignment horizontal="center" wrapText="1"/>
    </xf>
    <xf numFmtId="0" fontId="8" fillId="0" borderId="9" xfId="0" applyFont="1" applyBorder="1" applyAlignment="1">
      <alignment horizontal="left" wrapText="1"/>
    </xf>
    <xf numFmtId="49" fontId="8" fillId="0" borderId="9" xfId="0" applyNumberFormat="1" applyFont="1" applyBorder="1" applyAlignment="1">
      <alignment horizontal="center" wrapText="1"/>
    </xf>
    <xf numFmtId="0" fontId="8" fillId="0" borderId="9" xfId="0" applyFont="1" applyBorder="1" applyAlignment="1">
      <alignment wrapText="1"/>
    </xf>
    <xf numFmtId="0" fontId="8" fillId="0" borderId="10" xfId="0" applyFont="1" applyBorder="1" applyAlignment="1">
      <alignment wrapText="1"/>
    </xf>
    <xf numFmtId="0" fontId="0" fillId="0" borderId="3" xfId="0" applyBorder="1" applyAlignment="1">
      <alignment wrapText="1"/>
    </xf>
    <xf numFmtId="0" fontId="6" fillId="0" borderId="0" xfId="0" applyFont="1" applyFill="1" applyAlignment="1">
      <alignment horizontal="center" vertical="center"/>
    </xf>
    <xf numFmtId="0" fontId="5" fillId="0" borderId="11" xfId="0" applyFont="1" applyFill="1" applyBorder="1" applyAlignment="1">
      <alignment wrapText="1"/>
    </xf>
    <xf numFmtId="0" fontId="5" fillId="0" borderId="12" xfId="0" applyFont="1" applyFill="1" applyBorder="1" applyAlignment="1">
      <alignment wrapText="1"/>
    </xf>
    <xf numFmtId="0" fontId="5" fillId="0" borderId="13" xfId="0" applyFont="1" applyFill="1" applyBorder="1" applyAlignment="1">
      <alignment horizontal="center" wrapText="1"/>
    </xf>
    <xf numFmtId="0" fontId="5" fillId="0" borderId="0" xfId="0" applyFont="1" applyFill="1" applyAlignment="1"/>
    <xf numFmtId="0" fontId="5" fillId="0" borderId="14" xfId="0" applyFont="1" applyFill="1" applyBorder="1" applyAlignment="1">
      <alignment horizontal="center" wrapText="1"/>
    </xf>
    <xf numFmtId="0" fontId="5" fillId="0" borderId="15" xfId="0" applyFont="1" applyFill="1" applyBorder="1" applyAlignment="1">
      <alignment horizontal="center" wrapText="1"/>
    </xf>
    <xf numFmtId="0" fontId="5" fillId="0" borderId="16" xfId="0" applyFont="1" applyFill="1" applyBorder="1" applyAlignment="1">
      <alignment horizontal="center" wrapText="1"/>
    </xf>
    <xf numFmtId="0" fontId="8" fillId="0" borderId="0" xfId="0" applyFont="1" applyFill="1" applyAlignment="1"/>
    <xf numFmtId="0" fontId="6" fillId="0" borderId="0" xfId="0" applyFont="1" applyFill="1" applyAlignment="1">
      <alignment horizontal="center"/>
    </xf>
    <xf numFmtId="0" fontId="6" fillId="0" borderId="0" xfId="0" applyFont="1" applyFill="1" applyAlignment="1">
      <alignment horizontal="left" wrapText="1"/>
    </xf>
    <xf numFmtId="0" fontId="3" fillId="0" borderId="17" xfId="0" applyFont="1" applyFill="1" applyBorder="1" applyAlignment="1">
      <alignment vertical="top"/>
    </xf>
    <xf numFmtId="0" fontId="3" fillId="0" borderId="18" xfId="0" applyFont="1" applyFill="1" applyBorder="1" applyAlignment="1">
      <alignment vertical="top" wrapText="1"/>
    </xf>
    <xf numFmtId="0" fontId="5" fillId="0" borderId="19" xfId="0" applyFont="1" applyFill="1" applyBorder="1" applyAlignment="1">
      <alignment horizontal="center" vertical="top"/>
    </xf>
    <xf numFmtId="0" fontId="5" fillId="0" borderId="0" xfId="0" applyFont="1" applyFill="1" applyBorder="1" applyAlignment="1">
      <alignment horizontal="center" vertical="top"/>
    </xf>
    <xf numFmtId="0" fontId="5" fillId="0" borderId="20" xfId="0" applyFont="1" applyFill="1" applyBorder="1" applyAlignment="1">
      <alignment horizontal="center" vertical="top"/>
    </xf>
    <xf numFmtId="0" fontId="3" fillId="0" borderId="21" xfId="0" applyFont="1" applyFill="1" applyBorder="1" applyAlignment="1">
      <alignment vertical="top"/>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3" fillId="0" borderId="21" xfId="0" applyFont="1" applyFill="1" applyBorder="1" applyAlignment="1">
      <alignment vertical="top" wrapText="1"/>
    </xf>
    <xf numFmtId="0" fontId="10" fillId="0" borderId="18" xfId="0" applyFont="1" applyFill="1" applyBorder="1" applyAlignment="1">
      <alignment vertical="top" wrapText="1"/>
    </xf>
    <xf numFmtId="0" fontId="10" fillId="0" borderId="19" xfId="0" applyFont="1" applyFill="1" applyBorder="1" applyAlignment="1">
      <alignment horizontal="center" vertical="top"/>
    </xf>
    <xf numFmtId="0" fontId="10" fillId="0" borderId="0" xfId="0" applyFont="1" applyFill="1" applyBorder="1" applyAlignment="1">
      <alignment horizontal="center" vertical="top"/>
    </xf>
    <xf numFmtId="0" fontId="10" fillId="0" borderId="20" xfId="0" applyFont="1" applyFill="1" applyBorder="1" applyAlignment="1">
      <alignment horizontal="center" vertical="top"/>
    </xf>
    <xf numFmtId="0" fontId="3" fillId="0" borderId="17" xfId="0" applyFont="1" applyFill="1" applyBorder="1" applyAlignment="1">
      <alignment vertical="top" wrapText="1"/>
    </xf>
    <xf numFmtId="0" fontId="3" fillId="0" borderId="22" xfId="0" applyFont="1" applyFill="1" applyBorder="1" applyAlignment="1">
      <alignment vertical="top"/>
    </xf>
    <xf numFmtId="0" fontId="4" fillId="3" borderId="23" xfId="0" applyFont="1" applyFill="1" applyBorder="1" applyAlignment="1">
      <alignment horizontal="center"/>
    </xf>
    <xf numFmtId="0" fontId="3" fillId="0" borderId="24" xfId="0" applyFont="1" applyFill="1" applyBorder="1" applyAlignment="1">
      <alignment vertical="top"/>
    </xf>
    <xf numFmtId="0" fontId="3" fillId="0" borderId="25" xfId="0" applyFont="1" applyFill="1" applyBorder="1" applyAlignment="1">
      <alignment horizontal="center" vertical="top" wrapText="1"/>
    </xf>
    <xf numFmtId="0" fontId="3" fillId="0" borderId="2" xfId="0" applyFont="1" applyFill="1" applyBorder="1" applyAlignment="1">
      <alignment vertical="top"/>
    </xf>
    <xf numFmtId="0" fontId="11" fillId="0" borderId="21" xfId="0" applyFont="1" applyFill="1" applyBorder="1" applyAlignment="1">
      <alignment vertical="top"/>
    </xf>
    <xf numFmtId="0" fontId="12" fillId="0" borderId="0" xfId="0" applyFont="1" applyFill="1" applyBorder="1" applyAlignment="1">
      <alignment horizontal="center" vertical="top"/>
    </xf>
    <xf numFmtId="6" fontId="3" fillId="0" borderId="25" xfId="0" applyNumberFormat="1" applyFont="1" applyFill="1" applyBorder="1" applyAlignment="1">
      <alignment horizontal="center" vertical="top" wrapText="1"/>
    </xf>
    <xf numFmtId="0" fontId="3" fillId="0" borderId="25" xfId="0" applyNumberFormat="1" applyFont="1" applyFill="1" applyBorder="1" applyAlignment="1">
      <alignment horizontal="center" vertical="top" wrapText="1"/>
    </xf>
    <xf numFmtId="0" fontId="8" fillId="0" borderId="26" xfId="0" applyFont="1" applyFill="1" applyBorder="1" applyAlignment="1">
      <alignment horizontal="center" vertical="top"/>
    </xf>
    <xf numFmtId="0" fontId="8" fillId="0" borderId="27" xfId="0" applyFont="1" applyFill="1" applyBorder="1" applyAlignment="1">
      <alignment horizontal="center" vertical="top"/>
    </xf>
    <xf numFmtId="0" fontId="8" fillId="0" borderId="28" xfId="0" applyFont="1" applyFill="1" applyBorder="1" applyAlignment="1">
      <alignment horizontal="center" vertical="top"/>
    </xf>
    <xf numFmtId="0" fontId="14" fillId="0" borderId="0" xfId="0" applyFont="1"/>
    <xf numFmtId="0" fontId="13" fillId="0" borderId="0" xfId="0" applyFont="1" applyAlignment="1">
      <alignment vertical="top"/>
    </xf>
    <xf numFmtId="0" fontId="13" fillId="0" borderId="0" xfId="0" applyFont="1" applyAlignment="1">
      <alignment vertical="top" wrapText="1"/>
    </xf>
    <xf numFmtId="0" fontId="8" fillId="0" borderId="19" xfId="0" applyFont="1" applyFill="1" applyBorder="1" applyAlignment="1">
      <alignment horizontal="center"/>
    </xf>
    <xf numFmtId="0" fontId="8" fillId="0" borderId="0" xfId="0" applyFont="1" applyFill="1" applyBorder="1" applyAlignment="1">
      <alignment horizontal="center"/>
    </xf>
    <xf numFmtId="0" fontId="8" fillId="0" borderId="20" xfId="0" applyFont="1" applyFill="1" applyBorder="1" applyAlignment="1">
      <alignment horizontal="center"/>
    </xf>
    <xf numFmtId="0" fontId="8" fillId="0" borderId="29" xfId="0" applyFont="1" applyFill="1" applyBorder="1" applyAlignment="1">
      <alignment horizontal="center"/>
    </xf>
    <xf numFmtId="0" fontId="8" fillId="0" borderId="30" xfId="0" applyFont="1" applyFill="1" applyBorder="1" applyAlignment="1">
      <alignment horizontal="center"/>
    </xf>
    <xf numFmtId="0" fontId="8" fillId="0" borderId="31" xfId="0" applyFont="1" applyFill="1" applyBorder="1" applyAlignment="1">
      <alignment horizontal="center"/>
    </xf>
    <xf numFmtId="0" fontId="6" fillId="3" borderId="32" xfId="0" applyFont="1" applyFill="1" applyBorder="1" applyAlignment="1">
      <alignment horizontal="center"/>
    </xf>
    <xf numFmtId="0" fontId="5" fillId="0" borderId="33" xfId="0" applyFont="1" applyFill="1" applyBorder="1" applyAlignment="1">
      <alignment horizontal="center" wrapText="1"/>
    </xf>
    <xf numFmtId="0" fontId="5" fillId="0" borderId="34" xfId="0" applyFont="1" applyFill="1" applyBorder="1" applyAlignment="1">
      <alignment horizontal="center" wrapText="1"/>
    </xf>
    <xf numFmtId="0" fontId="3" fillId="0" borderId="24" xfId="0" applyFont="1" applyFill="1" applyBorder="1" applyAlignment="1">
      <alignment horizontal="center" vertical="top" wrapText="1"/>
    </xf>
    <xf numFmtId="0" fontId="10" fillId="0" borderId="24" xfId="0" applyFont="1" applyFill="1" applyBorder="1" applyAlignment="1">
      <alignment horizontal="center" vertical="top" wrapText="1"/>
    </xf>
    <xf numFmtId="0" fontId="3" fillId="0" borderId="25" xfId="0" quotePrefix="1" applyFont="1" applyFill="1" applyBorder="1" applyAlignment="1">
      <alignment horizontal="center" vertical="top" wrapText="1"/>
    </xf>
    <xf numFmtId="0" fontId="3" fillId="0" borderId="35" xfId="0" applyFont="1" applyFill="1" applyBorder="1" applyAlignment="1">
      <alignment vertical="top"/>
    </xf>
    <xf numFmtId="0" fontId="3" fillId="4" borderId="25" xfId="0" applyFont="1" applyFill="1" applyBorder="1" applyAlignment="1">
      <alignment horizontal="center" vertical="top" wrapText="1"/>
    </xf>
    <xf numFmtId="0" fontId="5" fillId="0" borderId="17" xfId="0" applyFont="1" applyFill="1" applyBorder="1" applyAlignment="1">
      <alignment vertical="top"/>
    </xf>
    <xf numFmtId="0" fontId="3" fillId="4" borderId="17" xfId="0" applyFont="1" applyFill="1" applyBorder="1" applyAlignment="1">
      <alignment horizontal="center" vertical="top" wrapText="1"/>
    </xf>
    <xf numFmtId="0" fontId="15" fillId="0" borderId="21" xfId="0" applyFont="1" applyFill="1" applyBorder="1" applyAlignment="1">
      <alignment vertical="top" wrapText="1"/>
    </xf>
    <xf numFmtId="0" fontId="5"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6" fillId="0" borderId="0" xfId="0" applyFont="1" applyFill="1" applyBorder="1" applyAlignment="1">
      <alignment horizontal="center"/>
    </xf>
    <xf numFmtId="0" fontId="5" fillId="0" borderId="0" xfId="0" applyFont="1" applyFill="1" applyBorder="1" applyAlignment="1">
      <alignment horizontal="center"/>
    </xf>
    <xf numFmtId="0" fontId="8"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5" fillId="0" borderId="21" xfId="0" applyFont="1" applyFill="1" applyBorder="1" applyAlignment="1">
      <alignment vertical="top"/>
    </xf>
    <xf numFmtId="0" fontId="8" fillId="0" borderId="50" xfId="0" applyFont="1" applyFill="1" applyBorder="1" applyAlignment="1">
      <alignment horizontal="center" textRotation="90"/>
    </xf>
    <xf numFmtId="0" fontId="6" fillId="0" borderId="0" xfId="2"/>
    <xf numFmtId="0" fontId="6" fillId="3" borderId="32" xfId="2" applyFont="1" applyFill="1" applyBorder="1" applyAlignment="1">
      <alignment horizontal="center"/>
    </xf>
    <xf numFmtId="0" fontId="3" fillId="0" borderId="0" xfId="2" applyFont="1" applyFill="1" applyBorder="1" applyAlignment="1">
      <alignment horizontal="center" wrapText="1"/>
    </xf>
    <xf numFmtId="0" fontId="3" fillId="0" borderId="0" xfId="2" applyFont="1" applyAlignment="1">
      <alignment wrapText="1"/>
    </xf>
    <xf numFmtId="0" fontId="6" fillId="0" borderId="0" xfId="2" applyFont="1" applyAlignment="1"/>
    <xf numFmtId="0" fontId="6" fillId="0" borderId="0" xfId="2" applyFont="1" applyAlignment="1">
      <alignment horizontal="center" wrapText="1"/>
    </xf>
    <xf numFmtId="0" fontId="6" fillId="0" borderId="0" xfId="2" applyFont="1" applyAlignment="1">
      <alignment horizontal="center"/>
    </xf>
    <xf numFmtId="0" fontId="6"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5" fillId="0" borderId="23" xfId="2" applyFont="1" applyBorder="1" applyAlignment="1">
      <alignment wrapText="1"/>
    </xf>
    <xf numFmtId="0" fontId="5" fillId="0" borderId="54" xfId="2" applyFont="1" applyBorder="1" applyAlignment="1">
      <alignment wrapText="1"/>
    </xf>
    <xf numFmtId="0" fontId="5" fillId="0" borderId="54" xfId="2" applyFont="1" applyBorder="1" applyAlignment="1">
      <alignment horizontal="center" wrapText="1"/>
    </xf>
    <xf numFmtId="0" fontId="5" fillId="0" borderId="51" xfId="2" applyFont="1" applyBorder="1" applyAlignment="1">
      <alignment horizontal="center" wrapText="1"/>
    </xf>
    <xf numFmtId="0" fontId="5" fillId="0" borderId="54" xfId="2" applyFont="1" applyBorder="1" applyAlignment="1">
      <alignment horizontal="center" vertical="top" wrapText="1"/>
    </xf>
    <xf numFmtId="0" fontId="5" fillId="0" borderId="54" xfId="2" applyNumberFormat="1" applyFont="1" applyBorder="1" applyAlignment="1">
      <alignment horizontal="center" wrapText="1"/>
    </xf>
    <xf numFmtId="0" fontId="3" fillId="0" borderId="55" xfId="2" applyFont="1" applyBorder="1"/>
    <xf numFmtId="0" fontId="3" fillId="0" borderId="56" xfId="2" applyFont="1" applyBorder="1"/>
    <xf numFmtId="0" fontId="3" fillId="0" borderId="55" xfId="2" applyFont="1" applyBorder="1" applyAlignment="1">
      <alignment horizontal="center"/>
    </xf>
    <xf numFmtId="0" fontId="3" fillId="0" borderId="56" xfId="2" applyFont="1" applyBorder="1" applyAlignment="1">
      <alignment horizontal="center"/>
    </xf>
    <xf numFmtId="0" fontId="6" fillId="0" borderId="0" xfId="2" applyFill="1" applyBorder="1"/>
    <xf numFmtId="0" fontId="9" fillId="0" borderId="0" xfId="2" applyFont="1" applyFill="1" applyBorder="1" applyAlignment="1">
      <alignment wrapText="1"/>
    </xf>
    <xf numFmtId="0" fontId="3" fillId="0" borderId="0" xfId="2" applyFont="1" applyFill="1" applyBorder="1" applyAlignment="1">
      <alignment vertical="top" wrapText="1"/>
    </xf>
    <xf numFmtId="0" fontId="3" fillId="0" borderId="0" xfId="2" applyFont="1" applyFill="1" applyBorder="1" applyAlignment="1">
      <alignment wrapText="1"/>
    </xf>
    <xf numFmtId="0" fontId="3" fillId="0" borderId="0" xfId="2" applyFont="1" applyFill="1" applyBorder="1" applyAlignment="1">
      <alignment horizontal="center"/>
    </xf>
    <xf numFmtId="0" fontId="6" fillId="0" borderId="0" xfId="2" applyFont="1" applyFill="1" applyBorder="1" applyAlignment="1"/>
    <xf numFmtId="0" fontId="6" fillId="0" borderId="0" xfId="2" applyFont="1" applyFill="1" applyBorder="1" applyAlignment="1">
      <alignment horizontal="center" wrapText="1"/>
    </xf>
    <xf numFmtId="0" fontId="6" fillId="0" borderId="0" xfId="2" applyFont="1" applyFill="1" applyBorder="1" applyAlignment="1">
      <alignment horizontal="center"/>
    </xf>
    <xf numFmtId="0" fontId="6" fillId="0" borderId="0" xfId="2" applyNumberFormat="1" applyFont="1" applyFill="1" applyBorder="1" applyAlignment="1">
      <alignment horizontal="center"/>
    </xf>
    <xf numFmtId="0" fontId="3" fillId="0" borderId="0" xfId="2" applyFont="1" applyBorder="1" applyAlignment="1">
      <alignment wrapText="1"/>
    </xf>
    <xf numFmtId="0" fontId="6" fillId="0" borderId="37" xfId="0" applyFont="1" applyFill="1" applyBorder="1" applyAlignment="1">
      <alignment horizontal="right" vertical="top"/>
    </xf>
    <xf numFmtId="0" fontId="6" fillId="0" borderId="30" xfId="0" applyFont="1" applyBorder="1" applyAlignment="1" applyProtection="1">
      <alignment horizontal="left" vertical="center"/>
      <protection locked="0"/>
    </xf>
    <xf numFmtId="0" fontId="16"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6" fillId="11" borderId="0" xfId="0" applyFont="1" applyFill="1"/>
    <xf numFmtId="0" fontId="6" fillId="11" borderId="0" xfId="0" applyFont="1" applyFill="1" applyAlignment="1">
      <alignment vertical="top"/>
    </xf>
    <xf numFmtId="0" fontId="18" fillId="0" borderId="53" xfId="2" applyFont="1" applyFill="1" applyBorder="1" applyAlignment="1">
      <alignment horizontal="center" vertical="center"/>
    </xf>
    <xf numFmtId="0" fontId="3" fillId="0" borderId="53" xfId="2" applyFont="1" applyFill="1" applyBorder="1" applyAlignment="1">
      <alignment horizontal="center" vertical="center"/>
    </xf>
    <xf numFmtId="0" fontId="8" fillId="12" borderId="45" xfId="0" applyFont="1" applyFill="1" applyBorder="1" applyAlignment="1">
      <alignment horizontal="center" textRotation="90"/>
    </xf>
    <xf numFmtId="0" fontId="6" fillId="0" borderId="2" xfId="0" applyFont="1" applyBorder="1" applyAlignment="1">
      <alignment wrapText="1"/>
    </xf>
    <xf numFmtId="0" fontId="6" fillId="0" borderId="2" xfId="0" applyFont="1" applyBorder="1" applyAlignment="1">
      <alignment horizontal="left"/>
    </xf>
    <xf numFmtId="0" fontId="18" fillId="0" borderId="53" xfId="2" applyFont="1" applyFill="1" applyBorder="1" applyAlignment="1" applyProtection="1">
      <alignment horizontal="center"/>
      <protection locked="0"/>
    </xf>
    <xf numFmtId="0" fontId="18" fillId="0" borderId="53" xfId="2" applyFont="1" applyFill="1" applyBorder="1" applyAlignment="1">
      <alignment horizontal="center"/>
    </xf>
    <xf numFmtId="0" fontId="3" fillId="0" borderId="18" xfId="2" applyFont="1" applyFill="1" applyBorder="1" applyAlignment="1" applyProtection="1">
      <alignment wrapText="1"/>
      <protection locked="0"/>
    </xf>
    <xf numFmtId="0" fontId="3" fillId="0" borderId="18" xfId="2" applyFont="1" applyFill="1" applyBorder="1" applyAlignment="1" applyProtection="1">
      <alignment horizontal="center" wrapText="1"/>
      <protection locked="0"/>
    </xf>
    <xf numFmtId="0" fontId="3" fillId="0" borderId="24" xfId="2" applyFont="1" applyFill="1" applyBorder="1" applyAlignment="1" applyProtection="1">
      <alignment horizontal="center" wrapText="1"/>
      <protection locked="0"/>
    </xf>
    <xf numFmtId="0" fontId="3" fillId="0" borderId="25" xfId="2" applyFont="1" applyFill="1" applyBorder="1" applyAlignment="1" applyProtection="1">
      <alignment horizontal="center" wrapText="1"/>
      <protection locked="0"/>
    </xf>
    <xf numFmtId="0" fontId="3" fillId="0" borderId="53" xfId="2" applyFont="1" applyFill="1" applyBorder="1" applyAlignment="1" applyProtection="1">
      <alignment horizontal="center"/>
      <protection locked="0"/>
    </xf>
    <xf numFmtId="0" fontId="6" fillId="0" borderId="0" xfId="2" applyFont="1" applyFill="1" applyAlignment="1" applyProtection="1">
      <alignment horizontal="left"/>
      <protection locked="0"/>
    </xf>
    <xf numFmtId="0" fontId="6" fillId="0" borderId="0" xfId="2" applyFill="1" applyProtection="1">
      <protection locked="0"/>
    </xf>
    <xf numFmtId="15" fontId="0" fillId="0" borderId="2" xfId="0" applyNumberFormat="1" applyFill="1" applyBorder="1" applyAlignment="1">
      <alignment horizontal="center"/>
    </xf>
    <xf numFmtId="0" fontId="6" fillId="0" borderId="2" xfId="0" applyFont="1" applyFill="1" applyBorder="1" applyAlignment="1">
      <alignment wrapText="1"/>
    </xf>
    <xf numFmtId="0" fontId="5" fillId="0" borderId="11" xfId="2" applyFont="1" applyFill="1" applyBorder="1" applyAlignment="1">
      <alignment wrapText="1"/>
    </xf>
    <xf numFmtId="0" fontId="5" fillId="0" borderId="27" xfId="2" applyFont="1" applyFill="1" applyBorder="1" applyAlignment="1">
      <alignment wrapText="1"/>
    </xf>
    <xf numFmtId="0" fontId="5" fillId="0" borderId="12" xfId="2" applyFont="1" applyFill="1" applyBorder="1" applyAlignment="1">
      <alignment wrapText="1"/>
    </xf>
    <xf numFmtId="0" fontId="5" fillId="0" borderId="12" xfId="2" applyFont="1" applyFill="1" applyBorder="1" applyAlignment="1">
      <alignment horizontal="center" wrapText="1"/>
    </xf>
    <xf numFmtId="0" fontId="5" fillId="0" borderId="34" xfId="2" applyFont="1" applyFill="1" applyBorder="1" applyAlignment="1">
      <alignment horizontal="center" wrapText="1"/>
    </xf>
    <xf numFmtId="0" fontId="5" fillId="0" borderId="0" xfId="2" applyFont="1" applyFill="1" applyBorder="1" applyAlignment="1">
      <alignment horizontal="center" wrapText="1"/>
    </xf>
    <xf numFmtId="0" fontId="5" fillId="0" borderId="12" xfId="2" applyFont="1" applyFill="1" applyBorder="1" applyAlignment="1">
      <alignment horizontal="center" vertical="top" wrapText="1"/>
    </xf>
    <xf numFmtId="0" fontId="5" fillId="0" borderId="20" xfId="2" applyFont="1" applyFill="1" applyBorder="1" applyAlignment="1">
      <alignment horizontal="center" wrapText="1"/>
    </xf>
    <xf numFmtId="0" fontId="5" fillId="0" borderId="14" xfId="2" applyFont="1" applyFill="1" applyBorder="1" applyAlignment="1">
      <alignment horizontal="center" wrapText="1"/>
    </xf>
    <xf numFmtId="0" fontId="5" fillId="0" borderId="30" xfId="2" applyFont="1" applyFill="1" applyBorder="1" applyAlignment="1">
      <alignment horizontal="center" wrapText="1"/>
    </xf>
    <xf numFmtId="0" fontId="5" fillId="0" borderId="15" xfId="2" applyFont="1" applyFill="1" applyBorder="1" applyAlignment="1">
      <alignment horizontal="center" wrapText="1"/>
    </xf>
    <xf numFmtId="0" fontId="5" fillId="0" borderId="33" xfId="2" applyFont="1" applyFill="1" applyBorder="1" applyAlignment="1">
      <alignment horizontal="center" wrapText="1"/>
    </xf>
    <xf numFmtId="0" fontId="5" fillId="0" borderId="57" xfId="2" applyFont="1" applyFill="1" applyBorder="1" applyAlignment="1">
      <alignment horizontal="center" wrapText="1"/>
    </xf>
    <xf numFmtId="0" fontId="5" fillId="0" borderId="58" xfId="2" applyNumberFormat="1" applyFont="1" applyFill="1" applyBorder="1" applyAlignment="1">
      <alignment horizontal="center" wrapText="1"/>
    </xf>
    <xf numFmtId="0" fontId="5" fillId="0" borderId="31" xfId="2" applyFont="1" applyFill="1" applyBorder="1" applyAlignment="1">
      <alignment horizontal="center" wrapText="1"/>
    </xf>
    <xf numFmtId="0" fontId="9" fillId="0" borderId="1" xfId="2" applyFont="1" applyFill="1" applyBorder="1" applyAlignment="1">
      <alignment horizontal="left"/>
    </xf>
    <xf numFmtId="0" fontId="3" fillId="0" borderId="1" xfId="2" applyFont="1" applyFill="1" applyBorder="1" applyAlignment="1">
      <alignment wrapText="1"/>
    </xf>
    <xf numFmtId="0" fontId="3" fillId="0" borderId="1" xfId="2" applyFont="1" applyFill="1" applyBorder="1" applyAlignment="1">
      <alignment horizontal="center" wrapText="1"/>
    </xf>
    <xf numFmtId="0" fontId="3" fillId="0" borderId="1" xfId="2" applyFont="1" applyFill="1" applyBorder="1" applyAlignment="1">
      <alignment horizontal="center"/>
    </xf>
    <xf numFmtId="0" fontId="3" fillId="0" borderId="1" xfId="2" applyNumberFormat="1" applyFont="1" applyFill="1" applyBorder="1" applyAlignment="1">
      <alignment horizontal="center"/>
    </xf>
    <xf numFmtId="0" fontId="18" fillId="0" borderId="59" xfId="2" applyFont="1" applyFill="1" applyBorder="1" applyAlignment="1">
      <alignment vertical="top" wrapText="1"/>
    </xf>
    <xf numFmtId="0" fontId="19" fillId="0" borderId="24" xfId="2" applyFont="1" applyFill="1" applyBorder="1" applyAlignment="1">
      <alignment horizontal="left" vertical="top" wrapText="1"/>
    </xf>
    <xf numFmtId="0" fontId="18" fillId="0" borderId="18" xfId="2" applyFont="1" applyFill="1" applyBorder="1" applyAlignment="1" applyProtection="1">
      <alignment horizontal="left" vertical="top" wrapText="1"/>
      <protection locked="0"/>
    </xf>
    <xf numFmtId="0" fontId="18" fillId="0" borderId="18" xfId="2" applyFont="1" applyFill="1" applyBorder="1" applyAlignment="1" applyProtection="1">
      <alignment horizontal="center" wrapText="1"/>
      <protection locked="0"/>
    </xf>
    <xf numFmtId="0" fontId="18" fillId="0" borderId="24" xfId="2" applyFont="1" applyFill="1" applyBorder="1" applyAlignment="1" applyProtection="1">
      <alignment horizontal="center" wrapText="1"/>
      <protection locked="0"/>
    </xf>
    <xf numFmtId="0" fontId="18" fillId="0" borderId="35" xfId="2" applyFont="1" applyFill="1" applyBorder="1" applyAlignment="1" applyProtection="1">
      <alignment horizontal="center" wrapText="1"/>
      <protection locked="0"/>
    </xf>
    <xf numFmtId="11" fontId="18" fillId="0" borderId="53" xfId="2" applyNumberFormat="1" applyFont="1" applyFill="1" applyBorder="1" applyAlignment="1" applyProtection="1">
      <alignment horizontal="center"/>
      <protection locked="0"/>
    </xf>
    <xf numFmtId="0" fontId="3" fillId="0" borderId="53" xfId="2" applyFont="1" applyFill="1" applyBorder="1" applyAlignment="1">
      <alignment horizontal="center"/>
    </xf>
    <xf numFmtId="0" fontId="18" fillId="0" borderId="53" xfId="2" applyFont="1" applyFill="1" applyBorder="1" applyAlignment="1" applyProtection="1">
      <alignment horizontal="center" vertical="center"/>
      <protection locked="0"/>
    </xf>
    <xf numFmtId="0" fontId="18" fillId="0" borderId="53" xfId="2" applyFont="1" applyFill="1" applyBorder="1" applyAlignment="1">
      <alignment horizontal="center" wrapText="1"/>
    </xf>
    <xf numFmtId="0" fontId="18" fillId="0" borderId="18" xfId="2" quotePrefix="1" applyFont="1" applyFill="1" applyBorder="1" applyAlignment="1" applyProtection="1">
      <alignment horizontal="left" vertical="top" wrapText="1"/>
      <protection locked="0"/>
    </xf>
    <xf numFmtId="0" fontId="3" fillId="0" borderId="18" xfId="2" applyFont="1" applyFill="1" applyBorder="1" applyAlignment="1" applyProtection="1">
      <alignment horizontal="left" vertical="top" wrapText="1"/>
      <protection locked="0"/>
    </xf>
    <xf numFmtId="0" fontId="18" fillId="0" borderId="53" xfId="2" applyFont="1" applyFill="1" applyBorder="1" applyAlignment="1">
      <alignment horizontal="center" vertical="center" wrapText="1"/>
    </xf>
    <xf numFmtId="49" fontId="8" fillId="12" borderId="44" xfId="0" applyNumberFormat="1" applyFont="1" applyFill="1" applyBorder="1" applyAlignment="1">
      <alignment horizontal="center" textRotation="90"/>
    </xf>
    <xf numFmtId="0" fontId="6" fillId="0" borderId="0" xfId="2" applyFont="1" applyFill="1" applyAlignment="1">
      <alignment horizontal="left" vertical="center"/>
    </xf>
    <xf numFmtId="0" fontId="6" fillId="0" borderId="0" xfId="2" applyFill="1"/>
    <xf numFmtId="0" fontId="6" fillId="0" borderId="0" xfId="2" applyFont="1" applyFill="1"/>
    <xf numFmtId="0" fontId="6" fillId="0" borderId="0" xfId="2" applyFont="1" applyFill="1" applyAlignment="1">
      <alignment horizontal="left"/>
    </xf>
    <xf numFmtId="0" fontId="3" fillId="0" borderId="0" xfId="2" applyFont="1" applyFill="1" applyAlignment="1">
      <alignment horizontal="left"/>
    </xf>
    <xf numFmtId="0" fontId="9" fillId="0" borderId="52" xfId="2" applyFont="1" applyFill="1" applyBorder="1" applyAlignment="1">
      <alignment horizontal="left"/>
    </xf>
    <xf numFmtId="0" fontId="3" fillId="0" borderId="3" xfId="2" applyFont="1" applyFill="1" applyBorder="1" applyAlignment="1" applyProtection="1">
      <alignment horizontal="center"/>
      <protection locked="0"/>
    </xf>
    <xf numFmtId="0" fontId="3" fillId="0" borderId="0" xfId="2" applyFont="1" applyFill="1" applyAlignment="1" applyProtection="1">
      <alignment wrapText="1"/>
      <protection locked="0"/>
    </xf>
    <xf numFmtId="0" fontId="6" fillId="0" borderId="0" xfId="2" applyFont="1" applyFill="1" applyAlignment="1" applyProtection="1">
      <protection locked="0"/>
    </xf>
    <xf numFmtId="0" fontId="6" fillId="0" borderId="0" xfId="2" applyFont="1" applyFill="1" applyAlignment="1" applyProtection="1">
      <alignment horizontal="center" wrapText="1"/>
      <protection locked="0"/>
    </xf>
    <xf numFmtId="0" fontId="6" fillId="0" borderId="0" xfId="2" applyFont="1" applyFill="1" applyAlignment="1" applyProtection="1">
      <alignment horizontal="center"/>
      <protection locked="0"/>
    </xf>
    <xf numFmtId="0" fontId="6" fillId="0" borderId="0" xfId="2" applyNumberFormat="1" applyFont="1" applyFill="1" applyAlignment="1" applyProtection="1">
      <alignment horizontal="center"/>
      <protection locked="0"/>
    </xf>
    <xf numFmtId="0" fontId="5" fillId="0" borderId="13" xfId="2" applyFont="1" applyFill="1" applyBorder="1" applyAlignment="1">
      <alignment horizontal="center" wrapText="1"/>
    </xf>
    <xf numFmtId="0" fontId="5" fillId="0" borderId="30" xfId="0" applyFont="1" applyFill="1" applyBorder="1" applyAlignment="1">
      <alignment horizontal="center" wrapText="1"/>
    </xf>
    <xf numFmtId="0" fontId="5" fillId="0" borderId="16" xfId="2" applyFont="1" applyFill="1" applyBorder="1" applyAlignment="1">
      <alignment horizontal="center" wrapText="1"/>
    </xf>
    <xf numFmtId="0" fontId="3" fillId="0" borderId="18" xfId="2" applyFont="1" applyFill="1" applyBorder="1" applyAlignment="1" applyProtection="1">
      <alignment horizontal="left" wrapText="1"/>
      <protection locked="0"/>
    </xf>
    <xf numFmtId="0" fontId="6" fillId="0" borderId="0" xfId="2" applyFont="1" applyFill="1" applyAlignment="1" applyProtection="1">
      <alignment wrapText="1"/>
      <protection locked="0"/>
    </xf>
    <xf numFmtId="0" fontId="6" fillId="0" borderId="32" xfId="2" applyFont="1" applyFill="1" applyBorder="1" applyAlignment="1">
      <alignment horizontal="center"/>
    </xf>
    <xf numFmtId="0" fontId="6" fillId="0" borderId="51" xfId="2" applyFont="1" applyFill="1" applyBorder="1" applyAlignment="1">
      <alignment horizontal="center"/>
    </xf>
    <xf numFmtId="0" fontId="6" fillId="0" borderId="2" xfId="0" applyFont="1" applyBorder="1" applyAlignment="1">
      <alignment horizontal="center"/>
    </xf>
    <xf numFmtId="0" fontId="3" fillId="13" borderId="53" xfId="2" applyFont="1" applyFill="1" applyBorder="1" applyAlignment="1" applyProtection="1">
      <alignment horizontal="center"/>
      <protection locked="0"/>
    </xf>
    <xf numFmtId="0" fontId="3" fillId="13" borderId="35" xfId="2" applyFont="1" applyFill="1" applyBorder="1" applyProtection="1">
      <protection locked="0"/>
    </xf>
    <xf numFmtId="0" fontId="3" fillId="13" borderId="6" xfId="2" applyFont="1" applyFill="1" applyBorder="1" applyAlignment="1" applyProtection="1">
      <alignment horizontal="left" wrapText="1"/>
      <protection locked="0"/>
    </xf>
    <xf numFmtId="0" fontId="3" fillId="13" borderId="6" xfId="2" applyFont="1" applyFill="1" applyBorder="1" applyAlignment="1" applyProtection="1">
      <alignment wrapText="1"/>
      <protection locked="0"/>
    </xf>
    <xf numFmtId="0" fontId="3" fillId="13" borderId="35" xfId="2" applyFont="1" applyFill="1" applyBorder="1" applyAlignment="1" applyProtection="1">
      <alignment horizontal="left"/>
      <protection locked="0"/>
    </xf>
    <xf numFmtId="0" fontId="19" fillId="0" borderId="59" xfId="2" applyFont="1" applyFill="1" applyBorder="1" applyAlignment="1">
      <alignment horizontal="left" vertical="top" wrapText="1"/>
    </xf>
    <xf numFmtId="0" fontId="3" fillId="0" borderId="53" xfId="2" applyFont="1" applyFill="1" applyBorder="1" applyAlignment="1" applyProtection="1">
      <alignment horizontal="center" wrapText="1"/>
      <protection locked="0"/>
    </xf>
    <xf numFmtId="0" fontId="18" fillId="0" borderId="24" xfId="2" applyFont="1" applyFill="1" applyBorder="1" applyAlignment="1">
      <alignment vertical="top" wrapText="1"/>
    </xf>
    <xf numFmtId="0" fontId="3" fillId="13" borderId="3" xfId="2" applyFont="1" applyFill="1" applyBorder="1" applyAlignment="1" applyProtection="1">
      <alignment horizontal="center"/>
      <protection locked="0"/>
    </xf>
    <xf numFmtId="0" fontId="3" fillId="13" borderId="18" xfId="2" applyFont="1" applyFill="1" applyBorder="1" applyAlignment="1" applyProtection="1">
      <alignment wrapText="1"/>
      <protection locked="0"/>
    </xf>
    <xf numFmtId="0" fontId="3" fillId="0" borderId="6" xfId="2" applyFont="1" applyFill="1" applyBorder="1" applyAlignment="1">
      <alignment horizontal="left" wrapText="1"/>
    </xf>
    <xf numFmtId="0" fontId="3" fillId="0" borderId="35" xfId="2" applyFont="1" applyFill="1" applyBorder="1" applyProtection="1">
      <protection locked="0"/>
    </xf>
    <xf numFmtId="0" fontId="3" fillId="0" borderId="6" xfId="2" applyFont="1" applyFill="1" applyBorder="1" applyAlignment="1" applyProtection="1">
      <alignment horizontal="left" wrapText="1"/>
      <protection locked="0"/>
    </xf>
    <xf numFmtId="0" fontId="3" fillId="0" borderId="6" xfId="2" applyFont="1" applyFill="1" applyBorder="1" applyAlignment="1" applyProtection="1">
      <alignment wrapText="1"/>
      <protection locked="0"/>
    </xf>
    <xf numFmtId="0" fontId="3" fillId="0" borderId="35" xfId="2" applyFont="1" applyFill="1" applyBorder="1" applyAlignment="1" applyProtection="1">
      <alignment horizontal="left"/>
      <protection locked="0"/>
    </xf>
    <xf numFmtId="0" fontId="3" fillId="13" borderId="18" xfId="2" applyFont="1" applyFill="1" applyBorder="1" applyAlignment="1" applyProtection="1">
      <alignment horizontal="center" wrapText="1"/>
      <protection locked="0"/>
    </xf>
    <xf numFmtId="0" fontId="3" fillId="13" borderId="24" xfId="2" applyFont="1" applyFill="1" applyBorder="1" applyAlignment="1" applyProtection="1">
      <alignment horizontal="center" wrapText="1"/>
      <protection locked="0"/>
    </xf>
    <xf numFmtId="0" fontId="3" fillId="0" borderId="25" xfId="2" applyFont="1" applyFill="1" applyBorder="1" applyAlignment="1" applyProtection="1">
      <alignment horizontal="center" vertical="top" wrapText="1"/>
      <protection locked="0"/>
    </xf>
    <xf numFmtId="0" fontId="3" fillId="13" borderId="25" xfId="2" applyFont="1" applyFill="1" applyBorder="1" applyAlignment="1" applyProtection="1">
      <alignment horizontal="center" vertical="top" wrapText="1"/>
      <protection locked="0"/>
    </xf>
    <xf numFmtId="0" fontId="18" fillId="13" borderId="18" xfId="2" applyFont="1" applyFill="1" applyBorder="1" applyAlignment="1" applyProtection="1">
      <alignment horizontal="left" vertical="top" wrapText="1"/>
      <protection locked="0"/>
    </xf>
    <xf numFmtId="0" fontId="18" fillId="13" borderId="59" xfId="2" applyFont="1" applyFill="1" applyBorder="1" applyAlignment="1">
      <alignment vertical="top" wrapText="1"/>
    </xf>
    <xf numFmtId="0" fontId="19" fillId="13" borderId="24" xfId="2" applyFont="1" applyFill="1" applyBorder="1" applyAlignment="1">
      <alignment horizontal="left" vertical="top" wrapText="1"/>
    </xf>
    <xf numFmtId="0" fontId="18" fillId="13" borderId="18" xfId="2" applyFont="1" applyFill="1" applyBorder="1" applyAlignment="1" applyProtection="1">
      <alignment horizontal="center" wrapText="1"/>
      <protection locked="0"/>
    </xf>
    <xf numFmtId="0" fontId="18" fillId="13" borderId="24" xfId="2" applyFont="1" applyFill="1" applyBorder="1" applyAlignment="1" applyProtection="1">
      <alignment horizontal="center" wrapText="1"/>
      <protection locked="0"/>
    </xf>
    <xf numFmtId="0" fontId="18" fillId="13" borderId="35" xfId="2" applyFont="1" applyFill="1" applyBorder="1" applyAlignment="1" applyProtection="1">
      <alignment horizontal="center" wrapText="1"/>
      <protection locked="0"/>
    </xf>
    <xf numFmtId="0" fontId="18" fillId="13" borderId="53" xfId="2" applyFont="1" applyFill="1" applyBorder="1" applyAlignment="1">
      <alignment horizontal="center" vertical="center"/>
    </xf>
    <xf numFmtId="0" fontId="18" fillId="13" borderId="53" xfId="2" applyFont="1" applyFill="1" applyBorder="1" applyAlignment="1">
      <alignment horizontal="center"/>
    </xf>
    <xf numFmtId="11" fontId="18" fillId="13" borderId="53" xfId="2" applyNumberFormat="1" applyFont="1" applyFill="1" applyBorder="1" applyAlignment="1" applyProtection="1">
      <alignment horizontal="center"/>
      <protection locked="0"/>
    </xf>
    <xf numFmtId="0" fontId="3" fillId="13" borderId="53" xfId="2" applyFont="1" applyFill="1" applyBorder="1" applyAlignment="1">
      <alignment horizontal="center"/>
    </xf>
    <xf numFmtId="0" fontId="18" fillId="13" borderId="53" xfId="2" applyFont="1" applyFill="1" applyBorder="1" applyAlignment="1" applyProtection="1">
      <alignment horizontal="center"/>
      <protection locked="0"/>
    </xf>
    <xf numFmtId="0" fontId="3" fillId="13" borderId="18" xfId="2" applyFont="1" applyFill="1" applyBorder="1" applyAlignment="1" applyProtection="1">
      <alignment horizontal="left" wrapText="1"/>
      <protection locked="0"/>
    </xf>
    <xf numFmtId="0" fontId="6" fillId="0" borderId="32" xfId="2" applyFont="1" applyFill="1" applyBorder="1" applyAlignment="1">
      <alignment horizontal="center"/>
    </xf>
    <xf numFmtId="15" fontId="6" fillId="0" borderId="2" xfId="0" applyNumberFormat="1" applyFont="1" applyBorder="1" applyAlignment="1">
      <alignment horizontal="center"/>
    </xf>
    <xf numFmtId="0" fontId="18" fillId="0" borderId="61" xfId="2" applyFont="1" applyFill="1" applyBorder="1" applyAlignment="1">
      <alignment vertical="top" wrapText="1"/>
    </xf>
    <xf numFmtId="0" fontId="6" fillId="13" borderId="0" xfId="2" applyFill="1" applyProtection="1">
      <protection locked="0"/>
    </xf>
    <xf numFmtId="0" fontId="3" fillId="0" borderId="39" xfId="2" applyFont="1" applyFill="1" applyBorder="1" applyProtection="1">
      <protection locked="0"/>
    </xf>
    <xf numFmtId="0" fontId="40" fillId="0" borderId="59" xfId="2" applyFont="1" applyFill="1" applyBorder="1" applyAlignment="1">
      <alignment vertical="top" wrapText="1"/>
    </xf>
    <xf numFmtId="0" fontId="40" fillId="0" borderId="24" xfId="2" applyFont="1" applyFill="1" applyBorder="1" applyAlignment="1">
      <alignment horizontal="left" vertical="top" wrapText="1"/>
    </xf>
    <xf numFmtId="0" fontId="40" fillId="0" borderId="18" xfId="2" quotePrefix="1" applyFont="1" applyFill="1" applyBorder="1" applyAlignment="1" applyProtection="1">
      <alignment horizontal="left" vertical="top" wrapText="1"/>
      <protection locked="0"/>
    </xf>
    <xf numFmtId="0" fontId="40" fillId="0" borderId="18" xfId="2" applyFont="1" applyFill="1" applyBorder="1" applyAlignment="1" applyProtection="1">
      <alignment horizontal="center" wrapText="1"/>
      <protection locked="0"/>
    </xf>
    <xf numFmtId="0" fontId="40" fillId="0" borderId="24" xfId="2" applyFont="1" applyFill="1" applyBorder="1" applyAlignment="1" applyProtection="1">
      <alignment horizontal="center" wrapText="1"/>
      <protection locked="0"/>
    </xf>
    <xf numFmtId="0" fontId="40" fillId="0" borderId="35" xfId="2" applyFont="1" applyFill="1" applyBorder="1" applyAlignment="1" applyProtection="1">
      <alignment horizontal="center" wrapText="1"/>
      <protection locked="0"/>
    </xf>
    <xf numFmtId="0" fontId="40" fillId="0" borderId="53" xfId="2" applyFont="1" applyFill="1" applyBorder="1" applyAlignment="1" applyProtection="1">
      <alignment horizontal="center"/>
      <protection locked="0"/>
    </xf>
    <xf numFmtId="0" fontId="41" fillId="0" borderId="25" xfId="2" applyFont="1" applyFill="1" applyBorder="1" applyAlignment="1" applyProtection="1">
      <alignment horizontal="center" wrapText="1"/>
      <protection locked="0"/>
    </xf>
    <xf numFmtId="0" fontId="40" fillId="0" borderId="53" xfId="2" applyFont="1" applyFill="1" applyBorder="1" applyAlignment="1">
      <alignment horizontal="center" vertical="center"/>
    </xf>
    <xf numFmtId="11" fontId="40" fillId="0" borderId="53" xfId="2" applyNumberFormat="1" applyFont="1" applyFill="1" applyBorder="1" applyAlignment="1" applyProtection="1">
      <alignment horizontal="center"/>
      <protection locked="0"/>
    </xf>
    <xf numFmtId="0" fontId="40" fillId="0" borderId="53" xfId="2" applyFont="1" applyFill="1" applyBorder="1" applyAlignment="1">
      <alignment horizontal="center"/>
    </xf>
    <xf numFmtId="0" fontId="41" fillId="0" borderId="53" xfId="2" applyFont="1" applyFill="1" applyBorder="1" applyAlignment="1">
      <alignment horizontal="center"/>
    </xf>
    <xf numFmtId="11" fontId="3" fillId="13" borderId="25" xfId="2" applyNumberFormat="1" applyFont="1" applyFill="1" applyBorder="1" applyAlignment="1" applyProtection="1">
      <alignment horizontal="center" wrapText="1"/>
      <protection locked="0"/>
    </xf>
    <xf numFmtId="0" fontId="18" fillId="13" borderId="61" xfId="2" applyFont="1" applyFill="1" applyBorder="1" applyAlignment="1">
      <alignment vertical="top" wrapText="1"/>
    </xf>
    <xf numFmtId="0" fontId="18" fillId="13" borderId="18" xfId="2" quotePrefix="1" applyFont="1" applyFill="1" applyBorder="1" applyAlignment="1" applyProtection="1">
      <alignment horizontal="left" vertical="top" wrapText="1"/>
      <protection locked="0"/>
    </xf>
    <xf numFmtId="0" fontId="7" fillId="9" borderId="14" xfId="0" applyFont="1" applyFill="1" applyBorder="1" applyAlignment="1" applyProtection="1">
      <alignment horizontal="center" vertical="center" wrapText="1"/>
      <protection locked="0"/>
    </xf>
    <xf numFmtId="0" fontId="7" fillId="9" borderId="30" xfId="0" applyFont="1" applyFill="1" applyBorder="1" applyAlignment="1" applyProtection="1">
      <alignment horizontal="center" vertical="center" wrapText="1"/>
      <protection locked="0"/>
    </xf>
    <xf numFmtId="0" fontId="5" fillId="0" borderId="60" xfId="2" applyFont="1" applyFill="1" applyBorder="1" applyAlignment="1">
      <alignment horizontal="center" wrapText="1"/>
    </xf>
    <xf numFmtId="0" fontId="5" fillId="0" borderId="61" xfId="2" applyFont="1" applyFill="1" applyBorder="1" applyAlignment="1">
      <alignment horizontal="center" wrapText="1"/>
    </xf>
    <xf numFmtId="0" fontId="4" fillId="0" borderId="62" xfId="2" applyFont="1" applyFill="1" applyBorder="1" applyAlignment="1">
      <alignment horizontal="center" wrapText="1"/>
    </xf>
    <xf numFmtId="0" fontId="4" fillId="0" borderId="32" xfId="2" applyFont="1" applyFill="1" applyBorder="1" applyAlignment="1">
      <alignment horizontal="center" wrapText="1"/>
    </xf>
    <xf numFmtId="0" fontId="4" fillId="0" borderId="51" xfId="2" applyFont="1" applyFill="1" applyBorder="1" applyAlignment="1">
      <alignment horizontal="center" wrapText="1"/>
    </xf>
    <xf numFmtId="0" fontId="7" fillId="0" borderId="37" xfId="2" applyFont="1" applyFill="1" applyBorder="1" applyAlignment="1">
      <alignment horizontal="center" vertical="center" wrapText="1"/>
    </xf>
    <xf numFmtId="0" fontId="7" fillId="0" borderId="0" xfId="2" applyFont="1" applyFill="1" applyBorder="1" applyAlignment="1">
      <alignment horizontal="center" vertical="center" wrapText="1"/>
    </xf>
    <xf numFmtId="0" fontId="6" fillId="0" borderId="32" xfId="2" applyFont="1" applyFill="1" applyBorder="1" applyAlignment="1">
      <alignment horizontal="center"/>
    </xf>
    <xf numFmtId="0" fontId="4" fillId="0" borderId="23" xfId="2" applyFont="1" applyFill="1" applyBorder="1" applyAlignment="1">
      <alignment horizontal="center"/>
    </xf>
    <xf numFmtId="0" fontId="6" fillId="0" borderId="51" xfId="2" applyFont="1" applyFill="1" applyBorder="1" applyAlignment="1">
      <alignment horizontal="center"/>
    </xf>
    <xf numFmtId="0" fontId="7" fillId="9" borderId="14" xfId="0" applyFont="1" applyFill="1" applyBorder="1" applyAlignment="1">
      <alignment horizontal="center" vertical="center"/>
    </xf>
    <xf numFmtId="0" fontId="7" fillId="9" borderId="30" xfId="0" applyFont="1" applyFill="1" applyBorder="1" applyAlignment="1">
      <alignment horizontal="center" vertical="center"/>
    </xf>
    <xf numFmtId="0" fontId="4" fillId="3" borderId="62" xfId="0" applyFont="1" applyFill="1" applyBorder="1" applyAlignment="1">
      <alignment horizontal="center" wrapText="1"/>
    </xf>
    <xf numFmtId="0" fontId="6" fillId="3" borderId="32" xfId="0" applyFont="1" applyFill="1" applyBorder="1" applyAlignment="1">
      <alignment horizontal="center"/>
    </xf>
    <xf numFmtId="0" fontId="4" fillId="3" borderId="23" xfId="0" applyFont="1" applyFill="1" applyBorder="1" applyAlignment="1">
      <alignment horizontal="center"/>
    </xf>
    <xf numFmtId="0" fontId="8" fillId="3" borderId="32" xfId="0" applyFont="1" applyFill="1" applyBorder="1" applyAlignment="1">
      <alignment horizontal="center"/>
    </xf>
    <xf numFmtId="0" fontId="8" fillId="3" borderId="51" xfId="0" applyFont="1" applyFill="1" applyBorder="1" applyAlignment="1">
      <alignment horizontal="center"/>
    </xf>
    <xf numFmtId="0" fontId="5" fillId="5" borderId="23" xfId="0" applyFont="1" applyFill="1" applyBorder="1" applyAlignment="1">
      <alignment horizontal="center"/>
    </xf>
    <xf numFmtId="0" fontId="8" fillId="5" borderId="32" xfId="0" applyFont="1" applyFill="1" applyBorder="1" applyAlignment="1">
      <alignment horizontal="center"/>
    </xf>
    <xf numFmtId="0" fontId="8" fillId="5" borderId="51" xfId="0" applyFont="1" applyFill="1" applyBorder="1" applyAlignment="1">
      <alignment horizontal="center"/>
    </xf>
    <xf numFmtId="0" fontId="5" fillId="7" borderId="23" xfId="0" applyFont="1" applyFill="1" applyBorder="1" applyAlignment="1">
      <alignment horizontal="center"/>
    </xf>
    <xf numFmtId="0" fontId="8" fillId="7" borderId="32" xfId="0" applyFont="1" applyFill="1" applyBorder="1" applyAlignment="1">
      <alignment horizontal="center"/>
    </xf>
    <xf numFmtId="0" fontId="8" fillId="7" borderId="51" xfId="0" applyFont="1" applyFill="1" applyBorder="1" applyAlignment="1">
      <alignment horizontal="center"/>
    </xf>
    <xf numFmtId="0" fontId="5" fillId="10" borderId="23" xfId="0" applyFont="1" applyFill="1" applyBorder="1" applyAlignment="1">
      <alignment horizontal="center"/>
    </xf>
    <xf numFmtId="0" fontId="8" fillId="10" borderId="32" xfId="0" applyFont="1" applyFill="1" applyBorder="1" applyAlignment="1">
      <alignment horizontal="center"/>
    </xf>
    <xf numFmtId="0" fontId="8" fillId="10" borderId="51" xfId="0" applyFont="1" applyFill="1" applyBorder="1" applyAlignment="1">
      <alignment horizontal="center"/>
    </xf>
    <xf numFmtId="0" fontId="5" fillId="8" borderId="23" xfId="0" applyFont="1" applyFill="1" applyBorder="1" applyAlignment="1">
      <alignment horizontal="center"/>
    </xf>
    <xf numFmtId="0" fontId="8" fillId="8" borderId="32" xfId="0" applyFont="1" applyFill="1" applyBorder="1" applyAlignment="1">
      <alignment horizontal="center"/>
    </xf>
    <xf numFmtId="0" fontId="8" fillId="8" borderId="51" xfId="0" applyFont="1" applyFill="1" applyBorder="1" applyAlignment="1">
      <alignment horizontal="center"/>
    </xf>
    <xf numFmtId="0" fontId="7" fillId="9" borderId="29" xfId="2" applyFont="1" applyFill="1" applyBorder="1" applyAlignment="1">
      <alignment horizontal="center" vertical="center" wrapText="1"/>
    </xf>
    <xf numFmtId="0" fontId="7" fillId="9" borderId="30" xfId="2" applyFont="1" applyFill="1" applyBorder="1" applyAlignment="1">
      <alignment horizontal="center" vertical="center" wrapText="1"/>
    </xf>
    <xf numFmtId="0" fontId="4" fillId="3" borderId="23" xfId="2" applyFont="1" applyFill="1" applyBorder="1" applyAlignment="1">
      <alignment horizontal="center" wrapText="1"/>
    </xf>
    <xf numFmtId="0" fontId="4" fillId="3" borderId="32" xfId="2" applyFont="1" applyFill="1" applyBorder="1" applyAlignment="1">
      <alignment horizontal="center" wrapText="1"/>
    </xf>
    <xf numFmtId="0" fontId="6" fillId="3" borderId="32" xfId="2" applyFont="1" applyFill="1" applyBorder="1" applyAlignment="1">
      <alignment horizontal="center"/>
    </xf>
    <xf numFmtId="0" fontId="4" fillId="3" borderId="23" xfId="2" applyFont="1" applyFill="1" applyBorder="1" applyAlignment="1">
      <alignment horizontal="center"/>
    </xf>
    <xf numFmtId="0" fontId="6" fillId="0" borderId="32" xfId="2" applyBorder="1"/>
    <xf numFmtId="0" fontId="6" fillId="0" borderId="51" xfId="2" applyBorder="1"/>
    <xf numFmtId="0" fontId="5" fillId="0" borderId="23" xfId="2" applyFont="1" applyBorder="1" applyAlignment="1">
      <alignment horizontal="center" wrapText="1"/>
    </xf>
    <xf numFmtId="0" fontId="5" fillId="0" borderId="32" xfId="2" applyFont="1" applyBorder="1" applyAlignment="1">
      <alignment horizontal="center" wrapText="1"/>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0" fillId="0" borderId="0" xfId="0" applyFill="1" applyBorder="1" applyAlignment="1" applyProtection="1">
      <alignment vertical="top"/>
      <protection locked="0"/>
    </xf>
    <xf numFmtId="0" fontId="6"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cellXfs>
  <cellStyles count="59">
    <cellStyle name="20% - Accent1" xfId="20" builtinId="30" customBuiltin="1"/>
    <cellStyle name="20% - Accent1 2" xfId="47"/>
    <cellStyle name="20% - Accent2" xfId="24" builtinId="34" customBuiltin="1"/>
    <cellStyle name="20% - Accent2 2" xfId="49"/>
    <cellStyle name="20% - Accent3" xfId="28" builtinId="38" customBuiltin="1"/>
    <cellStyle name="20% - Accent3 2" xfId="51"/>
    <cellStyle name="20% - Accent4" xfId="32" builtinId="42" customBuiltin="1"/>
    <cellStyle name="20% - Accent4 2" xfId="53"/>
    <cellStyle name="20% - Accent5" xfId="36" builtinId="46" customBuiltin="1"/>
    <cellStyle name="20% - Accent5 2" xfId="55"/>
    <cellStyle name="20% - Accent6" xfId="40" builtinId="50" customBuiltin="1"/>
    <cellStyle name="20% - Accent6 2" xfId="57"/>
    <cellStyle name="40% - Accent1" xfId="21" builtinId="31" customBuiltin="1"/>
    <cellStyle name="40% - Accent1 2" xfId="48"/>
    <cellStyle name="40% - Accent2" xfId="25" builtinId="35" customBuiltin="1"/>
    <cellStyle name="40% - Accent2 2" xfId="50"/>
    <cellStyle name="40% - Accent3" xfId="29" builtinId="39" customBuiltin="1"/>
    <cellStyle name="40% - Accent3 2" xfId="52"/>
    <cellStyle name="40% - Accent4" xfId="33" builtinId="43" customBuiltin="1"/>
    <cellStyle name="40% - Accent4 2" xfId="54"/>
    <cellStyle name="40% - Accent5" xfId="37" builtinId="47" customBuiltin="1"/>
    <cellStyle name="40% - Accent5 2" xfId="56"/>
    <cellStyle name="40% - Accent6" xfId="41" builtinId="51" customBuiltin="1"/>
    <cellStyle name="40% - Accent6 2" xfId="58"/>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9" builtinId="27" customBuiltin="1"/>
    <cellStyle name="Calculation" xfId="13" builtinId="22" customBuiltin="1"/>
    <cellStyle name="Check Cell" xfId="15" builtinId="23" customBuiltin="1"/>
    <cellStyle name="Explanatory Text" xfId="17" builtinId="53" customBuiltin="1"/>
    <cellStyle name="Good" xfId="8" builtinId="26" customBuiltin="1"/>
    <cellStyle name="Heading" xfId="1"/>
    <cellStyle name="Heading 1" xfId="4" builtinId="16" customBuiltin="1"/>
    <cellStyle name="Heading 2" xfId="5" builtinId="17" customBuiltin="1"/>
    <cellStyle name="Heading 3" xfId="6" builtinId="18" customBuiltin="1"/>
    <cellStyle name="Heading 4" xfId="7" builtinId="19" customBuiltin="1"/>
    <cellStyle name="Input" xfId="11" builtinId="20" customBuiltin="1"/>
    <cellStyle name="Linked Cell" xfId="14" builtinId="24" customBuiltin="1"/>
    <cellStyle name="Neutral" xfId="10" builtinId="28" customBuiltin="1"/>
    <cellStyle name="Normal" xfId="0" builtinId="0"/>
    <cellStyle name="Normal 2" xfId="2"/>
    <cellStyle name="Normal 3" xfId="43"/>
    <cellStyle name="Normal 4" xfId="45"/>
    <cellStyle name="Note 2" xfId="44"/>
    <cellStyle name="Note 3" xfId="46"/>
    <cellStyle name="Output" xfId="12" builtinId="21" customBuiltin="1"/>
    <cellStyle name="Title" xfId="3" builtinId="15" customBuiltin="1"/>
    <cellStyle name="Total" xfId="18" builtinId="25" customBuiltin="1"/>
    <cellStyle name="Warning Text" xfId="16" builtinId="11" customBuiltin="1"/>
  </cellStyles>
  <dxfs count="401">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a:extLst>
            <a:ext uri="{FF2B5EF4-FFF2-40B4-BE49-F238E27FC236}">
              <a16:creationId xmlns:a16="http://schemas.microsoft.com/office/drawing/2014/main" xmlns="" id="{00000000-0008-0000-0500-00001A0C0000}"/>
            </a:ext>
          </a:extLst>
        </xdr:cNvPr>
        <xdr:cNvSpPr>
          <a:spLocks noRot="1" noChangeArrowheads="1" noChangeShapeType="1" noTextEdit="1"/>
        </xdr:cNvSpPr>
      </xdr:nvSpPr>
      <xdr:spPr bwMode="auto">
        <a:xfrm>
          <a:off x="9105900" y="4366260"/>
          <a:ext cx="0" cy="1676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workbookViewId="0">
      <selection activeCell="D16" sqref="D16"/>
    </sheetView>
  </sheetViews>
  <sheetFormatPr defaultRowHeight="12.75" x14ac:dyDescent="0.2"/>
  <cols>
    <col min="2" max="2" width="21.7109375" bestFit="1" customWidth="1"/>
    <col min="3" max="3" width="14.7109375" customWidth="1"/>
    <col min="4" max="4" width="68.28515625" style="4" customWidth="1"/>
    <col min="8" max="8" width="10.42578125" bestFit="1" customWidth="1"/>
  </cols>
  <sheetData>
    <row r="1" spans="1:14" ht="18.75" customHeight="1" thickBot="1" x14ac:dyDescent="0.25">
      <c r="A1" s="284" t="str">
        <f>CONCATENATE("PSASH - Rev ",LOOKUP(2,1/(NOT(ISBLANK(A:A))),A:A))</f>
        <v>PSASH - Rev 14</v>
      </c>
      <c r="B1" s="285"/>
      <c r="C1" s="285"/>
      <c r="D1" s="285"/>
      <c r="E1" s="156" t="s">
        <v>151</v>
      </c>
      <c r="F1" s="134"/>
      <c r="G1" s="134"/>
      <c r="H1" s="134"/>
      <c r="I1" s="134"/>
      <c r="J1" s="134"/>
      <c r="K1" s="134"/>
      <c r="L1" s="134"/>
      <c r="M1" s="134"/>
      <c r="N1" s="134"/>
    </row>
    <row r="2" spans="1:14" x14ac:dyDescent="0.2">
      <c r="A2" s="6" t="s">
        <v>47</v>
      </c>
      <c r="B2" s="6" t="s">
        <v>48</v>
      </c>
      <c r="C2" s="6" t="s">
        <v>49</v>
      </c>
      <c r="D2" s="3" t="s">
        <v>50</v>
      </c>
      <c r="G2" s="155" t="s">
        <v>148</v>
      </c>
      <c r="H2" t="s">
        <v>147</v>
      </c>
    </row>
    <row r="3" spans="1:14" x14ac:dyDescent="0.2">
      <c r="A3" s="7" t="s">
        <v>564</v>
      </c>
      <c r="B3" s="167" t="s">
        <v>301</v>
      </c>
      <c r="C3" s="5">
        <v>42062</v>
      </c>
      <c r="D3" s="166" t="s">
        <v>302</v>
      </c>
    </row>
    <row r="4" spans="1:14" x14ac:dyDescent="0.2">
      <c r="A4" s="7" t="s">
        <v>563</v>
      </c>
      <c r="B4" s="167" t="s">
        <v>301</v>
      </c>
      <c r="C4" s="5">
        <v>42229</v>
      </c>
      <c r="D4" s="166" t="s">
        <v>319</v>
      </c>
    </row>
    <row r="5" spans="1:14" x14ac:dyDescent="0.2">
      <c r="A5" s="7" t="s">
        <v>562</v>
      </c>
      <c r="B5" s="167" t="s">
        <v>301</v>
      </c>
      <c r="C5" s="177">
        <v>42523</v>
      </c>
      <c r="D5" s="178" t="s">
        <v>399</v>
      </c>
    </row>
    <row r="6" spans="1:14" x14ac:dyDescent="0.2">
      <c r="A6" s="7" t="s">
        <v>561</v>
      </c>
      <c r="B6" s="6" t="s">
        <v>424</v>
      </c>
      <c r="C6" s="5">
        <v>42593</v>
      </c>
      <c r="D6" s="178" t="s">
        <v>444</v>
      </c>
    </row>
    <row r="7" spans="1:14" x14ac:dyDescent="0.2">
      <c r="A7" s="7" t="s">
        <v>560</v>
      </c>
      <c r="B7" s="6" t="s">
        <v>424</v>
      </c>
      <c r="C7" s="5">
        <v>42719</v>
      </c>
      <c r="D7" s="3" t="s">
        <v>455</v>
      </c>
    </row>
    <row r="8" spans="1:14" ht="25.5" x14ac:dyDescent="0.2">
      <c r="A8" s="7" t="s">
        <v>559</v>
      </c>
      <c r="B8" s="6" t="s">
        <v>424</v>
      </c>
      <c r="C8" s="5">
        <v>42741</v>
      </c>
      <c r="D8" s="3" t="s">
        <v>458</v>
      </c>
    </row>
    <row r="9" spans="1:14" x14ac:dyDescent="0.2">
      <c r="A9" s="7" t="s">
        <v>558</v>
      </c>
      <c r="B9" s="6" t="s">
        <v>424</v>
      </c>
      <c r="C9" s="5">
        <v>42761</v>
      </c>
      <c r="D9" s="3" t="s">
        <v>460</v>
      </c>
    </row>
    <row r="10" spans="1:14" x14ac:dyDescent="0.2">
      <c r="A10" s="7" t="s">
        <v>557</v>
      </c>
      <c r="B10" s="232" t="s">
        <v>424</v>
      </c>
      <c r="C10" s="5">
        <v>42790</v>
      </c>
      <c r="D10" s="178" t="s">
        <v>461</v>
      </c>
    </row>
    <row r="11" spans="1:14" x14ac:dyDescent="0.2">
      <c r="A11" s="7" t="s">
        <v>556</v>
      </c>
      <c r="B11" s="6" t="s">
        <v>424</v>
      </c>
      <c r="C11" s="5">
        <v>42802</v>
      </c>
      <c r="D11" s="3" t="s">
        <v>463</v>
      </c>
    </row>
    <row r="12" spans="1:14" x14ac:dyDescent="0.2">
      <c r="A12" s="7" t="s">
        <v>555</v>
      </c>
      <c r="B12" s="6" t="s">
        <v>424</v>
      </c>
      <c r="C12" s="5">
        <v>42815</v>
      </c>
      <c r="D12" s="178" t="s">
        <v>466</v>
      </c>
    </row>
    <row r="13" spans="1:14" x14ac:dyDescent="0.2">
      <c r="A13" s="7" t="s">
        <v>554</v>
      </c>
      <c r="B13" s="6" t="s">
        <v>565</v>
      </c>
      <c r="C13" s="5">
        <v>42955</v>
      </c>
      <c r="D13" s="3" t="s">
        <v>566</v>
      </c>
    </row>
    <row r="14" spans="1:14" ht="76.5" x14ac:dyDescent="0.2">
      <c r="A14" s="7">
        <v>12</v>
      </c>
      <c r="B14" s="6" t="s">
        <v>565</v>
      </c>
      <c r="C14" s="5">
        <v>43136</v>
      </c>
      <c r="D14" s="3" t="s">
        <v>755</v>
      </c>
    </row>
    <row r="15" spans="1:14" ht="51" x14ac:dyDescent="0.2">
      <c r="A15" s="7">
        <v>13</v>
      </c>
      <c r="B15" s="232" t="s">
        <v>762</v>
      </c>
      <c r="C15" s="265">
        <v>43266</v>
      </c>
      <c r="D15" s="166" t="s">
        <v>783</v>
      </c>
    </row>
    <row r="16" spans="1:14" ht="216.75" x14ac:dyDescent="0.2">
      <c r="A16" s="7">
        <v>14</v>
      </c>
      <c r="B16" s="232" t="s">
        <v>762</v>
      </c>
      <c r="C16" s="265">
        <v>43297</v>
      </c>
      <c r="D16" s="166" t="s">
        <v>786</v>
      </c>
    </row>
    <row r="17" spans="1:4" x14ac:dyDescent="0.2">
      <c r="A17" s="7"/>
      <c r="B17" s="6"/>
      <c r="C17" s="5"/>
      <c r="D17" s="3"/>
    </row>
    <row r="18" spans="1:4" x14ac:dyDescent="0.2">
      <c r="A18" s="7"/>
      <c r="B18" s="6"/>
      <c r="C18" s="5"/>
      <c r="D18" s="3"/>
    </row>
    <row r="19" spans="1:4" x14ac:dyDescent="0.2">
      <c r="A19" s="7"/>
      <c r="B19" s="6"/>
      <c r="C19" s="5"/>
      <c r="D19" s="3"/>
    </row>
    <row r="20" spans="1:4" x14ac:dyDescent="0.2">
      <c r="A20" s="7"/>
      <c r="B20" s="6"/>
      <c r="C20" s="5"/>
      <c r="D20" s="3"/>
    </row>
    <row r="21" spans="1:4" x14ac:dyDescent="0.2">
      <c r="A21" s="7"/>
      <c r="B21" s="6"/>
      <c r="C21" s="5"/>
      <c r="D21" s="3"/>
    </row>
    <row r="22" spans="1:4" x14ac:dyDescent="0.2">
      <c r="A22" s="7"/>
      <c r="B22" s="6"/>
      <c r="C22" s="5"/>
      <c r="D22" s="3"/>
    </row>
    <row r="23" spans="1:4" x14ac:dyDescent="0.2">
      <c r="A23" s="7"/>
      <c r="B23" s="6"/>
      <c r="C23" s="5"/>
      <c r="D23" s="3"/>
    </row>
    <row r="24" spans="1:4" x14ac:dyDescent="0.2">
      <c r="A24" s="7"/>
      <c r="B24" s="6"/>
      <c r="C24" s="5"/>
      <c r="D24" s="3"/>
    </row>
    <row r="25" spans="1:4" x14ac:dyDescent="0.2">
      <c r="A25" s="7"/>
      <c r="B25" s="6"/>
      <c r="C25" s="5"/>
      <c r="D25" s="3"/>
    </row>
    <row r="26" spans="1:4" x14ac:dyDescent="0.2">
      <c r="A26" s="7"/>
      <c r="B26" s="6"/>
      <c r="C26" s="5"/>
      <c r="D26" s="3"/>
    </row>
    <row r="27" spans="1:4" x14ac:dyDescent="0.2">
      <c r="A27" s="7"/>
      <c r="B27" s="6"/>
      <c r="C27" s="5"/>
      <c r="D27" s="3"/>
    </row>
    <row r="28" spans="1:4" x14ac:dyDescent="0.2">
      <c r="A28" s="7"/>
      <c r="B28" s="6"/>
      <c r="C28" s="5"/>
      <c r="D28" s="3"/>
    </row>
    <row r="29" spans="1:4" x14ac:dyDescent="0.2">
      <c r="A29" s="7"/>
      <c r="B29" s="6"/>
      <c r="C29" s="5"/>
      <c r="D29" s="3"/>
    </row>
    <row r="30" spans="1:4" x14ac:dyDescent="0.2">
      <c r="A30" s="7"/>
      <c r="B30" s="6"/>
      <c r="C30" s="6"/>
      <c r="D30" s="3"/>
    </row>
    <row r="31" spans="1:4" x14ac:dyDescent="0.2">
      <c r="A31" s="7"/>
      <c r="B31" s="6"/>
      <c r="C31" s="6"/>
      <c r="D31" s="3"/>
    </row>
    <row r="32" spans="1:4" x14ac:dyDescent="0.2">
      <c r="A32" s="7"/>
      <c r="B32" s="6"/>
      <c r="C32" s="6"/>
      <c r="D32" s="3"/>
    </row>
    <row r="33" spans="1:4" x14ac:dyDescent="0.2">
      <c r="A33" s="7"/>
      <c r="B33" s="6"/>
      <c r="C33" s="6"/>
      <c r="D33" s="3"/>
    </row>
    <row r="34" spans="1:4" x14ac:dyDescent="0.2">
      <c r="A34" s="7"/>
      <c r="B34" s="6"/>
      <c r="C34" s="6"/>
      <c r="D34" s="3"/>
    </row>
    <row r="35" spans="1:4" x14ac:dyDescent="0.2">
      <c r="A35" s="7"/>
      <c r="B35" s="6"/>
      <c r="C35" s="6"/>
      <c r="D35" s="3"/>
    </row>
    <row r="36" spans="1:4" x14ac:dyDescent="0.2">
      <c r="A36" s="7"/>
      <c r="B36" s="6"/>
      <c r="C36" s="6"/>
      <c r="D36" s="3"/>
    </row>
    <row r="37" spans="1:4" x14ac:dyDescent="0.2">
      <c r="A37" s="7"/>
      <c r="B37" s="6"/>
      <c r="C37" s="6"/>
      <c r="D37" s="3"/>
    </row>
    <row r="38" spans="1:4" x14ac:dyDescent="0.2">
      <c r="A38" s="7"/>
      <c r="B38" s="6"/>
      <c r="C38" s="6"/>
      <c r="D38" s="3"/>
    </row>
    <row r="39" spans="1:4" x14ac:dyDescent="0.2">
      <c r="A39" s="7"/>
      <c r="B39" s="6"/>
      <c r="C39" s="6"/>
      <c r="D39" s="3"/>
    </row>
    <row r="40" spans="1:4" x14ac:dyDescent="0.2">
      <c r="A40" s="7"/>
      <c r="B40" s="6"/>
      <c r="C40" s="6"/>
      <c r="D40" s="3"/>
    </row>
    <row r="41" spans="1:4" x14ac:dyDescent="0.2">
      <c r="A41" s="7"/>
      <c r="B41" s="6"/>
      <c r="C41" s="6"/>
      <c r="D41" s="3"/>
    </row>
    <row r="42" spans="1:4" x14ac:dyDescent="0.2">
      <c r="A42" s="7"/>
      <c r="B42" s="6"/>
      <c r="C42" s="6"/>
      <c r="D42" s="3"/>
    </row>
    <row r="43" spans="1:4" x14ac:dyDescent="0.2">
      <c r="A43" s="7"/>
      <c r="B43" s="6"/>
      <c r="C43" s="6"/>
      <c r="D43" s="3"/>
    </row>
    <row r="44" spans="1:4" x14ac:dyDescent="0.2">
      <c r="A44" s="7"/>
      <c r="B44" s="6"/>
      <c r="C44" s="6"/>
      <c r="D44" s="3"/>
    </row>
    <row r="45" spans="1:4" x14ac:dyDescent="0.2">
      <c r="A45" s="7"/>
      <c r="B45" s="6"/>
      <c r="C45" s="6"/>
      <c r="D45" s="3"/>
    </row>
    <row r="46" spans="1:4" x14ac:dyDescent="0.2">
      <c r="A46" s="7"/>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X106"/>
  <sheetViews>
    <sheetView tabSelected="1" zoomScale="115" zoomScaleNormal="115" workbookViewId="0">
      <pane xSplit="1" ySplit="4" topLeftCell="B74" activePane="bottomRight" state="frozen"/>
      <selection pane="topRight" activeCell="B1" sqref="B1"/>
      <selection pane="bottomLeft" activeCell="A5" sqref="A5"/>
      <selection pane="bottomRight" activeCell="A105" sqref="A105:XFD105"/>
    </sheetView>
  </sheetViews>
  <sheetFormatPr defaultColWidth="9.140625" defaultRowHeight="12.75" x14ac:dyDescent="0.2"/>
  <cols>
    <col min="1" max="1" width="55.140625" style="220" customWidth="1"/>
    <col min="2" max="2" width="43" style="220" customWidth="1"/>
    <col min="3" max="3" width="29.85546875" style="220" hidden="1" customWidth="1"/>
    <col min="4" max="4" width="17" style="220" bestFit="1" customWidth="1"/>
    <col min="5" max="5" width="46.42578125" style="221" customWidth="1"/>
    <col min="6" max="6" width="7.140625" style="222" bestFit="1" customWidth="1"/>
    <col min="7" max="7" width="10.28515625" style="222" customWidth="1"/>
    <col min="8" max="8" width="9.140625" style="222" bestFit="1" customWidth="1"/>
    <col min="9" max="9" width="17.85546875" style="223" customWidth="1"/>
    <col min="10" max="10" width="19.28515625" style="223" customWidth="1"/>
    <col min="11" max="11" width="24.42578125" style="224" customWidth="1"/>
    <col min="12" max="12" width="19.28515625" style="223" customWidth="1"/>
    <col min="13" max="13" width="15.140625" style="223" bestFit="1" customWidth="1"/>
    <col min="14" max="14" width="14.85546875" style="223" bestFit="1" customWidth="1"/>
    <col min="15" max="15" width="21.7109375" style="223" customWidth="1"/>
    <col min="16" max="16" width="17.42578125" style="223" hidden="1" customWidth="1"/>
    <col min="17" max="17" width="36.85546875" style="175" bestFit="1" customWidth="1"/>
    <col min="18" max="18" width="4.5703125" style="175" customWidth="1"/>
    <col min="19" max="19" width="2.5703125" style="176" bestFit="1" customWidth="1"/>
    <col min="20" max="20" width="2.42578125" style="176" bestFit="1" customWidth="1"/>
    <col min="21" max="21" width="2.5703125" style="176" bestFit="1" customWidth="1"/>
    <col min="22" max="23" width="2.28515625" style="176" bestFit="1" customWidth="1"/>
    <col min="24" max="16384" width="9.140625" style="176"/>
  </cols>
  <sheetData>
    <row r="1" spans="1:23" s="214" customFormat="1" ht="29.25" customHeight="1" thickBot="1" x14ac:dyDescent="0.25">
      <c r="A1" s="291" t="str">
        <f>'Change Log'!A1:D1</f>
        <v>PSASH - Rev 14</v>
      </c>
      <c r="B1" s="292"/>
      <c r="C1" s="292"/>
      <c r="D1" s="292"/>
      <c r="E1" s="292"/>
      <c r="F1" s="292"/>
      <c r="G1" s="292"/>
      <c r="H1" s="292"/>
      <c r="I1" s="292"/>
      <c r="J1" s="292"/>
      <c r="K1" s="292"/>
      <c r="L1" s="292"/>
      <c r="M1" s="292"/>
      <c r="N1" s="292"/>
      <c r="O1" s="213"/>
      <c r="R1" s="215"/>
      <c r="S1" s="215" t="s">
        <v>138</v>
      </c>
      <c r="T1" s="215" t="s">
        <v>140</v>
      </c>
      <c r="U1" s="215" t="s">
        <v>141</v>
      </c>
      <c r="V1" s="215" t="s">
        <v>143</v>
      </c>
      <c r="W1" s="215" t="s">
        <v>82</v>
      </c>
    </row>
    <row r="2" spans="1:23" s="214" customFormat="1" ht="13.5" thickBot="1" x14ac:dyDescent="0.25">
      <c r="A2" s="288" t="s">
        <v>139</v>
      </c>
      <c r="B2" s="289"/>
      <c r="C2" s="289"/>
      <c r="D2" s="289"/>
      <c r="E2" s="289"/>
      <c r="F2" s="289"/>
      <c r="G2" s="289"/>
      <c r="H2" s="289"/>
      <c r="I2" s="289"/>
      <c r="J2" s="289"/>
      <c r="K2" s="289"/>
      <c r="L2" s="289"/>
      <c r="M2" s="289"/>
      <c r="N2" s="289"/>
      <c r="O2" s="289"/>
      <c r="P2" s="290"/>
      <c r="Q2" s="216"/>
      <c r="R2" s="216"/>
      <c r="S2" s="215" t="s">
        <v>81</v>
      </c>
      <c r="T2" s="215" t="s">
        <v>82</v>
      </c>
      <c r="U2" s="215"/>
    </row>
    <row r="3" spans="1:23" s="214" customFormat="1" x14ac:dyDescent="0.2">
      <c r="A3" s="179"/>
      <c r="B3" s="180"/>
      <c r="C3" s="180"/>
      <c r="D3" s="180"/>
      <c r="E3" s="181"/>
      <c r="F3" s="182"/>
      <c r="G3" s="183"/>
      <c r="H3" s="182"/>
      <c r="I3" s="184"/>
      <c r="J3" s="286" t="s">
        <v>83</v>
      </c>
      <c r="K3" s="287"/>
      <c r="L3" s="185"/>
      <c r="M3" s="185"/>
      <c r="N3" s="185"/>
      <c r="O3" s="186"/>
      <c r="P3" s="186"/>
      <c r="Q3" s="217"/>
      <c r="R3" s="217"/>
      <c r="S3" s="215"/>
    </row>
    <row r="4" spans="1:23" s="214" customFormat="1" ht="23.25" thickBot="1" x14ac:dyDescent="0.25">
      <c r="A4" s="187" t="s">
        <v>142</v>
      </c>
      <c r="B4" s="188" t="s">
        <v>134</v>
      </c>
      <c r="C4" s="189" t="s">
        <v>94</v>
      </c>
      <c r="D4" s="188" t="s">
        <v>154</v>
      </c>
      <c r="E4" s="189" t="s">
        <v>57</v>
      </c>
      <c r="F4" s="189" t="s">
        <v>164</v>
      </c>
      <c r="G4" s="190" t="s">
        <v>135</v>
      </c>
      <c r="H4" s="189" t="s">
        <v>166</v>
      </c>
      <c r="I4" s="191" t="s">
        <v>149</v>
      </c>
      <c r="J4" s="191" t="s">
        <v>136</v>
      </c>
      <c r="K4" s="192" t="s">
        <v>137</v>
      </c>
      <c r="L4" s="189" t="s">
        <v>51</v>
      </c>
      <c r="M4" s="189" t="s">
        <v>150</v>
      </c>
      <c r="N4" s="189" t="s">
        <v>52</v>
      </c>
      <c r="O4" s="193" t="s">
        <v>90</v>
      </c>
      <c r="P4" s="186" t="s">
        <v>85</v>
      </c>
      <c r="Q4" s="216"/>
      <c r="R4" s="216"/>
      <c r="S4" s="128"/>
    </row>
    <row r="5" spans="1:23" s="214" customFormat="1" ht="15" customHeight="1" x14ac:dyDescent="0.2">
      <c r="A5" s="218" t="s">
        <v>144</v>
      </c>
      <c r="B5" s="194"/>
      <c r="C5" s="194"/>
      <c r="D5" s="194"/>
      <c r="E5" s="195"/>
      <c r="F5" s="196"/>
      <c r="G5" s="196"/>
      <c r="H5" s="196"/>
      <c r="I5" s="197"/>
      <c r="J5" s="197"/>
      <c r="K5" s="198"/>
      <c r="L5" s="197"/>
      <c r="M5" s="197"/>
      <c r="N5" s="197"/>
      <c r="O5" s="197"/>
      <c r="P5" s="197"/>
      <c r="Q5" s="216"/>
      <c r="R5" s="216"/>
    </row>
    <row r="6" spans="1:23" ht="12.75" customHeight="1" x14ac:dyDescent="0.2">
      <c r="A6" s="199" t="s">
        <v>331</v>
      </c>
      <c r="B6" s="200" t="s">
        <v>331</v>
      </c>
      <c r="C6" s="200"/>
      <c r="D6" s="200" t="s">
        <v>237</v>
      </c>
      <c r="E6" s="201" t="s">
        <v>572</v>
      </c>
      <c r="F6" s="202" t="s">
        <v>138</v>
      </c>
      <c r="G6" s="203" t="s">
        <v>82</v>
      </c>
      <c r="H6" s="204"/>
      <c r="I6" s="168" t="b">
        <v>0</v>
      </c>
      <c r="J6" s="169" t="b">
        <v>0</v>
      </c>
      <c r="K6" s="169" t="b">
        <v>1</v>
      </c>
      <c r="L6" s="169">
        <v>1</v>
      </c>
      <c r="M6" s="205"/>
      <c r="N6" s="169" t="s">
        <v>286</v>
      </c>
      <c r="O6" s="206" t="s">
        <v>285</v>
      </c>
      <c r="P6" s="219"/>
    </row>
    <row r="7" spans="1:23" ht="12.75" customHeight="1" x14ac:dyDescent="0.2">
      <c r="A7" s="199" t="s">
        <v>450</v>
      </c>
      <c r="B7" s="240" t="s">
        <v>450</v>
      </c>
      <c r="C7" s="200"/>
      <c r="D7" s="200" t="s">
        <v>237</v>
      </c>
      <c r="E7" s="201" t="s">
        <v>578</v>
      </c>
      <c r="F7" s="202" t="s">
        <v>138</v>
      </c>
      <c r="G7" s="203" t="s">
        <v>82</v>
      </c>
      <c r="H7" s="204"/>
      <c r="I7" s="168" t="b">
        <v>0</v>
      </c>
      <c r="J7" s="169" t="b">
        <v>0</v>
      </c>
      <c r="K7" s="169" t="b">
        <v>1</v>
      </c>
      <c r="L7" s="169">
        <v>1</v>
      </c>
      <c r="M7" s="205"/>
      <c r="N7" s="169" t="s">
        <v>286</v>
      </c>
      <c r="O7" s="206" t="s">
        <v>285</v>
      </c>
      <c r="P7" s="219"/>
    </row>
    <row r="8" spans="1:23" ht="12.75" customHeight="1" x14ac:dyDescent="0.2">
      <c r="A8" s="199" t="s">
        <v>449</v>
      </c>
      <c r="B8" s="240" t="s">
        <v>449</v>
      </c>
      <c r="C8" s="200"/>
      <c r="D8" s="200" t="s">
        <v>237</v>
      </c>
      <c r="E8" s="201" t="s">
        <v>573</v>
      </c>
      <c r="F8" s="202" t="s">
        <v>138</v>
      </c>
      <c r="G8" s="203" t="s">
        <v>82</v>
      </c>
      <c r="H8" s="204"/>
      <c r="I8" s="168" t="b">
        <v>0</v>
      </c>
      <c r="J8" s="169" t="b">
        <v>0</v>
      </c>
      <c r="K8" s="169" t="b">
        <v>1</v>
      </c>
      <c r="L8" s="169">
        <v>1</v>
      </c>
      <c r="M8" s="205"/>
      <c r="N8" s="169" t="s">
        <v>286</v>
      </c>
      <c r="O8" s="206" t="s">
        <v>285</v>
      </c>
      <c r="P8" s="219"/>
    </row>
    <row r="9" spans="1:23" ht="12.75" customHeight="1" x14ac:dyDescent="0.2">
      <c r="A9" s="199" t="s">
        <v>451</v>
      </c>
      <c r="B9" s="240" t="s">
        <v>451</v>
      </c>
      <c r="C9" s="200"/>
      <c r="D9" s="200" t="s">
        <v>237</v>
      </c>
      <c r="E9" s="201" t="s">
        <v>574</v>
      </c>
      <c r="F9" s="202" t="s">
        <v>138</v>
      </c>
      <c r="G9" s="203" t="s">
        <v>82</v>
      </c>
      <c r="H9" s="204"/>
      <c r="I9" s="168" t="b">
        <v>0</v>
      </c>
      <c r="J9" s="169" t="b">
        <v>0</v>
      </c>
      <c r="K9" s="169" t="b">
        <v>1</v>
      </c>
      <c r="L9" s="169">
        <v>1</v>
      </c>
      <c r="M9" s="205"/>
      <c r="N9" s="169" t="s">
        <v>286</v>
      </c>
      <c r="O9" s="206" t="s">
        <v>285</v>
      </c>
      <c r="P9" s="219"/>
    </row>
    <row r="10" spans="1:23" ht="12.75" customHeight="1" x14ac:dyDescent="0.2">
      <c r="A10" s="199" t="s">
        <v>332</v>
      </c>
      <c r="B10" s="200" t="s">
        <v>332</v>
      </c>
      <c r="C10" s="200"/>
      <c r="D10" s="200" t="s">
        <v>237</v>
      </c>
      <c r="E10" s="201" t="s">
        <v>575</v>
      </c>
      <c r="F10" s="202" t="s">
        <v>138</v>
      </c>
      <c r="G10" s="203" t="s">
        <v>82</v>
      </c>
      <c r="H10" s="204"/>
      <c r="I10" s="168">
        <v>0</v>
      </c>
      <c r="J10" s="169">
        <v>-1440</v>
      </c>
      <c r="K10" s="169">
        <v>1440</v>
      </c>
      <c r="L10" s="169" t="s">
        <v>289</v>
      </c>
      <c r="M10" s="205"/>
      <c r="N10" s="169" t="s">
        <v>277</v>
      </c>
      <c r="O10" s="206" t="s">
        <v>282</v>
      </c>
      <c r="P10" s="219"/>
    </row>
    <row r="11" spans="1:23" ht="12.75" customHeight="1" x14ac:dyDescent="0.2">
      <c r="A11" s="199" t="s">
        <v>576</v>
      </c>
      <c r="B11" s="200" t="s">
        <v>576</v>
      </c>
      <c r="C11" s="200"/>
      <c r="D11" s="200" t="s">
        <v>237</v>
      </c>
      <c r="E11" s="201" t="s">
        <v>577</v>
      </c>
      <c r="F11" s="202" t="s">
        <v>138</v>
      </c>
      <c r="G11" s="203" t="s">
        <v>82</v>
      </c>
      <c r="H11" s="204"/>
      <c r="I11" s="168" t="b">
        <v>0</v>
      </c>
      <c r="J11" s="169" t="b">
        <v>0</v>
      </c>
      <c r="K11" s="169" t="b">
        <v>1</v>
      </c>
      <c r="L11" s="169">
        <v>1</v>
      </c>
      <c r="M11" s="205"/>
      <c r="N11" s="169" t="s">
        <v>286</v>
      </c>
      <c r="O11" s="206" t="s">
        <v>285</v>
      </c>
      <c r="P11" s="219"/>
    </row>
    <row r="12" spans="1:23" ht="12.75" customHeight="1" x14ac:dyDescent="0.2">
      <c r="A12" s="199" t="s">
        <v>452</v>
      </c>
      <c r="B12" s="240" t="s">
        <v>452</v>
      </c>
      <c r="C12" s="200"/>
      <c r="D12" s="200" t="s">
        <v>237</v>
      </c>
      <c r="E12" s="201" t="s">
        <v>579</v>
      </c>
      <c r="F12" s="202" t="s">
        <v>138</v>
      </c>
      <c r="G12" s="203" t="s">
        <v>82</v>
      </c>
      <c r="H12" s="204"/>
      <c r="I12" s="168" t="b">
        <v>0</v>
      </c>
      <c r="J12" s="169" t="b">
        <v>0</v>
      </c>
      <c r="K12" s="169" t="b">
        <v>1</v>
      </c>
      <c r="L12" s="169">
        <v>1</v>
      </c>
      <c r="M12" s="205"/>
      <c r="N12" s="169" t="s">
        <v>286</v>
      </c>
      <c r="O12" s="206" t="s">
        <v>285</v>
      </c>
      <c r="P12" s="219"/>
    </row>
    <row r="13" spans="1:23" ht="12.75" customHeight="1" x14ac:dyDescent="0.2">
      <c r="A13" s="199" t="s">
        <v>569</v>
      </c>
      <c r="B13" s="240" t="s">
        <v>569</v>
      </c>
      <c r="C13" s="200"/>
      <c r="D13" s="200" t="s">
        <v>237</v>
      </c>
      <c r="E13" s="201" t="s">
        <v>581</v>
      </c>
      <c r="F13" s="202" t="s">
        <v>138</v>
      </c>
      <c r="G13" s="203" t="s">
        <v>82</v>
      </c>
      <c r="H13" s="204"/>
      <c r="I13" s="168" t="s">
        <v>667</v>
      </c>
      <c r="J13" s="169">
        <v>0</v>
      </c>
      <c r="K13" s="169">
        <v>8.8000000000000007</v>
      </c>
      <c r="L13" s="169" t="s">
        <v>289</v>
      </c>
      <c r="M13" s="205"/>
      <c r="N13" s="169" t="s">
        <v>275</v>
      </c>
      <c r="O13" s="164" t="s">
        <v>282</v>
      </c>
      <c r="P13" s="219"/>
    </row>
    <row r="14" spans="1:23" ht="12.75" customHeight="1" x14ac:dyDescent="0.2">
      <c r="A14" s="199" t="s">
        <v>333</v>
      </c>
      <c r="B14" s="199" t="s">
        <v>333</v>
      </c>
      <c r="C14" s="200"/>
      <c r="D14" s="200" t="s">
        <v>237</v>
      </c>
      <c r="E14" s="201" t="s">
        <v>580</v>
      </c>
      <c r="F14" s="202" t="s">
        <v>138</v>
      </c>
      <c r="G14" s="203" t="s">
        <v>82</v>
      </c>
      <c r="H14" s="204"/>
      <c r="I14" s="168" t="b">
        <v>0</v>
      </c>
      <c r="J14" s="169" t="b">
        <v>0</v>
      </c>
      <c r="K14" s="169" t="b">
        <v>1</v>
      </c>
      <c r="L14" s="169">
        <v>1</v>
      </c>
      <c r="M14" s="205"/>
      <c r="N14" s="169" t="s">
        <v>286</v>
      </c>
      <c r="O14" s="206" t="s">
        <v>285</v>
      </c>
      <c r="P14" s="219"/>
    </row>
    <row r="15" spans="1:23" ht="12.75" customHeight="1" x14ac:dyDescent="0.2">
      <c r="A15" s="199" t="s">
        <v>337</v>
      </c>
      <c r="B15" s="200" t="s">
        <v>337</v>
      </c>
      <c r="C15" s="200"/>
      <c r="D15" s="200" t="s">
        <v>237</v>
      </c>
      <c r="E15" s="201" t="s">
        <v>582</v>
      </c>
      <c r="F15" s="202" t="s">
        <v>138</v>
      </c>
      <c r="G15" s="203" t="s">
        <v>82</v>
      </c>
      <c r="H15" s="204"/>
      <c r="I15" s="168" t="b">
        <v>0</v>
      </c>
      <c r="J15" s="169" t="b">
        <v>0</v>
      </c>
      <c r="K15" s="169" t="b">
        <v>1</v>
      </c>
      <c r="L15" s="169">
        <v>1</v>
      </c>
      <c r="M15" s="205"/>
      <c r="N15" s="169" t="s">
        <v>286</v>
      </c>
      <c r="O15" s="206" t="s">
        <v>285</v>
      </c>
      <c r="P15" s="219"/>
    </row>
    <row r="16" spans="1:23" ht="12.75" customHeight="1" x14ac:dyDescent="0.2">
      <c r="A16" s="199" t="s">
        <v>335</v>
      </c>
      <c r="B16" s="200" t="s">
        <v>335</v>
      </c>
      <c r="C16" s="200"/>
      <c r="D16" s="200" t="s">
        <v>237</v>
      </c>
      <c r="E16" s="201" t="s">
        <v>583</v>
      </c>
      <c r="F16" s="202" t="s">
        <v>138</v>
      </c>
      <c r="G16" s="203" t="s">
        <v>82</v>
      </c>
      <c r="H16" s="204"/>
      <c r="I16" s="168" t="b">
        <v>0</v>
      </c>
      <c r="J16" s="169" t="b">
        <v>0</v>
      </c>
      <c r="K16" s="169" t="b">
        <v>1</v>
      </c>
      <c r="L16" s="169">
        <v>1</v>
      </c>
      <c r="M16" s="205"/>
      <c r="N16" s="169" t="s">
        <v>286</v>
      </c>
      <c r="O16" s="206" t="s">
        <v>285</v>
      </c>
      <c r="P16" s="219"/>
    </row>
    <row r="17" spans="1:16" ht="12.75" customHeight="1" x14ac:dyDescent="0.2">
      <c r="A17" s="199" t="s">
        <v>336</v>
      </c>
      <c r="B17" s="238" t="s">
        <v>336</v>
      </c>
      <c r="C17" s="200"/>
      <c r="D17" s="200" t="s">
        <v>237</v>
      </c>
      <c r="E17" s="201" t="s">
        <v>584</v>
      </c>
      <c r="F17" s="202" t="s">
        <v>138</v>
      </c>
      <c r="G17" s="203" t="s">
        <v>82</v>
      </c>
      <c r="H17" s="204"/>
      <c r="I17" s="168" t="b">
        <v>1</v>
      </c>
      <c r="J17" s="169" t="b">
        <v>0</v>
      </c>
      <c r="K17" s="169" t="b">
        <v>1</v>
      </c>
      <c r="L17" s="169">
        <v>1</v>
      </c>
      <c r="M17" s="205"/>
      <c r="N17" s="169" t="s">
        <v>286</v>
      </c>
      <c r="O17" s="206" t="s">
        <v>285</v>
      </c>
      <c r="P17" s="219"/>
    </row>
    <row r="18" spans="1:16" ht="12.75" customHeight="1" x14ac:dyDescent="0.2">
      <c r="A18" s="199" t="s">
        <v>338</v>
      </c>
      <c r="B18" s="200" t="s">
        <v>338</v>
      </c>
      <c r="C18" s="200"/>
      <c r="D18" s="200" t="s">
        <v>237</v>
      </c>
      <c r="E18" s="201" t="s">
        <v>585</v>
      </c>
      <c r="F18" s="202" t="s">
        <v>138</v>
      </c>
      <c r="G18" s="203" t="s">
        <v>82</v>
      </c>
      <c r="H18" s="204"/>
      <c r="I18" s="168" t="b">
        <v>0</v>
      </c>
      <c r="J18" s="169" t="b">
        <v>0</v>
      </c>
      <c r="K18" s="169" t="b">
        <v>1</v>
      </c>
      <c r="L18" s="169">
        <v>1</v>
      </c>
      <c r="M18" s="205"/>
      <c r="N18" s="169" t="s">
        <v>286</v>
      </c>
      <c r="O18" s="206" t="s">
        <v>285</v>
      </c>
      <c r="P18" s="219"/>
    </row>
    <row r="19" spans="1:16" ht="12.75" customHeight="1" x14ac:dyDescent="0.2">
      <c r="A19" s="199" t="s">
        <v>298</v>
      </c>
      <c r="B19" s="240" t="s">
        <v>298</v>
      </c>
      <c r="C19" s="200"/>
      <c r="D19" s="200" t="s">
        <v>237</v>
      </c>
      <c r="E19" s="201" t="s">
        <v>727</v>
      </c>
      <c r="F19" s="202" t="s">
        <v>138</v>
      </c>
      <c r="G19" s="203" t="s">
        <v>82</v>
      </c>
      <c r="H19" s="204"/>
      <c r="I19" s="168">
        <v>0</v>
      </c>
      <c r="J19" s="169">
        <v>0</v>
      </c>
      <c r="K19" s="169">
        <v>1</v>
      </c>
      <c r="L19" s="169" t="s">
        <v>289</v>
      </c>
      <c r="M19" s="205"/>
      <c r="N19" s="169" t="s">
        <v>278</v>
      </c>
      <c r="O19" s="206" t="s">
        <v>282</v>
      </c>
      <c r="P19" s="219"/>
    </row>
    <row r="20" spans="1:16" ht="12.75" customHeight="1" x14ac:dyDescent="0.2">
      <c r="A20" s="199" t="s">
        <v>296</v>
      </c>
      <c r="B20" s="199" t="s">
        <v>296</v>
      </c>
      <c r="C20" s="200"/>
      <c r="D20" s="200" t="s">
        <v>237</v>
      </c>
      <c r="E20" s="201" t="s">
        <v>728</v>
      </c>
      <c r="F20" s="202" t="s">
        <v>138</v>
      </c>
      <c r="G20" s="203" t="s">
        <v>82</v>
      </c>
      <c r="H20" s="204"/>
      <c r="I20" s="168">
        <v>0</v>
      </c>
      <c r="J20" s="169">
        <v>-1600</v>
      </c>
      <c r="K20" s="169">
        <v>1600</v>
      </c>
      <c r="L20" s="169" t="s">
        <v>289</v>
      </c>
      <c r="M20" s="205"/>
      <c r="N20" s="169" t="s">
        <v>277</v>
      </c>
      <c r="O20" s="206" t="s">
        <v>282</v>
      </c>
      <c r="P20" s="219"/>
    </row>
    <row r="21" spans="1:16" ht="12.75" customHeight="1" x14ac:dyDescent="0.2">
      <c r="A21" s="199" t="s">
        <v>376</v>
      </c>
      <c r="B21" s="238" t="s">
        <v>376</v>
      </c>
      <c r="C21" s="200"/>
      <c r="D21" s="200" t="s">
        <v>237</v>
      </c>
      <c r="E21" s="201" t="s">
        <v>729</v>
      </c>
      <c r="F21" s="202" t="s">
        <v>138</v>
      </c>
      <c r="G21" s="203" t="s">
        <v>82</v>
      </c>
      <c r="H21" s="204"/>
      <c r="I21" s="168">
        <v>0</v>
      </c>
      <c r="J21" s="169">
        <v>-32</v>
      </c>
      <c r="K21" s="169">
        <v>32</v>
      </c>
      <c r="L21" s="169" t="s">
        <v>289</v>
      </c>
      <c r="M21" s="205"/>
      <c r="N21" s="169" t="s">
        <v>355</v>
      </c>
      <c r="O21" s="206" t="s">
        <v>282</v>
      </c>
      <c r="P21" s="219"/>
    </row>
    <row r="22" spans="1:16" ht="12.75" customHeight="1" x14ac:dyDescent="0.2">
      <c r="A22" s="199" t="s">
        <v>339</v>
      </c>
      <c r="B22" s="240" t="s">
        <v>339</v>
      </c>
      <c r="C22" s="200"/>
      <c r="D22" s="200" t="s">
        <v>237</v>
      </c>
      <c r="E22" s="201" t="s">
        <v>586</v>
      </c>
      <c r="F22" s="202" t="s">
        <v>138</v>
      </c>
      <c r="G22" s="203" t="s">
        <v>82</v>
      </c>
      <c r="H22" s="204"/>
      <c r="I22" s="207">
        <v>0</v>
      </c>
      <c r="J22" s="163">
        <v>-3</v>
      </c>
      <c r="K22" s="208">
        <v>3</v>
      </c>
      <c r="L22" s="169">
        <v>1</v>
      </c>
      <c r="M22" s="205"/>
      <c r="N22" s="169" t="s">
        <v>286</v>
      </c>
      <c r="O22" s="206" t="s">
        <v>340</v>
      </c>
      <c r="P22" s="219"/>
    </row>
    <row r="23" spans="1:16" ht="12.75" customHeight="1" x14ac:dyDescent="0.2">
      <c r="A23" s="199" t="s">
        <v>295</v>
      </c>
      <c r="B23" s="200" t="s">
        <v>295</v>
      </c>
      <c r="C23" s="200"/>
      <c r="D23" s="200" t="s">
        <v>237</v>
      </c>
      <c r="E23" s="201" t="s">
        <v>730</v>
      </c>
      <c r="F23" s="202" t="s">
        <v>138</v>
      </c>
      <c r="G23" s="203" t="s">
        <v>82</v>
      </c>
      <c r="H23" s="204"/>
      <c r="I23" s="168">
        <v>0</v>
      </c>
      <c r="J23" s="168">
        <v>-10</v>
      </c>
      <c r="K23" s="169">
        <v>10</v>
      </c>
      <c r="L23" s="169" t="s">
        <v>289</v>
      </c>
      <c r="M23" s="205"/>
      <c r="N23" s="163" t="s">
        <v>281</v>
      </c>
      <c r="O23" s="164" t="s">
        <v>282</v>
      </c>
      <c r="P23" s="219"/>
    </row>
    <row r="24" spans="1:16" ht="12.75" customHeight="1" x14ac:dyDescent="0.2">
      <c r="A24" s="199" t="s">
        <v>592</v>
      </c>
      <c r="B24" s="238" t="s">
        <v>592</v>
      </c>
      <c r="C24" s="200"/>
      <c r="D24" s="200" t="s">
        <v>237</v>
      </c>
      <c r="E24" s="201" t="s">
        <v>593</v>
      </c>
      <c r="F24" s="202" t="s">
        <v>138</v>
      </c>
      <c r="G24" s="203" t="s">
        <v>82</v>
      </c>
      <c r="H24" s="204"/>
      <c r="I24" s="168" t="b">
        <v>0</v>
      </c>
      <c r="J24" s="169" t="b">
        <v>0</v>
      </c>
      <c r="K24" s="169" t="b">
        <v>1</v>
      </c>
      <c r="L24" s="169">
        <v>1</v>
      </c>
      <c r="M24" s="205"/>
      <c r="N24" s="169" t="s">
        <v>286</v>
      </c>
      <c r="O24" s="206" t="s">
        <v>285</v>
      </c>
      <c r="P24" s="219"/>
    </row>
    <row r="25" spans="1:16" ht="12.75" customHeight="1" x14ac:dyDescent="0.2">
      <c r="A25" s="199" t="s">
        <v>341</v>
      </c>
      <c r="B25" s="238" t="s">
        <v>341</v>
      </c>
      <c r="C25" s="200"/>
      <c r="D25" s="200" t="s">
        <v>237</v>
      </c>
      <c r="E25" s="201" t="s">
        <v>731</v>
      </c>
      <c r="F25" s="202" t="s">
        <v>138</v>
      </c>
      <c r="G25" s="203" t="s">
        <v>82</v>
      </c>
      <c r="H25" s="204"/>
      <c r="I25" s="168">
        <v>0</v>
      </c>
      <c r="J25" s="169">
        <v>-1440</v>
      </c>
      <c r="K25" s="169">
        <v>1440</v>
      </c>
      <c r="L25" s="169" t="s">
        <v>289</v>
      </c>
      <c r="M25" s="205"/>
      <c r="N25" s="169" t="s">
        <v>277</v>
      </c>
      <c r="O25" s="206" t="s">
        <v>282</v>
      </c>
      <c r="P25" s="219"/>
    </row>
    <row r="26" spans="1:16" ht="12.75" customHeight="1" x14ac:dyDescent="0.2">
      <c r="A26" s="199" t="s">
        <v>334</v>
      </c>
      <c r="B26" s="238" t="s">
        <v>334</v>
      </c>
      <c r="C26" s="200"/>
      <c r="D26" s="200" t="s">
        <v>237</v>
      </c>
      <c r="E26" s="201" t="s">
        <v>587</v>
      </c>
      <c r="F26" s="202" t="s">
        <v>138</v>
      </c>
      <c r="G26" s="203" t="s">
        <v>82</v>
      </c>
      <c r="H26" s="204"/>
      <c r="I26" s="168" t="b">
        <v>0</v>
      </c>
      <c r="J26" s="169" t="b">
        <v>0</v>
      </c>
      <c r="K26" s="169" t="b">
        <v>1</v>
      </c>
      <c r="L26" s="169">
        <v>1</v>
      </c>
      <c r="M26" s="205"/>
      <c r="N26" s="169" t="s">
        <v>286</v>
      </c>
      <c r="O26" s="206" t="s">
        <v>285</v>
      </c>
      <c r="P26" s="219"/>
    </row>
    <row r="27" spans="1:16" ht="12.75" customHeight="1" x14ac:dyDescent="0.2">
      <c r="A27" s="199" t="s">
        <v>665</v>
      </c>
      <c r="B27" s="199" t="s">
        <v>665</v>
      </c>
      <c r="C27" s="200"/>
      <c r="D27" s="200" t="s">
        <v>237</v>
      </c>
      <c r="E27" s="201" t="s">
        <v>445</v>
      </c>
      <c r="F27" s="202" t="s">
        <v>138</v>
      </c>
      <c r="G27" s="203" t="s">
        <v>82</v>
      </c>
      <c r="H27" s="204"/>
      <c r="I27" s="168" t="b">
        <v>0</v>
      </c>
      <c r="J27" s="169" t="b">
        <v>0</v>
      </c>
      <c r="K27" s="169" t="b">
        <v>1</v>
      </c>
      <c r="L27" s="169">
        <v>1</v>
      </c>
      <c r="M27" s="205"/>
      <c r="N27" s="169" t="s">
        <v>286</v>
      </c>
      <c r="O27" s="206" t="s">
        <v>285</v>
      </c>
      <c r="P27" s="219"/>
    </row>
    <row r="28" spans="1:16" ht="12.75" customHeight="1" x14ac:dyDescent="0.2">
      <c r="A28" s="199" t="s">
        <v>567</v>
      </c>
      <c r="B28" s="199" t="s">
        <v>567</v>
      </c>
      <c r="C28" s="200"/>
      <c r="D28" s="200" t="s">
        <v>237</v>
      </c>
      <c r="E28" s="201" t="s">
        <v>590</v>
      </c>
      <c r="F28" s="202" t="s">
        <v>138</v>
      </c>
      <c r="G28" s="203" t="s">
        <v>82</v>
      </c>
      <c r="H28" s="204"/>
      <c r="I28" s="207">
        <v>0</v>
      </c>
      <c r="J28" s="163">
        <v>0</v>
      </c>
      <c r="K28" s="208">
        <v>6</v>
      </c>
      <c r="L28" s="169">
        <v>1</v>
      </c>
      <c r="M28" s="205"/>
      <c r="N28" s="169" t="s">
        <v>286</v>
      </c>
      <c r="O28" s="206" t="s">
        <v>591</v>
      </c>
      <c r="P28" s="219"/>
    </row>
    <row r="29" spans="1:16" ht="12.75" customHeight="1" x14ac:dyDescent="0.2">
      <c r="A29" s="199" t="s">
        <v>732</v>
      </c>
      <c r="B29" s="199" t="s">
        <v>732</v>
      </c>
      <c r="C29" s="200"/>
      <c r="D29" s="200" t="s">
        <v>237</v>
      </c>
      <c r="E29" s="201" t="s">
        <v>733</v>
      </c>
      <c r="F29" s="202" t="s">
        <v>138</v>
      </c>
      <c r="G29" s="203" t="s">
        <v>82</v>
      </c>
      <c r="H29" s="204"/>
      <c r="I29" s="207">
        <v>0</v>
      </c>
      <c r="J29" s="163">
        <v>0</v>
      </c>
      <c r="K29" s="208">
        <v>1</v>
      </c>
      <c r="L29" s="169" t="s">
        <v>289</v>
      </c>
      <c r="M29" s="205"/>
      <c r="N29" s="169" t="s">
        <v>278</v>
      </c>
      <c r="O29" s="206" t="s">
        <v>282</v>
      </c>
      <c r="P29" s="219"/>
    </row>
    <row r="30" spans="1:16" ht="12.75" customHeight="1" x14ac:dyDescent="0.2">
      <c r="A30" s="199" t="s">
        <v>377</v>
      </c>
      <c r="B30" s="238" t="s">
        <v>377</v>
      </c>
      <c r="C30" s="200"/>
      <c r="D30" s="200" t="s">
        <v>237</v>
      </c>
      <c r="E30" s="201" t="s">
        <v>734</v>
      </c>
      <c r="F30" s="202" t="s">
        <v>138</v>
      </c>
      <c r="G30" s="203" t="s">
        <v>82</v>
      </c>
      <c r="H30" s="204"/>
      <c r="I30" s="168">
        <v>0</v>
      </c>
      <c r="J30" s="169">
        <v>0</v>
      </c>
      <c r="K30" s="169">
        <v>1</v>
      </c>
      <c r="L30" s="169" t="s">
        <v>289</v>
      </c>
      <c r="M30" s="205"/>
      <c r="N30" s="169" t="s">
        <v>278</v>
      </c>
      <c r="O30" s="206" t="s">
        <v>282</v>
      </c>
      <c r="P30" s="219"/>
    </row>
    <row r="31" spans="1:16" ht="12.75" customHeight="1" x14ac:dyDescent="0.2">
      <c r="A31" s="199" t="s">
        <v>447</v>
      </c>
      <c r="B31" s="199" t="s">
        <v>447</v>
      </c>
      <c r="C31" s="200"/>
      <c r="D31" s="200" t="s">
        <v>237</v>
      </c>
      <c r="E31" s="201" t="s">
        <v>588</v>
      </c>
      <c r="F31" s="202" t="s">
        <v>138</v>
      </c>
      <c r="G31" s="203" t="s">
        <v>82</v>
      </c>
      <c r="H31" s="204"/>
      <c r="I31" s="207">
        <v>0</v>
      </c>
      <c r="J31" s="163">
        <v>0</v>
      </c>
      <c r="K31" s="208">
        <v>4</v>
      </c>
      <c r="L31" s="169">
        <v>1</v>
      </c>
      <c r="M31" s="205"/>
      <c r="N31" s="169" t="s">
        <v>286</v>
      </c>
      <c r="O31" s="206" t="s">
        <v>448</v>
      </c>
      <c r="P31" s="219"/>
    </row>
    <row r="32" spans="1:16" ht="12.75" customHeight="1" x14ac:dyDescent="0.2">
      <c r="A32" s="199" t="s">
        <v>663</v>
      </c>
      <c r="B32" s="199" t="s">
        <v>663</v>
      </c>
      <c r="C32" s="200"/>
      <c r="D32" s="200" t="s">
        <v>237</v>
      </c>
      <c r="E32" s="201" t="s">
        <v>589</v>
      </c>
      <c r="F32" s="202" t="s">
        <v>138</v>
      </c>
      <c r="G32" s="203" t="s">
        <v>82</v>
      </c>
      <c r="H32" s="204"/>
      <c r="I32" s="168">
        <v>0</v>
      </c>
      <c r="J32" s="169">
        <v>0</v>
      </c>
      <c r="K32" s="169">
        <v>1</v>
      </c>
      <c r="L32" s="169">
        <v>1</v>
      </c>
      <c r="M32" s="205"/>
      <c r="N32" s="169" t="s">
        <v>278</v>
      </c>
      <c r="O32" s="206" t="s">
        <v>282</v>
      </c>
      <c r="P32" s="219"/>
    </row>
    <row r="33" spans="1:16" ht="12.75" customHeight="1" x14ac:dyDescent="0.2">
      <c r="A33" s="199" t="s">
        <v>294</v>
      </c>
      <c r="B33" s="238" t="s">
        <v>294</v>
      </c>
      <c r="C33" s="200"/>
      <c r="D33" s="200" t="s">
        <v>237</v>
      </c>
      <c r="E33" s="201" t="s">
        <v>735</v>
      </c>
      <c r="F33" s="202" t="s">
        <v>138</v>
      </c>
      <c r="G33" s="203" t="s">
        <v>82</v>
      </c>
      <c r="H33" s="204"/>
      <c r="I33" s="168">
        <v>0</v>
      </c>
      <c r="J33" s="169">
        <v>0</v>
      </c>
      <c r="K33" s="169">
        <v>511</v>
      </c>
      <c r="L33" s="169" t="s">
        <v>289</v>
      </c>
      <c r="M33" s="205"/>
      <c r="N33" s="169" t="s">
        <v>284</v>
      </c>
      <c r="O33" s="164" t="s">
        <v>282</v>
      </c>
      <c r="P33" s="219"/>
    </row>
    <row r="34" spans="1:16" ht="12.75" customHeight="1" x14ac:dyDescent="0.2">
      <c r="A34" s="199" t="s">
        <v>297</v>
      </c>
      <c r="B34" s="199" t="s">
        <v>297</v>
      </c>
      <c r="C34" s="200"/>
      <c r="D34" s="200" t="s">
        <v>237</v>
      </c>
      <c r="E34" s="201" t="s">
        <v>594</v>
      </c>
      <c r="F34" s="202" t="s">
        <v>138</v>
      </c>
      <c r="G34" s="203" t="s">
        <v>82</v>
      </c>
      <c r="H34" s="204"/>
      <c r="I34" s="168" t="b">
        <v>0</v>
      </c>
      <c r="J34" s="169" t="b">
        <v>0</v>
      </c>
      <c r="K34" s="169" t="b">
        <v>1</v>
      </c>
      <c r="L34" s="169">
        <v>1</v>
      </c>
      <c r="M34" s="205"/>
      <c r="N34" s="169" t="s">
        <v>286</v>
      </c>
      <c r="O34" s="206" t="s">
        <v>285</v>
      </c>
      <c r="P34" s="219"/>
    </row>
    <row r="35" spans="1:16" ht="12.75" customHeight="1" x14ac:dyDescent="0.2">
      <c r="A35" s="199" t="s">
        <v>568</v>
      </c>
      <c r="B35" s="199" t="s">
        <v>568</v>
      </c>
      <c r="C35" s="200"/>
      <c r="D35" s="200" t="s">
        <v>237</v>
      </c>
      <c r="E35" s="201" t="s">
        <v>598</v>
      </c>
      <c r="F35" s="202" t="s">
        <v>140</v>
      </c>
      <c r="G35" s="203" t="s">
        <v>82</v>
      </c>
      <c r="H35" s="204"/>
      <c r="I35" s="163">
        <v>0</v>
      </c>
      <c r="J35" s="163">
        <v>0</v>
      </c>
      <c r="K35" s="211">
        <v>3</v>
      </c>
      <c r="L35" s="169">
        <v>1</v>
      </c>
      <c r="M35" s="205">
        <v>0</v>
      </c>
      <c r="N35" s="169" t="s">
        <v>286</v>
      </c>
      <c r="O35" s="206" t="s">
        <v>596</v>
      </c>
      <c r="P35" s="219"/>
    </row>
    <row r="36" spans="1:16" ht="12.75" customHeight="1" x14ac:dyDescent="0.2">
      <c r="A36" s="199" t="s">
        <v>570</v>
      </c>
      <c r="B36" s="199" t="s">
        <v>570</v>
      </c>
      <c r="C36" s="200"/>
      <c r="D36" s="200" t="s">
        <v>237</v>
      </c>
      <c r="E36" s="201" t="s">
        <v>736</v>
      </c>
      <c r="F36" s="202" t="s">
        <v>140</v>
      </c>
      <c r="G36" s="203" t="s">
        <v>82</v>
      </c>
      <c r="H36" s="204"/>
      <c r="I36" s="163">
        <v>0</v>
      </c>
      <c r="J36" s="163">
        <v>0</v>
      </c>
      <c r="K36" s="211">
        <v>7</v>
      </c>
      <c r="L36" s="169">
        <v>1</v>
      </c>
      <c r="M36" s="205">
        <v>0</v>
      </c>
      <c r="N36" s="169" t="s">
        <v>286</v>
      </c>
      <c r="O36" s="206" t="s">
        <v>595</v>
      </c>
      <c r="P36" s="219"/>
    </row>
    <row r="37" spans="1:16" ht="12.75" customHeight="1" x14ac:dyDescent="0.2">
      <c r="A37" s="199" t="s">
        <v>378</v>
      </c>
      <c r="B37" s="199" t="s">
        <v>378</v>
      </c>
      <c r="C37" s="200"/>
      <c r="D37" s="200" t="s">
        <v>237</v>
      </c>
      <c r="E37" s="201" t="s">
        <v>661</v>
      </c>
      <c r="F37" s="202" t="s">
        <v>140</v>
      </c>
      <c r="G37" s="203" t="s">
        <v>82</v>
      </c>
      <c r="H37" s="204"/>
      <c r="I37" s="168" t="b">
        <v>0</v>
      </c>
      <c r="J37" s="169" t="b">
        <v>0</v>
      </c>
      <c r="K37" s="169" t="b">
        <v>1</v>
      </c>
      <c r="L37" s="163">
        <v>1</v>
      </c>
      <c r="M37" s="205">
        <v>0</v>
      </c>
      <c r="N37" s="169" t="s">
        <v>286</v>
      </c>
      <c r="O37" s="206" t="s">
        <v>285</v>
      </c>
      <c r="P37" s="219"/>
    </row>
    <row r="38" spans="1:16" ht="12.75" customHeight="1" x14ac:dyDescent="0.2">
      <c r="A38" s="199" t="s">
        <v>571</v>
      </c>
      <c r="B38" s="199" t="s">
        <v>571</v>
      </c>
      <c r="C38" s="200"/>
      <c r="D38" s="200" t="s">
        <v>237</v>
      </c>
      <c r="E38" s="201" t="s">
        <v>662</v>
      </c>
      <c r="F38" s="202" t="s">
        <v>140</v>
      </c>
      <c r="G38" s="203" t="s">
        <v>82</v>
      </c>
      <c r="H38" s="204"/>
      <c r="I38" s="207">
        <v>0</v>
      </c>
      <c r="J38" s="163">
        <v>0</v>
      </c>
      <c r="K38" s="208">
        <v>4</v>
      </c>
      <c r="L38" s="163">
        <v>1</v>
      </c>
      <c r="M38" s="205">
        <v>0</v>
      </c>
      <c r="N38" s="169" t="s">
        <v>286</v>
      </c>
      <c r="O38" s="206" t="s">
        <v>597</v>
      </c>
      <c r="P38" s="219"/>
    </row>
    <row r="39" spans="1:16" ht="12.75" customHeight="1" x14ac:dyDescent="0.2">
      <c r="A39" s="199" t="s">
        <v>599</v>
      </c>
      <c r="B39" s="200" t="s">
        <v>599</v>
      </c>
      <c r="C39" s="200"/>
      <c r="D39" s="200" t="s">
        <v>237</v>
      </c>
      <c r="E39" s="209" t="s">
        <v>600</v>
      </c>
      <c r="F39" s="202" t="s">
        <v>140</v>
      </c>
      <c r="G39" s="203" t="s">
        <v>82</v>
      </c>
      <c r="H39" s="204"/>
      <c r="I39" s="168">
        <v>0</v>
      </c>
      <c r="J39" s="173">
        <v>0</v>
      </c>
      <c r="K39" s="173">
        <v>2000</v>
      </c>
      <c r="L39" s="163" t="s">
        <v>289</v>
      </c>
      <c r="M39" s="205">
        <v>0.1</v>
      </c>
      <c r="N39" s="169" t="s">
        <v>348</v>
      </c>
      <c r="O39" s="206" t="s">
        <v>282</v>
      </c>
      <c r="P39" s="219"/>
    </row>
    <row r="40" spans="1:16" ht="12.75" customHeight="1" x14ac:dyDescent="0.2">
      <c r="A40" s="199" t="s">
        <v>379</v>
      </c>
      <c r="B40" s="199" t="s">
        <v>379</v>
      </c>
      <c r="C40" s="200"/>
      <c r="D40" s="200" t="s">
        <v>237</v>
      </c>
      <c r="E40" s="201" t="s">
        <v>737</v>
      </c>
      <c r="F40" s="202" t="s">
        <v>140</v>
      </c>
      <c r="G40" s="203" t="s">
        <v>82</v>
      </c>
      <c r="H40" s="204"/>
      <c r="I40" s="168" t="b">
        <v>0</v>
      </c>
      <c r="J40" s="169" t="b">
        <v>0</v>
      </c>
      <c r="K40" s="169" t="b">
        <v>1</v>
      </c>
      <c r="L40" s="163">
        <v>1</v>
      </c>
      <c r="M40" s="205">
        <v>0</v>
      </c>
      <c r="N40" s="169" t="s">
        <v>286</v>
      </c>
      <c r="O40" s="206" t="s">
        <v>285</v>
      </c>
      <c r="P40" s="219"/>
    </row>
    <row r="41" spans="1:16" ht="12.75" customHeight="1" x14ac:dyDescent="0.2">
      <c r="A41" s="199" t="s">
        <v>738</v>
      </c>
      <c r="B41" s="199" t="s">
        <v>738</v>
      </c>
      <c r="C41" s="200"/>
      <c r="D41" s="200" t="s">
        <v>237</v>
      </c>
      <c r="E41" s="201" t="s">
        <v>739</v>
      </c>
      <c r="F41" s="202" t="s">
        <v>140</v>
      </c>
      <c r="G41" s="203" t="s">
        <v>82</v>
      </c>
      <c r="H41" s="204"/>
      <c r="I41" s="168">
        <v>0</v>
      </c>
      <c r="J41" s="169">
        <v>0</v>
      </c>
      <c r="K41" s="169">
        <v>1</v>
      </c>
      <c r="L41" s="163" t="s">
        <v>289</v>
      </c>
      <c r="M41" s="205">
        <v>5.0000000000000001E-4</v>
      </c>
      <c r="N41" s="169" t="s">
        <v>278</v>
      </c>
      <c r="O41" s="206" t="s">
        <v>282</v>
      </c>
      <c r="P41" s="219"/>
    </row>
    <row r="42" spans="1:16" ht="12.75" customHeight="1" x14ac:dyDescent="0.2">
      <c r="A42" s="199" t="s">
        <v>380</v>
      </c>
      <c r="B42" s="199" t="s">
        <v>380</v>
      </c>
      <c r="C42" s="200"/>
      <c r="D42" s="200" t="s">
        <v>237</v>
      </c>
      <c r="E42" s="201" t="s">
        <v>601</v>
      </c>
      <c r="F42" s="202" t="s">
        <v>140</v>
      </c>
      <c r="G42" s="203" t="s">
        <v>82</v>
      </c>
      <c r="H42" s="204"/>
      <c r="I42" s="168" t="b">
        <v>0</v>
      </c>
      <c r="J42" s="169" t="b">
        <v>0</v>
      </c>
      <c r="K42" s="169" t="b">
        <v>1</v>
      </c>
      <c r="L42" s="163">
        <v>1</v>
      </c>
      <c r="M42" s="205">
        <v>0</v>
      </c>
      <c r="N42" s="169" t="s">
        <v>286</v>
      </c>
      <c r="O42" s="206" t="s">
        <v>285</v>
      </c>
      <c r="P42" s="219"/>
    </row>
    <row r="43" spans="1:16" ht="12.75" customHeight="1" x14ac:dyDescent="0.2">
      <c r="A43" s="199" t="s">
        <v>381</v>
      </c>
      <c r="B43" s="199" t="s">
        <v>381</v>
      </c>
      <c r="C43" s="200"/>
      <c r="D43" s="200" t="s">
        <v>237</v>
      </c>
      <c r="E43" s="201" t="s">
        <v>602</v>
      </c>
      <c r="F43" s="202" t="s">
        <v>140</v>
      </c>
      <c r="G43" s="203" t="s">
        <v>82</v>
      </c>
      <c r="H43" s="204"/>
      <c r="I43" s="168" t="b">
        <v>0</v>
      </c>
      <c r="J43" s="169" t="b">
        <v>0</v>
      </c>
      <c r="K43" s="169" t="b">
        <v>1</v>
      </c>
      <c r="L43" s="163">
        <v>1</v>
      </c>
      <c r="M43" s="205">
        <v>0</v>
      </c>
      <c r="N43" s="169" t="s">
        <v>286</v>
      </c>
      <c r="O43" s="206" t="s">
        <v>285</v>
      </c>
      <c r="P43" s="219"/>
    </row>
    <row r="44" spans="1:16" ht="12.75" customHeight="1" x14ac:dyDescent="0.2">
      <c r="A44" s="199" t="s">
        <v>382</v>
      </c>
      <c r="B44" s="199" t="s">
        <v>382</v>
      </c>
      <c r="C44" s="200"/>
      <c r="D44" s="200" t="s">
        <v>237</v>
      </c>
      <c r="E44" s="201" t="s">
        <v>603</v>
      </c>
      <c r="F44" s="202" t="s">
        <v>140</v>
      </c>
      <c r="G44" s="203" t="s">
        <v>82</v>
      </c>
      <c r="H44" s="204"/>
      <c r="I44" s="168" t="b">
        <v>0</v>
      </c>
      <c r="J44" s="169" t="b">
        <v>0</v>
      </c>
      <c r="K44" s="169" t="b">
        <v>1</v>
      </c>
      <c r="L44" s="169">
        <v>1</v>
      </c>
      <c r="M44" s="205">
        <v>0</v>
      </c>
      <c r="N44" s="169" t="s">
        <v>286</v>
      </c>
      <c r="O44" s="206" t="s">
        <v>285</v>
      </c>
      <c r="P44" s="219"/>
    </row>
    <row r="45" spans="1:16" ht="12.75" customHeight="1" x14ac:dyDescent="0.2">
      <c r="A45" s="199" t="s">
        <v>383</v>
      </c>
      <c r="B45" s="199" t="s">
        <v>383</v>
      </c>
      <c r="C45" s="200"/>
      <c r="D45" s="200" t="s">
        <v>237</v>
      </c>
      <c r="E45" s="201" t="s">
        <v>604</v>
      </c>
      <c r="F45" s="202" t="s">
        <v>140</v>
      </c>
      <c r="G45" s="203" t="s">
        <v>82</v>
      </c>
      <c r="H45" s="204"/>
      <c r="I45" s="168" t="b">
        <v>0</v>
      </c>
      <c r="J45" s="169" t="b">
        <v>0</v>
      </c>
      <c r="K45" s="169" t="b">
        <v>1</v>
      </c>
      <c r="L45" s="169">
        <v>1</v>
      </c>
      <c r="M45" s="205">
        <v>0</v>
      </c>
      <c r="N45" s="169" t="s">
        <v>286</v>
      </c>
      <c r="O45" s="206" t="s">
        <v>285</v>
      </c>
      <c r="P45" s="219"/>
    </row>
    <row r="46" spans="1:16" ht="12.75" customHeight="1" x14ac:dyDescent="0.2">
      <c r="A46" s="199" t="s">
        <v>384</v>
      </c>
      <c r="B46" s="199" t="s">
        <v>384</v>
      </c>
      <c r="C46" s="200"/>
      <c r="D46" s="200" t="s">
        <v>237</v>
      </c>
      <c r="E46" s="201" t="s">
        <v>664</v>
      </c>
      <c r="F46" s="202" t="s">
        <v>140</v>
      </c>
      <c r="G46" s="203" t="s">
        <v>82</v>
      </c>
      <c r="H46" s="204"/>
      <c r="I46" s="168" t="b">
        <v>0</v>
      </c>
      <c r="J46" s="169" t="b">
        <v>0</v>
      </c>
      <c r="K46" s="169" t="b">
        <v>1</v>
      </c>
      <c r="L46" s="169">
        <v>1</v>
      </c>
      <c r="M46" s="205">
        <v>0</v>
      </c>
      <c r="N46" s="169" t="s">
        <v>286</v>
      </c>
      <c r="O46" s="206" t="s">
        <v>285</v>
      </c>
      <c r="P46" s="219"/>
    </row>
    <row r="47" spans="1:16" ht="12.75" customHeight="1" x14ac:dyDescent="0.2">
      <c r="A47" s="199" t="s">
        <v>300</v>
      </c>
      <c r="B47" s="199" t="s">
        <v>300</v>
      </c>
      <c r="C47" s="200"/>
      <c r="D47" s="200" t="s">
        <v>237</v>
      </c>
      <c r="E47" s="201" t="s">
        <v>605</v>
      </c>
      <c r="F47" s="202" t="s">
        <v>140</v>
      </c>
      <c r="G47" s="203" t="s">
        <v>82</v>
      </c>
      <c r="H47" s="204"/>
      <c r="I47" s="168" t="b">
        <v>0</v>
      </c>
      <c r="J47" s="169" t="b">
        <v>0</v>
      </c>
      <c r="K47" s="169" t="b">
        <v>1</v>
      </c>
      <c r="L47" s="169">
        <v>1</v>
      </c>
      <c r="M47" s="205">
        <v>0</v>
      </c>
      <c r="N47" s="169" t="s">
        <v>286</v>
      </c>
      <c r="O47" s="206" t="s">
        <v>285</v>
      </c>
      <c r="P47" s="219"/>
    </row>
    <row r="48" spans="1:16" ht="12.75" customHeight="1" x14ac:dyDescent="0.2">
      <c r="A48" s="199" t="s">
        <v>299</v>
      </c>
      <c r="B48" s="199" t="s">
        <v>299</v>
      </c>
      <c r="C48" s="200"/>
      <c r="D48" s="200" t="s">
        <v>237</v>
      </c>
      <c r="E48" s="201" t="s">
        <v>666</v>
      </c>
      <c r="F48" s="202" t="s">
        <v>140</v>
      </c>
      <c r="G48" s="203" t="s">
        <v>82</v>
      </c>
      <c r="H48" s="204"/>
      <c r="I48" s="168">
        <v>0</v>
      </c>
      <c r="J48" s="169">
        <v>-1600</v>
      </c>
      <c r="K48" s="169">
        <v>1600</v>
      </c>
      <c r="L48" s="163" t="s">
        <v>289</v>
      </c>
      <c r="M48" s="205">
        <v>0.1</v>
      </c>
      <c r="N48" s="169" t="s">
        <v>277</v>
      </c>
      <c r="O48" s="206" t="s">
        <v>282</v>
      </c>
      <c r="P48" s="219"/>
    </row>
    <row r="49" spans="1:24" ht="12.75" customHeight="1" x14ac:dyDescent="0.2">
      <c r="A49" s="199" t="s">
        <v>740</v>
      </c>
      <c r="B49" s="266" t="s">
        <v>740</v>
      </c>
      <c r="C49" s="200"/>
      <c r="D49" s="200" t="s">
        <v>237</v>
      </c>
      <c r="E49" s="201" t="s">
        <v>741</v>
      </c>
      <c r="F49" s="202" t="s">
        <v>143</v>
      </c>
      <c r="G49" s="203" t="s">
        <v>82</v>
      </c>
      <c r="H49" s="204"/>
      <c r="I49" s="168">
        <v>0</v>
      </c>
      <c r="J49" s="169">
        <v>0</v>
      </c>
      <c r="K49" s="169">
        <v>1</v>
      </c>
      <c r="L49" s="163" t="s">
        <v>289</v>
      </c>
      <c r="M49" s="205">
        <v>0.1</v>
      </c>
      <c r="N49" s="169" t="s">
        <v>278</v>
      </c>
      <c r="O49" s="206" t="s">
        <v>282</v>
      </c>
      <c r="P49" s="219"/>
    </row>
    <row r="50" spans="1:24" s="267" customFormat="1" ht="12.75" customHeight="1" x14ac:dyDescent="0.2">
      <c r="A50" s="253" t="s">
        <v>771</v>
      </c>
      <c r="B50" s="282" t="s">
        <v>771</v>
      </c>
      <c r="C50" s="254"/>
      <c r="D50" s="254" t="s">
        <v>237</v>
      </c>
      <c r="E50" s="252" t="s">
        <v>782</v>
      </c>
      <c r="F50" s="255" t="s">
        <v>143</v>
      </c>
      <c r="G50" s="256" t="s">
        <v>82</v>
      </c>
      <c r="H50" s="257"/>
      <c r="I50" s="262" t="b">
        <v>0</v>
      </c>
      <c r="J50" s="259" t="b">
        <v>0</v>
      </c>
      <c r="K50" s="259" t="b">
        <v>1</v>
      </c>
      <c r="L50" s="258">
        <v>1</v>
      </c>
      <c r="M50" s="260">
        <v>0</v>
      </c>
      <c r="N50" s="259" t="s">
        <v>286</v>
      </c>
      <c r="O50" s="261" t="s">
        <v>285</v>
      </c>
      <c r="P50" s="241"/>
      <c r="Q50" s="175"/>
      <c r="R50" s="175"/>
      <c r="S50" s="176"/>
      <c r="T50" s="176"/>
      <c r="U50" s="176"/>
      <c r="V50" s="176"/>
      <c r="W50" s="176"/>
      <c r="X50" s="176"/>
    </row>
    <row r="51" spans="1:24" s="267" customFormat="1" ht="12.75" customHeight="1" x14ac:dyDescent="0.2">
      <c r="A51" s="253" t="s">
        <v>772</v>
      </c>
      <c r="B51" s="282" t="s">
        <v>772</v>
      </c>
      <c r="C51" s="254"/>
      <c r="D51" s="254" t="s">
        <v>237</v>
      </c>
      <c r="E51" s="252" t="s">
        <v>781</v>
      </c>
      <c r="F51" s="255" t="s">
        <v>143</v>
      </c>
      <c r="G51" s="256" t="s">
        <v>82</v>
      </c>
      <c r="H51" s="257"/>
      <c r="I51" s="262" t="b">
        <v>0</v>
      </c>
      <c r="J51" s="259" t="b">
        <v>0</v>
      </c>
      <c r="K51" s="259" t="b">
        <v>1</v>
      </c>
      <c r="L51" s="258">
        <v>1</v>
      </c>
      <c r="M51" s="260">
        <v>0</v>
      </c>
      <c r="N51" s="259" t="s">
        <v>286</v>
      </c>
      <c r="O51" s="261" t="s">
        <v>285</v>
      </c>
      <c r="P51" s="241"/>
      <c r="Q51" s="175"/>
      <c r="R51" s="175"/>
      <c r="S51" s="176"/>
      <c r="T51" s="176"/>
      <c r="U51" s="176"/>
      <c r="V51" s="176"/>
      <c r="W51" s="176"/>
      <c r="X51" s="176"/>
    </row>
    <row r="52" spans="1:24" s="267" customFormat="1" ht="12.75" customHeight="1" x14ac:dyDescent="0.2">
      <c r="A52" s="253" t="s">
        <v>773</v>
      </c>
      <c r="B52" s="282" t="s">
        <v>773</v>
      </c>
      <c r="C52" s="254"/>
      <c r="D52" s="254" t="s">
        <v>237</v>
      </c>
      <c r="E52" s="252" t="s">
        <v>780</v>
      </c>
      <c r="F52" s="255" t="s">
        <v>143</v>
      </c>
      <c r="G52" s="256" t="s">
        <v>82</v>
      </c>
      <c r="H52" s="257"/>
      <c r="I52" s="262" t="b">
        <v>0</v>
      </c>
      <c r="J52" s="259" t="b">
        <v>0</v>
      </c>
      <c r="K52" s="259" t="b">
        <v>1</v>
      </c>
      <c r="L52" s="258">
        <v>1</v>
      </c>
      <c r="M52" s="260">
        <v>0</v>
      </c>
      <c r="N52" s="259" t="s">
        <v>286</v>
      </c>
      <c r="O52" s="261" t="s">
        <v>285</v>
      </c>
      <c r="P52" s="241"/>
      <c r="Q52" s="175"/>
      <c r="R52" s="175"/>
      <c r="S52" s="176"/>
      <c r="T52" s="176"/>
      <c r="U52" s="176"/>
      <c r="V52" s="176"/>
      <c r="W52" s="176"/>
      <c r="X52" s="176"/>
    </row>
    <row r="53" spans="1:24" s="267" customFormat="1" ht="12.75" customHeight="1" x14ac:dyDescent="0.2">
      <c r="A53" s="253" t="s">
        <v>774</v>
      </c>
      <c r="B53" s="282" t="s">
        <v>774</v>
      </c>
      <c r="C53" s="254"/>
      <c r="D53" s="254" t="s">
        <v>237</v>
      </c>
      <c r="E53" s="252" t="s">
        <v>779</v>
      </c>
      <c r="F53" s="255" t="s">
        <v>143</v>
      </c>
      <c r="G53" s="256" t="s">
        <v>82</v>
      </c>
      <c r="H53" s="257"/>
      <c r="I53" s="262" t="b">
        <v>0</v>
      </c>
      <c r="J53" s="259" t="b">
        <v>0</v>
      </c>
      <c r="K53" s="259" t="b">
        <v>1</v>
      </c>
      <c r="L53" s="258">
        <v>1</v>
      </c>
      <c r="M53" s="260">
        <v>0</v>
      </c>
      <c r="N53" s="259" t="s">
        <v>286</v>
      </c>
      <c r="O53" s="261" t="s">
        <v>285</v>
      </c>
      <c r="P53" s="241"/>
      <c r="Q53" s="175"/>
      <c r="R53" s="175"/>
      <c r="S53" s="176"/>
      <c r="T53" s="176"/>
      <c r="U53" s="176"/>
      <c r="V53" s="176"/>
      <c r="W53" s="176"/>
      <c r="X53" s="176"/>
    </row>
    <row r="54" spans="1:24" s="267" customFormat="1" ht="12.75" customHeight="1" x14ac:dyDescent="0.2">
      <c r="A54" s="253" t="s">
        <v>775</v>
      </c>
      <c r="B54" s="282" t="s">
        <v>775</v>
      </c>
      <c r="C54" s="254"/>
      <c r="D54" s="254" t="s">
        <v>237</v>
      </c>
      <c r="E54" s="252" t="s">
        <v>778</v>
      </c>
      <c r="F54" s="255" t="s">
        <v>143</v>
      </c>
      <c r="G54" s="256" t="s">
        <v>82</v>
      </c>
      <c r="H54" s="257"/>
      <c r="I54" s="262" t="b">
        <v>0</v>
      </c>
      <c r="J54" s="259" t="b">
        <v>0</v>
      </c>
      <c r="K54" s="259" t="b">
        <v>1</v>
      </c>
      <c r="L54" s="258">
        <v>1</v>
      </c>
      <c r="M54" s="260">
        <v>0</v>
      </c>
      <c r="N54" s="259" t="s">
        <v>286</v>
      </c>
      <c r="O54" s="261" t="s">
        <v>285</v>
      </c>
      <c r="P54" s="241"/>
      <c r="Q54" s="175"/>
      <c r="R54" s="175"/>
      <c r="S54" s="176"/>
      <c r="T54" s="176"/>
      <c r="U54" s="176"/>
      <c r="V54" s="176"/>
      <c r="W54" s="176"/>
      <c r="X54" s="176"/>
    </row>
    <row r="55" spans="1:24" s="267" customFormat="1" ht="12.75" customHeight="1" x14ac:dyDescent="0.2">
      <c r="A55" s="253" t="s">
        <v>776</v>
      </c>
      <c r="B55" s="282" t="s">
        <v>776</v>
      </c>
      <c r="C55" s="254"/>
      <c r="D55" s="254" t="s">
        <v>237</v>
      </c>
      <c r="E55" s="252" t="s">
        <v>777</v>
      </c>
      <c r="F55" s="255" t="s">
        <v>143</v>
      </c>
      <c r="G55" s="256" t="s">
        <v>82</v>
      </c>
      <c r="H55" s="257"/>
      <c r="I55" s="262" t="b">
        <v>0</v>
      </c>
      <c r="J55" s="259" t="b">
        <v>0</v>
      </c>
      <c r="K55" s="259" t="b">
        <v>1</v>
      </c>
      <c r="L55" s="258">
        <v>1</v>
      </c>
      <c r="M55" s="260">
        <v>0</v>
      </c>
      <c r="N55" s="259" t="s">
        <v>286</v>
      </c>
      <c r="O55" s="261" t="s">
        <v>285</v>
      </c>
      <c r="P55" s="241"/>
      <c r="Q55" s="175"/>
      <c r="R55" s="175"/>
      <c r="S55" s="176"/>
      <c r="T55" s="176"/>
      <c r="U55" s="176"/>
      <c r="V55" s="176"/>
      <c r="W55" s="176"/>
      <c r="X55" s="176"/>
    </row>
    <row r="56" spans="1:24" ht="12.75" customHeight="1" x14ac:dyDescent="0.2">
      <c r="A56" s="199" t="s">
        <v>626</v>
      </c>
      <c r="B56" s="200" t="s">
        <v>626</v>
      </c>
      <c r="C56" s="200"/>
      <c r="D56" s="200" t="s">
        <v>237</v>
      </c>
      <c r="E56" s="209" t="s">
        <v>649</v>
      </c>
      <c r="F56" s="202" t="s">
        <v>143</v>
      </c>
      <c r="G56" s="203" t="s">
        <v>82</v>
      </c>
      <c r="H56" s="204"/>
      <c r="I56" s="168">
        <v>0</v>
      </c>
      <c r="J56" s="168">
        <v>0</v>
      </c>
      <c r="K56" s="169">
        <v>65535</v>
      </c>
      <c r="L56" s="163">
        <v>1</v>
      </c>
      <c r="M56" s="205">
        <v>0</v>
      </c>
      <c r="N56" s="169" t="s">
        <v>286</v>
      </c>
      <c r="O56" s="206" t="s">
        <v>276</v>
      </c>
      <c r="P56" s="241"/>
    </row>
    <row r="57" spans="1:24" ht="12.75" customHeight="1" x14ac:dyDescent="0.2">
      <c r="A57" s="199" t="s">
        <v>627</v>
      </c>
      <c r="B57" s="200" t="s">
        <v>627</v>
      </c>
      <c r="C57" s="200"/>
      <c r="D57" s="200" t="s">
        <v>237</v>
      </c>
      <c r="E57" s="209" t="s">
        <v>650</v>
      </c>
      <c r="F57" s="202" t="s">
        <v>143</v>
      </c>
      <c r="G57" s="203" t="s">
        <v>82</v>
      </c>
      <c r="H57" s="204"/>
      <c r="I57" s="168">
        <v>0</v>
      </c>
      <c r="J57" s="168">
        <v>0</v>
      </c>
      <c r="K57" s="169">
        <v>65535</v>
      </c>
      <c r="L57" s="163">
        <v>1</v>
      </c>
      <c r="M57" s="205">
        <v>0</v>
      </c>
      <c r="N57" s="169" t="s">
        <v>286</v>
      </c>
      <c r="O57" s="206" t="s">
        <v>276</v>
      </c>
      <c r="P57" s="241"/>
    </row>
    <row r="58" spans="1:24" ht="12.75" customHeight="1" x14ac:dyDescent="0.2">
      <c r="A58" s="199" t="s">
        <v>640</v>
      </c>
      <c r="B58" s="200" t="s">
        <v>640</v>
      </c>
      <c r="C58" s="200"/>
      <c r="D58" s="200" t="s">
        <v>237</v>
      </c>
      <c r="E58" s="209" t="s">
        <v>651</v>
      </c>
      <c r="F58" s="202" t="s">
        <v>143</v>
      </c>
      <c r="G58" s="203" t="s">
        <v>82</v>
      </c>
      <c r="H58" s="204"/>
      <c r="I58" s="168">
        <v>0</v>
      </c>
      <c r="J58" s="168">
        <v>0</v>
      </c>
      <c r="K58" s="169">
        <v>100</v>
      </c>
      <c r="L58" s="163" t="s">
        <v>289</v>
      </c>
      <c r="M58" s="205">
        <v>0.1</v>
      </c>
      <c r="N58" s="169" t="s">
        <v>355</v>
      </c>
      <c r="O58" s="206" t="s">
        <v>282</v>
      </c>
      <c r="P58" s="241"/>
    </row>
    <row r="59" spans="1:24" ht="12.75" customHeight="1" x14ac:dyDescent="0.2">
      <c r="A59" s="199" t="s">
        <v>628</v>
      </c>
      <c r="B59" s="200" t="s">
        <v>628</v>
      </c>
      <c r="C59" s="200"/>
      <c r="D59" s="200" t="s">
        <v>237</v>
      </c>
      <c r="E59" s="209" t="s">
        <v>652</v>
      </c>
      <c r="F59" s="202" t="s">
        <v>143</v>
      </c>
      <c r="G59" s="203" t="s">
        <v>82</v>
      </c>
      <c r="H59" s="204"/>
      <c r="I59" s="168">
        <v>0</v>
      </c>
      <c r="J59" s="168">
        <v>0</v>
      </c>
      <c r="K59" s="169">
        <v>65535</v>
      </c>
      <c r="L59" s="163">
        <v>1</v>
      </c>
      <c r="M59" s="205">
        <v>0</v>
      </c>
      <c r="N59" s="169" t="s">
        <v>286</v>
      </c>
      <c r="O59" s="206" t="s">
        <v>276</v>
      </c>
      <c r="P59" s="241"/>
    </row>
    <row r="60" spans="1:24" ht="12.75" customHeight="1" x14ac:dyDescent="0.2">
      <c r="A60" s="199" t="s">
        <v>629</v>
      </c>
      <c r="B60" s="200" t="s">
        <v>629</v>
      </c>
      <c r="C60" s="200"/>
      <c r="D60" s="200" t="s">
        <v>237</v>
      </c>
      <c r="E60" s="209" t="s">
        <v>653</v>
      </c>
      <c r="F60" s="202" t="s">
        <v>143</v>
      </c>
      <c r="G60" s="203" t="s">
        <v>82</v>
      </c>
      <c r="H60" s="204"/>
      <c r="I60" s="168">
        <v>0</v>
      </c>
      <c r="J60" s="168">
        <v>0</v>
      </c>
      <c r="K60" s="169">
        <v>65535</v>
      </c>
      <c r="L60" s="163">
        <v>1</v>
      </c>
      <c r="M60" s="205">
        <v>0</v>
      </c>
      <c r="N60" s="169" t="s">
        <v>286</v>
      </c>
      <c r="O60" s="206" t="s">
        <v>276</v>
      </c>
      <c r="P60" s="241"/>
    </row>
    <row r="61" spans="1:24" ht="12.75" customHeight="1" x14ac:dyDescent="0.2">
      <c r="A61" s="199" t="s">
        <v>641</v>
      </c>
      <c r="B61" s="200" t="s">
        <v>641</v>
      </c>
      <c r="C61" s="200"/>
      <c r="D61" s="200" t="s">
        <v>237</v>
      </c>
      <c r="E61" s="209" t="s">
        <v>654</v>
      </c>
      <c r="F61" s="202" t="s">
        <v>143</v>
      </c>
      <c r="G61" s="203" t="s">
        <v>82</v>
      </c>
      <c r="H61" s="204"/>
      <c r="I61" s="168">
        <v>0</v>
      </c>
      <c r="J61" s="168">
        <v>0</v>
      </c>
      <c r="K61" s="169">
        <v>1440</v>
      </c>
      <c r="L61" s="163" t="s">
        <v>289</v>
      </c>
      <c r="M61" s="205">
        <v>0.1</v>
      </c>
      <c r="N61" s="169" t="s">
        <v>277</v>
      </c>
      <c r="O61" s="206" t="s">
        <v>282</v>
      </c>
      <c r="P61" s="241"/>
    </row>
    <row r="62" spans="1:24" ht="12.75" customHeight="1" x14ac:dyDescent="0.2">
      <c r="A62" s="199" t="s">
        <v>630</v>
      </c>
      <c r="B62" s="200" t="s">
        <v>630</v>
      </c>
      <c r="C62" s="200"/>
      <c r="D62" s="200" t="s">
        <v>237</v>
      </c>
      <c r="E62" s="209" t="s">
        <v>655</v>
      </c>
      <c r="F62" s="202" t="s">
        <v>143</v>
      </c>
      <c r="G62" s="203" t="s">
        <v>82</v>
      </c>
      <c r="H62" s="204"/>
      <c r="I62" s="168">
        <v>0</v>
      </c>
      <c r="J62" s="168">
        <v>0</v>
      </c>
      <c r="K62" s="169">
        <v>65535</v>
      </c>
      <c r="L62" s="163">
        <v>1</v>
      </c>
      <c r="M62" s="205">
        <v>0</v>
      </c>
      <c r="N62" s="169" t="s">
        <v>286</v>
      </c>
      <c r="O62" s="206" t="s">
        <v>276</v>
      </c>
      <c r="P62" s="241"/>
    </row>
    <row r="63" spans="1:24" ht="12.75" customHeight="1" x14ac:dyDescent="0.2">
      <c r="A63" s="199" t="s">
        <v>631</v>
      </c>
      <c r="B63" s="200" t="s">
        <v>631</v>
      </c>
      <c r="C63" s="200"/>
      <c r="D63" s="200" t="s">
        <v>237</v>
      </c>
      <c r="E63" s="209" t="s">
        <v>656</v>
      </c>
      <c r="F63" s="202" t="s">
        <v>143</v>
      </c>
      <c r="G63" s="203" t="s">
        <v>82</v>
      </c>
      <c r="H63" s="204"/>
      <c r="I63" s="168">
        <v>0</v>
      </c>
      <c r="J63" s="168">
        <v>0</v>
      </c>
      <c r="K63" s="169">
        <v>65535</v>
      </c>
      <c r="L63" s="163">
        <v>1</v>
      </c>
      <c r="M63" s="205">
        <v>0</v>
      </c>
      <c r="N63" s="169" t="s">
        <v>286</v>
      </c>
      <c r="O63" s="206" t="s">
        <v>276</v>
      </c>
      <c r="P63" s="241"/>
    </row>
    <row r="64" spans="1:24" ht="12.75" customHeight="1" x14ac:dyDescent="0.2">
      <c r="A64" s="199" t="s">
        <v>642</v>
      </c>
      <c r="B64" s="200" t="s">
        <v>642</v>
      </c>
      <c r="C64" s="200"/>
      <c r="D64" s="200" t="s">
        <v>237</v>
      </c>
      <c r="E64" s="209" t="s">
        <v>657</v>
      </c>
      <c r="F64" s="202" t="s">
        <v>143</v>
      </c>
      <c r="G64" s="203" t="s">
        <v>82</v>
      </c>
      <c r="H64" s="204"/>
      <c r="I64" s="168">
        <v>0</v>
      </c>
      <c r="J64" s="168">
        <v>0</v>
      </c>
      <c r="K64" s="169">
        <v>100</v>
      </c>
      <c r="L64" s="163" t="s">
        <v>289</v>
      </c>
      <c r="M64" s="205">
        <v>0.1</v>
      </c>
      <c r="N64" s="169" t="s">
        <v>355</v>
      </c>
      <c r="O64" s="206" t="s">
        <v>282</v>
      </c>
      <c r="P64" s="241"/>
    </row>
    <row r="65" spans="1:16" ht="12.75" customHeight="1" x14ac:dyDescent="0.2">
      <c r="A65" s="199" t="s">
        <v>615</v>
      </c>
      <c r="B65" s="200" t="s">
        <v>615</v>
      </c>
      <c r="C65" s="200"/>
      <c r="D65" s="200" t="s">
        <v>237</v>
      </c>
      <c r="E65" s="209" t="s">
        <v>658</v>
      </c>
      <c r="F65" s="202" t="s">
        <v>143</v>
      </c>
      <c r="G65" s="203" t="s">
        <v>82</v>
      </c>
      <c r="H65" s="204"/>
      <c r="I65" s="168" t="b">
        <v>0</v>
      </c>
      <c r="J65" s="168" t="b">
        <v>0</v>
      </c>
      <c r="K65" s="169" t="b">
        <v>1</v>
      </c>
      <c r="L65" s="163">
        <v>1</v>
      </c>
      <c r="M65" s="205">
        <v>0</v>
      </c>
      <c r="N65" s="169" t="s">
        <v>286</v>
      </c>
      <c r="O65" s="206" t="s">
        <v>285</v>
      </c>
      <c r="P65" s="241"/>
    </row>
    <row r="66" spans="1:16" ht="12.75" customHeight="1" x14ac:dyDescent="0.2">
      <c r="A66" s="199" t="s">
        <v>616</v>
      </c>
      <c r="B66" s="200" t="s">
        <v>616</v>
      </c>
      <c r="C66" s="200"/>
      <c r="D66" s="200" t="s">
        <v>237</v>
      </c>
      <c r="E66" s="209" t="s">
        <v>659</v>
      </c>
      <c r="F66" s="202" t="s">
        <v>143</v>
      </c>
      <c r="G66" s="203" t="s">
        <v>82</v>
      </c>
      <c r="H66" s="204"/>
      <c r="I66" s="168" t="b">
        <v>0</v>
      </c>
      <c r="J66" s="168" t="b">
        <v>0</v>
      </c>
      <c r="K66" s="169" t="b">
        <v>1</v>
      </c>
      <c r="L66" s="163">
        <v>1</v>
      </c>
      <c r="M66" s="205">
        <v>0</v>
      </c>
      <c r="N66" s="169" t="s">
        <v>286</v>
      </c>
      <c r="O66" s="206" t="s">
        <v>285</v>
      </c>
      <c r="P66" s="241"/>
    </row>
    <row r="67" spans="1:16" ht="12.75" customHeight="1" x14ac:dyDescent="0.2">
      <c r="A67" s="199" t="s">
        <v>617</v>
      </c>
      <c r="B67" s="200" t="s">
        <v>617</v>
      </c>
      <c r="C67" s="200"/>
      <c r="D67" s="200" t="s">
        <v>237</v>
      </c>
      <c r="E67" s="209" t="s">
        <v>660</v>
      </c>
      <c r="F67" s="202" t="s">
        <v>143</v>
      </c>
      <c r="G67" s="203" t="s">
        <v>82</v>
      </c>
      <c r="H67" s="204"/>
      <c r="I67" s="168" t="b">
        <v>0</v>
      </c>
      <c r="J67" s="168" t="b">
        <v>0</v>
      </c>
      <c r="K67" s="169" t="b">
        <v>1</v>
      </c>
      <c r="L67" s="163">
        <v>1</v>
      </c>
      <c r="M67" s="205">
        <v>0</v>
      </c>
      <c r="N67" s="169" t="s">
        <v>286</v>
      </c>
      <c r="O67" s="206" t="s">
        <v>285</v>
      </c>
      <c r="P67" s="241"/>
    </row>
    <row r="68" spans="1:16" ht="12.75" customHeight="1" x14ac:dyDescent="0.2">
      <c r="A68" s="199" t="s">
        <v>643</v>
      </c>
      <c r="B68" s="200" t="s">
        <v>293</v>
      </c>
      <c r="C68" s="200"/>
      <c r="D68" s="200" t="s">
        <v>237</v>
      </c>
      <c r="E68" s="201" t="s">
        <v>292</v>
      </c>
      <c r="F68" s="202" t="s">
        <v>141</v>
      </c>
      <c r="G68" s="203" t="s">
        <v>82</v>
      </c>
      <c r="H68" s="204"/>
      <c r="I68" s="168" t="s">
        <v>290</v>
      </c>
      <c r="J68" s="169" t="s">
        <v>290</v>
      </c>
      <c r="K68" s="169" t="s">
        <v>290</v>
      </c>
      <c r="L68" s="163" t="s">
        <v>290</v>
      </c>
      <c r="M68" s="205" t="s">
        <v>290</v>
      </c>
      <c r="N68" s="169" t="s">
        <v>281</v>
      </c>
      <c r="O68" s="206" t="s">
        <v>291</v>
      </c>
      <c r="P68" s="241"/>
    </row>
    <row r="69" spans="1:16" ht="12.75" customHeight="1" x14ac:dyDescent="0.2">
      <c r="A69" s="199" t="s">
        <v>647</v>
      </c>
      <c r="B69" s="200" t="s">
        <v>311</v>
      </c>
      <c r="C69" s="200"/>
      <c r="D69" s="200" t="s">
        <v>237</v>
      </c>
      <c r="E69" s="201" t="s">
        <v>314</v>
      </c>
      <c r="F69" s="202" t="s">
        <v>141</v>
      </c>
      <c r="G69" s="203" t="s">
        <v>82</v>
      </c>
      <c r="H69" s="204"/>
      <c r="I69" s="168">
        <v>0.11808862169999999</v>
      </c>
      <c r="J69" s="169">
        <v>1.2558478425394E-3</v>
      </c>
      <c r="K69" s="169">
        <v>0.71539045666397005</v>
      </c>
      <c r="L69" s="163" t="s">
        <v>289</v>
      </c>
      <c r="M69" s="205">
        <v>0</v>
      </c>
      <c r="N69" s="169" t="s">
        <v>278</v>
      </c>
      <c r="O69" s="206" t="s">
        <v>282</v>
      </c>
      <c r="P69" s="241"/>
    </row>
    <row r="70" spans="1:16" ht="12.75" customHeight="1" x14ac:dyDescent="0.2">
      <c r="A70" s="199" t="s">
        <v>648</v>
      </c>
      <c r="B70" s="200" t="s">
        <v>312</v>
      </c>
      <c r="C70" s="200"/>
      <c r="D70" s="200" t="s">
        <v>237</v>
      </c>
      <c r="E70" s="201" t="s">
        <v>313</v>
      </c>
      <c r="F70" s="202" t="s">
        <v>141</v>
      </c>
      <c r="G70" s="203" t="s">
        <v>82</v>
      </c>
      <c r="H70" s="204"/>
      <c r="I70" s="168">
        <v>0</v>
      </c>
      <c r="J70" s="168">
        <v>-10</v>
      </c>
      <c r="K70" s="169">
        <v>10</v>
      </c>
      <c r="L70" s="163" t="s">
        <v>289</v>
      </c>
      <c r="M70" s="205">
        <v>0</v>
      </c>
      <c r="N70" s="169" t="s">
        <v>278</v>
      </c>
      <c r="O70" s="206" t="s">
        <v>282</v>
      </c>
      <c r="P70" s="219"/>
    </row>
    <row r="71" spans="1:16" ht="12.75" customHeight="1" x14ac:dyDescent="0.2">
      <c r="A71" s="199" t="s">
        <v>613</v>
      </c>
      <c r="B71" s="200" t="s">
        <v>613</v>
      </c>
      <c r="C71" s="200"/>
      <c r="D71" s="200" t="s">
        <v>237</v>
      </c>
      <c r="E71" s="209"/>
      <c r="F71" s="202" t="s">
        <v>141</v>
      </c>
      <c r="G71" s="203" t="s">
        <v>82</v>
      </c>
      <c r="H71" s="204"/>
      <c r="I71" s="168" t="b">
        <v>0</v>
      </c>
      <c r="J71" s="168" t="b">
        <v>0</v>
      </c>
      <c r="K71" s="169" t="b">
        <v>1</v>
      </c>
      <c r="L71" s="163">
        <v>1</v>
      </c>
      <c r="M71" s="205">
        <v>0</v>
      </c>
      <c r="N71" s="169" t="s">
        <v>286</v>
      </c>
      <c r="O71" s="206" t="s">
        <v>285</v>
      </c>
      <c r="P71" s="241"/>
    </row>
    <row r="72" spans="1:16" ht="12.75" customHeight="1" x14ac:dyDescent="0.2">
      <c r="A72" s="199" t="s">
        <v>742</v>
      </c>
      <c r="B72" s="200" t="s">
        <v>743</v>
      </c>
      <c r="C72" s="200"/>
      <c r="D72" s="200" t="s">
        <v>237</v>
      </c>
      <c r="E72" s="209"/>
      <c r="F72" s="202" t="s">
        <v>141</v>
      </c>
      <c r="G72" s="203" t="s">
        <v>82</v>
      </c>
      <c r="H72" s="204"/>
      <c r="I72" s="168" t="b">
        <v>0</v>
      </c>
      <c r="J72" s="168" t="b">
        <v>0</v>
      </c>
      <c r="K72" s="169" t="b">
        <v>1</v>
      </c>
      <c r="L72" s="163">
        <v>1</v>
      </c>
      <c r="M72" s="205">
        <v>0</v>
      </c>
      <c r="N72" s="169" t="s">
        <v>286</v>
      </c>
      <c r="O72" s="206" t="s">
        <v>285</v>
      </c>
      <c r="P72" s="241"/>
    </row>
    <row r="73" spans="1:16" ht="12.75" customHeight="1" x14ac:dyDescent="0.2">
      <c r="A73" s="199" t="s">
        <v>634</v>
      </c>
      <c r="B73" s="200" t="s">
        <v>634</v>
      </c>
      <c r="C73" s="200"/>
      <c r="D73" s="200" t="s">
        <v>237</v>
      </c>
      <c r="E73" s="209"/>
      <c r="F73" s="202" t="s">
        <v>141</v>
      </c>
      <c r="G73" s="203" t="s">
        <v>82</v>
      </c>
      <c r="H73" s="204"/>
      <c r="I73" s="168">
        <v>0</v>
      </c>
      <c r="J73" s="168">
        <v>0</v>
      </c>
      <c r="K73" s="169">
        <v>4294967295</v>
      </c>
      <c r="L73" s="163">
        <v>1</v>
      </c>
      <c r="M73" s="205">
        <v>0</v>
      </c>
      <c r="N73" s="169" t="s">
        <v>287</v>
      </c>
      <c r="O73" s="206" t="s">
        <v>288</v>
      </c>
      <c r="P73" s="241"/>
    </row>
    <row r="74" spans="1:16" ht="12.75" customHeight="1" x14ac:dyDescent="0.2">
      <c r="A74" s="199" t="s">
        <v>633</v>
      </c>
      <c r="B74" s="200" t="s">
        <v>633</v>
      </c>
      <c r="C74" s="200"/>
      <c r="D74" s="200" t="s">
        <v>237</v>
      </c>
      <c r="E74" s="209"/>
      <c r="F74" s="202" t="s">
        <v>141</v>
      </c>
      <c r="G74" s="203" t="s">
        <v>82</v>
      </c>
      <c r="H74" s="204"/>
      <c r="I74" s="168">
        <v>0</v>
      </c>
      <c r="J74" s="168">
        <v>0</v>
      </c>
      <c r="K74" s="169">
        <v>4294967295</v>
      </c>
      <c r="L74" s="163">
        <v>1</v>
      </c>
      <c r="M74" s="205">
        <v>0</v>
      </c>
      <c r="N74" s="169" t="s">
        <v>287</v>
      </c>
      <c r="O74" s="206" t="s">
        <v>288</v>
      </c>
      <c r="P74" s="241"/>
    </row>
    <row r="75" spans="1:16" ht="12.75" customHeight="1" x14ac:dyDescent="0.2">
      <c r="A75" s="199" t="s">
        <v>606</v>
      </c>
      <c r="B75" s="200" t="s">
        <v>290</v>
      </c>
      <c r="C75" s="200"/>
      <c r="D75" s="200" t="s">
        <v>237</v>
      </c>
      <c r="E75" s="209"/>
      <c r="F75" s="202" t="s">
        <v>141</v>
      </c>
      <c r="G75" s="203" t="s">
        <v>82</v>
      </c>
      <c r="H75" s="204"/>
      <c r="I75" s="168" t="b">
        <v>0</v>
      </c>
      <c r="J75" s="168" t="b">
        <v>0</v>
      </c>
      <c r="K75" s="169" t="b">
        <v>1</v>
      </c>
      <c r="L75" s="163">
        <v>1</v>
      </c>
      <c r="M75" s="205">
        <v>0</v>
      </c>
      <c r="N75" s="169" t="s">
        <v>286</v>
      </c>
      <c r="O75" s="206" t="s">
        <v>285</v>
      </c>
      <c r="P75" s="219"/>
    </row>
    <row r="76" spans="1:16" ht="12.75" customHeight="1" x14ac:dyDescent="0.2">
      <c r="A76" s="199" t="s">
        <v>632</v>
      </c>
      <c r="B76" s="200" t="s">
        <v>632</v>
      </c>
      <c r="C76" s="200"/>
      <c r="D76" s="200" t="s">
        <v>237</v>
      </c>
      <c r="E76" s="209"/>
      <c r="F76" s="202" t="s">
        <v>141</v>
      </c>
      <c r="G76" s="203" t="s">
        <v>82</v>
      </c>
      <c r="H76" s="204"/>
      <c r="I76" s="168">
        <v>0</v>
      </c>
      <c r="J76" s="168">
        <v>0</v>
      </c>
      <c r="K76" s="169">
        <v>2880</v>
      </c>
      <c r="L76" s="163" t="s">
        <v>289</v>
      </c>
      <c r="M76" s="205">
        <v>0.1</v>
      </c>
      <c r="N76" s="169" t="s">
        <v>277</v>
      </c>
      <c r="O76" s="206" t="s">
        <v>282</v>
      </c>
      <c r="P76" s="241"/>
    </row>
    <row r="77" spans="1:16" ht="12.75" customHeight="1" x14ac:dyDescent="0.2">
      <c r="A77" s="199" t="s">
        <v>621</v>
      </c>
      <c r="B77" s="200" t="s">
        <v>621</v>
      </c>
      <c r="C77" s="200"/>
      <c r="D77" s="200" t="s">
        <v>237</v>
      </c>
      <c r="E77" s="209"/>
      <c r="F77" s="202" t="s">
        <v>141</v>
      </c>
      <c r="G77" s="203" t="s">
        <v>82</v>
      </c>
      <c r="H77" s="204"/>
      <c r="I77" s="168">
        <v>0</v>
      </c>
      <c r="J77" s="168">
        <v>0</v>
      </c>
      <c r="K77" s="169">
        <v>65535</v>
      </c>
      <c r="L77" s="163">
        <v>1</v>
      </c>
      <c r="M77" s="205">
        <v>0</v>
      </c>
      <c r="N77" s="169" t="s">
        <v>286</v>
      </c>
      <c r="O77" s="206" t="s">
        <v>276</v>
      </c>
      <c r="P77" s="241"/>
    </row>
    <row r="78" spans="1:16" ht="12.75" customHeight="1" x14ac:dyDescent="0.2">
      <c r="A78" s="199" t="s">
        <v>607</v>
      </c>
      <c r="B78" s="200" t="s">
        <v>290</v>
      </c>
      <c r="C78" s="200"/>
      <c r="D78" s="200" t="s">
        <v>237</v>
      </c>
      <c r="E78" s="209"/>
      <c r="F78" s="202" t="s">
        <v>141</v>
      </c>
      <c r="G78" s="203" t="s">
        <v>82</v>
      </c>
      <c r="H78" s="204"/>
      <c r="I78" s="168" t="b">
        <v>0</v>
      </c>
      <c r="J78" s="168" t="b">
        <v>0</v>
      </c>
      <c r="K78" s="169" t="b">
        <v>1</v>
      </c>
      <c r="L78" s="163">
        <v>1</v>
      </c>
      <c r="M78" s="205">
        <v>0</v>
      </c>
      <c r="N78" s="169" t="s">
        <v>286</v>
      </c>
      <c r="O78" s="206" t="s">
        <v>285</v>
      </c>
      <c r="P78" s="241"/>
    </row>
    <row r="79" spans="1:16" ht="12.75" customHeight="1" x14ac:dyDescent="0.2">
      <c r="A79" s="199" t="s">
        <v>608</v>
      </c>
      <c r="B79" s="200" t="s">
        <v>608</v>
      </c>
      <c r="C79" s="200"/>
      <c r="D79" s="200" t="s">
        <v>237</v>
      </c>
      <c r="E79" s="209"/>
      <c r="F79" s="202" t="s">
        <v>141</v>
      </c>
      <c r="G79" s="203" t="s">
        <v>82</v>
      </c>
      <c r="H79" s="204"/>
      <c r="I79" s="168" t="b">
        <v>0</v>
      </c>
      <c r="J79" s="168" t="b">
        <v>0</v>
      </c>
      <c r="K79" s="169" t="b">
        <v>1</v>
      </c>
      <c r="L79" s="163">
        <v>1</v>
      </c>
      <c r="M79" s="205">
        <v>0</v>
      </c>
      <c r="N79" s="169" t="s">
        <v>286</v>
      </c>
      <c r="O79" s="206" t="s">
        <v>285</v>
      </c>
      <c r="P79" s="241"/>
    </row>
    <row r="80" spans="1:16" ht="12.75" customHeight="1" x14ac:dyDescent="0.2">
      <c r="A80" s="199" t="s">
        <v>610</v>
      </c>
      <c r="B80" s="200" t="s">
        <v>610</v>
      </c>
      <c r="C80" s="200"/>
      <c r="D80" s="200" t="s">
        <v>237</v>
      </c>
      <c r="E80" s="209"/>
      <c r="F80" s="202" t="s">
        <v>141</v>
      </c>
      <c r="G80" s="203" t="s">
        <v>82</v>
      </c>
      <c r="H80" s="204"/>
      <c r="I80" s="168" t="b">
        <v>0</v>
      </c>
      <c r="J80" s="168" t="b">
        <v>0</v>
      </c>
      <c r="K80" s="169" t="b">
        <v>1</v>
      </c>
      <c r="L80" s="163">
        <v>1</v>
      </c>
      <c r="M80" s="205">
        <v>0</v>
      </c>
      <c r="N80" s="169" t="s">
        <v>286</v>
      </c>
      <c r="O80" s="206" t="s">
        <v>285</v>
      </c>
      <c r="P80" s="241"/>
    </row>
    <row r="81" spans="1:16" ht="12.75" customHeight="1" x14ac:dyDescent="0.2">
      <c r="A81" s="199" t="s">
        <v>609</v>
      </c>
      <c r="B81" s="200" t="s">
        <v>609</v>
      </c>
      <c r="C81" s="200"/>
      <c r="D81" s="200" t="s">
        <v>237</v>
      </c>
      <c r="E81" s="209"/>
      <c r="F81" s="202" t="s">
        <v>141</v>
      </c>
      <c r="G81" s="203" t="s">
        <v>82</v>
      </c>
      <c r="H81" s="204"/>
      <c r="I81" s="168" t="b">
        <v>0</v>
      </c>
      <c r="J81" s="168" t="b">
        <v>0</v>
      </c>
      <c r="K81" s="169" t="b">
        <v>1</v>
      </c>
      <c r="L81" s="163">
        <v>1</v>
      </c>
      <c r="M81" s="205">
        <v>0</v>
      </c>
      <c r="N81" s="169" t="s">
        <v>286</v>
      </c>
      <c r="O81" s="206" t="s">
        <v>285</v>
      </c>
      <c r="P81" s="241"/>
    </row>
    <row r="82" spans="1:16" ht="12.75" customHeight="1" x14ac:dyDescent="0.2">
      <c r="A82" s="199" t="s">
        <v>611</v>
      </c>
      <c r="B82" s="200" t="s">
        <v>611</v>
      </c>
      <c r="C82" s="200"/>
      <c r="D82" s="200" t="s">
        <v>237</v>
      </c>
      <c r="E82" s="209"/>
      <c r="F82" s="202" t="s">
        <v>141</v>
      </c>
      <c r="G82" s="203" t="s">
        <v>82</v>
      </c>
      <c r="H82" s="204"/>
      <c r="I82" s="168" t="b">
        <v>0</v>
      </c>
      <c r="J82" s="168" t="b">
        <v>0</v>
      </c>
      <c r="K82" s="169" t="b">
        <v>1</v>
      </c>
      <c r="L82" s="163">
        <v>1</v>
      </c>
      <c r="M82" s="205">
        <v>0</v>
      </c>
      <c r="N82" s="169" t="s">
        <v>286</v>
      </c>
      <c r="O82" s="206" t="s">
        <v>285</v>
      </c>
      <c r="P82" s="241"/>
    </row>
    <row r="83" spans="1:16" ht="12.75" customHeight="1" x14ac:dyDescent="0.2">
      <c r="A83" s="199" t="s">
        <v>612</v>
      </c>
      <c r="B83" s="200" t="s">
        <v>612</v>
      </c>
      <c r="C83" s="200"/>
      <c r="D83" s="200" t="s">
        <v>237</v>
      </c>
      <c r="E83" s="209"/>
      <c r="F83" s="202" t="s">
        <v>141</v>
      </c>
      <c r="G83" s="203" t="s">
        <v>82</v>
      </c>
      <c r="H83" s="204"/>
      <c r="I83" s="168" t="b">
        <v>0</v>
      </c>
      <c r="J83" s="168" t="b">
        <v>0</v>
      </c>
      <c r="K83" s="169" t="b">
        <v>1</v>
      </c>
      <c r="L83" s="163">
        <v>1</v>
      </c>
      <c r="M83" s="205">
        <v>0</v>
      </c>
      <c r="N83" s="169" t="s">
        <v>286</v>
      </c>
      <c r="O83" s="206" t="s">
        <v>285</v>
      </c>
      <c r="P83" s="241"/>
    </row>
    <row r="84" spans="1:16" ht="12.75" customHeight="1" x14ac:dyDescent="0.2">
      <c r="A84" s="199" t="s">
        <v>635</v>
      </c>
      <c r="B84" s="200" t="s">
        <v>635</v>
      </c>
      <c r="C84" s="200"/>
      <c r="D84" s="200" t="s">
        <v>237</v>
      </c>
      <c r="E84" s="209"/>
      <c r="F84" s="202" t="s">
        <v>141</v>
      </c>
      <c r="G84" s="203" t="s">
        <v>82</v>
      </c>
      <c r="H84" s="204"/>
      <c r="I84" s="168">
        <v>0</v>
      </c>
      <c r="J84" s="168">
        <v>0</v>
      </c>
      <c r="K84" s="169">
        <v>100</v>
      </c>
      <c r="L84" s="163" t="s">
        <v>289</v>
      </c>
      <c r="M84" s="205">
        <v>0.1</v>
      </c>
      <c r="N84" s="169" t="s">
        <v>279</v>
      </c>
      <c r="O84" s="206" t="s">
        <v>282</v>
      </c>
      <c r="P84" s="241"/>
    </row>
    <row r="85" spans="1:16" ht="12.75" customHeight="1" x14ac:dyDescent="0.2">
      <c r="A85" s="199" t="s">
        <v>746</v>
      </c>
      <c r="B85" s="200" t="s">
        <v>290</v>
      </c>
      <c r="C85" s="200"/>
      <c r="D85" s="200" t="s">
        <v>237</v>
      </c>
      <c r="E85" s="209"/>
      <c r="F85" s="202" t="s">
        <v>141</v>
      </c>
      <c r="G85" s="203" t="s">
        <v>82</v>
      </c>
      <c r="H85" s="204"/>
      <c r="I85" s="168">
        <v>0</v>
      </c>
      <c r="J85" s="168">
        <v>0</v>
      </c>
      <c r="K85" s="169">
        <v>1</v>
      </c>
      <c r="L85" s="163" t="s">
        <v>289</v>
      </c>
      <c r="M85" s="205">
        <v>0</v>
      </c>
      <c r="N85" s="169" t="s">
        <v>278</v>
      </c>
      <c r="O85" s="206" t="s">
        <v>282</v>
      </c>
      <c r="P85" s="241"/>
    </row>
    <row r="86" spans="1:16" ht="12.75" customHeight="1" x14ac:dyDescent="0.2">
      <c r="A86" s="199" t="s">
        <v>747</v>
      </c>
      <c r="B86" s="200" t="s">
        <v>750</v>
      </c>
      <c r="C86" s="200"/>
      <c r="D86" s="200" t="s">
        <v>237</v>
      </c>
      <c r="E86" s="209"/>
      <c r="F86" s="202" t="s">
        <v>141</v>
      </c>
      <c r="G86" s="203" t="s">
        <v>82</v>
      </c>
      <c r="H86" s="204"/>
      <c r="I86" s="168" t="s">
        <v>752</v>
      </c>
      <c r="J86" s="168">
        <v>0</v>
      </c>
      <c r="K86" s="169">
        <v>1</v>
      </c>
      <c r="L86" s="163" t="s">
        <v>289</v>
      </c>
      <c r="M86" s="205">
        <v>0</v>
      </c>
      <c r="N86" s="169" t="s">
        <v>278</v>
      </c>
      <c r="O86" s="206" t="s">
        <v>282</v>
      </c>
      <c r="P86" s="241"/>
    </row>
    <row r="87" spans="1:16" ht="12.75" customHeight="1" x14ac:dyDescent="0.2">
      <c r="A87" s="253" t="s">
        <v>784</v>
      </c>
      <c r="B87" s="254" t="s">
        <v>785</v>
      </c>
      <c r="C87" s="254"/>
      <c r="D87" s="254" t="s">
        <v>237</v>
      </c>
      <c r="E87" s="283"/>
      <c r="F87" s="255" t="s">
        <v>141</v>
      </c>
      <c r="G87" s="256" t="s">
        <v>82</v>
      </c>
      <c r="H87" s="257"/>
      <c r="I87" s="262">
        <v>0</v>
      </c>
      <c r="J87" s="262">
        <v>0</v>
      </c>
      <c r="K87" s="259">
        <v>25</v>
      </c>
      <c r="L87" s="258">
        <v>1</v>
      </c>
      <c r="M87" s="260">
        <v>0</v>
      </c>
      <c r="N87" s="259" t="s">
        <v>286</v>
      </c>
      <c r="O87" s="261" t="s">
        <v>280</v>
      </c>
      <c r="P87" s="241"/>
    </row>
    <row r="88" spans="1:16" ht="12.75" customHeight="1" x14ac:dyDescent="0.2">
      <c r="A88" s="199" t="s">
        <v>748</v>
      </c>
      <c r="B88" s="200" t="s">
        <v>751</v>
      </c>
      <c r="C88" s="200"/>
      <c r="D88" s="200" t="s">
        <v>237</v>
      </c>
      <c r="E88" s="209"/>
      <c r="F88" s="202" t="s">
        <v>141</v>
      </c>
      <c r="G88" s="203" t="s">
        <v>82</v>
      </c>
      <c r="H88" s="204"/>
      <c r="I88" s="168">
        <v>0</v>
      </c>
      <c r="J88" s="168">
        <v>0</v>
      </c>
      <c r="K88" s="169">
        <v>25</v>
      </c>
      <c r="L88" s="163" t="s">
        <v>289</v>
      </c>
      <c r="M88" s="205">
        <v>0</v>
      </c>
      <c r="N88" s="169" t="s">
        <v>278</v>
      </c>
      <c r="O88" s="206" t="s">
        <v>282</v>
      </c>
      <c r="P88" s="241"/>
    </row>
    <row r="89" spans="1:16" ht="12.75" customHeight="1" x14ac:dyDescent="0.2">
      <c r="A89" s="199" t="s">
        <v>749</v>
      </c>
      <c r="B89" s="200" t="s">
        <v>290</v>
      </c>
      <c r="C89" s="200"/>
      <c r="D89" s="200" t="s">
        <v>237</v>
      </c>
      <c r="E89" s="209"/>
      <c r="F89" s="202" t="s">
        <v>141</v>
      </c>
      <c r="G89" s="203" t="s">
        <v>82</v>
      </c>
      <c r="H89" s="204"/>
      <c r="I89" s="168">
        <v>0</v>
      </c>
      <c r="J89" s="168">
        <v>-1600</v>
      </c>
      <c r="K89" s="169">
        <v>1600</v>
      </c>
      <c r="L89" s="163" t="s">
        <v>289</v>
      </c>
      <c r="M89" s="205">
        <v>0</v>
      </c>
      <c r="N89" s="169" t="s">
        <v>277</v>
      </c>
      <c r="O89" s="206" t="s">
        <v>282</v>
      </c>
      <c r="P89" s="241"/>
    </row>
    <row r="90" spans="1:16" ht="12.75" customHeight="1" x14ac:dyDescent="0.2">
      <c r="A90" s="199" t="s">
        <v>625</v>
      </c>
      <c r="B90" s="200" t="s">
        <v>625</v>
      </c>
      <c r="C90" s="200"/>
      <c r="D90" s="200" t="s">
        <v>237</v>
      </c>
      <c r="E90" s="209"/>
      <c r="F90" s="202" t="s">
        <v>141</v>
      </c>
      <c r="G90" s="203" t="s">
        <v>82</v>
      </c>
      <c r="H90" s="204"/>
      <c r="I90" s="168">
        <v>0</v>
      </c>
      <c r="J90" s="168">
        <v>0</v>
      </c>
      <c r="K90" s="169">
        <v>65535</v>
      </c>
      <c r="L90" s="163">
        <v>1</v>
      </c>
      <c r="M90" s="205">
        <v>0</v>
      </c>
      <c r="N90" s="169" t="s">
        <v>286</v>
      </c>
      <c r="O90" s="206" t="s">
        <v>276</v>
      </c>
      <c r="P90" s="241"/>
    </row>
    <row r="91" spans="1:16" ht="12.75" customHeight="1" x14ac:dyDescent="0.2">
      <c r="A91" s="199" t="s">
        <v>645</v>
      </c>
      <c r="B91" s="200" t="s">
        <v>645</v>
      </c>
      <c r="C91" s="200"/>
      <c r="D91" s="200" t="s">
        <v>237</v>
      </c>
      <c r="E91" s="209"/>
      <c r="F91" s="202" t="s">
        <v>141</v>
      </c>
      <c r="G91" s="203" t="s">
        <v>82</v>
      </c>
      <c r="H91" s="204"/>
      <c r="I91" s="168">
        <v>0</v>
      </c>
      <c r="J91" s="168">
        <v>0</v>
      </c>
      <c r="K91" s="169">
        <v>3</v>
      </c>
      <c r="L91" s="163">
        <v>1</v>
      </c>
      <c r="M91" s="205">
        <v>0</v>
      </c>
      <c r="N91" s="169" t="s">
        <v>286</v>
      </c>
      <c r="O91" s="206" t="s">
        <v>596</v>
      </c>
      <c r="P91" s="241"/>
    </row>
    <row r="92" spans="1:16" ht="12.75" customHeight="1" x14ac:dyDescent="0.2">
      <c r="A92" s="199" t="s">
        <v>619</v>
      </c>
      <c r="B92" s="200" t="s">
        <v>290</v>
      </c>
      <c r="C92" s="200"/>
      <c r="D92" s="200" t="s">
        <v>237</v>
      </c>
      <c r="E92" s="209"/>
      <c r="F92" s="202" t="s">
        <v>141</v>
      </c>
      <c r="G92" s="203" t="s">
        <v>82</v>
      </c>
      <c r="H92" s="204"/>
      <c r="I92" s="168">
        <v>255</v>
      </c>
      <c r="J92" s="168">
        <v>0</v>
      </c>
      <c r="K92" s="169">
        <v>255</v>
      </c>
      <c r="L92" s="163">
        <v>1</v>
      </c>
      <c r="M92" s="205">
        <v>0</v>
      </c>
      <c r="N92" s="169" t="s">
        <v>286</v>
      </c>
      <c r="O92" s="206" t="s">
        <v>453</v>
      </c>
      <c r="P92" s="219"/>
    </row>
    <row r="93" spans="1:16" ht="12.75" customHeight="1" x14ac:dyDescent="0.2">
      <c r="A93" s="199" t="s">
        <v>646</v>
      </c>
      <c r="B93" s="200" t="s">
        <v>646</v>
      </c>
      <c r="C93" s="200"/>
      <c r="D93" s="200" t="s">
        <v>237</v>
      </c>
      <c r="E93" s="209"/>
      <c r="F93" s="202" t="s">
        <v>141</v>
      </c>
      <c r="G93" s="203" t="s">
        <v>82</v>
      </c>
      <c r="H93" s="204"/>
      <c r="I93" s="168">
        <v>0</v>
      </c>
      <c r="J93" s="168">
        <v>0</v>
      </c>
      <c r="K93" s="169">
        <v>7</v>
      </c>
      <c r="L93" s="163">
        <v>1</v>
      </c>
      <c r="M93" s="205">
        <v>0</v>
      </c>
      <c r="N93" s="169" t="s">
        <v>286</v>
      </c>
      <c r="O93" s="206" t="s">
        <v>595</v>
      </c>
      <c r="P93" s="241"/>
    </row>
    <row r="94" spans="1:16" ht="12.75" customHeight="1" x14ac:dyDescent="0.2">
      <c r="A94" s="199" t="s">
        <v>622</v>
      </c>
      <c r="B94" s="200" t="s">
        <v>290</v>
      </c>
      <c r="C94" s="200"/>
      <c r="D94" s="200" t="s">
        <v>237</v>
      </c>
      <c r="E94" s="209"/>
      <c r="F94" s="202" t="s">
        <v>141</v>
      </c>
      <c r="G94" s="203" t="s">
        <v>82</v>
      </c>
      <c r="H94" s="204"/>
      <c r="I94" s="239">
        <v>0</v>
      </c>
      <c r="J94" s="239">
        <v>0</v>
      </c>
      <c r="K94" s="239">
        <v>65535</v>
      </c>
      <c r="L94" s="163">
        <v>1</v>
      </c>
      <c r="M94" s="205">
        <v>0</v>
      </c>
      <c r="N94" s="169" t="s">
        <v>286</v>
      </c>
      <c r="O94" s="206" t="s">
        <v>276</v>
      </c>
      <c r="P94" s="219"/>
    </row>
    <row r="95" spans="1:16" ht="12.75" customHeight="1" x14ac:dyDescent="0.2">
      <c r="A95" s="199" t="s">
        <v>644</v>
      </c>
      <c r="B95" s="200" t="s">
        <v>644</v>
      </c>
      <c r="C95" s="200"/>
      <c r="D95" s="200" t="s">
        <v>237</v>
      </c>
      <c r="E95" s="209"/>
      <c r="F95" s="202" t="s">
        <v>141</v>
      </c>
      <c r="G95" s="203" t="s">
        <v>82</v>
      </c>
      <c r="H95" s="204"/>
      <c r="I95" s="168">
        <v>0</v>
      </c>
      <c r="J95" s="168">
        <v>0</v>
      </c>
      <c r="K95" s="169">
        <v>4</v>
      </c>
      <c r="L95" s="163">
        <v>1</v>
      </c>
      <c r="M95" s="205">
        <v>0</v>
      </c>
      <c r="N95" s="169" t="s">
        <v>286</v>
      </c>
      <c r="O95" s="206" t="s">
        <v>597</v>
      </c>
      <c r="P95" s="241"/>
    </row>
    <row r="96" spans="1:16" ht="12.75" customHeight="1" x14ac:dyDescent="0.2">
      <c r="A96" s="199" t="s">
        <v>620</v>
      </c>
      <c r="B96" s="200" t="s">
        <v>620</v>
      </c>
      <c r="C96" s="200"/>
      <c r="D96" s="200" t="s">
        <v>237</v>
      </c>
      <c r="E96" s="209"/>
      <c r="F96" s="202" t="s">
        <v>141</v>
      </c>
      <c r="G96" s="203" t="s">
        <v>82</v>
      </c>
      <c r="H96" s="204"/>
      <c r="I96" s="168">
        <v>255</v>
      </c>
      <c r="J96" s="168">
        <v>0</v>
      </c>
      <c r="K96" s="169">
        <v>255</v>
      </c>
      <c r="L96" s="163">
        <v>1</v>
      </c>
      <c r="M96" s="205">
        <v>0</v>
      </c>
      <c r="N96" s="169" t="s">
        <v>286</v>
      </c>
      <c r="O96" s="206" t="s">
        <v>280</v>
      </c>
      <c r="P96" s="241"/>
    </row>
    <row r="97" spans="1:16" ht="12.75" customHeight="1" x14ac:dyDescent="0.2">
      <c r="A97" s="199" t="s">
        <v>624</v>
      </c>
      <c r="B97" s="200" t="s">
        <v>624</v>
      </c>
      <c r="C97" s="200"/>
      <c r="D97" s="200" t="s">
        <v>237</v>
      </c>
      <c r="E97" s="209" t="s">
        <v>388</v>
      </c>
      <c r="F97" s="202" t="s">
        <v>141</v>
      </c>
      <c r="G97" s="203" t="s">
        <v>82</v>
      </c>
      <c r="H97" s="204"/>
      <c r="I97" s="168">
        <v>0</v>
      </c>
      <c r="J97" s="168">
        <v>0</v>
      </c>
      <c r="K97" s="169">
        <v>65535</v>
      </c>
      <c r="L97" s="163">
        <v>1</v>
      </c>
      <c r="M97" s="205">
        <v>0</v>
      </c>
      <c r="N97" s="169" t="s">
        <v>286</v>
      </c>
      <c r="O97" s="206" t="s">
        <v>276</v>
      </c>
      <c r="P97" s="241"/>
    </row>
    <row r="98" spans="1:16" ht="12.75" customHeight="1" x14ac:dyDescent="0.2">
      <c r="A98" s="199" t="s">
        <v>637</v>
      </c>
      <c r="B98" s="200" t="s">
        <v>290</v>
      </c>
      <c r="C98" s="200"/>
      <c r="D98" s="200" t="s">
        <v>237</v>
      </c>
      <c r="E98" s="209" t="s">
        <v>391</v>
      </c>
      <c r="F98" s="202" t="s">
        <v>141</v>
      </c>
      <c r="G98" s="203" t="s">
        <v>82</v>
      </c>
      <c r="H98" s="204"/>
      <c r="I98" s="168">
        <v>0</v>
      </c>
      <c r="J98" s="168">
        <v>-10</v>
      </c>
      <c r="K98" s="168">
        <v>10</v>
      </c>
      <c r="L98" s="163" t="s">
        <v>289</v>
      </c>
      <c r="M98" s="205">
        <v>0</v>
      </c>
      <c r="N98" s="169" t="s">
        <v>281</v>
      </c>
      <c r="O98" s="206" t="s">
        <v>282</v>
      </c>
      <c r="P98" s="219"/>
    </row>
    <row r="99" spans="1:16" ht="12.75" customHeight="1" x14ac:dyDescent="0.2">
      <c r="A99" s="199" t="s">
        <v>614</v>
      </c>
      <c r="B99" s="200" t="s">
        <v>614</v>
      </c>
      <c r="C99" s="200"/>
      <c r="D99" s="200" t="s">
        <v>237</v>
      </c>
      <c r="E99" s="209" t="s">
        <v>385</v>
      </c>
      <c r="F99" s="202" t="s">
        <v>141</v>
      </c>
      <c r="G99" s="203" t="s">
        <v>82</v>
      </c>
      <c r="H99" s="204"/>
      <c r="I99" s="168" t="b">
        <v>0</v>
      </c>
      <c r="J99" s="169" t="b">
        <v>0</v>
      </c>
      <c r="K99" s="169" t="b">
        <v>1</v>
      </c>
      <c r="L99" s="163">
        <v>1</v>
      </c>
      <c r="M99" s="205">
        <v>0</v>
      </c>
      <c r="N99" s="169" t="s">
        <v>286</v>
      </c>
      <c r="O99" s="206" t="s">
        <v>285</v>
      </c>
      <c r="P99" s="241"/>
    </row>
    <row r="100" spans="1:16" ht="12.75" customHeight="1" x14ac:dyDescent="0.2">
      <c r="A100" s="199" t="s">
        <v>744</v>
      </c>
      <c r="B100" s="200" t="s">
        <v>745</v>
      </c>
      <c r="C100" s="200"/>
      <c r="D100" s="200" t="s">
        <v>237</v>
      </c>
      <c r="E100" s="209"/>
      <c r="F100" s="202" t="s">
        <v>141</v>
      </c>
      <c r="G100" s="203" t="s">
        <v>82</v>
      </c>
      <c r="H100" s="204"/>
      <c r="I100" s="168" t="b">
        <v>0</v>
      </c>
      <c r="J100" s="169" t="b">
        <v>0</v>
      </c>
      <c r="K100" s="169" t="b">
        <v>1</v>
      </c>
      <c r="L100" s="163">
        <v>1</v>
      </c>
      <c r="M100" s="205">
        <v>0</v>
      </c>
      <c r="N100" s="169" t="s">
        <v>286</v>
      </c>
      <c r="O100" s="206" t="s">
        <v>280</v>
      </c>
      <c r="P100" s="241"/>
    </row>
    <row r="101" spans="1:16" ht="12.75" customHeight="1" x14ac:dyDescent="0.2">
      <c r="A101" s="199" t="s">
        <v>618</v>
      </c>
      <c r="B101" s="200" t="s">
        <v>386</v>
      </c>
      <c r="C101" s="200"/>
      <c r="D101" s="200" t="s">
        <v>237</v>
      </c>
      <c r="E101" s="209" t="s">
        <v>387</v>
      </c>
      <c r="F101" s="202" t="s">
        <v>141</v>
      </c>
      <c r="G101" s="203" t="s">
        <v>82</v>
      </c>
      <c r="H101" s="204"/>
      <c r="I101" s="168">
        <v>0</v>
      </c>
      <c r="J101" s="169">
        <v>0</v>
      </c>
      <c r="K101" s="169" t="s">
        <v>456</v>
      </c>
      <c r="L101" s="163">
        <v>1</v>
      </c>
      <c r="M101" s="205">
        <v>0</v>
      </c>
      <c r="N101" s="169" t="s">
        <v>286</v>
      </c>
      <c r="O101" s="206" t="s">
        <v>280</v>
      </c>
      <c r="P101" s="219"/>
    </row>
    <row r="102" spans="1:16" ht="12.75" customHeight="1" x14ac:dyDescent="0.2">
      <c r="A102" s="199" t="s">
        <v>636</v>
      </c>
      <c r="B102" s="200" t="s">
        <v>290</v>
      </c>
      <c r="C102" s="200"/>
      <c r="D102" s="200" t="s">
        <v>237</v>
      </c>
      <c r="E102" s="209" t="s">
        <v>390</v>
      </c>
      <c r="F102" s="202" t="s">
        <v>141</v>
      </c>
      <c r="G102" s="203" t="s">
        <v>82</v>
      </c>
      <c r="H102" s="204"/>
      <c r="I102" s="168">
        <v>0</v>
      </c>
      <c r="J102" s="168">
        <v>0</v>
      </c>
      <c r="K102" s="169">
        <v>2</v>
      </c>
      <c r="L102" s="163" t="s">
        <v>289</v>
      </c>
      <c r="M102" s="205">
        <v>0</v>
      </c>
      <c r="N102" s="169" t="s">
        <v>279</v>
      </c>
      <c r="O102" s="206" t="s">
        <v>282</v>
      </c>
      <c r="P102" s="219"/>
    </row>
    <row r="103" spans="1:16" ht="12.75" customHeight="1" x14ac:dyDescent="0.2">
      <c r="A103" s="199" t="s">
        <v>638</v>
      </c>
      <c r="B103" s="200" t="s">
        <v>290</v>
      </c>
      <c r="C103" s="200"/>
      <c r="D103" s="200" t="s">
        <v>237</v>
      </c>
      <c r="E103" s="209" t="s">
        <v>392</v>
      </c>
      <c r="F103" s="202" t="s">
        <v>141</v>
      </c>
      <c r="G103" s="203" t="s">
        <v>82</v>
      </c>
      <c r="H103" s="204"/>
      <c r="I103" s="168">
        <v>0</v>
      </c>
      <c r="J103" s="168">
        <v>0</v>
      </c>
      <c r="K103" s="169">
        <v>40</v>
      </c>
      <c r="L103" s="163" t="s">
        <v>289</v>
      </c>
      <c r="M103" s="205">
        <v>0</v>
      </c>
      <c r="N103" s="169" t="s">
        <v>279</v>
      </c>
      <c r="O103" s="206" t="s">
        <v>282</v>
      </c>
      <c r="P103" s="219"/>
    </row>
    <row r="104" spans="1:16" ht="12.75" customHeight="1" x14ac:dyDescent="0.2">
      <c r="A104" s="199" t="s">
        <v>639</v>
      </c>
      <c r="B104" s="200" t="s">
        <v>290</v>
      </c>
      <c r="C104" s="200"/>
      <c r="D104" s="200" t="s">
        <v>237</v>
      </c>
      <c r="E104" s="209" t="s">
        <v>389</v>
      </c>
      <c r="F104" s="202" t="s">
        <v>141</v>
      </c>
      <c r="G104" s="203" t="s">
        <v>82</v>
      </c>
      <c r="H104" s="204"/>
      <c r="I104" s="168">
        <v>0</v>
      </c>
      <c r="J104" s="168">
        <v>0</v>
      </c>
      <c r="K104" s="169">
        <v>500</v>
      </c>
      <c r="L104" s="163" t="s">
        <v>289</v>
      </c>
      <c r="M104" s="205">
        <v>0</v>
      </c>
      <c r="N104" s="169" t="s">
        <v>279</v>
      </c>
      <c r="O104" s="206" t="s">
        <v>282</v>
      </c>
      <c r="P104" s="219"/>
    </row>
    <row r="105" spans="1:16" ht="12.75" customHeight="1" x14ac:dyDescent="0.2">
      <c r="A105" s="199" t="s">
        <v>623</v>
      </c>
      <c r="B105" s="200" t="s">
        <v>290</v>
      </c>
      <c r="C105" s="200"/>
      <c r="D105" s="200" t="s">
        <v>237</v>
      </c>
      <c r="E105" s="209"/>
      <c r="F105" s="202" t="s">
        <v>141</v>
      </c>
      <c r="G105" s="203" t="s">
        <v>82</v>
      </c>
      <c r="H105" s="204"/>
      <c r="I105" s="168">
        <v>0</v>
      </c>
      <c r="J105" s="173">
        <v>0</v>
      </c>
      <c r="K105" s="173">
        <v>65535</v>
      </c>
      <c r="L105" s="163">
        <v>1</v>
      </c>
      <c r="M105" s="205">
        <v>0</v>
      </c>
      <c r="N105" s="169" t="s">
        <v>286</v>
      </c>
      <c r="O105" s="206" t="s">
        <v>276</v>
      </c>
      <c r="P105" s="219"/>
    </row>
    <row r="106" spans="1:16" x14ac:dyDescent="0.2">
      <c r="A106" s="269" t="s">
        <v>763</v>
      </c>
      <c r="B106" s="270" t="s">
        <v>290</v>
      </c>
      <c r="C106" s="270"/>
      <c r="D106" s="270" t="s">
        <v>237</v>
      </c>
      <c r="E106" s="271"/>
      <c r="F106" s="272" t="s">
        <v>141</v>
      </c>
      <c r="G106" s="273" t="s">
        <v>82</v>
      </c>
      <c r="H106" s="274"/>
      <c r="I106" s="275">
        <v>0</v>
      </c>
      <c r="J106" s="276">
        <v>-1600</v>
      </c>
      <c r="K106" s="276">
        <v>1600</v>
      </c>
      <c r="L106" s="277" t="s">
        <v>289</v>
      </c>
      <c r="M106" s="278">
        <v>0</v>
      </c>
      <c r="N106" s="279" t="s">
        <v>277</v>
      </c>
      <c r="O106" s="280" t="s">
        <v>282</v>
      </c>
    </row>
  </sheetData>
  <sheetProtection insertColumns="0" insertRows="0" insertHyperlinks="0" deleteColumns="0" deleteRows="0" sort="0" autoFilter="0" pivotTables="0"/>
  <autoFilter ref="A4:W105"/>
  <sortState ref="A48:W59">
    <sortCondition ref="A48:A59"/>
  </sortState>
  <mergeCells count="3">
    <mergeCell ref="J3:K3"/>
    <mergeCell ref="A2:P2"/>
    <mergeCell ref="A1:N1"/>
  </mergeCells>
  <conditionalFormatting sqref="G3:I5 I36 G107:I65563 I22 G46 I69 I27:I29 G56 I56 G35:G36 I97:J104 J94:J95 I94:I96 J91 I90:I91 G58 G60 G62 G64 G66 I58 I60 I62 I64 I66 I24 G22:G30 G69:G105 I105">
    <cfRule type="cellIs" dxfId="400" priority="658" stopIfTrue="1" operator="equal">
      <formula>"y"</formula>
    </cfRule>
    <cfRule type="cellIs" dxfId="399" priority="659" stopIfTrue="1" operator="equal">
      <formula>"Y"</formula>
    </cfRule>
  </conditionalFormatting>
  <conditionalFormatting sqref="B23:C23 M22:N22 M28:N29 J59:K59 M27:O27 B22:D22 I22:K22 F46:G46 I46:O46 C46:D46 C69:D69 I69:O69 I27:K29 C56:D56 F56:G56 I56:O56 I35:O37 F35:G37 B57:D60 I25:O26 C33:D37 I30:O30 F39:G39 B39:D39 I39 L39:O39 I99:L104 L96:L98 I97:K98 O94:O95 I94:L94 J91:K91 I90:I91 G58 G60 G62 G64 G66 I60 I62 I64 I66 I58:M58 L60:M60 L62:M62 L64:M64 L66:M66 N57:O67 O80:O83 M22:M23 M24:O24 I24:K24 C24:C30 F22:G30 D23:D30 L90:L92 N84:O92 I84:L89 L105 O97:O105 N94:N105 F69:G105 B71:D105 M70:M105 I105">
    <cfRule type="expression" dxfId="398" priority="657" stopIfTrue="1">
      <formula>IF($A22&lt;&gt;"",IF(B22="",TRUE,FALSE),FALSE)</formula>
    </cfRule>
  </conditionalFormatting>
  <conditionalFormatting sqref="M46 M56 M35:M37 M39 M58 M60 M62 M64 M66 M22:M30 M69:M105">
    <cfRule type="expression" dxfId="397" priority="653" stopIfTrue="1">
      <formula>IF($F22="I",TRUE,FALSE)</formula>
    </cfRule>
  </conditionalFormatting>
  <conditionalFormatting sqref="H3:H4">
    <cfRule type="cellIs" dxfId="396" priority="648" stopIfTrue="1" operator="equal">
      <formula>"y"</formula>
    </cfRule>
    <cfRule type="cellIs" dxfId="395" priority="649" stopIfTrue="1" operator="equal">
      <formula>"Y"</formula>
    </cfRule>
  </conditionalFormatting>
  <conditionalFormatting sqref="I57 I59 I61 I63 I65 I67">
    <cfRule type="cellIs" dxfId="394" priority="622" stopIfTrue="1" operator="equal">
      <formula>"y"</formula>
    </cfRule>
    <cfRule type="cellIs" dxfId="393" priority="623" stopIfTrue="1" operator="equal">
      <formula>"Y"</formula>
    </cfRule>
  </conditionalFormatting>
  <conditionalFormatting sqref="I57:M57 I59 I61 I63 I65 I67 L67 L59:M59 L61:M61 L63:M63 L65:M65">
    <cfRule type="expression" dxfId="392" priority="621" stopIfTrue="1">
      <formula>IF($A57&lt;&gt;"",IF(I57="",TRUE,FALSE),FALSE)</formula>
    </cfRule>
  </conditionalFormatting>
  <conditionalFormatting sqref="M57 M59 M61 M63 M65">
    <cfRule type="expression" dxfId="391" priority="620" stopIfTrue="1">
      <formula>IF($A57&lt;&gt;"",IF(M57="",TRUE,FALSE),FALSE)</formula>
    </cfRule>
  </conditionalFormatting>
  <conditionalFormatting sqref="M57 M59 M61 M63 M65">
    <cfRule type="expression" dxfId="390" priority="619" stopIfTrue="1">
      <formula>IF($F57="I",TRUE,FALSE)</formula>
    </cfRule>
  </conditionalFormatting>
  <conditionalFormatting sqref="G57 G59 G61 G63 G65">
    <cfRule type="cellIs" dxfId="389" priority="617" stopIfTrue="1" operator="equal">
      <formula>"y"</formula>
    </cfRule>
    <cfRule type="cellIs" dxfId="388" priority="618" stopIfTrue="1" operator="equal">
      <formula>"Y"</formula>
    </cfRule>
  </conditionalFormatting>
  <conditionalFormatting sqref="F57:G57 G59 G61 G63 G65">
    <cfRule type="expression" dxfId="387" priority="616" stopIfTrue="1">
      <formula>IF($A57&lt;&gt;"",IF(F57="",TRUE,FALSE),FALSE)</formula>
    </cfRule>
  </conditionalFormatting>
  <conditionalFormatting sqref="F58:F60">
    <cfRule type="expression" dxfId="386" priority="597" stopIfTrue="1">
      <formula>IF($A58&lt;&gt;"",IF(F58="",TRUE,FALSE),FALSE)</formula>
    </cfRule>
  </conditionalFormatting>
  <conditionalFormatting sqref="I30">
    <cfRule type="cellIs" dxfId="385" priority="590" stopIfTrue="1" operator="equal">
      <formula>"y"</formula>
    </cfRule>
    <cfRule type="cellIs" dxfId="384" priority="591" stopIfTrue="1" operator="equal">
      <formula>"Y"</formula>
    </cfRule>
  </conditionalFormatting>
  <conditionalFormatting sqref="I23">
    <cfRule type="cellIs" dxfId="383" priority="585" stopIfTrue="1" operator="equal">
      <formula>"y"</formula>
    </cfRule>
    <cfRule type="cellIs" dxfId="382" priority="586" stopIfTrue="1" operator="equal">
      <formula>"Y"</formula>
    </cfRule>
  </conditionalFormatting>
  <conditionalFormatting sqref="I25">
    <cfRule type="cellIs" dxfId="381" priority="567" stopIfTrue="1" operator="equal">
      <formula>"y"</formula>
    </cfRule>
    <cfRule type="cellIs" dxfId="380" priority="568" stopIfTrue="1" operator="equal">
      <formula>"Y"</formula>
    </cfRule>
  </conditionalFormatting>
  <conditionalFormatting sqref="I26">
    <cfRule type="cellIs" dxfId="379" priority="562" stopIfTrue="1" operator="equal">
      <formula>"y"</formula>
    </cfRule>
    <cfRule type="cellIs" dxfId="378" priority="563" stopIfTrue="1" operator="equal">
      <formula>"Y"</formula>
    </cfRule>
  </conditionalFormatting>
  <conditionalFormatting sqref="I46">
    <cfRule type="cellIs" dxfId="377" priority="543" stopIfTrue="1" operator="equal">
      <formula>"y"</formula>
    </cfRule>
    <cfRule type="cellIs" dxfId="376" priority="544" stopIfTrue="1" operator="equal">
      <formula>"Y"</formula>
    </cfRule>
  </conditionalFormatting>
  <conditionalFormatting sqref="I35">
    <cfRule type="cellIs" dxfId="375" priority="538" stopIfTrue="1" operator="equal">
      <formula>"y"</formula>
    </cfRule>
    <cfRule type="cellIs" dxfId="374" priority="539" stopIfTrue="1" operator="equal">
      <formula>"Y"</formula>
    </cfRule>
  </conditionalFormatting>
  <conditionalFormatting sqref="G6">
    <cfRule type="cellIs" dxfId="373" priority="528" stopIfTrue="1" operator="equal">
      <formula>"y"</formula>
    </cfRule>
    <cfRule type="cellIs" dxfId="372" priority="529" stopIfTrue="1" operator="equal">
      <formula>"Y"</formula>
    </cfRule>
  </conditionalFormatting>
  <conditionalFormatting sqref="B6:D6 M6 F6:G6">
    <cfRule type="expression" dxfId="371" priority="527" stopIfTrue="1">
      <formula>IF($A6&lt;&gt;"",IF(B6="",TRUE,FALSE),FALSE)</formula>
    </cfRule>
  </conditionalFormatting>
  <conditionalFormatting sqref="M6">
    <cfRule type="expression" dxfId="370" priority="526" stopIfTrue="1">
      <formula>IF($F6="I",TRUE,FALSE)</formula>
    </cfRule>
  </conditionalFormatting>
  <conditionalFormatting sqref="I6:K6">
    <cfRule type="expression" dxfId="369" priority="525" stopIfTrue="1">
      <formula>IF($A6&lt;&gt;"",IF(I6="",TRUE,FALSE),FALSE)</formula>
    </cfRule>
  </conditionalFormatting>
  <conditionalFormatting sqref="I6">
    <cfRule type="cellIs" dxfId="368" priority="523" stopIfTrue="1" operator="equal">
      <formula>"y"</formula>
    </cfRule>
    <cfRule type="cellIs" dxfId="367" priority="524" stopIfTrue="1" operator="equal">
      <formula>"Y"</formula>
    </cfRule>
  </conditionalFormatting>
  <conditionalFormatting sqref="N6:O6">
    <cfRule type="expression" dxfId="366" priority="522" stopIfTrue="1">
      <formula>IF($A6&lt;&gt;"",IF(N6="",TRUE,FALSE),FALSE)</formula>
    </cfRule>
  </conditionalFormatting>
  <conditionalFormatting sqref="G7">
    <cfRule type="cellIs" dxfId="365" priority="520" stopIfTrue="1" operator="equal">
      <formula>"y"</formula>
    </cfRule>
    <cfRule type="cellIs" dxfId="364" priority="521" stopIfTrue="1" operator="equal">
      <formula>"Y"</formula>
    </cfRule>
  </conditionalFormatting>
  <conditionalFormatting sqref="B7:D7 F7:G7">
    <cfRule type="expression" dxfId="363" priority="519" stopIfTrue="1">
      <formula>IF($A7&lt;&gt;"",IF(B7="",TRUE,FALSE),FALSE)</formula>
    </cfRule>
  </conditionalFormatting>
  <conditionalFormatting sqref="M8">
    <cfRule type="expression" dxfId="362" priority="506" stopIfTrue="1">
      <formula>IF($F8="I",TRUE,FALSE)</formula>
    </cfRule>
  </conditionalFormatting>
  <conditionalFormatting sqref="I8:K8">
    <cfRule type="expression" dxfId="361" priority="505" stopIfTrue="1">
      <formula>IF($A8&lt;&gt;"",IF(I8="",TRUE,FALSE),FALSE)</formula>
    </cfRule>
  </conditionalFormatting>
  <conditionalFormatting sqref="I8">
    <cfRule type="cellIs" dxfId="360" priority="503" stopIfTrue="1" operator="equal">
      <formula>"y"</formula>
    </cfRule>
    <cfRule type="cellIs" dxfId="359" priority="504" stopIfTrue="1" operator="equal">
      <formula>"Y"</formula>
    </cfRule>
  </conditionalFormatting>
  <conditionalFormatting sqref="N8:O8">
    <cfRule type="expression" dxfId="358" priority="502" stopIfTrue="1">
      <formula>IF($A8&lt;&gt;"",IF(N8="",TRUE,FALSE),FALSE)</formula>
    </cfRule>
  </conditionalFormatting>
  <conditionalFormatting sqref="I7">
    <cfRule type="cellIs" dxfId="357" priority="512" stopIfTrue="1" operator="equal">
      <formula>"y"</formula>
    </cfRule>
    <cfRule type="cellIs" dxfId="356" priority="513" stopIfTrue="1" operator="equal">
      <formula>"Y"</formula>
    </cfRule>
  </conditionalFormatting>
  <conditionalFormatting sqref="I7:K7 M7:O7">
    <cfRule type="expression" dxfId="355" priority="511" stopIfTrue="1">
      <formula>IF($A7&lt;&gt;"",IF(I7="",TRUE,FALSE),FALSE)</formula>
    </cfRule>
  </conditionalFormatting>
  <conditionalFormatting sqref="M7">
    <cfRule type="expression" dxfId="354" priority="510" stopIfTrue="1">
      <formula>IF($F7="I",TRUE,FALSE)</formula>
    </cfRule>
  </conditionalFormatting>
  <conditionalFormatting sqref="G8">
    <cfRule type="cellIs" dxfId="353" priority="508" stopIfTrue="1" operator="equal">
      <formula>"y"</formula>
    </cfRule>
    <cfRule type="cellIs" dxfId="352" priority="509" stopIfTrue="1" operator="equal">
      <formula>"Y"</formula>
    </cfRule>
  </conditionalFormatting>
  <conditionalFormatting sqref="B8:D8 M8 F8:G8">
    <cfRule type="expression" dxfId="351" priority="507" stopIfTrue="1">
      <formula>IF($A8&lt;&gt;"",IF(B8="",TRUE,FALSE),FALSE)</formula>
    </cfRule>
  </conditionalFormatting>
  <conditionalFormatting sqref="M9">
    <cfRule type="expression" dxfId="350" priority="498" stopIfTrue="1">
      <formula>IF($F9="I",TRUE,FALSE)</formula>
    </cfRule>
  </conditionalFormatting>
  <conditionalFormatting sqref="I9:K9">
    <cfRule type="expression" dxfId="349" priority="497" stopIfTrue="1">
      <formula>IF($A9&lt;&gt;"",IF(I9="",TRUE,FALSE),FALSE)</formula>
    </cfRule>
  </conditionalFormatting>
  <conditionalFormatting sqref="I9">
    <cfRule type="cellIs" dxfId="348" priority="495" stopIfTrue="1" operator="equal">
      <formula>"y"</formula>
    </cfRule>
    <cfRule type="cellIs" dxfId="347" priority="496" stopIfTrue="1" operator="equal">
      <formula>"Y"</formula>
    </cfRule>
  </conditionalFormatting>
  <conditionalFormatting sqref="N9:O9">
    <cfRule type="expression" dxfId="346" priority="494" stopIfTrue="1">
      <formula>IF($A9&lt;&gt;"",IF(N9="",TRUE,FALSE),FALSE)</formula>
    </cfRule>
  </conditionalFormatting>
  <conditionalFormatting sqref="M10:M11">
    <cfRule type="expression" dxfId="345" priority="490" stopIfTrue="1">
      <formula>IF($F10="I",TRUE,FALSE)</formula>
    </cfRule>
  </conditionalFormatting>
  <conditionalFormatting sqref="I10:K11">
    <cfRule type="expression" dxfId="344" priority="489" stopIfTrue="1">
      <formula>IF($A10&lt;&gt;"",IF(I10="",TRUE,FALSE),FALSE)</formula>
    </cfRule>
  </conditionalFormatting>
  <conditionalFormatting sqref="I10:I11">
    <cfRule type="cellIs" dxfId="343" priority="487" stopIfTrue="1" operator="equal">
      <formula>"y"</formula>
    </cfRule>
    <cfRule type="cellIs" dxfId="342" priority="488" stopIfTrue="1" operator="equal">
      <formula>"Y"</formula>
    </cfRule>
  </conditionalFormatting>
  <conditionalFormatting sqref="N10:O11">
    <cfRule type="expression" dxfId="341" priority="486" stopIfTrue="1">
      <formula>IF($A10&lt;&gt;"",IF(N10="",TRUE,FALSE),FALSE)</formula>
    </cfRule>
  </conditionalFormatting>
  <conditionalFormatting sqref="G9">
    <cfRule type="cellIs" dxfId="340" priority="500" stopIfTrue="1" operator="equal">
      <formula>"y"</formula>
    </cfRule>
    <cfRule type="cellIs" dxfId="339" priority="501" stopIfTrue="1" operator="equal">
      <formula>"Y"</formula>
    </cfRule>
  </conditionalFormatting>
  <conditionalFormatting sqref="B9:D9 M9 F9:G9">
    <cfRule type="expression" dxfId="338" priority="499" stopIfTrue="1">
      <formula>IF($A9&lt;&gt;"",IF(B9="",TRUE,FALSE),FALSE)</formula>
    </cfRule>
  </conditionalFormatting>
  <conditionalFormatting sqref="M12">
    <cfRule type="expression" dxfId="337" priority="482" stopIfTrue="1">
      <formula>IF($F12="I",TRUE,FALSE)</formula>
    </cfRule>
  </conditionalFormatting>
  <conditionalFormatting sqref="I12:K12">
    <cfRule type="expression" dxfId="336" priority="481" stopIfTrue="1">
      <formula>IF($A12&lt;&gt;"",IF(I12="",TRUE,FALSE),FALSE)</formula>
    </cfRule>
  </conditionalFormatting>
  <conditionalFormatting sqref="I12">
    <cfRule type="cellIs" dxfId="335" priority="479" stopIfTrue="1" operator="equal">
      <formula>"y"</formula>
    </cfRule>
    <cfRule type="cellIs" dxfId="334" priority="480" stopIfTrue="1" operator="equal">
      <formula>"Y"</formula>
    </cfRule>
  </conditionalFormatting>
  <conditionalFormatting sqref="N12:O12">
    <cfRule type="expression" dxfId="333" priority="478" stopIfTrue="1">
      <formula>IF($A12&lt;&gt;"",IF(N12="",TRUE,FALSE),FALSE)</formula>
    </cfRule>
  </conditionalFormatting>
  <conditionalFormatting sqref="G10:G11">
    <cfRule type="cellIs" dxfId="332" priority="492" stopIfTrue="1" operator="equal">
      <formula>"y"</formula>
    </cfRule>
    <cfRule type="cellIs" dxfId="331" priority="493" stopIfTrue="1" operator="equal">
      <formula>"Y"</formula>
    </cfRule>
  </conditionalFormatting>
  <conditionalFormatting sqref="B10:D11 M10:M11 F10:G11">
    <cfRule type="expression" dxfId="330" priority="491" stopIfTrue="1">
      <formula>IF($A10&lt;&gt;"",IF(B10="",TRUE,FALSE),FALSE)</formula>
    </cfRule>
  </conditionalFormatting>
  <conditionalFormatting sqref="M13">
    <cfRule type="expression" dxfId="329" priority="474" stopIfTrue="1">
      <formula>IF($F13="I",TRUE,FALSE)</formula>
    </cfRule>
  </conditionalFormatting>
  <conditionalFormatting sqref="I13:K13">
    <cfRule type="expression" dxfId="328" priority="473" stopIfTrue="1">
      <formula>IF($A13&lt;&gt;"",IF(I13="",TRUE,FALSE),FALSE)</formula>
    </cfRule>
  </conditionalFormatting>
  <conditionalFormatting sqref="I13">
    <cfRule type="cellIs" dxfId="327" priority="471" stopIfTrue="1" operator="equal">
      <formula>"y"</formula>
    </cfRule>
    <cfRule type="cellIs" dxfId="326" priority="472" stopIfTrue="1" operator="equal">
      <formula>"Y"</formula>
    </cfRule>
  </conditionalFormatting>
  <conditionalFormatting sqref="N13:O13">
    <cfRule type="expression" dxfId="325" priority="470" stopIfTrue="1">
      <formula>IF($A13&lt;&gt;"",IF(N13="",TRUE,FALSE),FALSE)</formula>
    </cfRule>
  </conditionalFormatting>
  <conditionalFormatting sqref="G12">
    <cfRule type="cellIs" dxfId="324" priority="484" stopIfTrue="1" operator="equal">
      <formula>"y"</formula>
    </cfRule>
    <cfRule type="cellIs" dxfId="323" priority="485" stopIfTrue="1" operator="equal">
      <formula>"Y"</formula>
    </cfRule>
  </conditionalFormatting>
  <conditionalFormatting sqref="B12:D12 M12 F12:G12">
    <cfRule type="expression" dxfId="322" priority="483" stopIfTrue="1">
      <formula>IF($A12&lt;&gt;"",IF(B12="",TRUE,FALSE),FALSE)</formula>
    </cfRule>
  </conditionalFormatting>
  <conditionalFormatting sqref="C14:D14 F14:G14 I14:O14">
    <cfRule type="expression" dxfId="321" priority="467" stopIfTrue="1">
      <formula>IF($A14&lt;&gt;"",IF(C14="",TRUE,FALSE),FALSE)</formula>
    </cfRule>
  </conditionalFormatting>
  <conditionalFormatting sqref="G13">
    <cfRule type="cellIs" dxfId="320" priority="476" stopIfTrue="1" operator="equal">
      <formula>"y"</formula>
    </cfRule>
    <cfRule type="cellIs" dxfId="319" priority="477" stopIfTrue="1" operator="equal">
      <formula>"Y"</formula>
    </cfRule>
  </conditionalFormatting>
  <conditionalFormatting sqref="B13:D13 M13 F13:G13">
    <cfRule type="expression" dxfId="318" priority="475" stopIfTrue="1">
      <formula>IF($A13&lt;&gt;"",IF(B13="",TRUE,FALSE),FALSE)</formula>
    </cfRule>
  </conditionalFormatting>
  <conditionalFormatting sqref="G14">
    <cfRule type="cellIs" dxfId="317" priority="468" stopIfTrue="1" operator="equal">
      <formula>"y"</formula>
    </cfRule>
    <cfRule type="cellIs" dxfId="316" priority="469" stopIfTrue="1" operator="equal">
      <formula>"Y"</formula>
    </cfRule>
  </conditionalFormatting>
  <conditionalFormatting sqref="M14">
    <cfRule type="expression" dxfId="315" priority="466" stopIfTrue="1">
      <formula>IF($F14="I",TRUE,FALSE)</formula>
    </cfRule>
  </conditionalFormatting>
  <conditionalFormatting sqref="I14">
    <cfRule type="cellIs" dxfId="314" priority="464" stopIfTrue="1" operator="equal">
      <formula>"y"</formula>
    </cfRule>
    <cfRule type="cellIs" dxfId="313" priority="465" stopIfTrue="1" operator="equal">
      <formula>"Y"</formula>
    </cfRule>
  </conditionalFormatting>
  <conditionalFormatting sqref="G15">
    <cfRule type="cellIs" dxfId="312" priority="454" stopIfTrue="1" operator="equal">
      <formula>"y"</formula>
    </cfRule>
    <cfRule type="cellIs" dxfId="311" priority="455" stopIfTrue="1" operator="equal">
      <formula>"Y"</formula>
    </cfRule>
  </conditionalFormatting>
  <conditionalFormatting sqref="B15:D15 F15:G15">
    <cfRule type="expression" dxfId="310" priority="453" stopIfTrue="1">
      <formula>IF($A15&lt;&gt;"",IF(B15="",TRUE,FALSE),FALSE)</formula>
    </cfRule>
  </conditionalFormatting>
  <conditionalFormatting sqref="I15">
    <cfRule type="cellIs" dxfId="309" priority="451" stopIfTrue="1" operator="equal">
      <formula>"y"</formula>
    </cfRule>
    <cfRule type="cellIs" dxfId="308" priority="452" stopIfTrue="1" operator="equal">
      <formula>"Y"</formula>
    </cfRule>
  </conditionalFormatting>
  <conditionalFormatting sqref="I15:K15 M15:O15">
    <cfRule type="expression" dxfId="307" priority="450" stopIfTrue="1">
      <formula>IF($A15&lt;&gt;"",IF(I15="",TRUE,FALSE),FALSE)</formula>
    </cfRule>
  </conditionalFormatting>
  <conditionalFormatting sqref="M15">
    <cfRule type="expression" dxfId="306" priority="449" stopIfTrue="1">
      <formula>IF($F15="I",TRUE,FALSE)</formula>
    </cfRule>
  </conditionalFormatting>
  <conditionalFormatting sqref="C17:D17 F17:G17 I17:O17">
    <cfRule type="expression" dxfId="305" priority="446" stopIfTrue="1">
      <formula>IF($A17&lt;&gt;"",IF(C17="",TRUE,FALSE),FALSE)</formula>
    </cfRule>
  </conditionalFormatting>
  <conditionalFormatting sqref="G17">
    <cfRule type="cellIs" dxfId="304" priority="447" stopIfTrue="1" operator="equal">
      <formula>"y"</formula>
    </cfRule>
    <cfRule type="cellIs" dxfId="303" priority="448" stopIfTrue="1" operator="equal">
      <formula>"Y"</formula>
    </cfRule>
  </conditionalFormatting>
  <conditionalFormatting sqref="M17">
    <cfRule type="expression" dxfId="302" priority="445" stopIfTrue="1">
      <formula>IF($F17="I",TRUE,FALSE)</formula>
    </cfRule>
  </conditionalFormatting>
  <conditionalFormatting sqref="I17">
    <cfRule type="cellIs" dxfId="301" priority="443" stopIfTrue="1" operator="equal">
      <formula>"y"</formula>
    </cfRule>
    <cfRule type="cellIs" dxfId="300" priority="444" stopIfTrue="1" operator="equal">
      <formula>"Y"</formula>
    </cfRule>
  </conditionalFormatting>
  <conditionalFormatting sqref="G18">
    <cfRule type="cellIs" dxfId="299" priority="441" stopIfTrue="1" operator="equal">
      <formula>"y"</formula>
    </cfRule>
    <cfRule type="cellIs" dxfId="298" priority="442" stopIfTrue="1" operator="equal">
      <formula>"Y"</formula>
    </cfRule>
  </conditionalFormatting>
  <conditionalFormatting sqref="B18:D18 F18:G18">
    <cfRule type="expression" dxfId="297" priority="440" stopIfTrue="1">
      <formula>IF($A18&lt;&gt;"",IF(B18="",TRUE,FALSE),FALSE)</formula>
    </cfRule>
  </conditionalFormatting>
  <conditionalFormatting sqref="I18">
    <cfRule type="cellIs" dxfId="296" priority="438" stopIfTrue="1" operator="equal">
      <formula>"y"</formula>
    </cfRule>
    <cfRule type="cellIs" dxfId="295" priority="439" stopIfTrue="1" operator="equal">
      <formula>"Y"</formula>
    </cfRule>
  </conditionalFormatting>
  <conditionalFormatting sqref="I18:K18 M18:O18">
    <cfRule type="expression" dxfId="294" priority="437" stopIfTrue="1">
      <formula>IF($A18&lt;&gt;"",IF(I18="",TRUE,FALSE),FALSE)</formula>
    </cfRule>
  </conditionalFormatting>
  <conditionalFormatting sqref="M18">
    <cfRule type="expression" dxfId="293" priority="436" stopIfTrue="1">
      <formula>IF($F18="I",TRUE,FALSE)</formula>
    </cfRule>
  </conditionalFormatting>
  <conditionalFormatting sqref="C20:D20 F20:G20">
    <cfRule type="expression" dxfId="292" priority="433" stopIfTrue="1">
      <formula>IF($A20&lt;&gt;"",IF(C20="",TRUE,FALSE),FALSE)</formula>
    </cfRule>
  </conditionalFormatting>
  <conditionalFormatting sqref="G20">
    <cfRule type="cellIs" dxfId="291" priority="434" stopIfTrue="1" operator="equal">
      <formula>"y"</formula>
    </cfRule>
    <cfRule type="cellIs" dxfId="290" priority="435" stopIfTrue="1" operator="equal">
      <formula>"Y"</formula>
    </cfRule>
  </conditionalFormatting>
  <conditionalFormatting sqref="M20">
    <cfRule type="expression" dxfId="289" priority="429" stopIfTrue="1">
      <formula>IF($A20&lt;&gt;"",IF(M20="",TRUE,FALSE),FALSE)</formula>
    </cfRule>
  </conditionalFormatting>
  <conditionalFormatting sqref="M20">
    <cfRule type="expression" dxfId="288" priority="428" stopIfTrue="1">
      <formula>IF($F20="I",TRUE,FALSE)</formula>
    </cfRule>
  </conditionalFormatting>
  <conditionalFormatting sqref="I20:K20">
    <cfRule type="expression" dxfId="287" priority="427" stopIfTrue="1">
      <formula>IF($A20&lt;&gt;"",IF(I20="",TRUE,FALSE),FALSE)</formula>
    </cfRule>
  </conditionalFormatting>
  <conditionalFormatting sqref="I20">
    <cfRule type="cellIs" dxfId="286" priority="425" stopIfTrue="1" operator="equal">
      <formula>"y"</formula>
    </cfRule>
    <cfRule type="cellIs" dxfId="285" priority="426" stopIfTrue="1" operator="equal">
      <formula>"Y"</formula>
    </cfRule>
  </conditionalFormatting>
  <conditionalFormatting sqref="N20">
    <cfRule type="expression" dxfId="284" priority="424" stopIfTrue="1">
      <formula>IF($A20&lt;&gt;"",IF(N20="",TRUE,FALSE),FALSE)</formula>
    </cfRule>
  </conditionalFormatting>
  <conditionalFormatting sqref="C21:D21 F21:G21 I21:O21">
    <cfRule type="expression" dxfId="283" priority="421" stopIfTrue="1">
      <formula>IF($A21&lt;&gt;"",IF(C21="",TRUE,FALSE),FALSE)</formula>
    </cfRule>
  </conditionalFormatting>
  <conditionalFormatting sqref="G21">
    <cfRule type="cellIs" dxfId="282" priority="422" stopIfTrue="1" operator="equal">
      <formula>"y"</formula>
    </cfRule>
    <cfRule type="cellIs" dxfId="281" priority="423" stopIfTrue="1" operator="equal">
      <formula>"Y"</formula>
    </cfRule>
  </conditionalFormatting>
  <conditionalFormatting sqref="M21">
    <cfRule type="expression" dxfId="280" priority="420" stopIfTrue="1">
      <formula>IF($F21="I",TRUE,FALSE)</formula>
    </cfRule>
  </conditionalFormatting>
  <conditionalFormatting sqref="I21">
    <cfRule type="cellIs" dxfId="279" priority="418" stopIfTrue="1" operator="equal">
      <formula>"y"</formula>
    </cfRule>
    <cfRule type="cellIs" dxfId="278" priority="419" stopIfTrue="1" operator="equal">
      <formula>"Y"</formula>
    </cfRule>
  </conditionalFormatting>
  <conditionalFormatting sqref="G48:G55 I48:I55">
    <cfRule type="cellIs" dxfId="277" priority="405" stopIfTrue="1" operator="equal">
      <formula>"y"</formula>
    </cfRule>
    <cfRule type="cellIs" dxfId="276" priority="406" stopIfTrue="1" operator="equal">
      <formula>"Y"</formula>
    </cfRule>
  </conditionalFormatting>
  <conditionalFormatting sqref="C48:D55 F48:G55 I48:O49 I50:L55 N50:O55">
    <cfRule type="expression" dxfId="275" priority="404" stopIfTrue="1">
      <formula>IF($A48&lt;&gt;"",IF(C48="",TRUE,FALSE),FALSE)</formula>
    </cfRule>
  </conditionalFormatting>
  <conditionalFormatting sqref="M48:M49">
    <cfRule type="expression" dxfId="274" priority="403" stopIfTrue="1">
      <formula>IF($F48="I",TRUE,FALSE)</formula>
    </cfRule>
  </conditionalFormatting>
  <conditionalFormatting sqref="G47">
    <cfRule type="cellIs" dxfId="273" priority="400" stopIfTrue="1" operator="equal">
      <formula>"y"</formula>
    </cfRule>
    <cfRule type="cellIs" dxfId="272" priority="401" stopIfTrue="1" operator="equal">
      <formula>"Y"</formula>
    </cfRule>
  </conditionalFormatting>
  <conditionalFormatting sqref="C47:D47 F47:G47">
    <cfRule type="expression" dxfId="271" priority="399" stopIfTrue="1">
      <formula>IF($A47&lt;&gt;"",IF(C47="",TRUE,FALSE),FALSE)</formula>
    </cfRule>
  </conditionalFormatting>
  <conditionalFormatting sqref="I47">
    <cfRule type="cellIs" dxfId="270" priority="394" stopIfTrue="1" operator="equal">
      <formula>"y"</formula>
    </cfRule>
    <cfRule type="cellIs" dxfId="269" priority="395" stopIfTrue="1" operator="equal">
      <formula>"Y"</formula>
    </cfRule>
  </conditionalFormatting>
  <conditionalFormatting sqref="I47:K47 M47:O47">
    <cfRule type="expression" dxfId="268" priority="393" stopIfTrue="1">
      <formula>IF($A47&lt;&gt;"",IF(I47="",TRUE,FALSE),FALSE)</formula>
    </cfRule>
  </conditionalFormatting>
  <conditionalFormatting sqref="M47">
    <cfRule type="expression" dxfId="267" priority="392" stopIfTrue="1">
      <formula>IF($F47="I",TRUE,FALSE)</formula>
    </cfRule>
  </conditionalFormatting>
  <conditionalFormatting sqref="C61:D61 F61 J61:K61">
    <cfRule type="expression" dxfId="266" priority="389" stopIfTrue="1">
      <formula>IF($A61&lt;&gt;"",IF(C61="",TRUE,FALSE),FALSE)</formula>
    </cfRule>
  </conditionalFormatting>
  <conditionalFormatting sqref="C62:D62 F62 J62:K62">
    <cfRule type="expression" dxfId="265" priority="384" stopIfTrue="1">
      <formula>IF($A62&lt;&gt;"",IF(C62="",TRUE,FALSE),FALSE)</formula>
    </cfRule>
  </conditionalFormatting>
  <conditionalFormatting sqref="C63:D63 F63 J63:K63">
    <cfRule type="expression" dxfId="264" priority="379" stopIfTrue="1">
      <formula>IF($A63&lt;&gt;"",IF(C63="",TRUE,FALSE),FALSE)</formula>
    </cfRule>
  </conditionalFormatting>
  <conditionalFormatting sqref="C64:D64 F64 J64:K64">
    <cfRule type="expression" dxfId="263" priority="374" stopIfTrue="1">
      <formula>IF($A64&lt;&gt;"",IF(C64="",TRUE,FALSE),FALSE)</formula>
    </cfRule>
  </conditionalFormatting>
  <conditionalFormatting sqref="C65:D65 F65 J65:K65">
    <cfRule type="expression" dxfId="262" priority="364" stopIfTrue="1">
      <formula>IF($A65&lt;&gt;"",IF(C65="",TRUE,FALSE),FALSE)</formula>
    </cfRule>
  </conditionalFormatting>
  <conditionalFormatting sqref="C66:D66 F66 J66:K66">
    <cfRule type="expression" dxfId="261" priority="359" stopIfTrue="1">
      <formula>IF($A66&lt;&gt;"",IF(C66="",TRUE,FALSE),FALSE)</formula>
    </cfRule>
  </conditionalFormatting>
  <conditionalFormatting sqref="M67">
    <cfRule type="expression" dxfId="260" priority="352" stopIfTrue="1">
      <formula>IF($F67="I",TRUE,FALSE)</formula>
    </cfRule>
  </conditionalFormatting>
  <conditionalFormatting sqref="G67">
    <cfRule type="cellIs" dxfId="259" priority="355" stopIfTrue="1" operator="equal">
      <formula>"y"</formula>
    </cfRule>
    <cfRule type="cellIs" dxfId="258" priority="356" stopIfTrue="1" operator="equal">
      <formula>"Y"</formula>
    </cfRule>
  </conditionalFormatting>
  <conditionalFormatting sqref="C67:D67 F67:G67 J67:K67 M67">
    <cfRule type="expression" dxfId="257" priority="354" stopIfTrue="1">
      <formula>IF($A67&lt;&gt;"",IF(C67="",TRUE,FALSE),FALSE)</formula>
    </cfRule>
  </conditionalFormatting>
  <conditionalFormatting sqref="M67">
    <cfRule type="expression" dxfId="256" priority="353" stopIfTrue="1">
      <formula>IF($A67&lt;&gt;"",IF(M67="",TRUE,FALSE),FALSE)</formula>
    </cfRule>
  </conditionalFormatting>
  <conditionalFormatting sqref="M68">
    <cfRule type="expression" dxfId="255" priority="347" stopIfTrue="1">
      <formula>IF($F68="I",TRUE,FALSE)</formula>
    </cfRule>
  </conditionalFormatting>
  <conditionalFormatting sqref="I68 G68">
    <cfRule type="cellIs" dxfId="254" priority="350" stopIfTrue="1" operator="equal">
      <formula>"y"</formula>
    </cfRule>
    <cfRule type="cellIs" dxfId="253" priority="351" stopIfTrue="1" operator="equal">
      <formula>"Y"</formula>
    </cfRule>
  </conditionalFormatting>
  <conditionalFormatting sqref="C68:D68 F68:G68 I68:O68">
    <cfRule type="expression" dxfId="252" priority="349" stopIfTrue="1">
      <formula>IF($A68&lt;&gt;"",IF(C68="",TRUE,FALSE),FALSE)</formula>
    </cfRule>
  </conditionalFormatting>
  <conditionalFormatting sqref="M68">
    <cfRule type="expression" dxfId="251" priority="348" stopIfTrue="1">
      <formula>IF($A68&lt;&gt;"",IF(M68="",TRUE,FALSE),FALSE)</formula>
    </cfRule>
  </conditionalFormatting>
  <conditionalFormatting sqref="G16">
    <cfRule type="cellIs" dxfId="250" priority="336" stopIfTrue="1" operator="equal">
      <formula>"y"</formula>
    </cfRule>
    <cfRule type="cellIs" dxfId="249" priority="337" stopIfTrue="1" operator="equal">
      <formula>"Y"</formula>
    </cfRule>
  </conditionalFormatting>
  <conditionalFormatting sqref="B16:D16 F16:G16">
    <cfRule type="expression" dxfId="248" priority="335" stopIfTrue="1">
      <formula>IF($A16&lt;&gt;"",IF(B16="",TRUE,FALSE),FALSE)</formula>
    </cfRule>
  </conditionalFormatting>
  <conditionalFormatting sqref="I16">
    <cfRule type="cellIs" dxfId="247" priority="333" stopIfTrue="1" operator="equal">
      <formula>"y"</formula>
    </cfRule>
    <cfRule type="cellIs" dxfId="246" priority="334" stopIfTrue="1" operator="equal">
      <formula>"Y"</formula>
    </cfRule>
  </conditionalFormatting>
  <conditionalFormatting sqref="I16:K16 M16:O16">
    <cfRule type="expression" dxfId="245" priority="332" stopIfTrue="1">
      <formula>IF($A16&lt;&gt;"",IF(I16="",TRUE,FALSE),FALSE)</formula>
    </cfRule>
  </conditionalFormatting>
  <conditionalFormatting sqref="M16">
    <cfRule type="expression" dxfId="244" priority="331" stopIfTrue="1">
      <formula>IF($F16="I",TRUE,FALSE)</formula>
    </cfRule>
  </conditionalFormatting>
  <conditionalFormatting sqref="G19">
    <cfRule type="cellIs" dxfId="243" priority="329" stopIfTrue="1" operator="equal">
      <formula>"y"</formula>
    </cfRule>
    <cfRule type="cellIs" dxfId="242" priority="330" stopIfTrue="1" operator="equal">
      <formula>"Y"</formula>
    </cfRule>
  </conditionalFormatting>
  <conditionalFormatting sqref="B19:D19 F19:G19">
    <cfRule type="expression" dxfId="241" priority="328" stopIfTrue="1">
      <formula>IF($A19&lt;&gt;"",IF(B19="",TRUE,FALSE),FALSE)</formula>
    </cfRule>
  </conditionalFormatting>
  <conditionalFormatting sqref="I19">
    <cfRule type="cellIs" dxfId="240" priority="326" stopIfTrue="1" operator="equal">
      <formula>"y"</formula>
    </cfRule>
    <cfRule type="cellIs" dxfId="239" priority="327" stopIfTrue="1" operator="equal">
      <formula>"Y"</formula>
    </cfRule>
  </conditionalFormatting>
  <conditionalFormatting sqref="I19:K19 M19:O19">
    <cfRule type="expression" dxfId="238" priority="325" stopIfTrue="1">
      <formula>IF($A19&lt;&gt;"",IF(I19="",TRUE,FALSE),FALSE)</formula>
    </cfRule>
  </conditionalFormatting>
  <conditionalFormatting sqref="M19">
    <cfRule type="expression" dxfId="237" priority="324" stopIfTrue="1">
      <formula>IF($F19="I",TRUE,FALSE)</formula>
    </cfRule>
  </conditionalFormatting>
  <conditionalFormatting sqref="G37">
    <cfRule type="cellIs" dxfId="236" priority="321" stopIfTrue="1" operator="equal">
      <formula>"y"</formula>
    </cfRule>
    <cfRule type="cellIs" dxfId="235" priority="322" stopIfTrue="1" operator="equal">
      <formula>"Y"</formula>
    </cfRule>
  </conditionalFormatting>
  <conditionalFormatting sqref="I37">
    <cfRule type="cellIs" dxfId="234" priority="317" stopIfTrue="1" operator="equal">
      <formula>"y"</formula>
    </cfRule>
    <cfRule type="cellIs" dxfId="233" priority="318" stopIfTrue="1" operator="equal">
      <formula>"Y"</formula>
    </cfRule>
  </conditionalFormatting>
  <conditionalFormatting sqref="G45">
    <cfRule type="cellIs" dxfId="232" priority="314" stopIfTrue="1" operator="equal">
      <formula>"y"</formula>
    </cfRule>
    <cfRule type="cellIs" dxfId="231" priority="315" stopIfTrue="1" operator="equal">
      <formula>"Y"</formula>
    </cfRule>
  </conditionalFormatting>
  <conditionalFormatting sqref="F45:G45 I45:O45 C45:D45">
    <cfRule type="expression" dxfId="230" priority="313" stopIfTrue="1">
      <formula>IF($A45&lt;&gt;"",IF(C45="",TRUE,FALSE),FALSE)</formula>
    </cfRule>
  </conditionalFormatting>
  <conditionalFormatting sqref="M45">
    <cfRule type="expression" dxfId="229" priority="312" stopIfTrue="1">
      <formula>IF($F45="I",TRUE,FALSE)</formula>
    </cfRule>
  </conditionalFormatting>
  <conditionalFormatting sqref="I45">
    <cfRule type="cellIs" dxfId="228" priority="310" stopIfTrue="1" operator="equal">
      <formula>"y"</formula>
    </cfRule>
    <cfRule type="cellIs" dxfId="227" priority="311" stopIfTrue="1" operator="equal">
      <formula>"Y"</formula>
    </cfRule>
  </conditionalFormatting>
  <conditionalFormatting sqref="G44">
    <cfRule type="cellIs" dxfId="226" priority="307" stopIfTrue="1" operator="equal">
      <formula>"y"</formula>
    </cfRule>
    <cfRule type="cellIs" dxfId="225" priority="308" stopIfTrue="1" operator="equal">
      <formula>"Y"</formula>
    </cfRule>
  </conditionalFormatting>
  <conditionalFormatting sqref="F44:G44 I44:O44 C44:D44">
    <cfRule type="expression" dxfId="224" priority="306" stopIfTrue="1">
      <formula>IF($A44&lt;&gt;"",IF(C44="",TRUE,FALSE),FALSE)</formula>
    </cfRule>
  </conditionalFormatting>
  <conditionalFormatting sqref="M44">
    <cfRule type="expression" dxfId="223" priority="305" stopIfTrue="1">
      <formula>IF($F44="I",TRUE,FALSE)</formula>
    </cfRule>
  </conditionalFormatting>
  <conditionalFormatting sqref="I44">
    <cfRule type="cellIs" dxfId="222" priority="303" stopIfTrue="1" operator="equal">
      <formula>"y"</formula>
    </cfRule>
    <cfRule type="cellIs" dxfId="221" priority="304" stopIfTrue="1" operator="equal">
      <formula>"Y"</formula>
    </cfRule>
  </conditionalFormatting>
  <conditionalFormatting sqref="G43">
    <cfRule type="cellIs" dxfId="220" priority="300" stopIfTrue="1" operator="equal">
      <formula>"y"</formula>
    </cfRule>
    <cfRule type="cellIs" dxfId="219" priority="301" stopIfTrue="1" operator="equal">
      <formula>"Y"</formula>
    </cfRule>
  </conditionalFormatting>
  <conditionalFormatting sqref="F43:G43 I43:O43 C43:D43">
    <cfRule type="expression" dxfId="218" priority="299" stopIfTrue="1">
      <formula>IF($A43&lt;&gt;"",IF(C43="",TRUE,FALSE),FALSE)</formula>
    </cfRule>
  </conditionalFormatting>
  <conditionalFormatting sqref="M43">
    <cfRule type="expression" dxfId="217" priority="298" stopIfTrue="1">
      <formula>IF($F43="I",TRUE,FALSE)</formula>
    </cfRule>
  </conditionalFormatting>
  <conditionalFormatting sqref="I43">
    <cfRule type="cellIs" dxfId="216" priority="296" stopIfTrue="1" operator="equal">
      <formula>"y"</formula>
    </cfRule>
    <cfRule type="cellIs" dxfId="215" priority="297" stopIfTrue="1" operator="equal">
      <formula>"Y"</formula>
    </cfRule>
  </conditionalFormatting>
  <conditionalFormatting sqref="G42">
    <cfRule type="cellIs" dxfId="214" priority="293" stopIfTrue="1" operator="equal">
      <formula>"y"</formula>
    </cfRule>
    <cfRule type="cellIs" dxfId="213" priority="294" stopIfTrue="1" operator="equal">
      <formula>"Y"</formula>
    </cfRule>
  </conditionalFormatting>
  <conditionalFormatting sqref="F42:G42 I42:O42 C42:D42">
    <cfRule type="expression" dxfId="212" priority="292" stopIfTrue="1">
      <formula>IF($A42&lt;&gt;"",IF(C42="",TRUE,FALSE),FALSE)</formula>
    </cfRule>
  </conditionalFormatting>
  <conditionalFormatting sqref="M42">
    <cfRule type="expression" dxfId="211" priority="291" stopIfTrue="1">
      <formula>IF($F42="I",TRUE,FALSE)</formula>
    </cfRule>
  </conditionalFormatting>
  <conditionalFormatting sqref="I42">
    <cfRule type="cellIs" dxfId="210" priority="289" stopIfTrue="1" operator="equal">
      <formula>"y"</formula>
    </cfRule>
    <cfRule type="cellIs" dxfId="209" priority="290" stopIfTrue="1" operator="equal">
      <formula>"Y"</formula>
    </cfRule>
  </conditionalFormatting>
  <conditionalFormatting sqref="G40:G41">
    <cfRule type="cellIs" dxfId="208" priority="286" stopIfTrue="1" operator="equal">
      <formula>"y"</formula>
    </cfRule>
    <cfRule type="cellIs" dxfId="207" priority="287" stopIfTrue="1" operator="equal">
      <formula>"Y"</formula>
    </cfRule>
  </conditionalFormatting>
  <conditionalFormatting sqref="F40:G41 I40:O41 C40:D41">
    <cfRule type="expression" dxfId="206" priority="285" stopIfTrue="1">
      <formula>IF($A40&lt;&gt;"",IF(C40="",TRUE,FALSE),FALSE)</formula>
    </cfRule>
  </conditionalFormatting>
  <conditionalFormatting sqref="M40:M41">
    <cfRule type="expression" dxfId="205" priority="284" stopIfTrue="1">
      <formula>IF($F40="I",TRUE,FALSE)</formula>
    </cfRule>
  </conditionalFormatting>
  <conditionalFormatting sqref="I40:I41">
    <cfRule type="cellIs" dxfId="204" priority="282" stopIfTrue="1" operator="equal">
      <formula>"y"</formula>
    </cfRule>
    <cfRule type="cellIs" dxfId="203" priority="283" stopIfTrue="1" operator="equal">
      <formula>"Y"</formula>
    </cfRule>
  </conditionalFormatting>
  <conditionalFormatting sqref="G40:G41">
    <cfRule type="cellIs" dxfId="202" priority="279" stopIfTrue="1" operator="equal">
      <formula>"y"</formula>
    </cfRule>
    <cfRule type="cellIs" dxfId="201" priority="280" stopIfTrue="1" operator="equal">
      <formula>"Y"</formula>
    </cfRule>
  </conditionalFormatting>
  <conditionalFormatting sqref="F40:G41 I40:O41 C40:D41">
    <cfRule type="expression" dxfId="200" priority="278" stopIfTrue="1">
      <formula>IF($A40&lt;&gt;"",IF(C40="",TRUE,FALSE),FALSE)</formula>
    </cfRule>
  </conditionalFormatting>
  <conditionalFormatting sqref="M40:M41">
    <cfRule type="expression" dxfId="199" priority="277" stopIfTrue="1">
      <formula>IF($F40="I",TRUE,FALSE)</formula>
    </cfRule>
  </conditionalFormatting>
  <conditionalFormatting sqref="I40:I41">
    <cfRule type="cellIs" dxfId="198" priority="275" stopIfTrue="1" operator="equal">
      <formula>"y"</formula>
    </cfRule>
    <cfRule type="cellIs" dxfId="197" priority="276" stopIfTrue="1" operator="equal">
      <formula>"Y"</formula>
    </cfRule>
  </conditionalFormatting>
  <conditionalFormatting sqref="G38">
    <cfRule type="cellIs" dxfId="196" priority="272" stopIfTrue="1" operator="equal">
      <formula>"y"</formula>
    </cfRule>
    <cfRule type="cellIs" dxfId="195" priority="273" stopIfTrue="1" operator="equal">
      <formula>"Y"</formula>
    </cfRule>
  </conditionalFormatting>
  <conditionalFormatting sqref="F38:G38 I38:O38 C38:D38">
    <cfRule type="expression" dxfId="194" priority="271" stopIfTrue="1">
      <formula>IF($A38&lt;&gt;"",IF(C38="",TRUE,FALSE),FALSE)</formula>
    </cfRule>
  </conditionalFormatting>
  <conditionalFormatting sqref="M38">
    <cfRule type="expression" dxfId="193" priority="270" stopIfTrue="1">
      <formula>IF($F38="I",TRUE,FALSE)</formula>
    </cfRule>
  </conditionalFormatting>
  <conditionalFormatting sqref="I38">
    <cfRule type="cellIs" dxfId="192" priority="268" stopIfTrue="1" operator="equal">
      <formula>"y"</formula>
    </cfRule>
    <cfRule type="cellIs" dxfId="191" priority="269" stopIfTrue="1" operator="equal">
      <formula>"Y"</formula>
    </cfRule>
  </conditionalFormatting>
  <conditionalFormatting sqref="G38">
    <cfRule type="cellIs" dxfId="190" priority="265" stopIfTrue="1" operator="equal">
      <formula>"y"</formula>
    </cfRule>
    <cfRule type="cellIs" dxfId="189" priority="266" stopIfTrue="1" operator="equal">
      <formula>"Y"</formula>
    </cfRule>
  </conditionalFormatting>
  <conditionalFormatting sqref="F38:G38 I38:O38 C38:D38">
    <cfRule type="expression" dxfId="188" priority="264" stopIfTrue="1">
      <formula>IF($A38&lt;&gt;"",IF(C38="",TRUE,FALSE),FALSE)</formula>
    </cfRule>
  </conditionalFormatting>
  <conditionalFormatting sqref="M38">
    <cfRule type="expression" dxfId="187" priority="263" stopIfTrue="1">
      <formula>IF($F38="I",TRUE,FALSE)</formula>
    </cfRule>
  </conditionalFormatting>
  <conditionalFormatting sqref="I38">
    <cfRule type="cellIs" dxfId="186" priority="261" stopIfTrue="1" operator="equal">
      <formula>"y"</formula>
    </cfRule>
    <cfRule type="cellIs" dxfId="185" priority="262" stopIfTrue="1" operator="equal">
      <formula>"Y"</formula>
    </cfRule>
  </conditionalFormatting>
  <conditionalFormatting sqref="I70">
    <cfRule type="cellIs" dxfId="184" priority="249" stopIfTrue="1" operator="equal">
      <formula>"y"</formula>
    </cfRule>
    <cfRule type="cellIs" dxfId="183" priority="250" stopIfTrue="1" operator="equal">
      <formula>"Y"</formula>
    </cfRule>
  </conditionalFormatting>
  <conditionalFormatting sqref="B70:D70 I70:O70 L71:L83">
    <cfRule type="expression" dxfId="182" priority="248" stopIfTrue="1">
      <formula>IF($A70&lt;&gt;"",IF(B70="",TRUE,FALSE),FALSE)</formula>
    </cfRule>
  </conditionalFormatting>
  <conditionalFormatting sqref="O71:O79">
    <cfRule type="expression" dxfId="181" priority="245" stopIfTrue="1">
      <formula>IF($A71&lt;&gt;"",IF(O71="",TRUE,FALSE),FALSE)</formula>
    </cfRule>
  </conditionalFormatting>
  <conditionalFormatting sqref="N71:N83">
    <cfRule type="expression" dxfId="180" priority="243" stopIfTrue="1">
      <formula>IF($A71&lt;&gt;"",IF(N71="",TRUE,FALSE),FALSE)</formula>
    </cfRule>
  </conditionalFormatting>
  <conditionalFormatting sqref="I73">
    <cfRule type="cellIs" dxfId="179" priority="232" stopIfTrue="1" operator="equal">
      <formula>"y"</formula>
    </cfRule>
    <cfRule type="cellIs" dxfId="178" priority="233" stopIfTrue="1" operator="equal">
      <formula>"Y"</formula>
    </cfRule>
  </conditionalFormatting>
  <conditionalFormatting sqref="J73">
    <cfRule type="cellIs" dxfId="177" priority="230" stopIfTrue="1" operator="equal">
      <formula>"y"</formula>
    </cfRule>
    <cfRule type="cellIs" dxfId="176" priority="231" stopIfTrue="1" operator="equal">
      <formula>"Y"</formula>
    </cfRule>
  </conditionalFormatting>
  <conditionalFormatting sqref="J73:K73">
    <cfRule type="expression" dxfId="175" priority="229" stopIfTrue="1">
      <formula>IF($A73&lt;&gt;"",IF(J73="",TRUE,FALSE),FALSE)</formula>
    </cfRule>
  </conditionalFormatting>
  <conditionalFormatting sqref="I73">
    <cfRule type="cellIs" dxfId="174" priority="227" stopIfTrue="1" operator="equal">
      <formula>"y"</formula>
    </cfRule>
    <cfRule type="cellIs" dxfId="173" priority="228" stopIfTrue="1" operator="equal">
      <formula>"Y"</formula>
    </cfRule>
  </conditionalFormatting>
  <conditionalFormatting sqref="I73">
    <cfRule type="expression" dxfId="172" priority="226" stopIfTrue="1">
      <formula>IF($A73&lt;&gt;"",IF(I73="",TRUE,FALSE),FALSE)</formula>
    </cfRule>
  </conditionalFormatting>
  <conditionalFormatting sqref="I74">
    <cfRule type="cellIs" dxfId="171" priority="218" stopIfTrue="1" operator="equal">
      <formula>"y"</formula>
    </cfRule>
    <cfRule type="cellIs" dxfId="170" priority="219" stopIfTrue="1" operator="equal">
      <formula>"Y"</formula>
    </cfRule>
  </conditionalFormatting>
  <conditionalFormatting sqref="J74">
    <cfRule type="cellIs" dxfId="169" priority="216" stopIfTrue="1" operator="equal">
      <formula>"y"</formula>
    </cfRule>
    <cfRule type="cellIs" dxfId="168" priority="217" stopIfTrue="1" operator="equal">
      <formula>"Y"</formula>
    </cfRule>
  </conditionalFormatting>
  <conditionalFormatting sqref="J74:K74">
    <cfRule type="expression" dxfId="167" priority="215" stopIfTrue="1">
      <formula>IF($A74&lt;&gt;"",IF(J74="",TRUE,FALSE),FALSE)</formula>
    </cfRule>
  </conditionalFormatting>
  <conditionalFormatting sqref="I74">
    <cfRule type="cellIs" dxfId="166" priority="213" stopIfTrue="1" operator="equal">
      <formula>"y"</formula>
    </cfRule>
    <cfRule type="cellIs" dxfId="165" priority="214" stopIfTrue="1" operator="equal">
      <formula>"Y"</formula>
    </cfRule>
  </conditionalFormatting>
  <conditionalFormatting sqref="I74">
    <cfRule type="expression" dxfId="164" priority="212" stopIfTrue="1">
      <formula>IF($A74&lt;&gt;"",IF(I74="",TRUE,FALSE),FALSE)</formula>
    </cfRule>
  </conditionalFormatting>
  <conditionalFormatting sqref="I75">
    <cfRule type="cellIs" dxfId="163" priority="210" stopIfTrue="1" operator="equal">
      <formula>"y"</formula>
    </cfRule>
    <cfRule type="cellIs" dxfId="162" priority="211" stopIfTrue="1" operator="equal">
      <formula>"Y"</formula>
    </cfRule>
  </conditionalFormatting>
  <conditionalFormatting sqref="J75">
    <cfRule type="cellIs" dxfId="161" priority="208" stopIfTrue="1" operator="equal">
      <formula>"y"</formula>
    </cfRule>
    <cfRule type="cellIs" dxfId="160" priority="209" stopIfTrue="1" operator="equal">
      <formula>"Y"</formula>
    </cfRule>
  </conditionalFormatting>
  <conditionalFormatting sqref="J75:K75">
    <cfRule type="expression" dxfId="159" priority="207" stopIfTrue="1">
      <formula>IF($A75&lt;&gt;"",IF(J75="",TRUE,FALSE),FALSE)</formula>
    </cfRule>
  </conditionalFormatting>
  <conditionalFormatting sqref="I75">
    <cfRule type="cellIs" dxfId="158" priority="205" stopIfTrue="1" operator="equal">
      <formula>"y"</formula>
    </cfRule>
    <cfRule type="cellIs" dxfId="157" priority="206" stopIfTrue="1" operator="equal">
      <formula>"Y"</formula>
    </cfRule>
  </conditionalFormatting>
  <conditionalFormatting sqref="I75">
    <cfRule type="expression" dxfId="156" priority="204" stopIfTrue="1">
      <formula>IF($A75&lt;&gt;"",IF(I75="",TRUE,FALSE),FALSE)</formula>
    </cfRule>
  </conditionalFormatting>
  <conditionalFormatting sqref="J84:J89">
    <cfRule type="cellIs" dxfId="155" priority="202" stopIfTrue="1" operator="equal">
      <formula>"y"</formula>
    </cfRule>
    <cfRule type="cellIs" dxfId="154" priority="203" stopIfTrue="1" operator="equal">
      <formula>"Y"</formula>
    </cfRule>
  </conditionalFormatting>
  <conditionalFormatting sqref="I84:I89">
    <cfRule type="cellIs" dxfId="153" priority="199" stopIfTrue="1" operator="equal">
      <formula>"y"</formula>
    </cfRule>
    <cfRule type="cellIs" dxfId="152" priority="200" stopIfTrue="1" operator="equal">
      <formula>"Y"</formula>
    </cfRule>
  </conditionalFormatting>
  <conditionalFormatting sqref="I76">
    <cfRule type="cellIs" dxfId="151" priority="196" stopIfTrue="1" operator="equal">
      <formula>"y"</formula>
    </cfRule>
    <cfRule type="cellIs" dxfId="150" priority="197" stopIfTrue="1" operator="equal">
      <formula>"Y"</formula>
    </cfRule>
  </conditionalFormatting>
  <conditionalFormatting sqref="J76">
    <cfRule type="cellIs" dxfId="149" priority="194" stopIfTrue="1" operator="equal">
      <formula>"y"</formula>
    </cfRule>
    <cfRule type="cellIs" dxfId="148" priority="195" stopIfTrue="1" operator="equal">
      <formula>"Y"</formula>
    </cfRule>
  </conditionalFormatting>
  <conditionalFormatting sqref="J76:K76">
    <cfRule type="expression" dxfId="147" priority="193" stopIfTrue="1">
      <formula>IF($A76&lt;&gt;"",IF(J76="",TRUE,FALSE),FALSE)</formula>
    </cfRule>
  </conditionalFormatting>
  <conditionalFormatting sqref="I76">
    <cfRule type="cellIs" dxfId="146" priority="191" stopIfTrue="1" operator="equal">
      <formula>"y"</formula>
    </cfRule>
    <cfRule type="cellIs" dxfId="145" priority="192" stopIfTrue="1" operator="equal">
      <formula>"Y"</formula>
    </cfRule>
  </conditionalFormatting>
  <conditionalFormatting sqref="I76">
    <cfRule type="expression" dxfId="144" priority="190" stopIfTrue="1">
      <formula>IF($A76&lt;&gt;"",IF(I76="",TRUE,FALSE),FALSE)</formula>
    </cfRule>
  </conditionalFormatting>
  <conditionalFormatting sqref="I77">
    <cfRule type="cellIs" dxfId="143" priority="188" stopIfTrue="1" operator="equal">
      <formula>"y"</formula>
    </cfRule>
    <cfRule type="cellIs" dxfId="142" priority="189" stopIfTrue="1" operator="equal">
      <formula>"Y"</formula>
    </cfRule>
  </conditionalFormatting>
  <conditionalFormatting sqref="J77">
    <cfRule type="cellIs" dxfId="141" priority="186" stopIfTrue="1" operator="equal">
      <formula>"y"</formula>
    </cfRule>
    <cfRule type="cellIs" dxfId="140" priority="187" stopIfTrue="1" operator="equal">
      <formula>"Y"</formula>
    </cfRule>
  </conditionalFormatting>
  <conditionalFormatting sqref="J77:K77">
    <cfRule type="expression" dxfId="139" priority="185" stopIfTrue="1">
      <formula>IF($A77&lt;&gt;"",IF(J77="",TRUE,FALSE),FALSE)</formula>
    </cfRule>
  </conditionalFormatting>
  <conditionalFormatting sqref="I77">
    <cfRule type="cellIs" dxfId="138" priority="183" stopIfTrue="1" operator="equal">
      <formula>"y"</formula>
    </cfRule>
    <cfRule type="cellIs" dxfId="137" priority="184" stopIfTrue="1" operator="equal">
      <formula>"Y"</formula>
    </cfRule>
  </conditionalFormatting>
  <conditionalFormatting sqref="I77">
    <cfRule type="expression" dxfId="136" priority="182" stopIfTrue="1">
      <formula>IF($A77&lt;&gt;"",IF(I77="",TRUE,FALSE),FALSE)</formula>
    </cfRule>
  </conditionalFormatting>
  <conditionalFormatting sqref="I92">
    <cfRule type="cellIs" dxfId="135" priority="180" stopIfTrue="1" operator="equal">
      <formula>"y"</formula>
    </cfRule>
    <cfRule type="cellIs" dxfId="134" priority="181" stopIfTrue="1" operator="equal">
      <formula>"Y"</formula>
    </cfRule>
  </conditionalFormatting>
  <conditionalFormatting sqref="J92">
    <cfRule type="cellIs" dxfId="133" priority="178" stopIfTrue="1" operator="equal">
      <formula>"y"</formula>
    </cfRule>
    <cfRule type="cellIs" dxfId="132" priority="179" stopIfTrue="1" operator="equal">
      <formula>"Y"</formula>
    </cfRule>
  </conditionalFormatting>
  <conditionalFormatting sqref="J92:K92">
    <cfRule type="expression" dxfId="131" priority="177" stopIfTrue="1">
      <formula>IF($A92&lt;&gt;"",IF(J92="",TRUE,FALSE),FALSE)</formula>
    </cfRule>
  </conditionalFormatting>
  <conditionalFormatting sqref="I92">
    <cfRule type="cellIs" dxfId="130" priority="175" stopIfTrue="1" operator="equal">
      <formula>"y"</formula>
    </cfRule>
    <cfRule type="cellIs" dxfId="129" priority="176" stopIfTrue="1" operator="equal">
      <formula>"Y"</formula>
    </cfRule>
  </conditionalFormatting>
  <conditionalFormatting sqref="I92">
    <cfRule type="expression" dxfId="128" priority="174" stopIfTrue="1">
      <formula>IF($A92&lt;&gt;"",IF(I92="",TRUE,FALSE),FALSE)</formula>
    </cfRule>
  </conditionalFormatting>
  <conditionalFormatting sqref="P33 J39:K39 P6:P30 P35:P105">
    <cfRule type="expression" dxfId="127" priority="173" stopIfTrue="1">
      <formula>IF($A6&lt;&gt;"",IF(J6="",TRUE,FALSE),FALSE)</formula>
    </cfRule>
  </conditionalFormatting>
  <conditionalFormatting sqref="B56">
    <cfRule type="expression" dxfId="126" priority="170" stopIfTrue="1">
      <formula>IF($A56&lt;&gt;"",IF(B56="",TRUE,FALSE),FALSE)</formula>
    </cfRule>
  </conditionalFormatting>
  <conditionalFormatting sqref="B61:B69">
    <cfRule type="expression" dxfId="125" priority="169" stopIfTrue="1">
      <formula>IF($A61&lt;&gt;"",IF(B61="",TRUE,FALSE),FALSE)</formula>
    </cfRule>
  </conditionalFormatting>
  <conditionalFormatting sqref="G34">
    <cfRule type="cellIs" dxfId="124" priority="167" stopIfTrue="1" operator="equal">
      <formula>"y"</formula>
    </cfRule>
    <cfRule type="cellIs" dxfId="123" priority="168" stopIfTrue="1" operator="equal">
      <formula>"Y"</formula>
    </cfRule>
  </conditionalFormatting>
  <conditionalFormatting sqref="F34:G34 I34:O34">
    <cfRule type="expression" dxfId="122" priority="166" stopIfTrue="1">
      <formula>IF($A34&lt;&gt;"",IF(F34="",TRUE,FALSE),FALSE)</formula>
    </cfRule>
  </conditionalFormatting>
  <conditionalFormatting sqref="M34">
    <cfRule type="expression" dxfId="121" priority="165" stopIfTrue="1">
      <formula>IF($F34="I",TRUE,FALSE)</formula>
    </cfRule>
  </conditionalFormatting>
  <conditionalFormatting sqref="I34">
    <cfRule type="cellIs" dxfId="120" priority="163" stopIfTrue="1" operator="equal">
      <formula>"y"</formula>
    </cfRule>
    <cfRule type="cellIs" dxfId="119" priority="164" stopIfTrue="1" operator="equal">
      <formula>"Y"</formula>
    </cfRule>
  </conditionalFormatting>
  <conditionalFormatting sqref="P34">
    <cfRule type="expression" dxfId="118" priority="162" stopIfTrue="1">
      <formula>IF($A34&lt;&gt;"",IF(P34="",TRUE,FALSE),FALSE)</formula>
    </cfRule>
  </conditionalFormatting>
  <conditionalFormatting sqref="K90">
    <cfRule type="cellIs" dxfId="117" priority="155" stopIfTrue="1" operator="equal">
      <formula>"y"</formula>
    </cfRule>
    <cfRule type="cellIs" dxfId="116" priority="156" stopIfTrue="1" operator="equal">
      <formula>"Y"</formula>
    </cfRule>
  </conditionalFormatting>
  <conditionalFormatting sqref="K90">
    <cfRule type="cellIs" dxfId="115" priority="153" stopIfTrue="1" operator="equal">
      <formula>"y"</formula>
    </cfRule>
    <cfRule type="cellIs" dxfId="114" priority="154" stopIfTrue="1" operator="equal">
      <formula>"Y"</formula>
    </cfRule>
  </conditionalFormatting>
  <conditionalFormatting sqref="K90">
    <cfRule type="expression" dxfId="113" priority="152" stopIfTrue="1">
      <formula>IF($A90&lt;&gt;"",IF(K90="",TRUE,FALSE),FALSE)</formula>
    </cfRule>
  </conditionalFormatting>
  <conditionalFormatting sqref="J90">
    <cfRule type="cellIs" dxfId="112" priority="150" stopIfTrue="1" operator="equal">
      <formula>"y"</formula>
    </cfRule>
    <cfRule type="cellIs" dxfId="111" priority="151" stopIfTrue="1" operator="equal">
      <formula>"Y"</formula>
    </cfRule>
  </conditionalFormatting>
  <conditionalFormatting sqref="J90">
    <cfRule type="cellIs" dxfId="110" priority="148" stopIfTrue="1" operator="equal">
      <formula>"y"</formula>
    </cfRule>
    <cfRule type="cellIs" dxfId="109" priority="149" stopIfTrue="1" operator="equal">
      <formula>"Y"</formula>
    </cfRule>
  </conditionalFormatting>
  <conditionalFormatting sqref="J90">
    <cfRule type="expression" dxfId="108" priority="147" stopIfTrue="1">
      <formula>IF($A90&lt;&gt;"",IF(J90="",TRUE,FALSE),FALSE)</formula>
    </cfRule>
  </conditionalFormatting>
  <conditionalFormatting sqref="J95:K95">
    <cfRule type="expression" dxfId="107" priority="133" stopIfTrue="1">
      <formula>IF($A95&lt;&gt;"",IF(J95="",TRUE,FALSE),FALSE)</formula>
    </cfRule>
  </conditionalFormatting>
  <conditionalFormatting sqref="O20">
    <cfRule type="expression" dxfId="106" priority="126" stopIfTrue="1">
      <formula>IF($A20&lt;&gt;"",IF(O20="",TRUE,FALSE),FALSE)</formula>
    </cfRule>
  </conditionalFormatting>
  <conditionalFormatting sqref="G33">
    <cfRule type="cellIs" dxfId="105" priority="124" stopIfTrue="1" operator="equal">
      <formula>"y"</formula>
    </cfRule>
    <cfRule type="cellIs" dxfId="104" priority="125" stopIfTrue="1" operator="equal">
      <formula>"Y"</formula>
    </cfRule>
  </conditionalFormatting>
  <conditionalFormatting sqref="I33:O33 F33:G33">
    <cfRule type="expression" dxfId="103" priority="123" stopIfTrue="1">
      <formula>IF($A33&lt;&gt;"",IF(F33="",TRUE,FALSE),FALSE)</formula>
    </cfRule>
  </conditionalFormatting>
  <conditionalFormatting sqref="M33">
    <cfRule type="expression" dxfId="102" priority="122" stopIfTrue="1">
      <formula>IF($F33="I",TRUE,FALSE)</formula>
    </cfRule>
  </conditionalFormatting>
  <conditionalFormatting sqref="I33">
    <cfRule type="cellIs" dxfId="101" priority="120" stopIfTrue="1" operator="equal">
      <formula>"y"</formula>
    </cfRule>
    <cfRule type="cellIs" dxfId="100" priority="121" stopIfTrue="1" operator="equal">
      <formula>"Y"</formula>
    </cfRule>
  </conditionalFormatting>
  <conditionalFormatting sqref="C32:D32">
    <cfRule type="expression" dxfId="99" priority="119" stopIfTrue="1">
      <formula>IF($A32&lt;&gt;"",IF(C32="",TRUE,FALSE),FALSE)</formula>
    </cfRule>
  </conditionalFormatting>
  <conditionalFormatting sqref="P32">
    <cfRule type="expression" dxfId="98" priority="118" stopIfTrue="1">
      <formula>IF($A32&lt;&gt;"",IF(P32="",TRUE,FALSE),FALSE)</formula>
    </cfRule>
  </conditionalFormatting>
  <conditionalFormatting sqref="G32">
    <cfRule type="cellIs" dxfId="97" priority="116" stopIfTrue="1" operator="equal">
      <formula>"y"</formula>
    </cfRule>
    <cfRule type="cellIs" dxfId="96" priority="117" stopIfTrue="1" operator="equal">
      <formula>"Y"</formula>
    </cfRule>
  </conditionalFormatting>
  <conditionalFormatting sqref="I32:O32 F32:G32">
    <cfRule type="expression" dxfId="95" priority="115" stopIfTrue="1">
      <formula>IF($A32&lt;&gt;"",IF(F32="",TRUE,FALSE),FALSE)</formula>
    </cfRule>
  </conditionalFormatting>
  <conditionalFormatting sqref="M32">
    <cfRule type="expression" dxfId="94" priority="114" stopIfTrue="1">
      <formula>IF($F32="I",TRUE,FALSE)</formula>
    </cfRule>
  </conditionalFormatting>
  <conditionalFormatting sqref="I32">
    <cfRule type="cellIs" dxfId="93" priority="112" stopIfTrue="1" operator="equal">
      <formula>"y"</formula>
    </cfRule>
    <cfRule type="cellIs" dxfId="92" priority="113" stopIfTrue="1" operator="equal">
      <formula>"Y"</formula>
    </cfRule>
  </conditionalFormatting>
  <conditionalFormatting sqref="C31:D31">
    <cfRule type="expression" dxfId="91" priority="111" stopIfTrue="1">
      <formula>IF($A31&lt;&gt;"",IF(C31="",TRUE,FALSE),FALSE)</formula>
    </cfRule>
  </conditionalFormatting>
  <conditionalFormatting sqref="P31">
    <cfRule type="expression" dxfId="90" priority="110" stopIfTrue="1">
      <formula>IF($A31&lt;&gt;"",IF(P31="",TRUE,FALSE),FALSE)</formula>
    </cfRule>
  </conditionalFormatting>
  <conditionalFormatting sqref="G31">
    <cfRule type="cellIs" dxfId="89" priority="108" stopIfTrue="1" operator="equal">
      <formula>"y"</formula>
    </cfRule>
    <cfRule type="cellIs" dxfId="88" priority="109" stopIfTrue="1" operator="equal">
      <formula>"Y"</formula>
    </cfRule>
  </conditionalFormatting>
  <conditionalFormatting sqref="I31:O31 F31:G31">
    <cfRule type="expression" dxfId="87" priority="107" stopIfTrue="1">
      <formula>IF($A31&lt;&gt;"",IF(F31="",TRUE,FALSE),FALSE)</formula>
    </cfRule>
  </conditionalFormatting>
  <conditionalFormatting sqref="M31">
    <cfRule type="expression" dxfId="86" priority="106" stopIfTrue="1">
      <formula>IF($F31="I",TRUE,FALSE)</formula>
    </cfRule>
  </conditionalFormatting>
  <conditionalFormatting sqref="I31">
    <cfRule type="cellIs" dxfId="85" priority="104" stopIfTrue="1" operator="equal">
      <formula>"y"</formula>
    </cfRule>
    <cfRule type="cellIs" dxfId="84" priority="105" stopIfTrue="1" operator="equal">
      <formula>"Y"</formula>
    </cfRule>
  </conditionalFormatting>
  <conditionalFormatting sqref="O93">
    <cfRule type="expression" dxfId="83" priority="100" stopIfTrue="1">
      <formula>IF($A93&lt;&gt;"",IF(O93="",TRUE,FALSE),FALSE)</formula>
    </cfRule>
  </conditionalFormatting>
  <conditionalFormatting sqref="N93">
    <cfRule type="expression" dxfId="82" priority="99" stopIfTrue="1">
      <formula>IF($A93&lt;&gt;"",IF(N93="",TRUE,FALSE),FALSE)</formula>
    </cfRule>
  </conditionalFormatting>
  <conditionalFormatting sqref="L93">
    <cfRule type="expression" dxfId="81" priority="98" stopIfTrue="1">
      <formula>IF($A93&lt;&gt;"",IF(L93="",TRUE,FALSE),FALSE)</formula>
    </cfRule>
  </conditionalFormatting>
  <conditionalFormatting sqref="I93">
    <cfRule type="cellIs" dxfId="80" priority="96" stopIfTrue="1" operator="equal">
      <formula>"y"</formula>
    </cfRule>
    <cfRule type="cellIs" dxfId="79" priority="97" stopIfTrue="1" operator="equal">
      <formula>"Y"</formula>
    </cfRule>
  </conditionalFormatting>
  <conditionalFormatting sqref="J93">
    <cfRule type="cellIs" dxfId="78" priority="94" stopIfTrue="1" operator="equal">
      <formula>"y"</formula>
    </cfRule>
    <cfRule type="cellIs" dxfId="77" priority="95" stopIfTrue="1" operator="equal">
      <formula>"Y"</formula>
    </cfRule>
  </conditionalFormatting>
  <conditionalFormatting sqref="J93:K93">
    <cfRule type="expression" dxfId="76" priority="93" stopIfTrue="1">
      <formula>IF($A93&lt;&gt;"",IF(J93="",TRUE,FALSE),FALSE)</formula>
    </cfRule>
  </conditionalFormatting>
  <conditionalFormatting sqref="I93">
    <cfRule type="cellIs" dxfId="75" priority="91" stopIfTrue="1" operator="equal">
      <formula>"y"</formula>
    </cfRule>
    <cfRule type="cellIs" dxfId="74" priority="92" stopIfTrue="1" operator="equal">
      <formula>"Y"</formula>
    </cfRule>
  </conditionalFormatting>
  <conditionalFormatting sqref="I93">
    <cfRule type="expression" dxfId="73" priority="90" stopIfTrue="1">
      <formula>IF($A93&lt;&gt;"",IF(I93="",TRUE,FALSE),FALSE)</formula>
    </cfRule>
  </conditionalFormatting>
  <conditionalFormatting sqref="I95:I96">
    <cfRule type="expression" dxfId="72" priority="85" stopIfTrue="1">
      <formula>IF($A95&lt;&gt;"",IF(I95="",TRUE,FALSE),FALSE)</formula>
    </cfRule>
  </conditionalFormatting>
  <conditionalFormatting sqref="O96">
    <cfRule type="expression" dxfId="71" priority="81" stopIfTrue="1">
      <formula>IF($A96&lt;&gt;"",IF(O96="",TRUE,FALSE),FALSE)</formula>
    </cfRule>
  </conditionalFormatting>
  <conditionalFormatting sqref="L95">
    <cfRule type="expression" dxfId="70" priority="75" stopIfTrue="1">
      <formula>IF($A95&lt;&gt;"",IF(L95="",TRUE,FALSE),FALSE)</formula>
    </cfRule>
  </conditionalFormatting>
  <conditionalFormatting sqref="J96">
    <cfRule type="cellIs" dxfId="69" priority="56" stopIfTrue="1" operator="equal">
      <formula>"y"</formula>
    </cfRule>
    <cfRule type="cellIs" dxfId="68" priority="57" stopIfTrue="1" operator="equal">
      <formula>"Y"</formula>
    </cfRule>
  </conditionalFormatting>
  <conditionalFormatting sqref="J96:K96">
    <cfRule type="expression" dxfId="67" priority="55" stopIfTrue="1">
      <formula>IF($A96&lt;&gt;"",IF(J96="",TRUE,FALSE),FALSE)</formula>
    </cfRule>
  </conditionalFormatting>
  <conditionalFormatting sqref="J105:K105">
    <cfRule type="expression" dxfId="66" priority="54" stopIfTrue="1">
      <formula>IF($A105&lt;&gt;"",IF(J105="",TRUE,FALSE),FALSE)</formula>
    </cfRule>
  </conditionalFormatting>
  <conditionalFormatting sqref="G39">
    <cfRule type="cellIs" dxfId="65" priority="51" stopIfTrue="1" operator="equal">
      <formula>"y"</formula>
    </cfRule>
    <cfRule type="cellIs" dxfId="64" priority="52" stopIfTrue="1" operator="equal">
      <formula>"Y"</formula>
    </cfRule>
  </conditionalFormatting>
  <conditionalFormatting sqref="I39">
    <cfRule type="cellIs" dxfId="63" priority="41" stopIfTrue="1" operator="equal">
      <formula>"y"</formula>
    </cfRule>
    <cfRule type="cellIs" dxfId="62" priority="42" stopIfTrue="1" operator="equal">
      <formula>"Y"</formula>
    </cfRule>
  </conditionalFormatting>
  <conditionalFormatting sqref="I39">
    <cfRule type="cellIs" dxfId="61" priority="39" stopIfTrue="1" operator="equal">
      <formula>"y"</formula>
    </cfRule>
    <cfRule type="cellIs" dxfId="60" priority="40" stopIfTrue="1" operator="equal">
      <formula>"Y"</formula>
    </cfRule>
  </conditionalFormatting>
  <conditionalFormatting sqref="I24">
    <cfRule type="cellIs" dxfId="59" priority="31" stopIfTrue="1" operator="equal">
      <formula>"y"</formula>
    </cfRule>
    <cfRule type="cellIs" dxfId="58" priority="32" stopIfTrue="1" operator="equal">
      <formula>"Y"</formula>
    </cfRule>
  </conditionalFormatting>
  <conditionalFormatting sqref="I71:I72">
    <cfRule type="cellIs" dxfId="57" priority="29" stopIfTrue="1" operator="equal">
      <formula>"y"</formula>
    </cfRule>
    <cfRule type="cellIs" dxfId="56" priority="30" stopIfTrue="1" operator="equal">
      <formula>"Y"</formula>
    </cfRule>
  </conditionalFormatting>
  <conditionalFormatting sqref="J71:J72">
    <cfRule type="cellIs" dxfId="55" priority="27" stopIfTrue="1" operator="equal">
      <formula>"y"</formula>
    </cfRule>
    <cfRule type="cellIs" dxfId="54" priority="28" stopIfTrue="1" operator="equal">
      <formula>"Y"</formula>
    </cfRule>
  </conditionalFormatting>
  <conditionalFormatting sqref="J71:K72">
    <cfRule type="expression" dxfId="53" priority="26" stopIfTrue="1">
      <formula>IF($A71&lt;&gt;"",IF(J71="",TRUE,FALSE),FALSE)</formula>
    </cfRule>
  </conditionalFormatting>
  <conditionalFormatting sqref="I71:I72">
    <cfRule type="cellIs" dxfId="52" priority="24" stopIfTrue="1" operator="equal">
      <formula>"y"</formula>
    </cfRule>
    <cfRule type="cellIs" dxfId="51" priority="25" stopIfTrue="1" operator="equal">
      <formula>"Y"</formula>
    </cfRule>
  </conditionalFormatting>
  <conditionalFormatting sqref="I71:I72">
    <cfRule type="expression" dxfId="50" priority="23" stopIfTrue="1">
      <formula>IF($A71&lt;&gt;"",IF(I71="",TRUE,FALSE),FALSE)</formula>
    </cfRule>
  </conditionalFormatting>
  <conditionalFormatting sqref="I78:I83">
    <cfRule type="cellIs" dxfId="49" priority="21" stopIfTrue="1" operator="equal">
      <formula>"y"</formula>
    </cfRule>
    <cfRule type="cellIs" dxfId="48" priority="22" stopIfTrue="1" operator="equal">
      <formula>"Y"</formula>
    </cfRule>
  </conditionalFormatting>
  <conditionalFormatting sqref="J78:J83">
    <cfRule type="cellIs" dxfId="47" priority="19" stopIfTrue="1" operator="equal">
      <formula>"y"</formula>
    </cfRule>
    <cfRule type="cellIs" dxfId="46" priority="20" stopIfTrue="1" operator="equal">
      <formula>"Y"</formula>
    </cfRule>
  </conditionalFormatting>
  <conditionalFormatting sqref="J78:K83">
    <cfRule type="expression" dxfId="45" priority="18" stopIfTrue="1">
      <formula>IF($A78&lt;&gt;"",IF(J78="",TRUE,FALSE),FALSE)</formula>
    </cfRule>
  </conditionalFormatting>
  <conditionalFormatting sqref="I78:I83">
    <cfRule type="cellIs" dxfId="44" priority="16" stopIfTrue="1" operator="equal">
      <formula>"y"</formula>
    </cfRule>
    <cfRule type="cellIs" dxfId="43" priority="17" stopIfTrue="1" operator="equal">
      <formula>"Y"</formula>
    </cfRule>
  </conditionalFormatting>
  <conditionalFormatting sqref="I78:I83">
    <cfRule type="expression" dxfId="42" priority="15" stopIfTrue="1">
      <formula>IF($A78&lt;&gt;"",IF(I78="",TRUE,FALSE),FALSE)</formula>
    </cfRule>
  </conditionalFormatting>
  <conditionalFormatting sqref="G106">
    <cfRule type="cellIs" dxfId="41" priority="13" stopIfTrue="1" operator="equal">
      <formula>"y"</formula>
    </cfRule>
    <cfRule type="cellIs" dxfId="40" priority="14" stopIfTrue="1" operator="equal">
      <formula>"Y"</formula>
    </cfRule>
  </conditionalFormatting>
  <conditionalFormatting sqref="B106:D106 F106:G106 M106:N106">
    <cfRule type="expression" dxfId="39" priority="12" stopIfTrue="1">
      <formula>IF($A106&lt;&gt;"",IF(B106="",TRUE,FALSE),FALSE)</formula>
    </cfRule>
  </conditionalFormatting>
  <conditionalFormatting sqref="M106">
    <cfRule type="expression" dxfId="38" priority="11" stopIfTrue="1">
      <formula>IF($F106="I",TRUE,FALSE)</formula>
    </cfRule>
  </conditionalFormatting>
  <conditionalFormatting sqref="I106">
    <cfRule type="cellIs" dxfId="37" priority="9" stopIfTrue="1" operator="equal">
      <formula>"y"</formula>
    </cfRule>
    <cfRule type="cellIs" dxfId="36" priority="10" stopIfTrue="1" operator="equal">
      <formula>"Y"</formula>
    </cfRule>
  </conditionalFormatting>
  <conditionalFormatting sqref="I106">
    <cfRule type="cellIs" dxfId="35" priority="7" stopIfTrue="1" operator="equal">
      <formula>"y"</formula>
    </cfRule>
    <cfRule type="cellIs" dxfId="34" priority="8" stopIfTrue="1" operator="equal">
      <formula>"Y"</formula>
    </cfRule>
  </conditionalFormatting>
  <conditionalFormatting sqref="I106">
    <cfRule type="expression" dxfId="33" priority="6" stopIfTrue="1">
      <formula>IF($A106&lt;&gt;"",IF(I106="",TRUE,FALSE),FALSE)</formula>
    </cfRule>
  </conditionalFormatting>
  <conditionalFormatting sqref="J106:K106">
    <cfRule type="expression" dxfId="32" priority="5" stopIfTrue="1">
      <formula>IF($A106&lt;&gt;"",IF(J106="",TRUE,FALSE),FALSE)</formula>
    </cfRule>
  </conditionalFormatting>
  <conditionalFormatting sqref="L106">
    <cfRule type="expression" dxfId="31" priority="4" stopIfTrue="1">
      <formula>IF($A106&lt;&gt;"",IF(L106="",TRUE,FALSE),FALSE)</formula>
    </cfRule>
  </conditionalFormatting>
  <conditionalFormatting sqref="O106">
    <cfRule type="expression" dxfId="30" priority="3" stopIfTrue="1">
      <formula>IF($A106&lt;&gt;"",IF(O106="",TRUE,FALSE),FALSE)</formula>
    </cfRule>
  </conditionalFormatting>
  <conditionalFormatting sqref="M50:M55">
    <cfRule type="expression" dxfId="29" priority="2" stopIfTrue="1">
      <formula>IF($A50&lt;&gt;"",IF(M50="",TRUE,FALSE),FALSE)</formula>
    </cfRule>
  </conditionalFormatting>
  <conditionalFormatting sqref="M50:M55">
    <cfRule type="expression" dxfId="28" priority="1" stopIfTrue="1">
      <formula>IF($F50="I",TRUE,FALSE)</formula>
    </cfRule>
  </conditionalFormatting>
  <dataValidations count="5">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D6:D106">
      <formula1>FDDValList</formula1>
    </dataValidation>
    <dataValidation type="list" allowBlank="1" showInputMessage="1" showErrorMessage="1" sqref="G6:H65563">
      <formula1>$S$2:$T$2</formula1>
    </dataValidation>
    <dataValidation type="list" allowBlank="1" showInputMessage="1" showErrorMessage="1" sqref="F6:F65563">
      <formula1>$S$1:$W$1</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66"/>
  <sheetViews>
    <sheetView zoomScale="115" zoomScaleNormal="115" workbookViewId="0">
      <pane xSplit="1" ySplit="5" topLeftCell="B42" activePane="bottomRight" state="frozenSplit"/>
      <selection pane="topRight"/>
      <selection pane="bottomLeft" activeCell="A6" sqref="A6"/>
      <selection pane="bottomRight" activeCell="L70" sqref="L70"/>
    </sheetView>
  </sheetViews>
  <sheetFormatPr defaultColWidth="9.140625" defaultRowHeight="12.75" x14ac:dyDescent="0.2"/>
  <cols>
    <col min="1" max="1" width="52.28515625" style="220" customWidth="1"/>
    <col min="2" max="2" width="47.85546875" style="220" bestFit="1" customWidth="1"/>
    <col min="3" max="3" width="15.5703125" style="229" customWidth="1"/>
    <col min="4" max="4" width="18" style="229" bestFit="1" customWidth="1"/>
    <col min="5" max="5" width="58.5703125" style="221" customWidth="1"/>
    <col min="6" max="6" width="5.5703125" style="222" customWidth="1"/>
    <col min="7" max="7" width="5.7109375" style="222" customWidth="1"/>
    <col min="8" max="8" width="8" style="222" customWidth="1"/>
    <col min="9" max="9" width="69.85546875" style="222" customWidth="1"/>
    <col min="10" max="10" width="10.28515625" style="223" customWidth="1"/>
    <col min="11" max="11" width="19" style="224" customWidth="1"/>
    <col min="12" max="12" width="9.5703125" style="223" customWidth="1"/>
    <col min="13" max="13" width="15.7109375" style="223" customWidth="1"/>
    <col min="14" max="14" width="22.28515625" style="223" hidden="1" customWidth="1"/>
    <col min="15" max="15" width="36.85546875" style="175" bestFit="1" customWidth="1"/>
    <col min="16" max="16" width="6.5703125" style="176" customWidth="1"/>
    <col min="17" max="16384" width="9.140625" style="176"/>
  </cols>
  <sheetData>
    <row r="1" spans="1:18" s="214" customFormat="1" ht="29.25" customHeight="1" thickBot="1" x14ac:dyDescent="0.25">
      <c r="A1" s="291" t="str">
        <f>'Change Log'!A1:D1</f>
        <v>PSASH - Rev 14</v>
      </c>
      <c r="B1" s="292"/>
      <c r="C1" s="292"/>
      <c r="D1" s="292"/>
      <c r="E1" s="292"/>
      <c r="F1" s="292"/>
      <c r="G1" s="292"/>
      <c r="H1" s="292"/>
      <c r="I1" s="292"/>
      <c r="J1" s="292"/>
      <c r="K1" s="292"/>
      <c r="L1" s="292"/>
      <c r="M1" s="292"/>
      <c r="N1" s="292"/>
      <c r="O1" s="213"/>
      <c r="R1" s="215" t="str">
        <f>Template!C26</f>
        <v>N</v>
      </c>
    </row>
    <row r="2" spans="1:18" s="214" customFormat="1" ht="13.5" thickBot="1" x14ac:dyDescent="0.25">
      <c r="A2" s="288" t="s">
        <v>91</v>
      </c>
      <c r="B2" s="289"/>
      <c r="C2" s="289"/>
      <c r="D2" s="289"/>
      <c r="E2" s="293"/>
      <c r="F2" s="293"/>
      <c r="G2" s="264"/>
      <c r="H2" s="230"/>
      <c r="I2" s="294" t="s">
        <v>84</v>
      </c>
      <c r="J2" s="293"/>
      <c r="K2" s="293"/>
      <c r="L2" s="293"/>
      <c r="M2" s="295"/>
      <c r="N2" s="231"/>
      <c r="O2" s="216"/>
      <c r="R2" s="215" t="str">
        <f>Template!C36</f>
        <v>Y</v>
      </c>
    </row>
    <row r="3" spans="1:18" s="214" customFormat="1" x14ac:dyDescent="0.2">
      <c r="A3" s="179"/>
      <c r="B3" s="180"/>
      <c r="C3" s="181"/>
      <c r="D3" s="181"/>
      <c r="E3" s="181"/>
      <c r="F3" s="182"/>
      <c r="G3" s="183"/>
      <c r="H3" s="182"/>
      <c r="I3" s="225"/>
      <c r="J3" s="286" t="s">
        <v>83</v>
      </c>
      <c r="K3" s="287"/>
      <c r="L3" s="185"/>
      <c r="M3" s="186"/>
      <c r="N3" s="186"/>
      <c r="O3" s="216"/>
      <c r="R3" s="215" t="str">
        <f>Template!C46</f>
        <v>P</v>
      </c>
    </row>
    <row r="4" spans="1:18" s="214" customFormat="1" ht="23.25" thickBot="1" x14ac:dyDescent="0.25">
      <c r="A4" s="187" t="s">
        <v>152</v>
      </c>
      <c r="B4" s="226" t="s">
        <v>134</v>
      </c>
      <c r="C4" s="189" t="s">
        <v>94</v>
      </c>
      <c r="D4" s="38" t="s">
        <v>154</v>
      </c>
      <c r="E4" s="189" t="s">
        <v>57</v>
      </c>
      <c r="F4" s="189" t="s">
        <v>92</v>
      </c>
      <c r="G4" s="190" t="s">
        <v>135</v>
      </c>
      <c r="H4" s="189" t="s">
        <v>166</v>
      </c>
      <c r="I4" s="227" t="s">
        <v>165</v>
      </c>
      <c r="J4" s="191" t="s">
        <v>136</v>
      </c>
      <c r="K4" s="192" t="s">
        <v>137</v>
      </c>
      <c r="L4" s="189" t="s">
        <v>52</v>
      </c>
      <c r="M4" s="193" t="s">
        <v>90</v>
      </c>
      <c r="N4" s="186" t="s">
        <v>85</v>
      </c>
      <c r="O4" s="216"/>
    </row>
    <row r="5" spans="1:18" s="214" customFormat="1" ht="15" customHeight="1" x14ac:dyDescent="0.2">
      <c r="A5" s="218" t="s">
        <v>153</v>
      </c>
      <c r="B5" s="194"/>
      <c r="C5" s="195"/>
      <c r="D5" s="195"/>
      <c r="E5" s="195"/>
      <c r="F5" s="196"/>
      <c r="G5" s="196"/>
      <c r="H5" s="196"/>
      <c r="I5" s="196"/>
      <c r="J5" s="197"/>
      <c r="K5" s="198"/>
      <c r="L5" s="197"/>
      <c r="M5" s="197"/>
      <c r="N5" s="197"/>
      <c r="O5" s="216"/>
    </row>
    <row r="6" spans="1:18" ht="12.75" customHeight="1" x14ac:dyDescent="0.2">
      <c r="A6" s="243" t="s">
        <v>467</v>
      </c>
      <c r="B6" s="243" t="s">
        <v>467</v>
      </c>
      <c r="C6" s="170" t="s">
        <v>433</v>
      </c>
      <c r="D6" s="170" t="s">
        <v>237</v>
      </c>
      <c r="E6" s="228" t="s">
        <v>704</v>
      </c>
      <c r="F6" s="171" t="s">
        <v>81</v>
      </c>
      <c r="G6" s="172" t="s">
        <v>81</v>
      </c>
      <c r="H6" s="172"/>
      <c r="I6" s="173">
        <v>1</v>
      </c>
      <c r="J6" s="174">
        <v>0</v>
      </c>
      <c r="K6" s="174">
        <v>8</v>
      </c>
      <c r="L6" s="174" t="s">
        <v>275</v>
      </c>
      <c r="M6" s="174" t="s">
        <v>282</v>
      </c>
      <c r="N6" s="219"/>
    </row>
    <row r="7" spans="1:18" ht="12.75" customHeight="1" x14ac:dyDescent="0.2">
      <c r="A7" s="243" t="s">
        <v>468</v>
      </c>
      <c r="B7" s="243" t="s">
        <v>468</v>
      </c>
      <c r="C7" s="170" t="s">
        <v>433</v>
      </c>
      <c r="D7" s="170" t="s">
        <v>237</v>
      </c>
      <c r="E7" s="228" t="s">
        <v>436</v>
      </c>
      <c r="F7" s="171" t="s">
        <v>81</v>
      </c>
      <c r="G7" s="172" t="s">
        <v>81</v>
      </c>
      <c r="H7" s="172"/>
      <c r="I7" s="173" t="s">
        <v>454</v>
      </c>
      <c r="J7" s="173" t="s">
        <v>428</v>
      </c>
      <c r="K7" s="173" t="s">
        <v>429</v>
      </c>
      <c r="L7" s="174" t="s">
        <v>286</v>
      </c>
      <c r="M7" s="174" t="s">
        <v>426</v>
      </c>
      <c r="N7" s="219"/>
    </row>
    <row r="8" spans="1:18" ht="12.75" customHeight="1" x14ac:dyDescent="0.2">
      <c r="A8" s="243" t="s">
        <v>469</v>
      </c>
      <c r="B8" s="243" t="s">
        <v>469</v>
      </c>
      <c r="C8" s="170" t="s">
        <v>433</v>
      </c>
      <c r="D8" s="170" t="s">
        <v>237</v>
      </c>
      <c r="E8" s="210" t="s">
        <v>446</v>
      </c>
      <c r="F8" s="171" t="s">
        <v>81</v>
      </c>
      <c r="G8" s="172" t="s">
        <v>81</v>
      </c>
      <c r="H8" s="172"/>
      <c r="I8" s="173" t="s">
        <v>290</v>
      </c>
      <c r="J8" s="173" t="s">
        <v>290</v>
      </c>
      <c r="K8" s="173" t="s">
        <v>290</v>
      </c>
      <c r="L8" s="174" t="s">
        <v>286</v>
      </c>
      <c r="M8" s="174" t="s">
        <v>426</v>
      </c>
      <c r="N8" s="219"/>
    </row>
    <row r="9" spans="1:18" ht="12.75" customHeight="1" x14ac:dyDescent="0.2">
      <c r="A9" s="243" t="s">
        <v>470</v>
      </c>
      <c r="B9" s="243" t="s">
        <v>470</v>
      </c>
      <c r="C9" s="170" t="s">
        <v>433</v>
      </c>
      <c r="D9" s="170" t="s">
        <v>237</v>
      </c>
      <c r="E9" s="210" t="s">
        <v>431</v>
      </c>
      <c r="F9" s="171" t="s">
        <v>81</v>
      </c>
      <c r="G9" s="172" t="s">
        <v>81</v>
      </c>
      <c r="H9" s="172"/>
      <c r="I9" s="173" t="s">
        <v>290</v>
      </c>
      <c r="J9" s="173" t="s">
        <v>290</v>
      </c>
      <c r="K9" s="173" t="s">
        <v>290</v>
      </c>
      <c r="L9" s="174" t="s">
        <v>286</v>
      </c>
      <c r="M9" s="174" t="s">
        <v>426</v>
      </c>
      <c r="N9" s="219"/>
    </row>
    <row r="10" spans="1:18" ht="12.75" customHeight="1" x14ac:dyDescent="0.2">
      <c r="A10" s="243" t="s">
        <v>471</v>
      </c>
      <c r="B10" s="243" t="s">
        <v>471</v>
      </c>
      <c r="C10" s="170" t="s">
        <v>433</v>
      </c>
      <c r="D10" s="170" t="s">
        <v>237</v>
      </c>
      <c r="E10" s="210" t="s">
        <v>430</v>
      </c>
      <c r="F10" s="171" t="s">
        <v>81</v>
      </c>
      <c r="G10" s="172" t="s">
        <v>81</v>
      </c>
      <c r="H10" s="172"/>
      <c r="I10" s="173" t="s">
        <v>290</v>
      </c>
      <c r="J10" s="173" t="s">
        <v>290</v>
      </c>
      <c r="K10" s="173" t="s">
        <v>290</v>
      </c>
      <c r="L10" s="174" t="s">
        <v>286</v>
      </c>
      <c r="M10" s="174" t="s">
        <v>426</v>
      </c>
      <c r="N10" s="219"/>
    </row>
    <row r="11" spans="1:18" ht="12.75" customHeight="1" x14ac:dyDescent="0.2">
      <c r="A11" s="243" t="s">
        <v>472</v>
      </c>
      <c r="B11" s="243" t="s">
        <v>472</v>
      </c>
      <c r="C11" s="170" t="s">
        <v>433</v>
      </c>
      <c r="D11" s="170" t="s">
        <v>237</v>
      </c>
      <c r="E11" s="228" t="s">
        <v>668</v>
      </c>
      <c r="F11" s="171" t="s">
        <v>81</v>
      </c>
      <c r="G11" s="172" t="s">
        <v>81</v>
      </c>
      <c r="H11" s="172"/>
      <c r="I11" s="173">
        <v>1</v>
      </c>
      <c r="J11" s="174">
        <v>0</v>
      </c>
      <c r="K11" s="174">
        <v>1440</v>
      </c>
      <c r="L11" s="174" t="s">
        <v>277</v>
      </c>
      <c r="M11" s="174" t="s">
        <v>276</v>
      </c>
      <c r="N11" s="219"/>
    </row>
    <row r="12" spans="1:18" ht="12.75" customHeight="1" x14ac:dyDescent="0.2">
      <c r="A12" s="243" t="s">
        <v>473</v>
      </c>
      <c r="B12" s="243" t="s">
        <v>473</v>
      </c>
      <c r="C12" s="170" t="s">
        <v>433</v>
      </c>
      <c r="D12" s="170" t="s">
        <v>237</v>
      </c>
      <c r="E12" s="228" t="s">
        <v>435</v>
      </c>
      <c r="F12" s="171" t="s">
        <v>81</v>
      </c>
      <c r="G12" s="172" t="s">
        <v>81</v>
      </c>
      <c r="H12" s="172"/>
      <c r="I12" s="173">
        <v>1000</v>
      </c>
      <c r="J12" s="174">
        <v>0</v>
      </c>
      <c r="K12" s="174">
        <v>10000</v>
      </c>
      <c r="L12" s="174" t="s">
        <v>287</v>
      </c>
      <c r="M12" s="174" t="s">
        <v>276</v>
      </c>
      <c r="N12" s="219"/>
    </row>
    <row r="13" spans="1:18" ht="12.75" customHeight="1" x14ac:dyDescent="0.2">
      <c r="A13" s="243" t="s">
        <v>474</v>
      </c>
      <c r="B13" s="244" t="s">
        <v>474</v>
      </c>
      <c r="C13" s="170" t="s">
        <v>433</v>
      </c>
      <c r="D13" s="170" t="s">
        <v>237</v>
      </c>
      <c r="E13" s="228" t="s">
        <v>425</v>
      </c>
      <c r="F13" s="171" t="s">
        <v>81</v>
      </c>
      <c r="G13" s="172" t="s">
        <v>81</v>
      </c>
      <c r="H13" s="172"/>
      <c r="I13" s="173">
        <v>10</v>
      </c>
      <c r="J13" s="174">
        <v>0</v>
      </c>
      <c r="K13" s="174">
        <v>1440</v>
      </c>
      <c r="L13" s="174" t="s">
        <v>277</v>
      </c>
      <c r="M13" s="174" t="s">
        <v>276</v>
      </c>
      <c r="N13" s="219"/>
    </row>
    <row r="14" spans="1:18" ht="12.75" customHeight="1" x14ac:dyDescent="0.2">
      <c r="A14" s="245" t="s">
        <v>475</v>
      </c>
      <c r="B14" s="245" t="s">
        <v>475</v>
      </c>
      <c r="C14" s="170" t="s">
        <v>433</v>
      </c>
      <c r="D14" s="170" t="s">
        <v>237</v>
      </c>
      <c r="E14" s="210" t="s">
        <v>346</v>
      </c>
      <c r="F14" s="171" t="s">
        <v>81</v>
      </c>
      <c r="G14" s="172" t="s">
        <v>81</v>
      </c>
      <c r="H14" s="172"/>
      <c r="I14" s="173" t="s">
        <v>681</v>
      </c>
      <c r="J14" s="174">
        <v>0</v>
      </c>
      <c r="K14" s="174">
        <v>1</v>
      </c>
      <c r="L14" s="174" t="s">
        <v>278</v>
      </c>
      <c r="M14" s="174" t="s">
        <v>282</v>
      </c>
      <c r="N14" s="219"/>
    </row>
    <row r="15" spans="1:18" ht="12.75" customHeight="1" x14ac:dyDescent="0.2">
      <c r="A15" s="246" t="s">
        <v>476</v>
      </c>
      <c r="B15" s="244" t="s">
        <v>476</v>
      </c>
      <c r="C15" s="170" t="s">
        <v>433</v>
      </c>
      <c r="D15" s="170" t="s">
        <v>237</v>
      </c>
      <c r="E15" s="210" t="s">
        <v>669</v>
      </c>
      <c r="F15" s="171" t="s">
        <v>81</v>
      </c>
      <c r="G15" s="172" t="s">
        <v>81</v>
      </c>
      <c r="H15" s="172"/>
      <c r="I15" s="173">
        <v>4</v>
      </c>
      <c r="J15" s="174">
        <v>0</v>
      </c>
      <c r="K15" s="174">
        <v>8</v>
      </c>
      <c r="L15" s="174" t="s">
        <v>281</v>
      </c>
      <c r="M15" s="174" t="s">
        <v>282</v>
      </c>
      <c r="N15" s="219"/>
    </row>
    <row r="16" spans="1:18" ht="12.75" customHeight="1" x14ac:dyDescent="0.2">
      <c r="A16" s="246" t="s">
        <v>522</v>
      </c>
      <c r="B16" s="244" t="s">
        <v>522</v>
      </c>
      <c r="C16" s="170" t="s">
        <v>433</v>
      </c>
      <c r="D16" s="170" t="s">
        <v>237</v>
      </c>
      <c r="E16" s="210" t="s">
        <v>671</v>
      </c>
      <c r="F16" s="171" t="s">
        <v>81</v>
      </c>
      <c r="G16" s="172" t="s">
        <v>81</v>
      </c>
      <c r="H16" s="172"/>
      <c r="I16" s="173">
        <v>150</v>
      </c>
      <c r="J16" s="174">
        <v>0</v>
      </c>
      <c r="K16" s="174">
        <v>10000</v>
      </c>
      <c r="L16" s="174" t="s">
        <v>287</v>
      </c>
      <c r="M16" s="174" t="s">
        <v>288</v>
      </c>
      <c r="N16" s="219"/>
    </row>
    <row r="17" spans="1:14" ht="12.75" customHeight="1" x14ac:dyDescent="0.2">
      <c r="A17" s="246" t="s">
        <v>477</v>
      </c>
      <c r="B17" s="244" t="s">
        <v>477</v>
      </c>
      <c r="C17" s="170" t="s">
        <v>433</v>
      </c>
      <c r="D17" s="170" t="s">
        <v>237</v>
      </c>
      <c r="E17" s="210" t="s">
        <v>670</v>
      </c>
      <c r="F17" s="171" t="s">
        <v>81</v>
      </c>
      <c r="G17" s="172" t="s">
        <v>81</v>
      </c>
      <c r="H17" s="172"/>
      <c r="I17" s="173">
        <v>3</v>
      </c>
      <c r="J17" s="174">
        <v>0</v>
      </c>
      <c r="K17" s="174">
        <v>10</v>
      </c>
      <c r="L17" s="174" t="s">
        <v>281</v>
      </c>
      <c r="M17" s="174" t="s">
        <v>282</v>
      </c>
      <c r="N17" s="219"/>
    </row>
    <row r="18" spans="1:14" ht="12.75" customHeight="1" x14ac:dyDescent="0.2">
      <c r="A18" s="246" t="s">
        <v>523</v>
      </c>
      <c r="B18" s="244" t="s">
        <v>523</v>
      </c>
      <c r="C18" s="170" t="s">
        <v>433</v>
      </c>
      <c r="D18" s="170" t="s">
        <v>237</v>
      </c>
      <c r="E18" s="210" t="s">
        <v>434</v>
      </c>
      <c r="F18" s="171" t="s">
        <v>81</v>
      </c>
      <c r="G18" s="172" t="s">
        <v>81</v>
      </c>
      <c r="H18" s="172"/>
      <c r="I18" s="173">
        <v>200</v>
      </c>
      <c r="J18" s="174">
        <v>0</v>
      </c>
      <c r="K18" s="174">
        <v>10000</v>
      </c>
      <c r="L18" s="174" t="s">
        <v>287</v>
      </c>
      <c r="M18" s="174" t="s">
        <v>288</v>
      </c>
      <c r="N18" s="219"/>
    </row>
    <row r="19" spans="1:14" ht="12.75" customHeight="1" x14ac:dyDescent="0.2">
      <c r="A19" s="246" t="s">
        <v>478</v>
      </c>
      <c r="B19" s="246" t="s">
        <v>478</v>
      </c>
      <c r="C19" s="170" t="s">
        <v>433</v>
      </c>
      <c r="D19" s="170" t="s">
        <v>237</v>
      </c>
      <c r="E19" s="210" t="s">
        <v>432</v>
      </c>
      <c r="F19" s="171" t="s">
        <v>81</v>
      </c>
      <c r="G19" s="172" t="s">
        <v>81</v>
      </c>
      <c r="H19" s="172"/>
      <c r="I19" s="173">
        <v>10</v>
      </c>
      <c r="J19" s="174">
        <v>0.1</v>
      </c>
      <c r="K19" s="174">
        <v>100</v>
      </c>
      <c r="L19" s="174" t="s">
        <v>283</v>
      </c>
      <c r="M19" s="174" t="s">
        <v>282</v>
      </c>
      <c r="N19" s="219"/>
    </row>
    <row r="20" spans="1:14" ht="12.75" customHeight="1" x14ac:dyDescent="0.2">
      <c r="A20" s="246" t="s">
        <v>479</v>
      </c>
      <c r="B20" s="244" t="s">
        <v>479</v>
      </c>
      <c r="C20" s="170" t="s">
        <v>433</v>
      </c>
      <c r="D20" s="170" t="s">
        <v>237</v>
      </c>
      <c r="E20" s="210" t="s">
        <v>427</v>
      </c>
      <c r="F20" s="171" t="s">
        <v>81</v>
      </c>
      <c r="G20" s="172" t="s">
        <v>81</v>
      </c>
      <c r="H20" s="172"/>
      <c r="I20" s="173" t="s">
        <v>703</v>
      </c>
      <c r="J20" s="173" t="s">
        <v>428</v>
      </c>
      <c r="K20" s="173" t="s">
        <v>429</v>
      </c>
      <c r="L20" s="174" t="s">
        <v>286</v>
      </c>
      <c r="M20" s="174" t="s">
        <v>426</v>
      </c>
      <c r="N20" s="219"/>
    </row>
    <row r="21" spans="1:14" ht="12.75" customHeight="1" x14ac:dyDescent="0.2">
      <c r="A21" s="246" t="s">
        <v>754</v>
      </c>
      <c r="B21" s="268" t="s">
        <v>754</v>
      </c>
      <c r="C21" s="170" t="s">
        <v>433</v>
      </c>
      <c r="D21" s="170" t="s">
        <v>237</v>
      </c>
      <c r="E21" s="210" t="s">
        <v>446</v>
      </c>
      <c r="F21" s="171" t="s">
        <v>81</v>
      </c>
      <c r="G21" s="172" t="s">
        <v>81</v>
      </c>
      <c r="H21" s="172"/>
      <c r="I21" s="173" t="s">
        <v>290</v>
      </c>
      <c r="J21" s="173" t="s">
        <v>290</v>
      </c>
      <c r="K21" s="173" t="s">
        <v>290</v>
      </c>
      <c r="L21" s="174" t="s">
        <v>286</v>
      </c>
      <c r="M21" s="174" t="s">
        <v>426</v>
      </c>
      <c r="N21" s="219"/>
    </row>
    <row r="22" spans="1:14" ht="12.75" customHeight="1" x14ac:dyDescent="0.2">
      <c r="A22" s="246" t="s">
        <v>753</v>
      </c>
      <c r="B22" s="246" t="s">
        <v>480</v>
      </c>
      <c r="C22" s="170" t="s">
        <v>433</v>
      </c>
      <c r="D22" s="170" t="s">
        <v>237</v>
      </c>
      <c r="E22" s="210" t="s">
        <v>431</v>
      </c>
      <c r="F22" s="171" t="s">
        <v>81</v>
      </c>
      <c r="G22" s="172" t="s">
        <v>81</v>
      </c>
      <c r="H22" s="172"/>
      <c r="I22" s="173" t="s">
        <v>290</v>
      </c>
      <c r="J22" s="173" t="s">
        <v>290</v>
      </c>
      <c r="K22" s="173" t="s">
        <v>290</v>
      </c>
      <c r="L22" s="174" t="s">
        <v>286</v>
      </c>
      <c r="M22" s="174" t="s">
        <v>426</v>
      </c>
      <c r="N22" s="219"/>
    </row>
    <row r="23" spans="1:14" ht="12.75" customHeight="1" x14ac:dyDescent="0.2">
      <c r="A23" s="246" t="s">
        <v>481</v>
      </c>
      <c r="B23" s="246" t="s">
        <v>481</v>
      </c>
      <c r="C23" s="170" t="s">
        <v>433</v>
      </c>
      <c r="D23" s="170" t="s">
        <v>237</v>
      </c>
      <c r="E23" s="210" t="s">
        <v>430</v>
      </c>
      <c r="F23" s="171" t="s">
        <v>81</v>
      </c>
      <c r="G23" s="172" t="s">
        <v>81</v>
      </c>
      <c r="H23" s="172"/>
      <c r="I23" s="173" t="s">
        <v>290</v>
      </c>
      <c r="J23" s="173" t="s">
        <v>290</v>
      </c>
      <c r="K23" s="173" t="s">
        <v>290</v>
      </c>
      <c r="L23" s="174" t="s">
        <v>286</v>
      </c>
      <c r="M23" s="174" t="s">
        <v>426</v>
      </c>
      <c r="N23" s="219"/>
    </row>
    <row r="24" spans="1:14" ht="12.75" customHeight="1" x14ac:dyDescent="0.2">
      <c r="A24" s="246" t="s">
        <v>482</v>
      </c>
      <c r="B24" s="244" t="s">
        <v>482</v>
      </c>
      <c r="C24" s="170" t="s">
        <v>433</v>
      </c>
      <c r="D24" s="170" t="s">
        <v>237</v>
      </c>
      <c r="E24" s="228" t="s">
        <v>672</v>
      </c>
      <c r="F24" s="171" t="s">
        <v>81</v>
      </c>
      <c r="G24" s="172" t="s">
        <v>81</v>
      </c>
      <c r="H24" s="172"/>
      <c r="I24" s="174" t="s">
        <v>683</v>
      </c>
      <c r="J24" s="174">
        <v>0</v>
      </c>
      <c r="K24" s="174">
        <v>1</v>
      </c>
      <c r="L24" s="174" t="s">
        <v>278</v>
      </c>
      <c r="M24" s="174" t="s">
        <v>282</v>
      </c>
      <c r="N24" s="219"/>
    </row>
    <row r="25" spans="1:14" ht="12.75" customHeight="1" x14ac:dyDescent="0.2">
      <c r="A25" s="246" t="s">
        <v>483</v>
      </c>
      <c r="B25" s="244" t="s">
        <v>483</v>
      </c>
      <c r="C25" s="170" t="s">
        <v>433</v>
      </c>
      <c r="D25" s="170" t="s">
        <v>237</v>
      </c>
      <c r="E25" s="228" t="s">
        <v>673</v>
      </c>
      <c r="F25" s="171" t="s">
        <v>81</v>
      </c>
      <c r="G25" s="172" t="s">
        <v>81</v>
      </c>
      <c r="H25" s="172"/>
      <c r="I25" s="173">
        <v>10</v>
      </c>
      <c r="J25" s="174">
        <v>0</v>
      </c>
      <c r="K25" s="174">
        <v>511</v>
      </c>
      <c r="L25" s="174" t="s">
        <v>284</v>
      </c>
      <c r="M25" s="174" t="s">
        <v>282</v>
      </c>
      <c r="N25" s="219"/>
    </row>
    <row r="26" spans="1:14" ht="12.75" customHeight="1" x14ac:dyDescent="0.2">
      <c r="A26" s="246" t="s">
        <v>705</v>
      </c>
      <c r="B26" s="244" t="s">
        <v>705</v>
      </c>
      <c r="C26" s="170" t="s">
        <v>433</v>
      </c>
      <c r="D26" s="170" t="s">
        <v>237</v>
      </c>
      <c r="E26" s="228" t="s">
        <v>706</v>
      </c>
      <c r="F26" s="171" t="s">
        <v>81</v>
      </c>
      <c r="G26" s="172" t="s">
        <v>81</v>
      </c>
      <c r="H26" s="172"/>
      <c r="I26" s="173">
        <v>1.1000000000000001</v>
      </c>
      <c r="J26" s="174">
        <v>0</v>
      </c>
      <c r="K26" s="174">
        <v>100</v>
      </c>
      <c r="L26" s="174" t="s">
        <v>707</v>
      </c>
      <c r="M26" s="174" t="s">
        <v>282</v>
      </c>
      <c r="N26" s="219"/>
    </row>
    <row r="27" spans="1:14" ht="12.75" customHeight="1" x14ac:dyDescent="0.2">
      <c r="A27" s="236" t="s">
        <v>769</v>
      </c>
      <c r="B27" s="234" t="s">
        <v>769</v>
      </c>
      <c r="C27" s="242" t="s">
        <v>433</v>
      </c>
      <c r="D27" s="242" t="s">
        <v>237</v>
      </c>
      <c r="E27" s="263" t="s">
        <v>770</v>
      </c>
      <c r="F27" s="248" t="s">
        <v>81</v>
      </c>
      <c r="G27" s="249" t="s">
        <v>81</v>
      </c>
      <c r="H27" s="249"/>
      <c r="I27" s="281">
        <v>1.1920928960000001E-7</v>
      </c>
      <c r="J27" s="233">
        <v>0</v>
      </c>
      <c r="K27" s="233">
        <v>1</v>
      </c>
      <c r="L27" s="233" t="s">
        <v>278</v>
      </c>
      <c r="M27" s="233" t="s">
        <v>282</v>
      </c>
      <c r="N27" s="219"/>
    </row>
    <row r="28" spans="1:14" ht="12.75" customHeight="1" x14ac:dyDescent="0.2">
      <c r="A28" s="246" t="s">
        <v>484</v>
      </c>
      <c r="B28" s="244" t="s">
        <v>484</v>
      </c>
      <c r="C28" s="170" t="s">
        <v>433</v>
      </c>
      <c r="D28" s="170" t="s">
        <v>237</v>
      </c>
      <c r="E28" s="210" t="s">
        <v>674</v>
      </c>
      <c r="F28" s="171" t="s">
        <v>81</v>
      </c>
      <c r="G28" s="172" t="s">
        <v>81</v>
      </c>
      <c r="H28" s="172"/>
      <c r="I28" s="173">
        <v>10</v>
      </c>
      <c r="J28" s="174">
        <v>0</v>
      </c>
      <c r="K28" s="174">
        <v>40</v>
      </c>
      <c r="L28" s="174" t="s">
        <v>279</v>
      </c>
      <c r="M28" s="174" t="s">
        <v>282</v>
      </c>
      <c r="N28" s="219"/>
    </row>
    <row r="29" spans="1:14" ht="12.75" customHeight="1" x14ac:dyDescent="0.2">
      <c r="A29" s="246" t="s">
        <v>485</v>
      </c>
      <c r="B29" s="244" t="s">
        <v>485</v>
      </c>
      <c r="C29" s="170" t="s">
        <v>433</v>
      </c>
      <c r="D29" s="170" t="s">
        <v>237</v>
      </c>
      <c r="E29" s="210" t="s">
        <v>686</v>
      </c>
      <c r="F29" s="171" t="s">
        <v>81</v>
      </c>
      <c r="G29" s="172" t="s">
        <v>81</v>
      </c>
      <c r="H29" s="172"/>
      <c r="I29" s="173">
        <v>3</v>
      </c>
      <c r="J29" s="174">
        <v>0</v>
      </c>
      <c r="K29" s="174">
        <v>40</v>
      </c>
      <c r="L29" s="174" t="s">
        <v>279</v>
      </c>
      <c r="M29" s="174" t="s">
        <v>282</v>
      </c>
      <c r="N29" s="219"/>
    </row>
    <row r="30" spans="1:14" ht="12.75" customHeight="1" x14ac:dyDescent="0.2">
      <c r="A30" s="246" t="s">
        <v>486</v>
      </c>
      <c r="B30" s="244" t="s">
        <v>486</v>
      </c>
      <c r="C30" s="170" t="s">
        <v>433</v>
      </c>
      <c r="D30" s="170" t="s">
        <v>237</v>
      </c>
      <c r="E30" s="210" t="s">
        <v>679</v>
      </c>
      <c r="F30" s="171" t="s">
        <v>81</v>
      </c>
      <c r="G30" s="172" t="s">
        <v>81</v>
      </c>
      <c r="H30" s="172"/>
      <c r="I30" s="173" t="s">
        <v>681</v>
      </c>
      <c r="J30" s="174">
        <v>0</v>
      </c>
      <c r="K30" s="174">
        <v>1</v>
      </c>
      <c r="L30" s="174" t="s">
        <v>278</v>
      </c>
      <c r="M30" s="174" t="s">
        <v>282</v>
      </c>
      <c r="N30" s="219"/>
    </row>
    <row r="31" spans="1:14" ht="12.75" customHeight="1" x14ac:dyDescent="0.2">
      <c r="A31" s="246" t="s">
        <v>487</v>
      </c>
      <c r="B31" s="244" t="s">
        <v>487</v>
      </c>
      <c r="C31" s="170" t="s">
        <v>433</v>
      </c>
      <c r="D31" s="170" t="s">
        <v>237</v>
      </c>
      <c r="E31" s="210" t="s">
        <v>678</v>
      </c>
      <c r="F31" s="171" t="s">
        <v>81</v>
      </c>
      <c r="G31" s="172" t="s">
        <v>81</v>
      </c>
      <c r="H31" s="172"/>
      <c r="I31" s="173">
        <v>5</v>
      </c>
      <c r="J31" s="174">
        <v>1</v>
      </c>
      <c r="K31" s="174">
        <v>100</v>
      </c>
      <c r="L31" s="174" t="s">
        <v>281</v>
      </c>
      <c r="M31" s="174" t="s">
        <v>282</v>
      </c>
      <c r="N31" s="219"/>
    </row>
    <row r="32" spans="1:14" ht="12.75" customHeight="1" x14ac:dyDescent="0.2">
      <c r="A32" s="246" t="s">
        <v>524</v>
      </c>
      <c r="B32" s="244" t="s">
        <v>524</v>
      </c>
      <c r="C32" s="170" t="s">
        <v>433</v>
      </c>
      <c r="D32" s="170" t="s">
        <v>237</v>
      </c>
      <c r="E32" s="210" t="s">
        <v>675</v>
      </c>
      <c r="F32" s="171" t="s">
        <v>81</v>
      </c>
      <c r="G32" s="172" t="s">
        <v>81</v>
      </c>
      <c r="H32" s="172"/>
      <c r="I32" s="173">
        <v>200</v>
      </c>
      <c r="J32" s="174">
        <v>0</v>
      </c>
      <c r="K32" s="174">
        <v>65535</v>
      </c>
      <c r="L32" s="174" t="s">
        <v>286</v>
      </c>
      <c r="M32" s="174" t="s">
        <v>276</v>
      </c>
      <c r="N32" s="219"/>
    </row>
    <row r="33" spans="1:14" ht="12.75" customHeight="1" x14ac:dyDescent="0.2">
      <c r="A33" s="246" t="s">
        <v>525</v>
      </c>
      <c r="B33" s="244" t="s">
        <v>525</v>
      </c>
      <c r="C33" s="170" t="s">
        <v>433</v>
      </c>
      <c r="D33" s="170" t="s">
        <v>237</v>
      </c>
      <c r="E33" s="210" t="s">
        <v>676</v>
      </c>
      <c r="F33" s="171" t="s">
        <v>81</v>
      </c>
      <c r="G33" s="172" t="s">
        <v>81</v>
      </c>
      <c r="H33" s="172"/>
      <c r="I33" s="173">
        <v>200</v>
      </c>
      <c r="J33" s="174">
        <v>0</v>
      </c>
      <c r="K33" s="174">
        <v>65535</v>
      </c>
      <c r="L33" s="174" t="s">
        <v>286</v>
      </c>
      <c r="M33" s="174" t="s">
        <v>276</v>
      </c>
      <c r="N33" s="219"/>
    </row>
    <row r="34" spans="1:14" ht="12.75" customHeight="1" x14ac:dyDescent="0.2">
      <c r="A34" s="246" t="s">
        <v>488</v>
      </c>
      <c r="B34" s="244" t="s">
        <v>488</v>
      </c>
      <c r="C34" s="170" t="s">
        <v>433</v>
      </c>
      <c r="D34" s="170" t="s">
        <v>237</v>
      </c>
      <c r="E34" s="210" t="s">
        <v>677</v>
      </c>
      <c r="F34" s="171" t="s">
        <v>81</v>
      </c>
      <c r="G34" s="172" t="s">
        <v>81</v>
      </c>
      <c r="H34" s="172"/>
      <c r="I34" s="173">
        <v>0</v>
      </c>
      <c r="J34" s="174">
        <v>0</v>
      </c>
      <c r="K34" s="174">
        <v>2</v>
      </c>
      <c r="L34" s="174" t="s">
        <v>279</v>
      </c>
      <c r="M34" s="174" t="s">
        <v>282</v>
      </c>
      <c r="N34" s="219"/>
    </row>
    <row r="35" spans="1:14" ht="12.75" customHeight="1" x14ac:dyDescent="0.2">
      <c r="A35" s="246" t="s">
        <v>489</v>
      </c>
      <c r="B35" s="244" t="s">
        <v>489</v>
      </c>
      <c r="C35" s="170" t="s">
        <v>433</v>
      </c>
      <c r="D35" s="170" t="s">
        <v>237</v>
      </c>
      <c r="E35" s="210" t="s">
        <v>347</v>
      </c>
      <c r="F35" s="171" t="s">
        <v>81</v>
      </c>
      <c r="G35" s="172" t="s">
        <v>81</v>
      </c>
      <c r="H35" s="172"/>
      <c r="I35" s="173">
        <v>1</v>
      </c>
      <c r="J35" s="174">
        <v>0</v>
      </c>
      <c r="K35" s="174">
        <v>100</v>
      </c>
      <c r="L35" s="174" t="s">
        <v>348</v>
      </c>
      <c r="M35" s="174" t="s">
        <v>282</v>
      </c>
      <c r="N35" s="219"/>
    </row>
    <row r="36" spans="1:14" ht="12.75" customHeight="1" x14ac:dyDescent="0.2">
      <c r="A36" s="246" t="s">
        <v>490</v>
      </c>
      <c r="B36" s="244" t="s">
        <v>490</v>
      </c>
      <c r="C36" s="170" t="s">
        <v>433</v>
      </c>
      <c r="D36" s="170" t="s">
        <v>237</v>
      </c>
      <c r="E36" s="210" t="s">
        <v>347</v>
      </c>
      <c r="F36" s="171" t="s">
        <v>81</v>
      </c>
      <c r="G36" s="172" t="s">
        <v>81</v>
      </c>
      <c r="H36" s="172"/>
      <c r="I36" s="173" t="s">
        <v>682</v>
      </c>
      <c r="J36" s="174">
        <v>0</v>
      </c>
      <c r="K36" s="174">
        <v>40</v>
      </c>
      <c r="L36" s="174" t="s">
        <v>279</v>
      </c>
      <c r="M36" s="174" t="s">
        <v>282</v>
      </c>
      <c r="N36" s="219"/>
    </row>
    <row r="37" spans="1:14" ht="12.75" customHeight="1" x14ac:dyDescent="0.2">
      <c r="A37" s="246" t="s">
        <v>491</v>
      </c>
      <c r="B37" s="244" t="s">
        <v>491</v>
      </c>
      <c r="C37" s="170" t="s">
        <v>433</v>
      </c>
      <c r="D37" s="170" t="s">
        <v>237</v>
      </c>
      <c r="E37" s="210" t="s">
        <v>349</v>
      </c>
      <c r="F37" s="171" t="s">
        <v>81</v>
      </c>
      <c r="G37" s="172" t="s">
        <v>81</v>
      </c>
      <c r="H37" s="172"/>
      <c r="I37" s="173" t="s">
        <v>682</v>
      </c>
      <c r="J37" s="174">
        <v>0</v>
      </c>
      <c r="K37" s="174">
        <v>100</v>
      </c>
      <c r="L37" s="174" t="s">
        <v>283</v>
      </c>
      <c r="M37" s="174" t="s">
        <v>282</v>
      </c>
      <c r="N37" s="219"/>
    </row>
    <row r="38" spans="1:14" ht="12.75" customHeight="1" x14ac:dyDescent="0.2">
      <c r="A38" s="245" t="s">
        <v>492</v>
      </c>
      <c r="B38" s="244" t="s">
        <v>492</v>
      </c>
      <c r="C38" s="170" t="s">
        <v>433</v>
      </c>
      <c r="D38" s="170" t="s">
        <v>237</v>
      </c>
      <c r="E38" s="210" t="s">
        <v>685</v>
      </c>
      <c r="F38" s="171" t="s">
        <v>81</v>
      </c>
      <c r="G38" s="172" t="s">
        <v>81</v>
      </c>
      <c r="H38" s="172"/>
      <c r="I38" s="173">
        <v>0</v>
      </c>
      <c r="J38" s="174">
        <v>0</v>
      </c>
      <c r="K38" s="174">
        <v>10</v>
      </c>
      <c r="L38" s="174" t="s">
        <v>284</v>
      </c>
      <c r="M38" s="174" t="s">
        <v>282</v>
      </c>
      <c r="N38" s="219"/>
    </row>
    <row r="39" spans="1:14" ht="12.75" customHeight="1" x14ac:dyDescent="0.2">
      <c r="A39" s="245" t="s">
        <v>493</v>
      </c>
      <c r="B39" s="244" t="s">
        <v>494</v>
      </c>
      <c r="C39" s="170" t="s">
        <v>433</v>
      </c>
      <c r="D39" s="170" t="s">
        <v>237</v>
      </c>
      <c r="E39" s="228" t="s">
        <v>702</v>
      </c>
      <c r="F39" s="171" t="s">
        <v>81</v>
      </c>
      <c r="G39" s="172" t="s">
        <v>81</v>
      </c>
      <c r="H39" s="172"/>
      <c r="I39" s="173" t="s">
        <v>687</v>
      </c>
      <c r="J39" s="174">
        <v>0</v>
      </c>
      <c r="K39" s="174">
        <v>511</v>
      </c>
      <c r="L39" s="174" t="s">
        <v>284</v>
      </c>
      <c r="M39" s="174" t="s">
        <v>350</v>
      </c>
      <c r="N39" s="219"/>
    </row>
    <row r="40" spans="1:14" ht="12.75" customHeight="1" x14ac:dyDescent="0.2">
      <c r="A40" s="245" t="s">
        <v>495</v>
      </c>
      <c r="B40" s="247" t="s">
        <v>496</v>
      </c>
      <c r="C40" s="170" t="s">
        <v>433</v>
      </c>
      <c r="D40" s="170" t="s">
        <v>237</v>
      </c>
      <c r="E40" s="228" t="s">
        <v>351</v>
      </c>
      <c r="F40" s="171" t="s">
        <v>81</v>
      </c>
      <c r="G40" s="172" t="s">
        <v>81</v>
      </c>
      <c r="H40" s="172"/>
      <c r="I40" s="173" t="s">
        <v>688</v>
      </c>
      <c r="J40" s="174">
        <v>0</v>
      </c>
      <c r="K40" s="174">
        <v>500</v>
      </c>
      <c r="L40" s="174" t="s">
        <v>279</v>
      </c>
      <c r="M40" s="174" t="s">
        <v>350</v>
      </c>
      <c r="N40" s="219"/>
    </row>
    <row r="41" spans="1:14" ht="33.75" x14ac:dyDescent="0.2">
      <c r="A41" s="245" t="s">
        <v>528</v>
      </c>
      <c r="B41" s="247" t="s">
        <v>529</v>
      </c>
      <c r="C41" s="170" t="s">
        <v>433</v>
      </c>
      <c r="D41" s="170" t="s">
        <v>237</v>
      </c>
      <c r="E41" s="228" t="s">
        <v>352</v>
      </c>
      <c r="F41" s="171" t="s">
        <v>81</v>
      </c>
      <c r="G41" s="172" t="s">
        <v>81</v>
      </c>
      <c r="H41" s="172"/>
      <c r="I41" s="250" t="s">
        <v>440</v>
      </c>
      <c r="J41" s="174">
        <v>0</v>
      </c>
      <c r="K41" s="174">
        <v>65535</v>
      </c>
      <c r="L41" s="174" t="s">
        <v>286</v>
      </c>
      <c r="M41" s="174" t="s">
        <v>443</v>
      </c>
      <c r="N41" s="219"/>
    </row>
    <row r="42" spans="1:14" ht="33.75" x14ac:dyDescent="0.2">
      <c r="A42" s="245" t="s">
        <v>526</v>
      </c>
      <c r="B42" s="247" t="s">
        <v>527</v>
      </c>
      <c r="C42" s="170" t="s">
        <v>433</v>
      </c>
      <c r="D42" s="170" t="s">
        <v>237</v>
      </c>
      <c r="E42" s="228" t="s">
        <v>353</v>
      </c>
      <c r="F42" s="171" t="s">
        <v>81</v>
      </c>
      <c r="G42" s="172" t="s">
        <v>81</v>
      </c>
      <c r="H42" s="172"/>
      <c r="I42" s="250" t="s">
        <v>440</v>
      </c>
      <c r="J42" s="174">
        <v>0</v>
      </c>
      <c r="K42" s="174">
        <v>65535</v>
      </c>
      <c r="L42" s="174" t="s">
        <v>286</v>
      </c>
      <c r="M42" s="174" t="s">
        <v>443</v>
      </c>
      <c r="N42" s="219"/>
    </row>
    <row r="43" spans="1:14" ht="33.75" x14ac:dyDescent="0.2">
      <c r="A43" s="245" t="s">
        <v>497</v>
      </c>
      <c r="B43" s="247" t="s">
        <v>498</v>
      </c>
      <c r="C43" s="170" t="s">
        <v>433</v>
      </c>
      <c r="D43" s="170" t="s">
        <v>237</v>
      </c>
      <c r="E43" s="228" t="s">
        <v>354</v>
      </c>
      <c r="F43" s="171" t="s">
        <v>81</v>
      </c>
      <c r="G43" s="172" t="s">
        <v>81</v>
      </c>
      <c r="H43" s="172"/>
      <c r="I43" s="250" t="s">
        <v>689</v>
      </c>
      <c r="J43" s="174">
        <v>0</v>
      </c>
      <c r="K43" s="174">
        <v>31</v>
      </c>
      <c r="L43" s="174" t="s">
        <v>355</v>
      </c>
      <c r="M43" s="174" t="s">
        <v>375</v>
      </c>
      <c r="N43" s="219"/>
    </row>
    <row r="44" spans="1:14" ht="12.75" customHeight="1" x14ac:dyDescent="0.2">
      <c r="A44" s="245" t="s">
        <v>499</v>
      </c>
      <c r="B44" s="247" t="s">
        <v>500</v>
      </c>
      <c r="C44" s="170" t="s">
        <v>433</v>
      </c>
      <c r="D44" s="170" t="s">
        <v>237</v>
      </c>
      <c r="E44" s="228" t="s">
        <v>701</v>
      </c>
      <c r="F44" s="171" t="s">
        <v>81</v>
      </c>
      <c r="G44" s="172" t="s">
        <v>81</v>
      </c>
      <c r="H44" s="172"/>
      <c r="I44" s="173" t="s">
        <v>690</v>
      </c>
      <c r="J44" s="174">
        <v>0</v>
      </c>
      <c r="K44" s="174">
        <v>511</v>
      </c>
      <c r="L44" s="174" t="s">
        <v>284</v>
      </c>
      <c r="M44" s="174" t="s">
        <v>350</v>
      </c>
      <c r="N44" s="219"/>
    </row>
    <row r="45" spans="1:14" ht="12.75" customHeight="1" x14ac:dyDescent="0.2">
      <c r="A45" s="245" t="s">
        <v>501</v>
      </c>
      <c r="B45" s="247" t="s">
        <v>502</v>
      </c>
      <c r="C45" s="170" t="s">
        <v>433</v>
      </c>
      <c r="D45" s="170" t="s">
        <v>237</v>
      </c>
      <c r="E45" s="228" t="s">
        <v>700</v>
      </c>
      <c r="F45" s="171" t="s">
        <v>81</v>
      </c>
      <c r="G45" s="172" t="s">
        <v>81</v>
      </c>
      <c r="H45" s="172"/>
      <c r="I45" s="173" t="s">
        <v>691</v>
      </c>
      <c r="J45" s="174">
        <v>0</v>
      </c>
      <c r="K45" s="174">
        <v>100</v>
      </c>
      <c r="L45" s="174" t="s">
        <v>355</v>
      </c>
      <c r="M45" s="174" t="s">
        <v>357</v>
      </c>
      <c r="N45" s="219"/>
    </row>
    <row r="46" spans="1:14" x14ac:dyDescent="0.2">
      <c r="A46" s="245" t="s">
        <v>503</v>
      </c>
      <c r="B46" s="247" t="s">
        <v>504</v>
      </c>
      <c r="C46" s="170" t="s">
        <v>433</v>
      </c>
      <c r="D46" s="170" t="s">
        <v>237</v>
      </c>
      <c r="E46" s="228" t="s">
        <v>356</v>
      </c>
      <c r="F46" s="171" t="s">
        <v>81</v>
      </c>
      <c r="G46" s="172" t="s">
        <v>81</v>
      </c>
      <c r="H46" s="172"/>
      <c r="I46" s="173" t="s">
        <v>690</v>
      </c>
      <c r="J46" s="174">
        <v>0</v>
      </c>
      <c r="K46" s="174">
        <v>511</v>
      </c>
      <c r="L46" s="174" t="s">
        <v>284</v>
      </c>
      <c r="M46" s="174" t="s">
        <v>350</v>
      </c>
      <c r="N46" s="219"/>
    </row>
    <row r="47" spans="1:14" x14ac:dyDescent="0.2">
      <c r="A47" s="245" t="s">
        <v>505</v>
      </c>
      <c r="B47" s="247" t="s">
        <v>506</v>
      </c>
      <c r="C47" s="170" t="s">
        <v>433</v>
      </c>
      <c r="D47" s="170" t="s">
        <v>237</v>
      </c>
      <c r="E47" s="228" t="s">
        <v>696</v>
      </c>
      <c r="F47" s="171" t="s">
        <v>81</v>
      </c>
      <c r="G47" s="172" t="s">
        <v>81</v>
      </c>
      <c r="H47" s="172"/>
      <c r="I47" s="173" t="s">
        <v>692</v>
      </c>
      <c r="J47" s="174">
        <v>0</v>
      </c>
      <c r="K47" s="174">
        <v>1440</v>
      </c>
      <c r="L47" s="174" t="s">
        <v>277</v>
      </c>
      <c r="M47" s="174" t="s">
        <v>276</v>
      </c>
      <c r="N47" s="219"/>
    </row>
    <row r="48" spans="1:14" ht="33.75" x14ac:dyDescent="0.2">
      <c r="A48" s="245" t="s">
        <v>530</v>
      </c>
      <c r="B48" s="247" t="s">
        <v>531</v>
      </c>
      <c r="C48" s="170" t="s">
        <v>433</v>
      </c>
      <c r="D48" s="170" t="s">
        <v>237</v>
      </c>
      <c r="E48" s="228" t="s">
        <v>358</v>
      </c>
      <c r="F48" s="171" t="s">
        <v>81</v>
      </c>
      <c r="G48" s="172" t="s">
        <v>81</v>
      </c>
      <c r="H48" s="172"/>
      <c r="I48" s="250" t="s">
        <v>440</v>
      </c>
      <c r="J48" s="174">
        <v>0</v>
      </c>
      <c r="K48" s="174">
        <v>65535</v>
      </c>
      <c r="L48" s="174" t="s">
        <v>286</v>
      </c>
      <c r="M48" s="174" t="s">
        <v>276</v>
      </c>
      <c r="N48" s="219"/>
    </row>
    <row r="49" spans="1:15" ht="33.75" x14ac:dyDescent="0.2">
      <c r="A49" s="245" t="s">
        <v>532</v>
      </c>
      <c r="B49" s="247" t="s">
        <v>533</v>
      </c>
      <c r="C49" s="170" t="s">
        <v>433</v>
      </c>
      <c r="D49" s="170" t="s">
        <v>237</v>
      </c>
      <c r="E49" s="228" t="s">
        <v>359</v>
      </c>
      <c r="F49" s="171" t="s">
        <v>81</v>
      </c>
      <c r="G49" s="172" t="s">
        <v>81</v>
      </c>
      <c r="H49" s="172"/>
      <c r="I49" s="250" t="s">
        <v>440</v>
      </c>
      <c r="J49" s="174">
        <v>0</v>
      </c>
      <c r="K49" s="174">
        <v>65535</v>
      </c>
      <c r="L49" s="174" t="s">
        <v>286</v>
      </c>
      <c r="M49" s="174" t="s">
        <v>276</v>
      </c>
      <c r="N49" s="219"/>
    </row>
    <row r="50" spans="1:15" ht="45" x14ac:dyDescent="0.2">
      <c r="A50" s="245" t="s">
        <v>507</v>
      </c>
      <c r="B50" s="247" t="s">
        <v>508</v>
      </c>
      <c r="C50" s="170" t="s">
        <v>433</v>
      </c>
      <c r="D50" s="170" t="s">
        <v>237</v>
      </c>
      <c r="E50" s="228" t="s">
        <v>360</v>
      </c>
      <c r="F50" s="171" t="s">
        <v>81</v>
      </c>
      <c r="G50" s="172" t="s">
        <v>81</v>
      </c>
      <c r="H50" s="172"/>
      <c r="I50" s="250" t="s">
        <v>693</v>
      </c>
      <c r="J50" s="174">
        <v>0</v>
      </c>
      <c r="K50" s="174">
        <v>1600</v>
      </c>
      <c r="L50" s="174" t="s">
        <v>277</v>
      </c>
      <c r="M50" s="174" t="s">
        <v>362</v>
      </c>
      <c r="N50" s="219"/>
    </row>
    <row r="51" spans="1:15" x14ac:dyDescent="0.2">
      <c r="A51" s="245" t="s">
        <v>509</v>
      </c>
      <c r="B51" s="247" t="s">
        <v>510</v>
      </c>
      <c r="C51" s="170" t="s">
        <v>433</v>
      </c>
      <c r="D51" s="170" t="s">
        <v>237</v>
      </c>
      <c r="E51" s="228" t="s">
        <v>361</v>
      </c>
      <c r="F51" s="171" t="s">
        <v>81</v>
      </c>
      <c r="G51" s="172" t="s">
        <v>81</v>
      </c>
      <c r="H51" s="172"/>
      <c r="I51" s="173" t="s">
        <v>690</v>
      </c>
      <c r="J51" s="174">
        <v>0</v>
      </c>
      <c r="K51" s="174">
        <v>511</v>
      </c>
      <c r="L51" s="174" t="s">
        <v>284</v>
      </c>
      <c r="M51" s="174" t="s">
        <v>350</v>
      </c>
      <c r="N51" s="219"/>
    </row>
    <row r="52" spans="1:15" x14ac:dyDescent="0.2">
      <c r="A52" s="245" t="s">
        <v>511</v>
      </c>
      <c r="B52" s="247" t="s">
        <v>512</v>
      </c>
      <c r="C52" s="170" t="s">
        <v>433</v>
      </c>
      <c r="D52" s="170" t="s">
        <v>237</v>
      </c>
      <c r="E52" s="228" t="s">
        <v>684</v>
      </c>
      <c r="F52" s="171" t="s">
        <v>81</v>
      </c>
      <c r="G52" s="172" t="s">
        <v>81</v>
      </c>
      <c r="H52" s="172"/>
      <c r="I52" s="173" t="s">
        <v>694</v>
      </c>
      <c r="J52" s="174">
        <v>0</v>
      </c>
      <c r="K52" s="174">
        <v>150</v>
      </c>
      <c r="L52" s="174" t="s">
        <v>442</v>
      </c>
      <c r="M52" s="174" t="s">
        <v>362</v>
      </c>
      <c r="N52" s="219"/>
    </row>
    <row r="53" spans="1:15" x14ac:dyDescent="0.2">
      <c r="A53" s="245" t="s">
        <v>513</v>
      </c>
      <c r="B53" s="247" t="s">
        <v>514</v>
      </c>
      <c r="C53" s="170" t="s">
        <v>433</v>
      </c>
      <c r="D53" s="170" t="s">
        <v>237</v>
      </c>
      <c r="E53" s="228" t="s">
        <v>699</v>
      </c>
      <c r="F53" s="171" t="s">
        <v>81</v>
      </c>
      <c r="G53" s="172" t="s">
        <v>81</v>
      </c>
      <c r="H53" s="172"/>
      <c r="I53" s="173" t="s">
        <v>690</v>
      </c>
      <c r="J53" s="174">
        <v>0</v>
      </c>
      <c r="K53" s="174">
        <v>511</v>
      </c>
      <c r="L53" s="174" t="s">
        <v>284</v>
      </c>
      <c r="M53" s="174" t="s">
        <v>350</v>
      </c>
      <c r="N53" s="219"/>
    </row>
    <row r="54" spans="1:15" x14ac:dyDescent="0.2">
      <c r="A54" s="245" t="s">
        <v>515</v>
      </c>
      <c r="B54" s="247" t="s">
        <v>516</v>
      </c>
      <c r="C54" s="170" t="s">
        <v>433</v>
      </c>
      <c r="D54" s="170" t="s">
        <v>237</v>
      </c>
      <c r="E54" s="228" t="s">
        <v>698</v>
      </c>
      <c r="F54" s="171" t="s">
        <v>81</v>
      </c>
      <c r="G54" s="172" t="s">
        <v>81</v>
      </c>
      <c r="H54" s="172"/>
      <c r="I54" s="173" t="s">
        <v>691</v>
      </c>
      <c r="J54" s="174">
        <v>0</v>
      </c>
      <c r="K54" s="174">
        <v>1600</v>
      </c>
      <c r="L54" s="174" t="s">
        <v>277</v>
      </c>
      <c r="M54" s="174" t="s">
        <v>276</v>
      </c>
      <c r="N54" s="219"/>
    </row>
    <row r="55" spans="1:15" ht="33.75" x14ac:dyDescent="0.2">
      <c r="A55" s="245" t="s">
        <v>534</v>
      </c>
      <c r="B55" s="247" t="s">
        <v>535</v>
      </c>
      <c r="C55" s="170" t="s">
        <v>433</v>
      </c>
      <c r="D55" s="170" t="s">
        <v>237</v>
      </c>
      <c r="E55" s="228" t="s">
        <v>363</v>
      </c>
      <c r="F55" s="171" t="s">
        <v>81</v>
      </c>
      <c r="G55" s="172" t="s">
        <v>81</v>
      </c>
      <c r="H55" s="172"/>
      <c r="I55" s="250" t="s">
        <v>440</v>
      </c>
      <c r="J55" s="174">
        <v>0</v>
      </c>
      <c r="K55" s="174">
        <v>65535</v>
      </c>
      <c r="L55" s="174" t="s">
        <v>286</v>
      </c>
      <c r="M55" s="174" t="s">
        <v>276</v>
      </c>
      <c r="N55" s="219"/>
    </row>
    <row r="56" spans="1:15" ht="33.75" x14ac:dyDescent="0.2">
      <c r="A56" s="245" t="s">
        <v>536</v>
      </c>
      <c r="B56" s="247" t="s">
        <v>537</v>
      </c>
      <c r="C56" s="170" t="s">
        <v>433</v>
      </c>
      <c r="D56" s="170" t="s">
        <v>237</v>
      </c>
      <c r="E56" s="228" t="s">
        <v>364</v>
      </c>
      <c r="F56" s="171" t="s">
        <v>81</v>
      </c>
      <c r="G56" s="172" t="s">
        <v>81</v>
      </c>
      <c r="H56" s="172"/>
      <c r="I56" s="250" t="s">
        <v>440</v>
      </c>
      <c r="J56" s="174">
        <v>0</v>
      </c>
      <c r="K56" s="174">
        <v>65535</v>
      </c>
      <c r="L56" s="174" t="s">
        <v>286</v>
      </c>
      <c r="M56" s="174" t="s">
        <v>276</v>
      </c>
      <c r="N56" s="219"/>
    </row>
    <row r="57" spans="1:15" ht="33.75" x14ac:dyDescent="0.2">
      <c r="A57" s="245" t="s">
        <v>517</v>
      </c>
      <c r="B57" s="247" t="s">
        <v>518</v>
      </c>
      <c r="C57" s="170" t="s">
        <v>433</v>
      </c>
      <c r="D57" s="170" t="s">
        <v>237</v>
      </c>
      <c r="E57" s="228" t="s">
        <v>365</v>
      </c>
      <c r="F57" s="171" t="s">
        <v>81</v>
      </c>
      <c r="G57" s="172" t="s">
        <v>81</v>
      </c>
      <c r="H57" s="172"/>
      <c r="I57" s="250" t="s">
        <v>689</v>
      </c>
      <c r="J57" s="174">
        <v>0</v>
      </c>
      <c r="K57" s="174">
        <v>31</v>
      </c>
      <c r="L57" s="174" t="s">
        <v>355</v>
      </c>
      <c r="M57" s="174" t="s">
        <v>375</v>
      </c>
      <c r="N57" s="219"/>
    </row>
    <row r="58" spans="1:15" ht="45" x14ac:dyDescent="0.2">
      <c r="A58" s="245" t="s">
        <v>714</v>
      </c>
      <c r="B58" s="247" t="s">
        <v>708</v>
      </c>
      <c r="C58" s="170" t="s">
        <v>433</v>
      </c>
      <c r="D58" s="170" t="s">
        <v>237</v>
      </c>
      <c r="E58" s="228" t="s">
        <v>711</v>
      </c>
      <c r="F58" s="171" t="s">
        <v>81</v>
      </c>
      <c r="G58" s="172" t="s">
        <v>81</v>
      </c>
      <c r="H58" s="172"/>
      <c r="I58" s="250" t="s">
        <v>712</v>
      </c>
      <c r="J58" s="174">
        <v>0</v>
      </c>
      <c r="K58" s="174">
        <v>511</v>
      </c>
      <c r="L58" s="174" t="s">
        <v>284</v>
      </c>
      <c r="M58" s="174" t="s">
        <v>350</v>
      </c>
      <c r="N58" s="219"/>
    </row>
    <row r="59" spans="1:15" ht="33.75" x14ac:dyDescent="0.2">
      <c r="A59" s="245" t="s">
        <v>715</v>
      </c>
      <c r="B59" s="247" t="s">
        <v>709</v>
      </c>
      <c r="C59" s="170" t="s">
        <v>433</v>
      </c>
      <c r="D59" s="170" t="s">
        <v>237</v>
      </c>
      <c r="E59" s="228" t="s">
        <v>710</v>
      </c>
      <c r="F59" s="171" t="s">
        <v>81</v>
      </c>
      <c r="G59" s="172" t="s">
        <v>81</v>
      </c>
      <c r="H59" s="172"/>
      <c r="I59" s="250" t="s">
        <v>713</v>
      </c>
      <c r="J59" s="174">
        <v>0</v>
      </c>
      <c r="K59" s="174">
        <v>32</v>
      </c>
      <c r="L59" s="174" t="s">
        <v>355</v>
      </c>
      <c r="M59" s="174" t="s">
        <v>357</v>
      </c>
      <c r="N59" s="219"/>
      <c r="O59" s="176"/>
    </row>
    <row r="60" spans="1:15" x14ac:dyDescent="0.2">
      <c r="A60" s="235" t="s">
        <v>767</v>
      </c>
      <c r="B60" s="237" t="s">
        <v>764</v>
      </c>
      <c r="C60" s="242" t="s">
        <v>433</v>
      </c>
      <c r="D60" s="242" t="s">
        <v>237</v>
      </c>
      <c r="E60" s="263" t="s">
        <v>361</v>
      </c>
      <c r="F60" s="248" t="s">
        <v>81</v>
      </c>
      <c r="G60" s="249" t="s">
        <v>81</v>
      </c>
      <c r="H60" s="172"/>
      <c r="I60" s="251" t="s">
        <v>690</v>
      </c>
      <c r="J60" s="233">
        <v>0</v>
      </c>
      <c r="K60" s="233">
        <v>511</v>
      </c>
      <c r="L60" s="233" t="s">
        <v>284</v>
      </c>
      <c r="M60" s="233" t="s">
        <v>350</v>
      </c>
      <c r="N60" s="219"/>
      <c r="O60" s="176"/>
    </row>
    <row r="61" spans="1:15" x14ac:dyDescent="0.2">
      <c r="A61" s="235" t="s">
        <v>768</v>
      </c>
      <c r="B61" s="237" t="s">
        <v>765</v>
      </c>
      <c r="C61" s="242" t="s">
        <v>433</v>
      </c>
      <c r="D61" s="242" t="s">
        <v>237</v>
      </c>
      <c r="E61" s="263" t="s">
        <v>766</v>
      </c>
      <c r="F61" s="248" t="s">
        <v>81</v>
      </c>
      <c r="G61" s="249" t="s">
        <v>81</v>
      </c>
      <c r="H61" s="172"/>
      <c r="I61" s="251" t="s">
        <v>694</v>
      </c>
      <c r="J61" s="233">
        <v>0</v>
      </c>
      <c r="K61" s="233">
        <v>1000</v>
      </c>
      <c r="L61" s="233" t="s">
        <v>442</v>
      </c>
      <c r="M61" s="233" t="s">
        <v>362</v>
      </c>
      <c r="N61" s="219"/>
      <c r="O61" s="176"/>
    </row>
    <row r="62" spans="1:15" x14ac:dyDescent="0.2">
      <c r="A62" s="245" t="s">
        <v>726</v>
      </c>
      <c r="B62" s="247" t="s">
        <v>716</v>
      </c>
      <c r="C62" s="170" t="s">
        <v>433</v>
      </c>
      <c r="D62" s="170" t="s">
        <v>237</v>
      </c>
      <c r="E62" s="228" t="s">
        <v>717</v>
      </c>
      <c r="F62" s="171" t="s">
        <v>81</v>
      </c>
      <c r="G62" s="172" t="s">
        <v>81</v>
      </c>
      <c r="H62" s="172"/>
      <c r="I62" s="250" t="s">
        <v>718</v>
      </c>
      <c r="J62" s="174">
        <v>0</v>
      </c>
      <c r="K62" s="174">
        <v>10</v>
      </c>
      <c r="L62" s="174" t="s">
        <v>281</v>
      </c>
      <c r="M62" s="174" t="s">
        <v>375</v>
      </c>
      <c r="N62" s="219"/>
      <c r="O62" s="176"/>
    </row>
    <row r="63" spans="1:15" x14ac:dyDescent="0.2">
      <c r="A63" s="245" t="s">
        <v>719</v>
      </c>
      <c r="B63" s="247" t="s">
        <v>720</v>
      </c>
      <c r="C63" s="170" t="s">
        <v>433</v>
      </c>
      <c r="D63" s="170" t="s">
        <v>237</v>
      </c>
      <c r="E63" s="228" t="s">
        <v>723</v>
      </c>
      <c r="F63" s="171" t="s">
        <v>81</v>
      </c>
      <c r="G63" s="172" t="s">
        <v>81</v>
      </c>
      <c r="H63" s="172"/>
      <c r="I63" s="250" t="s">
        <v>724</v>
      </c>
      <c r="J63" s="174">
        <v>0</v>
      </c>
      <c r="K63" s="174">
        <v>511</v>
      </c>
      <c r="L63" s="174" t="s">
        <v>284</v>
      </c>
      <c r="M63" s="174" t="s">
        <v>350</v>
      </c>
      <c r="N63" s="219"/>
      <c r="O63" s="176"/>
    </row>
    <row r="64" spans="1:15" x14ac:dyDescent="0.2">
      <c r="A64" s="245" t="s">
        <v>721</v>
      </c>
      <c r="B64" s="247" t="s">
        <v>722</v>
      </c>
      <c r="C64" s="170" t="s">
        <v>433</v>
      </c>
      <c r="D64" s="170" t="s">
        <v>237</v>
      </c>
      <c r="E64" s="228" t="s">
        <v>723</v>
      </c>
      <c r="F64" s="171" t="s">
        <v>81</v>
      </c>
      <c r="G64" s="172" t="s">
        <v>81</v>
      </c>
      <c r="H64" s="172"/>
      <c r="I64" s="173" t="s">
        <v>725</v>
      </c>
      <c r="J64" s="174">
        <v>0</v>
      </c>
      <c r="K64" s="174">
        <v>100</v>
      </c>
      <c r="L64" s="174" t="s">
        <v>279</v>
      </c>
      <c r="M64" s="174" t="s">
        <v>357</v>
      </c>
      <c r="N64" s="219"/>
      <c r="O64" s="176"/>
    </row>
    <row r="65" spans="1:15" x14ac:dyDescent="0.2">
      <c r="A65" s="246" t="s">
        <v>519</v>
      </c>
      <c r="B65" s="244" t="s">
        <v>520</v>
      </c>
      <c r="C65" s="170" t="s">
        <v>433</v>
      </c>
      <c r="D65" s="170" t="s">
        <v>237</v>
      </c>
      <c r="E65" s="228" t="s">
        <v>697</v>
      </c>
      <c r="F65" s="171" t="s">
        <v>81</v>
      </c>
      <c r="G65" s="172" t="s">
        <v>81</v>
      </c>
      <c r="H65" s="172"/>
      <c r="I65" s="173" t="s">
        <v>695</v>
      </c>
      <c r="J65" s="174">
        <v>0</v>
      </c>
      <c r="K65" s="174">
        <v>511</v>
      </c>
      <c r="L65" s="174" t="s">
        <v>284</v>
      </c>
      <c r="M65" s="174" t="s">
        <v>350</v>
      </c>
      <c r="N65" s="219"/>
      <c r="O65" s="176"/>
    </row>
    <row r="66" spans="1:15" x14ac:dyDescent="0.2">
      <c r="A66" s="246" t="s">
        <v>521</v>
      </c>
      <c r="B66" s="244" t="s">
        <v>521</v>
      </c>
      <c r="C66" s="170" t="s">
        <v>433</v>
      </c>
      <c r="D66" s="170" t="s">
        <v>237</v>
      </c>
      <c r="E66" s="228" t="s">
        <v>680</v>
      </c>
      <c r="F66" s="171" t="s">
        <v>81</v>
      </c>
      <c r="G66" s="172" t="s">
        <v>81</v>
      </c>
      <c r="H66" s="172"/>
      <c r="I66" s="173">
        <v>0</v>
      </c>
      <c r="J66" s="174">
        <v>-3</v>
      </c>
      <c r="K66" s="174">
        <v>3</v>
      </c>
      <c r="L66" s="174" t="s">
        <v>278</v>
      </c>
      <c r="M66" s="174" t="s">
        <v>340</v>
      </c>
      <c r="N66" s="219"/>
      <c r="O66" s="176"/>
    </row>
  </sheetData>
  <sheetProtection insertColumns="0" insertRows="0" insertHyperlinks="0" deleteColumns="0" deleteRows="0" sort="0" autoFilter="0" pivotTables="0"/>
  <mergeCells count="4">
    <mergeCell ref="A1:N1"/>
    <mergeCell ref="A2:F2"/>
    <mergeCell ref="I2:M2"/>
    <mergeCell ref="J3:K3"/>
  </mergeCells>
  <conditionalFormatting sqref="I44:M47 I65:M65 F6:G6 B13 D11 I11:M21 B15:B18 C6:D7 I6:M6 I7:K7 I22:K23 B20:B21 I9:K10 C9:D10 I51:M54 J41:M43 J48:M50 J55:M64 B24:B65 I24:M40 G7:G66 F7:F65 N6:N66 C13:D65">
    <cfRule type="expression" dxfId="27" priority="50" stopIfTrue="1">
      <formula>IF($A6&lt;&gt;"",IF(B6="",TRUE,FALSE),FALSE)</formula>
    </cfRule>
  </conditionalFormatting>
  <conditionalFormatting sqref="M15:M16">
    <cfRule type="expression" dxfId="26" priority="49" stopIfTrue="1">
      <formula>IF($A15&lt;&gt;"",IF(M15="",TRUE,FALSE),FALSE)</formula>
    </cfRule>
  </conditionalFormatting>
  <conditionalFormatting sqref="H3:H4">
    <cfRule type="cellIs" dxfId="25" priority="47" stopIfTrue="1" operator="equal">
      <formula>"y"</formula>
    </cfRule>
    <cfRule type="cellIs" dxfId="24" priority="48" stopIfTrue="1" operator="equal">
      <formula>"Y"</formula>
    </cfRule>
  </conditionalFormatting>
  <conditionalFormatting sqref="H3:H4">
    <cfRule type="cellIs" dxfId="23" priority="45" stopIfTrue="1" operator="equal">
      <formula>"y"</formula>
    </cfRule>
    <cfRule type="cellIs" dxfId="22" priority="46" stopIfTrue="1" operator="equal">
      <formula>"Y"</formula>
    </cfRule>
  </conditionalFormatting>
  <conditionalFormatting sqref="I63">
    <cfRule type="expression" dxfId="21" priority="44" stopIfTrue="1">
      <formula>IF($A63&lt;&gt;"",IF(I63="",TRUE,FALSE),FALSE)</formula>
    </cfRule>
  </conditionalFormatting>
  <conditionalFormatting sqref="I50">
    <cfRule type="expression" dxfId="20" priority="41" stopIfTrue="1">
      <formula>IF($A50&lt;&gt;"",IF(I50="",TRUE,FALSE),FALSE)</formula>
    </cfRule>
  </conditionalFormatting>
  <conditionalFormatting sqref="I43">
    <cfRule type="expression" dxfId="19" priority="38" stopIfTrue="1">
      <formula>IF($A43&lt;&gt;"",IF(I43="",TRUE,FALSE),FALSE)</formula>
    </cfRule>
  </conditionalFormatting>
  <conditionalFormatting sqref="I41">
    <cfRule type="expression" dxfId="18" priority="36" stopIfTrue="1">
      <formula>IF($A41&lt;&gt;"",IF(I41="",TRUE,FALSE),FALSE)</formula>
    </cfRule>
  </conditionalFormatting>
  <conditionalFormatting sqref="L22:M23">
    <cfRule type="expression" dxfId="17" priority="33" stopIfTrue="1">
      <formula>IF($A22&lt;&gt;"",IF(L22="",TRUE,FALSE),FALSE)</formula>
    </cfRule>
  </conditionalFormatting>
  <conditionalFormatting sqref="C11">
    <cfRule type="expression" dxfId="16" priority="31" stopIfTrue="1">
      <formula>IF($A11&lt;&gt;"",IF(C11="",TRUE,FALSE),FALSE)</formula>
    </cfRule>
  </conditionalFormatting>
  <conditionalFormatting sqref="D12">
    <cfRule type="expression" dxfId="15" priority="30" stopIfTrue="1">
      <formula>IF($A12&lt;&gt;"",IF(D12="",TRUE,FALSE),FALSE)</formula>
    </cfRule>
  </conditionalFormatting>
  <conditionalFormatting sqref="C12">
    <cfRule type="expression" dxfId="14" priority="29" stopIfTrue="1">
      <formula>IF($A12&lt;&gt;"",IF(C12="",TRUE,FALSE),FALSE)</formula>
    </cfRule>
  </conditionalFormatting>
  <conditionalFormatting sqref="L7:M7">
    <cfRule type="expression" dxfId="13" priority="28" stopIfTrue="1">
      <formula>IF($A7&lt;&gt;"",IF(L7="",TRUE,FALSE),FALSE)</formula>
    </cfRule>
  </conditionalFormatting>
  <conditionalFormatting sqref="L9:M10">
    <cfRule type="expression" dxfId="12" priority="26" stopIfTrue="1">
      <formula>IF($A9&lt;&gt;"",IF(L9="",TRUE,FALSE),FALSE)</formula>
    </cfRule>
  </conditionalFormatting>
  <conditionalFormatting sqref="I42">
    <cfRule type="expression" dxfId="11" priority="24" stopIfTrue="1">
      <formula>IF($A42&lt;&gt;"",IF(I42="",TRUE,FALSE),FALSE)</formula>
    </cfRule>
  </conditionalFormatting>
  <conditionalFormatting sqref="I48:I49">
    <cfRule type="expression" dxfId="10" priority="23" stopIfTrue="1">
      <formula>IF($A48&lt;&gt;"",IF(I48="",TRUE,FALSE),FALSE)</formula>
    </cfRule>
  </conditionalFormatting>
  <conditionalFormatting sqref="I55:I56">
    <cfRule type="expression" dxfId="9" priority="22" stopIfTrue="1">
      <formula>IF($A55&lt;&gt;"",IF(I55="",TRUE,FALSE),FALSE)</formula>
    </cfRule>
  </conditionalFormatting>
  <conditionalFormatting sqref="I57:I62">
    <cfRule type="expression" dxfId="8" priority="21" stopIfTrue="1">
      <formula>IF($A57&lt;&gt;"",IF(I57="",TRUE,FALSE),FALSE)</formula>
    </cfRule>
  </conditionalFormatting>
  <conditionalFormatting sqref="I66:M66 B66 D66">
    <cfRule type="expression" dxfId="7" priority="12" stopIfTrue="1">
      <formula>IF($A66&lt;&gt;"",IF(B66="",TRUE,FALSE),FALSE)</formula>
    </cfRule>
  </conditionalFormatting>
  <conditionalFormatting sqref="F66">
    <cfRule type="expression" dxfId="6" priority="10" stopIfTrue="1">
      <formula>IF($A66&lt;&gt;"",IF(F66="",TRUE,FALSE),FALSE)</formula>
    </cfRule>
  </conditionalFormatting>
  <conditionalFormatting sqref="C66">
    <cfRule type="expression" dxfId="5" priority="9" stopIfTrue="1">
      <formula>IF($A66&lt;&gt;"",IF(C66="",TRUE,FALSE),FALSE)</formula>
    </cfRule>
  </conditionalFormatting>
  <conditionalFormatting sqref="I8:K8 C8:D8">
    <cfRule type="expression" dxfId="4" priority="5" stopIfTrue="1">
      <formula>IF($A8&lt;&gt;"",IF(C8="",TRUE,FALSE),FALSE)</formula>
    </cfRule>
  </conditionalFormatting>
  <conditionalFormatting sqref="L8:M8">
    <cfRule type="expression" dxfId="3" priority="4" stopIfTrue="1">
      <formula>IF($A8&lt;&gt;"",IF(L8="",TRUE,FALSE),FALSE)</formula>
    </cfRule>
  </conditionalFormatting>
  <conditionalFormatting sqref="I64">
    <cfRule type="expression" dxfId="2" priority="1" stopIfTrue="1">
      <formula>IF($A64&lt;&gt;"",IF(I64="",TRUE,FALSE),FALSE)</formula>
    </cfRule>
  </conditionalFormatting>
  <dataValidations disablePrompts="1" count="3">
    <dataValidation type="list" allowBlank="1" showInputMessage="1" showErrorMessage="1" sqref="D6:D66">
      <formula1>FDDValList</formula1>
    </dataValidation>
    <dataValidation type="list" allowBlank="1" showInputMessage="1" showErrorMessage="1" sqref="F6:F65322">
      <formula1>$R$1:$R$3</formula1>
    </dataValidation>
    <dataValidation type="list" allowBlank="1" showInputMessage="1" showErrorMessage="1" sqref="G5:H65322">
      <formula1>$R$1:$R$2</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17" activePane="bottomRight" state="frozen"/>
      <selection pane="topRight" activeCell="E1" sqref="E1"/>
      <selection pane="bottomLeft" activeCell="A5" sqref="A5"/>
      <selection pane="bottomRight" activeCell="F5" sqref="F5"/>
    </sheetView>
  </sheetViews>
  <sheetFormatPr defaultColWidth="9.140625" defaultRowHeight="12.75" x14ac:dyDescent="0.2"/>
  <cols>
    <col min="1" max="1" width="36" style="2" customWidth="1"/>
    <col min="2" max="2" width="26.140625" style="1" customWidth="1"/>
    <col min="3" max="3" width="6.42578125" style="41" bestFit="1" customWidth="1"/>
    <col min="4" max="4" width="7" style="41" bestFit="1" customWidth="1"/>
    <col min="5" max="5" width="21.7109375" style="42"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2" customFormat="1" ht="29.25" customHeight="1" thickBot="1" x14ac:dyDescent="0.25">
      <c r="A1" s="296" t="str">
        <f>'Change Log'!A1:D1</f>
        <v>PSASH - Rev 14</v>
      </c>
      <c r="B1" s="297"/>
      <c r="C1" s="297"/>
      <c r="D1" s="297"/>
      <c r="E1" s="297"/>
    </row>
    <row r="2" spans="1:79" ht="13.5" customHeight="1" thickBot="1" x14ac:dyDescent="0.25">
      <c r="A2" s="298" t="s">
        <v>14</v>
      </c>
      <c r="B2" s="299"/>
      <c r="C2" s="79"/>
      <c r="D2" s="79"/>
      <c r="E2" s="59" t="s">
        <v>84</v>
      </c>
      <c r="F2" s="300" t="s">
        <v>12</v>
      </c>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301"/>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c r="BT2" s="301"/>
      <c r="BU2" s="301"/>
      <c r="BV2" s="301"/>
      <c r="BW2" s="301"/>
      <c r="BX2" s="301"/>
      <c r="BY2" s="301"/>
      <c r="BZ2" s="302"/>
      <c r="CA2" s="112"/>
    </row>
    <row r="3" spans="1:79" s="36" customFormat="1" ht="13.5" customHeight="1" thickBot="1" x14ac:dyDescent="0.25">
      <c r="A3" s="33"/>
      <c r="B3" s="34"/>
      <c r="C3" s="81"/>
      <c r="D3" s="81"/>
      <c r="E3" s="35"/>
      <c r="F3" s="303" t="s">
        <v>55</v>
      </c>
      <c r="G3" s="304"/>
      <c r="H3" s="304"/>
      <c r="I3" s="304"/>
      <c r="J3" s="304"/>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5"/>
      <c r="AM3" s="306" t="s">
        <v>79</v>
      </c>
      <c r="AN3" s="307"/>
      <c r="AO3" s="307"/>
      <c r="AP3" s="307"/>
      <c r="AQ3" s="307"/>
      <c r="AR3" s="307"/>
      <c r="AS3" s="307"/>
      <c r="AT3" s="307"/>
      <c r="AU3" s="307"/>
      <c r="AV3" s="307"/>
      <c r="AW3" s="307"/>
      <c r="AX3" s="307"/>
      <c r="AY3" s="307"/>
      <c r="AZ3" s="307"/>
      <c r="BA3" s="307"/>
      <c r="BB3" s="307"/>
      <c r="BC3" s="307"/>
      <c r="BD3" s="307"/>
      <c r="BE3" s="307"/>
      <c r="BF3" s="307"/>
      <c r="BG3" s="308"/>
      <c r="BH3" s="309" t="s">
        <v>58</v>
      </c>
      <c r="BI3" s="310"/>
      <c r="BJ3" s="310"/>
      <c r="BK3" s="310"/>
      <c r="BL3" s="310"/>
      <c r="BM3" s="310"/>
      <c r="BN3" s="310"/>
      <c r="BO3" s="310"/>
      <c r="BP3" s="311"/>
      <c r="BQ3" s="312" t="s">
        <v>80</v>
      </c>
      <c r="BR3" s="313"/>
      <c r="BS3" s="313"/>
      <c r="BT3" s="313"/>
      <c r="BU3" s="313"/>
      <c r="BV3" s="313"/>
      <c r="BW3" s="313"/>
      <c r="BX3" s="313"/>
      <c r="BY3" s="313"/>
      <c r="BZ3" s="314"/>
      <c r="CA3" s="113"/>
    </row>
    <row r="4" spans="1:79" s="36" customFormat="1" ht="201.75" customHeight="1" thickBot="1" x14ac:dyDescent="0.25">
      <c r="A4" s="37" t="s">
        <v>86</v>
      </c>
      <c r="B4" s="38" t="s">
        <v>57</v>
      </c>
      <c r="C4" s="80" t="s">
        <v>104</v>
      </c>
      <c r="D4" s="80" t="s">
        <v>90</v>
      </c>
      <c r="E4" s="39" t="s">
        <v>131</v>
      </c>
      <c r="F4" s="212" t="s">
        <v>20</v>
      </c>
      <c r="G4" s="114" t="s">
        <v>21</v>
      </c>
      <c r="H4" s="114" t="s">
        <v>22</v>
      </c>
      <c r="I4" s="114" t="s">
        <v>95</v>
      </c>
      <c r="J4" s="114" t="s">
        <v>112</v>
      </c>
      <c r="K4" s="114" t="s">
        <v>113</v>
      </c>
      <c r="L4" s="165" t="s">
        <v>114</v>
      </c>
      <c r="M4" s="114" t="s">
        <v>115</v>
      </c>
      <c r="N4" s="114" t="s">
        <v>116</v>
      </c>
      <c r="O4" s="114" t="s">
        <v>117</v>
      </c>
      <c r="P4" s="114" t="s">
        <v>118</v>
      </c>
      <c r="Q4" s="165" t="s">
        <v>119</v>
      </c>
      <c r="R4" s="114" t="s">
        <v>23</v>
      </c>
      <c r="S4" s="114" t="s">
        <v>24</v>
      </c>
      <c r="T4" s="114" t="s">
        <v>25</v>
      </c>
      <c r="U4" s="114" t="s">
        <v>26</v>
      </c>
      <c r="V4" s="114" t="s">
        <v>27</v>
      </c>
      <c r="W4" s="114" t="s">
        <v>28</v>
      </c>
      <c r="X4" s="114" t="s">
        <v>29</v>
      </c>
      <c r="Y4" s="114" t="s">
        <v>10</v>
      </c>
      <c r="Z4" s="114" t="s">
        <v>30</v>
      </c>
      <c r="AA4" s="114" t="s">
        <v>31</v>
      </c>
      <c r="AB4" s="114" t="s">
        <v>32</v>
      </c>
      <c r="AC4" s="114" t="s">
        <v>33</v>
      </c>
      <c r="AD4" s="114" t="s">
        <v>34</v>
      </c>
      <c r="AE4" s="114" t="s">
        <v>35</v>
      </c>
      <c r="AF4" s="114" t="s">
        <v>36</v>
      </c>
      <c r="AG4" s="114" t="s">
        <v>37</v>
      </c>
      <c r="AH4" s="114" t="s">
        <v>38</v>
      </c>
      <c r="AI4" s="114" t="s">
        <v>39</v>
      </c>
      <c r="AJ4" s="114" t="s">
        <v>40</v>
      </c>
      <c r="AK4" s="114" t="s">
        <v>41</v>
      </c>
      <c r="AL4" s="114" t="s">
        <v>13</v>
      </c>
      <c r="AM4" s="114" t="s">
        <v>42</v>
      </c>
      <c r="AN4" s="114" t="s">
        <v>43</v>
      </c>
      <c r="AO4" s="114" t="s">
        <v>44</v>
      </c>
      <c r="AP4" s="114" t="s">
        <v>45</v>
      </c>
      <c r="AQ4" s="114" t="s">
        <v>46</v>
      </c>
      <c r="AR4" s="114" t="s">
        <v>72</v>
      </c>
      <c r="AS4" s="114" t="s">
        <v>73</v>
      </c>
      <c r="AT4" s="114" t="s">
        <v>74</v>
      </c>
      <c r="AU4" s="114" t="s">
        <v>75</v>
      </c>
      <c r="AV4" s="114" t="s">
        <v>76</v>
      </c>
      <c r="AW4" s="114" t="s">
        <v>77</v>
      </c>
      <c r="AX4" s="114" t="s">
        <v>87</v>
      </c>
      <c r="AY4" s="114" t="s">
        <v>11</v>
      </c>
      <c r="AZ4" s="114" t="s">
        <v>88</v>
      </c>
      <c r="BA4" s="114" t="s">
        <v>130</v>
      </c>
      <c r="BB4" s="114" t="s">
        <v>89</v>
      </c>
      <c r="BC4" s="114" t="s">
        <v>59</v>
      </c>
      <c r="BD4" s="114" t="s">
        <v>60</v>
      </c>
      <c r="BE4" s="114" t="s">
        <v>61</v>
      </c>
      <c r="BF4" s="114" t="s">
        <v>62</v>
      </c>
      <c r="BG4" s="114" t="s">
        <v>63</v>
      </c>
      <c r="BH4" s="114" t="s">
        <v>64</v>
      </c>
      <c r="BI4" s="114" t="s">
        <v>65</v>
      </c>
      <c r="BJ4" s="114" t="s">
        <v>66</v>
      </c>
      <c r="BK4" s="114" t="s">
        <v>67</v>
      </c>
      <c r="BL4" s="114" t="s">
        <v>68</v>
      </c>
      <c r="BM4" s="114" t="s">
        <v>69</v>
      </c>
      <c r="BN4" s="114" t="s">
        <v>70</v>
      </c>
      <c r="BO4" s="114" t="s">
        <v>71</v>
      </c>
      <c r="BP4" s="114" t="s">
        <v>96</v>
      </c>
      <c r="BQ4" s="114" t="s">
        <v>97</v>
      </c>
      <c r="BR4" s="114" t="s">
        <v>98</v>
      </c>
      <c r="BS4" s="114" t="s">
        <v>99</v>
      </c>
      <c r="BT4" s="114" t="s">
        <v>100</v>
      </c>
      <c r="BU4" s="114" t="s">
        <v>101</v>
      </c>
      <c r="BV4" s="114" t="s">
        <v>102</v>
      </c>
      <c r="BW4" s="114" t="s">
        <v>108</v>
      </c>
      <c r="BX4" s="114" t="s">
        <v>109</v>
      </c>
      <c r="BY4" s="114" t="s">
        <v>110</v>
      </c>
      <c r="BZ4" s="125" t="s">
        <v>111</v>
      </c>
    </row>
    <row r="5" spans="1:79" s="36" customFormat="1" x14ac:dyDescent="0.2">
      <c r="A5" s="124"/>
      <c r="B5" s="44"/>
      <c r="C5" s="82"/>
      <c r="D5" s="82"/>
      <c r="E5" s="61"/>
      <c r="F5" s="67"/>
      <c r="G5" s="68"/>
      <c r="H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BC5" s="68"/>
      <c r="BD5" s="68"/>
      <c r="BE5" s="68"/>
      <c r="BF5" s="68"/>
      <c r="BG5" s="68"/>
      <c r="BH5" s="68"/>
      <c r="BI5" s="68"/>
      <c r="BJ5" s="68"/>
      <c r="BK5" s="68"/>
      <c r="BL5" s="68"/>
      <c r="BM5" s="68"/>
      <c r="BN5" s="68"/>
      <c r="BO5" s="68"/>
      <c r="BP5" s="68"/>
      <c r="BQ5" s="68"/>
      <c r="BR5" s="68"/>
      <c r="BS5" s="68"/>
      <c r="BT5" s="68"/>
      <c r="BU5" s="68"/>
      <c r="BV5" s="68"/>
      <c r="BW5" s="68"/>
      <c r="BX5" s="68"/>
      <c r="BY5" s="68"/>
      <c r="BZ5" s="69"/>
    </row>
    <row r="6" spans="1:79" s="36" customFormat="1" x14ac:dyDescent="0.2">
      <c r="A6" s="52"/>
      <c r="B6" s="44"/>
      <c r="C6" s="82"/>
      <c r="D6" s="82"/>
      <c r="E6" s="61"/>
      <c r="F6" s="49"/>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1"/>
    </row>
    <row r="7" spans="1:79" x14ac:dyDescent="0.2">
      <c r="A7" s="52"/>
      <c r="B7" s="44"/>
      <c r="C7" s="82"/>
      <c r="D7" s="82"/>
      <c r="E7" s="61"/>
      <c r="F7" s="49"/>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c r="BM7" s="50"/>
      <c r="BN7" s="50"/>
      <c r="BO7" s="50"/>
      <c r="BP7" s="50"/>
      <c r="BQ7" s="50"/>
      <c r="BR7" s="50"/>
      <c r="BS7" s="50"/>
      <c r="BT7" s="50"/>
      <c r="BU7" s="50"/>
      <c r="BV7" s="50"/>
      <c r="BW7" s="50"/>
      <c r="BX7" s="50"/>
      <c r="BY7" s="50"/>
      <c r="BZ7" s="51"/>
    </row>
    <row r="8" spans="1:79" x14ac:dyDescent="0.2">
      <c r="A8" s="52"/>
      <c r="B8" s="44"/>
      <c r="C8" s="82"/>
      <c r="D8" s="82"/>
      <c r="E8" s="61"/>
      <c r="F8" s="49"/>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1"/>
    </row>
    <row r="9" spans="1:79" x14ac:dyDescent="0.2">
      <c r="A9" s="48"/>
      <c r="B9" s="44"/>
      <c r="C9" s="82"/>
      <c r="D9" s="82"/>
      <c r="E9" s="61"/>
      <c r="F9" s="45"/>
      <c r="G9" s="46"/>
      <c r="H9" s="46"/>
      <c r="I9" s="46"/>
      <c r="J9" s="46"/>
      <c r="K9" s="46"/>
      <c r="L9" s="46"/>
      <c r="M9" s="46"/>
      <c r="N9" s="46"/>
      <c r="O9" s="46"/>
      <c r="P9" s="46"/>
      <c r="Q9" s="46"/>
      <c r="R9" s="46"/>
      <c r="S9" s="46"/>
      <c r="T9" s="46"/>
      <c r="U9" s="46"/>
      <c r="V9" s="46"/>
      <c r="W9" s="46"/>
      <c r="X9" s="46"/>
      <c r="Y9" s="46"/>
      <c r="Z9" s="46"/>
      <c r="AA9" s="46"/>
      <c r="AB9" s="46"/>
      <c r="AC9" s="46"/>
      <c r="AD9" s="46"/>
      <c r="AE9" s="46"/>
      <c r="AF9" s="46"/>
      <c r="AG9" s="46"/>
      <c r="AH9" s="46"/>
      <c r="AI9" s="46"/>
      <c r="AJ9" s="46"/>
      <c r="AK9" s="46"/>
      <c r="AL9" s="46"/>
      <c r="AM9" s="46"/>
      <c r="AN9" s="46"/>
      <c r="AO9" s="46"/>
      <c r="AP9" s="46"/>
      <c r="AQ9" s="46"/>
      <c r="AR9" s="46"/>
      <c r="AS9" s="46"/>
      <c r="AT9" s="46"/>
      <c r="AU9" s="4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7"/>
    </row>
    <row r="10" spans="1:79" x14ac:dyDescent="0.2">
      <c r="A10" s="52"/>
      <c r="B10" s="44"/>
      <c r="C10" s="82"/>
      <c r="D10" s="82"/>
      <c r="E10" s="61"/>
      <c r="F10" s="49"/>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1"/>
    </row>
    <row r="11" spans="1:79" x14ac:dyDescent="0.2">
      <c r="A11" s="52"/>
      <c r="B11" s="44"/>
      <c r="C11" s="82"/>
      <c r="D11" s="82"/>
      <c r="E11" s="61"/>
      <c r="F11" s="49"/>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1"/>
    </row>
    <row r="12" spans="1:79" x14ac:dyDescent="0.2">
      <c r="A12" s="52"/>
      <c r="B12" s="44"/>
      <c r="C12" s="82"/>
      <c r="D12" s="82"/>
      <c r="E12" s="61"/>
      <c r="F12" s="49"/>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1"/>
    </row>
    <row r="13" spans="1:79" x14ac:dyDescent="0.2">
      <c r="A13" s="48"/>
      <c r="B13" s="44"/>
      <c r="C13" s="82"/>
      <c r="D13" s="82"/>
      <c r="E13" s="61"/>
      <c r="F13" s="49"/>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1"/>
    </row>
    <row r="14" spans="1:79" x14ac:dyDescent="0.2">
      <c r="A14" s="48"/>
      <c r="B14" s="44"/>
      <c r="C14" s="82"/>
      <c r="D14" s="82"/>
      <c r="E14" s="61"/>
      <c r="F14" s="49"/>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1"/>
    </row>
    <row r="15" spans="1:79" x14ac:dyDescent="0.2">
      <c r="A15" s="48"/>
      <c r="B15" s="44"/>
      <c r="C15" s="82"/>
      <c r="D15" s="82"/>
      <c r="E15" s="61"/>
      <c r="F15" s="49"/>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1"/>
    </row>
    <row r="16" spans="1:79" x14ac:dyDescent="0.2">
      <c r="A16" s="124"/>
      <c r="B16" s="44"/>
      <c r="C16" s="82"/>
      <c r="D16" s="82"/>
      <c r="E16" s="61"/>
      <c r="F16" s="49"/>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1"/>
    </row>
    <row r="17" spans="1:78" s="40" customFormat="1" x14ac:dyDescent="0.2">
      <c r="A17" s="48"/>
      <c r="B17" s="44"/>
      <c r="C17" s="82"/>
      <c r="D17" s="82"/>
      <c r="E17" s="61"/>
      <c r="F17" s="49"/>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1"/>
    </row>
    <row r="18" spans="1:78" x14ac:dyDescent="0.2">
      <c r="A18" s="52"/>
      <c r="B18" s="44"/>
      <c r="C18" s="82"/>
      <c r="D18" s="82"/>
      <c r="E18" s="65"/>
      <c r="F18" s="49"/>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1"/>
    </row>
    <row r="19" spans="1:78" x14ac:dyDescent="0.2">
      <c r="A19" s="58"/>
      <c r="B19" s="44"/>
      <c r="C19" s="82"/>
      <c r="D19" s="82"/>
      <c r="E19" s="61"/>
      <c r="F19" s="49"/>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1"/>
    </row>
    <row r="20" spans="1:78" x14ac:dyDescent="0.2">
      <c r="A20" s="52"/>
      <c r="B20" s="44"/>
      <c r="C20" s="82"/>
      <c r="D20" s="82"/>
      <c r="E20" s="61"/>
      <c r="F20" s="49"/>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1"/>
    </row>
    <row r="21" spans="1:78" x14ac:dyDescent="0.2">
      <c r="A21" s="52"/>
      <c r="B21" s="44"/>
      <c r="C21" s="82"/>
      <c r="D21" s="82"/>
      <c r="E21" s="61"/>
      <c r="F21" s="49"/>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1"/>
    </row>
    <row r="22" spans="1:78" x14ac:dyDescent="0.2">
      <c r="A22" s="52"/>
      <c r="B22" s="44"/>
      <c r="C22" s="82"/>
      <c r="D22" s="82"/>
      <c r="E22" s="61"/>
      <c r="F22" s="49"/>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1"/>
    </row>
    <row r="23" spans="1:78" x14ac:dyDescent="0.2">
      <c r="A23" s="48"/>
      <c r="B23" s="44"/>
      <c r="C23" s="82"/>
      <c r="D23" s="82"/>
      <c r="E23" s="61"/>
      <c r="F23" s="49"/>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1"/>
    </row>
    <row r="24" spans="1:78" x14ac:dyDescent="0.2">
      <c r="A24" s="48"/>
      <c r="B24" s="44"/>
      <c r="C24" s="82"/>
      <c r="D24" s="82"/>
      <c r="E24" s="61"/>
      <c r="F24" s="49"/>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1"/>
    </row>
    <row r="25" spans="1:78" x14ac:dyDescent="0.2">
      <c r="A25" s="48"/>
      <c r="B25" s="44"/>
      <c r="C25" s="82"/>
      <c r="D25" s="82"/>
      <c r="E25" s="61"/>
      <c r="F25" s="49"/>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1"/>
    </row>
    <row r="26" spans="1:78" x14ac:dyDescent="0.2">
      <c r="A26" s="48"/>
      <c r="B26" s="44"/>
      <c r="C26" s="82"/>
      <c r="D26" s="82"/>
      <c r="E26" s="61"/>
      <c r="F26" s="73"/>
      <c r="G26" s="74"/>
      <c r="H26" s="74"/>
      <c r="I26" s="74"/>
      <c r="J26" s="74"/>
      <c r="K26" s="74"/>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5"/>
    </row>
    <row r="27" spans="1:78" x14ac:dyDescent="0.2">
      <c r="A27" s="52"/>
      <c r="B27" s="44"/>
      <c r="C27" s="82"/>
      <c r="D27" s="82"/>
      <c r="E27" s="61"/>
      <c r="F27" s="49"/>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1"/>
    </row>
    <row r="28" spans="1:78" s="40" customFormat="1" x14ac:dyDescent="0.2">
      <c r="A28" s="52"/>
      <c r="B28" s="44"/>
      <c r="C28" s="82"/>
      <c r="D28" s="82"/>
      <c r="E28" s="61"/>
      <c r="F28" s="49"/>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1"/>
    </row>
    <row r="29" spans="1:78" s="40" customFormat="1" x14ac:dyDescent="0.2">
      <c r="A29" s="48"/>
      <c r="B29" s="44"/>
      <c r="C29" s="82"/>
      <c r="D29" s="82"/>
      <c r="E29" s="61"/>
      <c r="F29" s="73"/>
      <c r="G29" s="74"/>
      <c r="H29" s="74"/>
      <c r="I29" s="74"/>
      <c r="J29" s="74"/>
      <c r="K29" s="74"/>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5"/>
    </row>
    <row r="30" spans="1:78" s="40" customFormat="1" x14ac:dyDescent="0.2">
      <c r="A30" s="52"/>
      <c r="B30" s="44"/>
      <c r="C30" s="82"/>
      <c r="D30" s="82"/>
      <c r="E30" s="61"/>
      <c r="F30" s="49"/>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1"/>
    </row>
    <row r="31" spans="1:78" x14ac:dyDescent="0.2">
      <c r="A31" s="48"/>
      <c r="B31" s="53"/>
      <c r="C31" s="82"/>
      <c r="D31" s="82"/>
      <c r="E31" s="61"/>
      <c r="F31" s="49"/>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1"/>
    </row>
    <row r="32" spans="1:78" x14ac:dyDescent="0.2">
      <c r="A32" s="48"/>
      <c r="B32" s="53"/>
      <c r="C32" s="82"/>
      <c r="D32" s="82"/>
      <c r="E32" s="61"/>
      <c r="F32" s="49"/>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1"/>
    </row>
    <row r="33" spans="1:78" s="40" customFormat="1" x14ac:dyDescent="0.2">
      <c r="A33" s="48"/>
      <c r="B33" s="44"/>
      <c r="C33" s="82"/>
      <c r="D33" s="82"/>
      <c r="E33" s="61"/>
      <c r="F33" s="73"/>
      <c r="G33" s="74"/>
      <c r="H33" s="74"/>
      <c r="I33" s="74"/>
      <c r="J33" s="74"/>
      <c r="K33" s="74"/>
      <c r="L33" s="74"/>
      <c r="M33" s="74"/>
      <c r="N33" s="74"/>
      <c r="O33" s="74"/>
      <c r="P33" s="74"/>
      <c r="Q33" s="74"/>
      <c r="R33" s="74"/>
      <c r="S33" s="74"/>
      <c r="T33" s="74"/>
      <c r="U33" s="74"/>
      <c r="V33" s="50"/>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5"/>
    </row>
    <row r="34" spans="1:78" x14ac:dyDescent="0.2">
      <c r="A34" s="48"/>
      <c r="B34" s="44"/>
      <c r="C34" s="82"/>
      <c r="D34" s="82"/>
      <c r="E34" s="61"/>
      <c r="F34" s="73"/>
      <c r="G34" s="74"/>
      <c r="H34" s="74"/>
      <c r="I34" s="74"/>
      <c r="J34" s="74"/>
      <c r="K34" s="74"/>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5"/>
    </row>
    <row r="35" spans="1:78" x14ac:dyDescent="0.2">
      <c r="A35" s="48"/>
      <c r="B35" s="44"/>
      <c r="C35" s="82"/>
      <c r="D35" s="82"/>
      <c r="E35" s="61"/>
      <c r="F35" s="73"/>
      <c r="G35" s="74"/>
      <c r="H35" s="74"/>
      <c r="I35" s="74"/>
      <c r="J35" s="74"/>
      <c r="K35" s="74"/>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5"/>
    </row>
    <row r="36" spans="1:78" x14ac:dyDescent="0.2">
      <c r="A36" s="48"/>
      <c r="B36" s="44"/>
      <c r="C36" s="82"/>
      <c r="D36" s="82"/>
      <c r="E36" s="61"/>
      <c r="F36" s="73"/>
      <c r="G36" s="74"/>
      <c r="H36" s="74"/>
      <c r="I36" s="74"/>
      <c r="J36" s="74"/>
      <c r="K36" s="74"/>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5"/>
    </row>
    <row r="37" spans="1:78" x14ac:dyDescent="0.2">
      <c r="A37" s="48"/>
      <c r="B37" s="44"/>
      <c r="C37" s="82"/>
      <c r="D37" s="82"/>
      <c r="E37" s="61"/>
      <c r="F37" s="49"/>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1"/>
    </row>
    <row r="38" spans="1:78" x14ac:dyDescent="0.2">
      <c r="A38" s="62"/>
      <c r="B38" s="44"/>
      <c r="C38" s="82"/>
      <c r="D38" s="82"/>
      <c r="E38" s="61"/>
      <c r="F38" s="73"/>
      <c r="G38" s="74"/>
      <c r="H38" s="74"/>
      <c r="I38" s="74"/>
      <c r="J38" s="74"/>
      <c r="K38" s="74"/>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5"/>
    </row>
    <row r="39" spans="1:78" x14ac:dyDescent="0.2">
      <c r="A39" s="48"/>
      <c r="B39" s="44"/>
      <c r="C39" s="82"/>
      <c r="D39" s="82"/>
      <c r="E39" s="61"/>
      <c r="F39" s="49"/>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1"/>
    </row>
    <row r="40" spans="1:78" x14ac:dyDescent="0.2">
      <c r="A40" s="48"/>
      <c r="B40" s="44"/>
      <c r="C40" s="82"/>
      <c r="D40" s="82"/>
      <c r="E40" s="61"/>
      <c r="F40" s="49"/>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c r="BA40" s="50"/>
      <c r="BB40" s="50"/>
      <c r="BC40" s="50"/>
      <c r="BD40" s="50"/>
      <c r="BE40" s="50"/>
      <c r="BF40" s="50"/>
      <c r="BG40" s="50"/>
      <c r="BH40" s="50"/>
      <c r="BI40" s="50"/>
      <c r="BJ40" s="50"/>
      <c r="BK40" s="50"/>
      <c r="BL40" s="50"/>
      <c r="BM40" s="50"/>
      <c r="BN40" s="50"/>
      <c r="BO40" s="50"/>
      <c r="BP40" s="50"/>
      <c r="BQ40" s="50"/>
      <c r="BR40" s="50"/>
      <c r="BS40" s="50"/>
      <c r="BT40" s="50"/>
      <c r="BU40" s="50"/>
      <c r="BV40" s="50"/>
      <c r="BW40" s="50"/>
      <c r="BX40" s="50"/>
      <c r="BY40" s="50"/>
      <c r="BZ40" s="51"/>
    </row>
    <row r="41" spans="1:78" x14ac:dyDescent="0.2">
      <c r="A41" s="52"/>
      <c r="B41" s="44"/>
      <c r="C41" s="82"/>
      <c r="D41" s="82"/>
      <c r="E41" s="61"/>
      <c r="F41" s="49"/>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1"/>
    </row>
    <row r="42" spans="1:78" x14ac:dyDescent="0.2">
      <c r="A42" s="52"/>
      <c r="B42" s="44"/>
      <c r="C42" s="82"/>
      <c r="D42" s="82"/>
      <c r="E42" s="61"/>
      <c r="F42" s="49"/>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1"/>
    </row>
    <row r="43" spans="1:78" x14ac:dyDescent="0.2">
      <c r="A43" s="48"/>
      <c r="B43" s="44"/>
      <c r="C43" s="82"/>
      <c r="D43" s="82"/>
      <c r="E43" s="61"/>
      <c r="F43" s="49"/>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c r="BA43" s="50"/>
      <c r="BB43" s="50"/>
      <c r="BC43" s="50"/>
      <c r="BD43" s="50"/>
      <c r="BE43" s="50"/>
      <c r="BF43" s="50"/>
      <c r="BG43" s="50"/>
      <c r="BH43" s="50"/>
      <c r="BI43" s="50"/>
      <c r="BJ43" s="50"/>
      <c r="BK43" s="50"/>
      <c r="BL43" s="50"/>
      <c r="BM43" s="50"/>
      <c r="BN43" s="50"/>
      <c r="BO43" s="50"/>
      <c r="BP43" s="50"/>
      <c r="BQ43" s="50"/>
      <c r="BR43" s="50"/>
      <c r="BS43" s="50"/>
      <c r="BT43" s="50"/>
      <c r="BU43" s="50"/>
      <c r="BV43" s="50"/>
      <c r="BW43" s="50"/>
      <c r="BX43" s="50"/>
      <c r="BY43" s="50"/>
      <c r="BZ43" s="51"/>
    </row>
    <row r="44" spans="1:78" x14ac:dyDescent="0.2">
      <c r="A44" s="48"/>
      <c r="B44" s="44"/>
      <c r="C44" s="82"/>
      <c r="D44" s="82"/>
      <c r="E44" s="61"/>
      <c r="F44" s="54"/>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64"/>
      <c r="AU44" s="55"/>
      <c r="AV44" s="55"/>
      <c r="AW44" s="50"/>
      <c r="AX44" s="55"/>
      <c r="AY44" s="55"/>
      <c r="AZ44" s="55"/>
      <c r="BA44" s="55"/>
      <c r="BB44" s="50"/>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6"/>
    </row>
    <row r="45" spans="1:78" x14ac:dyDescent="0.2">
      <c r="A45" s="52"/>
      <c r="B45" s="44"/>
      <c r="C45" s="82"/>
      <c r="D45" s="82"/>
      <c r="E45" s="61"/>
      <c r="F45" s="49"/>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1"/>
    </row>
    <row r="46" spans="1:78" x14ac:dyDescent="0.2">
      <c r="A46" s="48"/>
      <c r="B46" s="44"/>
      <c r="C46" s="82"/>
      <c r="D46" s="82"/>
      <c r="E46" s="65"/>
      <c r="F46" s="49"/>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1"/>
    </row>
    <row r="47" spans="1:78" x14ac:dyDescent="0.2">
      <c r="A47" s="48"/>
      <c r="B47" s="44"/>
      <c r="C47" s="82"/>
      <c r="D47" s="82"/>
      <c r="E47" s="61"/>
      <c r="F47" s="49"/>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c r="BT47" s="50"/>
      <c r="BU47" s="50"/>
      <c r="BV47" s="50"/>
      <c r="BW47" s="50"/>
      <c r="BX47" s="50"/>
      <c r="BY47" s="50"/>
      <c r="BZ47" s="51"/>
    </row>
    <row r="48" spans="1:78" x14ac:dyDescent="0.2">
      <c r="A48" s="48"/>
      <c r="B48" s="44"/>
      <c r="C48" s="82"/>
      <c r="D48" s="82"/>
      <c r="E48" s="61"/>
      <c r="F48" s="49"/>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c r="BT48" s="50"/>
      <c r="BU48" s="50"/>
      <c r="BV48" s="50"/>
      <c r="BW48" s="50"/>
      <c r="BX48" s="50"/>
      <c r="BY48" s="50"/>
      <c r="BZ48" s="51"/>
    </row>
    <row r="49" spans="1:78" x14ac:dyDescent="0.2">
      <c r="A49" s="52"/>
      <c r="B49" s="44"/>
      <c r="C49" s="82"/>
      <c r="D49" s="82"/>
      <c r="E49" s="61"/>
      <c r="F49" s="49"/>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1"/>
    </row>
    <row r="50" spans="1:78" x14ac:dyDescent="0.2">
      <c r="A50" s="48"/>
      <c r="B50" s="44"/>
      <c r="C50" s="82"/>
      <c r="D50" s="82"/>
      <c r="E50" s="61"/>
      <c r="F50" s="49"/>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1"/>
    </row>
    <row r="51" spans="1:78" x14ac:dyDescent="0.2">
      <c r="A51" s="48"/>
      <c r="B51" s="44"/>
      <c r="C51" s="82"/>
      <c r="D51" s="82"/>
      <c r="E51" s="61"/>
      <c r="F51" s="49"/>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1"/>
    </row>
    <row r="52" spans="1:78" x14ac:dyDescent="0.2">
      <c r="A52" s="48"/>
      <c r="B52" s="44"/>
      <c r="C52" s="82"/>
      <c r="D52" s="82"/>
      <c r="E52" s="61"/>
      <c r="F52" s="49"/>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1"/>
    </row>
    <row r="53" spans="1:78" x14ac:dyDescent="0.2">
      <c r="A53" s="52"/>
      <c r="B53" s="44"/>
      <c r="C53" s="82"/>
      <c r="D53" s="82"/>
      <c r="E53" s="61"/>
      <c r="F53" s="49"/>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c r="BT53" s="50"/>
      <c r="BU53" s="50"/>
      <c r="BV53" s="50"/>
      <c r="BW53" s="50"/>
      <c r="BX53" s="50"/>
      <c r="BY53" s="50"/>
      <c r="BZ53" s="51"/>
    </row>
    <row r="54" spans="1:78" x14ac:dyDescent="0.2">
      <c r="A54" s="48"/>
      <c r="B54" s="44"/>
      <c r="C54" s="82"/>
      <c r="D54" s="82"/>
      <c r="E54" s="61"/>
      <c r="F54" s="49"/>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1"/>
    </row>
    <row r="55" spans="1:78" x14ac:dyDescent="0.2">
      <c r="A55" s="52"/>
      <c r="B55" s="44"/>
      <c r="C55" s="82"/>
      <c r="D55" s="82"/>
      <c r="E55" s="61"/>
      <c r="F55" s="49"/>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c r="BT55" s="50"/>
      <c r="BU55" s="50"/>
      <c r="BV55" s="50"/>
      <c r="BW55" s="50"/>
      <c r="BX55" s="50"/>
      <c r="BY55" s="50"/>
      <c r="BZ55" s="51"/>
    </row>
    <row r="56" spans="1:78" x14ac:dyDescent="0.2">
      <c r="A56" s="48"/>
      <c r="B56" s="44"/>
      <c r="C56" s="82"/>
      <c r="D56" s="82"/>
      <c r="E56" s="61"/>
      <c r="F56" s="49"/>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1"/>
    </row>
    <row r="57" spans="1:78" x14ac:dyDescent="0.2">
      <c r="A57" s="48"/>
      <c r="B57" s="44"/>
      <c r="C57" s="82"/>
      <c r="D57" s="82"/>
      <c r="E57" s="61"/>
      <c r="F57" s="49"/>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c r="BT57" s="50"/>
      <c r="BU57" s="50"/>
      <c r="BV57" s="50"/>
      <c r="BW57" s="50"/>
      <c r="BX57" s="50"/>
      <c r="BY57" s="50"/>
      <c r="BZ57" s="51"/>
    </row>
    <row r="58" spans="1:78" x14ac:dyDescent="0.2">
      <c r="A58" s="48"/>
      <c r="B58" s="44"/>
      <c r="C58" s="82"/>
      <c r="D58" s="82"/>
      <c r="E58" s="61"/>
      <c r="F58" s="49"/>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1"/>
    </row>
    <row r="59" spans="1:78" x14ac:dyDescent="0.2">
      <c r="A59" s="52"/>
      <c r="B59" s="44"/>
      <c r="C59" s="82"/>
      <c r="D59" s="82"/>
      <c r="E59" s="61"/>
      <c r="F59" s="49"/>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1"/>
    </row>
    <row r="60" spans="1:78" x14ac:dyDescent="0.2">
      <c r="A60" s="48"/>
      <c r="B60" s="44"/>
      <c r="C60" s="82"/>
      <c r="D60" s="82"/>
      <c r="E60" s="61"/>
      <c r="F60" s="49"/>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1"/>
    </row>
    <row r="61" spans="1:78" x14ac:dyDescent="0.2">
      <c r="A61" s="43"/>
      <c r="B61" s="44"/>
      <c r="C61" s="82"/>
      <c r="D61" s="82"/>
      <c r="E61" s="86"/>
      <c r="F61" s="49"/>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c r="BT61" s="50"/>
      <c r="BU61" s="50"/>
      <c r="BV61" s="50"/>
      <c r="BW61" s="50"/>
      <c r="BX61" s="50"/>
      <c r="BY61" s="50"/>
      <c r="BZ61" s="51"/>
    </row>
    <row r="62" spans="1:78" x14ac:dyDescent="0.2">
      <c r="A62" s="43"/>
      <c r="B62" s="44"/>
      <c r="C62" s="82"/>
      <c r="D62" s="82"/>
      <c r="E62" s="61"/>
      <c r="F62" s="49"/>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c r="BA62" s="50"/>
      <c r="BB62" s="50"/>
      <c r="BC62" s="50"/>
      <c r="BD62" s="50"/>
      <c r="BE62" s="50"/>
      <c r="BF62" s="50"/>
      <c r="BG62" s="50"/>
      <c r="BH62" s="50"/>
      <c r="BI62" s="50"/>
      <c r="BJ62" s="50"/>
      <c r="BK62" s="50"/>
      <c r="BL62" s="50"/>
      <c r="BM62" s="50"/>
      <c r="BN62" s="50"/>
      <c r="BO62" s="50"/>
      <c r="BP62" s="50"/>
      <c r="BQ62" s="50"/>
      <c r="BR62" s="50"/>
      <c r="BS62" s="50"/>
      <c r="BT62" s="50"/>
      <c r="BU62" s="50"/>
      <c r="BV62" s="50"/>
      <c r="BW62" s="50"/>
      <c r="BX62" s="50"/>
      <c r="BY62" s="50"/>
      <c r="BZ62" s="51"/>
    </row>
    <row r="63" spans="1:78" x14ac:dyDescent="0.2">
      <c r="A63" s="87"/>
      <c r="B63" s="44"/>
      <c r="C63" s="82"/>
      <c r="D63" s="82"/>
      <c r="E63" s="88"/>
      <c r="F63" s="73"/>
      <c r="G63" s="74"/>
      <c r="H63" s="74"/>
      <c r="I63" s="74"/>
      <c r="J63" s="74"/>
      <c r="K63" s="74"/>
      <c r="L63" s="74"/>
      <c r="M63" s="74"/>
      <c r="N63" s="74"/>
      <c r="O63" s="74"/>
      <c r="P63" s="74"/>
      <c r="Q63" s="74"/>
      <c r="R63" s="74"/>
      <c r="S63" s="74"/>
      <c r="T63" s="74"/>
      <c r="U63" s="74"/>
      <c r="V63" s="74"/>
      <c r="W63" s="74"/>
      <c r="X63" s="74"/>
      <c r="Y63" s="74"/>
      <c r="Z63" s="7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X63" s="74"/>
      <c r="AY63" s="74"/>
      <c r="AZ63" s="74"/>
      <c r="BA63" s="74"/>
      <c r="BB63" s="74"/>
      <c r="BC63" s="74"/>
      <c r="BD63" s="74"/>
      <c r="BE63" s="74"/>
      <c r="BF63" s="74"/>
      <c r="BG63" s="74"/>
      <c r="BH63" s="74"/>
      <c r="BI63" s="74"/>
      <c r="BJ63" s="74"/>
      <c r="BK63" s="74"/>
      <c r="BL63" s="74"/>
      <c r="BM63" s="74"/>
      <c r="BN63" s="74"/>
      <c r="BO63" s="74"/>
      <c r="BP63" s="74"/>
      <c r="BQ63" s="74"/>
      <c r="BR63" s="74"/>
      <c r="BS63" s="74"/>
      <c r="BT63" s="74"/>
      <c r="BU63" s="74"/>
      <c r="BV63" s="74"/>
      <c r="BW63" s="74"/>
      <c r="BX63" s="74"/>
      <c r="BY63" s="74"/>
      <c r="BZ63" s="75"/>
    </row>
    <row r="64" spans="1:78" x14ac:dyDescent="0.2">
      <c r="A64" s="43"/>
      <c r="B64" s="44"/>
      <c r="C64" s="82"/>
      <c r="D64" s="82"/>
      <c r="E64" s="61"/>
      <c r="F64" s="49"/>
      <c r="G64" s="50"/>
      <c r="H64" s="50"/>
      <c r="I64" s="5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c r="BA64" s="50"/>
      <c r="BB64" s="50"/>
      <c r="BC64" s="50"/>
      <c r="BD64" s="50"/>
      <c r="BE64" s="50"/>
      <c r="BF64" s="50"/>
      <c r="BG64" s="50"/>
      <c r="BH64" s="50"/>
      <c r="BI64" s="50"/>
      <c r="BJ64" s="50"/>
      <c r="BK64" s="50"/>
      <c r="BL64" s="50"/>
      <c r="BM64" s="50"/>
      <c r="BN64" s="50"/>
      <c r="BO64" s="50"/>
      <c r="BP64" s="50"/>
      <c r="BQ64" s="50"/>
      <c r="BR64" s="50"/>
      <c r="BS64" s="50"/>
      <c r="BT64" s="50"/>
      <c r="BU64" s="50"/>
      <c r="BV64" s="50"/>
      <c r="BW64" s="50"/>
      <c r="BX64" s="50"/>
      <c r="BY64" s="50"/>
      <c r="BZ64" s="51"/>
    </row>
    <row r="65" spans="1:78" x14ac:dyDescent="0.2">
      <c r="A65" s="43"/>
      <c r="B65" s="44"/>
      <c r="C65" s="82"/>
      <c r="D65" s="82"/>
      <c r="E65" s="61"/>
      <c r="F65" s="49"/>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c r="BA65" s="50"/>
      <c r="BB65" s="50"/>
      <c r="BC65" s="50"/>
      <c r="BD65" s="50"/>
      <c r="BE65" s="50"/>
      <c r="BF65" s="50"/>
      <c r="BG65" s="50"/>
      <c r="BH65" s="50"/>
      <c r="BI65" s="50"/>
      <c r="BJ65" s="50"/>
      <c r="BK65" s="50"/>
      <c r="BL65" s="50"/>
      <c r="BM65" s="50"/>
      <c r="BN65" s="50"/>
      <c r="BO65" s="50"/>
      <c r="BP65" s="50"/>
      <c r="BQ65" s="50"/>
      <c r="BR65" s="50"/>
      <c r="BS65" s="50"/>
      <c r="BT65" s="50"/>
      <c r="BU65" s="50"/>
      <c r="BV65" s="50"/>
      <c r="BW65" s="50"/>
      <c r="BX65" s="50"/>
      <c r="BY65" s="50"/>
      <c r="BZ65" s="51"/>
    </row>
    <row r="66" spans="1:78" x14ac:dyDescent="0.2">
      <c r="A66" s="57"/>
      <c r="B66" s="44"/>
      <c r="C66" s="82"/>
      <c r="D66" s="82"/>
      <c r="E66" s="61"/>
      <c r="F66" s="49"/>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c r="BA66" s="50"/>
      <c r="BB66" s="50"/>
      <c r="BC66" s="50"/>
      <c r="BD66" s="50"/>
      <c r="BE66" s="50"/>
      <c r="BF66" s="50"/>
      <c r="BG66" s="50"/>
      <c r="BH66" s="50"/>
      <c r="BI66" s="50"/>
      <c r="BJ66" s="50"/>
      <c r="BK66" s="50"/>
      <c r="BL66" s="50"/>
      <c r="BM66" s="50"/>
      <c r="BN66" s="50"/>
      <c r="BO66" s="50"/>
      <c r="BP66" s="50"/>
      <c r="BQ66" s="50"/>
      <c r="BR66" s="50"/>
      <c r="BS66" s="50"/>
      <c r="BT66" s="50"/>
      <c r="BU66" s="50"/>
      <c r="BV66" s="50"/>
      <c r="BW66" s="50"/>
      <c r="BX66" s="50"/>
      <c r="BY66" s="50"/>
      <c r="BZ66" s="51"/>
    </row>
    <row r="67" spans="1:78" x14ac:dyDescent="0.2">
      <c r="A67" s="57"/>
      <c r="B67" s="44"/>
      <c r="C67" s="82"/>
      <c r="D67" s="82"/>
      <c r="E67" s="61"/>
      <c r="F67" s="49"/>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c r="BA67" s="50"/>
      <c r="BB67" s="50"/>
      <c r="BC67" s="50"/>
      <c r="BD67" s="50"/>
      <c r="BE67" s="50"/>
      <c r="BF67" s="50"/>
      <c r="BG67" s="50"/>
      <c r="BH67" s="50"/>
      <c r="BI67" s="50"/>
      <c r="BJ67" s="50"/>
      <c r="BK67" s="50"/>
      <c r="BL67" s="50"/>
      <c r="BM67" s="50"/>
      <c r="BN67" s="50"/>
      <c r="BO67" s="50"/>
      <c r="BP67" s="50"/>
      <c r="BQ67" s="50"/>
      <c r="BR67" s="50"/>
      <c r="BS67" s="50"/>
      <c r="BT67" s="50"/>
      <c r="BU67" s="50"/>
      <c r="BV67" s="50"/>
      <c r="BW67" s="50"/>
      <c r="BX67" s="50"/>
      <c r="BY67" s="50"/>
      <c r="BZ67" s="51"/>
    </row>
    <row r="68" spans="1:78" x14ac:dyDescent="0.2">
      <c r="A68" s="57"/>
      <c r="B68" s="44"/>
      <c r="C68" s="82"/>
      <c r="D68" s="82"/>
      <c r="E68" s="61"/>
      <c r="F68" s="49"/>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1"/>
    </row>
    <row r="69" spans="1:78" x14ac:dyDescent="0.2">
      <c r="A69" s="43"/>
      <c r="B69" s="44"/>
      <c r="C69" s="82"/>
      <c r="D69" s="82"/>
      <c r="E69" s="61"/>
      <c r="F69" s="49"/>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1"/>
    </row>
    <row r="70" spans="1:78" s="40" customFormat="1" x14ac:dyDescent="0.2">
      <c r="A70" s="60"/>
      <c r="B70" s="44"/>
      <c r="C70" s="82"/>
      <c r="D70" s="82"/>
      <c r="E70" s="61"/>
      <c r="F70" s="49"/>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c r="BA70" s="50"/>
      <c r="BB70" s="50"/>
      <c r="BC70" s="50"/>
      <c r="BD70" s="50"/>
      <c r="BE70" s="50"/>
      <c r="BF70" s="50"/>
      <c r="BG70" s="50"/>
      <c r="BH70" s="50"/>
      <c r="BI70" s="50"/>
      <c r="BJ70" s="50"/>
      <c r="BK70" s="50"/>
      <c r="BL70" s="50"/>
      <c r="BM70" s="50"/>
      <c r="BN70" s="50"/>
      <c r="BO70" s="50"/>
      <c r="BP70" s="50"/>
      <c r="BQ70" s="50"/>
      <c r="BR70" s="50"/>
      <c r="BS70" s="50"/>
      <c r="BT70" s="50"/>
      <c r="BU70" s="50"/>
      <c r="BV70" s="50"/>
      <c r="BW70" s="50"/>
      <c r="BX70" s="50"/>
      <c r="BY70" s="50"/>
      <c r="BZ70" s="51"/>
    </row>
    <row r="71" spans="1:78" s="40" customFormat="1" x14ac:dyDescent="0.2">
      <c r="A71" s="43"/>
      <c r="B71" s="44"/>
      <c r="C71" s="82"/>
      <c r="D71" s="82"/>
      <c r="E71" s="61"/>
      <c r="F71" s="49"/>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c r="BA71" s="50"/>
      <c r="BB71" s="50"/>
      <c r="BC71" s="50"/>
      <c r="BD71" s="50"/>
      <c r="BE71" s="50"/>
      <c r="BF71" s="50"/>
      <c r="BG71" s="50"/>
      <c r="BH71" s="50"/>
      <c r="BI71" s="50"/>
      <c r="BJ71" s="50"/>
      <c r="BK71" s="50"/>
      <c r="BL71" s="50"/>
      <c r="BM71" s="50"/>
      <c r="BN71" s="50"/>
      <c r="BO71" s="50"/>
      <c r="BP71" s="50"/>
      <c r="BQ71" s="50"/>
      <c r="BR71" s="50"/>
      <c r="BS71" s="50"/>
      <c r="BT71" s="50"/>
      <c r="BU71" s="50"/>
      <c r="BV71" s="50"/>
      <c r="BW71" s="50"/>
      <c r="BX71" s="50"/>
      <c r="BY71" s="50"/>
      <c r="BZ71" s="51"/>
    </row>
    <row r="72" spans="1:78" s="40" customFormat="1" x14ac:dyDescent="0.2">
      <c r="A72" s="85"/>
      <c r="B72" s="44"/>
      <c r="C72" s="82"/>
      <c r="D72" s="82"/>
      <c r="E72" s="61"/>
      <c r="F72" s="49"/>
      <c r="G72" s="50"/>
      <c r="H72" s="50"/>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c r="BA72" s="50"/>
      <c r="BB72" s="50"/>
      <c r="BC72" s="50"/>
      <c r="BD72" s="50"/>
      <c r="BE72" s="50"/>
      <c r="BF72" s="50"/>
      <c r="BG72" s="50"/>
      <c r="BH72" s="50"/>
      <c r="BI72" s="50"/>
      <c r="BJ72" s="50"/>
      <c r="BK72" s="50"/>
      <c r="BL72" s="50"/>
      <c r="BM72" s="50"/>
      <c r="BN72" s="50"/>
      <c r="BO72" s="50"/>
      <c r="BP72" s="50"/>
      <c r="BQ72" s="50"/>
      <c r="BR72" s="50"/>
      <c r="BS72" s="50"/>
      <c r="BT72" s="50"/>
      <c r="BU72" s="50"/>
      <c r="BV72" s="50"/>
      <c r="BW72" s="50"/>
      <c r="BX72" s="50"/>
      <c r="BY72" s="50"/>
      <c r="BZ72" s="51"/>
    </row>
    <row r="73" spans="1:78" x14ac:dyDescent="0.2">
      <c r="A73" s="52"/>
      <c r="B73" s="44"/>
      <c r="C73" s="82"/>
      <c r="D73" s="82"/>
      <c r="E73" s="61"/>
      <c r="F73" s="49"/>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1"/>
    </row>
    <row r="74" spans="1:78" s="40" customFormat="1" x14ac:dyDescent="0.2">
      <c r="A74" s="57"/>
      <c r="B74" s="44"/>
      <c r="C74" s="82"/>
      <c r="D74" s="82"/>
      <c r="E74" s="61"/>
      <c r="F74" s="49"/>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1"/>
    </row>
    <row r="75" spans="1:78" x14ac:dyDescent="0.2">
      <c r="A75" s="48"/>
      <c r="B75" s="44"/>
      <c r="C75" s="82"/>
      <c r="D75" s="82"/>
      <c r="E75" s="61"/>
      <c r="F75" s="73"/>
      <c r="G75" s="74"/>
      <c r="H75" s="74"/>
      <c r="I75" s="74"/>
      <c r="J75" s="74"/>
      <c r="K75" s="74"/>
      <c r="L75" s="74"/>
      <c r="M75" s="74"/>
      <c r="N75" s="74"/>
      <c r="O75" s="74"/>
      <c r="P75" s="74"/>
      <c r="Q75" s="74"/>
      <c r="R75" s="74"/>
      <c r="S75" s="74"/>
      <c r="T75" s="74"/>
      <c r="U75" s="74"/>
      <c r="V75" s="74"/>
      <c r="W75" s="74"/>
      <c r="X75" s="74"/>
      <c r="Y75" s="74"/>
      <c r="Z75" s="74"/>
      <c r="AA75" s="74"/>
      <c r="AB75" s="74"/>
      <c r="AC75" s="74"/>
      <c r="AD75" s="74"/>
      <c r="AE75" s="74"/>
      <c r="AF75" s="74"/>
      <c r="AG75" s="74"/>
      <c r="AH75" s="74"/>
      <c r="AI75" s="74"/>
      <c r="AJ75" s="74"/>
      <c r="AK75" s="74"/>
      <c r="AL75" s="74"/>
      <c r="AM75" s="74"/>
      <c r="AN75" s="74"/>
      <c r="AO75" s="74"/>
      <c r="AP75" s="74"/>
      <c r="AQ75" s="74"/>
      <c r="AR75" s="74"/>
      <c r="AS75" s="74"/>
      <c r="AT75" s="74"/>
      <c r="AU75" s="74"/>
      <c r="AV75" s="74"/>
      <c r="AW75" s="74"/>
      <c r="AX75" s="74"/>
      <c r="AY75" s="74"/>
      <c r="AZ75" s="74"/>
      <c r="BA75" s="74"/>
      <c r="BB75" s="74"/>
      <c r="BC75" s="74"/>
      <c r="BD75" s="74"/>
      <c r="BE75" s="74"/>
      <c r="BF75" s="74"/>
      <c r="BG75" s="74"/>
      <c r="BH75" s="74"/>
      <c r="BI75" s="74"/>
      <c r="BJ75" s="74"/>
      <c r="BK75" s="74"/>
      <c r="BL75" s="74"/>
      <c r="BM75" s="74"/>
      <c r="BN75" s="74"/>
      <c r="BO75" s="74"/>
      <c r="BP75" s="74"/>
      <c r="BQ75" s="74"/>
      <c r="BR75" s="74"/>
      <c r="BS75" s="74"/>
      <c r="BT75" s="74"/>
      <c r="BU75" s="74"/>
      <c r="BV75" s="74"/>
      <c r="BW75" s="74"/>
      <c r="BX75" s="74"/>
      <c r="BY75" s="74"/>
      <c r="BZ75" s="75"/>
    </row>
    <row r="76" spans="1:78" x14ac:dyDescent="0.2">
      <c r="A76" s="48"/>
      <c r="B76" s="44"/>
      <c r="C76" s="82"/>
      <c r="D76" s="82"/>
      <c r="E76" s="61"/>
      <c r="F76" s="49"/>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c r="BC76" s="50"/>
      <c r="BD76" s="50"/>
      <c r="BE76" s="50"/>
      <c r="BF76" s="50"/>
      <c r="BG76" s="50"/>
      <c r="BH76" s="50"/>
      <c r="BI76" s="50"/>
      <c r="BJ76" s="50"/>
      <c r="BK76" s="50"/>
      <c r="BL76" s="50"/>
      <c r="BM76" s="50"/>
      <c r="BN76" s="50"/>
      <c r="BO76" s="50"/>
      <c r="BP76" s="50"/>
      <c r="BQ76" s="50"/>
      <c r="BR76" s="50"/>
      <c r="BS76" s="50"/>
      <c r="BT76" s="50"/>
      <c r="BU76" s="50"/>
      <c r="BV76" s="50"/>
      <c r="BW76" s="50"/>
      <c r="BX76" s="50"/>
      <c r="BY76" s="50"/>
      <c r="BZ76" s="51"/>
    </row>
    <row r="77" spans="1:78" x14ac:dyDescent="0.2">
      <c r="A77" s="48"/>
      <c r="B77" s="44"/>
      <c r="C77" s="82"/>
      <c r="D77" s="82"/>
      <c r="E77" s="61"/>
      <c r="F77" s="49"/>
      <c r="G77" s="50"/>
      <c r="H77" s="50"/>
      <c r="I77" s="5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c r="BA77" s="50"/>
      <c r="BB77" s="50"/>
      <c r="BC77" s="50"/>
      <c r="BD77" s="50"/>
      <c r="BE77" s="50"/>
      <c r="BF77" s="50"/>
      <c r="BG77" s="50"/>
      <c r="BH77" s="50"/>
      <c r="BI77" s="50"/>
      <c r="BJ77" s="50"/>
      <c r="BK77" s="50"/>
      <c r="BL77" s="50"/>
      <c r="BM77" s="50"/>
      <c r="BN77" s="50"/>
      <c r="BO77" s="50"/>
      <c r="BP77" s="50"/>
      <c r="BQ77" s="50"/>
      <c r="BR77" s="50"/>
      <c r="BS77" s="50"/>
      <c r="BT77" s="50"/>
      <c r="BU77" s="50"/>
      <c r="BV77" s="50"/>
      <c r="BW77" s="50"/>
      <c r="BX77" s="50"/>
      <c r="BY77" s="50"/>
      <c r="BZ77" s="51"/>
    </row>
    <row r="78" spans="1:78" x14ac:dyDescent="0.2">
      <c r="A78" s="48"/>
      <c r="B78" s="44"/>
      <c r="C78" s="82"/>
      <c r="D78" s="82"/>
      <c r="E78" s="66"/>
      <c r="F78" s="45"/>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46"/>
      <c r="BR78" s="46"/>
      <c r="BS78" s="46"/>
      <c r="BT78" s="46"/>
      <c r="BU78" s="46"/>
      <c r="BV78" s="46"/>
      <c r="BW78" s="46"/>
      <c r="BX78" s="46"/>
      <c r="BY78" s="46"/>
      <c r="BZ78" s="47"/>
    </row>
    <row r="79" spans="1:78" x14ac:dyDescent="0.2">
      <c r="A79" s="90"/>
      <c r="B79" s="44"/>
      <c r="C79" s="82"/>
      <c r="D79" s="82"/>
      <c r="E79" s="61"/>
      <c r="F79" s="49"/>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1"/>
    </row>
    <row r="80" spans="1:78" x14ac:dyDescent="0.2">
      <c r="F80" s="45"/>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7"/>
    </row>
    <row r="81" spans="1:78" x14ac:dyDescent="0.2">
      <c r="F81" s="49"/>
      <c r="G81" s="50"/>
      <c r="H81" s="50"/>
      <c r="I81" s="5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c r="BA81" s="50"/>
      <c r="BB81" s="50"/>
      <c r="BC81" s="50"/>
      <c r="BD81" s="50"/>
      <c r="BE81" s="50"/>
      <c r="BF81" s="50"/>
      <c r="BG81" s="50"/>
      <c r="BH81" s="50"/>
      <c r="BI81" s="50"/>
      <c r="BJ81" s="50"/>
      <c r="BK81" s="50"/>
      <c r="BL81" s="50"/>
      <c r="BM81" s="50"/>
      <c r="BN81" s="50"/>
      <c r="BO81" s="50"/>
      <c r="BP81" s="50"/>
      <c r="BQ81" s="50"/>
      <c r="BR81" s="50"/>
      <c r="BS81" s="50"/>
      <c r="BT81" s="50"/>
      <c r="BU81" s="50"/>
      <c r="BV81" s="50"/>
      <c r="BW81" s="50"/>
      <c r="BX81" s="50"/>
      <c r="BY81" s="50"/>
      <c r="BZ81" s="51"/>
    </row>
    <row r="82" spans="1:78" x14ac:dyDescent="0.2">
      <c r="F82" s="49"/>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c r="BA82" s="50"/>
      <c r="BB82" s="50"/>
      <c r="BC82" s="50"/>
      <c r="BD82" s="50"/>
      <c r="BE82" s="50"/>
      <c r="BF82" s="50"/>
      <c r="BG82" s="50"/>
      <c r="BH82" s="50"/>
      <c r="BI82" s="50"/>
      <c r="BJ82" s="50"/>
      <c r="BK82" s="50"/>
      <c r="BL82" s="50"/>
      <c r="BM82" s="50"/>
      <c r="BN82" s="50"/>
      <c r="BO82" s="50"/>
      <c r="BP82" s="50"/>
      <c r="BQ82" s="50"/>
      <c r="BR82" s="50"/>
      <c r="BS82" s="50"/>
      <c r="BT82" s="50"/>
      <c r="BU82" s="50"/>
      <c r="BV82" s="50"/>
      <c r="BW82" s="50"/>
      <c r="BX82" s="50"/>
      <c r="BY82" s="50"/>
      <c r="BZ82" s="51"/>
    </row>
    <row r="83" spans="1:78" x14ac:dyDescent="0.2">
      <c r="F83" s="49"/>
      <c r="G83" s="50"/>
      <c r="H83" s="50"/>
      <c r="I83" s="5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1"/>
    </row>
    <row r="84" spans="1:78" x14ac:dyDescent="0.2">
      <c r="F84" s="49"/>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c r="BA84" s="50"/>
      <c r="BB84" s="50"/>
      <c r="BC84" s="50"/>
      <c r="BD84" s="50"/>
      <c r="BE84" s="50"/>
      <c r="BF84" s="50"/>
      <c r="BG84" s="50"/>
      <c r="BH84" s="50"/>
      <c r="BI84" s="50"/>
      <c r="BJ84" s="50"/>
      <c r="BK84" s="50"/>
      <c r="BL84" s="50"/>
      <c r="BM84" s="50"/>
      <c r="BN84" s="50"/>
      <c r="BO84" s="50"/>
      <c r="BP84" s="50"/>
      <c r="BQ84" s="50"/>
      <c r="BR84" s="50"/>
      <c r="BS84" s="50"/>
      <c r="BT84" s="50"/>
      <c r="BU84" s="50"/>
      <c r="BV84" s="50"/>
      <c r="BW84" s="50"/>
      <c r="BX84" s="50"/>
      <c r="BY84" s="50"/>
      <c r="BZ84" s="51"/>
    </row>
    <row r="85" spans="1:78" x14ac:dyDescent="0.2">
      <c r="F85" s="49"/>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1"/>
    </row>
    <row r="86" spans="1:78" x14ac:dyDescent="0.2">
      <c r="F86" s="49"/>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1"/>
    </row>
    <row r="87" spans="1:78" x14ac:dyDescent="0.2">
      <c r="F87" s="49"/>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c r="BA87" s="50"/>
      <c r="BB87" s="50"/>
      <c r="BC87" s="50"/>
      <c r="BD87" s="50"/>
      <c r="BE87" s="50"/>
      <c r="BF87" s="50"/>
      <c r="BG87" s="50"/>
      <c r="BH87" s="50"/>
      <c r="BI87" s="50"/>
      <c r="BJ87" s="50"/>
      <c r="BK87" s="50"/>
      <c r="BL87" s="50"/>
      <c r="BM87" s="50"/>
      <c r="BN87" s="50"/>
      <c r="BO87" s="50"/>
      <c r="BP87" s="50"/>
      <c r="BQ87" s="50"/>
      <c r="BR87" s="50"/>
      <c r="BS87" s="50"/>
      <c r="BT87" s="50"/>
      <c r="BU87" s="50"/>
      <c r="BV87" s="50"/>
      <c r="BW87" s="50"/>
      <c r="BX87" s="50"/>
      <c r="BY87" s="50"/>
      <c r="BZ87" s="51"/>
    </row>
    <row r="88" spans="1:78" x14ac:dyDescent="0.2">
      <c r="F88" s="49"/>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1"/>
    </row>
    <row r="89" spans="1:78" x14ac:dyDescent="0.2">
      <c r="F89" s="49"/>
      <c r="G89" s="50"/>
      <c r="H89" s="50"/>
      <c r="I89" s="5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1"/>
    </row>
    <row r="90" spans="1:78" x14ac:dyDescent="0.2">
      <c r="F90" s="49"/>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1"/>
    </row>
    <row r="91" spans="1:78" x14ac:dyDescent="0.2">
      <c r="F91" s="73"/>
      <c r="G91" s="74"/>
      <c r="H91" s="74"/>
      <c r="I91" s="74"/>
      <c r="J91" s="74"/>
      <c r="K91" s="74"/>
      <c r="L91" s="74"/>
      <c r="M91" s="74"/>
      <c r="N91" s="74"/>
      <c r="O91" s="74"/>
      <c r="P91" s="74"/>
      <c r="Q91" s="74"/>
      <c r="R91" s="74"/>
      <c r="S91" s="74"/>
      <c r="T91" s="74"/>
      <c r="U91" s="74"/>
      <c r="V91" s="74"/>
      <c r="W91" s="74"/>
      <c r="X91" s="74"/>
      <c r="Y91" s="74"/>
      <c r="Z91" s="74"/>
      <c r="AA91" s="74"/>
      <c r="AB91" s="74"/>
      <c r="AC91" s="74"/>
      <c r="AD91" s="74"/>
      <c r="AE91" s="74"/>
      <c r="AF91" s="74"/>
      <c r="AG91" s="74"/>
      <c r="AH91" s="74"/>
      <c r="AI91" s="74"/>
      <c r="AJ91" s="74"/>
      <c r="AK91" s="74"/>
      <c r="AL91" s="74"/>
      <c r="AM91" s="74"/>
      <c r="AN91" s="74"/>
      <c r="AO91" s="74"/>
      <c r="AP91" s="74"/>
      <c r="AQ91" s="74"/>
      <c r="AR91" s="74"/>
      <c r="AS91" s="74"/>
      <c r="AT91" s="74"/>
      <c r="AU91" s="74"/>
      <c r="AV91" s="74"/>
      <c r="AW91" s="74"/>
      <c r="AX91" s="74"/>
      <c r="AY91" s="74"/>
      <c r="AZ91" s="74"/>
      <c r="BA91" s="74"/>
      <c r="BB91" s="74"/>
      <c r="BC91" s="74"/>
      <c r="BD91" s="74"/>
      <c r="BE91" s="74"/>
      <c r="BF91" s="74"/>
      <c r="BG91" s="74"/>
      <c r="BH91" s="74"/>
      <c r="BI91" s="74"/>
      <c r="BJ91" s="74"/>
      <c r="BK91" s="74"/>
      <c r="BL91" s="74"/>
      <c r="BM91" s="74"/>
      <c r="BN91" s="74"/>
      <c r="BO91" s="74"/>
      <c r="BP91" s="74"/>
      <c r="BQ91" s="74"/>
      <c r="BR91" s="74"/>
      <c r="BS91" s="74"/>
      <c r="BT91" s="74"/>
      <c r="BU91" s="74"/>
      <c r="BV91" s="74"/>
      <c r="BW91" s="74"/>
      <c r="BX91" s="74"/>
      <c r="BY91" s="74"/>
      <c r="BZ91" s="75"/>
    </row>
    <row r="92" spans="1:78" x14ac:dyDescent="0.2">
      <c r="F92" s="49"/>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1"/>
    </row>
    <row r="93" spans="1:78" x14ac:dyDescent="0.2">
      <c r="F93" s="49"/>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1"/>
    </row>
    <row r="94" spans="1:78" x14ac:dyDescent="0.2">
      <c r="A94" s="48"/>
      <c r="B94" s="44"/>
      <c r="C94" s="82"/>
      <c r="D94" s="82"/>
      <c r="E94" s="61"/>
      <c r="F94" s="49"/>
      <c r="G94" s="50"/>
      <c r="H94" s="50"/>
      <c r="I94" s="5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1"/>
    </row>
    <row r="95" spans="1:78" x14ac:dyDescent="0.2">
      <c r="A95" s="52"/>
      <c r="B95" s="44"/>
      <c r="C95" s="82"/>
      <c r="D95" s="82"/>
      <c r="E95" s="61"/>
      <c r="F95" s="49"/>
      <c r="G95" s="50"/>
      <c r="H95" s="50"/>
      <c r="I95" s="5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1"/>
    </row>
    <row r="96" spans="1:78" x14ac:dyDescent="0.2">
      <c r="A96" s="57"/>
      <c r="B96" s="44"/>
      <c r="C96" s="82"/>
      <c r="D96" s="82"/>
      <c r="E96" s="61"/>
      <c r="F96" s="49"/>
      <c r="G96" s="50"/>
      <c r="H96" s="50"/>
      <c r="I96" s="5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1"/>
    </row>
    <row r="97" spans="1:78" x14ac:dyDescent="0.2">
      <c r="A97" s="43"/>
      <c r="B97" s="44"/>
      <c r="C97" s="82"/>
      <c r="D97" s="82"/>
      <c r="E97" s="61"/>
      <c r="F97" s="49"/>
      <c r="G97" s="50"/>
      <c r="H97" s="50"/>
      <c r="I97" s="5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1"/>
    </row>
    <row r="98" spans="1:78" x14ac:dyDescent="0.2">
      <c r="A98" s="48"/>
      <c r="B98" s="44"/>
      <c r="C98" s="82"/>
      <c r="D98" s="82"/>
      <c r="E98" s="61"/>
      <c r="F98" s="49"/>
      <c r="G98" s="50"/>
      <c r="H98" s="50"/>
      <c r="I98" s="5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1"/>
    </row>
    <row r="99" spans="1:78" x14ac:dyDescent="0.2">
      <c r="A99" s="48"/>
      <c r="B99" s="44"/>
      <c r="C99" s="82"/>
      <c r="D99" s="82"/>
      <c r="E99" s="61"/>
      <c r="F99" s="49"/>
      <c r="G99" s="50"/>
      <c r="H99" s="50"/>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1"/>
    </row>
    <row r="100" spans="1:78" x14ac:dyDescent="0.2">
      <c r="A100" s="48"/>
      <c r="B100" s="44"/>
      <c r="C100" s="82"/>
      <c r="D100" s="82"/>
      <c r="E100" s="61"/>
      <c r="F100" s="49"/>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1"/>
    </row>
    <row r="101" spans="1:78" x14ac:dyDescent="0.2">
      <c r="A101" s="48"/>
      <c r="B101" s="44"/>
      <c r="C101" s="82"/>
      <c r="D101" s="82"/>
      <c r="E101" s="61"/>
      <c r="F101" s="49"/>
      <c r="G101" s="50"/>
      <c r="H101" s="50"/>
      <c r="I101" s="5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c r="BA101" s="50"/>
      <c r="BB101" s="50"/>
      <c r="BC101" s="50"/>
      <c r="BD101" s="50"/>
      <c r="BE101" s="50"/>
      <c r="BF101" s="50"/>
      <c r="BG101" s="50"/>
      <c r="BH101" s="50"/>
      <c r="BI101" s="50"/>
      <c r="BJ101" s="50"/>
      <c r="BK101" s="50"/>
      <c r="BL101" s="50"/>
      <c r="BM101" s="50"/>
      <c r="BN101" s="50"/>
      <c r="BO101" s="50"/>
      <c r="BP101" s="50"/>
      <c r="BQ101" s="50"/>
      <c r="BR101" s="50"/>
      <c r="BS101" s="50"/>
      <c r="BT101" s="50"/>
      <c r="BU101" s="50"/>
      <c r="BV101" s="50"/>
      <c r="BW101" s="50"/>
      <c r="BX101" s="50"/>
      <c r="BY101" s="50"/>
      <c r="BZ101" s="51"/>
    </row>
    <row r="102" spans="1:78" x14ac:dyDescent="0.2">
      <c r="A102" s="48"/>
      <c r="B102" s="44"/>
      <c r="C102" s="82"/>
      <c r="D102" s="82"/>
      <c r="E102" s="61"/>
      <c r="F102" s="49"/>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1"/>
    </row>
    <row r="103" spans="1:78" x14ac:dyDescent="0.2">
      <c r="A103" s="48"/>
      <c r="B103" s="44"/>
      <c r="C103" s="82"/>
      <c r="D103" s="82"/>
      <c r="E103" s="61"/>
      <c r="F103" s="49"/>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1"/>
    </row>
    <row r="104" spans="1:78" x14ac:dyDescent="0.2">
      <c r="A104" s="48"/>
      <c r="B104" s="44"/>
      <c r="C104" s="82"/>
      <c r="D104" s="82"/>
      <c r="E104" s="84"/>
      <c r="F104" s="45"/>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c r="BF104" s="46"/>
      <c r="BG104" s="46"/>
      <c r="BH104" s="46"/>
      <c r="BI104" s="46"/>
      <c r="BJ104" s="46"/>
      <c r="BK104" s="46"/>
      <c r="BL104" s="46"/>
      <c r="BM104" s="46"/>
      <c r="BN104" s="46"/>
      <c r="BO104" s="46"/>
      <c r="BP104" s="46"/>
      <c r="BQ104" s="46"/>
      <c r="BR104" s="46"/>
      <c r="BS104" s="46"/>
      <c r="BT104" s="46"/>
      <c r="BU104" s="46"/>
      <c r="BV104" s="46"/>
      <c r="BW104" s="46"/>
      <c r="BX104" s="46"/>
      <c r="BY104" s="46"/>
      <c r="BZ104" s="47"/>
    </row>
    <row r="105" spans="1:78" x14ac:dyDescent="0.2">
      <c r="A105" s="52"/>
      <c r="B105" s="44"/>
      <c r="C105" s="82"/>
      <c r="D105" s="82"/>
      <c r="E105" s="61"/>
      <c r="F105" s="49"/>
      <c r="G105" s="50"/>
      <c r="H105" s="50"/>
      <c r="I105" s="5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1"/>
    </row>
    <row r="106" spans="1:78" x14ac:dyDescent="0.2">
      <c r="A106" s="89"/>
      <c r="B106" s="44"/>
      <c r="C106" s="82"/>
      <c r="D106" s="82"/>
      <c r="E106" s="61"/>
      <c r="F106" s="49"/>
      <c r="G106" s="50"/>
      <c r="H106" s="50"/>
      <c r="I106" s="5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c r="BA106" s="50"/>
      <c r="BB106" s="50"/>
      <c r="BC106" s="50"/>
      <c r="BD106" s="50"/>
      <c r="BE106" s="50"/>
      <c r="BF106" s="50"/>
      <c r="BG106" s="50"/>
      <c r="BH106" s="50"/>
      <c r="BI106" s="50"/>
      <c r="BJ106" s="50"/>
      <c r="BK106" s="50"/>
      <c r="BL106" s="50"/>
      <c r="BM106" s="50"/>
      <c r="BN106" s="50"/>
      <c r="BO106" s="50"/>
      <c r="BP106" s="50"/>
      <c r="BQ106" s="50"/>
      <c r="BR106" s="50"/>
      <c r="BS106" s="50"/>
      <c r="BT106" s="50"/>
      <c r="BU106" s="50"/>
      <c r="BV106" s="50"/>
      <c r="BW106" s="50"/>
      <c r="BX106" s="50"/>
      <c r="BY106" s="50"/>
      <c r="BZ106" s="51"/>
    </row>
    <row r="107" spans="1:78" x14ac:dyDescent="0.2">
      <c r="A107" s="63"/>
      <c r="B107" s="44"/>
      <c r="C107" s="82"/>
      <c r="D107" s="82"/>
      <c r="E107" s="61"/>
      <c r="F107" s="49"/>
      <c r="G107" s="50"/>
      <c r="H107" s="50"/>
      <c r="I107" s="5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c r="BA107" s="50"/>
      <c r="BB107" s="50"/>
      <c r="BC107" s="50"/>
      <c r="BD107" s="50"/>
      <c r="BE107" s="50"/>
      <c r="BF107" s="50"/>
      <c r="BG107" s="50"/>
      <c r="BH107" s="50"/>
      <c r="BI107" s="50"/>
      <c r="BJ107" s="50"/>
      <c r="BK107" s="50"/>
      <c r="BL107" s="50"/>
      <c r="BM107" s="50"/>
      <c r="BN107" s="50"/>
      <c r="BO107" s="50"/>
      <c r="BP107" s="50"/>
      <c r="BQ107" s="50"/>
      <c r="BR107" s="50"/>
      <c r="BS107" s="50"/>
      <c r="BT107" s="50"/>
      <c r="BU107" s="50"/>
      <c r="BV107" s="50"/>
      <c r="BW107" s="50"/>
      <c r="BX107" s="50"/>
      <c r="BY107" s="50"/>
      <c r="BZ107" s="51"/>
    </row>
    <row r="108" spans="1:78" x14ac:dyDescent="0.2">
      <c r="A108" s="63"/>
      <c r="B108" s="44"/>
      <c r="C108" s="82"/>
      <c r="D108" s="82"/>
      <c r="E108" s="61"/>
      <c r="F108" s="49"/>
      <c r="G108" s="50"/>
      <c r="H108" s="50"/>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1"/>
    </row>
    <row r="109" spans="1:78" x14ac:dyDescent="0.2">
      <c r="A109" s="63"/>
      <c r="B109" s="44"/>
      <c r="C109" s="82"/>
      <c r="D109" s="82"/>
      <c r="E109" s="61"/>
      <c r="F109" s="49"/>
      <c r="G109" s="50"/>
      <c r="H109" s="50"/>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1"/>
    </row>
    <row r="110" spans="1:78" x14ac:dyDescent="0.2">
      <c r="A110" s="48"/>
      <c r="B110" s="44"/>
      <c r="C110" s="82"/>
      <c r="D110" s="82"/>
      <c r="E110" s="61"/>
      <c r="F110" s="49"/>
      <c r="G110" s="50"/>
      <c r="H110" s="50"/>
      <c r="I110" s="5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1"/>
    </row>
    <row r="111" spans="1:78" x14ac:dyDescent="0.2">
      <c r="A111" s="48"/>
      <c r="B111" s="44"/>
      <c r="C111" s="82"/>
      <c r="D111" s="82"/>
      <c r="E111" s="61"/>
      <c r="F111" s="49"/>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1"/>
    </row>
    <row r="112" spans="1:78" x14ac:dyDescent="0.2">
      <c r="A112" s="52"/>
      <c r="B112" s="44"/>
      <c r="C112" s="82"/>
      <c r="D112" s="82"/>
      <c r="E112" s="61"/>
      <c r="F112" s="49"/>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1"/>
    </row>
    <row r="113" spans="1:78" x14ac:dyDescent="0.2">
      <c r="A113" s="52"/>
      <c r="B113" s="44"/>
      <c r="C113" s="82"/>
      <c r="D113" s="82"/>
      <c r="E113" s="61"/>
      <c r="F113" s="49"/>
      <c r="G113" s="50"/>
      <c r="H113" s="50"/>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1"/>
    </row>
    <row r="114" spans="1:78" x14ac:dyDescent="0.2">
      <c r="A114" s="52"/>
      <c r="B114" s="44"/>
      <c r="C114" s="82"/>
      <c r="D114" s="82"/>
      <c r="E114" s="61"/>
      <c r="F114" s="49"/>
      <c r="G114" s="50"/>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1"/>
    </row>
    <row r="115" spans="1:78" x14ac:dyDescent="0.2">
      <c r="A115" s="52"/>
      <c r="B115" s="44"/>
      <c r="C115" s="82"/>
      <c r="D115" s="82"/>
      <c r="E115" s="61"/>
      <c r="F115" s="49"/>
      <c r="G115" s="50"/>
      <c r="H115" s="50"/>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1"/>
    </row>
    <row r="116" spans="1:78" x14ac:dyDescent="0.2">
      <c r="A116" s="52"/>
      <c r="B116" s="44"/>
      <c r="C116" s="82"/>
      <c r="D116" s="82"/>
      <c r="E116" s="61"/>
      <c r="F116" s="49"/>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1"/>
    </row>
    <row r="117" spans="1:78" x14ac:dyDescent="0.2">
      <c r="A117" s="52"/>
      <c r="B117" s="44"/>
      <c r="C117" s="82"/>
      <c r="D117" s="82"/>
      <c r="E117" s="61"/>
      <c r="F117" s="49"/>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1"/>
    </row>
    <row r="118" spans="1:78" x14ac:dyDescent="0.2">
      <c r="A118" s="52"/>
      <c r="B118" s="44"/>
      <c r="C118" s="82"/>
      <c r="D118" s="82"/>
      <c r="E118" s="61"/>
      <c r="F118" s="49"/>
      <c r="G118" s="50"/>
      <c r="H118" s="50"/>
      <c r="I118" s="5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1"/>
    </row>
    <row r="119" spans="1:78" x14ac:dyDescent="0.2">
      <c r="A119" s="52"/>
      <c r="B119" s="44"/>
      <c r="C119" s="82"/>
      <c r="D119" s="82"/>
      <c r="E119" s="61"/>
      <c r="F119" s="49"/>
      <c r="G119" s="50"/>
      <c r="H119" s="50"/>
      <c r="I119" s="5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1"/>
    </row>
    <row r="120" spans="1:78" x14ac:dyDescent="0.2">
      <c r="A120" s="52"/>
      <c r="B120" s="44"/>
      <c r="C120" s="82"/>
      <c r="D120" s="82"/>
      <c r="E120" s="61"/>
      <c r="F120" s="49"/>
      <c r="G120" s="50"/>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1"/>
    </row>
    <row r="121" spans="1:78" x14ac:dyDescent="0.2">
      <c r="A121" s="52"/>
      <c r="B121" s="44"/>
      <c r="C121" s="82"/>
      <c r="D121" s="82"/>
      <c r="E121" s="61"/>
      <c r="F121" s="49"/>
      <c r="G121" s="50"/>
      <c r="H121" s="50"/>
      <c r="I121" s="5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1"/>
    </row>
    <row r="122" spans="1:78" x14ac:dyDescent="0.2">
      <c r="A122" s="52"/>
      <c r="B122" s="44"/>
      <c r="C122" s="82"/>
      <c r="D122" s="82"/>
      <c r="E122" s="61"/>
      <c r="F122" s="49"/>
      <c r="G122" s="50"/>
      <c r="H122" s="50"/>
      <c r="I122" s="5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1"/>
    </row>
    <row r="123" spans="1:78" x14ac:dyDescent="0.2">
      <c r="A123" s="48"/>
      <c r="B123" s="44"/>
      <c r="C123" s="82"/>
      <c r="D123" s="82"/>
      <c r="E123" s="61"/>
      <c r="F123" s="49"/>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1"/>
    </row>
    <row r="124" spans="1:78" x14ac:dyDescent="0.2">
      <c r="A124" s="48"/>
      <c r="B124" s="44"/>
      <c r="C124" s="82"/>
      <c r="D124" s="82"/>
      <c r="E124" s="61"/>
      <c r="F124" s="49"/>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1"/>
    </row>
    <row r="125" spans="1:78" x14ac:dyDescent="0.2">
      <c r="A125" s="48"/>
      <c r="B125" s="44"/>
      <c r="C125" s="82"/>
      <c r="D125" s="82"/>
      <c r="E125" s="61"/>
      <c r="F125" s="49"/>
      <c r="G125" s="50"/>
      <c r="H125" s="50"/>
      <c r="I125" s="5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1"/>
    </row>
    <row r="126" spans="1:78" x14ac:dyDescent="0.2">
      <c r="A126" s="124"/>
      <c r="B126" s="44"/>
      <c r="C126" s="82"/>
      <c r="D126" s="82"/>
      <c r="E126" s="61"/>
      <c r="F126" s="49"/>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1"/>
    </row>
    <row r="127" spans="1:78" x14ac:dyDescent="0.2">
      <c r="A127" s="48"/>
      <c r="B127" s="53"/>
      <c r="C127" s="83"/>
      <c r="D127" s="82"/>
      <c r="E127" s="61"/>
      <c r="F127" s="49"/>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1"/>
    </row>
    <row r="128" spans="1:78" x14ac:dyDescent="0.2">
      <c r="A128" s="48"/>
      <c r="B128" s="44"/>
      <c r="C128" s="82"/>
      <c r="D128" s="82"/>
      <c r="E128" s="61"/>
      <c r="F128" s="49"/>
      <c r="G128" s="50"/>
      <c r="H128" s="50"/>
      <c r="I128" s="5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c r="BW128" s="50"/>
      <c r="BX128" s="50"/>
      <c r="BY128" s="50"/>
      <c r="BZ128" s="51"/>
    </row>
    <row r="129" spans="1:78" x14ac:dyDescent="0.2">
      <c r="A129" s="48"/>
      <c r="B129" s="53"/>
      <c r="C129" s="83"/>
      <c r="D129" s="82"/>
      <c r="E129" s="61"/>
      <c r="F129" s="49"/>
      <c r="G129" s="50"/>
      <c r="H129" s="50"/>
      <c r="I129" s="5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c r="BW129" s="50"/>
      <c r="BX129" s="50"/>
      <c r="BY129" s="50"/>
      <c r="BZ129" s="51"/>
    </row>
    <row r="130" spans="1:78" x14ac:dyDescent="0.2">
      <c r="A130" s="52"/>
      <c r="B130" s="44"/>
      <c r="C130" s="82"/>
      <c r="D130" s="82"/>
      <c r="E130" s="61"/>
      <c r="F130" s="49"/>
      <c r="G130" s="50"/>
      <c r="H130" s="50"/>
      <c r="I130" s="5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1"/>
    </row>
    <row r="131" spans="1:78" x14ac:dyDescent="0.2">
      <c r="A131" s="48"/>
      <c r="B131" s="53"/>
      <c r="C131" s="83"/>
      <c r="D131" s="82"/>
      <c r="E131" s="61"/>
      <c r="F131" s="49"/>
      <c r="G131" s="50"/>
      <c r="H131" s="50"/>
      <c r="I131" s="5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1"/>
    </row>
    <row r="132" spans="1:78" x14ac:dyDescent="0.2">
      <c r="A132" s="52"/>
      <c r="B132" s="53"/>
      <c r="C132" s="83"/>
      <c r="D132" s="82"/>
      <c r="E132" s="61"/>
      <c r="F132" s="49"/>
      <c r="G132" s="50"/>
      <c r="H132" s="50"/>
      <c r="I132" s="5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1"/>
    </row>
    <row r="133" spans="1:78" x14ac:dyDescent="0.2">
      <c r="A133" s="52"/>
      <c r="B133" s="44"/>
      <c r="C133" s="82"/>
      <c r="D133" s="82"/>
      <c r="E133" s="61"/>
      <c r="F133" s="49"/>
      <c r="G133" s="50"/>
      <c r="H133" s="50"/>
      <c r="I133" s="5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1"/>
    </row>
    <row r="134" spans="1:78" x14ac:dyDescent="0.2">
      <c r="A134" s="52"/>
      <c r="B134" s="44"/>
      <c r="C134" s="82"/>
      <c r="D134" s="82"/>
      <c r="E134" s="61"/>
      <c r="F134" s="49"/>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1"/>
    </row>
    <row r="135" spans="1:78" x14ac:dyDescent="0.2">
      <c r="A135" s="48"/>
      <c r="B135" s="44"/>
      <c r="C135" s="82"/>
      <c r="D135" s="82"/>
      <c r="E135" s="61"/>
      <c r="F135" s="49"/>
      <c r="G135" s="50"/>
      <c r="H135" s="50"/>
      <c r="I135" s="5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1"/>
    </row>
    <row r="136" spans="1:78" x14ac:dyDescent="0.2">
      <c r="A136" s="48"/>
      <c r="B136" s="44"/>
      <c r="C136" s="82"/>
      <c r="D136" s="82"/>
      <c r="E136" s="61"/>
      <c r="F136" s="73"/>
      <c r="G136" s="74"/>
      <c r="H136" s="74"/>
      <c r="I136" s="74"/>
      <c r="J136" s="74"/>
      <c r="K136" s="74"/>
      <c r="L136" s="74"/>
      <c r="M136" s="74"/>
      <c r="N136" s="74"/>
      <c r="O136" s="74"/>
      <c r="P136" s="74"/>
      <c r="Q136" s="74"/>
      <c r="R136" s="74"/>
      <c r="S136" s="74"/>
      <c r="T136" s="74"/>
      <c r="U136" s="74"/>
      <c r="V136" s="74"/>
      <c r="W136" s="74"/>
      <c r="X136" s="74"/>
      <c r="Y136" s="74"/>
      <c r="Z136" s="74"/>
      <c r="AA136" s="74"/>
      <c r="AB136" s="74"/>
      <c r="AC136" s="74"/>
      <c r="AD136" s="74"/>
      <c r="AE136" s="74"/>
      <c r="AF136" s="74"/>
      <c r="AG136" s="74"/>
      <c r="AH136" s="74"/>
      <c r="AI136" s="74"/>
      <c r="AJ136" s="74"/>
      <c r="AK136" s="74"/>
      <c r="AL136" s="74"/>
      <c r="AM136" s="74"/>
      <c r="AN136" s="74"/>
      <c r="AO136" s="74"/>
      <c r="AP136" s="74"/>
      <c r="AQ136" s="74"/>
      <c r="AR136" s="74"/>
      <c r="AS136" s="74"/>
      <c r="AT136" s="74"/>
      <c r="AU136" s="74"/>
      <c r="AV136" s="74"/>
      <c r="AW136" s="74"/>
      <c r="AX136" s="74"/>
      <c r="AY136" s="74"/>
      <c r="AZ136" s="74"/>
      <c r="BA136" s="74"/>
      <c r="BB136" s="74"/>
      <c r="BC136" s="74"/>
      <c r="BD136" s="74"/>
      <c r="BE136" s="74"/>
      <c r="BF136" s="74"/>
      <c r="BG136" s="74"/>
      <c r="BH136" s="74"/>
      <c r="BI136" s="74"/>
      <c r="BJ136" s="74"/>
      <c r="BK136" s="74"/>
      <c r="BL136" s="74"/>
      <c r="BM136" s="74"/>
      <c r="BN136" s="74"/>
      <c r="BO136" s="74"/>
      <c r="BP136" s="74"/>
      <c r="BQ136" s="74"/>
      <c r="BR136" s="74"/>
      <c r="BS136" s="74"/>
      <c r="BT136" s="74"/>
      <c r="BU136" s="74"/>
      <c r="BV136" s="74"/>
      <c r="BW136" s="74"/>
      <c r="BX136" s="74"/>
      <c r="BY136" s="74"/>
      <c r="BZ136" s="75"/>
    </row>
    <row r="137" spans="1:78" x14ac:dyDescent="0.2">
      <c r="A137" s="48"/>
      <c r="B137" s="44"/>
      <c r="C137" s="82"/>
      <c r="D137" s="82"/>
      <c r="E137" s="61"/>
      <c r="F137" s="73"/>
      <c r="G137" s="74"/>
      <c r="H137" s="74"/>
      <c r="I137" s="74"/>
      <c r="J137" s="74"/>
      <c r="K137" s="74"/>
      <c r="L137" s="74"/>
      <c r="M137" s="74"/>
      <c r="N137" s="74"/>
      <c r="O137" s="74"/>
      <c r="P137" s="74"/>
      <c r="Q137" s="74"/>
      <c r="R137" s="74"/>
      <c r="S137" s="74"/>
      <c r="T137" s="74"/>
      <c r="U137" s="74"/>
      <c r="V137" s="74"/>
      <c r="W137" s="74"/>
      <c r="X137" s="74"/>
      <c r="Y137" s="74"/>
      <c r="Z137" s="74"/>
      <c r="AA137" s="74"/>
      <c r="AB137" s="74"/>
      <c r="AC137" s="74"/>
      <c r="AD137" s="74"/>
      <c r="AE137" s="74"/>
      <c r="AF137" s="74"/>
      <c r="AG137" s="74"/>
      <c r="AH137" s="74"/>
      <c r="AI137" s="74"/>
      <c r="AJ137" s="74"/>
      <c r="AK137" s="74"/>
      <c r="AL137" s="74"/>
      <c r="AM137" s="74"/>
      <c r="AN137" s="74"/>
      <c r="AO137" s="74"/>
      <c r="AP137" s="74"/>
      <c r="AQ137" s="74"/>
      <c r="AR137" s="74"/>
      <c r="AS137" s="74"/>
      <c r="AT137" s="74"/>
      <c r="AU137" s="74"/>
      <c r="AV137" s="74"/>
      <c r="AW137" s="74"/>
      <c r="AX137" s="74"/>
      <c r="AY137" s="74"/>
      <c r="AZ137" s="74"/>
      <c r="BA137" s="74"/>
      <c r="BB137" s="74"/>
      <c r="BC137" s="74"/>
      <c r="BD137" s="74"/>
      <c r="BE137" s="74"/>
      <c r="BF137" s="74"/>
      <c r="BG137" s="74"/>
      <c r="BH137" s="74"/>
      <c r="BI137" s="74"/>
      <c r="BJ137" s="74"/>
      <c r="BK137" s="74"/>
      <c r="BL137" s="74"/>
      <c r="BM137" s="74"/>
      <c r="BN137" s="74"/>
      <c r="BO137" s="74"/>
      <c r="BP137" s="74"/>
      <c r="BQ137" s="74"/>
      <c r="BR137" s="74"/>
      <c r="BS137" s="74"/>
      <c r="BT137" s="74"/>
      <c r="BU137" s="74"/>
      <c r="BV137" s="74"/>
      <c r="BW137" s="74"/>
      <c r="BX137" s="74"/>
      <c r="BY137" s="74"/>
      <c r="BZ137" s="75"/>
    </row>
    <row r="138" spans="1:78" x14ac:dyDescent="0.2">
      <c r="A138" s="48"/>
      <c r="B138" s="44"/>
      <c r="C138" s="82"/>
      <c r="D138" s="82"/>
      <c r="E138" s="61"/>
      <c r="F138" s="73"/>
      <c r="G138" s="74"/>
      <c r="H138" s="74"/>
      <c r="I138" s="74"/>
      <c r="J138" s="74"/>
      <c r="K138" s="74"/>
      <c r="L138" s="74"/>
      <c r="M138" s="74"/>
      <c r="N138" s="74"/>
      <c r="O138" s="74"/>
      <c r="P138" s="74"/>
      <c r="Q138" s="74"/>
      <c r="R138" s="74"/>
      <c r="S138" s="74"/>
      <c r="T138" s="74"/>
      <c r="U138" s="74"/>
      <c r="V138" s="74"/>
      <c r="W138" s="74"/>
      <c r="X138" s="74"/>
      <c r="Y138" s="74"/>
      <c r="Z138" s="74"/>
      <c r="AA138" s="74"/>
      <c r="AB138" s="74"/>
      <c r="AC138" s="74"/>
      <c r="AD138" s="74"/>
      <c r="AE138" s="74"/>
      <c r="AF138" s="74"/>
      <c r="AG138" s="74"/>
      <c r="AH138" s="74"/>
      <c r="AI138" s="74"/>
      <c r="AJ138" s="74"/>
      <c r="AK138" s="74"/>
      <c r="AL138" s="74"/>
      <c r="AM138" s="74"/>
      <c r="AN138" s="74"/>
      <c r="AO138" s="74"/>
      <c r="AP138" s="74"/>
      <c r="AQ138" s="74"/>
      <c r="AR138" s="74"/>
      <c r="AS138" s="74"/>
      <c r="AT138" s="74"/>
      <c r="AU138" s="74"/>
      <c r="AV138" s="74"/>
      <c r="AW138" s="74"/>
      <c r="AX138" s="74"/>
      <c r="AY138" s="74"/>
      <c r="AZ138" s="74"/>
      <c r="BA138" s="74"/>
      <c r="BB138" s="74"/>
      <c r="BC138" s="74"/>
      <c r="BD138" s="74"/>
      <c r="BE138" s="74"/>
      <c r="BF138" s="74"/>
      <c r="BG138" s="74"/>
      <c r="BH138" s="74"/>
      <c r="BI138" s="74"/>
      <c r="BJ138" s="74"/>
      <c r="BK138" s="74"/>
      <c r="BL138" s="74"/>
      <c r="BM138" s="74"/>
      <c r="BN138" s="74"/>
      <c r="BO138" s="74"/>
      <c r="BP138" s="74"/>
      <c r="BQ138" s="74"/>
      <c r="BR138" s="74"/>
      <c r="BS138" s="74"/>
      <c r="BT138" s="74"/>
      <c r="BU138" s="74"/>
      <c r="BV138" s="74"/>
      <c r="BW138" s="74"/>
      <c r="BX138" s="74"/>
      <c r="BY138" s="74"/>
      <c r="BZ138" s="75"/>
    </row>
    <row r="139" spans="1:78" x14ac:dyDescent="0.2">
      <c r="A139" s="48"/>
      <c r="B139" s="44"/>
      <c r="C139" s="82"/>
      <c r="D139" s="82"/>
      <c r="E139" s="61"/>
      <c r="F139" s="73"/>
      <c r="G139" s="74"/>
      <c r="H139" s="74"/>
      <c r="I139" s="74"/>
      <c r="J139" s="74"/>
      <c r="K139" s="74"/>
      <c r="L139" s="74"/>
      <c r="M139" s="74"/>
      <c r="N139" s="74"/>
      <c r="O139" s="74"/>
      <c r="P139" s="74"/>
      <c r="Q139" s="74"/>
      <c r="R139" s="74"/>
      <c r="S139" s="74"/>
      <c r="T139" s="74"/>
      <c r="U139" s="74"/>
      <c r="V139" s="74"/>
      <c r="W139" s="74"/>
      <c r="X139" s="74"/>
      <c r="Y139" s="74"/>
      <c r="Z139" s="74"/>
      <c r="AA139" s="74"/>
      <c r="AB139" s="74"/>
      <c r="AC139" s="74"/>
      <c r="AD139" s="74"/>
      <c r="AE139" s="74"/>
      <c r="AF139" s="74"/>
      <c r="AG139" s="74"/>
      <c r="AH139" s="74"/>
      <c r="AI139" s="74"/>
      <c r="AJ139" s="74"/>
      <c r="AK139" s="74"/>
      <c r="AL139" s="74"/>
      <c r="AM139" s="74"/>
      <c r="AN139" s="74"/>
      <c r="AO139" s="74"/>
      <c r="AP139" s="74"/>
      <c r="AQ139" s="74"/>
      <c r="AR139" s="74"/>
      <c r="AS139" s="74"/>
      <c r="AT139" s="74"/>
      <c r="AU139" s="74"/>
      <c r="AV139" s="74"/>
      <c r="AW139" s="74"/>
      <c r="AX139" s="74"/>
      <c r="AY139" s="74"/>
      <c r="AZ139" s="74"/>
      <c r="BA139" s="74"/>
      <c r="BB139" s="74"/>
      <c r="BC139" s="74"/>
      <c r="BD139" s="74"/>
      <c r="BE139" s="74"/>
      <c r="BF139" s="74"/>
      <c r="BG139" s="74"/>
      <c r="BH139" s="74"/>
      <c r="BI139" s="74"/>
      <c r="BJ139" s="74"/>
      <c r="BK139" s="74"/>
      <c r="BL139" s="74"/>
      <c r="BM139" s="74"/>
      <c r="BN139" s="74"/>
      <c r="BO139" s="74"/>
      <c r="BP139" s="74"/>
      <c r="BQ139" s="74"/>
      <c r="BR139" s="74"/>
      <c r="BS139" s="74"/>
      <c r="BT139" s="74"/>
      <c r="BU139" s="74"/>
      <c r="BV139" s="74"/>
      <c r="BW139" s="74"/>
      <c r="BX139" s="74"/>
      <c r="BY139" s="74"/>
      <c r="BZ139" s="75"/>
    </row>
    <row r="140" spans="1:78" x14ac:dyDescent="0.2">
      <c r="A140" s="48"/>
      <c r="B140" s="44"/>
      <c r="C140" s="82"/>
      <c r="D140" s="82"/>
      <c r="E140" s="61"/>
      <c r="F140" s="73"/>
      <c r="G140" s="74"/>
      <c r="H140" s="74"/>
      <c r="I140" s="74"/>
      <c r="J140" s="74"/>
      <c r="K140" s="74"/>
      <c r="L140" s="74"/>
      <c r="M140" s="74"/>
      <c r="N140" s="74"/>
      <c r="O140" s="74"/>
      <c r="P140" s="74"/>
      <c r="Q140" s="74"/>
      <c r="R140" s="74"/>
      <c r="S140" s="74"/>
      <c r="T140" s="74"/>
      <c r="U140" s="74"/>
      <c r="V140" s="74"/>
      <c r="W140" s="74"/>
      <c r="X140" s="74"/>
      <c r="Y140" s="74"/>
      <c r="Z140" s="74"/>
      <c r="AA140" s="74"/>
      <c r="AB140" s="74"/>
      <c r="AC140" s="74"/>
      <c r="AD140" s="74"/>
      <c r="AE140" s="74"/>
      <c r="AF140" s="74"/>
      <c r="AG140" s="74"/>
      <c r="AH140" s="74"/>
      <c r="AI140" s="74"/>
      <c r="AJ140" s="74"/>
      <c r="AK140" s="74"/>
      <c r="AL140" s="74"/>
      <c r="AM140" s="74"/>
      <c r="AN140" s="74"/>
      <c r="AO140" s="74"/>
      <c r="AP140" s="74"/>
      <c r="AQ140" s="74"/>
      <c r="AR140" s="74"/>
      <c r="AS140" s="74"/>
      <c r="AT140" s="74"/>
      <c r="AU140" s="74"/>
      <c r="AV140" s="74"/>
      <c r="AW140" s="74"/>
      <c r="AX140" s="74"/>
      <c r="AY140" s="74"/>
      <c r="AZ140" s="74"/>
      <c r="BA140" s="74"/>
      <c r="BB140" s="74"/>
      <c r="BC140" s="74"/>
      <c r="BD140" s="74"/>
      <c r="BE140" s="74"/>
      <c r="BF140" s="74"/>
      <c r="BG140" s="74"/>
      <c r="BH140" s="74"/>
      <c r="BI140" s="74"/>
      <c r="BJ140" s="74"/>
      <c r="BK140" s="74"/>
      <c r="BL140" s="74"/>
      <c r="BM140" s="74"/>
      <c r="BN140" s="74"/>
      <c r="BO140" s="74"/>
      <c r="BP140" s="74"/>
      <c r="BQ140" s="74"/>
      <c r="BR140" s="74"/>
      <c r="BS140" s="74"/>
      <c r="BT140" s="74"/>
      <c r="BU140" s="74"/>
      <c r="BV140" s="74"/>
      <c r="BW140" s="74"/>
      <c r="BX140" s="74"/>
      <c r="BY140" s="74"/>
      <c r="BZ140" s="75"/>
    </row>
    <row r="141" spans="1:78" x14ac:dyDescent="0.2">
      <c r="A141" s="48"/>
      <c r="B141" s="44"/>
      <c r="C141" s="82"/>
      <c r="D141" s="82"/>
      <c r="E141" s="61"/>
      <c r="F141" s="73"/>
      <c r="G141" s="74"/>
      <c r="H141" s="74"/>
      <c r="I141" s="74"/>
      <c r="J141" s="74"/>
      <c r="K141" s="74"/>
      <c r="L141" s="74"/>
      <c r="M141" s="74"/>
      <c r="N141" s="74"/>
      <c r="O141" s="74"/>
      <c r="P141" s="74"/>
      <c r="Q141" s="74"/>
      <c r="R141" s="74"/>
      <c r="S141" s="74"/>
      <c r="T141" s="74"/>
      <c r="U141" s="74"/>
      <c r="V141" s="74"/>
      <c r="W141" s="74"/>
      <c r="X141" s="74"/>
      <c r="Y141" s="74"/>
      <c r="Z141" s="74"/>
      <c r="AA141" s="74"/>
      <c r="AB141" s="74"/>
      <c r="AC141" s="74"/>
      <c r="AD141" s="74"/>
      <c r="AE141" s="74"/>
      <c r="AF141" s="74"/>
      <c r="AG141" s="74"/>
      <c r="AH141" s="74"/>
      <c r="AI141" s="74"/>
      <c r="AJ141" s="74"/>
      <c r="AK141" s="74"/>
      <c r="AL141" s="74"/>
      <c r="AM141" s="74"/>
      <c r="AN141" s="74"/>
      <c r="AO141" s="74"/>
      <c r="AP141" s="74"/>
      <c r="AQ141" s="74"/>
      <c r="AR141" s="74"/>
      <c r="AS141" s="74"/>
      <c r="AT141" s="74"/>
      <c r="AU141" s="74"/>
      <c r="AV141" s="74"/>
      <c r="AW141" s="74"/>
      <c r="AX141" s="74"/>
      <c r="AY141" s="74"/>
      <c r="AZ141" s="74"/>
      <c r="BA141" s="74"/>
      <c r="BB141" s="74"/>
      <c r="BC141" s="74"/>
      <c r="BD141" s="74"/>
      <c r="BE141" s="74"/>
      <c r="BF141" s="74"/>
      <c r="BG141" s="74"/>
      <c r="BH141" s="74"/>
      <c r="BI141" s="74"/>
      <c r="BJ141" s="74"/>
      <c r="BK141" s="74"/>
      <c r="BL141" s="74"/>
      <c r="BM141" s="74"/>
      <c r="BN141" s="74"/>
      <c r="BO141" s="74"/>
      <c r="BP141" s="74"/>
      <c r="BQ141" s="74"/>
      <c r="BR141" s="74"/>
      <c r="BS141" s="74"/>
      <c r="BT141" s="74"/>
      <c r="BU141" s="74"/>
      <c r="BV141" s="74"/>
      <c r="BW141" s="74"/>
      <c r="BX141" s="74"/>
      <c r="BY141" s="74"/>
      <c r="BZ141" s="75"/>
    </row>
    <row r="142" spans="1:78" x14ac:dyDescent="0.2">
      <c r="A142" s="48"/>
      <c r="B142" s="44"/>
      <c r="C142" s="82"/>
      <c r="D142" s="82"/>
      <c r="E142" s="61"/>
      <c r="F142" s="49"/>
      <c r="G142" s="50"/>
      <c r="H142" s="50"/>
      <c r="I142" s="5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1"/>
    </row>
    <row r="143" spans="1:78" x14ac:dyDescent="0.2">
      <c r="A143" s="48"/>
      <c r="B143" s="44"/>
      <c r="C143" s="82"/>
      <c r="D143" s="82"/>
      <c r="E143" s="61"/>
      <c r="F143" s="49"/>
      <c r="G143" s="50"/>
      <c r="H143" s="50"/>
      <c r="I143" s="5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1"/>
    </row>
    <row r="144" spans="1:78" x14ac:dyDescent="0.2">
      <c r="A144" s="48"/>
      <c r="B144" s="44"/>
      <c r="C144" s="82"/>
      <c r="D144" s="82"/>
      <c r="E144" s="61"/>
      <c r="F144" s="73"/>
      <c r="G144" s="74"/>
      <c r="H144" s="74"/>
      <c r="I144" s="74"/>
      <c r="J144" s="74"/>
      <c r="K144" s="74"/>
      <c r="L144" s="74"/>
      <c r="M144" s="74"/>
      <c r="N144" s="74"/>
      <c r="O144" s="74"/>
      <c r="P144" s="74"/>
      <c r="Q144" s="74"/>
      <c r="R144" s="74"/>
      <c r="S144" s="74"/>
      <c r="T144" s="74"/>
      <c r="U144" s="74"/>
      <c r="V144" s="74"/>
      <c r="W144" s="74"/>
      <c r="X144" s="74"/>
      <c r="Y144" s="74"/>
      <c r="Z144" s="74"/>
      <c r="AA144" s="74"/>
      <c r="AB144" s="74"/>
      <c r="AC144" s="74"/>
      <c r="AD144" s="74"/>
      <c r="AE144" s="74"/>
      <c r="AF144" s="74"/>
      <c r="AG144" s="74"/>
      <c r="AH144" s="74"/>
      <c r="AI144" s="74"/>
      <c r="AJ144" s="74"/>
      <c r="AK144" s="74"/>
      <c r="AL144" s="74"/>
      <c r="AM144" s="74"/>
      <c r="AN144" s="74"/>
      <c r="AO144" s="74"/>
      <c r="AP144" s="74"/>
      <c r="AQ144" s="74"/>
      <c r="AR144" s="74"/>
      <c r="AS144" s="74"/>
      <c r="AT144" s="74"/>
      <c r="AU144" s="74"/>
      <c r="AV144" s="74"/>
      <c r="AW144" s="74"/>
      <c r="AX144" s="74"/>
      <c r="AY144" s="74"/>
      <c r="AZ144" s="74"/>
      <c r="BA144" s="74"/>
      <c r="BB144" s="74"/>
      <c r="BC144" s="74"/>
      <c r="BD144" s="74"/>
      <c r="BE144" s="74"/>
      <c r="BF144" s="74"/>
      <c r="BG144" s="74"/>
      <c r="BH144" s="74"/>
      <c r="BI144" s="74"/>
      <c r="BJ144" s="74"/>
      <c r="BK144" s="74"/>
      <c r="BL144" s="74"/>
      <c r="BM144" s="74"/>
      <c r="BN144" s="74"/>
      <c r="BO144" s="74"/>
      <c r="BP144" s="74"/>
      <c r="BQ144" s="74"/>
      <c r="BR144" s="74"/>
      <c r="BS144" s="74"/>
      <c r="BT144" s="74"/>
      <c r="BU144" s="74"/>
      <c r="BV144" s="74"/>
      <c r="BW144" s="74"/>
      <c r="BX144" s="74"/>
      <c r="BY144" s="74"/>
      <c r="BZ144" s="75"/>
    </row>
    <row r="145" spans="1:78" x14ac:dyDescent="0.2">
      <c r="A145" s="48"/>
      <c r="B145" s="44"/>
      <c r="C145" s="82"/>
      <c r="D145" s="82"/>
      <c r="E145" s="61"/>
      <c r="F145" s="73"/>
      <c r="G145" s="74"/>
      <c r="H145" s="74"/>
      <c r="I145" s="74"/>
      <c r="J145" s="74"/>
      <c r="K145" s="74"/>
      <c r="L145" s="74"/>
      <c r="M145" s="74"/>
      <c r="N145" s="74"/>
      <c r="O145" s="74"/>
      <c r="P145" s="74"/>
      <c r="Q145" s="74"/>
      <c r="R145" s="74"/>
      <c r="S145" s="74"/>
      <c r="T145" s="74"/>
      <c r="U145" s="74"/>
      <c r="V145" s="74"/>
      <c r="W145" s="74"/>
      <c r="X145" s="74"/>
      <c r="Y145" s="74"/>
      <c r="Z145" s="74"/>
      <c r="AA145" s="74"/>
      <c r="AB145" s="74"/>
      <c r="AC145" s="74"/>
      <c r="AD145" s="74"/>
      <c r="AE145" s="74"/>
      <c r="AF145" s="74"/>
      <c r="AG145" s="74"/>
      <c r="AH145" s="74"/>
      <c r="AI145" s="74"/>
      <c r="AJ145" s="74"/>
      <c r="AK145" s="74"/>
      <c r="AL145" s="74"/>
      <c r="AM145" s="74"/>
      <c r="AN145" s="74"/>
      <c r="AO145" s="74"/>
      <c r="AP145" s="74"/>
      <c r="AQ145" s="74"/>
      <c r="AR145" s="74"/>
      <c r="AS145" s="74"/>
      <c r="AT145" s="74"/>
      <c r="AU145" s="74"/>
      <c r="AV145" s="74"/>
      <c r="AW145" s="74"/>
      <c r="AX145" s="74"/>
      <c r="AY145" s="74"/>
      <c r="AZ145" s="74"/>
      <c r="BA145" s="74"/>
      <c r="BB145" s="74"/>
      <c r="BC145" s="74"/>
      <c r="BD145" s="74"/>
      <c r="BE145" s="74"/>
      <c r="BF145" s="74"/>
      <c r="BG145" s="74"/>
      <c r="BH145" s="74"/>
      <c r="BI145" s="74"/>
      <c r="BJ145" s="74"/>
      <c r="BK145" s="74"/>
      <c r="BL145" s="74"/>
      <c r="BM145" s="74"/>
      <c r="BN145" s="74"/>
      <c r="BO145" s="74"/>
      <c r="BP145" s="74"/>
      <c r="BQ145" s="74"/>
      <c r="BR145" s="74"/>
      <c r="BS145" s="74"/>
      <c r="BT145" s="74"/>
      <c r="BU145" s="74"/>
      <c r="BV145" s="74"/>
      <c r="BW145" s="74"/>
      <c r="BX145" s="74"/>
      <c r="BY145" s="74"/>
      <c r="BZ145" s="75"/>
    </row>
    <row r="146" spans="1:78" x14ac:dyDescent="0.2">
      <c r="A146" s="48"/>
      <c r="B146" s="44"/>
      <c r="C146" s="82"/>
      <c r="D146" s="82"/>
      <c r="E146" s="61"/>
      <c r="F146" s="73"/>
      <c r="G146" s="74"/>
      <c r="H146" s="74"/>
      <c r="I146" s="74"/>
      <c r="J146" s="74"/>
      <c r="K146" s="74"/>
      <c r="L146" s="74"/>
      <c r="M146" s="74"/>
      <c r="N146" s="74"/>
      <c r="O146" s="74"/>
      <c r="P146" s="74"/>
      <c r="Q146" s="74"/>
      <c r="R146" s="74"/>
      <c r="S146" s="74"/>
      <c r="T146" s="74"/>
      <c r="U146" s="74"/>
      <c r="V146" s="74"/>
      <c r="W146" s="74"/>
      <c r="X146" s="74"/>
      <c r="Y146" s="74"/>
      <c r="Z146" s="74"/>
      <c r="AA146" s="74"/>
      <c r="AB146" s="74"/>
      <c r="AC146" s="74"/>
      <c r="AD146" s="74"/>
      <c r="AE146" s="74"/>
      <c r="AF146" s="74"/>
      <c r="AG146" s="74"/>
      <c r="AH146" s="74"/>
      <c r="AI146" s="74"/>
      <c r="AJ146" s="74"/>
      <c r="AK146" s="74"/>
      <c r="AL146" s="74"/>
      <c r="AM146" s="74"/>
      <c r="AN146" s="74"/>
      <c r="AO146" s="74"/>
      <c r="AP146" s="74"/>
      <c r="AQ146" s="74"/>
      <c r="AR146" s="74"/>
      <c r="AS146" s="74"/>
      <c r="AT146" s="74"/>
      <c r="AU146" s="74"/>
      <c r="AV146" s="74"/>
      <c r="AW146" s="74"/>
      <c r="AX146" s="74"/>
      <c r="AY146" s="74"/>
      <c r="AZ146" s="74"/>
      <c r="BA146" s="74"/>
      <c r="BB146" s="74"/>
      <c r="BC146" s="74"/>
      <c r="BD146" s="74"/>
      <c r="BE146" s="74"/>
      <c r="BF146" s="74"/>
      <c r="BG146" s="74"/>
      <c r="BH146" s="74"/>
      <c r="BI146" s="74"/>
      <c r="BJ146" s="74"/>
      <c r="BK146" s="74"/>
      <c r="BL146" s="74"/>
      <c r="BM146" s="74"/>
      <c r="BN146" s="74"/>
      <c r="BO146" s="74"/>
      <c r="BP146" s="74"/>
      <c r="BQ146" s="74"/>
      <c r="BR146" s="74"/>
      <c r="BS146" s="74"/>
      <c r="BT146" s="74"/>
      <c r="BU146" s="74"/>
      <c r="BV146" s="74"/>
      <c r="BW146" s="74"/>
      <c r="BX146" s="74"/>
      <c r="BY146" s="74"/>
      <c r="BZ146" s="75"/>
    </row>
    <row r="147" spans="1:78" x14ac:dyDescent="0.2">
      <c r="A147" s="48"/>
      <c r="B147" s="44"/>
      <c r="C147" s="82"/>
      <c r="D147" s="82"/>
      <c r="E147" s="61"/>
      <c r="F147" s="73"/>
      <c r="G147" s="74"/>
      <c r="H147" s="74"/>
      <c r="I147" s="74"/>
      <c r="J147" s="74"/>
      <c r="K147" s="74"/>
      <c r="L147" s="74"/>
      <c r="M147" s="74"/>
      <c r="N147" s="74"/>
      <c r="O147" s="74"/>
      <c r="P147" s="74"/>
      <c r="Q147" s="74"/>
      <c r="R147" s="74"/>
      <c r="S147" s="74"/>
      <c r="T147" s="74"/>
      <c r="U147" s="74"/>
      <c r="V147" s="74"/>
      <c r="W147" s="74"/>
      <c r="X147" s="74"/>
      <c r="Y147" s="74"/>
      <c r="Z147" s="74"/>
      <c r="AA147" s="74"/>
      <c r="AB147" s="74"/>
      <c r="AC147" s="74"/>
      <c r="AD147" s="74"/>
      <c r="AE147" s="74"/>
      <c r="AF147" s="74"/>
      <c r="AG147" s="74"/>
      <c r="AH147" s="74"/>
      <c r="AI147" s="74"/>
      <c r="AJ147" s="74"/>
      <c r="AK147" s="74"/>
      <c r="AL147" s="74"/>
      <c r="AM147" s="74"/>
      <c r="AN147" s="74"/>
      <c r="AO147" s="74"/>
      <c r="AP147" s="74"/>
      <c r="AQ147" s="74"/>
      <c r="AR147" s="74"/>
      <c r="AS147" s="74"/>
      <c r="AT147" s="74"/>
      <c r="AU147" s="74"/>
      <c r="AV147" s="74"/>
      <c r="AW147" s="74"/>
      <c r="AX147" s="74"/>
      <c r="AY147" s="74"/>
      <c r="AZ147" s="74"/>
      <c r="BA147" s="74"/>
      <c r="BB147" s="74"/>
      <c r="BC147" s="74"/>
      <c r="BD147" s="74"/>
      <c r="BE147" s="74"/>
      <c r="BF147" s="74"/>
      <c r="BG147" s="74"/>
      <c r="BH147" s="74"/>
      <c r="BI147" s="74"/>
      <c r="BJ147" s="74"/>
      <c r="BK147" s="74"/>
      <c r="BL147" s="74"/>
      <c r="BM147" s="74"/>
      <c r="BN147" s="74"/>
      <c r="BO147" s="74"/>
      <c r="BP147" s="74"/>
      <c r="BQ147" s="74"/>
      <c r="BR147" s="74"/>
      <c r="BS147" s="74"/>
      <c r="BT147" s="74"/>
      <c r="BU147" s="74"/>
      <c r="BV147" s="74"/>
      <c r="BW147" s="74"/>
      <c r="BX147" s="74"/>
      <c r="BY147" s="74"/>
      <c r="BZ147" s="75"/>
    </row>
    <row r="148" spans="1:78" x14ac:dyDescent="0.2">
      <c r="A148" s="48"/>
      <c r="B148" s="44"/>
      <c r="C148" s="82"/>
      <c r="D148" s="82"/>
      <c r="E148" s="61"/>
      <c r="F148" s="73"/>
      <c r="G148" s="74"/>
      <c r="H148" s="74"/>
      <c r="I148" s="74"/>
      <c r="J148" s="74"/>
      <c r="K148" s="74"/>
      <c r="L148" s="74"/>
      <c r="M148" s="74"/>
      <c r="N148" s="74"/>
      <c r="O148" s="74"/>
      <c r="P148" s="74"/>
      <c r="Q148" s="74"/>
      <c r="R148" s="74"/>
      <c r="S148" s="74"/>
      <c r="T148" s="74"/>
      <c r="U148" s="74"/>
      <c r="V148" s="74"/>
      <c r="W148" s="74"/>
      <c r="X148" s="74"/>
      <c r="Y148" s="74"/>
      <c r="Z148" s="74"/>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74"/>
      <c r="BA148" s="74"/>
      <c r="BB148" s="74"/>
      <c r="BC148" s="74"/>
      <c r="BD148" s="74"/>
      <c r="BE148" s="74"/>
      <c r="BF148" s="74"/>
      <c r="BG148" s="74"/>
      <c r="BH148" s="74"/>
      <c r="BI148" s="74"/>
      <c r="BJ148" s="74"/>
      <c r="BK148" s="74"/>
      <c r="BL148" s="74"/>
      <c r="BM148" s="74"/>
      <c r="BN148" s="74"/>
      <c r="BO148" s="74"/>
      <c r="BP148" s="74"/>
      <c r="BQ148" s="74"/>
      <c r="BR148" s="74"/>
      <c r="BS148" s="74"/>
      <c r="BT148" s="74"/>
      <c r="BU148" s="74"/>
      <c r="BV148" s="74"/>
      <c r="BW148" s="74"/>
      <c r="BX148" s="74"/>
      <c r="BY148" s="74"/>
      <c r="BZ148" s="75"/>
    </row>
    <row r="149" spans="1:78" x14ac:dyDescent="0.2">
      <c r="A149" s="48"/>
      <c r="B149" s="44"/>
      <c r="C149" s="82"/>
      <c r="D149" s="82"/>
      <c r="E149" s="61"/>
      <c r="F149" s="73"/>
      <c r="G149" s="74"/>
      <c r="H149" s="74"/>
      <c r="I149" s="74"/>
      <c r="J149" s="74"/>
      <c r="K149" s="74"/>
      <c r="L149" s="74"/>
      <c r="M149" s="74"/>
      <c r="N149" s="74"/>
      <c r="O149" s="74"/>
      <c r="P149" s="74"/>
      <c r="Q149" s="74"/>
      <c r="R149" s="74"/>
      <c r="S149" s="74"/>
      <c r="T149" s="74"/>
      <c r="U149" s="74"/>
      <c r="V149" s="74"/>
      <c r="W149" s="74"/>
      <c r="X149" s="74"/>
      <c r="Y149" s="74"/>
      <c r="Z149" s="74"/>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74"/>
      <c r="BA149" s="74"/>
      <c r="BB149" s="74"/>
      <c r="BC149" s="74"/>
      <c r="BD149" s="74"/>
      <c r="BE149" s="74"/>
      <c r="BF149" s="74"/>
      <c r="BG149" s="74"/>
      <c r="BH149" s="74"/>
      <c r="BI149" s="74"/>
      <c r="BJ149" s="74"/>
      <c r="BK149" s="74"/>
      <c r="BL149" s="74"/>
      <c r="BM149" s="74"/>
      <c r="BN149" s="74"/>
      <c r="BO149" s="74"/>
      <c r="BP149" s="74"/>
      <c r="BQ149" s="74"/>
      <c r="BR149" s="74"/>
      <c r="BS149" s="74"/>
      <c r="BT149" s="74"/>
      <c r="BU149" s="74"/>
      <c r="BV149" s="74"/>
      <c r="BW149" s="74"/>
      <c r="BX149" s="74"/>
      <c r="BY149" s="74"/>
      <c r="BZ149" s="75"/>
    </row>
    <row r="150" spans="1:78" x14ac:dyDescent="0.2">
      <c r="A150" s="48"/>
      <c r="B150" s="44"/>
      <c r="C150" s="82"/>
      <c r="D150" s="82"/>
      <c r="E150" s="61"/>
      <c r="F150" s="73"/>
      <c r="G150" s="74"/>
      <c r="H150" s="74"/>
      <c r="I150" s="74"/>
      <c r="J150" s="74"/>
      <c r="K150" s="74"/>
      <c r="L150" s="74"/>
      <c r="M150" s="74"/>
      <c r="N150" s="74"/>
      <c r="O150" s="74"/>
      <c r="P150" s="74"/>
      <c r="Q150" s="74"/>
      <c r="R150" s="74"/>
      <c r="S150" s="74"/>
      <c r="T150" s="74"/>
      <c r="U150" s="74"/>
      <c r="V150" s="74"/>
      <c r="W150" s="74"/>
      <c r="X150" s="74"/>
      <c r="Y150" s="74"/>
      <c r="Z150" s="74"/>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74"/>
      <c r="BA150" s="74"/>
      <c r="BB150" s="74"/>
      <c r="BC150" s="74"/>
      <c r="BD150" s="74"/>
      <c r="BE150" s="74"/>
      <c r="BF150" s="74"/>
      <c r="BG150" s="74"/>
      <c r="BH150" s="74"/>
      <c r="BI150" s="74"/>
      <c r="BJ150" s="74"/>
      <c r="BK150" s="74"/>
      <c r="BL150" s="74"/>
      <c r="BM150" s="74"/>
      <c r="BN150" s="74"/>
      <c r="BO150" s="74"/>
      <c r="BP150" s="74"/>
      <c r="BQ150" s="74"/>
      <c r="BR150" s="74"/>
      <c r="BS150" s="74"/>
      <c r="BT150" s="74"/>
      <c r="BU150" s="74"/>
      <c r="BV150" s="74"/>
      <c r="BW150" s="74"/>
      <c r="BX150" s="74"/>
      <c r="BY150" s="74"/>
      <c r="BZ150" s="75"/>
    </row>
    <row r="151" spans="1:78" x14ac:dyDescent="0.2">
      <c r="A151" s="48"/>
      <c r="B151" s="44"/>
      <c r="C151" s="82"/>
      <c r="D151" s="82"/>
      <c r="E151" s="61"/>
      <c r="F151" s="73"/>
      <c r="G151" s="74"/>
      <c r="H151" s="74"/>
      <c r="I151" s="74"/>
      <c r="J151" s="74"/>
      <c r="K151" s="74"/>
      <c r="L151" s="74"/>
      <c r="M151" s="74"/>
      <c r="N151" s="74"/>
      <c r="O151" s="74"/>
      <c r="P151" s="74"/>
      <c r="Q151" s="74"/>
      <c r="R151" s="74"/>
      <c r="S151" s="74"/>
      <c r="T151" s="74"/>
      <c r="U151" s="74"/>
      <c r="V151" s="74"/>
      <c r="W151" s="74"/>
      <c r="X151" s="74"/>
      <c r="Y151" s="74"/>
      <c r="Z151" s="74"/>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74"/>
      <c r="BA151" s="74"/>
      <c r="BB151" s="74"/>
      <c r="BC151" s="74"/>
      <c r="BD151" s="74"/>
      <c r="BE151" s="74"/>
      <c r="BF151" s="74"/>
      <c r="BG151" s="74"/>
      <c r="BH151" s="74"/>
      <c r="BI151" s="74"/>
      <c r="BJ151" s="74"/>
      <c r="BK151" s="74"/>
      <c r="BL151" s="74"/>
      <c r="BM151" s="74"/>
      <c r="BN151" s="74"/>
      <c r="BO151" s="74"/>
      <c r="BP151" s="74"/>
      <c r="BQ151" s="74"/>
      <c r="BR151" s="74"/>
      <c r="BS151" s="74"/>
      <c r="BT151" s="74"/>
      <c r="BU151" s="74"/>
      <c r="BV151" s="74"/>
      <c r="BW151" s="74"/>
      <c r="BX151" s="74"/>
      <c r="BY151" s="74"/>
      <c r="BZ151" s="75"/>
    </row>
    <row r="152" spans="1:78" x14ac:dyDescent="0.2">
      <c r="A152" s="48"/>
      <c r="B152" s="44"/>
      <c r="C152" s="82"/>
      <c r="D152" s="82"/>
      <c r="E152" s="61"/>
      <c r="F152" s="73"/>
      <c r="G152" s="74"/>
      <c r="H152" s="74"/>
      <c r="I152" s="74"/>
      <c r="J152" s="74"/>
      <c r="K152" s="74"/>
      <c r="L152" s="74"/>
      <c r="M152" s="74"/>
      <c r="N152" s="74"/>
      <c r="O152" s="74"/>
      <c r="P152" s="74"/>
      <c r="Q152" s="74"/>
      <c r="R152" s="74"/>
      <c r="S152" s="74"/>
      <c r="T152" s="74"/>
      <c r="U152" s="74"/>
      <c r="V152" s="74"/>
      <c r="W152" s="74"/>
      <c r="X152" s="74"/>
      <c r="Y152" s="74"/>
      <c r="Z152" s="74"/>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74"/>
      <c r="BA152" s="74"/>
      <c r="BB152" s="74"/>
      <c r="BC152" s="74"/>
      <c r="BD152" s="74"/>
      <c r="BE152" s="74"/>
      <c r="BF152" s="74"/>
      <c r="BG152" s="74"/>
      <c r="BH152" s="74"/>
      <c r="BI152" s="74"/>
      <c r="BJ152" s="74"/>
      <c r="BK152" s="74"/>
      <c r="BL152" s="74"/>
      <c r="BM152" s="74"/>
      <c r="BN152" s="74"/>
      <c r="BO152" s="74"/>
      <c r="BP152" s="74"/>
      <c r="BQ152" s="74"/>
      <c r="BR152" s="74"/>
      <c r="BS152" s="74"/>
      <c r="BT152" s="74"/>
      <c r="BU152" s="74"/>
      <c r="BV152" s="74"/>
      <c r="BW152" s="74"/>
      <c r="BX152" s="74"/>
      <c r="BY152" s="74"/>
      <c r="BZ152" s="75"/>
    </row>
    <row r="153" spans="1:78" x14ac:dyDescent="0.2">
      <c r="A153" s="48"/>
      <c r="B153" s="44"/>
      <c r="C153" s="82"/>
      <c r="D153" s="82"/>
      <c r="E153" s="61"/>
      <c r="F153" s="73"/>
      <c r="G153" s="74"/>
      <c r="H153" s="74"/>
      <c r="I153" s="74"/>
      <c r="J153" s="74"/>
      <c r="K153" s="74"/>
      <c r="L153" s="74"/>
      <c r="M153" s="74"/>
      <c r="N153" s="74"/>
      <c r="O153" s="74"/>
      <c r="P153" s="74"/>
      <c r="Q153" s="74"/>
      <c r="R153" s="74"/>
      <c r="S153" s="74"/>
      <c r="T153" s="74"/>
      <c r="U153" s="74"/>
      <c r="V153" s="74"/>
      <c r="W153" s="74"/>
      <c r="X153" s="74"/>
      <c r="Y153" s="74"/>
      <c r="Z153" s="74"/>
      <c r="AA153" s="74"/>
      <c r="AB153" s="74"/>
      <c r="AC153" s="74"/>
      <c r="AD153" s="74"/>
      <c r="AE153" s="74"/>
      <c r="AF153" s="74"/>
      <c r="AG153" s="74"/>
      <c r="AH153" s="74"/>
      <c r="AI153" s="74"/>
      <c r="AJ153" s="74"/>
      <c r="AK153" s="74"/>
      <c r="AL153" s="74"/>
      <c r="AM153" s="74"/>
      <c r="AN153" s="74"/>
      <c r="AO153" s="74"/>
      <c r="AP153" s="74"/>
      <c r="AQ153" s="74"/>
      <c r="AR153" s="74"/>
      <c r="AS153" s="74"/>
      <c r="AT153" s="74"/>
      <c r="AU153" s="74"/>
      <c r="AV153" s="74"/>
      <c r="AW153" s="74"/>
      <c r="AX153" s="74"/>
      <c r="AY153" s="74"/>
      <c r="AZ153" s="74"/>
      <c r="BA153" s="74"/>
      <c r="BB153" s="74"/>
      <c r="BC153" s="74"/>
      <c r="BD153" s="74"/>
      <c r="BE153" s="74"/>
      <c r="BF153" s="74"/>
      <c r="BG153" s="74"/>
      <c r="BH153" s="74"/>
      <c r="BI153" s="74"/>
      <c r="BJ153" s="74"/>
      <c r="BK153" s="74"/>
      <c r="BL153" s="74"/>
      <c r="BM153" s="74"/>
      <c r="BN153" s="74"/>
      <c r="BO153" s="74"/>
      <c r="BP153" s="74"/>
      <c r="BQ153" s="74"/>
      <c r="BR153" s="74"/>
      <c r="BS153" s="74"/>
      <c r="BT153" s="74"/>
      <c r="BU153" s="74"/>
      <c r="BV153" s="74"/>
      <c r="BW153" s="74"/>
      <c r="BX153" s="74"/>
      <c r="BY153" s="74"/>
      <c r="BZ153" s="75"/>
    </row>
    <row r="154" spans="1:78" x14ac:dyDescent="0.2">
      <c r="A154" s="48"/>
      <c r="B154" s="44"/>
      <c r="C154" s="82"/>
      <c r="D154" s="82"/>
      <c r="E154" s="61"/>
      <c r="F154" s="73"/>
      <c r="G154" s="74"/>
      <c r="H154" s="74"/>
      <c r="I154" s="74"/>
      <c r="J154" s="74"/>
      <c r="K154" s="74"/>
      <c r="L154" s="74"/>
      <c r="M154" s="74"/>
      <c r="N154" s="74"/>
      <c r="O154" s="74"/>
      <c r="P154" s="74"/>
      <c r="Q154" s="74"/>
      <c r="R154" s="74"/>
      <c r="S154" s="74"/>
      <c r="T154" s="74"/>
      <c r="U154" s="74"/>
      <c r="V154" s="74"/>
      <c r="W154" s="74"/>
      <c r="X154" s="74"/>
      <c r="Y154" s="74"/>
      <c r="Z154" s="74"/>
      <c r="AA154" s="74"/>
      <c r="AB154" s="74"/>
      <c r="AC154" s="74"/>
      <c r="AD154" s="74"/>
      <c r="AE154" s="74"/>
      <c r="AF154" s="74"/>
      <c r="AG154" s="74"/>
      <c r="AH154" s="74"/>
      <c r="AI154" s="74"/>
      <c r="AJ154" s="74"/>
      <c r="AK154" s="74"/>
      <c r="AL154" s="74"/>
      <c r="AM154" s="74"/>
      <c r="AN154" s="74"/>
      <c r="AO154" s="74"/>
      <c r="AP154" s="74"/>
      <c r="AQ154" s="74"/>
      <c r="AR154" s="74"/>
      <c r="AS154" s="74"/>
      <c r="AT154" s="74"/>
      <c r="AU154" s="74"/>
      <c r="AV154" s="74"/>
      <c r="AW154" s="74"/>
      <c r="AX154" s="74"/>
      <c r="AY154" s="74"/>
      <c r="AZ154" s="74"/>
      <c r="BA154" s="74"/>
      <c r="BB154" s="74"/>
      <c r="BC154" s="74"/>
      <c r="BD154" s="74"/>
      <c r="BE154" s="74"/>
      <c r="BF154" s="74"/>
      <c r="BG154" s="74"/>
      <c r="BH154" s="74"/>
      <c r="BI154" s="74"/>
      <c r="BJ154" s="74"/>
      <c r="BK154" s="74"/>
      <c r="BL154" s="74"/>
      <c r="BM154" s="74"/>
      <c r="BN154" s="74"/>
      <c r="BO154" s="74"/>
      <c r="BP154" s="74"/>
      <c r="BQ154" s="74"/>
      <c r="BR154" s="74"/>
      <c r="BS154" s="74"/>
      <c r="BT154" s="74"/>
      <c r="BU154" s="74"/>
      <c r="BV154" s="74"/>
      <c r="BW154" s="74"/>
      <c r="BX154" s="74"/>
      <c r="BY154" s="74"/>
      <c r="BZ154" s="75"/>
    </row>
    <row r="155" spans="1:78" x14ac:dyDescent="0.2">
      <c r="A155" s="48"/>
      <c r="B155" s="44"/>
      <c r="C155" s="82"/>
      <c r="D155" s="82"/>
      <c r="E155" s="61"/>
      <c r="F155" s="73"/>
      <c r="G155" s="74"/>
      <c r="H155" s="74"/>
      <c r="I155" s="74"/>
      <c r="J155" s="74"/>
      <c r="K155" s="74"/>
      <c r="L155" s="74"/>
      <c r="M155" s="74"/>
      <c r="N155" s="74"/>
      <c r="O155" s="74"/>
      <c r="P155" s="74"/>
      <c r="Q155" s="74"/>
      <c r="R155" s="74"/>
      <c r="S155" s="74"/>
      <c r="T155" s="74"/>
      <c r="U155" s="74"/>
      <c r="V155" s="74"/>
      <c r="W155" s="74"/>
      <c r="X155" s="74"/>
      <c r="Y155" s="74"/>
      <c r="Z155" s="74"/>
      <c r="AA155" s="74"/>
      <c r="AB155" s="74"/>
      <c r="AC155" s="74"/>
      <c r="AD155" s="74"/>
      <c r="AE155" s="74"/>
      <c r="AF155" s="74"/>
      <c r="AG155" s="74"/>
      <c r="AH155" s="74"/>
      <c r="AI155" s="74"/>
      <c r="AJ155" s="74"/>
      <c r="AK155" s="74"/>
      <c r="AL155" s="74"/>
      <c r="AM155" s="74"/>
      <c r="AN155" s="74"/>
      <c r="AO155" s="74"/>
      <c r="AP155" s="74"/>
      <c r="AQ155" s="74"/>
      <c r="AR155" s="74"/>
      <c r="AS155" s="74"/>
      <c r="AT155" s="74"/>
      <c r="AU155" s="74"/>
      <c r="AV155" s="74"/>
      <c r="AW155" s="74"/>
      <c r="AX155" s="74"/>
      <c r="AY155" s="74"/>
      <c r="AZ155" s="74"/>
      <c r="BA155" s="74"/>
      <c r="BB155" s="74"/>
      <c r="BC155" s="74"/>
      <c r="BD155" s="74"/>
      <c r="BE155" s="74"/>
      <c r="BF155" s="74"/>
      <c r="BG155" s="74"/>
      <c r="BH155" s="74"/>
      <c r="BI155" s="74"/>
      <c r="BJ155" s="74"/>
      <c r="BK155" s="74"/>
      <c r="BL155" s="74"/>
      <c r="BM155" s="74"/>
      <c r="BN155" s="74"/>
      <c r="BO155" s="74"/>
      <c r="BP155" s="74"/>
      <c r="BQ155" s="74"/>
      <c r="BR155" s="74"/>
      <c r="BS155" s="74"/>
      <c r="BT155" s="74"/>
      <c r="BU155" s="74"/>
      <c r="BV155" s="74"/>
      <c r="BW155" s="74"/>
      <c r="BX155" s="74"/>
      <c r="BY155" s="74"/>
      <c r="BZ155" s="75"/>
    </row>
    <row r="156" spans="1:78" x14ac:dyDescent="0.2">
      <c r="A156" s="48"/>
      <c r="B156" s="44"/>
      <c r="C156" s="82"/>
      <c r="D156" s="82"/>
      <c r="E156" s="61"/>
      <c r="F156" s="73"/>
      <c r="G156" s="74"/>
      <c r="H156" s="74"/>
      <c r="I156" s="74"/>
      <c r="J156" s="74"/>
      <c r="K156" s="74"/>
      <c r="L156" s="74"/>
      <c r="M156" s="74"/>
      <c r="N156" s="74"/>
      <c r="O156" s="74"/>
      <c r="P156" s="74"/>
      <c r="Q156" s="74"/>
      <c r="R156" s="74"/>
      <c r="S156" s="74"/>
      <c r="T156" s="74"/>
      <c r="U156" s="74"/>
      <c r="V156" s="74"/>
      <c r="W156" s="74"/>
      <c r="X156" s="74"/>
      <c r="Y156" s="74"/>
      <c r="Z156" s="74"/>
      <c r="AA156" s="74"/>
      <c r="AB156" s="74"/>
      <c r="AC156" s="74"/>
      <c r="AD156" s="74"/>
      <c r="AE156" s="74"/>
      <c r="AF156" s="74"/>
      <c r="AG156" s="74"/>
      <c r="AH156" s="74"/>
      <c r="AI156" s="74"/>
      <c r="AJ156" s="74"/>
      <c r="AK156" s="74"/>
      <c r="AL156" s="74"/>
      <c r="AM156" s="74"/>
      <c r="AN156" s="74"/>
      <c r="AO156" s="74"/>
      <c r="AP156" s="74"/>
      <c r="AQ156" s="74"/>
      <c r="AR156" s="74"/>
      <c r="AS156" s="74"/>
      <c r="AT156" s="74"/>
      <c r="AU156" s="74"/>
      <c r="AV156" s="74"/>
      <c r="AW156" s="74"/>
      <c r="AX156" s="74"/>
      <c r="AY156" s="74"/>
      <c r="AZ156" s="74"/>
      <c r="BA156" s="74"/>
      <c r="BB156" s="74"/>
      <c r="BC156" s="74"/>
      <c r="BD156" s="74"/>
      <c r="BE156" s="74"/>
      <c r="BF156" s="74"/>
      <c r="BG156" s="74"/>
      <c r="BH156" s="74"/>
      <c r="BI156" s="74"/>
      <c r="BJ156" s="74"/>
      <c r="BK156" s="74"/>
      <c r="BL156" s="74"/>
      <c r="BM156" s="74"/>
      <c r="BN156" s="74"/>
      <c r="BO156" s="74"/>
      <c r="BP156" s="74"/>
      <c r="BQ156" s="74"/>
      <c r="BR156" s="74"/>
      <c r="BS156" s="74"/>
      <c r="BT156" s="74"/>
      <c r="BU156" s="74"/>
      <c r="BV156" s="74"/>
      <c r="BW156" s="74"/>
      <c r="BX156" s="74"/>
      <c r="BY156" s="74"/>
      <c r="BZ156" s="75"/>
    </row>
    <row r="157" spans="1:78" x14ac:dyDescent="0.2">
      <c r="A157" s="48"/>
      <c r="B157" s="44"/>
      <c r="C157" s="82"/>
      <c r="D157" s="82"/>
      <c r="E157" s="61"/>
      <c r="F157" s="73"/>
      <c r="G157" s="74"/>
      <c r="H157" s="74"/>
      <c r="I157" s="74"/>
      <c r="J157" s="74"/>
      <c r="K157" s="74"/>
      <c r="L157" s="74"/>
      <c r="M157" s="74"/>
      <c r="N157" s="74"/>
      <c r="O157" s="74"/>
      <c r="P157" s="74"/>
      <c r="Q157" s="74"/>
      <c r="R157" s="74"/>
      <c r="S157" s="74"/>
      <c r="T157" s="74"/>
      <c r="U157" s="74"/>
      <c r="V157" s="74"/>
      <c r="W157" s="74"/>
      <c r="X157" s="74"/>
      <c r="Y157" s="74"/>
      <c r="Z157" s="74"/>
      <c r="AA157" s="74"/>
      <c r="AB157" s="74"/>
      <c r="AC157" s="74"/>
      <c r="AD157" s="74"/>
      <c r="AE157" s="74"/>
      <c r="AF157" s="74"/>
      <c r="AG157" s="74"/>
      <c r="AH157" s="74"/>
      <c r="AI157" s="74"/>
      <c r="AJ157" s="74"/>
      <c r="AK157" s="74"/>
      <c r="AL157" s="74"/>
      <c r="AM157" s="74"/>
      <c r="AN157" s="74"/>
      <c r="AO157" s="74"/>
      <c r="AP157" s="74"/>
      <c r="AQ157" s="74"/>
      <c r="AR157" s="74"/>
      <c r="AS157" s="74"/>
      <c r="AT157" s="74"/>
      <c r="AU157" s="74"/>
      <c r="AV157" s="74"/>
      <c r="AW157" s="74"/>
      <c r="AX157" s="74"/>
      <c r="AY157" s="74"/>
      <c r="AZ157" s="74"/>
      <c r="BA157" s="74"/>
      <c r="BB157" s="74"/>
      <c r="BC157" s="74"/>
      <c r="BD157" s="74"/>
      <c r="BE157" s="74"/>
      <c r="BF157" s="74"/>
      <c r="BG157" s="74"/>
      <c r="BH157" s="74"/>
      <c r="BI157" s="74"/>
      <c r="BJ157" s="74"/>
      <c r="BK157" s="74"/>
      <c r="BL157" s="74"/>
      <c r="BM157" s="74"/>
      <c r="BN157" s="74"/>
      <c r="BO157" s="74"/>
      <c r="BP157" s="74"/>
      <c r="BQ157" s="74"/>
      <c r="BR157" s="74"/>
      <c r="BS157" s="74"/>
      <c r="BT157" s="74"/>
      <c r="BU157" s="74"/>
      <c r="BV157" s="74"/>
      <c r="BW157" s="74"/>
      <c r="BX157" s="74"/>
      <c r="BY157" s="74"/>
      <c r="BZ157" s="75"/>
    </row>
    <row r="158" spans="1:78" x14ac:dyDescent="0.2">
      <c r="A158" s="48"/>
      <c r="B158" s="44"/>
      <c r="C158" s="82"/>
      <c r="D158" s="82"/>
      <c r="E158" s="61"/>
      <c r="F158" s="73"/>
      <c r="G158" s="74"/>
      <c r="H158" s="74"/>
      <c r="I158" s="74"/>
      <c r="J158" s="74"/>
      <c r="K158" s="74"/>
      <c r="L158" s="74"/>
      <c r="M158" s="74"/>
      <c r="N158" s="74"/>
      <c r="O158" s="74"/>
      <c r="P158" s="74"/>
      <c r="Q158" s="74"/>
      <c r="R158" s="74"/>
      <c r="S158" s="74"/>
      <c r="T158" s="74"/>
      <c r="U158" s="74"/>
      <c r="V158" s="74"/>
      <c r="W158" s="74"/>
      <c r="X158" s="74"/>
      <c r="Y158" s="74"/>
      <c r="Z158" s="74"/>
      <c r="AA158" s="74"/>
      <c r="AB158" s="74"/>
      <c r="AC158" s="74"/>
      <c r="AD158" s="74"/>
      <c r="AE158" s="74"/>
      <c r="AF158" s="74"/>
      <c r="AG158" s="74"/>
      <c r="AH158" s="74"/>
      <c r="AI158" s="74"/>
      <c r="AJ158" s="74"/>
      <c r="AK158" s="74"/>
      <c r="AL158" s="74"/>
      <c r="AM158" s="74"/>
      <c r="AN158" s="74"/>
      <c r="AO158" s="74"/>
      <c r="AP158" s="74"/>
      <c r="AQ158" s="74"/>
      <c r="AR158" s="74"/>
      <c r="AS158" s="74"/>
      <c r="AT158" s="74"/>
      <c r="AU158" s="74"/>
      <c r="AV158" s="74"/>
      <c r="AW158" s="74"/>
      <c r="AX158" s="74"/>
      <c r="AY158" s="74"/>
      <c r="AZ158" s="74"/>
      <c r="BA158" s="74"/>
      <c r="BB158" s="74"/>
      <c r="BC158" s="74"/>
      <c r="BD158" s="74"/>
      <c r="BE158" s="74"/>
      <c r="BF158" s="74"/>
      <c r="BG158" s="74"/>
      <c r="BH158" s="74"/>
      <c r="BI158" s="74"/>
      <c r="BJ158" s="74"/>
      <c r="BK158" s="74"/>
      <c r="BL158" s="74"/>
      <c r="BM158" s="74"/>
      <c r="BN158" s="74"/>
      <c r="BO158" s="74"/>
      <c r="BP158" s="74"/>
      <c r="BQ158" s="74"/>
      <c r="BR158" s="74"/>
      <c r="BS158" s="74"/>
      <c r="BT158" s="74"/>
      <c r="BU158" s="74"/>
      <c r="BV158" s="74"/>
      <c r="BW158" s="74"/>
      <c r="BX158" s="74"/>
      <c r="BY158" s="74"/>
      <c r="BZ158" s="75"/>
    </row>
    <row r="159" spans="1:78" x14ac:dyDescent="0.2">
      <c r="A159" s="48"/>
      <c r="B159" s="44"/>
      <c r="C159" s="82"/>
      <c r="D159" s="82"/>
      <c r="E159" s="61"/>
      <c r="F159" s="73"/>
      <c r="G159" s="74"/>
      <c r="H159" s="74"/>
      <c r="I159" s="74"/>
      <c r="J159" s="74"/>
      <c r="K159" s="74"/>
      <c r="L159" s="74"/>
      <c r="M159" s="74"/>
      <c r="N159" s="74"/>
      <c r="O159" s="74"/>
      <c r="P159" s="74"/>
      <c r="Q159" s="74"/>
      <c r="R159" s="74"/>
      <c r="S159" s="74"/>
      <c r="T159" s="74"/>
      <c r="U159" s="74"/>
      <c r="V159" s="74"/>
      <c r="W159" s="74"/>
      <c r="X159" s="74"/>
      <c r="Y159" s="74"/>
      <c r="Z159" s="74"/>
      <c r="AA159" s="74"/>
      <c r="AB159" s="74"/>
      <c r="AC159" s="74"/>
      <c r="AD159" s="74"/>
      <c r="AE159" s="74"/>
      <c r="AF159" s="74"/>
      <c r="AG159" s="74"/>
      <c r="AH159" s="74"/>
      <c r="AI159" s="74"/>
      <c r="AJ159" s="74"/>
      <c r="AK159" s="74"/>
      <c r="AL159" s="74"/>
      <c r="AM159" s="74"/>
      <c r="AN159" s="74"/>
      <c r="AO159" s="74"/>
      <c r="AP159" s="74"/>
      <c r="AQ159" s="74"/>
      <c r="AR159" s="74"/>
      <c r="AS159" s="74"/>
      <c r="AT159" s="74"/>
      <c r="AU159" s="74"/>
      <c r="AV159" s="74"/>
      <c r="AW159" s="74"/>
      <c r="AX159" s="74"/>
      <c r="AY159" s="74"/>
      <c r="AZ159" s="74"/>
      <c r="BA159" s="74"/>
      <c r="BB159" s="74"/>
      <c r="BC159" s="74"/>
      <c r="BD159" s="74"/>
      <c r="BE159" s="74"/>
      <c r="BF159" s="74"/>
      <c r="BG159" s="74"/>
      <c r="BH159" s="74"/>
      <c r="BI159" s="74"/>
      <c r="BJ159" s="74"/>
      <c r="BK159" s="74"/>
      <c r="BL159" s="74"/>
      <c r="BM159" s="74"/>
      <c r="BN159" s="74"/>
      <c r="BO159" s="74"/>
      <c r="BP159" s="74"/>
      <c r="BQ159" s="74"/>
      <c r="BR159" s="74"/>
      <c r="BS159" s="74"/>
      <c r="BT159" s="74"/>
      <c r="BU159" s="74"/>
      <c r="BV159" s="74"/>
      <c r="BW159" s="74"/>
      <c r="BX159" s="74"/>
      <c r="BY159" s="74"/>
      <c r="BZ159" s="75"/>
    </row>
    <row r="160" spans="1:78" x14ac:dyDescent="0.2">
      <c r="A160" s="48"/>
      <c r="B160" s="44"/>
      <c r="C160" s="82"/>
      <c r="D160" s="82"/>
      <c r="E160" s="61"/>
      <c r="F160" s="73"/>
      <c r="G160" s="74"/>
      <c r="H160" s="74"/>
      <c r="I160" s="74"/>
      <c r="J160" s="74"/>
      <c r="K160" s="74"/>
      <c r="L160" s="74"/>
      <c r="M160" s="74"/>
      <c r="N160" s="74"/>
      <c r="O160" s="74"/>
      <c r="P160" s="74"/>
      <c r="Q160" s="74"/>
      <c r="R160" s="74"/>
      <c r="S160" s="74"/>
      <c r="T160" s="74"/>
      <c r="U160" s="74"/>
      <c r="V160" s="74"/>
      <c r="W160" s="74"/>
      <c r="X160" s="74"/>
      <c r="Y160" s="74"/>
      <c r="Z160" s="74"/>
      <c r="AA160" s="74"/>
      <c r="AB160" s="74"/>
      <c r="AC160" s="74"/>
      <c r="AD160" s="74"/>
      <c r="AE160" s="74"/>
      <c r="AF160" s="74"/>
      <c r="AG160" s="74"/>
      <c r="AH160" s="74"/>
      <c r="AI160" s="74"/>
      <c r="AJ160" s="74"/>
      <c r="AK160" s="74"/>
      <c r="AL160" s="74"/>
      <c r="AM160" s="74"/>
      <c r="AN160" s="74"/>
      <c r="AO160" s="74"/>
      <c r="AP160" s="74"/>
      <c r="AQ160" s="74"/>
      <c r="AR160" s="74"/>
      <c r="AS160" s="74"/>
      <c r="AT160" s="74"/>
      <c r="AU160" s="74"/>
      <c r="AV160" s="74"/>
      <c r="AW160" s="74"/>
      <c r="AX160" s="74"/>
      <c r="AY160" s="74"/>
      <c r="AZ160" s="74"/>
      <c r="BA160" s="74"/>
      <c r="BB160" s="74"/>
      <c r="BC160" s="74"/>
      <c r="BD160" s="74"/>
      <c r="BE160" s="74"/>
      <c r="BF160" s="74"/>
      <c r="BG160" s="74"/>
      <c r="BH160" s="74"/>
      <c r="BI160" s="74"/>
      <c r="BJ160" s="74"/>
      <c r="BK160" s="74"/>
      <c r="BL160" s="74"/>
      <c r="BM160" s="74"/>
      <c r="BN160" s="74"/>
      <c r="BO160" s="74"/>
      <c r="BP160" s="74"/>
      <c r="BQ160" s="74"/>
      <c r="BR160" s="74"/>
      <c r="BS160" s="74"/>
      <c r="BT160" s="74"/>
      <c r="BU160" s="74"/>
      <c r="BV160" s="74"/>
      <c r="BW160" s="74"/>
      <c r="BX160" s="74"/>
      <c r="BY160" s="74"/>
      <c r="BZ160" s="75"/>
    </row>
    <row r="161" spans="1:78" x14ac:dyDescent="0.2">
      <c r="A161" s="48"/>
      <c r="B161" s="44"/>
      <c r="C161" s="82"/>
      <c r="D161" s="82"/>
      <c r="E161" s="61"/>
      <c r="F161" s="73"/>
      <c r="G161" s="74"/>
      <c r="H161" s="74"/>
      <c r="I161" s="74"/>
      <c r="J161" s="74"/>
      <c r="K161" s="74"/>
      <c r="L161" s="74"/>
      <c r="M161" s="74"/>
      <c r="N161" s="74"/>
      <c r="O161" s="74"/>
      <c r="P161" s="74"/>
      <c r="Q161" s="74"/>
      <c r="R161" s="74"/>
      <c r="S161" s="74"/>
      <c r="T161" s="74"/>
      <c r="U161" s="74"/>
      <c r="V161" s="74"/>
      <c r="W161" s="74"/>
      <c r="X161" s="74"/>
      <c r="Y161" s="74"/>
      <c r="Z161" s="74"/>
      <c r="AA161" s="74"/>
      <c r="AB161" s="74"/>
      <c r="AC161" s="74"/>
      <c r="AD161" s="74"/>
      <c r="AE161" s="74"/>
      <c r="AF161" s="74"/>
      <c r="AG161" s="74"/>
      <c r="AH161" s="74"/>
      <c r="AI161" s="74"/>
      <c r="AJ161" s="74"/>
      <c r="AK161" s="74"/>
      <c r="AL161" s="74"/>
      <c r="AM161" s="74"/>
      <c r="AN161" s="74"/>
      <c r="AO161" s="74"/>
      <c r="AP161" s="74"/>
      <c r="AQ161" s="74"/>
      <c r="AR161" s="74"/>
      <c r="AS161" s="74"/>
      <c r="AT161" s="74"/>
      <c r="AU161" s="74"/>
      <c r="AV161" s="74"/>
      <c r="AW161" s="74"/>
      <c r="AX161" s="74"/>
      <c r="AY161" s="74"/>
      <c r="AZ161" s="74"/>
      <c r="BA161" s="74"/>
      <c r="BB161" s="74"/>
      <c r="BC161" s="74"/>
      <c r="BD161" s="74"/>
      <c r="BE161" s="74"/>
      <c r="BF161" s="74"/>
      <c r="BG161" s="74"/>
      <c r="BH161" s="74"/>
      <c r="BI161" s="74"/>
      <c r="BJ161" s="74"/>
      <c r="BK161" s="74"/>
      <c r="BL161" s="74"/>
      <c r="BM161" s="74"/>
      <c r="BN161" s="74"/>
      <c r="BO161" s="74"/>
      <c r="BP161" s="74"/>
      <c r="BQ161" s="74"/>
      <c r="BR161" s="74"/>
      <c r="BS161" s="74"/>
      <c r="BT161" s="74"/>
      <c r="BU161" s="74"/>
      <c r="BV161" s="74"/>
      <c r="BW161" s="74"/>
      <c r="BX161" s="74"/>
      <c r="BY161" s="74"/>
      <c r="BZ161" s="75"/>
    </row>
    <row r="162" spans="1:78" x14ac:dyDescent="0.2">
      <c r="A162" s="48"/>
      <c r="B162" s="44"/>
      <c r="C162" s="82"/>
      <c r="D162" s="82"/>
      <c r="E162" s="61"/>
      <c r="F162" s="73"/>
      <c r="G162" s="74"/>
      <c r="H162" s="74"/>
      <c r="I162" s="74"/>
      <c r="J162" s="74"/>
      <c r="K162" s="74"/>
      <c r="L162" s="74"/>
      <c r="M162" s="74"/>
      <c r="N162" s="74"/>
      <c r="O162" s="74"/>
      <c r="P162" s="74"/>
      <c r="Q162" s="74"/>
      <c r="R162" s="74"/>
      <c r="S162" s="74"/>
      <c r="T162" s="74"/>
      <c r="U162" s="74"/>
      <c r="V162" s="74"/>
      <c r="W162" s="74"/>
      <c r="X162" s="74"/>
      <c r="Y162" s="74"/>
      <c r="Z162" s="74"/>
      <c r="AA162" s="74"/>
      <c r="AB162" s="74"/>
      <c r="AC162" s="74"/>
      <c r="AD162" s="74"/>
      <c r="AE162" s="74"/>
      <c r="AF162" s="74"/>
      <c r="AG162" s="74"/>
      <c r="AH162" s="74"/>
      <c r="AI162" s="74"/>
      <c r="AJ162" s="74"/>
      <c r="AK162" s="74"/>
      <c r="AL162" s="74"/>
      <c r="AM162" s="74"/>
      <c r="AN162" s="74"/>
      <c r="AO162" s="74"/>
      <c r="AP162" s="74"/>
      <c r="AQ162" s="74"/>
      <c r="AR162" s="74"/>
      <c r="AS162" s="74"/>
      <c r="AT162" s="74"/>
      <c r="AU162" s="74"/>
      <c r="AV162" s="74"/>
      <c r="AW162" s="74"/>
      <c r="AX162" s="74"/>
      <c r="AY162" s="74"/>
      <c r="AZ162" s="74"/>
      <c r="BA162" s="74"/>
      <c r="BB162" s="74"/>
      <c r="BC162" s="74"/>
      <c r="BD162" s="74"/>
      <c r="BE162" s="74"/>
      <c r="BF162" s="74"/>
      <c r="BG162" s="74"/>
      <c r="BH162" s="74"/>
      <c r="BI162" s="74"/>
      <c r="BJ162" s="74"/>
      <c r="BK162" s="74"/>
      <c r="BL162" s="74"/>
      <c r="BM162" s="74"/>
      <c r="BN162" s="74"/>
      <c r="BO162" s="74"/>
      <c r="BP162" s="74"/>
      <c r="BQ162" s="74"/>
      <c r="BR162" s="74"/>
      <c r="BS162" s="74"/>
      <c r="BT162" s="74"/>
      <c r="BU162" s="74"/>
      <c r="BV162" s="74"/>
      <c r="BW162" s="74"/>
      <c r="BX162" s="74"/>
      <c r="BY162" s="74"/>
      <c r="BZ162" s="75"/>
    </row>
    <row r="163" spans="1:78" x14ac:dyDescent="0.2">
      <c r="A163" s="48"/>
      <c r="B163" s="44"/>
      <c r="C163" s="82"/>
      <c r="D163" s="82"/>
      <c r="E163" s="61"/>
      <c r="F163" s="73"/>
      <c r="G163" s="74"/>
      <c r="H163" s="74"/>
      <c r="I163" s="74"/>
      <c r="J163" s="74"/>
      <c r="K163" s="74"/>
      <c r="L163" s="74"/>
      <c r="M163" s="74"/>
      <c r="N163" s="74"/>
      <c r="O163" s="74"/>
      <c r="P163" s="74"/>
      <c r="Q163" s="74"/>
      <c r="R163" s="74"/>
      <c r="S163" s="74"/>
      <c r="T163" s="74"/>
      <c r="U163" s="74"/>
      <c r="V163" s="74"/>
      <c r="W163" s="74"/>
      <c r="X163" s="74"/>
      <c r="Y163" s="74"/>
      <c r="Z163" s="74"/>
      <c r="AA163" s="74"/>
      <c r="AB163" s="74"/>
      <c r="AC163" s="74"/>
      <c r="AD163" s="74"/>
      <c r="AE163" s="74"/>
      <c r="AF163" s="74"/>
      <c r="AG163" s="74"/>
      <c r="AH163" s="74"/>
      <c r="AI163" s="74"/>
      <c r="AJ163" s="74"/>
      <c r="AK163" s="74"/>
      <c r="AL163" s="74"/>
      <c r="AM163" s="74"/>
      <c r="AN163" s="74"/>
      <c r="AO163" s="74"/>
      <c r="AP163" s="74"/>
      <c r="AQ163" s="74"/>
      <c r="AR163" s="74"/>
      <c r="AS163" s="74"/>
      <c r="AT163" s="74"/>
      <c r="AU163" s="74"/>
      <c r="AV163" s="74"/>
      <c r="AW163" s="74"/>
      <c r="AX163" s="74"/>
      <c r="AY163" s="74"/>
      <c r="AZ163" s="74"/>
      <c r="BA163" s="74"/>
      <c r="BB163" s="74"/>
      <c r="BC163" s="74"/>
      <c r="BD163" s="74"/>
      <c r="BE163" s="74"/>
      <c r="BF163" s="74"/>
      <c r="BG163" s="74"/>
      <c r="BH163" s="74"/>
      <c r="BI163" s="74"/>
      <c r="BJ163" s="74"/>
      <c r="BK163" s="74"/>
      <c r="BL163" s="74"/>
      <c r="BM163" s="74"/>
      <c r="BN163" s="74"/>
      <c r="BO163" s="74"/>
      <c r="BP163" s="74"/>
      <c r="BQ163" s="74"/>
      <c r="BR163" s="74"/>
      <c r="BS163" s="74"/>
      <c r="BT163" s="74"/>
      <c r="BU163" s="74"/>
      <c r="BV163" s="74"/>
      <c r="BW163" s="74"/>
      <c r="BX163" s="74"/>
      <c r="BY163" s="74"/>
      <c r="BZ163" s="75"/>
    </row>
    <row r="164" spans="1:78" x14ac:dyDescent="0.2">
      <c r="A164" s="48"/>
      <c r="B164" s="44"/>
      <c r="C164" s="82"/>
      <c r="D164" s="82"/>
      <c r="E164" s="61"/>
      <c r="F164" s="73"/>
      <c r="G164" s="74"/>
      <c r="H164" s="74"/>
      <c r="I164" s="74"/>
      <c r="J164" s="74"/>
      <c r="K164" s="74"/>
      <c r="L164" s="74"/>
      <c r="M164" s="74"/>
      <c r="N164" s="74"/>
      <c r="O164" s="74"/>
      <c r="P164" s="74"/>
      <c r="Q164" s="74"/>
      <c r="R164" s="74"/>
      <c r="S164" s="74"/>
      <c r="T164" s="74"/>
      <c r="U164" s="74"/>
      <c r="V164" s="74"/>
      <c r="W164" s="74"/>
      <c r="X164" s="74"/>
      <c r="Y164" s="74"/>
      <c r="Z164" s="74"/>
      <c r="AA164" s="74"/>
      <c r="AB164" s="74"/>
      <c r="AC164" s="74"/>
      <c r="AD164" s="74"/>
      <c r="AE164" s="74"/>
      <c r="AF164" s="74"/>
      <c r="AG164" s="74"/>
      <c r="AH164" s="74"/>
      <c r="AI164" s="74"/>
      <c r="AJ164" s="74"/>
      <c r="AK164" s="74"/>
      <c r="AL164" s="74"/>
      <c r="AM164" s="74"/>
      <c r="AN164" s="74"/>
      <c r="AO164" s="74"/>
      <c r="AP164" s="74"/>
      <c r="AQ164" s="74"/>
      <c r="AR164" s="74"/>
      <c r="AS164" s="74"/>
      <c r="AT164" s="74"/>
      <c r="AU164" s="74"/>
      <c r="AV164" s="74"/>
      <c r="AW164" s="74"/>
      <c r="AX164" s="74"/>
      <c r="AY164" s="74"/>
      <c r="AZ164" s="74"/>
      <c r="BA164" s="74"/>
      <c r="BB164" s="74"/>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c r="BY164" s="74"/>
      <c r="BZ164" s="75"/>
    </row>
    <row r="165" spans="1:78" x14ac:dyDescent="0.2">
      <c r="A165" s="48"/>
      <c r="B165" s="44"/>
      <c r="C165" s="82"/>
      <c r="D165" s="82"/>
      <c r="E165" s="61"/>
      <c r="F165" s="73"/>
      <c r="G165" s="74"/>
      <c r="H165" s="74"/>
      <c r="I165" s="74"/>
      <c r="J165" s="74"/>
      <c r="K165" s="74"/>
      <c r="L165" s="74"/>
      <c r="M165" s="74"/>
      <c r="N165" s="74"/>
      <c r="O165" s="74"/>
      <c r="P165" s="74"/>
      <c r="Q165" s="74"/>
      <c r="R165" s="74"/>
      <c r="S165" s="74"/>
      <c r="T165" s="74"/>
      <c r="U165" s="74"/>
      <c r="V165" s="74"/>
      <c r="W165" s="74"/>
      <c r="X165" s="74"/>
      <c r="Y165" s="74"/>
      <c r="Z165" s="74"/>
      <c r="AA165" s="74"/>
      <c r="AB165" s="74"/>
      <c r="AC165" s="74"/>
      <c r="AD165" s="74"/>
      <c r="AE165" s="74"/>
      <c r="AF165" s="74"/>
      <c r="AG165" s="74"/>
      <c r="AH165" s="74"/>
      <c r="AI165" s="74"/>
      <c r="AJ165" s="74"/>
      <c r="AK165" s="74"/>
      <c r="AL165" s="74"/>
      <c r="AM165" s="74"/>
      <c r="AN165" s="74"/>
      <c r="AO165" s="74"/>
      <c r="AP165" s="74"/>
      <c r="AQ165" s="74"/>
      <c r="AR165" s="74"/>
      <c r="AS165" s="74"/>
      <c r="AT165" s="74"/>
      <c r="AU165" s="74"/>
      <c r="AV165" s="74"/>
      <c r="AW165" s="74"/>
      <c r="AX165" s="74"/>
      <c r="AY165" s="74"/>
      <c r="AZ165" s="74"/>
      <c r="BA165" s="74"/>
      <c r="BB165" s="74"/>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c r="BY165" s="74"/>
      <c r="BZ165" s="75"/>
    </row>
    <row r="166" spans="1:78" x14ac:dyDescent="0.2">
      <c r="A166" s="48"/>
      <c r="B166" s="44"/>
      <c r="C166" s="82"/>
      <c r="D166" s="82"/>
      <c r="E166" s="61"/>
      <c r="F166" s="73"/>
      <c r="G166" s="74"/>
      <c r="H166" s="74"/>
      <c r="I166" s="74"/>
      <c r="J166" s="74"/>
      <c r="K166" s="74"/>
      <c r="L166" s="74"/>
      <c r="M166" s="74"/>
      <c r="N166" s="74"/>
      <c r="O166" s="74"/>
      <c r="P166" s="74"/>
      <c r="Q166" s="74"/>
      <c r="R166" s="74"/>
      <c r="S166" s="74"/>
      <c r="T166" s="74"/>
      <c r="U166" s="74"/>
      <c r="V166" s="74"/>
      <c r="W166" s="74"/>
      <c r="X166" s="74"/>
      <c r="Y166" s="74"/>
      <c r="Z166" s="74"/>
      <c r="AA166" s="74"/>
      <c r="AB166" s="74"/>
      <c r="AC166" s="74"/>
      <c r="AD166" s="74"/>
      <c r="AE166" s="74"/>
      <c r="AF166" s="74"/>
      <c r="AG166" s="74"/>
      <c r="AH166" s="74"/>
      <c r="AI166" s="74"/>
      <c r="AJ166" s="74"/>
      <c r="AK166" s="74"/>
      <c r="AL166" s="74"/>
      <c r="AM166" s="74"/>
      <c r="AN166" s="74"/>
      <c r="AO166" s="74"/>
      <c r="AP166" s="74"/>
      <c r="AQ166" s="74"/>
      <c r="AR166" s="74"/>
      <c r="AS166" s="74"/>
      <c r="AT166" s="74"/>
      <c r="AU166" s="74"/>
      <c r="AV166" s="74"/>
      <c r="AW166" s="74"/>
      <c r="AX166" s="74"/>
      <c r="AY166" s="74"/>
      <c r="AZ166" s="74"/>
      <c r="BA166" s="74"/>
      <c r="BB166" s="74"/>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c r="BY166" s="74"/>
      <c r="BZ166" s="75"/>
    </row>
    <row r="167" spans="1:78" x14ac:dyDescent="0.2">
      <c r="A167" s="48"/>
      <c r="B167" s="44"/>
      <c r="C167" s="82"/>
      <c r="D167" s="82"/>
      <c r="E167" s="61"/>
      <c r="F167" s="73"/>
      <c r="G167" s="74"/>
      <c r="H167" s="74"/>
      <c r="I167" s="74"/>
      <c r="J167" s="74"/>
      <c r="K167" s="74"/>
      <c r="L167" s="74"/>
      <c r="M167" s="74"/>
      <c r="N167" s="74"/>
      <c r="O167" s="74"/>
      <c r="P167" s="74"/>
      <c r="Q167" s="74"/>
      <c r="R167" s="74"/>
      <c r="S167" s="74"/>
      <c r="T167" s="74"/>
      <c r="U167" s="74"/>
      <c r="V167" s="74"/>
      <c r="W167" s="74"/>
      <c r="X167" s="74"/>
      <c r="Y167" s="74"/>
      <c r="Z167" s="74"/>
      <c r="AA167" s="74"/>
      <c r="AB167" s="74"/>
      <c r="AC167" s="74"/>
      <c r="AD167" s="74"/>
      <c r="AE167" s="74"/>
      <c r="AF167" s="74"/>
      <c r="AG167" s="74"/>
      <c r="AH167" s="74"/>
      <c r="AI167" s="74"/>
      <c r="AJ167" s="74"/>
      <c r="AK167" s="74"/>
      <c r="AL167" s="74"/>
      <c r="AM167" s="74"/>
      <c r="AN167" s="74"/>
      <c r="AO167" s="74"/>
      <c r="AP167" s="74"/>
      <c r="AQ167" s="74"/>
      <c r="AR167" s="74"/>
      <c r="AS167" s="74"/>
      <c r="AT167" s="74"/>
      <c r="AU167" s="74"/>
      <c r="AV167" s="74"/>
      <c r="AW167" s="74"/>
      <c r="AX167" s="74"/>
      <c r="AY167" s="74"/>
      <c r="AZ167" s="74"/>
      <c r="BA167" s="74"/>
      <c r="BB167" s="74"/>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c r="BY167" s="74"/>
      <c r="BZ167" s="75"/>
    </row>
    <row r="168" spans="1:78" x14ac:dyDescent="0.2">
      <c r="A168" s="48"/>
      <c r="B168" s="44"/>
      <c r="C168" s="82"/>
      <c r="D168" s="82"/>
      <c r="E168" s="61"/>
      <c r="F168" s="73"/>
      <c r="G168" s="74"/>
      <c r="H168" s="74"/>
      <c r="I168" s="74"/>
      <c r="J168" s="74"/>
      <c r="K168" s="74"/>
      <c r="L168" s="74"/>
      <c r="M168" s="74"/>
      <c r="N168" s="74"/>
      <c r="O168" s="74"/>
      <c r="P168" s="74"/>
      <c r="Q168" s="74"/>
      <c r="R168" s="74"/>
      <c r="S168" s="74"/>
      <c r="T168" s="74"/>
      <c r="U168" s="74"/>
      <c r="V168" s="74"/>
      <c r="W168" s="74"/>
      <c r="X168" s="74"/>
      <c r="Y168" s="74"/>
      <c r="Z168" s="74"/>
      <c r="AA168" s="74"/>
      <c r="AB168" s="74"/>
      <c r="AC168" s="74"/>
      <c r="AD168" s="74"/>
      <c r="AE168" s="74"/>
      <c r="AF168" s="74"/>
      <c r="AG168" s="74"/>
      <c r="AH168" s="74"/>
      <c r="AI168" s="74"/>
      <c r="AJ168" s="74"/>
      <c r="AK168" s="74"/>
      <c r="AL168" s="74"/>
      <c r="AM168" s="74"/>
      <c r="AN168" s="74"/>
      <c r="AO168" s="74"/>
      <c r="AP168" s="74"/>
      <c r="AQ168" s="74"/>
      <c r="AR168" s="74"/>
      <c r="AS168" s="74"/>
      <c r="AT168" s="74"/>
      <c r="AU168" s="74"/>
      <c r="AV168" s="74"/>
      <c r="AW168" s="74"/>
      <c r="AX168" s="74"/>
      <c r="AY168" s="74"/>
      <c r="AZ168" s="74"/>
      <c r="BA168" s="74"/>
      <c r="BB168" s="74"/>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c r="BY168" s="74"/>
      <c r="BZ168" s="75"/>
    </row>
    <row r="169" spans="1:78" x14ac:dyDescent="0.2">
      <c r="A169" s="48"/>
      <c r="B169" s="44"/>
      <c r="C169" s="82"/>
      <c r="D169" s="82"/>
      <c r="E169" s="61"/>
      <c r="F169" s="73"/>
      <c r="G169" s="74"/>
      <c r="H169" s="74"/>
      <c r="I169" s="74"/>
      <c r="J169" s="74"/>
      <c r="K169" s="74"/>
      <c r="L169" s="74"/>
      <c r="M169" s="74"/>
      <c r="N169" s="74"/>
      <c r="O169" s="74"/>
      <c r="P169" s="74"/>
      <c r="Q169" s="74"/>
      <c r="R169" s="74"/>
      <c r="S169" s="74"/>
      <c r="T169" s="74"/>
      <c r="U169" s="74"/>
      <c r="V169" s="74"/>
      <c r="W169" s="74"/>
      <c r="X169" s="74"/>
      <c r="Y169" s="74"/>
      <c r="Z169" s="74"/>
      <c r="AA169" s="74"/>
      <c r="AB169" s="74"/>
      <c r="AC169" s="74"/>
      <c r="AD169" s="74"/>
      <c r="AE169" s="74"/>
      <c r="AF169" s="74"/>
      <c r="AG169" s="74"/>
      <c r="AH169" s="74"/>
      <c r="AI169" s="74"/>
      <c r="AJ169" s="74"/>
      <c r="AK169" s="74"/>
      <c r="AL169" s="74"/>
      <c r="AM169" s="74"/>
      <c r="AN169" s="74"/>
      <c r="AO169" s="74"/>
      <c r="AP169" s="74"/>
      <c r="AQ169" s="74"/>
      <c r="AR169" s="74"/>
      <c r="AS169" s="74"/>
      <c r="AT169" s="74"/>
      <c r="AU169" s="74"/>
      <c r="AV169" s="74"/>
      <c r="AW169" s="74"/>
      <c r="AX169" s="74"/>
      <c r="AY169" s="74"/>
      <c r="AZ169" s="74"/>
      <c r="BA169" s="74"/>
      <c r="BB169" s="74"/>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c r="BY169" s="74"/>
      <c r="BZ169" s="75"/>
    </row>
    <row r="170" spans="1:78" x14ac:dyDescent="0.2">
      <c r="A170" s="48"/>
      <c r="B170" s="44"/>
      <c r="C170" s="82"/>
      <c r="D170" s="82"/>
      <c r="E170" s="61"/>
      <c r="F170" s="73"/>
      <c r="G170" s="74"/>
      <c r="H170" s="74"/>
      <c r="I170" s="74"/>
      <c r="J170" s="74"/>
      <c r="K170" s="74"/>
      <c r="L170" s="74"/>
      <c r="M170" s="74"/>
      <c r="N170" s="74"/>
      <c r="O170" s="74"/>
      <c r="P170" s="74"/>
      <c r="Q170" s="74"/>
      <c r="R170" s="74"/>
      <c r="S170" s="74"/>
      <c r="T170" s="74"/>
      <c r="U170" s="74"/>
      <c r="V170" s="74"/>
      <c r="W170" s="74"/>
      <c r="X170" s="74"/>
      <c r="Y170" s="74"/>
      <c r="Z170" s="74"/>
      <c r="AA170" s="74"/>
      <c r="AB170" s="74"/>
      <c r="AC170" s="74"/>
      <c r="AD170" s="74"/>
      <c r="AE170" s="74"/>
      <c r="AF170" s="74"/>
      <c r="AG170" s="74"/>
      <c r="AH170" s="74"/>
      <c r="AI170" s="74"/>
      <c r="AJ170" s="74"/>
      <c r="AK170" s="74"/>
      <c r="AL170" s="74"/>
      <c r="AM170" s="74"/>
      <c r="AN170" s="74"/>
      <c r="AO170" s="74"/>
      <c r="AP170" s="74"/>
      <c r="AQ170" s="74"/>
      <c r="AR170" s="74"/>
      <c r="AS170" s="74"/>
      <c r="AT170" s="74"/>
      <c r="AU170" s="74"/>
      <c r="AV170" s="74"/>
      <c r="AW170" s="74"/>
      <c r="AX170" s="74"/>
      <c r="AY170" s="74"/>
      <c r="AZ170" s="74"/>
      <c r="BA170" s="74"/>
      <c r="BB170" s="74"/>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c r="BY170" s="74"/>
      <c r="BZ170" s="75"/>
    </row>
    <row r="171" spans="1:78" x14ac:dyDescent="0.2">
      <c r="A171" s="48"/>
      <c r="B171" s="44"/>
      <c r="C171" s="82"/>
      <c r="D171" s="82"/>
      <c r="E171" s="61"/>
      <c r="F171" s="73"/>
      <c r="G171" s="74"/>
      <c r="H171" s="74"/>
      <c r="I171" s="74"/>
      <c r="J171" s="74"/>
      <c r="K171" s="74"/>
      <c r="L171" s="74"/>
      <c r="M171" s="74"/>
      <c r="N171" s="74"/>
      <c r="O171" s="74"/>
      <c r="P171" s="74"/>
      <c r="Q171" s="74"/>
      <c r="R171" s="74"/>
      <c r="S171" s="74"/>
      <c r="T171" s="74"/>
      <c r="U171" s="74"/>
      <c r="V171" s="74"/>
      <c r="W171" s="74"/>
      <c r="X171" s="74"/>
      <c r="Y171" s="74"/>
      <c r="Z171" s="74"/>
      <c r="AA171" s="74"/>
      <c r="AB171" s="74"/>
      <c r="AC171" s="74"/>
      <c r="AD171" s="74"/>
      <c r="AE171" s="74"/>
      <c r="AF171" s="74"/>
      <c r="AG171" s="74"/>
      <c r="AH171" s="74"/>
      <c r="AI171" s="74"/>
      <c r="AJ171" s="74"/>
      <c r="AK171" s="74"/>
      <c r="AL171" s="74"/>
      <c r="AM171" s="74"/>
      <c r="AN171" s="74"/>
      <c r="AO171" s="74"/>
      <c r="AP171" s="74"/>
      <c r="AQ171" s="74"/>
      <c r="AR171" s="74"/>
      <c r="AS171" s="74"/>
      <c r="AT171" s="74"/>
      <c r="AU171" s="74"/>
      <c r="AV171" s="74"/>
      <c r="AW171" s="74"/>
      <c r="AX171" s="74"/>
      <c r="AY171" s="74"/>
      <c r="AZ171" s="74"/>
      <c r="BA171" s="74"/>
      <c r="BB171" s="74"/>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c r="BY171" s="74"/>
      <c r="BZ171" s="75"/>
    </row>
    <row r="172" spans="1:78" x14ac:dyDescent="0.2">
      <c r="A172" s="48"/>
      <c r="B172" s="44"/>
      <c r="C172" s="82"/>
      <c r="D172" s="82"/>
      <c r="E172" s="61"/>
      <c r="F172" s="73"/>
      <c r="G172" s="74"/>
      <c r="H172" s="74"/>
      <c r="I172" s="74"/>
      <c r="J172" s="74"/>
      <c r="K172" s="74"/>
      <c r="L172" s="74"/>
      <c r="M172" s="74"/>
      <c r="N172" s="74"/>
      <c r="O172" s="74"/>
      <c r="P172" s="74"/>
      <c r="Q172" s="74"/>
      <c r="R172" s="74"/>
      <c r="S172" s="74"/>
      <c r="T172" s="74"/>
      <c r="U172" s="74"/>
      <c r="V172" s="74"/>
      <c r="W172" s="74"/>
      <c r="X172" s="74"/>
      <c r="Y172" s="74"/>
      <c r="Z172" s="74"/>
      <c r="AA172" s="74"/>
      <c r="AB172" s="74"/>
      <c r="AC172" s="74"/>
      <c r="AD172" s="74"/>
      <c r="AE172" s="74"/>
      <c r="AF172" s="74"/>
      <c r="AG172" s="74"/>
      <c r="AH172" s="74"/>
      <c r="AI172" s="74"/>
      <c r="AJ172" s="74"/>
      <c r="AK172" s="74"/>
      <c r="AL172" s="74"/>
      <c r="AM172" s="74"/>
      <c r="AN172" s="74"/>
      <c r="AO172" s="74"/>
      <c r="AP172" s="74"/>
      <c r="AQ172" s="74"/>
      <c r="AR172" s="74"/>
      <c r="AS172" s="74"/>
      <c r="AT172" s="74"/>
      <c r="AU172" s="74"/>
      <c r="AV172" s="74"/>
      <c r="AW172" s="74"/>
      <c r="AX172" s="74"/>
      <c r="AY172" s="74"/>
      <c r="AZ172" s="74"/>
      <c r="BA172" s="74"/>
      <c r="BB172" s="74"/>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c r="BY172" s="74"/>
      <c r="BZ172" s="75"/>
    </row>
    <row r="173" spans="1:78" x14ac:dyDescent="0.2">
      <c r="A173" s="48"/>
      <c r="B173" s="44"/>
      <c r="C173" s="82"/>
      <c r="D173" s="82"/>
      <c r="E173" s="61"/>
      <c r="F173" s="73"/>
      <c r="G173" s="74"/>
      <c r="H173" s="74"/>
      <c r="I173" s="74"/>
      <c r="J173" s="74"/>
      <c r="K173" s="74"/>
      <c r="L173" s="74"/>
      <c r="M173" s="74"/>
      <c r="N173" s="74"/>
      <c r="O173" s="74"/>
      <c r="P173" s="74"/>
      <c r="Q173" s="74"/>
      <c r="R173" s="74"/>
      <c r="S173" s="74"/>
      <c r="T173" s="74"/>
      <c r="U173" s="74"/>
      <c r="V173" s="74"/>
      <c r="W173" s="74"/>
      <c r="X173" s="74"/>
      <c r="Y173" s="74"/>
      <c r="Z173" s="74"/>
      <c r="AA173" s="74"/>
      <c r="AB173" s="74"/>
      <c r="AC173" s="74"/>
      <c r="AD173" s="74"/>
      <c r="AE173" s="74"/>
      <c r="AF173" s="74"/>
      <c r="AG173" s="74"/>
      <c r="AH173" s="74"/>
      <c r="AI173" s="74"/>
      <c r="AJ173" s="74"/>
      <c r="AK173" s="74"/>
      <c r="AL173" s="74"/>
      <c r="AM173" s="74"/>
      <c r="AN173" s="74"/>
      <c r="AO173" s="74"/>
      <c r="AP173" s="74"/>
      <c r="AQ173" s="74"/>
      <c r="AR173" s="74"/>
      <c r="AS173" s="74"/>
      <c r="AT173" s="74"/>
      <c r="AU173" s="74"/>
      <c r="AV173" s="74"/>
      <c r="AW173" s="74"/>
      <c r="AX173" s="74"/>
      <c r="AY173" s="74"/>
      <c r="AZ173" s="74"/>
      <c r="BA173" s="74"/>
      <c r="BB173" s="74"/>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c r="BY173" s="74"/>
      <c r="BZ173" s="75"/>
    </row>
    <row r="174" spans="1:78" x14ac:dyDescent="0.2">
      <c r="A174" s="48"/>
      <c r="B174" s="44"/>
      <c r="C174" s="82"/>
      <c r="D174" s="82"/>
      <c r="E174" s="61"/>
      <c r="F174" s="73"/>
      <c r="G174" s="74"/>
      <c r="H174" s="74"/>
      <c r="I174" s="74"/>
      <c r="J174" s="74"/>
      <c r="K174" s="74"/>
      <c r="L174" s="74"/>
      <c r="M174" s="74"/>
      <c r="N174" s="74"/>
      <c r="O174" s="74"/>
      <c r="P174" s="74"/>
      <c r="Q174" s="74"/>
      <c r="R174" s="74"/>
      <c r="S174" s="74"/>
      <c r="T174" s="74"/>
      <c r="U174" s="74"/>
      <c r="V174" s="74"/>
      <c r="W174" s="74"/>
      <c r="X174" s="74"/>
      <c r="Y174" s="74"/>
      <c r="Z174" s="74"/>
      <c r="AA174" s="74"/>
      <c r="AB174" s="74"/>
      <c r="AC174" s="74"/>
      <c r="AD174" s="74"/>
      <c r="AE174" s="74"/>
      <c r="AF174" s="74"/>
      <c r="AG174" s="74"/>
      <c r="AH174" s="74"/>
      <c r="AI174" s="74"/>
      <c r="AJ174" s="74"/>
      <c r="AK174" s="74"/>
      <c r="AL174" s="74"/>
      <c r="AM174" s="74"/>
      <c r="AN174" s="74"/>
      <c r="AO174" s="74"/>
      <c r="AP174" s="74"/>
      <c r="AQ174" s="74"/>
      <c r="AR174" s="74"/>
      <c r="AS174" s="74"/>
      <c r="AT174" s="74"/>
      <c r="AU174" s="74"/>
      <c r="AV174" s="74"/>
      <c r="AW174" s="74"/>
      <c r="AX174" s="74"/>
      <c r="AY174" s="74"/>
      <c r="AZ174" s="74"/>
      <c r="BA174" s="74"/>
      <c r="BB174" s="74"/>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c r="BY174" s="74"/>
      <c r="BZ174" s="75"/>
    </row>
    <row r="175" spans="1:78" x14ac:dyDescent="0.2">
      <c r="A175" s="48"/>
      <c r="B175" s="44"/>
      <c r="C175" s="82"/>
      <c r="D175" s="82"/>
      <c r="E175" s="61"/>
      <c r="F175" s="73"/>
      <c r="G175" s="74"/>
      <c r="H175" s="74"/>
      <c r="I175" s="74"/>
      <c r="J175" s="74"/>
      <c r="K175" s="74"/>
      <c r="L175" s="74"/>
      <c r="M175" s="74"/>
      <c r="N175" s="74"/>
      <c r="O175" s="74"/>
      <c r="P175" s="74"/>
      <c r="Q175" s="74"/>
      <c r="R175" s="74"/>
      <c r="S175" s="74"/>
      <c r="T175" s="74"/>
      <c r="U175" s="74"/>
      <c r="V175" s="74"/>
      <c r="W175" s="74"/>
      <c r="X175" s="74"/>
      <c r="Y175" s="74"/>
      <c r="Z175" s="74"/>
      <c r="AA175" s="74"/>
      <c r="AB175" s="74"/>
      <c r="AC175" s="74"/>
      <c r="AD175" s="74"/>
      <c r="AE175" s="74"/>
      <c r="AF175" s="74"/>
      <c r="AG175" s="74"/>
      <c r="AH175" s="74"/>
      <c r="AI175" s="74"/>
      <c r="AJ175" s="74"/>
      <c r="AK175" s="74"/>
      <c r="AL175" s="74"/>
      <c r="AM175" s="74"/>
      <c r="AN175" s="74"/>
      <c r="AO175" s="74"/>
      <c r="AP175" s="74"/>
      <c r="AQ175" s="74"/>
      <c r="AR175" s="74"/>
      <c r="AS175" s="74"/>
      <c r="AT175" s="74"/>
      <c r="AU175" s="74"/>
      <c r="AV175" s="74"/>
      <c r="AW175" s="74"/>
      <c r="AX175" s="74"/>
      <c r="AY175" s="74"/>
      <c r="AZ175" s="74"/>
      <c r="BA175" s="74"/>
      <c r="BB175" s="74"/>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c r="BY175" s="74"/>
      <c r="BZ175" s="75"/>
    </row>
    <row r="176" spans="1:78" x14ac:dyDescent="0.2">
      <c r="A176" s="48"/>
      <c r="B176" s="44"/>
      <c r="C176" s="82"/>
      <c r="D176" s="82"/>
      <c r="E176" s="61"/>
      <c r="F176" s="73"/>
      <c r="G176" s="74"/>
      <c r="H176" s="74"/>
      <c r="I176" s="74"/>
      <c r="J176" s="74"/>
      <c r="K176" s="74"/>
      <c r="L176" s="74"/>
      <c r="M176" s="74"/>
      <c r="N176" s="74"/>
      <c r="O176" s="74"/>
      <c r="P176" s="74"/>
      <c r="Q176" s="74"/>
      <c r="R176" s="74"/>
      <c r="S176" s="74"/>
      <c r="T176" s="74"/>
      <c r="U176" s="74"/>
      <c r="V176" s="74"/>
      <c r="W176" s="74"/>
      <c r="X176" s="74"/>
      <c r="Y176" s="74"/>
      <c r="Z176" s="74"/>
      <c r="AA176" s="74"/>
      <c r="AB176" s="74"/>
      <c r="AC176" s="74"/>
      <c r="AD176" s="74"/>
      <c r="AE176" s="74"/>
      <c r="AF176" s="74"/>
      <c r="AG176" s="74"/>
      <c r="AH176" s="74"/>
      <c r="AI176" s="74"/>
      <c r="AJ176" s="74"/>
      <c r="AK176" s="74"/>
      <c r="AL176" s="74"/>
      <c r="AM176" s="74"/>
      <c r="AN176" s="74"/>
      <c r="AO176" s="74"/>
      <c r="AP176" s="74"/>
      <c r="AQ176" s="74"/>
      <c r="AR176" s="74"/>
      <c r="AS176" s="74"/>
      <c r="AT176" s="74"/>
      <c r="AU176" s="74"/>
      <c r="AV176" s="74"/>
      <c r="AW176" s="74"/>
      <c r="AX176" s="74"/>
      <c r="AY176" s="74"/>
      <c r="AZ176" s="74"/>
      <c r="BA176" s="74"/>
      <c r="BB176" s="74"/>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c r="BY176" s="74"/>
      <c r="BZ176" s="75"/>
    </row>
    <row r="177" spans="1:78" x14ac:dyDescent="0.2">
      <c r="A177" s="48"/>
      <c r="B177" s="44"/>
      <c r="C177" s="82"/>
      <c r="D177" s="82"/>
      <c r="E177" s="61"/>
      <c r="F177" s="73"/>
      <c r="G177" s="74"/>
      <c r="H177" s="74"/>
      <c r="I177" s="74"/>
      <c r="J177" s="74"/>
      <c r="K177" s="74"/>
      <c r="L177" s="74"/>
      <c r="M177" s="74"/>
      <c r="N177" s="74"/>
      <c r="O177" s="74"/>
      <c r="P177" s="74"/>
      <c r="Q177" s="74"/>
      <c r="R177" s="74"/>
      <c r="S177" s="74"/>
      <c r="T177" s="74"/>
      <c r="U177" s="74"/>
      <c r="V177" s="74"/>
      <c r="W177" s="74"/>
      <c r="X177" s="74"/>
      <c r="Y177" s="74"/>
      <c r="Z177" s="74"/>
      <c r="AA177" s="74"/>
      <c r="AB177" s="74"/>
      <c r="AC177" s="74"/>
      <c r="AD177" s="74"/>
      <c r="AE177" s="74"/>
      <c r="AF177" s="74"/>
      <c r="AG177" s="74"/>
      <c r="AH177" s="74"/>
      <c r="AI177" s="74"/>
      <c r="AJ177" s="74"/>
      <c r="AK177" s="74"/>
      <c r="AL177" s="74"/>
      <c r="AM177" s="74"/>
      <c r="AN177" s="74"/>
      <c r="AO177" s="74"/>
      <c r="AP177" s="74"/>
      <c r="AQ177" s="74"/>
      <c r="AR177" s="74"/>
      <c r="AS177" s="74"/>
      <c r="AT177" s="74"/>
      <c r="AU177" s="74"/>
      <c r="AV177" s="74"/>
      <c r="AW177" s="74"/>
      <c r="AX177" s="74"/>
      <c r="AY177" s="74"/>
      <c r="AZ177" s="74"/>
      <c r="BA177" s="74"/>
      <c r="BB177" s="74"/>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c r="BY177" s="74"/>
      <c r="BZ177" s="75"/>
    </row>
    <row r="178" spans="1:78" x14ac:dyDescent="0.2">
      <c r="A178" s="48"/>
      <c r="B178" s="44"/>
      <c r="C178" s="82"/>
      <c r="D178" s="82"/>
      <c r="E178" s="61"/>
      <c r="F178" s="73"/>
      <c r="G178" s="74"/>
      <c r="H178" s="74"/>
      <c r="I178" s="74"/>
      <c r="J178" s="74"/>
      <c r="K178" s="74"/>
      <c r="L178" s="74"/>
      <c r="M178" s="74"/>
      <c r="N178" s="74"/>
      <c r="O178" s="74"/>
      <c r="P178" s="74"/>
      <c r="Q178" s="74"/>
      <c r="R178" s="74"/>
      <c r="S178" s="74"/>
      <c r="T178" s="74"/>
      <c r="U178" s="74"/>
      <c r="V178" s="74"/>
      <c r="W178" s="74"/>
      <c r="X178" s="74"/>
      <c r="Y178" s="74"/>
      <c r="Z178" s="74"/>
      <c r="AA178" s="74"/>
      <c r="AB178" s="74"/>
      <c r="AC178" s="74"/>
      <c r="AD178" s="74"/>
      <c r="AE178" s="74"/>
      <c r="AF178" s="74"/>
      <c r="AG178" s="74"/>
      <c r="AH178" s="74"/>
      <c r="AI178" s="74"/>
      <c r="AJ178" s="74"/>
      <c r="AK178" s="74"/>
      <c r="AL178" s="74"/>
      <c r="AM178" s="74"/>
      <c r="AN178" s="74"/>
      <c r="AO178" s="74"/>
      <c r="AP178" s="74"/>
      <c r="AQ178" s="74"/>
      <c r="AR178" s="74"/>
      <c r="AS178" s="74"/>
      <c r="AT178" s="74"/>
      <c r="AU178" s="74"/>
      <c r="AV178" s="74"/>
      <c r="AW178" s="74"/>
      <c r="AX178" s="74"/>
      <c r="AY178" s="74"/>
      <c r="AZ178" s="74"/>
      <c r="BA178" s="74"/>
      <c r="BB178" s="74"/>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c r="BY178" s="74"/>
      <c r="BZ178" s="75"/>
    </row>
    <row r="179" spans="1:78" x14ac:dyDescent="0.2">
      <c r="A179" s="48"/>
      <c r="B179" s="44"/>
      <c r="C179" s="82"/>
      <c r="D179" s="82"/>
      <c r="E179" s="61"/>
      <c r="F179" s="73"/>
      <c r="G179" s="74"/>
      <c r="H179" s="74"/>
      <c r="I179" s="74"/>
      <c r="J179" s="74"/>
      <c r="K179" s="74"/>
      <c r="L179" s="74"/>
      <c r="M179" s="74"/>
      <c r="N179" s="74"/>
      <c r="O179" s="74"/>
      <c r="P179" s="74"/>
      <c r="Q179" s="74"/>
      <c r="R179" s="74"/>
      <c r="S179" s="74"/>
      <c r="T179" s="74"/>
      <c r="U179" s="74"/>
      <c r="V179" s="74"/>
      <c r="W179" s="74"/>
      <c r="X179" s="74"/>
      <c r="Y179" s="74"/>
      <c r="Z179" s="74"/>
      <c r="AA179" s="74"/>
      <c r="AB179" s="74"/>
      <c r="AC179" s="74"/>
      <c r="AD179" s="74"/>
      <c r="AE179" s="74"/>
      <c r="AF179" s="74"/>
      <c r="AG179" s="74"/>
      <c r="AH179" s="74"/>
      <c r="AI179" s="74"/>
      <c r="AJ179" s="74"/>
      <c r="AK179" s="74"/>
      <c r="AL179" s="74"/>
      <c r="AM179" s="74"/>
      <c r="AN179" s="74"/>
      <c r="AO179" s="74"/>
      <c r="AP179" s="74"/>
      <c r="AQ179" s="74"/>
      <c r="AR179" s="74"/>
      <c r="AS179" s="74"/>
      <c r="AT179" s="74"/>
      <c r="AU179" s="74"/>
      <c r="AV179" s="74"/>
      <c r="AW179" s="74"/>
      <c r="AX179" s="74"/>
      <c r="AY179" s="74"/>
      <c r="AZ179" s="74"/>
      <c r="BA179" s="74"/>
      <c r="BB179" s="74"/>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c r="BY179" s="74"/>
      <c r="BZ179" s="75"/>
    </row>
    <row r="180" spans="1:78" x14ac:dyDescent="0.2">
      <c r="A180" s="48"/>
      <c r="B180" s="44"/>
      <c r="C180" s="82"/>
      <c r="D180" s="82"/>
      <c r="E180" s="61"/>
      <c r="F180" s="73"/>
      <c r="G180" s="74"/>
      <c r="H180" s="74"/>
      <c r="I180" s="74"/>
      <c r="J180" s="74"/>
      <c r="K180" s="74"/>
      <c r="L180" s="74"/>
      <c r="M180" s="74"/>
      <c r="N180" s="74"/>
      <c r="O180" s="74"/>
      <c r="P180" s="74"/>
      <c r="Q180" s="74"/>
      <c r="R180" s="74"/>
      <c r="S180" s="74"/>
      <c r="T180" s="74"/>
      <c r="U180" s="74"/>
      <c r="V180" s="74"/>
      <c r="W180" s="74"/>
      <c r="X180" s="74"/>
      <c r="Y180" s="74"/>
      <c r="Z180" s="74"/>
      <c r="AA180" s="74"/>
      <c r="AB180" s="74"/>
      <c r="AC180" s="74"/>
      <c r="AD180" s="74"/>
      <c r="AE180" s="74"/>
      <c r="AF180" s="74"/>
      <c r="AG180" s="74"/>
      <c r="AH180" s="74"/>
      <c r="AI180" s="74"/>
      <c r="AJ180" s="74"/>
      <c r="AK180" s="74"/>
      <c r="AL180" s="74"/>
      <c r="AM180" s="74"/>
      <c r="AN180" s="74"/>
      <c r="AO180" s="74"/>
      <c r="AP180" s="74"/>
      <c r="AQ180" s="74"/>
      <c r="AR180" s="74"/>
      <c r="AS180" s="74"/>
      <c r="AT180" s="74"/>
      <c r="AU180" s="74"/>
      <c r="AV180" s="74"/>
      <c r="AW180" s="74"/>
      <c r="AX180" s="74"/>
      <c r="AY180" s="74"/>
      <c r="AZ180" s="74"/>
      <c r="BA180" s="74"/>
      <c r="BB180" s="74"/>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c r="BY180" s="74"/>
      <c r="BZ180" s="75"/>
    </row>
    <row r="181" spans="1:78" x14ac:dyDescent="0.2">
      <c r="A181" s="48"/>
      <c r="B181" s="44"/>
      <c r="C181" s="82"/>
      <c r="D181" s="82"/>
      <c r="E181" s="61"/>
      <c r="F181" s="73"/>
      <c r="G181" s="74"/>
      <c r="H181" s="74"/>
      <c r="I181" s="74"/>
      <c r="J181" s="74"/>
      <c r="K181" s="74"/>
      <c r="L181" s="74"/>
      <c r="M181" s="74"/>
      <c r="N181" s="74"/>
      <c r="O181" s="74"/>
      <c r="P181" s="74"/>
      <c r="Q181" s="74"/>
      <c r="R181" s="74"/>
      <c r="S181" s="74"/>
      <c r="T181" s="74"/>
      <c r="U181" s="74"/>
      <c r="V181" s="74"/>
      <c r="W181" s="74"/>
      <c r="X181" s="74"/>
      <c r="Y181" s="74"/>
      <c r="Z181" s="74"/>
      <c r="AA181" s="74"/>
      <c r="AB181" s="74"/>
      <c r="AC181" s="74"/>
      <c r="AD181" s="74"/>
      <c r="AE181" s="74"/>
      <c r="AF181" s="74"/>
      <c r="AG181" s="74"/>
      <c r="AH181" s="74"/>
      <c r="AI181" s="74"/>
      <c r="AJ181" s="74"/>
      <c r="AK181" s="74"/>
      <c r="AL181" s="74"/>
      <c r="AM181" s="74"/>
      <c r="AN181" s="74"/>
      <c r="AO181" s="74"/>
      <c r="AP181" s="74"/>
      <c r="AQ181" s="74"/>
      <c r="AR181" s="74"/>
      <c r="AS181" s="74"/>
      <c r="AT181" s="74"/>
      <c r="AU181" s="74"/>
      <c r="AV181" s="74"/>
      <c r="AW181" s="74"/>
      <c r="AX181" s="74"/>
      <c r="AY181" s="74"/>
      <c r="AZ181" s="74"/>
      <c r="BA181" s="74"/>
      <c r="BB181" s="74"/>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c r="BY181" s="74"/>
      <c r="BZ181" s="75"/>
    </row>
    <row r="182" spans="1:78" x14ac:dyDescent="0.2">
      <c r="A182" s="48"/>
      <c r="B182" s="44"/>
      <c r="C182" s="82"/>
      <c r="D182" s="82"/>
      <c r="E182" s="61"/>
      <c r="F182" s="73"/>
      <c r="G182" s="74"/>
      <c r="H182" s="74"/>
      <c r="I182" s="74"/>
      <c r="J182" s="74"/>
      <c r="K182" s="74"/>
      <c r="L182" s="74"/>
      <c r="M182" s="74"/>
      <c r="N182" s="74"/>
      <c r="O182" s="74"/>
      <c r="P182" s="74"/>
      <c r="Q182" s="74"/>
      <c r="R182" s="74"/>
      <c r="S182" s="74"/>
      <c r="T182" s="74"/>
      <c r="U182" s="74"/>
      <c r="V182" s="74"/>
      <c r="W182" s="74"/>
      <c r="X182" s="74"/>
      <c r="Y182" s="74"/>
      <c r="Z182" s="74"/>
      <c r="AA182" s="74"/>
      <c r="AB182" s="74"/>
      <c r="AC182" s="74"/>
      <c r="AD182" s="74"/>
      <c r="AE182" s="74"/>
      <c r="AF182" s="74"/>
      <c r="AG182" s="74"/>
      <c r="AH182" s="74"/>
      <c r="AI182" s="74"/>
      <c r="AJ182" s="74"/>
      <c r="AK182" s="74"/>
      <c r="AL182" s="74"/>
      <c r="AM182" s="74"/>
      <c r="AN182" s="74"/>
      <c r="AO182" s="74"/>
      <c r="AP182" s="74"/>
      <c r="AQ182" s="74"/>
      <c r="AR182" s="74"/>
      <c r="AS182" s="74"/>
      <c r="AT182" s="74"/>
      <c r="AU182" s="74"/>
      <c r="AV182" s="74"/>
      <c r="AW182" s="74"/>
      <c r="AX182" s="74"/>
      <c r="AY182" s="74"/>
      <c r="AZ182" s="74"/>
      <c r="BA182" s="74"/>
      <c r="BB182" s="74"/>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c r="BY182" s="74"/>
      <c r="BZ182" s="75"/>
    </row>
    <row r="183" spans="1:78" x14ac:dyDescent="0.2">
      <c r="A183" s="48"/>
      <c r="B183" s="44"/>
      <c r="C183" s="82"/>
      <c r="D183" s="82"/>
      <c r="E183" s="61"/>
      <c r="F183" s="73"/>
      <c r="G183" s="74"/>
      <c r="H183" s="74"/>
      <c r="I183" s="74"/>
      <c r="J183" s="74"/>
      <c r="K183" s="74"/>
      <c r="L183" s="74"/>
      <c r="M183" s="74"/>
      <c r="N183" s="74"/>
      <c r="O183" s="74"/>
      <c r="P183" s="74"/>
      <c r="Q183" s="74"/>
      <c r="R183" s="74"/>
      <c r="S183" s="74"/>
      <c r="T183" s="74"/>
      <c r="U183" s="74"/>
      <c r="V183" s="74"/>
      <c r="W183" s="74"/>
      <c r="X183" s="74"/>
      <c r="Y183" s="74"/>
      <c r="Z183" s="74"/>
      <c r="AA183" s="74"/>
      <c r="AB183" s="74"/>
      <c r="AC183" s="74"/>
      <c r="AD183" s="74"/>
      <c r="AE183" s="74"/>
      <c r="AF183" s="74"/>
      <c r="AG183" s="74"/>
      <c r="AH183" s="74"/>
      <c r="AI183" s="74"/>
      <c r="AJ183" s="74"/>
      <c r="AK183" s="74"/>
      <c r="AL183" s="74"/>
      <c r="AM183" s="74"/>
      <c r="AN183" s="74"/>
      <c r="AO183" s="74"/>
      <c r="AP183" s="74"/>
      <c r="AQ183" s="74"/>
      <c r="AR183" s="74"/>
      <c r="AS183" s="74"/>
      <c r="AT183" s="74"/>
      <c r="AU183" s="74"/>
      <c r="AV183" s="74"/>
      <c r="AW183" s="74"/>
      <c r="AX183" s="74"/>
      <c r="AY183" s="74"/>
      <c r="AZ183" s="74"/>
      <c r="BA183" s="74"/>
      <c r="BB183" s="74"/>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c r="BY183" s="74"/>
      <c r="BZ183" s="75"/>
    </row>
    <row r="184" spans="1:78" x14ac:dyDescent="0.2">
      <c r="A184" s="48"/>
      <c r="B184" s="44"/>
      <c r="C184" s="82"/>
      <c r="D184" s="82"/>
      <c r="E184" s="61"/>
      <c r="F184" s="49"/>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1"/>
    </row>
    <row r="185" spans="1:78" x14ac:dyDescent="0.2">
      <c r="A185" s="52"/>
      <c r="B185" s="44"/>
      <c r="C185" s="82"/>
      <c r="D185" s="82"/>
      <c r="E185" s="61"/>
      <c r="F185" s="49"/>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1"/>
    </row>
    <row r="186" spans="1:78" x14ac:dyDescent="0.2">
      <c r="A186" s="48"/>
      <c r="B186" s="44"/>
      <c r="C186" s="82"/>
      <c r="D186" s="82"/>
      <c r="E186" s="61"/>
      <c r="F186" s="73"/>
      <c r="G186" s="74"/>
      <c r="H186" s="74"/>
      <c r="I186" s="74"/>
      <c r="J186" s="74"/>
      <c r="K186" s="74"/>
      <c r="L186" s="74"/>
      <c r="M186" s="74"/>
      <c r="N186" s="74"/>
      <c r="O186" s="74"/>
      <c r="P186" s="74"/>
      <c r="Q186" s="74"/>
      <c r="R186" s="74"/>
      <c r="S186" s="74"/>
      <c r="T186" s="74"/>
      <c r="U186" s="74"/>
      <c r="V186" s="74"/>
      <c r="W186" s="74"/>
      <c r="X186" s="74"/>
      <c r="Y186" s="74"/>
      <c r="Z186" s="74"/>
      <c r="AA186" s="74"/>
      <c r="AB186" s="74"/>
      <c r="AC186" s="74"/>
      <c r="AD186" s="74"/>
      <c r="AE186" s="74"/>
      <c r="AF186" s="74"/>
      <c r="AG186" s="74"/>
      <c r="AH186" s="74"/>
      <c r="AI186" s="74"/>
      <c r="AJ186" s="74"/>
      <c r="AK186" s="74"/>
      <c r="AL186" s="74"/>
      <c r="AM186" s="74"/>
      <c r="AN186" s="74"/>
      <c r="AO186" s="74"/>
      <c r="AP186" s="74"/>
      <c r="AQ186" s="74"/>
      <c r="AR186" s="74"/>
      <c r="AS186" s="74"/>
      <c r="AT186" s="74"/>
      <c r="AU186" s="74"/>
      <c r="AV186" s="74"/>
      <c r="AW186" s="74"/>
      <c r="AX186" s="74"/>
      <c r="AY186" s="74"/>
      <c r="AZ186" s="74"/>
      <c r="BA186" s="74"/>
      <c r="BB186" s="74"/>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c r="BY186" s="74"/>
      <c r="BZ186" s="75"/>
    </row>
    <row r="187" spans="1:78" x14ac:dyDescent="0.2">
      <c r="A187" s="48"/>
      <c r="B187" s="44"/>
      <c r="C187" s="82"/>
      <c r="D187" s="82"/>
      <c r="E187" s="61"/>
      <c r="F187" s="73"/>
      <c r="G187" s="74"/>
      <c r="H187" s="74"/>
      <c r="I187" s="74"/>
      <c r="J187" s="74"/>
      <c r="K187" s="74"/>
      <c r="L187" s="74"/>
      <c r="M187" s="74"/>
      <c r="N187" s="74"/>
      <c r="O187" s="74"/>
      <c r="P187" s="74"/>
      <c r="Q187" s="74"/>
      <c r="R187" s="74"/>
      <c r="S187" s="74"/>
      <c r="T187" s="74"/>
      <c r="U187" s="74"/>
      <c r="V187" s="74"/>
      <c r="W187" s="74"/>
      <c r="X187" s="74"/>
      <c r="Y187" s="74"/>
      <c r="Z187" s="74"/>
      <c r="AA187" s="74"/>
      <c r="AB187" s="74"/>
      <c r="AC187" s="74"/>
      <c r="AD187" s="74"/>
      <c r="AE187" s="74"/>
      <c r="AF187" s="74"/>
      <c r="AG187" s="74"/>
      <c r="AH187" s="74"/>
      <c r="AI187" s="74"/>
      <c r="AJ187" s="74"/>
      <c r="AK187" s="74"/>
      <c r="AL187" s="74"/>
      <c r="AM187" s="74"/>
      <c r="AN187" s="74"/>
      <c r="AO187" s="74"/>
      <c r="AP187" s="74"/>
      <c r="AQ187" s="74"/>
      <c r="AR187" s="74"/>
      <c r="AS187" s="74"/>
      <c r="AT187" s="74"/>
      <c r="AU187" s="74"/>
      <c r="AV187" s="74"/>
      <c r="AW187" s="74"/>
      <c r="AX187" s="74"/>
      <c r="AY187" s="74"/>
      <c r="AZ187" s="74"/>
      <c r="BA187" s="74"/>
      <c r="BB187" s="74"/>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c r="BY187" s="74"/>
      <c r="BZ187" s="75"/>
    </row>
    <row r="188" spans="1:78" x14ac:dyDescent="0.2">
      <c r="A188" s="48"/>
      <c r="B188" s="44"/>
      <c r="C188" s="82"/>
      <c r="D188" s="82"/>
      <c r="E188" s="61"/>
      <c r="F188" s="49"/>
      <c r="G188" s="50"/>
      <c r="H188" s="50"/>
      <c r="I188" s="5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1"/>
    </row>
    <row r="189" spans="1:78" x14ac:dyDescent="0.2">
      <c r="A189" s="48"/>
      <c r="B189" s="44"/>
      <c r="C189" s="82"/>
      <c r="D189" s="82"/>
      <c r="E189" s="61"/>
      <c r="F189" s="49"/>
      <c r="G189" s="50"/>
      <c r="H189" s="50"/>
      <c r="I189" s="5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0"/>
      <c r="BX189" s="50"/>
      <c r="BY189" s="50"/>
      <c r="BZ189" s="51"/>
    </row>
    <row r="190" spans="1:78" x14ac:dyDescent="0.2">
      <c r="A190" s="48"/>
      <c r="B190" s="44"/>
      <c r="C190" s="82"/>
      <c r="D190" s="82"/>
      <c r="E190" s="61"/>
      <c r="F190" s="73"/>
      <c r="G190" s="74"/>
      <c r="H190" s="74"/>
      <c r="I190" s="74"/>
      <c r="J190" s="74"/>
      <c r="K190" s="74"/>
      <c r="L190" s="74"/>
      <c r="M190" s="74"/>
      <c r="N190" s="74"/>
      <c r="O190" s="74"/>
      <c r="P190" s="74"/>
      <c r="Q190" s="74"/>
      <c r="R190" s="74"/>
      <c r="S190" s="74"/>
      <c r="T190" s="74"/>
      <c r="U190" s="74"/>
      <c r="V190" s="74"/>
      <c r="W190" s="74"/>
      <c r="X190" s="74"/>
      <c r="Y190" s="74"/>
      <c r="Z190" s="74"/>
      <c r="AA190" s="74"/>
      <c r="AB190" s="74"/>
      <c r="AC190" s="74"/>
      <c r="AD190" s="74"/>
      <c r="AE190" s="74"/>
      <c r="AF190" s="74"/>
      <c r="AG190" s="74"/>
      <c r="AH190" s="74"/>
      <c r="AI190" s="74"/>
      <c r="AJ190" s="74"/>
      <c r="AK190" s="74"/>
      <c r="AL190" s="74"/>
      <c r="AM190" s="74"/>
      <c r="AN190" s="74"/>
      <c r="AO190" s="74"/>
      <c r="AP190" s="74"/>
      <c r="AQ190" s="74"/>
      <c r="AR190" s="74"/>
      <c r="AS190" s="74"/>
      <c r="AT190" s="74"/>
      <c r="AU190" s="74"/>
      <c r="AV190" s="74"/>
      <c r="AW190" s="74"/>
      <c r="AX190" s="74"/>
      <c r="AY190" s="74"/>
      <c r="AZ190" s="74"/>
      <c r="BA190" s="74"/>
      <c r="BB190" s="74"/>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c r="BY190" s="74"/>
      <c r="BZ190" s="75"/>
    </row>
    <row r="191" spans="1:78" x14ac:dyDescent="0.2">
      <c r="A191" s="48"/>
      <c r="B191" s="44"/>
      <c r="C191" s="82"/>
      <c r="D191" s="82"/>
      <c r="E191" s="61"/>
      <c r="F191" s="73"/>
      <c r="G191" s="74"/>
      <c r="H191" s="74"/>
      <c r="I191" s="74"/>
      <c r="J191" s="74"/>
      <c r="K191" s="74"/>
      <c r="L191" s="74"/>
      <c r="M191" s="74"/>
      <c r="N191" s="74"/>
      <c r="O191" s="74"/>
      <c r="P191" s="74"/>
      <c r="Q191" s="74"/>
      <c r="R191" s="74"/>
      <c r="S191" s="74"/>
      <c r="T191" s="74"/>
      <c r="U191" s="74"/>
      <c r="V191" s="74"/>
      <c r="W191" s="74"/>
      <c r="X191" s="74"/>
      <c r="Y191" s="74"/>
      <c r="Z191" s="74"/>
      <c r="AA191" s="74"/>
      <c r="AB191" s="74"/>
      <c r="AC191" s="74"/>
      <c r="AD191" s="74"/>
      <c r="AE191" s="74"/>
      <c r="AF191" s="74"/>
      <c r="AG191" s="74"/>
      <c r="AH191" s="74"/>
      <c r="AI191" s="74"/>
      <c r="AJ191" s="74"/>
      <c r="AK191" s="74"/>
      <c r="AL191" s="74"/>
      <c r="AM191" s="74"/>
      <c r="AN191" s="74"/>
      <c r="AO191" s="74"/>
      <c r="AP191" s="74"/>
      <c r="AQ191" s="74"/>
      <c r="AR191" s="74"/>
      <c r="AS191" s="74"/>
      <c r="AT191" s="74"/>
      <c r="AU191" s="74"/>
      <c r="AV191" s="74"/>
      <c r="AW191" s="74"/>
      <c r="AX191" s="74"/>
      <c r="AY191" s="74"/>
      <c r="AZ191" s="74"/>
      <c r="BA191" s="74"/>
      <c r="BB191" s="74"/>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c r="BY191" s="74"/>
      <c r="BZ191" s="75"/>
    </row>
    <row r="192" spans="1:78" x14ac:dyDescent="0.2">
      <c r="A192" s="48"/>
      <c r="B192" s="44"/>
      <c r="C192" s="82"/>
      <c r="D192" s="82"/>
      <c r="E192" s="61"/>
      <c r="F192" s="73"/>
      <c r="G192" s="74"/>
      <c r="H192" s="74"/>
      <c r="I192" s="74"/>
      <c r="J192" s="74"/>
      <c r="K192" s="74"/>
      <c r="L192" s="74"/>
      <c r="M192" s="74"/>
      <c r="N192" s="74"/>
      <c r="O192" s="74"/>
      <c r="P192" s="74"/>
      <c r="Q192" s="74"/>
      <c r="R192" s="74"/>
      <c r="S192" s="74"/>
      <c r="T192" s="74"/>
      <c r="U192" s="74"/>
      <c r="V192" s="74"/>
      <c r="W192" s="74"/>
      <c r="X192" s="74"/>
      <c r="Y192" s="74"/>
      <c r="Z192" s="74"/>
      <c r="AA192" s="74"/>
      <c r="AB192" s="74"/>
      <c r="AC192" s="74"/>
      <c r="AD192" s="74"/>
      <c r="AE192" s="74"/>
      <c r="AF192" s="74"/>
      <c r="AG192" s="74"/>
      <c r="AH192" s="74"/>
      <c r="AI192" s="74"/>
      <c r="AJ192" s="74"/>
      <c r="AK192" s="74"/>
      <c r="AL192" s="74"/>
      <c r="AM192" s="74"/>
      <c r="AN192" s="74"/>
      <c r="AO192" s="74"/>
      <c r="AP192" s="74"/>
      <c r="AQ192" s="74"/>
      <c r="AR192" s="74"/>
      <c r="AS192" s="74"/>
      <c r="AT192" s="74"/>
      <c r="AU192" s="74"/>
      <c r="AV192" s="74"/>
      <c r="AW192" s="74"/>
      <c r="AX192" s="74"/>
      <c r="AY192" s="74"/>
      <c r="AZ192" s="74"/>
      <c r="BA192" s="74"/>
      <c r="BB192" s="74"/>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c r="BY192" s="74"/>
      <c r="BZ192" s="75"/>
    </row>
    <row r="193" spans="1:78" ht="13.5" thickBot="1" x14ac:dyDescent="0.25">
      <c r="A193" s="48"/>
      <c r="B193" s="44"/>
      <c r="C193" s="82"/>
      <c r="D193" s="82"/>
      <c r="E193" s="61"/>
      <c r="F193" s="76"/>
      <c r="G193" s="77"/>
      <c r="H193" s="77"/>
      <c r="I193" s="77"/>
      <c r="J193" s="77"/>
      <c r="K193" s="77"/>
      <c r="L193" s="77"/>
      <c r="M193" s="77"/>
      <c r="N193" s="77"/>
      <c r="O193" s="77"/>
      <c r="P193" s="77"/>
      <c r="Q193" s="77"/>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c r="BK193" s="77"/>
      <c r="BL193" s="77"/>
      <c r="BM193" s="77"/>
      <c r="BN193" s="77"/>
      <c r="BO193" s="77"/>
      <c r="BP193" s="77"/>
      <c r="BQ193" s="77"/>
      <c r="BR193" s="77"/>
      <c r="BS193" s="77"/>
      <c r="BT193" s="77"/>
      <c r="BU193" s="77"/>
      <c r="BV193" s="77"/>
      <c r="BW193" s="77"/>
      <c r="BX193" s="77"/>
      <c r="BY193" s="77"/>
      <c r="BZ193" s="78"/>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ColWidth="9.140625" defaultRowHeight="12.75" x14ac:dyDescent="0.2"/>
  <cols>
    <col min="1" max="1" width="57.28515625" style="129" bestFit="1" customWidth="1"/>
    <col min="2" max="2" width="20.42578125" style="129" customWidth="1"/>
    <col min="3" max="3" width="17" style="130" bestFit="1" customWidth="1"/>
    <col min="4" max="4" width="18.85546875" style="131" customWidth="1"/>
    <col min="5" max="5" width="19.7109375" style="131" customWidth="1"/>
    <col min="6" max="6" width="17.140625" style="132" customWidth="1"/>
    <col min="7" max="7" width="18.5703125" style="133" customWidth="1"/>
    <col min="8" max="8" width="14.85546875" style="132" bestFit="1" customWidth="1"/>
    <col min="9" max="9" width="15.7109375" style="132" bestFit="1" customWidth="1"/>
    <col min="10" max="10" width="22.28515625" style="132" customWidth="1"/>
    <col min="11" max="16384" width="9.140625" style="126"/>
  </cols>
  <sheetData>
    <row r="1" spans="1:10" ht="29.25" customHeight="1" thickBot="1" x14ac:dyDescent="0.25">
      <c r="A1" s="315" t="str">
        <f>'Change Log'!A1:D1</f>
        <v>PSASH - Rev 14</v>
      </c>
      <c r="B1" s="316"/>
      <c r="C1" s="316"/>
      <c r="D1" s="316"/>
      <c r="E1" s="316"/>
      <c r="F1" s="316"/>
      <c r="G1" s="316"/>
      <c r="H1" s="316"/>
      <c r="I1" s="316"/>
      <c r="J1" s="316"/>
    </row>
    <row r="2" spans="1:10" ht="13.5" thickBot="1" x14ac:dyDescent="0.25">
      <c r="A2" s="317" t="s">
        <v>91</v>
      </c>
      <c r="B2" s="318"/>
      <c r="C2" s="319"/>
      <c r="D2" s="319"/>
      <c r="E2" s="127"/>
      <c r="F2" s="320" t="s">
        <v>84</v>
      </c>
      <c r="G2" s="321"/>
      <c r="H2" s="321"/>
      <c r="I2" s="321"/>
      <c r="J2" s="322"/>
    </row>
    <row r="3" spans="1:10" ht="22.5" customHeight="1" thickBot="1" x14ac:dyDescent="0.25">
      <c r="A3" s="135"/>
      <c r="B3" s="135"/>
      <c r="C3" s="136"/>
      <c r="D3" s="137"/>
      <c r="E3" s="137"/>
      <c r="F3" s="138"/>
      <c r="G3" s="323" t="s">
        <v>83</v>
      </c>
      <c r="H3" s="324"/>
      <c r="I3" s="139"/>
      <c r="J3" s="138"/>
    </row>
    <row r="4" spans="1:10" ht="101.25" customHeight="1" thickBot="1" x14ac:dyDescent="0.25">
      <c r="A4" s="137" t="s">
        <v>56</v>
      </c>
      <c r="B4" s="137" t="s">
        <v>134</v>
      </c>
      <c r="C4" s="137" t="s">
        <v>57</v>
      </c>
      <c r="D4" s="137" t="s">
        <v>145</v>
      </c>
      <c r="E4" s="137" t="s">
        <v>146</v>
      </c>
      <c r="F4" s="137" t="s">
        <v>93</v>
      </c>
      <c r="G4" s="137" t="s">
        <v>53</v>
      </c>
      <c r="H4" s="140" t="s">
        <v>54</v>
      </c>
      <c r="I4" s="137" t="s">
        <v>52</v>
      </c>
      <c r="J4" s="137" t="s">
        <v>90</v>
      </c>
    </row>
    <row r="5" spans="1:10" ht="12.75" customHeight="1" x14ac:dyDescent="0.2">
      <c r="A5" s="141"/>
      <c r="B5" s="141"/>
      <c r="C5" s="142"/>
      <c r="D5" s="143"/>
      <c r="E5" s="143"/>
      <c r="F5" s="143"/>
      <c r="G5" s="141"/>
      <c r="H5" s="141"/>
      <c r="I5" s="143"/>
      <c r="J5" s="143"/>
    </row>
    <row r="6" spans="1:10" x14ac:dyDescent="0.2">
      <c r="A6" s="142"/>
      <c r="B6" s="142"/>
      <c r="C6" s="142"/>
      <c r="D6" s="144"/>
      <c r="E6" s="144"/>
      <c r="F6" s="144"/>
      <c r="G6" s="142"/>
      <c r="H6" s="142"/>
      <c r="I6" s="144"/>
      <c r="J6" s="144"/>
    </row>
    <row r="7" spans="1:10" x14ac:dyDescent="0.2">
      <c r="A7" s="142"/>
      <c r="B7" s="142"/>
      <c r="C7" s="142"/>
      <c r="D7" s="144"/>
      <c r="E7" s="144"/>
      <c r="F7" s="143"/>
      <c r="G7" s="142"/>
      <c r="H7" s="142"/>
      <c r="I7" s="144"/>
      <c r="J7" s="144"/>
    </row>
    <row r="8" spans="1:10" x14ac:dyDescent="0.2">
      <c r="A8" s="142"/>
      <c r="B8" s="142"/>
      <c r="C8" s="142"/>
      <c r="D8" s="144"/>
      <c r="E8" s="144"/>
      <c r="F8" s="143"/>
      <c r="G8" s="142"/>
      <c r="H8" s="142"/>
      <c r="I8" s="144"/>
      <c r="J8" s="144"/>
    </row>
    <row r="9" spans="1:10" x14ac:dyDescent="0.2">
      <c r="A9" s="142"/>
      <c r="B9" s="142"/>
      <c r="C9" s="142"/>
      <c r="D9" s="144"/>
      <c r="E9" s="144"/>
      <c r="F9" s="144"/>
      <c r="G9" s="142"/>
      <c r="H9" s="142"/>
      <c r="I9" s="144"/>
      <c r="J9" s="144"/>
    </row>
    <row r="10" spans="1:10" x14ac:dyDescent="0.2">
      <c r="A10" s="142"/>
      <c r="B10" s="142"/>
      <c r="C10" s="142"/>
      <c r="D10" s="144"/>
      <c r="E10" s="144"/>
      <c r="F10" s="143"/>
      <c r="G10" s="142"/>
      <c r="H10" s="142"/>
      <c r="I10" s="144"/>
      <c r="J10" s="144"/>
    </row>
    <row r="11" spans="1:10" ht="12.75" customHeight="1" x14ac:dyDescent="0.2">
      <c r="A11" s="141"/>
      <c r="B11" s="141"/>
      <c r="C11" s="142"/>
      <c r="D11" s="144"/>
      <c r="E11" s="143"/>
      <c r="F11" s="143"/>
      <c r="G11" s="141"/>
      <c r="H11" s="141"/>
      <c r="I11" s="143"/>
      <c r="J11" s="143"/>
    </row>
    <row r="12" spans="1:10" ht="12.75" customHeight="1" x14ac:dyDescent="0.2">
      <c r="A12" s="142"/>
      <c r="B12" s="142"/>
      <c r="C12" s="142"/>
      <c r="D12" s="144"/>
      <c r="E12" s="144"/>
      <c r="F12" s="144"/>
      <c r="G12" s="142"/>
      <c r="H12" s="142"/>
      <c r="I12" s="144"/>
      <c r="J12" s="144"/>
    </row>
    <row r="13" spans="1:10" ht="12.75" customHeight="1" x14ac:dyDescent="0.2">
      <c r="A13" s="142"/>
      <c r="B13" s="142"/>
      <c r="C13" s="142"/>
      <c r="D13" s="144"/>
      <c r="E13" s="144"/>
      <c r="F13" s="143"/>
      <c r="G13" s="142"/>
      <c r="H13" s="142"/>
      <c r="I13" s="144"/>
      <c r="J13" s="144"/>
    </row>
    <row r="14" spans="1:10" x14ac:dyDescent="0.2">
      <c r="A14" s="142"/>
      <c r="B14" s="142"/>
      <c r="C14" s="142"/>
      <c r="D14" s="144"/>
      <c r="E14" s="144"/>
      <c r="F14" s="143"/>
      <c r="G14" s="142"/>
      <c r="H14" s="142"/>
      <c r="I14" s="144"/>
      <c r="J14" s="144"/>
    </row>
    <row r="15" spans="1:10" x14ac:dyDescent="0.2">
      <c r="A15" s="142"/>
      <c r="B15" s="142"/>
      <c r="C15" s="142"/>
      <c r="D15" s="144"/>
      <c r="E15" s="144"/>
      <c r="F15" s="144"/>
      <c r="G15" s="142"/>
      <c r="H15" s="142"/>
      <c r="I15" s="144"/>
      <c r="J15" s="144"/>
    </row>
    <row r="16" spans="1:10" x14ac:dyDescent="0.2">
      <c r="A16" s="142"/>
      <c r="B16" s="142"/>
      <c r="C16" s="142"/>
      <c r="D16" s="144"/>
      <c r="E16" s="144"/>
      <c r="F16" s="143"/>
      <c r="G16" s="142"/>
      <c r="H16" s="142"/>
      <c r="I16" s="144"/>
      <c r="J16" s="144"/>
    </row>
    <row r="17" spans="1:10" ht="12.75" customHeight="1" x14ac:dyDescent="0.2">
      <c r="A17" s="142"/>
      <c r="B17" s="142"/>
      <c r="C17" s="142"/>
      <c r="D17" s="144"/>
      <c r="E17" s="144"/>
      <c r="F17" s="143"/>
      <c r="G17" s="142"/>
      <c r="H17" s="142"/>
      <c r="I17" s="144"/>
      <c r="J17" s="144"/>
    </row>
    <row r="18" spans="1:10" ht="12.75" customHeight="1" x14ac:dyDescent="0.2">
      <c r="A18" s="142"/>
      <c r="B18" s="142"/>
      <c r="C18" s="142"/>
      <c r="D18" s="144"/>
      <c r="E18" s="144"/>
      <c r="F18" s="144"/>
      <c r="G18" s="142"/>
      <c r="H18" s="142"/>
      <c r="I18" s="144"/>
      <c r="J18" s="144"/>
    </row>
    <row r="19" spans="1:10" x14ac:dyDescent="0.2">
      <c r="A19" s="142"/>
      <c r="B19" s="142"/>
      <c r="C19" s="142"/>
      <c r="D19" s="144"/>
      <c r="E19" s="144"/>
      <c r="F19" s="143"/>
      <c r="G19" s="142"/>
      <c r="H19" s="142"/>
      <c r="I19" s="144"/>
      <c r="J19" s="144"/>
    </row>
    <row r="20" spans="1:10" x14ac:dyDescent="0.2">
      <c r="A20" s="142"/>
      <c r="B20" s="142"/>
      <c r="C20" s="142"/>
      <c r="D20" s="144"/>
      <c r="E20" s="144"/>
      <c r="F20" s="143"/>
      <c r="G20" s="142"/>
      <c r="H20" s="142"/>
      <c r="I20" s="144"/>
      <c r="J20" s="144"/>
    </row>
    <row r="21" spans="1:10" x14ac:dyDescent="0.2">
      <c r="A21" s="142"/>
      <c r="B21" s="142"/>
      <c r="C21" s="142"/>
      <c r="D21" s="144"/>
      <c r="E21" s="144"/>
      <c r="F21" s="144"/>
      <c r="G21" s="142"/>
      <c r="H21" s="142"/>
      <c r="I21" s="144"/>
      <c r="J21" s="144"/>
    </row>
    <row r="22" spans="1:10" ht="12.75" customHeight="1" x14ac:dyDescent="0.2">
      <c r="A22" s="142"/>
      <c r="B22" s="142"/>
      <c r="C22" s="142"/>
      <c r="D22" s="144"/>
      <c r="E22" s="144"/>
      <c r="F22" s="143"/>
      <c r="G22" s="142"/>
      <c r="H22" s="142"/>
      <c r="I22" s="144"/>
      <c r="J22" s="144"/>
    </row>
    <row r="23" spans="1:10" ht="12.75" customHeight="1" x14ac:dyDescent="0.2">
      <c r="A23" s="142"/>
      <c r="B23" s="142"/>
      <c r="C23" s="142"/>
      <c r="D23" s="144"/>
      <c r="E23" s="144"/>
      <c r="F23" s="143"/>
      <c r="G23" s="142"/>
      <c r="H23" s="142"/>
      <c r="I23" s="144"/>
      <c r="J23" s="144"/>
    </row>
    <row r="24" spans="1:10" x14ac:dyDescent="0.2">
      <c r="A24" s="142"/>
      <c r="B24" s="142"/>
      <c r="C24" s="142"/>
      <c r="D24" s="144"/>
      <c r="E24" s="144"/>
      <c r="F24" s="144"/>
      <c r="G24" s="142"/>
      <c r="H24" s="142"/>
      <c r="I24" s="144"/>
      <c r="J24" s="144"/>
    </row>
    <row r="25" spans="1:10" ht="12.75" customHeight="1" x14ac:dyDescent="0.2">
      <c r="A25" s="142"/>
      <c r="B25" s="142"/>
      <c r="C25" s="142"/>
      <c r="D25" s="144"/>
      <c r="E25" s="144"/>
      <c r="F25" s="143"/>
      <c r="G25" s="142"/>
      <c r="H25" s="142"/>
      <c r="I25" s="144"/>
      <c r="J25" s="144"/>
    </row>
    <row r="26" spans="1:10" ht="12.75" customHeight="1" x14ac:dyDescent="0.2">
      <c r="A26" s="142"/>
      <c r="B26" s="142"/>
      <c r="C26" s="142"/>
      <c r="D26" s="144"/>
      <c r="E26" s="144"/>
      <c r="F26" s="143"/>
      <c r="G26" s="142"/>
      <c r="H26" s="142"/>
      <c r="I26" s="144"/>
      <c r="J26" s="144"/>
    </row>
    <row r="27" spans="1:10" x14ac:dyDescent="0.2">
      <c r="A27" s="142"/>
      <c r="B27" s="142"/>
      <c r="C27" s="142"/>
      <c r="D27" s="144"/>
      <c r="E27" s="144"/>
      <c r="F27" s="144"/>
      <c r="G27" s="142"/>
      <c r="H27" s="142"/>
      <c r="I27" s="144"/>
      <c r="J27" s="144"/>
    </row>
    <row r="28" spans="1:10" x14ac:dyDescent="0.2">
      <c r="A28" s="142"/>
      <c r="B28" s="142"/>
      <c r="C28" s="142"/>
      <c r="D28" s="144"/>
      <c r="E28" s="144"/>
      <c r="F28" s="143"/>
      <c r="G28" s="142"/>
      <c r="H28" s="142"/>
      <c r="I28" s="144"/>
      <c r="J28" s="144"/>
    </row>
    <row r="29" spans="1:10" x14ac:dyDescent="0.2">
      <c r="A29" s="142"/>
      <c r="B29" s="142"/>
      <c r="C29" s="142"/>
      <c r="D29" s="144"/>
      <c r="E29" s="144"/>
      <c r="F29" s="143"/>
      <c r="G29" s="142"/>
      <c r="H29" s="142"/>
      <c r="I29" s="144"/>
      <c r="J29" s="144"/>
    </row>
    <row r="30" spans="1:10" x14ac:dyDescent="0.2">
      <c r="A30" s="142"/>
      <c r="B30" s="142"/>
      <c r="C30" s="142"/>
      <c r="D30" s="144"/>
      <c r="E30" s="144"/>
      <c r="F30" s="144"/>
      <c r="G30" s="142"/>
      <c r="H30" s="142"/>
      <c r="I30" s="144"/>
      <c r="J30" s="144"/>
    </row>
    <row r="31" spans="1:10" x14ac:dyDescent="0.2">
      <c r="A31" s="142"/>
      <c r="B31" s="142"/>
      <c r="C31" s="142"/>
      <c r="D31" s="144"/>
      <c r="E31" s="144"/>
      <c r="F31" s="143"/>
      <c r="G31" s="142"/>
      <c r="H31" s="142"/>
      <c r="I31" s="144"/>
      <c r="J31" s="144"/>
    </row>
    <row r="32" spans="1:10" x14ac:dyDescent="0.2">
      <c r="A32" s="142"/>
      <c r="B32" s="142"/>
      <c r="C32" s="142"/>
      <c r="D32" s="144"/>
      <c r="E32" s="144"/>
      <c r="F32" s="143"/>
      <c r="G32" s="142"/>
      <c r="H32" s="142"/>
      <c r="I32" s="144"/>
      <c r="J32" s="144"/>
    </row>
    <row r="33" spans="1:10" x14ac:dyDescent="0.2">
      <c r="A33" s="142"/>
      <c r="B33" s="142"/>
      <c r="C33" s="142"/>
      <c r="D33" s="144"/>
      <c r="E33" s="144"/>
      <c r="F33" s="144"/>
      <c r="G33" s="142"/>
      <c r="H33" s="142"/>
      <c r="I33" s="144"/>
      <c r="J33" s="144"/>
    </row>
    <row r="34" spans="1:10" ht="12.75" customHeight="1" x14ac:dyDescent="0.2">
      <c r="A34" s="142"/>
      <c r="B34" s="142"/>
      <c r="C34" s="142"/>
      <c r="D34" s="144"/>
      <c r="E34" s="144"/>
      <c r="F34" s="143"/>
      <c r="G34" s="142"/>
      <c r="H34" s="142"/>
      <c r="I34" s="144"/>
      <c r="J34" s="144"/>
    </row>
    <row r="35" spans="1:10" x14ac:dyDescent="0.2">
      <c r="A35" s="142"/>
      <c r="B35" s="142"/>
      <c r="C35" s="142"/>
      <c r="D35" s="144"/>
      <c r="E35" s="144"/>
      <c r="F35" s="143"/>
      <c r="G35" s="142"/>
      <c r="H35" s="142"/>
      <c r="I35" s="144"/>
      <c r="J35" s="144"/>
    </row>
    <row r="36" spans="1:10" x14ac:dyDescent="0.2">
      <c r="A36" s="142"/>
      <c r="B36" s="142"/>
      <c r="C36" s="142"/>
      <c r="D36" s="144"/>
      <c r="E36" s="144"/>
      <c r="F36" s="144"/>
      <c r="G36" s="142"/>
      <c r="H36" s="142"/>
      <c r="I36" s="144"/>
      <c r="J36" s="144"/>
    </row>
    <row r="37" spans="1:10" x14ac:dyDescent="0.2">
      <c r="A37" s="142"/>
      <c r="B37" s="142"/>
      <c r="C37" s="142"/>
      <c r="D37" s="144"/>
      <c r="E37" s="144"/>
      <c r="F37" s="143"/>
      <c r="G37" s="142"/>
      <c r="H37" s="142"/>
      <c r="I37" s="144"/>
      <c r="J37" s="144"/>
    </row>
    <row r="38" spans="1:10" x14ac:dyDescent="0.2">
      <c r="A38" s="142"/>
      <c r="B38" s="142"/>
      <c r="C38" s="142"/>
      <c r="D38" s="144"/>
      <c r="E38" s="144"/>
      <c r="F38" s="143"/>
      <c r="G38" s="142"/>
      <c r="H38" s="142"/>
      <c r="I38" s="144"/>
      <c r="J38" s="144"/>
    </row>
    <row r="39" spans="1:10" x14ac:dyDescent="0.2">
      <c r="A39" s="142"/>
      <c r="B39" s="142"/>
      <c r="C39" s="142"/>
      <c r="D39" s="144"/>
      <c r="E39" s="144"/>
      <c r="F39" s="144"/>
      <c r="G39" s="142"/>
      <c r="H39" s="142"/>
      <c r="I39" s="144"/>
      <c r="J39" s="144"/>
    </row>
    <row r="40" spans="1:10" x14ac:dyDescent="0.2">
      <c r="A40" s="142"/>
      <c r="B40" s="142"/>
      <c r="C40" s="142"/>
      <c r="D40" s="144"/>
      <c r="E40" s="144"/>
      <c r="F40" s="143"/>
      <c r="G40" s="142"/>
      <c r="H40" s="142"/>
      <c r="I40" s="144"/>
      <c r="J40" s="144"/>
    </row>
    <row r="41" spans="1:10" ht="12.75" customHeight="1" x14ac:dyDescent="0.2">
      <c r="A41" s="142"/>
      <c r="B41" s="142"/>
      <c r="C41" s="142"/>
      <c r="D41" s="144"/>
      <c r="E41" s="144"/>
      <c r="F41" s="143"/>
      <c r="G41" s="142"/>
      <c r="H41" s="142"/>
      <c r="I41" s="144"/>
      <c r="J41" s="144"/>
    </row>
    <row r="42" spans="1:10" ht="12.75" customHeight="1" x14ac:dyDescent="0.2">
      <c r="A42" s="142"/>
      <c r="B42" s="142"/>
      <c r="C42" s="142"/>
      <c r="D42" s="144"/>
      <c r="E42" s="144"/>
      <c r="F42" s="144"/>
      <c r="G42" s="142"/>
      <c r="H42" s="142"/>
      <c r="I42" s="144"/>
      <c r="J42" s="144"/>
    </row>
    <row r="43" spans="1:10" ht="12.75" customHeight="1" x14ac:dyDescent="0.2">
      <c r="A43" s="142"/>
      <c r="B43" s="142"/>
      <c r="C43" s="142"/>
      <c r="D43" s="144"/>
      <c r="E43" s="144"/>
      <c r="F43" s="143"/>
      <c r="G43" s="142"/>
      <c r="H43" s="142"/>
      <c r="I43" s="144"/>
      <c r="J43" s="144"/>
    </row>
    <row r="44" spans="1:10" ht="12.75" customHeight="1" x14ac:dyDescent="0.2">
      <c r="A44" s="142"/>
      <c r="B44" s="142"/>
      <c r="C44" s="142"/>
      <c r="D44" s="144"/>
      <c r="E44" s="144"/>
      <c r="F44" s="143"/>
      <c r="G44" s="142"/>
      <c r="H44" s="142"/>
      <c r="I44" s="144"/>
      <c r="J44" s="144"/>
    </row>
    <row r="45" spans="1:10" ht="12.75" customHeight="1" x14ac:dyDescent="0.2">
      <c r="A45" s="142"/>
      <c r="B45" s="142"/>
      <c r="C45" s="142"/>
      <c r="D45" s="144"/>
      <c r="E45" s="144"/>
      <c r="F45" s="144"/>
      <c r="G45" s="142"/>
      <c r="H45" s="142"/>
      <c r="I45" s="144"/>
      <c r="J45" s="144"/>
    </row>
    <row r="46" spans="1:10" x14ac:dyDescent="0.2">
      <c r="A46" s="142"/>
      <c r="B46" s="142"/>
      <c r="C46" s="142"/>
      <c r="D46" s="144"/>
      <c r="E46" s="144"/>
      <c r="F46" s="143"/>
      <c r="G46" s="142"/>
      <c r="H46" s="142"/>
      <c r="I46" s="144"/>
      <c r="J46" s="144"/>
    </row>
    <row r="47" spans="1:10" x14ac:dyDescent="0.2">
      <c r="A47" s="142"/>
      <c r="B47" s="142"/>
      <c r="C47" s="142"/>
      <c r="D47" s="144"/>
      <c r="E47" s="144"/>
      <c r="F47" s="143"/>
      <c r="G47" s="142"/>
      <c r="H47" s="142"/>
      <c r="I47" s="144"/>
      <c r="J47" s="144"/>
    </row>
    <row r="48" spans="1:10" x14ac:dyDescent="0.2">
      <c r="A48" s="142"/>
      <c r="B48" s="142"/>
      <c r="C48" s="142"/>
      <c r="D48" s="144"/>
      <c r="E48" s="144"/>
      <c r="F48" s="144"/>
      <c r="G48" s="142"/>
      <c r="H48" s="142"/>
      <c r="I48" s="144"/>
      <c r="J48" s="144"/>
    </row>
    <row r="49" spans="1:10" x14ac:dyDescent="0.2">
      <c r="A49" s="142"/>
      <c r="B49" s="142"/>
      <c r="C49" s="142"/>
      <c r="D49" s="144"/>
      <c r="E49" s="144"/>
      <c r="F49" s="143"/>
      <c r="G49" s="142"/>
      <c r="H49" s="142"/>
      <c r="I49" s="144"/>
      <c r="J49" s="144"/>
    </row>
    <row r="50" spans="1:10" x14ac:dyDescent="0.2">
      <c r="A50" s="142"/>
      <c r="B50" s="142"/>
      <c r="C50" s="142"/>
      <c r="D50" s="144"/>
      <c r="E50" s="144"/>
      <c r="F50" s="143"/>
      <c r="G50" s="142"/>
      <c r="H50" s="142"/>
      <c r="I50" s="144"/>
      <c r="J50" s="144"/>
    </row>
    <row r="51" spans="1:10" x14ac:dyDescent="0.2">
      <c r="A51" s="142"/>
      <c r="B51" s="142"/>
      <c r="C51" s="142"/>
      <c r="D51" s="144"/>
      <c r="E51" s="144"/>
      <c r="F51" s="144"/>
      <c r="G51" s="142"/>
      <c r="H51" s="142"/>
      <c r="I51" s="144"/>
      <c r="J51" s="144"/>
    </row>
    <row r="52" spans="1:10" x14ac:dyDescent="0.2">
      <c r="A52" s="142"/>
      <c r="B52" s="142"/>
      <c r="C52" s="142"/>
      <c r="D52" s="144"/>
      <c r="E52" s="144"/>
      <c r="F52" s="143"/>
      <c r="G52" s="142"/>
      <c r="H52" s="142"/>
      <c r="I52" s="144"/>
      <c r="J52" s="144"/>
    </row>
    <row r="53" spans="1:10" x14ac:dyDescent="0.2">
      <c r="A53" s="142"/>
      <c r="B53" s="142"/>
      <c r="C53" s="142"/>
      <c r="D53" s="144"/>
      <c r="E53" s="144"/>
      <c r="F53" s="143"/>
      <c r="G53" s="142"/>
      <c r="H53" s="142"/>
      <c r="I53" s="144"/>
      <c r="J53" s="144"/>
    </row>
    <row r="54" spans="1:10" x14ac:dyDescent="0.2">
      <c r="A54" s="142"/>
      <c r="B54" s="142"/>
      <c r="C54" s="142"/>
      <c r="D54" s="144"/>
      <c r="E54" s="144"/>
      <c r="F54" s="144"/>
      <c r="G54" s="142"/>
      <c r="H54" s="142"/>
      <c r="I54" s="144"/>
      <c r="J54" s="144"/>
    </row>
    <row r="55" spans="1:10" ht="12.75" customHeight="1" x14ac:dyDescent="0.2">
      <c r="A55" s="142"/>
      <c r="B55" s="142"/>
      <c r="C55" s="142"/>
      <c r="D55" s="144"/>
      <c r="E55" s="144"/>
      <c r="F55" s="143"/>
      <c r="G55" s="142"/>
      <c r="H55" s="142"/>
      <c r="I55" s="144"/>
      <c r="J55" s="144"/>
    </row>
    <row r="56" spans="1:10" ht="12.75" customHeight="1" x14ac:dyDescent="0.2">
      <c r="A56" s="142"/>
      <c r="B56" s="142"/>
      <c r="C56" s="142"/>
      <c r="D56" s="144"/>
      <c r="E56" s="144"/>
      <c r="F56" s="143"/>
      <c r="G56" s="142"/>
      <c r="H56" s="142"/>
      <c r="I56" s="144"/>
      <c r="J56" s="144"/>
    </row>
    <row r="57" spans="1:10" ht="12.75" customHeight="1" x14ac:dyDescent="0.2">
      <c r="A57" s="142"/>
      <c r="B57" s="142"/>
      <c r="C57" s="142"/>
      <c r="D57" s="144"/>
      <c r="E57" s="144"/>
      <c r="F57" s="144"/>
      <c r="G57" s="142"/>
      <c r="H57" s="142"/>
      <c r="I57" s="144"/>
      <c r="J57" s="144"/>
    </row>
    <row r="58" spans="1:10" ht="12.75" customHeight="1" x14ac:dyDescent="0.2">
      <c r="A58" s="142"/>
      <c r="B58" s="142"/>
      <c r="C58" s="142"/>
      <c r="D58" s="144"/>
      <c r="E58" s="144"/>
      <c r="F58" s="143"/>
      <c r="G58" s="142"/>
      <c r="H58" s="142"/>
      <c r="I58" s="144"/>
      <c r="J58" s="144"/>
    </row>
    <row r="59" spans="1:10" ht="12.75" customHeight="1" x14ac:dyDescent="0.2">
      <c r="A59" s="142"/>
      <c r="B59" s="142"/>
      <c r="C59" s="142"/>
      <c r="D59" s="144"/>
      <c r="E59" s="144"/>
      <c r="F59" s="143"/>
      <c r="G59" s="142"/>
      <c r="H59" s="142"/>
      <c r="I59" s="144"/>
      <c r="J59" s="144"/>
    </row>
    <row r="60" spans="1:10" ht="12.75" customHeight="1" x14ac:dyDescent="0.2">
      <c r="A60" s="142"/>
      <c r="B60" s="142"/>
      <c r="C60" s="142"/>
      <c r="D60" s="144"/>
      <c r="E60" s="144"/>
      <c r="F60" s="144"/>
      <c r="G60" s="142"/>
      <c r="H60" s="142"/>
      <c r="I60" s="144"/>
      <c r="J60" s="144"/>
    </row>
    <row r="61" spans="1:10" ht="12.75" customHeight="1" x14ac:dyDescent="0.2">
      <c r="A61" s="142"/>
      <c r="B61" s="142"/>
      <c r="C61" s="142"/>
      <c r="D61" s="144"/>
      <c r="E61" s="144"/>
      <c r="F61" s="143"/>
      <c r="G61" s="142"/>
      <c r="H61" s="142"/>
      <c r="I61" s="144"/>
      <c r="J61" s="144"/>
    </row>
    <row r="62" spans="1:10" ht="12.75" customHeight="1" x14ac:dyDescent="0.2">
      <c r="A62" s="142"/>
      <c r="B62" s="142"/>
      <c r="C62" s="142"/>
      <c r="D62" s="144"/>
      <c r="E62" s="144"/>
      <c r="F62" s="143"/>
      <c r="G62" s="142"/>
      <c r="H62" s="142"/>
      <c r="I62" s="144"/>
      <c r="J62" s="144"/>
    </row>
    <row r="63" spans="1:10" ht="12.75" customHeight="1" x14ac:dyDescent="0.2">
      <c r="A63" s="142"/>
      <c r="B63" s="142"/>
      <c r="C63" s="142"/>
      <c r="D63" s="144"/>
      <c r="E63" s="144"/>
      <c r="F63" s="144"/>
      <c r="G63" s="142"/>
      <c r="H63" s="142"/>
      <c r="I63" s="144"/>
      <c r="J63" s="144"/>
    </row>
    <row r="64" spans="1:10" ht="12.75" customHeight="1" x14ac:dyDescent="0.2">
      <c r="A64" s="142"/>
      <c r="B64" s="142"/>
      <c r="C64" s="142"/>
      <c r="D64" s="144"/>
      <c r="E64" s="144"/>
      <c r="F64" s="143"/>
      <c r="G64" s="142"/>
      <c r="H64" s="142"/>
      <c r="I64" s="144"/>
      <c r="J64" s="144"/>
    </row>
    <row r="65" spans="1:10" x14ac:dyDescent="0.2">
      <c r="A65" s="142"/>
      <c r="B65" s="142"/>
      <c r="C65" s="142"/>
      <c r="D65" s="144"/>
      <c r="E65" s="144"/>
      <c r="F65" s="143"/>
      <c r="G65" s="142"/>
      <c r="H65" s="142"/>
      <c r="I65" s="144"/>
      <c r="J65" s="144"/>
    </row>
    <row r="66" spans="1:10" ht="12.75" customHeight="1" x14ac:dyDescent="0.2">
      <c r="A66" s="142"/>
      <c r="B66" s="142"/>
      <c r="C66" s="142"/>
      <c r="D66" s="144"/>
      <c r="E66" s="144"/>
      <c r="F66" s="144"/>
      <c r="G66" s="142"/>
      <c r="H66" s="142"/>
      <c r="I66" s="144"/>
      <c r="J66" s="144"/>
    </row>
    <row r="67" spans="1:10" ht="12.75" customHeight="1" x14ac:dyDescent="0.2">
      <c r="A67" s="142"/>
      <c r="B67" s="142"/>
      <c r="C67" s="142"/>
      <c r="D67" s="144"/>
      <c r="E67" s="144"/>
      <c r="F67" s="143"/>
      <c r="G67" s="142"/>
      <c r="H67" s="142"/>
      <c r="I67" s="144"/>
      <c r="J67" s="144"/>
    </row>
    <row r="68" spans="1:10" x14ac:dyDescent="0.2">
      <c r="A68" s="142"/>
      <c r="B68" s="142"/>
      <c r="C68" s="142"/>
      <c r="D68" s="144"/>
      <c r="E68" s="144"/>
      <c r="F68" s="143"/>
      <c r="G68" s="142"/>
      <c r="H68" s="142"/>
      <c r="I68" s="144"/>
      <c r="J68" s="144"/>
    </row>
    <row r="69" spans="1:10" x14ac:dyDescent="0.2">
      <c r="A69" s="142"/>
      <c r="B69" s="142"/>
      <c r="C69" s="142"/>
      <c r="D69" s="144"/>
      <c r="E69" s="144"/>
      <c r="F69" s="144"/>
      <c r="G69" s="142"/>
      <c r="H69" s="142"/>
      <c r="I69" s="144"/>
      <c r="J69" s="144"/>
    </row>
    <row r="70" spans="1:10" x14ac:dyDescent="0.2">
      <c r="A70" s="142"/>
      <c r="B70" s="142"/>
      <c r="C70" s="142"/>
      <c r="D70" s="144"/>
      <c r="E70" s="144"/>
      <c r="F70" s="143"/>
      <c r="G70" s="142"/>
      <c r="H70" s="142"/>
      <c r="I70" s="144"/>
      <c r="J70" s="144"/>
    </row>
    <row r="71" spans="1:10" ht="12.75" customHeight="1" x14ac:dyDescent="0.2">
      <c r="A71" s="142"/>
      <c r="B71" s="142"/>
      <c r="C71" s="142"/>
      <c r="D71" s="144"/>
      <c r="E71" s="144"/>
      <c r="F71" s="143"/>
      <c r="G71" s="142"/>
      <c r="H71" s="142"/>
      <c r="I71" s="144"/>
      <c r="J71" s="144"/>
    </row>
    <row r="72" spans="1:10" x14ac:dyDescent="0.2">
      <c r="A72" s="142"/>
      <c r="B72" s="142"/>
      <c r="C72" s="142"/>
      <c r="D72" s="144"/>
      <c r="E72" s="144"/>
      <c r="F72" s="144"/>
      <c r="G72" s="142"/>
      <c r="H72" s="142"/>
      <c r="I72" s="144"/>
      <c r="J72" s="144"/>
    </row>
    <row r="73" spans="1:10" x14ac:dyDescent="0.2">
      <c r="A73" s="142"/>
      <c r="B73" s="142"/>
      <c r="C73" s="142"/>
      <c r="D73" s="144"/>
      <c r="E73" s="144"/>
      <c r="F73" s="143"/>
      <c r="G73" s="142"/>
      <c r="H73" s="142"/>
      <c r="I73" s="144"/>
      <c r="J73" s="144"/>
    </row>
    <row r="74" spans="1:10" x14ac:dyDescent="0.2">
      <c r="A74" s="142"/>
      <c r="B74" s="142"/>
      <c r="C74" s="142"/>
      <c r="D74" s="144"/>
      <c r="E74" s="144"/>
      <c r="F74" s="143"/>
      <c r="G74" s="142"/>
      <c r="H74" s="142"/>
      <c r="I74" s="144"/>
      <c r="J74" s="144"/>
    </row>
    <row r="75" spans="1:10" ht="12.75" customHeight="1" x14ac:dyDescent="0.2">
      <c r="A75" s="142"/>
      <c r="B75" s="142"/>
      <c r="C75" s="142"/>
      <c r="D75" s="144"/>
      <c r="E75" s="144"/>
      <c r="F75" s="144"/>
      <c r="G75" s="142"/>
      <c r="H75" s="142"/>
      <c r="I75" s="144"/>
      <c r="J75" s="144"/>
    </row>
    <row r="76" spans="1:10" x14ac:dyDescent="0.2">
      <c r="A76" s="142"/>
      <c r="B76" s="142"/>
      <c r="C76" s="142"/>
      <c r="D76" s="144"/>
      <c r="E76" s="144"/>
      <c r="F76" s="143"/>
      <c r="G76" s="142"/>
      <c r="H76" s="142"/>
      <c r="I76" s="144"/>
      <c r="J76" s="144"/>
    </row>
    <row r="77" spans="1:10" x14ac:dyDescent="0.2">
      <c r="A77" s="142"/>
      <c r="B77" s="142"/>
      <c r="C77" s="142"/>
      <c r="D77" s="144"/>
      <c r="E77" s="144"/>
      <c r="F77" s="143"/>
      <c r="G77" s="142"/>
      <c r="H77" s="142"/>
      <c r="I77" s="144"/>
      <c r="J77" s="144"/>
    </row>
    <row r="78" spans="1:10" ht="12.75" customHeight="1" x14ac:dyDescent="0.2">
      <c r="A78" s="142"/>
      <c r="B78" s="142"/>
      <c r="C78" s="142"/>
      <c r="D78" s="144"/>
      <c r="E78" s="144"/>
      <c r="F78" s="144"/>
      <c r="G78" s="142"/>
      <c r="H78" s="142"/>
      <c r="I78" s="144"/>
      <c r="J78" s="144"/>
    </row>
    <row r="79" spans="1:10" ht="12.75" customHeight="1" x14ac:dyDescent="0.2">
      <c r="A79" s="142"/>
      <c r="B79" s="142"/>
      <c r="C79" s="142"/>
      <c r="D79" s="144"/>
      <c r="E79" s="144"/>
      <c r="F79" s="143"/>
      <c r="G79" s="142"/>
      <c r="H79" s="142"/>
      <c r="I79" s="144"/>
      <c r="J79" s="144"/>
    </row>
    <row r="80" spans="1:10" ht="12.75" customHeight="1" x14ac:dyDescent="0.2">
      <c r="A80" s="142"/>
      <c r="B80" s="142"/>
      <c r="C80" s="142"/>
      <c r="D80" s="144"/>
      <c r="E80" s="144"/>
      <c r="F80" s="143"/>
      <c r="G80" s="142"/>
      <c r="H80" s="142"/>
      <c r="I80" s="144"/>
      <c r="J80" s="144"/>
    </row>
    <row r="81" spans="1:10" ht="12.75" customHeight="1" x14ac:dyDescent="0.2">
      <c r="A81" s="142"/>
      <c r="B81" s="142"/>
      <c r="C81" s="142"/>
      <c r="D81" s="144"/>
      <c r="E81" s="144"/>
      <c r="F81" s="144"/>
      <c r="G81" s="142"/>
      <c r="H81" s="142"/>
      <c r="I81" s="144"/>
      <c r="J81" s="144"/>
    </row>
    <row r="82" spans="1:10" ht="12.75" customHeight="1" x14ac:dyDescent="0.2">
      <c r="A82" s="142"/>
      <c r="B82" s="142"/>
      <c r="C82" s="142"/>
      <c r="D82" s="144"/>
      <c r="E82" s="144"/>
      <c r="F82" s="143"/>
      <c r="G82" s="142"/>
      <c r="H82" s="142"/>
      <c r="I82" s="144"/>
      <c r="J82" s="144"/>
    </row>
    <row r="83" spans="1:10" ht="12.75" customHeight="1" x14ac:dyDescent="0.2">
      <c r="A83" s="142"/>
      <c r="B83" s="142"/>
      <c r="C83" s="142"/>
      <c r="D83" s="144"/>
      <c r="E83" s="144"/>
      <c r="F83" s="143"/>
      <c r="G83" s="142"/>
      <c r="H83" s="142"/>
      <c r="I83" s="144"/>
      <c r="J83" s="144"/>
    </row>
    <row r="84" spans="1:10" x14ac:dyDescent="0.2">
      <c r="A84" s="142"/>
      <c r="B84" s="142"/>
      <c r="C84" s="142"/>
      <c r="D84" s="144"/>
      <c r="E84" s="144"/>
      <c r="F84" s="144"/>
      <c r="G84" s="142"/>
      <c r="H84" s="142"/>
      <c r="I84" s="144"/>
      <c r="J84" s="144"/>
    </row>
    <row r="85" spans="1:10" x14ac:dyDescent="0.2">
      <c r="A85" s="142"/>
      <c r="B85" s="142"/>
      <c r="C85" s="142"/>
      <c r="D85" s="144"/>
      <c r="E85" s="144"/>
      <c r="F85" s="143"/>
      <c r="G85" s="142"/>
      <c r="H85" s="142"/>
      <c r="I85" s="144"/>
      <c r="J85" s="144"/>
    </row>
    <row r="86" spans="1:10" x14ac:dyDescent="0.2">
      <c r="A86" s="142"/>
      <c r="B86" s="142"/>
      <c r="C86" s="142"/>
      <c r="D86" s="144"/>
      <c r="E86" s="144"/>
      <c r="F86" s="143"/>
      <c r="G86" s="142"/>
      <c r="H86" s="142"/>
      <c r="I86" s="144"/>
      <c r="J86" s="144"/>
    </row>
    <row r="87" spans="1:10" x14ac:dyDescent="0.2">
      <c r="A87" s="142"/>
      <c r="B87" s="142"/>
      <c r="C87" s="142"/>
      <c r="D87" s="144"/>
      <c r="E87" s="144"/>
      <c r="F87" s="144"/>
      <c r="G87" s="142"/>
      <c r="H87" s="142"/>
      <c r="I87" s="144"/>
      <c r="J87" s="144"/>
    </row>
    <row r="88" spans="1:10" x14ac:dyDescent="0.2">
      <c r="A88" s="142"/>
      <c r="B88" s="142"/>
      <c r="C88" s="142"/>
      <c r="D88" s="144"/>
      <c r="E88" s="144"/>
      <c r="F88" s="143"/>
      <c r="G88" s="142"/>
      <c r="H88" s="142"/>
      <c r="I88" s="144"/>
      <c r="J88" s="144"/>
    </row>
    <row r="89" spans="1:10" ht="12.75" customHeight="1" x14ac:dyDescent="0.2">
      <c r="A89" s="142"/>
      <c r="B89" s="142"/>
      <c r="C89" s="142"/>
      <c r="D89" s="144"/>
      <c r="E89" s="144"/>
      <c r="F89" s="143"/>
      <c r="G89" s="142"/>
      <c r="H89" s="142"/>
      <c r="I89" s="144"/>
      <c r="J89" s="144"/>
    </row>
    <row r="90" spans="1:10" ht="12.75" customHeight="1" x14ac:dyDescent="0.2">
      <c r="A90" s="142"/>
      <c r="B90" s="142"/>
      <c r="C90" s="142"/>
      <c r="D90" s="144"/>
      <c r="E90" s="144"/>
      <c r="F90" s="144"/>
      <c r="G90" s="142"/>
      <c r="H90" s="142"/>
      <c r="I90" s="144"/>
      <c r="J90" s="144"/>
    </row>
    <row r="91" spans="1:10" x14ac:dyDescent="0.2">
      <c r="A91" s="142"/>
      <c r="B91" s="142"/>
      <c r="C91" s="142"/>
      <c r="D91" s="144"/>
      <c r="E91" s="144"/>
      <c r="F91" s="143"/>
      <c r="G91" s="142"/>
      <c r="H91" s="142"/>
      <c r="I91" s="144"/>
      <c r="J91" s="144"/>
    </row>
    <row r="92" spans="1:10" x14ac:dyDescent="0.2">
      <c r="A92" s="142"/>
      <c r="B92" s="142"/>
      <c r="C92" s="142"/>
      <c r="D92" s="144"/>
      <c r="E92" s="144"/>
      <c r="F92" s="143"/>
      <c r="G92" s="142"/>
      <c r="H92" s="142"/>
      <c r="I92" s="144"/>
      <c r="J92" s="144"/>
    </row>
    <row r="93" spans="1:10" x14ac:dyDescent="0.2">
      <c r="A93" s="142"/>
      <c r="B93" s="142"/>
      <c r="C93" s="142"/>
      <c r="D93" s="144"/>
      <c r="E93" s="144"/>
      <c r="F93" s="144"/>
      <c r="G93" s="142"/>
      <c r="H93" s="142"/>
      <c r="I93" s="144"/>
      <c r="J93" s="144"/>
    </row>
    <row r="94" spans="1:10" x14ac:dyDescent="0.2">
      <c r="A94" s="142"/>
      <c r="B94" s="142"/>
      <c r="C94" s="142"/>
      <c r="D94" s="144"/>
      <c r="E94" s="144"/>
      <c r="F94" s="143"/>
      <c r="G94" s="142"/>
      <c r="H94" s="142"/>
      <c r="I94" s="144"/>
      <c r="J94" s="144"/>
    </row>
    <row r="95" spans="1:10" ht="12.75" customHeight="1" x14ac:dyDescent="0.2">
      <c r="A95" s="142"/>
      <c r="B95" s="142"/>
      <c r="C95" s="142"/>
      <c r="D95" s="144"/>
      <c r="E95" s="144"/>
      <c r="F95" s="143"/>
      <c r="G95" s="142"/>
      <c r="H95" s="142"/>
      <c r="I95" s="144"/>
      <c r="J95" s="144"/>
    </row>
    <row r="96" spans="1:10" ht="12.75" customHeight="1" x14ac:dyDescent="0.2">
      <c r="A96" s="142"/>
      <c r="B96" s="142"/>
      <c r="C96" s="142"/>
      <c r="D96" s="144"/>
      <c r="E96" s="144"/>
      <c r="F96" s="144"/>
      <c r="G96" s="142"/>
      <c r="H96" s="142"/>
      <c r="I96" s="144"/>
      <c r="J96" s="144"/>
    </row>
    <row r="97" spans="1:10" ht="12.75" customHeight="1" x14ac:dyDescent="0.2">
      <c r="A97" s="142"/>
      <c r="B97" s="142"/>
      <c r="C97" s="142"/>
      <c r="D97" s="144"/>
      <c r="E97" s="144"/>
      <c r="F97" s="143"/>
      <c r="G97" s="142"/>
      <c r="H97" s="142"/>
      <c r="I97" s="144"/>
      <c r="J97" s="144"/>
    </row>
    <row r="98" spans="1:10" ht="12.75" customHeight="1" x14ac:dyDescent="0.2">
      <c r="A98" s="142"/>
      <c r="B98" s="142"/>
      <c r="C98" s="142"/>
      <c r="D98" s="144"/>
      <c r="E98" s="144"/>
      <c r="F98" s="143"/>
      <c r="G98" s="142"/>
      <c r="H98" s="142"/>
      <c r="I98" s="144"/>
      <c r="J98" s="144"/>
    </row>
    <row r="99" spans="1:10" ht="12.75" customHeight="1" x14ac:dyDescent="0.2">
      <c r="A99" s="142"/>
      <c r="B99" s="142"/>
      <c r="C99" s="142"/>
      <c r="D99" s="144"/>
      <c r="E99" s="144"/>
      <c r="F99" s="144"/>
      <c r="G99" s="142"/>
      <c r="H99" s="142"/>
      <c r="I99" s="144"/>
      <c r="J99" s="144"/>
    </row>
    <row r="100" spans="1:10" ht="12.75" customHeight="1" x14ac:dyDescent="0.2">
      <c r="A100" s="142"/>
      <c r="B100" s="142"/>
      <c r="C100" s="142"/>
      <c r="D100" s="144"/>
      <c r="E100" s="144"/>
      <c r="F100" s="143"/>
      <c r="G100" s="142"/>
      <c r="H100" s="142"/>
      <c r="I100" s="144"/>
      <c r="J100" s="144"/>
    </row>
    <row r="101" spans="1:10" x14ac:dyDescent="0.2">
      <c r="A101" s="142"/>
      <c r="B101" s="142"/>
      <c r="C101" s="142"/>
      <c r="D101" s="144"/>
      <c r="E101" s="144"/>
      <c r="F101" s="143"/>
      <c r="G101" s="142"/>
      <c r="H101" s="142"/>
      <c r="I101" s="144"/>
      <c r="J101" s="144"/>
    </row>
    <row r="102" spans="1:10" x14ac:dyDescent="0.2">
      <c r="A102" s="142"/>
      <c r="B102" s="142"/>
      <c r="C102" s="142"/>
      <c r="D102" s="144"/>
      <c r="E102" s="144"/>
      <c r="F102" s="144"/>
      <c r="G102" s="142"/>
      <c r="H102" s="142"/>
      <c r="I102" s="144"/>
      <c r="J102" s="144"/>
    </row>
    <row r="103" spans="1:10" ht="12.75" customHeight="1" x14ac:dyDescent="0.2">
      <c r="A103" s="142"/>
      <c r="B103" s="142"/>
      <c r="C103" s="142"/>
      <c r="D103" s="144"/>
      <c r="E103" s="144"/>
      <c r="F103" s="143"/>
      <c r="G103" s="142"/>
      <c r="H103" s="142"/>
      <c r="I103" s="144"/>
      <c r="J103" s="144"/>
    </row>
    <row r="104" spans="1:10" ht="12.75" customHeight="1" x14ac:dyDescent="0.2">
      <c r="A104" s="142"/>
      <c r="B104" s="142"/>
      <c r="C104" s="142"/>
      <c r="D104" s="144"/>
      <c r="E104" s="144"/>
      <c r="F104" s="143"/>
      <c r="G104" s="142"/>
      <c r="H104" s="142"/>
      <c r="I104" s="144"/>
      <c r="J104" s="144"/>
    </row>
    <row r="105" spans="1:10" s="145" customFormat="1" ht="12.75" customHeight="1" x14ac:dyDescent="0.2">
      <c r="A105" s="142"/>
      <c r="B105" s="142"/>
      <c r="C105" s="142"/>
      <c r="D105" s="144"/>
      <c r="E105" s="144"/>
      <c r="F105" s="144"/>
      <c r="G105" s="142"/>
      <c r="H105" s="142"/>
      <c r="I105" s="144"/>
      <c r="J105" s="144"/>
    </row>
    <row r="106" spans="1:10" s="146" customFormat="1" ht="12.75" customHeight="1" x14ac:dyDescent="0.2">
      <c r="A106" s="142"/>
      <c r="B106" s="142"/>
      <c r="C106" s="142"/>
      <c r="D106" s="144"/>
      <c r="E106" s="144"/>
      <c r="F106" s="143"/>
      <c r="G106" s="142"/>
      <c r="H106" s="142"/>
      <c r="I106" s="144"/>
      <c r="J106" s="144"/>
    </row>
    <row r="107" spans="1:10" s="145" customFormat="1" ht="12.75" customHeight="1" x14ac:dyDescent="0.2">
      <c r="A107" s="142"/>
      <c r="B107" s="142"/>
      <c r="C107" s="142"/>
      <c r="D107" s="144"/>
      <c r="E107" s="144"/>
      <c r="F107" s="143"/>
      <c r="G107" s="142"/>
      <c r="H107" s="142"/>
      <c r="I107" s="144"/>
      <c r="J107" s="144"/>
    </row>
    <row r="108" spans="1:10" ht="12.75" customHeight="1" x14ac:dyDescent="0.2">
      <c r="A108" s="142"/>
      <c r="B108" s="142"/>
      <c r="C108" s="142"/>
      <c r="D108" s="144"/>
      <c r="E108" s="144"/>
      <c r="F108" s="144"/>
      <c r="G108" s="142"/>
      <c r="H108" s="142"/>
      <c r="I108" s="144"/>
      <c r="J108" s="144"/>
    </row>
    <row r="109" spans="1:10" ht="12.75" customHeight="1" x14ac:dyDescent="0.2">
      <c r="A109" s="142"/>
      <c r="B109" s="142"/>
      <c r="C109" s="142"/>
      <c r="D109" s="144"/>
      <c r="E109" s="144"/>
      <c r="F109" s="143"/>
      <c r="G109" s="142"/>
      <c r="H109" s="142"/>
      <c r="I109" s="144"/>
      <c r="J109" s="144"/>
    </row>
    <row r="110" spans="1:10" x14ac:dyDescent="0.2">
      <c r="A110" s="142"/>
      <c r="B110" s="142"/>
      <c r="C110" s="142"/>
      <c r="D110" s="144"/>
      <c r="E110" s="144"/>
      <c r="F110" s="143"/>
      <c r="G110" s="142"/>
      <c r="H110" s="142"/>
      <c r="I110" s="144"/>
      <c r="J110" s="144"/>
    </row>
    <row r="111" spans="1:10" x14ac:dyDescent="0.2">
      <c r="A111" s="142"/>
      <c r="B111" s="142"/>
      <c r="C111" s="142"/>
      <c r="D111" s="144"/>
      <c r="E111" s="144"/>
      <c r="F111" s="144"/>
      <c r="G111" s="142"/>
      <c r="H111" s="142"/>
      <c r="I111" s="144"/>
      <c r="J111" s="144"/>
    </row>
    <row r="112" spans="1:10" x14ac:dyDescent="0.2">
      <c r="A112" s="142"/>
      <c r="B112" s="142"/>
      <c r="C112" s="142"/>
      <c r="D112" s="144"/>
      <c r="E112" s="144"/>
      <c r="F112" s="143"/>
      <c r="G112" s="142"/>
      <c r="H112" s="142"/>
      <c r="I112" s="144"/>
      <c r="J112" s="144"/>
    </row>
    <row r="113" spans="1:10" x14ac:dyDescent="0.2">
      <c r="A113" s="142"/>
      <c r="B113" s="142"/>
      <c r="C113" s="142"/>
      <c r="D113" s="144"/>
      <c r="E113" s="144"/>
      <c r="F113" s="143"/>
      <c r="G113" s="142"/>
      <c r="H113" s="142"/>
      <c r="I113" s="144"/>
      <c r="J113" s="144"/>
    </row>
    <row r="114" spans="1:10" ht="12.75" customHeight="1" x14ac:dyDescent="0.2">
      <c r="A114" s="142"/>
      <c r="B114" s="142"/>
      <c r="C114" s="142"/>
      <c r="D114" s="144"/>
      <c r="E114" s="144"/>
      <c r="F114" s="144"/>
      <c r="G114" s="142"/>
      <c r="H114" s="142"/>
      <c r="I114" s="144"/>
      <c r="J114" s="144"/>
    </row>
    <row r="115" spans="1:10" x14ac:dyDescent="0.2">
      <c r="A115" s="142"/>
      <c r="B115" s="142"/>
      <c r="C115" s="142"/>
      <c r="D115" s="144"/>
      <c r="E115" s="144"/>
      <c r="F115" s="143"/>
      <c r="G115" s="142"/>
      <c r="H115" s="142"/>
      <c r="I115" s="144"/>
      <c r="J115" s="144"/>
    </row>
    <row r="116" spans="1:10" ht="12.75" customHeight="1" x14ac:dyDescent="0.2">
      <c r="A116" s="142"/>
      <c r="B116" s="142"/>
      <c r="C116" s="142"/>
      <c r="D116" s="144"/>
      <c r="E116" s="144"/>
      <c r="F116" s="143"/>
      <c r="G116" s="142"/>
      <c r="H116" s="142"/>
      <c r="I116" s="144"/>
      <c r="J116" s="144"/>
    </row>
    <row r="117" spans="1:10" x14ac:dyDescent="0.2">
      <c r="A117" s="142"/>
      <c r="B117" s="142"/>
      <c r="C117" s="142"/>
      <c r="D117" s="144"/>
      <c r="E117" s="144"/>
      <c r="F117" s="144"/>
      <c r="G117" s="142"/>
      <c r="H117" s="142"/>
      <c r="I117" s="144"/>
      <c r="J117" s="144"/>
    </row>
    <row r="118" spans="1:10" x14ac:dyDescent="0.2">
      <c r="A118" s="142"/>
      <c r="B118" s="142"/>
      <c r="C118" s="142"/>
      <c r="D118" s="144"/>
      <c r="E118" s="144"/>
      <c r="F118" s="143"/>
      <c r="G118" s="142"/>
      <c r="H118" s="142"/>
      <c r="I118" s="144"/>
      <c r="J118" s="144"/>
    </row>
    <row r="119" spans="1:10" x14ac:dyDescent="0.2">
      <c r="A119" s="142"/>
      <c r="B119" s="142"/>
      <c r="C119" s="142"/>
      <c r="D119" s="144"/>
      <c r="E119" s="144"/>
      <c r="F119" s="143"/>
      <c r="G119" s="142"/>
      <c r="H119" s="142"/>
      <c r="I119" s="144"/>
      <c r="J119" s="144"/>
    </row>
    <row r="120" spans="1:10" x14ac:dyDescent="0.2">
      <c r="A120" s="142"/>
      <c r="B120" s="142"/>
      <c r="C120" s="142"/>
      <c r="D120" s="144"/>
      <c r="E120" s="144"/>
      <c r="F120" s="144"/>
      <c r="G120" s="142"/>
      <c r="H120" s="142"/>
      <c r="I120" s="144"/>
      <c r="J120" s="144"/>
    </row>
    <row r="121" spans="1:10" ht="12.75" customHeight="1" x14ac:dyDescent="0.2">
      <c r="A121" s="142"/>
      <c r="B121" s="142"/>
      <c r="C121" s="142"/>
      <c r="D121" s="144"/>
      <c r="E121" s="144"/>
      <c r="F121" s="143"/>
      <c r="G121" s="142"/>
      <c r="H121" s="142"/>
      <c r="I121" s="144"/>
      <c r="J121" s="144"/>
    </row>
    <row r="122" spans="1:10" x14ac:dyDescent="0.2">
      <c r="A122" s="142"/>
      <c r="B122" s="142"/>
      <c r="C122" s="142"/>
      <c r="D122" s="144"/>
      <c r="E122" s="144"/>
      <c r="F122" s="143"/>
      <c r="G122" s="142"/>
      <c r="H122" s="142"/>
      <c r="I122" s="144"/>
      <c r="J122" s="144"/>
    </row>
    <row r="123" spans="1:10" x14ac:dyDescent="0.2">
      <c r="A123" s="142"/>
      <c r="B123" s="142"/>
      <c r="C123" s="142"/>
      <c r="D123" s="144"/>
      <c r="E123" s="144"/>
      <c r="F123" s="144"/>
      <c r="G123" s="142"/>
      <c r="H123" s="142"/>
      <c r="I123" s="144"/>
      <c r="J123" s="144"/>
    </row>
    <row r="124" spans="1:10" x14ac:dyDescent="0.2">
      <c r="A124" s="142"/>
      <c r="B124" s="142"/>
      <c r="C124" s="142"/>
      <c r="D124" s="144"/>
      <c r="E124" s="144"/>
      <c r="F124" s="143"/>
      <c r="G124" s="142"/>
      <c r="H124" s="142"/>
      <c r="I124" s="144"/>
      <c r="J124" s="144"/>
    </row>
    <row r="125" spans="1:10" x14ac:dyDescent="0.2">
      <c r="A125" s="142"/>
      <c r="B125" s="142"/>
      <c r="C125" s="142"/>
      <c r="D125" s="144"/>
      <c r="E125" s="144"/>
      <c r="F125" s="143"/>
      <c r="G125" s="142"/>
      <c r="H125" s="142"/>
      <c r="I125" s="144"/>
      <c r="J125" s="144"/>
    </row>
    <row r="126" spans="1:10" ht="12.75" customHeight="1" x14ac:dyDescent="0.2">
      <c r="A126" s="142"/>
      <c r="B126" s="142"/>
      <c r="C126" s="142"/>
      <c r="D126" s="144"/>
      <c r="E126" s="144"/>
      <c r="F126" s="144"/>
      <c r="G126" s="142"/>
      <c r="H126" s="142"/>
      <c r="I126" s="144"/>
      <c r="J126" s="144"/>
    </row>
    <row r="127" spans="1:10" x14ac:dyDescent="0.2">
      <c r="A127" s="142"/>
      <c r="B127" s="142"/>
      <c r="C127" s="142"/>
      <c r="D127" s="144"/>
      <c r="E127" s="144"/>
      <c r="F127" s="143"/>
      <c r="G127" s="142"/>
      <c r="H127" s="142"/>
      <c r="I127" s="144"/>
      <c r="J127" s="144"/>
    </row>
    <row r="128" spans="1:10" x14ac:dyDescent="0.2">
      <c r="A128" s="142"/>
      <c r="B128" s="142"/>
      <c r="C128" s="142"/>
      <c r="D128" s="144"/>
      <c r="E128" s="144"/>
      <c r="F128" s="143"/>
      <c r="G128" s="142"/>
      <c r="H128" s="142"/>
      <c r="I128" s="144"/>
      <c r="J128" s="144"/>
    </row>
    <row r="129" spans="1:10" ht="12.75" customHeight="1" x14ac:dyDescent="0.2">
      <c r="A129" s="142"/>
      <c r="B129" s="142"/>
      <c r="C129" s="142"/>
      <c r="D129" s="144"/>
      <c r="E129" s="144"/>
      <c r="F129" s="144"/>
      <c r="G129" s="142"/>
      <c r="H129" s="142"/>
      <c r="I129" s="144"/>
      <c r="J129" s="144"/>
    </row>
    <row r="130" spans="1:10" x14ac:dyDescent="0.2">
      <c r="A130" s="142"/>
      <c r="B130" s="142"/>
      <c r="C130" s="142"/>
      <c r="D130" s="144"/>
      <c r="E130" s="144"/>
      <c r="F130" s="143"/>
      <c r="G130" s="142"/>
      <c r="H130" s="142"/>
      <c r="I130" s="144"/>
      <c r="J130" s="144"/>
    </row>
    <row r="131" spans="1:10" x14ac:dyDescent="0.2">
      <c r="A131" s="142"/>
      <c r="B131" s="142"/>
      <c r="C131" s="142"/>
      <c r="D131" s="144"/>
      <c r="E131" s="144"/>
      <c r="F131" s="143"/>
      <c r="G131" s="142"/>
      <c r="H131" s="142"/>
      <c r="I131" s="144"/>
      <c r="J131" s="144"/>
    </row>
    <row r="132" spans="1:10" x14ac:dyDescent="0.2">
      <c r="A132" s="142"/>
      <c r="B132" s="142"/>
      <c r="C132" s="142"/>
      <c r="D132" s="144"/>
      <c r="E132" s="144"/>
      <c r="F132" s="144"/>
      <c r="G132" s="142"/>
      <c r="H132" s="142"/>
      <c r="I132" s="144"/>
      <c r="J132" s="144"/>
    </row>
    <row r="133" spans="1:10" x14ac:dyDescent="0.2">
      <c r="A133" s="142"/>
      <c r="B133" s="142"/>
      <c r="C133" s="142"/>
      <c r="D133" s="144"/>
      <c r="E133" s="144"/>
      <c r="F133" s="143"/>
      <c r="G133" s="142"/>
      <c r="H133" s="142"/>
      <c r="I133" s="144"/>
      <c r="J133" s="144"/>
    </row>
    <row r="134" spans="1:10" ht="12.75" customHeight="1" x14ac:dyDescent="0.2">
      <c r="A134" s="142"/>
      <c r="B134" s="142"/>
      <c r="C134" s="142"/>
      <c r="D134" s="144"/>
      <c r="E134" s="144"/>
      <c r="F134" s="143"/>
      <c r="G134" s="142"/>
      <c r="H134" s="142"/>
      <c r="I134" s="144"/>
      <c r="J134" s="144"/>
    </row>
    <row r="135" spans="1:10" ht="12.75" customHeight="1" x14ac:dyDescent="0.2">
      <c r="A135" s="142"/>
      <c r="B135" s="142"/>
      <c r="C135" s="142"/>
      <c r="D135" s="144"/>
      <c r="E135" s="144"/>
      <c r="F135" s="144"/>
      <c r="G135" s="142"/>
      <c r="H135" s="142"/>
      <c r="I135" s="144"/>
      <c r="J135" s="144"/>
    </row>
    <row r="136" spans="1:10" ht="12.75" customHeight="1" x14ac:dyDescent="0.2">
      <c r="A136" s="142"/>
      <c r="B136" s="142"/>
      <c r="C136" s="142"/>
      <c r="D136" s="144"/>
      <c r="E136" s="144"/>
      <c r="F136" s="143"/>
      <c r="G136" s="142"/>
      <c r="H136" s="142"/>
      <c r="I136" s="144"/>
      <c r="J136" s="144"/>
    </row>
    <row r="137" spans="1:10" ht="12.75" customHeight="1" x14ac:dyDescent="0.2">
      <c r="A137" s="142"/>
      <c r="B137" s="142"/>
      <c r="C137" s="142"/>
      <c r="D137" s="144"/>
      <c r="E137" s="144"/>
      <c r="F137" s="143"/>
      <c r="G137" s="142"/>
      <c r="H137" s="142"/>
      <c r="I137" s="144"/>
      <c r="J137" s="144"/>
    </row>
    <row r="138" spans="1:10" ht="12.75" customHeight="1" x14ac:dyDescent="0.2">
      <c r="A138" s="142"/>
      <c r="B138" s="142"/>
      <c r="C138" s="142"/>
      <c r="D138" s="144"/>
      <c r="E138" s="144"/>
      <c r="F138" s="144"/>
      <c r="G138" s="142"/>
      <c r="H138" s="142"/>
      <c r="I138" s="144"/>
      <c r="J138" s="144"/>
    </row>
    <row r="139" spans="1:10" ht="12.75" customHeight="1" x14ac:dyDescent="0.2">
      <c r="A139" s="142"/>
      <c r="B139" s="142"/>
      <c r="C139" s="142"/>
      <c r="D139" s="144"/>
      <c r="E139" s="144"/>
      <c r="F139" s="143"/>
      <c r="G139" s="142"/>
      <c r="H139" s="142"/>
      <c r="I139" s="144"/>
      <c r="J139" s="144"/>
    </row>
    <row r="140" spans="1:10" ht="12.75" customHeight="1" x14ac:dyDescent="0.2">
      <c r="A140" s="142"/>
      <c r="B140" s="142"/>
      <c r="C140" s="142"/>
      <c r="D140" s="144"/>
      <c r="E140" s="144"/>
      <c r="F140" s="143"/>
      <c r="G140" s="142"/>
      <c r="H140" s="142"/>
      <c r="I140" s="144"/>
      <c r="J140" s="144"/>
    </row>
    <row r="141" spans="1:10" ht="12.75" customHeight="1" x14ac:dyDescent="0.2">
      <c r="A141" s="142"/>
      <c r="B141" s="142"/>
      <c r="C141" s="142"/>
      <c r="D141" s="144"/>
      <c r="E141" s="144"/>
      <c r="F141" s="144"/>
      <c r="G141" s="142"/>
      <c r="H141" s="142"/>
      <c r="I141" s="144"/>
      <c r="J141" s="144"/>
    </row>
    <row r="142" spans="1:10" ht="12.75" customHeight="1" x14ac:dyDescent="0.2">
      <c r="A142" s="142"/>
      <c r="B142" s="142"/>
      <c r="C142" s="142"/>
      <c r="D142" s="144"/>
      <c r="E142" s="144"/>
      <c r="F142" s="143"/>
      <c r="G142" s="142"/>
      <c r="H142" s="142"/>
      <c r="I142" s="144"/>
      <c r="J142" s="144"/>
    </row>
    <row r="143" spans="1:10" ht="12.75" customHeight="1" x14ac:dyDescent="0.2">
      <c r="A143" s="142"/>
      <c r="B143" s="142"/>
      <c r="C143" s="142"/>
      <c r="D143" s="144"/>
      <c r="E143" s="144"/>
      <c r="F143" s="143"/>
      <c r="G143" s="142"/>
      <c r="H143" s="142"/>
      <c r="I143" s="144"/>
      <c r="J143" s="144"/>
    </row>
    <row r="144" spans="1:10" ht="12.75" customHeight="1" x14ac:dyDescent="0.2">
      <c r="A144" s="142"/>
      <c r="B144" s="142"/>
      <c r="C144" s="142"/>
      <c r="D144" s="144"/>
      <c r="E144" s="144"/>
      <c r="F144" s="144"/>
      <c r="G144" s="142"/>
      <c r="H144" s="142"/>
      <c r="I144" s="144"/>
      <c r="J144" s="144"/>
    </row>
    <row r="145" spans="1:10" ht="12.75" customHeight="1" x14ac:dyDescent="0.2">
      <c r="A145" s="142"/>
      <c r="B145" s="142"/>
      <c r="C145" s="142"/>
      <c r="D145" s="144"/>
      <c r="E145" s="144"/>
      <c r="F145" s="143"/>
      <c r="G145" s="142"/>
      <c r="H145" s="142"/>
      <c r="I145" s="144"/>
      <c r="J145" s="144"/>
    </row>
    <row r="146" spans="1:10" ht="12.75" customHeight="1" x14ac:dyDescent="0.2">
      <c r="A146" s="142"/>
      <c r="B146" s="142"/>
      <c r="C146" s="142"/>
      <c r="D146" s="144"/>
      <c r="E146" s="144"/>
      <c r="F146" s="143"/>
      <c r="G146" s="142"/>
      <c r="H146" s="142"/>
      <c r="I146" s="144"/>
      <c r="J146" s="144"/>
    </row>
    <row r="147" spans="1:10" ht="12.75" customHeight="1" x14ac:dyDescent="0.2">
      <c r="A147" s="142"/>
      <c r="B147" s="142"/>
      <c r="C147" s="142"/>
      <c r="D147" s="144"/>
      <c r="E147" s="144"/>
      <c r="F147" s="144"/>
      <c r="G147" s="142"/>
      <c r="H147" s="142"/>
      <c r="I147" s="144"/>
      <c r="J147" s="144"/>
    </row>
    <row r="148" spans="1:10" ht="12.75" customHeight="1" x14ac:dyDescent="0.2">
      <c r="A148" s="142"/>
      <c r="B148" s="142"/>
      <c r="C148" s="142"/>
      <c r="D148" s="144"/>
      <c r="E148" s="144"/>
      <c r="F148" s="143"/>
      <c r="G148" s="142"/>
      <c r="H148" s="142"/>
      <c r="I148" s="144"/>
      <c r="J148" s="144"/>
    </row>
    <row r="149" spans="1:10" ht="12.75" customHeight="1" x14ac:dyDescent="0.2">
      <c r="A149" s="142"/>
      <c r="B149" s="142"/>
      <c r="C149" s="142"/>
      <c r="D149" s="144"/>
      <c r="E149" s="144"/>
      <c r="F149" s="143"/>
      <c r="G149" s="142"/>
      <c r="H149" s="142"/>
      <c r="I149" s="144"/>
      <c r="J149" s="144"/>
    </row>
    <row r="150" spans="1:10" ht="12.75" customHeight="1" x14ac:dyDescent="0.2">
      <c r="A150" s="142"/>
      <c r="B150" s="142"/>
      <c r="C150" s="142"/>
      <c r="D150" s="144"/>
      <c r="E150" s="144"/>
      <c r="F150" s="144"/>
      <c r="G150" s="142"/>
      <c r="H150" s="142"/>
      <c r="I150" s="144"/>
      <c r="J150" s="144"/>
    </row>
    <row r="151" spans="1:10" ht="12.75" customHeight="1" x14ac:dyDescent="0.2">
      <c r="A151" s="142"/>
      <c r="B151" s="142"/>
      <c r="C151" s="142"/>
      <c r="D151" s="144"/>
      <c r="E151" s="144"/>
      <c r="F151" s="143"/>
      <c r="G151" s="142"/>
      <c r="H151" s="142"/>
      <c r="I151" s="144"/>
      <c r="J151" s="144"/>
    </row>
    <row r="152" spans="1:10" ht="12.75" customHeight="1" x14ac:dyDescent="0.2">
      <c r="A152" s="142"/>
      <c r="B152" s="142"/>
      <c r="C152" s="142"/>
      <c r="D152" s="144"/>
      <c r="E152" s="144"/>
      <c r="F152" s="143"/>
      <c r="G152" s="142"/>
      <c r="H152" s="142"/>
      <c r="I152" s="144"/>
      <c r="J152" s="144"/>
    </row>
    <row r="153" spans="1:10" ht="12.75" customHeight="1" x14ac:dyDescent="0.2">
      <c r="A153" s="142"/>
      <c r="B153" s="142"/>
      <c r="C153" s="142"/>
      <c r="D153" s="144"/>
      <c r="E153" s="144"/>
      <c r="F153" s="144"/>
      <c r="G153" s="142"/>
      <c r="H153" s="142"/>
      <c r="I153" s="144"/>
      <c r="J153" s="144"/>
    </row>
    <row r="154" spans="1:10" ht="12.75" customHeight="1" x14ac:dyDescent="0.2">
      <c r="A154" s="142"/>
      <c r="B154" s="142"/>
      <c r="C154" s="142"/>
      <c r="D154" s="144"/>
      <c r="E154" s="144"/>
      <c r="F154" s="143"/>
      <c r="G154" s="142"/>
      <c r="H154" s="142"/>
      <c r="I154" s="144"/>
      <c r="J154" s="144"/>
    </row>
    <row r="155" spans="1:10" ht="12.75" customHeight="1" x14ac:dyDescent="0.2">
      <c r="A155" s="142"/>
      <c r="B155" s="142"/>
      <c r="C155" s="142"/>
      <c r="D155" s="144"/>
      <c r="E155" s="144"/>
      <c r="F155" s="143"/>
      <c r="G155" s="142"/>
      <c r="H155" s="142"/>
      <c r="I155" s="144"/>
      <c r="J155" s="144"/>
    </row>
    <row r="156" spans="1:10" ht="12.75" customHeight="1" x14ac:dyDescent="0.2">
      <c r="A156" s="142"/>
      <c r="B156" s="142"/>
      <c r="C156" s="142"/>
      <c r="D156" s="144"/>
      <c r="E156" s="144"/>
      <c r="F156" s="144"/>
      <c r="G156" s="142"/>
      <c r="H156" s="142"/>
      <c r="I156" s="144"/>
      <c r="J156" s="144"/>
    </row>
    <row r="157" spans="1:10" ht="12.75" customHeight="1" x14ac:dyDescent="0.2">
      <c r="A157" s="142"/>
      <c r="B157" s="142"/>
      <c r="C157" s="142"/>
      <c r="D157" s="144"/>
      <c r="E157" s="144"/>
      <c r="F157" s="143"/>
      <c r="G157" s="142"/>
      <c r="H157" s="142"/>
      <c r="I157" s="144"/>
      <c r="J157" s="144"/>
    </row>
    <row r="158" spans="1:10" ht="12.75" customHeight="1" x14ac:dyDescent="0.2">
      <c r="A158" s="142"/>
      <c r="B158" s="142"/>
      <c r="C158" s="142"/>
      <c r="D158" s="144"/>
      <c r="E158" s="144"/>
      <c r="F158" s="143"/>
      <c r="G158" s="142"/>
      <c r="H158" s="142"/>
      <c r="I158" s="144"/>
      <c r="J158" s="144"/>
    </row>
    <row r="159" spans="1:10" ht="12.75" customHeight="1" x14ac:dyDescent="0.2">
      <c r="A159" s="142"/>
      <c r="B159" s="142"/>
      <c r="C159" s="142"/>
      <c r="D159" s="144"/>
      <c r="E159" s="144"/>
      <c r="F159" s="144"/>
      <c r="G159" s="142"/>
      <c r="H159" s="142"/>
      <c r="I159" s="144"/>
      <c r="J159" s="144"/>
    </row>
    <row r="160" spans="1:10" ht="12.75" customHeight="1" x14ac:dyDescent="0.2">
      <c r="A160" s="142"/>
      <c r="B160" s="142"/>
      <c r="C160" s="142"/>
      <c r="D160" s="144"/>
      <c r="E160" s="144"/>
      <c r="F160" s="143"/>
      <c r="G160" s="142"/>
      <c r="H160" s="142"/>
      <c r="I160" s="144"/>
      <c r="J160" s="144"/>
    </row>
    <row r="161" spans="1:10" ht="12.75" customHeight="1" x14ac:dyDescent="0.2">
      <c r="A161" s="142"/>
      <c r="B161" s="142"/>
      <c r="C161" s="142"/>
      <c r="D161" s="144"/>
      <c r="E161" s="144"/>
      <c r="F161" s="143"/>
      <c r="G161" s="142"/>
      <c r="H161" s="142"/>
      <c r="I161" s="144"/>
      <c r="J161" s="144"/>
    </row>
    <row r="162" spans="1:10" ht="12.75" customHeight="1" x14ac:dyDescent="0.2">
      <c r="A162" s="142"/>
      <c r="B162" s="142"/>
      <c r="C162" s="142"/>
      <c r="D162" s="144"/>
      <c r="E162" s="144"/>
      <c r="F162" s="144"/>
      <c r="G162" s="142"/>
      <c r="H162" s="142"/>
      <c r="I162" s="144"/>
      <c r="J162" s="144"/>
    </row>
    <row r="163" spans="1:10" ht="12.75" customHeight="1" x14ac:dyDescent="0.2">
      <c r="A163" s="142"/>
      <c r="B163" s="142"/>
      <c r="C163" s="142"/>
      <c r="D163" s="144"/>
      <c r="E163" s="144"/>
      <c r="F163" s="143"/>
      <c r="G163" s="142"/>
      <c r="H163" s="142"/>
      <c r="I163" s="144"/>
      <c r="J163" s="144"/>
    </row>
    <row r="164" spans="1:10" ht="12.75" customHeight="1" x14ac:dyDescent="0.2">
      <c r="A164" s="142"/>
      <c r="B164" s="142"/>
      <c r="C164" s="142"/>
      <c r="D164" s="144"/>
      <c r="E164" s="144"/>
      <c r="F164" s="143"/>
      <c r="G164" s="142"/>
      <c r="H164" s="142"/>
      <c r="I164" s="144"/>
      <c r="J164" s="144"/>
    </row>
    <row r="165" spans="1:10" ht="12.75" customHeight="1" x14ac:dyDescent="0.2">
      <c r="A165" s="142"/>
      <c r="B165" s="142"/>
      <c r="C165" s="142"/>
      <c r="D165" s="144"/>
      <c r="E165" s="144"/>
      <c r="F165" s="144"/>
      <c r="G165" s="142"/>
      <c r="H165" s="142"/>
      <c r="I165" s="144"/>
      <c r="J165" s="144"/>
    </row>
    <row r="166" spans="1:10" ht="12.75" customHeight="1" x14ac:dyDescent="0.2">
      <c r="A166" s="142"/>
      <c r="B166" s="142"/>
      <c r="C166" s="142"/>
      <c r="D166" s="144"/>
      <c r="E166" s="144"/>
      <c r="F166" s="143"/>
      <c r="G166" s="142"/>
      <c r="H166" s="142"/>
      <c r="I166" s="144"/>
      <c r="J166" s="144"/>
    </row>
    <row r="167" spans="1:10" ht="12.75" customHeight="1" x14ac:dyDescent="0.2">
      <c r="A167" s="142"/>
      <c r="B167" s="142"/>
      <c r="C167" s="142"/>
      <c r="D167" s="144"/>
      <c r="E167" s="144"/>
      <c r="F167" s="143"/>
      <c r="G167" s="142"/>
      <c r="H167" s="142"/>
      <c r="I167" s="144"/>
      <c r="J167" s="144"/>
    </row>
    <row r="168" spans="1:10" ht="12.75" customHeight="1" x14ac:dyDescent="0.2">
      <c r="A168" s="142"/>
      <c r="B168" s="142"/>
      <c r="C168" s="142"/>
      <c r="D168" s="144"/>
      <c r="E168" s="144"/>
      <c r="F168" s="144"/>
      <c r="G168" s="142"/>
      <c r="H168" s="142"/>
      <c r="I168" s="144"/>
      <c r="J168" s="144"/>
    </row>
    <row r="169" spans="1:10" ht="12.75" customHeight="1" x14ac:dyDescent="0.2">
      <c r="A169" s="142"/>
      <c r="B169" s="142"/>
      <c r="C169" s="142"/>
      <c r="D169" s="144"/>
      <c r="E169" s="144"/>
      <c r="F169" s="143"/>
      <c r="G169" s="142"/>
      <c r="H169" s="142"/>
      <c r="I169" s="144"/>
      <c r="J169" s="144"/>
    </row>
    <row r="170" spans="1:10" ht="12.75" customHeight="1" x14ac:dyDescent="0.2">
      <c r="A170" s="142"/>
      <c r="B170" s="142"/>
      <c r="C170" s="142"/>
      <c r="D170" s="144"/>
      <c r="E170" s="144"/>
      <c r="F170" s="143"/>
      <c r="G170" s="142"/>
      <c r="H170" s="142"/>
      <c r="I170" s="144"/>
      <c r="J170" s="144"/>
    </row>
    <row r="171" spans="1:10" ht="12.75" customHeight="1" x14ac:dyDescent="0.2">
      <c r="A171" s="142"/>
      <c r="B171" s="142"/>
      <c r="C171" s="142"/>
      <c r="D171" s="144"/>
      <c r="E171" s="144"/>
      <c r="F171" s="144"/>
      <c r="G171" s="142"/>
      <c r="H171" s="142"/>
      <c r="I171" s="144"/>
      <c r="J171" s="144"/>
    </row>
    <row r="172" spans="1:10" ht="12.75" customHeight="1" x14ac:dyDescent="0.2">
      <c r="A172" s="142"/>
      <c r="B172" s="142"/>
      <c r="C172" s="142"/>
      <c r="D172" s="144"/>
      <c r="E172" s="144"/>
      <c r="F172" s="143"/>
      <c r="G172" s="142"/>
      <c r="H172" s="142"/>
      <c r="I172" s="144"/>
      <c r="J172" s="144"/>
    </row>
    <row r="173" spans="1:10" ht="12.75" customHeight="1" x14ac:dyDescent="0.2">
      <c r="A173" s="142"/>
      <c r="B173" s="142"/>
      <c r="C173" s="142"/>
      <c r="D173" s="144"/>
      <c r="E173" s="144"/>
      <c r="F173" s="143"/>
      <c r="G173" s="142"/>
      <c r="H173" s="142"/>
      <c r="I173" s="144"/>
      <c r="J173" s="144"/>
    </row>
    <row r="174" spans="1:10" ht="12.75" customHeight="1" x14ac:dyDescent="0.2">
      <c r="A174" s="142"/>
      <c r="B174" s="142"/>
      <c r="C174" s="142"/>
      <c r="D174" s="144"/>
      <c r="E174" s="144"/>
      <c r="F174" s="144"/>
      <c r="G174" s="142"/>
      <c r="H174" s="142"/>
      <c r="I174" s="144"/>
      <c r="J174" s="144"/>
    </row>
    <row r="175" spans="1:10" ht="12.75" customHeight="1" x14ac:dyDescent="0.2">
      <c r="A175" s="142"/>
      <c r="B175" s="142"/>
      <c r="C175" s="142"/>
      <c r="D175" s="144"/>
      <c r="E175" s="144"/>
      <c r="F175" s="143"/>
      <c r="G175" s="142"/>
      <c r="H175" s="142"/>
      <c r="I175" s="144"/>
      <c r="J175" s="144"/>
    </row>
    <row r="176" spans="1:10" ht="12.75" customHeight="1" x14ac:dyDescent="0.2">
      <c r="A176" s="142"/>
      <c r="B176" s="142"/>
      <c r="C176" s="142"/>
      <c r="D176" s="144"/>
      <c r="E176" s="144"/>
      <c r="F176" s="143"/>
      <c r="G176" s="142"/>
      <c r="H176" s="142"/>
      <c r="I176" s="144"/>
      <c r="J176" s="144"/>
    </row>
    <row r="177" spans="1:10" ht="12.75" customHeight="1" x14ac:dyDescent="0.2">
      <c r="A177" s="142"/>
      <c r="B177" s="142"/>
      <c r="C177" s="142"/>
      <c r="D177" s="144"/>
      <c r="E177" s="144"/>
      <c r="F177" s="144"/>
      <c r="G177" s="142"/>
      <c r="H177" s="142"/>
      <c r="I177" s="144"/>
      <c r="J177" s="144"/>
    </row>
    <row r="178" spans="1:10" ht="12.75" customHeight="1" x14ac:dyDescent="0.2">
      <c r="A178" s="142"/>
      <c r="B178" s="142"/>
      <c r="C178" s="142"/>
      <c r="D178" s="144"/>
      <c r="E178" s="144"/>
      <c r="F178" s="143"/>
      <c r="G178" s="142"/>
      <c r="H178" s="142"/>
      <c r="I178" s="144"/>
      <c r="J178" s="144"/>
    </row>
    <row r="179" spans="1:10" ht="12.75" customHeight="1" x14ac:dyDescent="0.2">
      <c r="A179" s="142"/>
      <c r="B179" s="142"/>
      <c r="C179" s="142"/>
      <c r="D179" s="144"/>
      <c r="E179" s="144"/>
      <c r="F179" s="143"/>
      <c r="G179" s="142"/>
      <c r="H179" s="142"/>
      <c r="I179" s="144"/>
      <c r="J179" s="144"/>
    </row>
    <row r="180" spans="1:10" ht="12.75" customHeight="1" x14ac:dyDescent="0.2">
      <c r="A180" s="142"/>
      <c r="B180" s="142"/>
      <c r="C180" s="142"/>
      <c r="D180" s="144"/>
      <c r="E180" s="144"/>
      <c r="F180" s="144"/>
      <c r="G180" s="142"/>
      <c r="H180" s="142"/>
      <c r="I180" s="144"/>
      <c r="J180" s="144"/>
    </row>
    <row r="181" spans="1:10" ht="12.75" customHeight="1" x14ac:dyDescent="0.2">
      <c r="A181" s="142"/>
      <c r="B181" s="142"/>
      <c r="C181" s="142"/>
      <c r="D181" s="144"/>
      <c r="E181" s="144"/>
      <c r="F181" s="143"/>
      <c r="G181" s="142"/>
      <c r="H181" s="142"/>
      <c r="I181" s="144"/>
      <c r="J181" s="144"/>
    </row>
    <row r="182" spans="1:10" ht="12.75" customHeight="1" x14ac:dyDescent="0.2">
      <c r="A182" s="142"/>
      <c r="B182" s="142"/>
      <c r="C182" s="142"/>
      <c r="D182" s="144"/>
      <c r="E182" s="144"/>
      <c r="F182" s="143"/>
      <c r="G182" s="142"/>
      <c r="H182" s="142"/>
      <c r="I182" s="144"/>
      <c r="J182" s="144"/>
    </row>
    <row r="183" spans="1:10" ht="12.75" customHeight="1" x14ac:dyDescent="0.2">
      <c r="A183" s="142"/>
      <c r="B183" s="142"/>
      <c r="C183" s="142"/>
      <c r="D183" s="144"/>
      <c r="E183" s="144"/>
      <c r="F183" s="144"/>
      <c r="G183" s="142"/>
      <c r="H183" s="142"/>
      <c r="I183" s="144"/>
      <c r="J183" s="144"/>
    </row>
    <row r="184" spans="1:10" ht="12.75" customHeight="1" x14ac:dyDescent="0.2">
      <c r="A184" s="142"/>
      <c r="B184" s="142"/>
      <c r="C184" s="142"/>
      <c r="D184" s="144"/>
      <c r="E184" s="144"/>
      <c r="F184" s="143"/>
      <c r="G184" s="142"/>
      <c r="H184" s="142"/>
      <c r="I184" s="144"/>
      <c r="J184" s="144"/>
    </row>
    <row r="185" spans="1:10" ht="12.75" customHeight="1" x14ac:dyDescent="0.2">
      <c r="A185" s="142"/>
      <c r="B185" s="142"/>
      <c r="C185" s="142"/>
      <c r="D185" s="144"/>
      <c r="E185" s="144"/>
      <c r="F185" s="143"/>
      <c r="G185" s="142"/>
      <c r="H185" s="142"/>
      <c r="I185" s="144"/>
      <c r="J185" s="144"/>
    </row>
    <row r="186" spans="1:10" ht="12.75" customHeight="1" x14ac:dyDescent="0.2">
      <c r="A186" s="142"/>
      <c r="B186" s="142"/>
      <c r="C186" s="142"/>
      <c r="D186" s="144"/>
      <c r="E186" s="144"/>
      <c r="F186" s="144"/>
      <c r="G186" s="142"/>
      <c r="H186" s="142"/>
      <c r="I186" s="144"/>
      <c r="J186" s="144"/>
    </row>
    <row r="187" spans="1:10" ht="12.75" customHeight="1" x14ac:dyDescent="0.2">
      <c r="A187" s="142"/>
      <c r="B187" s="142"/>
      <c r="C187" s="142"/>
      <c r="D187" s="144"/>
      <c r="E187" s="144"/>
      <c r="F187" s="143"/>
      <c r="G187" s="142"/>
      <c r="H187" s="142"/>
      <c r="I187" s="144"/>
      <c r="J187" s="144"/>
    </row>
    <row r="188" spans="1:10" ht="12.75" customHeight="1" x14ac:dyDescent="0.2">
      <c r="A188" s="142"/>
      <c r="B188" s="142"/>
      <c r="C188" s="142"/>
      <c r="D188" s="144"/>
      <c r="E188" s="144"/>
      <c r="F188" s="143"/>
      <c r="G188" s="142"/>
      <c r="H188" s="142"/>
      <c r="I188" s="144"/>
      <c r="J188" s="144"/>
    </row>
    <row r="189" spans="1:10" ht="12.75" customHeight="1" x14ac:dyDescent="0.2">
      <c r="A189" s="142"/>
      <c r="B189" s="142"/>
      <c r="C189" s="142"/>
      <c r="D189" s="144"/>
      <c r="E189" s="144"/>
      <c r="F189" s="144"/>
      <c r="G189" s="142"/>
      <c r="H189" s="142"/>
      <c r="I189" s="144"/>
      <c r="J189" s="144"/>
    </row>
    <row r="190" spans="1:10" ht="12.75" customHeight="1" x14ac:dyDescent="0.2">
      <c r="A190" s="142"/>
      <c r="B190" s="142"/>
      <c r="C190" s="142"/>
      <c r="D190" s="144"/>
      <c r="E190" s="144"/>
      <c r="F190" s="143"/>
      <c r="G190" s="142"/>
      <c r="H190" s="142"/>
      <c r="I190" s="144"/>
      <c r="J190" s="144"/>
    </row>
    <row r="191" spans="1:10" ht="12.75" customHeight="1" x14ac:dyDescent="0.2">
      <c r="A191" s="142"/>
      <c r="B191" s="142"/>
      <c r="C191" s="142"/>
      <c r="D191" s="144"/>
      <c r="E191" s="144"/>
      <c r="F191" s="143"/>
      <c r="G191" s="142"/>
      <c r="H191" s="142"/>
      <c r="I191" s="144"/>
      <c r="J191" s="144"/>
    </row>
    <row r="192" spans="1:10" ht="12.75" customHeight="1" x14ac:dyDescent="0.2">
      <c r="A192" s="142"/>
      <c r="B192" s="142"/>
      <c r="C192" s="142"/>
      <c r="D192" s="144"/>
      <c r="E192" s="144"/>
      <c r="F192" s="144"/>
      <c r="G192" s="142"/>
      <c r="H192" s="142"/>
      <c r="I192" s="144"/>
      <c r="J192" s="144"/>
    </row>
    <row r="193" spans="1:10" ht="12.75" customHeight="1" x14ac:dyDescent="0.2">
      <c r="A193" s="142"/>
      <c r="B193" s="142"/>
      <c r="C193" s="142"/>
      <c r="D193" s="144"/>
      <c r="E193" s="144"/>
      <c r="F193" s="143"/>
      <c r="G193" s="142"/>
      <c r="H193" s="142"/>
      <c r="I193" s="144"/>
      <c r="J193" s="144"/>
    </row>
    <row r="194" spans="1:10" ht="12.75" customHeight="1" x14ac:dyDescent="0.2">
      <c r="A194" s="142"/>
      <c r="B194" s="142"/>
      <c r="C194" s="142"/>
      <c r="D194" s="144"/>
      <c r="E194" s="144"/>
      <c r="F194" s="143"/>
      <c r="G194" s="142"/>
      <c r="H194" s="142"/>
      <c r="I194" s="144"/>
      <c r="J194" s="144"/>
    </row>
    <row r="195" spans="1:10" ht="12.75" customHeight="1" x14ac:dyDescent="0.2">
      <c r="A195" s="142"/>
      <c r="B195" s="142"/>
      <c r="C195" s="142"/>
      <c r="D195" s="144"/>
      <c r="E195" s="144"/>
      <c r="F195" s="144"/>
      <c r="G195" s="142"/>
      <c r="H195" s="142"/>
      <c r="I195" s="144"/>
      <c r="J195" s="144"/>
    </row>
    <row r="196" spans="1:10" ht="12.75" customHeight="1" x14ac:dyDescent="0.2">
      <c r="A196" s="142"/>
      <c r="B196" s="142"/>
      <c r="C196" s="142"/>
      <c r="D196" s="144"/>
      <c r="E196" s="144"/>
      <c r="F196" s="143"/>
      <c r="G196" s="142"/>
      <c r="H196" s="142"/>
      <c r="I196" s="144"/>
      <c r="J196" s="144"/>
    </row>
    <row r="197" spans="1:10" ht="12.75" customHeight="1" x14ac:dyDescent="0.2">
      <c r="A197" s="142"/>
      <c r="B197" s="142"/>
      <c r="C197" s="142"/>
      <c r="D197" s="144"/>
      <c r="E197" s="144"/>
      <c r="F197" s="143"/>
      <c r="G197" s="142"/>
      <c r="H197" s="142"/>
      <c r="I197" s="144"/>
      <c r="J197" s="144"/>
    </row>
    <row r="198" spans="1:10" ht="12.75" customHeight="1" x14ac:dyDescent="0.2">
      <c r="A198" s="142"/>
      <c r="B198" s="142"/>
      <c r="C198" s="142"/>
      <c r="D198" s="144"/>
      <c r="E198" s="144"/>
      <c r="F198" s="144"/>
      <c r="G198" s="142"/>
      <c r="H198" s="142"/>
      <c r="I198" s="144"/>
      <c r="J198" s="144"/>
    </row>
    <row r="199" spans="1:10" ht="12.75" customHeight="1" x14ac:dyDescent="0.2">
      <c r="A199" s="142"/>
      <c r="B199" s="142"/>
      <c r="C199" s="142"/>
      <c r="D199" s="144"/>
      <c r="E199" s="144"/>
      <c r="F199" s="143"/>
      <c r="G199" s="142"/>
      <c r="H199" s="142"/>
      <c r="I199" s="144"/>
      <c r="J199" s="144"/>
    </row>
    <row r="200" spans="1:10" ht="12.75" customHeight="1" x14ac:dyDescent="0.2">
      <c r="A200" s="142"/>
      <c r="B200" s="142"/>
      <c r="C200" s="142"/>
      <c r="D200" s="144"/>
      <c r="E200" s="144"/>
      <c r="F200" s="143"/>
      <c r="G200" s="142"/>
      <c r="H200" s="142"/>
      <c r="I200" s="144"/>
      <c r="J200" s="144"/>
    </row>
    <row r="201" spans="1:10" ht="12.75" customHeight="1" x14ac:dyDescent="0.2">
      <c r="A201" s="142"/>
      <c r="B201" s="142"/>
      <c r="C201" s="142"/>
      <c r="D201" s="144"/>
      <c r="E201" s="144"/>
      <c r="F201" s="144"/>
      <c r="G201" s="142"/>
      <c r="H201" s="142"/>
      <c r="I201" s="144"/>
      <c r="J201" s="144"/>
    </row>
    <row r="202" spans="1:10" ht="12.75" customHeight="1" x14ac:dyDescent="0.2">
      <c r="A202" s="142"/>
      <c r="B202" s="142"/>
      <c r="C202" s="142"/>
      <c r="D202" s="144"/>
      <c r="E202" s="144"/>
      <c r="F202" s="143"/>
      <c r="G202" s="142"/>
      <c r="H202" s="142"/>
      <c r="I202" s="144"/>
      <c r="J202" s="144"/>
    </row>
    <row r="203" spans="1:10" ht="12.75" customHeight="1" x14ac:dyDescent="0.2">
      <c r="A203" s="142"/>
      <c r="B203" s="142"/>
      <c r="C203" s="142"/>
      <c r="D203" s="144"/>
      <c r="E203" s="144"/>
      <c r="F203" s="143"/>
      <c r="G203" s="142"/>
      <c r="H203" s="142"/>
      <c r="I203" s="144"/>
      <c r="J203" s="144"/>
    </row>
    <row r="204" spans="1:10" ht="12.75" customHeight="1" x14ac:dyDescent="0.2">
      <c r="A204" s="142"/>
      <c r="B204" s="142"/>
      <c r="C204" s="142"/>
      <c r="D204" s="144"/>
      <c r="E204" s="144"/>
      <c r="F204" s="144"/>
      <c r="G204" s="142"/>
      <c r="H204" s="142"/>
      <c r="I204" s="144"/>
      <c r="J204" s="144"/>
    </row>
    <row r="205" spans="1:10" ht="12.75" customHeight="1" x14ac:dyDescent="0.2">
      <c r="A205" s="142"/>
      <c r="B205" s="142"/>
      <c r="C205" s="142"/>
      <c r="D205" s="144"/>
      <c r="E205" s="144"/>
      <c r="F205" s="143"/>
      <c r="G205" s="142"/>
      <c r="H205" s="142"/>
      <c r="I205" s="144"/>
      <c r="J205" s="144"/>
    </row>
    <row r="206" spans="1:10" ht="12.75" customHeight="1" x14ac:dyDescent="0.2">
      <c r="A206" s="142"/>
      <c r="B206" s="142"/>
      <c r="C206" s="142"/>
      <c r="D206" s="144"/>
      <c r="E206" s="144"/>
      <c r="F206" s="143"/>
      <c r="G206" s="142"/>
      <c r="H206" s="142"/>
      <c r="I206" s="144"/>
      <c r="J206" s="144"/>
    </row>
    <row r="207" spans="1:10" ht="12.75" customHeight="1" x14ac:dyDescent="0.2">
      <c r="A207" s="142"/>
      <c r="B207" s="142"/>
      <c r="C207" s="142"/>
      <c r="D207" s="144"/>
      <c r="E207" s="144"/>
      <c r="F207" s="144"/>
      <c r="G207" s="142"/>
      <c r="H207" s="142"/>
      <c r="I207" s="144"/>
      <c r="J207" s="144"/>
    </row>
    <row r="208" spans="1:10" ht="12.75" customHeight="1" x14ac:dyDescent="0.2">
      <c r="A208" s="142"/>
      <c r="B208" s="142"/>
      <c r="C208" s="142"/>
      <c r="D208" s="144"/>
      <c r="E208" s="144"/>
      <c r="F208" s="143"/>
      <c r="G208" s="142"/>
      <c r="H208" s="142"/>
      <c r="I208" s="144"/>
      <c r="J208" s="144"/>
    </row>
    <row r="209" spans="1:10" ht="12.75" customHeight="1" x14ac:dyDescent="0.2">
      <c r="A209" s="142"/>
      <c r="B209" s="142"/>
      <c r="C209" s="142"/>
      <c r="D209" s="144"/>
      <c r="E209" s="144"/>
      <c r="F209" s="143"/>
      <c r="G209" s="142"/>
      <c r="H209" s="142"/>
      <c r="I209" s="144"/>
      <c r="J209" s="144"/>
    </row>
    <row r="210" spans="1:10" ht="12.75" customHeight="1" x14ac:dyDescent="0.2">
      <c r="A210" s="142"/>
      <c r="B210" s="142"/>
      <c r="C210" s="142"/>
      <c r="D210" s="144"/>
      <c r="E210" s="144"/>
      <c r="F210" s="144"/>
      <c r="G210" s="142"/>
      <c r="H210" s="142"/>
      <c r="I210" s="144"/>
      <c r="J210" s="144"/>
    </row>
    <row r="211" spans="1:10" ht="12.75" customHeight="1" x14ac:dyDescent="0.2">
      <c r="A211" s="142"/>
      <c r="B211" s="142"/>
      <c r="C211" s="142"/>
      <c r="D211" s="144"/>
      <c r="E211" s="144"/>
      <c r="F211" s="143"/>
      <c r="G211" s="142"/>
      <c r="H211" s="142"/>
      <c r="I211" s="144"/>
      <c r="J211" s="144"/>
    </row>
    <row r="212" spans="1:10" ht="12.75" customHeight="1" x14ac:dyDescent="0.2">
      <c r="A212" s="142"/>
      <c r="B212" s="142"/>
      <c r="C212" s="142"/>
      <c r="D212" s="144"/>
      <c r="E212" s="144"/>
      <c r="F212" s="143"/>
      <c r="G212" s="142"/>
      <c r="H212" s="142"/>
      <c r="I212" s="144"/>
      <c r="J212" s="144"/>
    </row>
    <row r="213" spans="1:10" ht="12.75" customHeight="1" x14ac:dyDescent="0.2">
      <c r="A213" s="142"/>
      <c r="B213" s="142"/>
      <c r="C213" s="142"/>
      <c r="D213" s="144"/>
      <c r="E213" s="144"/>
      <c r="F213" s="144"/>
      <c r="G213" s="142"/>
      <c r="H213" s="142"/>
      <c r="I213" s="144"/>
      <c r="J213" s="144"/>
    </row>
    <row r="214" spans="1:10" ht="12.75" customHeight="1" x14ac:dyDescent="0.2">
      <c r="A214" s="142"/>
      <c r="B214" s="142"/>
      <c r="C214" s="142"/>
      <c r="D214" s="144"/>
      <c r="E214" s="144"/>
      <c r="F214" s="143"/>
      <c r="G214" s="142"/>
      <c r="H214" s="142"/>
      <c r="I214" s="144"/>
      <c r="J214" s="144"/>
    </row>
    <row r="215" spans="1:10" ht="12.75" customHeight="1" x14ac:dyDescent="0.2">
      <c r="A215" s="142"/>
      <c r="B215" s="142"/>
      <c r="C215" s="142"/>
      <c r="D215" s="144"/>
      <c r="E215" s="144"/>
      <c r="F215" s="143"/>
      <c r="G215" s="142"/>
      <c r="H215" s="142"/>
      <c r="I215" s="144"/>
      <c r="J215" s="144"/>
    </row>
    <row r="216" spans="1:10" ht="12.75" customHeight="1" x14ac:dyDescent="0.2">
      <c r="A216" s="142"/>
      <c r="B216" s="142"/>
      <c r="C216" s="142"/>
      <c r="D216" s="144"/>
      <c r="E216" s="144"/>
      <c r="F216" s="144"/>
      <c r="G216" s="142"/>
      <c r="H216" s="142"/>
      <c r="I216" s="144"/>
      <c r="J216" s="144"/>
    </row>
    <row r="217" spans="1:10" ht="12.75" customHeight="1" x14ac:dyDescent="0.2">
      <c r="A217" s="142"/>
      <c r="B217" s="142"/>
      <c r="C217" s="142"/>
      <c r="D217" s="144"/>
      <c r="E217" s="144"/>
      <c r="F217" s="143"/>
      <c r="G217" s="142"/>
      <c r="H217" s="142"/>
      <c r="I217" s="144"/>
      <c r="J217" s="144"/>
    </row>
    <row r="218" spans="1:10" ht="12.75" customHeight="1" x14ac:dyDescent="0.2">
      <c r="A218" s="142"/>
      <c r="B218" s="142"/>
      <c r="C218" s="142"/>
      <c r="D218" s="144"/>
      <c r="E218" s="144"/>
      <c r="F218" s="143"/>
      <c r="G218" s="142"/>
      <c r="H218" s="142"/>
      <c r="I218" s="144"/>
      <c r="J218" s="144"/>
    </row>
    <row r="219" spans="1:10" ht="12.75" customHeight="1" x14ac:dyDescent="0.2">
      <c r="A219" s="142"/>
      <c r="B219" s="142"/>
      <c r="C219" s="142"/>
      <c r="D219" s="144"/>
      <c r="E219" s="144"/>
      <c r="F219" s="144"/>
      <c r="G219" s="142"/>
      <c r="H219" s="142"/>
      <c r="I219" s="144"/>
      <c r="J219" s="144"/>
    </row>
    <row r="220" spans="1:10" ht="12.75" customHeight="1" x14ac:dyDescent="0.2">
      <c r="A220" s="142"/>
      <c r="B220" s="142"/>
      <c r="C220" s="142"/>
      <c r="D220" s="144"/>
      <c r="E220" s="144"/>
      <c r="F220" s="143"/>
      <c r="G220" s="142"/>
      <c r="H220" s="142"/>
      <c r="I220" s="144"/>
      <c r="J220" s="144"/>
    </row>
    <row r="221" spans="1:10" ht="12.75" customHeight="1" x14ac:dyDescent="0.2">
      <c r="A221" s="142"/>
      <c r="B221" s="142"/>
      <c r="C221" s="142"/>
      <c r="D221" s="144"/>
      <c r="E221" s="144"/>
      <c r="F221" s="143"/>
      <c r="G221" s="142"/>
      <c r="H221" s="142"/>
      <c r="I221" s="144"/>
      <c r="J221" s="144"/>
    </row>
    <row r="222" spans="1:10" ht="12.75" customHeight="1" x14ac:dyDescent="0.2">
      <c r="A222" s="142"/>
      <c r="B222" s="142"/>
      <c r="C222" s="142"/>
      <c r="D222" s="144"/>
      <c r="E222" s="144"/>
      <c r="F222" s="144"/>
      <c r="G222" s="142"/>
      <c r="H222" s="142"/>
      <c r="I222" s="144"/>
      <c r="J222" s="144"/>
    </row>
    <row r="223" spans="1:10" ht="12.75" customHeight="1" x14ac:dyDescent="0.2">
      <c r="A223" s="142"/>
      <c r="B223" s="142"/>
      <c r="C223" s="142"/>
      <c r="D223" s="144"/>
      <c r="E223" s="144"/>
      <c r="F223" s="143"/>
      <c r="G223" s="142"/>
      <c r="H223" s="142"/>
      <c r="I223" s="144"/>
      <c r="J223" s="144"/>
    </row>
    <row r="224" spans="1:10" ht="12.75" customHeight="1" x14ac:dyDescent="0.2">
      <c r="A224" s="142"/>
      <c r="B224" s="142"/>
      <c r="C224" s="142"/>
      <c r="D224" s="144"/>
      <c r="E224" s="144"/>
      <c r="F224" s="143"/>
      <c r="G224" s="142"/>
      <c r="H224" s="142"/>
      <c r="I224" s="144"/>
      <c r="J224" s="144"/>
    </row>
    <row r="225" spans="1:10" ht="12.75" customHeight="1" x14ac:dyDescent="0.2">
      <c r="A225" s="142"/>
      <c r="B225" s="142"/>
      <c r="C225" s="142"/>
      <c r="D225" s="144"/>
      <c r="E225" s="144"/>
      <c r="F225" s="144"/>
      <c r="G225" s="142"/>
      <c r="H225" s="142"/>
      <c r="I225" s="144"/>
      <c r="J225" s="144"/>
    </row>
    <row r="226" spans="1:10" ht="12.75" customHeight="1" x14ac:dyDescent="0.2">
      <c r="A226" s="142"/>
      <c r="B226" s="142"/>
      <c r="C226" s="142"/>
      <c r="D226" s="144"/>
      <c r="E226" s="144"/>
      <c r="F226" s="143"/>
      <c r="G226" s="142"/>
      <c r="H226" s="142"/>
      <c r="I226" s="144"/>
      <c r="J226" s="144"/>
    </row>
    <row r="227" spans="1:10" ht="12.75" customHeight="1" x14ac:dyDescent="0.2">
      <c r="A227" s="142"/>
      <c r="B227" s="142"/>
      <c r="C227" s="142"/>
      <c r="D227" s="144"/>
      <c r="E227" s="144"/>
      <c r="F227" s="143"/>
      <c r="G227" s="142"/>
      <c r="H227" s="142"/>
      <c r="I227" s="144"/>
      <c r="J227" s="144"/>
    </row>
    <row r="228" spans="1:10" ht="12.75" customHeight="1" x14ac:dyDescent="0.2">
      <c r="A228" s="142"/>
      <c r="B228" s="142"/>
      <c r="C228" s="142"/>
      <c r="D228" s="144"/>
      <c r="E228" s="144"/>
      <c r="F228" s="144"/>
      <c r="G228" s="142"/>
      <c r="H228" s="142"/>
      <c r="I228" s="144"/>
      <c r="J228" s="144"/>
    </row>
    <row r="229" spans="1:10" ht="12.75" customHeight="1" x14ac:dyDescent="0.2">
      <c r="A229" s="142"/>
      <c r="B229" s="142"/>
      <c r="C229" s="142"/>
      <c r="D229" s="144"/>
      <c r="E229" s="144"/>
      <c r="F229" s="143"/>
      <c r="G229" s="142"/>
      <c r="H229" s="142"/>
      <c r="I229" s="144"/>
      <c r="J229" s="144"/>
    </row>
    <row r="230" spans="1:10" ht="12.75" customHeight="1" x14ac:dyDescent="0.2">
      <c r="A230" s="142"/>
      <c r="B230" s="142"/>
      <c r="C230" s="142"/>
      <c r="D230" s="144"/>
      <c r="E230" s="144"/>
      <c r="F230" s="143"/>
      <c r="G230" s="142"/>
      <c r="H230" s="142"/>
      <c r="I230" s="144"/>
      <c r="J230" s="144"/>
    </row>
    <row r="231" spans="1:10" ht="12.75" customHeight="1" x14ac:dyDescent="0.2">
      <c r="A231" s="142"/>
      <c r="B231" s="142"/>
      <c r="C231" s="142"/>
      <c r="D231" s="144"/>
      <c r="E231" s="144"/>
      <c r="F231" s="144"/>
      <c r="G231" s="142"/>
      <c r="H231" s="142"/>
      <c r="I231" s="144"/>
      <c r="J231" s="144"/>
    </row>
    <row r="232" spans="1:10" ht="12.75" customHeight="1" x14ac:dyDescent="0.2">
      <c r="A232" s="142"/>
      <c r="B232" s="142"/>
      <c r="C232" s="142"/>
      <c r="D232" s="144"/>
      <c r="E232" s="144"/>
      <c r="F232" s="143"/>
      <c r="G232" s="142"/>
      <c r="H232" s="142"/>
      <c r="I232" s="144"/>
      <c r="J232" s="144"/>
    </row>
    <row r="233" spans="1:10" ht="12.75" customHeight="1" x14ac:dyDescent="0.2">
      <c r="A233" s="142"/>
      <c r="B233" s="142"/>
      <c r="C233" s="142"/>
      <c r="D233" s="144"/>
      <c r="E233" s="144"/>
      <c r="F233" s="143"/>
      <c r="G233" s="142"/>
      <c r="H233" s="142"/>
      <c r="I233" s="144"/>
      <c r="J233" s="144"/>
    </row>
    <row r="234" spans="1:10" ht="12.75" customHeight="1" x14ac:dyDescent="0.2">
      <c r="A234" s="142"/>
      <c r="B234" s="142"/>
      <c r="C234" s="142"/>
      <c r="D234" s="144"/>
      <c r="E234" s="144"/>
      <c r="F234" s="144"/>
      <c r="G234" s="142"/>
      <c r="H234" s="142"/>
      <c r="I234" s="144"/>
      <c r="J234" s="144"/>
    </row>
    <row r="235" spans="1:10" ht="12.75" customHeight="1" x14ac:dyDescent="0.2">
      <c r="A235" s="142"/>
      <c r="B235" s="142"/>
      <c r="C235" s="142"/>
      <c r="D235" s="144"/>
      <c r="E235" s="144"/>
      <c r="F235" s="143"/>
      <c r="G235" s="142"/>
      <c r="H235" s="142"/>
      <c r="I235" s="144"/>
      <c r="J235" s="144"/>
    </row>
    <row r="236" spans="1:10" ht="12.75" customHeight="1" x14ac:dyDescent="0.2">
      <c r="A236" s="142"/>
      <c r="B236" s="142"/>
      <c r="C236" s="142"/>
      <c r="D236" s="144"/>
      <c r="E236" s="144"/>
      <c r="F236" s="143"/>
      <c r="G236" s="142"/>
      <c r="H236" s="142"/>
      <c r="I236" s="144"/>
      <c r="J236" s="144"/>
    </row>
    <row r="237" spans="1:10" ht="12.75" customHeight="1" x14ac:dyDescent="0.2">
      <c r="A237" s="142"/>
      <c r="B237" s="142"/>
      <c r="C237" s="142"/>
      <c r="D237" s="144"/>
      <c r="E237" s="144"/>
      <c r="F237" s="144"/>
      <c r="G237" s="142"/>
      <c r="H237" s="142"/>
      <c r="I237" s="144"/>
      <c r="J237" s="144"/>
    </row>
    <row r="238" spans="1:10" ht="12.75" customHeight="1" x14ac:dyDescent="0.2">
      <c r="A238" s="142"/>
      <c r="B238" s="142"/>
      <c r="C238" s="142"/>
      <c r="D238" s="144"/>
      <c r="E238" s="144"/>
      <c r="F238" s="143"/>
      <c r="G238" s="142"/>
      <c r="H238" s="142"/>
      <c r="I238" s="144"/>
      <c r="J238" s="144"/>
    </row>
    <row r="239" spans="1:10" ht="12.75" customHeight="1" x14ac:dyDescent="0.2">
      <c r="A239" s="142"/>
      <c r="B239" s="142"/>
      <c r="C239" s="142"/>
      <c r="D239" s="144"/>
      <c r="E239" s="144"/>
      <c r="F239" s="143"/>
      <c r="G239" s="142"/>
      <c r="H239" s="142"/>
      <c r="I239" s="144"/>
      <c r="J239" s="144"/>
    </row>
    <row r="240" spans="1:10" ht="12.75" customHeight="1" x14ac:dyDescent="0.2">
      <c r="A240" s="142"/>
      <c r="B240" s="142"/>
      <c r="C240" s="142"/>
      <c r="D240" s="144"/>
      <c r="E240" s="144"/>
      <c r="F240" s="144"/>
      <c r="G240" s="142"/>
      <c r="H240" s="142"/>
      <c r="I240" s="144"/>
      <c r="J240" s="144"/>
    </row>
    <row r="241" spans="1:10" ht="12.75" customHeight="1" x14ac:dyDescent="0.2">
      <c r="A241" s="142"/>
      <c r="B241" s="142"/>
      <c r="C241" s="142"/>
      <c r="D241" s="144"/>
      <c r="E241" s="144"/>
      <c r="F241" s="143"/>
      <c r="G241" s="142"/>
      <c r="H241" s="142"/>
      <c r="I241" s="144"/>
      <c r="J241" s="144"/>
    </row>
    <row r="242" spans="1:10" ht="12.75" customHeight="1" x14ac:dyDescent="0.2">
      <c r="A242" s="142"/>
      <c r="B242" s="142"/>
      <c r="C242" s="142"/>
      <c r="D242" s="144"/>
      <c r="E242" s="144"/>
      <c r="F242" s="143"/>
      <c r="G242" s="142"/>
      <c r="H242" s="142"/>
      <c r="I242" s="144"/>
      <c r="J242" s="144"/>
    </row>
    <row r="243" spans="1:10" ht="12.75" customHeight="1" x14ac:dyDescent="0.2">
      <c r="A243" s="142"/>
      <c r="B243" s="142"/>
      <c r="C243" s="142"/>
      <c r="D243" s="144"/>
      <c r="E243" s="144"/>
      <c r="F243" s="144"/>
      <c r="G243" s="142"/>
      <c r="H243" s="142"/>
      <c r="I243" s="144"/>
      <c r="J243" s="144"/>
    </row>
    <row r="244" spans="1:10" ht="12.75" customHeight="1" x14ac:dyDescent="0.2">
      <c r="A244" s="142"/>
      <c r="B244" s="142"/>
      <c r="C244" s="142"/>
      <c r="D244" s="144"/>
      <c r="E244" s="144"/>
      <c r="F244" s="143"/>
      <c r="G244" s="142"/>
      <c r="H244" s="142"/>
      <c r="I244" s="144"/>
      <c r="J244" s="144"/>
    </row>
    <row r="245" spans="1:10" ht="12.75" customHeight="1" x14ac:dyDescent="0.2">
      <c r="A245" s="142"/>
      <c r="B245" s="142"/>
      <c r="C245" s="142"/>
      <c r="D245" s="144"/>
      <c r="E245" s="144"/>
      <c r="F245" s="143"/>
      <c r="G245" s="142"/>
      <c r="H245" s="142"/>
      <c r="I245" s="144"/>
      <c r="J245" s="144"/>
    </row>
    <row r="246" spans="1:10" ht="12.75" customHeight="1" x14ac:dyDescent="0.2">
      <c r="A246" s="142"/>
      <c r="B246" s="142"/>
      <c r="C246" s="142"/>
      <c r="D246" s="144"/>
      <c r="E246" s="144"/>
      <c r="F246" s="144"/>
      <c r="G246" s="142"/>
      <c r="H246" s="142"/>
      <c r="I246" s="144"/>
      <c r="J246" s="144"/>
    </row>
    <row r="247" spans="1:10" ht="12.75" customHeight="1" x14ac:dyDescent="0.2">
      <c r="A247" s="142"/>
      <c r="B247" s="142"/>
      <c r="C247" s="142"/>
      <c r="D247" s="144"/>
      <c r="E247" s="144"/>
      <c r="F247" s="143"/>
      <c r="G247" s="142"/>
      <c r="H247" s="142"/>
      <c r="I247" s="144"/>
      <c r="J247" s="144"/>
    </row>
    <row r="248" spans="1:10" ht="12.75" customHeight="1" x14ac:dyDescent="0.2">
      <c r="A248" s="142"/>
      <c r="B248" s="142"/>
      <c r="C248" s="142"/>
      <c r="D248" s="144"/>
      <c r="E248" s="144"/>
      <c r="F248" s="143"/>
      <c r="G248" s="142"/>
      <c r="H248" s="142"/>
      <c r="I248" s="144"/>
      <c r="J248" s="144"/>
    </row>
    <row r="249" spans="1:10" ht="12.75" customHeight="1" x14ac:dyDescent="0.2">
      <c r="A249" s="142"/>
      <c r="B249" s="142"/>
      <c r="C249" s="142"/>
      <c r="D249" s="144"/>
      <c r="E249" s="144"/>
      <c r="F249" s="144"/>
      <c r="G249" s="142"/>
      <c r="H249" s="142"/>
      <c r="I249" s="144"/>
      <c r="J249" s="144"/>
    </row>
    <row r="250" spans="1:10" ht="12.75" customHeight="1" x14ac:dyDescent="0.2">
      <c r="A250" s="142"/>
      <c r="B250" s="142"/>
      <c r="C250" s="142"/>
      <c r="D250" s="144"/>
      <c r="E250" s="144"/>
      <c r="F250" s="143"/>
      <c r="G250" s="142"/>
      <c r="H250" s="142"/>
      <c r="I250" s="144"/>
      <c r="J250" s="144"/>
    </row>
    <row r="251" spans="1:10" ht="12.75" customHeight="1" x14ac:dyDescent="0.2">
      <c r="A251" s="142"/>
      <c r="B251" s="142"/>
      <c r="C251" s="142"/>
      <c r="D251" s="144"/>
      <c r="E251" s="144"/>
      <c r="F251" s="143"/>
      <c r="G251" s="142"/>
      <c r="H251" s="142"/>
      <c r="I251" s="144"/>
      <c r="J251" s="144"/>
    </row>
    <row r="252" spans="1:10" ht="12.75" customHeight="1" x14ac:dyDescent="0.2">
      <c r="A252" s="142"/>
      <c r="B252" s="142"/>
      <c r="C252" s="142"/>
      <c r="D252" s="144"/>
      <c r="E252" s="144"/>
      <c r="F252" s="144"/>
      <c r="G252" s="142"/>
      <c r="H252" s="142"/>
      <c r="I252" s="144"/>
      <c r="J252" s="144"/>
    </row>
    <row r="253" spans="1:10" ht="12.75" customHeight="1" x14ac:dyDescent="0.2">
      <c r="A253" s="142"/>
      <c r="B253" s="142"/>
      <c r="C253" s="142"/>
      <c r="D253" s="144"/>
      <c r="E253" s="144"/>
      <c r="F253" s="143"/>
      <c r="G253" s="142"/>
      <c r="H253" s="142"/>
      <c r="I253" s="144"/>
      <c r="J253" s="144"/>
    </row>
    <row r="254" spans="1:10" ht="12.75" customHeight="1" x14ac:dyDescent="0.2">
      <c r="A254" s="142"/>
      <c r="B254" s="142"/>
      <c r="C254" s="142"/>
      <c r="D254" s="144"/>
      <c r="E254" s="144"/>
      <c r="F254" s="143"/>
      <c r="G254" s="142"/>
      <c r="H254" s="142"/>
      <c r="I254" s="144"/>
      <c r="J254" s="144"/>
    </row>
    <row r="255" spans="1:10" ht="12.75" customHeight="1" x14ac:dyDescent="0.2">
      <c r="A255" s="142"/>
      <c r="B255" s="142"/>
      <c r="C255" s="142"/>
      <c r="D255" s="144"/>
      <c r="E255" s="144"/>
      <c r="F255" s="144"/>
      <c r="G255" s="142"/>
      <c r="H255" s="142"/>
      <c r="I255" s="144"/>
      <c r="J255" s="144"/>
    </row>
    <row r="256" spans="1:10" ht="12.75" customHeight="1" x14ac:dyDescent="0.2">
      <c r="A256" s="142"/>
      <c r="B256" s="142"/>
      <c r="C256" s="142"/>
      <c r="D256" s="144"/>
      <c r="E256" s="144"/>
      <c r="F256" s="143"/>
      <c r="G256" s="142"/>
      <c r="H256" s="142"/>
      <c r="I256" s="144"/>
      <c r="J256" s="144"/>
    </row>
    <row r="257" spans="1:10" ht="12.75" customHeight="1" x14ac:dyDescent="0.2">
      <c r="A257" s="142"/>
      <c r="B257" s="142"/>
      <c r="C257" s="142"/>
      <c r="D257" s="144"/>
      <c r="E257" s="144"/>
      <c r="F257" s="143"/>
      <c r="G257" s="142"/>
      <c r="H257" s="142"/>
      <c r="I257" s="144"/>
      <c r="J257" s="144"/>
    </row>
    <row r="258" spans="1:10" ht="12.75" customHeight="1" x14ac:dyDescent="0.2">
      <c r="A258" s="142"/>
      <c r="B258" s="142"/>
      <c r="C258" s="142"/>
      <c r="D258" s="144"/>
      <c r="E258" s="144"/>
      <c r="F258" s="144"/>
      <c r="G258" s="142"/>
      <c r="H258" s="142"/>
      <c r="I258" s="144"/>
      <c r="J258" s="144"/>
    </row>
    <row r="259" spans="1:10" ht="12.75" customHeight="1" x14ac:dyDescent="0.2">
      <c r="A259" s="142"/>
      <c r="B259" s="142"/>
      <c r="C259" s="142"/>
      <c r="D259" s="144"/>
      <c r="E259" s="144"/>
      <c r="F259" s="143"/>
      <c r="G259" s="142"/>
      <c r="H259" s="142"/>
      <c r="I259" s="144"/>
      <c r="J259" s="144"/>
    </row>
    <row r="260" spans="1:10" ht="12.75" customHeight="1" x14ac:dyDescent="0.2">
      <c r="A260" s="142"/>
      <c r="B260" s="142"/>
      <c r="C260" s="142"/>
      <c r="D260" s="144"/>
      <c r="E260" s="144"/>
      <c r="F260" s="143"/>
      <c r="G260" s="142"/>
      <c r="H260" s="142"/>
      <c r="I260" s="144"/>
      <c r="J260" s="144"/>
    </row>
    <row r="261" spans="1:10" ht="12.75" customHeight="1" x14ac:dyDescent="0.2">
      <c r="A261" s="142"/>
      <c r="B261" s="142"/>
      <c r="C261" s="142"/>
      <c r="D261" s="144"/>
      <c r="E261" s="144"/>
      <c r="F261" s="144"/>
      <c r="G261" s="142"/>
      <c r="H261" s="142"/>
      <c r="I261" s="144"/>
      <c r="J261" s="144"/>
    </row>
    <row r="262" spans="1:10" ht="12.75" customHeight="1" x14ac:dyDescent="0.2">
      <c r="A262" s="142"/>
      <c r="B262" s="142"/>
      <c r="C262" s="142"/>
      <c r="D262" s="144"/>
      <c r="E262" s="144"/>
      <c r="F262" s="143"/>
      <c r="G262" s="142"/>
      <c r="H262" s="142"/>
      <c r="I262" s="144"/>
      <c r="J262" s="144"/>
    </row>
    <row r="263" spans="1:10" ht="12.75" customHeight="1" x14ac:dyDescent="0.2">
      <c r="A263" s="142"/>
      <c r="B263" s="142"/>
      <c r="C263" s="142"/>
      <c r="D263" s="144"/>
      <c r="E263" s="144"/>
      <c r="F263" s="143"/>
      <c r="G263" s="142"/>
      <c r="H263" s="142"/>
      <c r="I263" s="144"/>
      <c r="J263" s="144"/>
    </row>
    <row r="264" spans="1:10" ht="12.75" customHeight="1" x14ac:dyDescent="0.2">
      <c r="A264" s="142"/>
      <c r="B264" s="142"/>
      <c r="C264" s="142"/>
      <c r="D264" s="144"/>
      <c r="E264" s="144"/>
      <c r="F264" s="144"/>
      <c r="G264" s="142"/>
      <c r="H264" s="142"/>
      <c r="I264" s="144"/>
      <c r="J264" s="144"/>
    </row>
    <row r="265" spans="1:10" ht="12.75" customHeight="1" x14ac:dyDescent="0.2">
      <c r="A265" s="142"/>
      <c r="B265" s="142"/>
      <c r="C265" s="142"/>
      <c r="D265" s="144"/>
      <c r="E265" s="144"/>
      <c r="F265" s="143"/>
      <c r="G265" s="142"/>
      <c r="H265" s="142"/>
      <c r="I265" s="144"/>
      <c r="J265" s="144"/>
    </row>
    <row r="266" spans="1:10" ht="12.75" customHeight="1" x14ac:dyDescent="0.2">
      <c r="A266" s="142"/>
      <c r="B266" s="142"/>
      <c r="C266" s="142"/>
      <c r="D266" s="144"/>
      <c r="E266" s="144"/>
      <c r="F266" s="143"/>
      <c r="G266" s="142"/>
      <c r="H266" s="142"/>
      <c r="I266" s="144"/>
      <c r="J266" s="144"/>
    </row>
    <row r="267" spans="1:10" ht="12.75" customHeight="1" x14ac:dyDescent="0.2">
      <c r="A267" s="142"/>
      <c r="B267" s="142"/>
      <c r="C267" s="142"/>
      <c r="D267" s="144"/>
      <c r="E267" s="144"/>
      <c r="F267" s="144"/>
      <c r="G267" s="142"/>
      <c r="H267" s="142"/>
      <c r="I267" s="144"/>
      <c r="J267" s="144"/>
    </row>
    <row r="268" spans="1:10" ht="12.75" customHeight="1" x14ac:dyDescent="0.2">
      <c r="A268" s="142"/>
      <c r="B268" s="142"/>
      <c r="C268" s="142"/>
      <c r="D268" s="144"/>
      <c r="E268" s="144"/>
      <c r="F268" s="143"/>
      <c r="G268" s="142"/>
      <c r="H268" s="142"/>
      <c r="I268" s="144"/>
      <c r="J268" s="144"/>
    </row>
    <row r="269" spans="1:10" ht="12.75" customHeight="1" x14ac:dyDescent="0.2">
      <c r="A269" s="142"/>
      <c r="B269" s="142"/>
      <c r="C269" s="142"/>
      <c r="D269" s="144"/>
      <c r="E269" s="144"/>
      <c r="F269" s="143"/>
      <c r="G269" s="142"/>
      <c r="H269" s="142"/>
      <c r="I269" s="144"/>
      <c r="J269" s="144"/>
    </row>
    <row r="270" spans="1:10" ht="12.75" customHeight="1" x14ac:dyDescent="0.2">
      <c r="A270" s="142"/>
      <c r="B270" s="142"/>
      <c r="C270" s="142"/>
      <c r="D270" s="144"/>
      <c r="E270" s="144"/>
      <c r="F270" s="144"/>
      <c r="G270" s="142"/>
      <c r="H270" s="142"/>
      <c r="I270" s="144"/>
      <c r="J270" s="144"/>
    </row>
    <row r="271" spans="1:10" ht="12.75" customHeight="1" x14ac:dyDescent="0.2">
      <c r="A271" s="142"/>
      <c r="B271" s="142"/>
      <c r="C271" s="142"/>
      <c r="D271" s="144"/>
      <c r="E271" s="144"/>
      <c r="F271" s="143"/>
      <c r="G271" s="142"/>
      <c r="H271" s="142"/>
      <c r="I271" s="144"/>
      <c r="J271" s="144"/>
    </row>
    <row r="272" spans="1:10" ht="12.75" customHeight="1" x14ac:dyDescent="0.2">
      <c r="A272" s="142"/>
      <c r="B272" s="142"/>
      <c r="C272" s="142"/>
      <c r="D272" s="144"/>
      <c r="E272" s="144"/>
      <c r="F272" s="143"/>
      <c r="G272" s="142"/>
      <c r="H272" s="142"/>
      <c r="I272" s="144"/>
      <c r="J272" s="144"/>
    </row>
    <row r="273" spans="1:10" ht="12.75" customHeight="1" x14ac:dyDescent="0.2">
      <c r="A273" s="142"/>
      <c r="B273" s="142"/>
      <c r="C273" s="142"/>
      <c r="D273" s="144"/>
      <c r="E273" s="144"/>
      <c r="F273" s="144"/>
      <c r="G273" s="142"/>
      <c r="H273" s="142"/>
      <c r="I273" s="144"/>
      <c r="J273" s="144"/>
    </row>
    <row r="274" spans="1:10" ht="12.75" customHeight="1" x14ac:dyDescent="0.2">
      <c r="A274" s="142"/>
      <c r="B274" s="142"/>
      <c r="C274" s="142"/>
      <c r="D274" s="144"/>
      <c r="E274" s="144"/>
      <c r="F274" s="143"/>
      <c r="G274" s="142"/>
      <c r="H274" s="142"/>
      <c r="I274" s="144"/>
      <c r="J274" s="144"/>
    </row>
    <row r="275" spans="1:10" ht="12.75" customHeight="1" x14ac:dyDescent="0.2">
      <c r="A275" s="142"/>
      <c r="B275" s="142"/>
      <c r="C275" s="142"/>
      <c r="D275" s="144"/>
      <c r="E275" s="144"/>
      <c r="F275" s="143"/>
      <c r="G275" s="142"/>
      <c r="H275" s="142"/>
      <c r="I275" s="144"/>
      <c r="J275" s="144"/>
    </row>
    <row r="276" spans="1:10" ht="12.75" customHeight="1" x14ac:dyDescent="0.2">
      <c r="A276" s="142"/>
      <c r="B276" s="142"/>
      <c r="C276" s="142"/>
      <c r="D276" s="144"/>
      <c r="E276" s="144"/>
      <c r="F276" s="144"/>
      <c r="G276" s="142"/>
      <c r="H276" s="142"/>
      <c r="I276" s="144"/>
      <c r="J276" s="144"/>
    </row>
    <row r="277" spans="1:10" ht="12.75" customHeight="1" x14ac:dyDescent="0.2">
      <c r="A277" s="142"/>
      <c r="B277" s="142"/>
      <c r="C277" s="142"/>
      <c r="D277" s="144"/>
      <c r="E277" s="144"/>
      <c r="F277" s="143"/>
      <c r="G277" s="142"/>
      <c r="H277" s="142"/>
      <c r="I277" s="144"/>
      <c r="J277" s="144"/>
    </row>
    <row r="278" spans="1:10" ht="12.75" customHeight="1" x14ac:dyDescent="0.2">
      <c r="A278" s="142"/>
      <c r="B278" s="142"/>
      <c r="C278" s="142"/>
      <c r="D278" s="144"/>
      <c r="E278" s="144"/>
      <c r="F278" s="143"/>
      <c r="G278" s="142"/>
      <c r="H278" s="142"/>
      <c r="I278" s="144"/>
      <c r="J278" s="144"/>
    </row>
    <row r="279" spans="1:10" ht="12.75" customHeight="1" x14ac:dyDescent="0.2">
      <c r="A279" s="142"/>
      <c r="B279" s="142"/>
      <c r="C279" s="142"/>
      <c r="D279" s="144"/>
      <c r="E279" s="144"/>
      <c r="F279" s="144"/>
      <c r="G279" s="142"/>
      <c r="H279" s="142"/>
      <c r="I279" s="144"/>
      <c r="J279" s="144"/>
    </row>
    <row r="280" spans="1:10" ht="12.75" customHeight="1" x14ac:dyDescent="0.2">
      <c r="A280" s="142"/>
      <c r="B280" s="142"/>
      <c r="C280" s="142"/>
      <c r="D280" s="144"/>
      <c r="E280" s="144"/>
      <c r="F280" s="143"/>
      <c r="G280" s="142"/>
      <c r="H280" s="142"/>
      <c r="I280" s="144"/>
      <c r="J280" s="144"/>
    </row>
    <row r="281" spans="1:10" ht="12.75" customHeight="1" x14ac:dyDescent="0.2">
      <c r="A281" s="142"/>
      <c r="B281" s="142"/>
      <c r="C281" s="142"/>
      <c r="D281" s="144"/>
      <c r="E281" s="144"/>
      <c r="F281" s="143"/>
      <c r="G281" s="142"/>
      <c r="H281" s="142"/>
      <c r="I281" s="144"/>
      <c r="J281" s="144"/>
    </row>
    <row r="282" spans="1:10" ht="12.75" customHeight="1" x14ac:dyDescent="0.2">
      <c r="A282" s="142"/>
      <c r="B282" s="142"/>
      <c r="C282" s="142"/>
      <c r="D282" s="144"/>
      <c r="E282" s="144"/>
      <c r="F282" s="144"/>
      <c r="G282" s="142"/>
      <c r="H282" s="142"/>
      <c r="I282" s="144"/>
      <c r="J282" s="144"/>
    </row>
    <row r="283" spans="1:10" ht="12.75" customHeight="1" x14ac:dyDescent="0.2">
      <c r="A283" s="142"/>
      <c r="B283" s="142"/>
      <c r="C283" s="142"/>
      <c r="D283" s="144"/>
      <c r="E283" s="144"/>
      <c r="F283" s="143"/>
      <c r="G283" s="142"/>
      <c r="H283" s="142"/>
      <c r="I283" s="144"/>
      <c r="J283" s="144"/>
    </row>
    <row r="284" spans="1:10" ht="12.75" customHeight="1" x14ac:dyDescent="0.2">
      <c r="A284" s="142"/>
      <c r="B284" s="142"/>
      <c r="C284" s="142"/>
      <c r="D284" s="144"/>
      <c r="E284" s="144"/>
      <c r="F284" s="143"/>
      <c r="G284" s="142"/>
      <c r="H284" s="142"/>
      <c r="I284" s="144"/>
      <c r="J284" s="144"/>
    </row>
    <row r="285" spans="1:10" ht="12.75" customHeight="1" x14ac:dyDescent="0.2">
      <c r="A285" s="142"/>
      <c r="B285" s="142"/>
      <c r="C285" s="142"/>
      <c r="D285" s="144"/>
      <c r="E285" s="144"/>
      <c r="F285" s="144"/>
      <c r="G285" s="142"/>
      <c r="H285" s="142"/>
      <c r="I285" s="144"/>
      <c r="J285" s="144"/>
    </row>
    <row r="286" spans="1:10" ht="12.75" customHeight="1" x14ac:dyDescent="0.2">
      <c r="A286" s="142"/>
      <c r="B286" s="142"/>
      <c r="C286" s="142"/>
      <c r="D286" s="144"/>
      <c r="E286" s="144"/>
      <c r="F286" s="143"/>
      <c r="G286" s="142"/>
      <c r="H286" s="142"/>
      <c r="I286" s="144"/>
      <c r="J286" s="144"/>
    </row>
    <row r="287" spans="1:10" ht="12.75" customHeight="1" x14ac:dyDescent="0.2">
      <c r="A287" s="142"/>
      <c r="B287" s="142"/>
      <c r="C287" s="142"/>
      <c r="D287" s="144"/>
      <c r="E287" s="144"/>
      <c r="F287" s="143"/>
      <c r="G287" s="142"/>
      <c r="H287" s="142"/>
      <c r="I287" s="144"/>
      <c r="J287" s="144"/>
    </row>
    <row r="288" spans="1:10" ht="12.75" customHeight="1" x14ac:dyDescent="0.2">
      <c r="A288" s="142"/>
      <c r="B288" s="142"/>
      <c r="C288" s="142"/>
      <c r="D288" s="144"/>
      <c r="E288" s="144"/>
      <c r="F288" s="144"/>
      <c r="G288" s="142"/>
      <c r="H288" s="142"/>
      <c r="I288" s="144"/>
      <c r="J288" s="144"/>
    </row>
    <row r="289" spans="1:10" ht="12.75" customHeight="1" x14ac:dyDescent="0.2">
      <c r="A289" s="142"/>
      <c r="B289" s="142"/>
      <c r="C289" s="142"/>
      <c r="D289" s="144"/>
      <c r="E289" s="144"/>
      <c r="F289" s="143"/>
      <c r="G289" s="142"/>
      <c r="H289" s="142"/>
      <c r="I289" s="144"/>
      <c r="J289" s="144"/>
    </row>
    <row r="290" spans="1:10" ht="12.75" customHeight="1" x14ac:dyDescent="0.2">
      <c r="A290" s="142"/>
      <c r="B290" s="142"/>
      <c r="C290" s="142"/>
      <c r="D290" s="144"/>
      <c r="E290" s="144"/>
      <c r="F290" s="143"/>
      <c r="G290" s="142"/>
      <c r="H290" s="142"/>
      <c r="I290" s="144"/>
      <c r="J290" s="144"/>
    </row>
    <row r="291" spans="1:10" ht="12.75" customHeight="1" x14ac:dyDescent="0.2">
      <c r="A291" s="142"/>
      <c r="B291" s="142"/>
      <c r="C291" s="142"/>
      <c r="D291" s="144"/>
      <c r="E291" s="144"/>
      <c r="F291" s="144"/>
      <c r="G291" s="142"/>
      <c r="H291" s="142"/>
      <c r="I291" s="144"/>
      <c r="J291" s="144"/>
    </row>
    <row r="292" spans="1:10" ht="12.75" customHeight="1" x14ac:dyDescent="0.2">
      <c r="A292" s="142"/>
      <c r="B292" s="142"/>
      <c r="C292" s="142"/>
      <c r="D292" s="144"/>
      <c r="E292" s="144"/>
      <c r="F292" s="143"/>
      <c r="G292" s="142"/>
      <c r="H292" s="142"/>
      <c r="I292" s="144"/>
      <c r="J292" s="144"/>
    </row>
    <row r="293" spans="1:10" ht="12.75" customHeight="1" x14ac:dyDescent="0.2">
      <c r="A293" s="142"/>
      <c r="B293" s="142"/>
      <c r="C293" s="142"/>
      <c r="D293" s="144"/>
      <c r="E293" s="144"/>
      <c r="F293" s="143"/>
      <c r="G293" s="142"/>
      <c r="H293" s="142"/>
      <c r="I293" s="144"/>
      <c r="J293" s="144"/>
    </row>
    <row r="294" spans="1:10" ht="12.75" customHeight="1" x14ac:dyDescent="0.2">
      <c r="A294" s="142"/>
      <c r="B294" s="142"/>
      <c r="C294" s="142"/>
      <c r="D294" s="144"/>
      <c r="E294" s="144"/>
      <c r="F294" s="144"/>
      <c r="G294" s="142"/>
      <c r="H294" s="142"/>
      <c r="I294" s="144"/>
      <c r="J294" s="144"/>
    </row>
    <row r="295" spans="1:10" ht="12.75" customHeight="1" x14ac:dyDescent="0.2">
      <c r="A295" s="142"/>
      <c r="B295" s="142"/>
      <c r="C295" s="142"/>
      <c r="D295" s="144"/>
      <c r="E295" s="144"/>
      <c r="F295" s="143"/>
      <c r="G295" s="142"/>
      <c r="H295" s="142"/>
      <c r="I295" s="144"/>
      <c r="J295" s="144"/>
    </row>
    <row r="296" spans="1:10" ht="12.75" customHeight="1" x14ac:dyDescent="0.2">
      <c r="A296" s="142"/>
      <c r="B296" s="142"/>
      <c r="C296" s="142"/>
      <c r="D296" s="144"/>
      <c r="E296" s="144"/>
      <c r="F296" s="143"/>
      <c r="G296" s="142"/>
      <c r="H296" s="142"/>
      <c r="I296" s="144"/>
      <c r="J296" s="144"/>
    </row>
    <row r="297" spans="1:10" ht="12.75" customHeight="1" x14ac:dyDescent="0.2">
      <c r="A297" s="142"/>
      <c r="B297" s="142"/>
      <c r="C297" s="142"/>
      <c r="D297" s="144"/>
      <c r="E297" s="144"/>
      <c r="F297" s="144"/>
      <c r="G297" s="142"/>
      <c r="H297" s="142"/>
      <c r="I297" s="144"/>
      <c r="J297" s="144"/>
    </row>
    <row r="298" spans="1:10" ht="12.75" customHeight="1" x14ac:dyDescent="0.2">
      <c r="A298" s="142"/>
      <c r="B298" s="142"/>
      <c r="C298" s="142"/>
      <c r="D298" s="144"/>
      <c r="E298" s="144"/>
      <c r="F298" s="143"/>
      <c r="G298" s="142"/>
      <c r="H298" s="142"/>
      <c r="I298" s="144"/>
      <c r="J298" s="144"/>
    </row>
    <row r="299" spans="1:10" ht="12.75" customHeight="1" x14ac:dyDescent="0.2">
      <c r="A299" s="142"/>
      <c r="B299" s="142"/>
      <c r="C299" s="142"/>
      <c r="D299" s="144"/>
      <c r="E299" s="144"/>
      <c r="F299" s="143"/>
      <c r="G299" s="142"/>
      <c r="H299" s="142"/>
      <c r="I299" s="144"/>
      <c r="J299" s="144"/>
    </row>
    <row r="300" spans="1:10" ht="12.75" customHeight="1" x14ac:dyDescent="0.2">
      <c r="A300" s="142"/>
      <c r="B300" s="142"/>
      <c r="C300" s="142"/>
      <c r="D300" s="144"/>
      <c r="E300" s="144"/>
      <c r="F300" s="144"/>
      <c r="G300" s="142"/>
      <c r="H300" s="142"/>
      <c r="I300" s="144"/>
      <c r="J300" s="144"/>
    </row>
    <row r="301" spans="1:10" ht="12.75" customHeight="1" x14ac:dyDescent="0.2">
      <c r="A301" s="142"/>
      <c r="B301" s="142"/>
      <c r="C301" s="142"/>
      <c r="D301" s="144"/>
      <c r="E301" s="144"/>
      <c r="F301" s="143"/>
      <c r="G301" s="142"/>
      <c r="H301" s="142"/>
      <c r="I301" s="144"/>
      <c r="J301" s="144"/>
    </row>
    <row r="302" spans="1:10" ht="12.75" customHeight="1" x14ac:dyDescent="0.2">
      <c r="A302" s="142"/>
      <c r="B302" s="142"/>
      <c r="C302" s="142"/>
      <c r="D302" s="144"/>
      <c r="E302" s="144"/>
      <c r="F302" s="143"/>
      <c r="G302" s="142"/>
      <c r="H302" s="142"/>
      <c r="I302" s="144"/>
      <c r="J302" s="144"/>
    </row>
    <row r="303" spans="1:10" ht="12.75" customHeight="1" x14ac:dyDescent="0.2">
      <c r="A303" s="142"/>
      <c r="B303" s="142"/>
      <c r="C303" s="142"/>
      <c r="D303" s="144"/>
      <c r="E303" s="144"/>
      <c r="F303" s="144"/>
      <c r="G303" s="142"/>
      <c r="H303" s="142"/>
      <c r="I303" s="144"/>
      <c r="J303" s="144"/>
    </row>
    <row r="304" spans="1:10" ht="12.75" customHeight="1" x14ac:dyDescent="0.2">
      <c r="A304" s="142"/>
      <c r="B304" s="142"/>
      <c r="C304" s="142"/>
      <c r="D304" s="144"/>
      <c r="E304" s="144"/>
      <c r="F304" s="143"/>
      <c r="G304" s="142"/>
      <c r="H304" s="142"/>
      <c r="I304" s="144"/>
      <c r="J304" s="144"/>
    </row>
    <row r="305" spans="1:10" ht="12.75" customHeight="1" x14ac:dyDescent="0.2">
      <c r="A305" s="142"/>
      <c r="B305" s="142"/>
      <c r="C305" s="142"/>
      <c r="D305" s="144"/>
      <c r="E305" s="144"/>
      <c r="F305" s="143"/>
      <c r="G305" s="142"/>
      <c r="H305" s="142"/>
      <c r="I305" s="144"/>
      <c r="J305" s="144"/>
    </row>
    <row r="306" spans="1:10" ht="12.75" customHeight="1" x14ac:dyDescent="0.2">
      <c r="A306" s="142"/>
      <c r="B306" s="142"/>
      <c r="C306" s="142"/>
      <c r="D306" s="144"/>
      <c r="E306" s="144"/>
      <c r="F306" s="144"/>
      <c r="G306" s="142"/>
      <c r="H306" s="142"/>
      <c r="I306" s="144"/>
      <c r="J306" s="144"/>
    </row>
    <row r="307" spans="1:10" ht="12.75" customHeight="1" x14ac:dyDescent="0.2">
      <c r="A307" s="142"/>
      <c r="B307" s="142"/>
      <c r="C307" s="142"/>
      <c r="D307" s="144"/>
      <c r="E307" s="144"/>
      <c r="F307" s="143"/>
      <c r="G307" s="142"/>
      <c r="H307" s="142"/>
      <c r="I307" s="144"/>
      <c r="J307" s="144"/>
    </row>
    <row r="308" spans="1:10" ht="12.75" customHeight="1" x14ac:dyDescent="0.2">
      <c r="A308" s="142"/>
      <c r="B308" s="142"/>
      <c r="C308" s="142"/>
      <c r="D308" s="144"/>
      <c r="E308" s="144"/>
      <c r="F308" s="143"/>
      <c r="G308" s="142"/>
      <c r="H308" s="142"/>
      <c r="I308" s="144"/>
      <c r="J308" s="144"/>
    </row>
    <row r="309" spans="1:10" ht="12.75" customHeight="1" x14ac:dyDescent="0.2">
      <c r="A309" s="142"/>
      <c r="B309" s="142"/>
      <c r="C309" s="142"/>
      <c r="D309" s="144"/>
      <c r="E309" s="144"/>
      <c r="F309" s="144"/>
      <c r="G309" s="142"/>
      <c r="H309" s="142"/>
      <c r="I309" s="144"/>
      <c r="J309" s="144"/>
    </row>
    <row r="310" spans="1:10" ht="12.75" customHeight="1" x14ac:dyDescent="0.2">
      <c r="A310" s="142"/>
      <c r="B310" s="142"/>
      <c r="C310" s="142"/>
      <c r="D310" s="144"/>
      <c r="E310" s="144"/>
      <c r="F310" s="143"/>
      <c r="G310" s="142"/>
      <c r="H310" s="142"/>
      <c r="I310" s="144"/>
      <c r="J310" s="144"/>
    </row>
    <row r="311" spans="1:10" ht="12.75" customHeight="1" x14ac:dyDescent="0.2">
      <c r="A311" s="142"/>
      <c r="B311" s="142"/>
      <c r="C311" s="142"/>
      <c r="D311" s="144"/>
      <c r="E311" s="144"/>
      <c r="F311" s="143"/>
      <c r="G311" s="142"/>
      <c r="H311" s="142"/>
      <c r="I311" s="144"/>
      <c r="J311" s="144"/>
    </row>
    <row r="312" spans="1:10" ht="12.75" customHeight="1" x14ac:dyDescent="0.2">
      <c r="A312" s="142"/>
      <c r="B312" s="142"/>
      <c r="C312" s="142"/>
      <c r="D312" s="144"/>
      <c r="E312" s="144"/>
      <c r="F312" s="144"/>
      <c r="G312" s="142"/>
      <c r="H312" s="142"/>
      <c r="I312" s="144"/>
      <c r="J312" s="144"/>
    </row>
    <row r="313" spans="1:10" ht="12.75" customHeight="1" x14ac:dyDescent="0.2">
      <c r="A313" s="142"/>
      <c r="B313" s="142"/>
      <c r="C313" s="142"/>
      <c r="D313" s="144"/>
      <c r="E313" s="144"/>
      <c r="F313" s="143"/>
      <c r="G313" s="142"/>
      <c r="H313" s="142"/>
      <c r="I313" s="144"/>
      <c r="J313" s="144"/>
    </row>
    <row r="314" spans="1:10" ht="12.75" customHeight="1" x14ac:dyDescent="0.2">
      <c r="A314" s="142"/>
      <c r="B314" s="142"/>
      <c r="C314" s="142"/>
      <c r="D314" s="144"/>
      <c r="E314" s="144"/>
      <c r="F314" s="143"/>
      <c r="G314" s="142"/>
      <c r="H314" s="142"/>
      <c r="I314" s="144"/>
      <c r="J314" s="144"/>
    </row>
    <row r="315" spans="1:10" ht="12.75" customHeight="1" x14ac:dyDescent="0.2">
      <c r="A315" s="142"/>
      <c r="B315" s="142"/>
      <c r="C315" s="142"/>
      <c r="D315" s="144"/>
      <c r="E315" s="144"/>
      <c r="F315" s="144"/>
      <c r="G315" s="142"/>
      <c r="H315" s="142"/>
      <c r="I315" s="144"/>
      <c r="J315" s="144"/>
    </row>
    <row r="316" spans="1:10" x14ac:dyDescent="0.2">
      <c r="A316" s="142"/>
      <c r="B316" s="142"/>
      <c r="C316" s="142"/>
      <c r="D316" s="144"/>
      <c r="E316" s="144"/>
      <c r="F316" s="143"/>
      <c r="G316" s="142"/>
      <c r="H316" s="142"/>
      <c r="I316" s="144"/>
      <c r="J316" s="144"/>
    </row>
    <row r="317" spans="1:10" x14ac:dyDescent="0.2">
      <c r="A317" s="142"/>
      <c r="B317" s="142"/>
      <c r="C317" s="142"/>
      <c r="D317" s="144"/>
      <c r="E317" s="144"/>
      <c r="F317" s="143"/>
      <c r="G317" s="142"/>
      <c r="H317" s="142"/>
      <c r="I317" s="144"/>
      <c r="J317" s="144"/>
    </row>
    <row r="318" spans="1:10" x14ac:dyDescent="0.2">
      <c r="A318" s="142"/>
      <c r="B318" s="142"/>
      <c r="C318" s="142"/>
      <c r="D318" s="144"/>
      <c r="E318" s="144"/>
      <c r="F318" s="144"/>
      <c r="G318" s="142"/>
      <c r="H318" s="142"/>
      <c r="I318" s="144"/>
      <c r="J318" s="144"/>
    </row>
    <row r="319" spans="1:10" x14ac:dyDescent="0.2">
      <c r="A319" s="142"/>
      <c r="B319" s="142"/>
      <c r="C319" s="142"/>
      <c r="D319" s="144"/>
      <c r="E319" s="144"/>
      <c r="F319" s="143"/>
      <c r="G319" s="142"/>
      <c r="H319" s="142"/>
      <c r="I319" s="144"/>
      <c r="J319" s="144"/>
    </row>
    <row r="320" spans="1:10" x14ac:dyDescent="0.2">
      <c r="A320" s="142"/>
      <c r="B320" s="142"/>
      <c r="C320" s="142"/>
      <c r="D320" s="144"/>
      <c r="E320" s="144"/>
      <c r="F320" s="143"/>
      <c r="G320" s="142"/>
      <c r="H320" s="142"/>
      <c r="I320" s="144"/>
      <c r="J320" s="144"/>
    </row>
    <row r="321" spans="1:10" ht="12.75" customHeight="1" x14ac:dyDescent="0.2">
      <c r="A321" s="142"/>
      <c r="B321" s="142"/>
      <c r="C321" s="142"/>
      <c r="D321" s="144"/>
      <c r="E321" s="144"/>
      <c r="F321" s="144"/>
      <c r="G321" s="142"/>
      <c r="H321" s="142"/>
      <c r="I321" s="144"/>
      <c r="J321" s="144"/>
    </row>
    <row r="322" spans="1:10" ht="12.75" customHeight="1" x14ac:dyDescent="0.2">
      <c r="A322" s="142"/>
      <c r="B322" s="142"/>
      <c r="C322" s="142"/>
      <c r="D322" s="144"/>
      <c r="E322" s="144"/>
      <c r="F322" s="143"/>
      <c r="G322" s="142"/>
      <c r="H322" s="142"/>
      <c r="I322" s="144"/>
      <c r="J322" s="144"/>
    </row>
    <row r="323" spans="1:10" x14ac:dyDescent="0.2">
      <c r="A323" s="142"/>
      <c r="B323" s="142"/>
      <c r="C323" s="142"/>
      <c r="D323" s="144"/>
      <c r="E323" s="144"/>
      <c r="F323" s="143"/>
      <c r="G323" s="142"/>
      <c r="H323" s="142"/>
      <c r="I323" s="144"/>
      <c r="J323" s="144"/>
    </row>
    <row r="324" spans="1:10" x14ac:dyDescent="0.2">
      <c r="A324" s="142"/>
      <c r="B324" s="142"/>
      <c r="C324" s="142"/>
      <c r="D324" s="144"/>
      <c r="E324" s="144"/>
      <c r="F324" s="144"/>
      <c r="G324" s="142"/>
      <c r="H324" s="142"/>
      <c r="I324" s="144"/>
      <c r="J324" s="144"/>
    </row>
    <row r="325" spans="1:10" x14ac:dyDescent="0.2">
      <c r="A325" s="142"/>
      <c r="B325" s="142"/>
      <c r="C325" s="142"/>
      <c r="D325" s="144"/>
      <c r="E325" s="144"/>
      <c r="F325" s="143"/>
      <c r="G325" s="142"/>
      <c r="H325" s="142"/>
      <c r="I325" s="144"/>
      <c r="J325" s="144"/>
    </row>
    <row r="326" spans="1:10" x14ac:dyDescent="0.2">
      <c r="A326" s="142"/>
      <c r="B326" s="142"/>
      <c r="C326" s="142"/>
      <c r="D326" s="144"/>
      <c r="E326" s="144"/>
      <c r="F326" s="143"/>
      <c r="G326" s="142"/>
      <c r="H326" s="142"/>
      <c r="I326" s="144"/>
      <c r="J326" s="144"/>
    </row>
    <row r="327" spans="1:10" x14ac:dyDescent="0.2">
      <c r="A327" s="142"/>
      <c r="B327" s="142"/>
      <c r="C327" s="142"/>
      <c r="D327" s="144"/>
      <c r="E327" s="144"/>
      <c r="F327" s="144"/>
      <c r="G327" s="142"/>
      <c r="H327" s="142"/>
      <c r="I327" s="144"/>
      <c r="J327" s="144"/>
    </row>
    <row r="328" spans="1:10" ht="12.75" customHeight="1" x14ac:dyDescent="0.2">
      <c r="A328" s="142"/>
      <c r="B328" s="142"/>
      <c r="C328" s="142"/>
      <c r="D328" s="144"/>
      <c r="E328" s="144"/>
      <c r="F328" s="143"/>
      <c r="G328" s="142"/>
      <c r="H328" s="142"/>
      <c r="I328" s="144"/>
      <c r="J328" s="144"/>
    </row>
    <row r="329" spans="1:10" ht="12.75" customHeight="1" x14ac:dyDescent="0.2">
      <c r="A329" s="142"/>
      <c r="B329" s="142"/>
      <c r="C329" s="142"/>
      <c r="D329" s="144"/>
      <c r="E329" s="144"/>
      <c r="F329" s="143"/>
      <c r="G329" s="142"/>
      <c r="H329" s="142"/>
      <c r="I329" s="144"/>
      <c r="J329" s="144"/>
    </row>
    <row r="330" spans="1:10" x14ac:dyDescent="0.2">
      <c r="A330" s="142"/>
      <c r="B330" s="142"/>
      <c r="C330" s="142"/>
      <c r="D330" s="144"/>
      <c r="E330" s="144"/>
      <c r="F330" s="144"/>
      <c r="G330" s="142"/>
      <c r="H330" s="142"/>
      <c r="I330" s="144"/>
      <c r="J330" s="144"/>
    </row>
    <row r="331" spans="1:10" x14ac:dyDescent="0.2">
      <c r="A331" s="142"/>
      <c r="B331" s="142"/>
      <c r="C331" s="142"/>
      <c r="D331" s="144"/>
      <c r="E331" s="144"/>
      <c r="F331" s="143"/>
      <c r="G331" s="142"/>
      <c r="H331" s="142"/>
      <c r="I331" s="144"/>
      <c r="J331" s="144"/>
    </row>
    <row r="332" spans="1:10" x14ac:dyDescent="0.2">
      <c r="A332" s="142"/>
      <c r="B332" s="142"/>
      <c r="C332" s="142"/>
      <c r="D332" s="144"/>
      <c r="E332" s="144"/>
      <c r="F332" s="143"/>
      <c r="G332" s="142"/>
      <c r="H332" s="142"/>
      <c r="I332" s="144"/>
      <c r="J332" s="144"/>
    </row>
    <row r="333" spans="1:10" x14ac:dyDescent="0.2">
      <c r="A333" s="142"/>
      <c r="B333" s="142"/>
      <c r="C333" s="142"/>
      <c r="D333" s="144"/>
      <c r="E333" s="144"/>
      <c r="F333" s="144"/>
      <c r="G333" s="142"/>
      <c r="H333" s="142"/>
      <c r="I333" s="144"/>
      <c r="J333" s="144"/>
    </row>
    <row r="334" spans="1:10" x14ac:dyDescent="0.2">
      <c r="A334" s="142"/>
      <c r="B334" s="142"/>
      <c r="C334" s="142"/>
      <c r="D334" s="144"/>
      <c r="E334" s="144"/>
      <c r="F334" s="143"/>
      <c r="G334" s="142"/>
      <c r="H334" s="142"/>
      <c r="I334" s="144"/>
      <c r="J334" s="144"/>
    </row>
    <row r="335" spans="1:10" ht="12.75" customHeight="1" x14ac:dyDescent="0.2">
      <c r="A335" s="142"/>
      <c r="B335" s="142"/>
      <c r="C335" s="142"/>
      <c r="D335" s="144"/>
      <c r="E335" s="144"/>
      <c r="F335" s="143"/>
      <c r="G335" s="142"/>
      <c r="H335" s="142"/>
      <c r="I335" s="144"/>
      <c r="J335" s="144"/>
    </row>
    <row r="336" spans="1:10" ht="12.75" customHeight="1" x14ac:dyDescent="0.2">
      <c r="A336" s="142"/>
      <c r="B336" s="142"/>
      <c r="C336" s="142"/>
      <c r="D336" s="144"/>
      <c r="E336" s="144"/>
      <c r="F336" s="144"/>
      <c r="G336" s="142"/>
      <c r="H336" s="142"/>
      <c r="I336" s="144"/>
      <c r="J336" s="144"/>
    </row>
    <row r="337" spans="1:10" x14ac:dyDescent="0.2">
      <c r="A337" s="142"/>
      <c r="B337" s="142"/>
      <c r="C337" s="142"/>
      <c r="D337" s="144"/>
      <c r="E337" s="144"/>
      <c r="F337" s="143"/>
      <c r="G337" s="142"/>
      <c r="H337" s="142"/>
      <c r="I337" s="144"/>
      <c r="J337" s="144"/>
    </row>
    <row r="338" spans="1:10" x14ac:dyDescent="0.2">
      <c r="A338" s="142"/>
      <c r="B338" s="142"/>
      <c r="C338" s="142"/>
      <c r="D338" s="144"/>
      <c r="E338" s="144"/>
      <c r="F338" s="143"/>
      <c r="G338" s="142"/>
      <c r="H338" s="142"/>
      <c r="I338" s="144"/>
      <c r="J338" s="144"/>
    </row>
    <row r="339" spans="1:10" x14ac:dyDescent="0.2">
      <c r="A339" s="142"/>
      <c r="B339" s="142"/>
      <c r="C339" s="142"/>
      <c r="D339" s="144"/>
      <c r="E339" s="144"/>
      <c r="F339" s="144"/>
      <c r="G339" s="142"/>
      <c r="H339" s="142"/>
      <c r="I339" s="144"/>
      <c r="J339" s="144"/>
    </row>
    <row r="340" spans="1:10" x14ac:dyDescent="0.2">
      <c r="A340" s="142"/>
      <c r="B340" s="142"/>
      <c r="C340" s="142"/>
      <c r="D340" s="144"/>
      <c r="E340" s="144"/>
      <c r="F340" s="143"/>
      <c r="G340" s="142"/>
      <c r="H340" s="142"/>
      <c r="I340" s="144"/>
      <c r="J340" s="144"/>
    </row>
    <row r="341" spans="1:10" x14ac:dyDescent="0.2">
      <c r="A341" s="142"/>
      <c r="B341" s="142"/>
      <c r="C341" s="142"/>
      <c r="D341" s="144"/>
      <c r="E341" s="144"/>
      <c r="F341" s="143"/>
      <c r="G341" s="142"/>
      <c r="H341" s="142"/>
      <c r="I341" s="144"/>
      <c r="J341" s="144"/>
    </row>
    <row r="342" spans="1:10" ht="12.75" customHeight="1" x14ac:dyDescent="0.2">
      <c r="A342" s="142"/>
      <c r="B342" s="142"/>
      <c r="C342" s="142"/>
      <c r="D342" s="144"/>
      <c r="E342" s="144"/>
      <c r="F342" s="144"/>
      <c r="G342" s="142"/>
      <c r="H342" s="142"/>
      <c r="I342" s="144"/>
      <c r="J342" s="144"/>
    </row>
    <row r="343" spans="1:10" ht="12.75" customHeight="1" x14ac:dyDescent="0.2">
      <c r="A343" s="142"/>
      <c r="B343" s="142"/>
      <c r="C343" s="142"/>
      <c r="D343" s="144"/>
      <c r="E343" s="144"/>
      <c r="F343" s="143"/>
      <c r="G343" s="142"/>
      <c r="H343" s="142"/>
      <c r="I343" s="144"/>
      <c r="J343" s="144"/>
    </row>
    <row r="344" spans="1:10" x14ac:dyDescent="0.2">
      <c r="A344" s="142"/>
      <c r="B344" s="142"/>
      <c r="C344" s="142"/>
      <c r="D344" s="144"/>
      <c r="E344" s="144"/>
      <c r="F344" s="143"/>
      <c r="G344" s="142"/>
      <c r="H344" s="142"/>
      <c r="I344" s="144"/>
      <c r="J344" s="144"/>
    </row>
    <row r="345" spans="1:10" x14ac:dyDescent="0.2">
      <c r="A345" s="142"/>
      <c r="B345" s="142"/>
      <c r="C345" s="142"/>
      <c r="D345" s="144"/>
      <c r="E345" s="144"/>
      <c r="F345" s="144"/>
      <c r="G345" s="142"/>
      <c r="H345" s="142"/>
      <c r="I345" s="144"/>
      <c r="J345" s="144"/>
    </row>
    <row r="346" spans="1:10" x14ac:dyDescent="0.2">
      <c r="A346" s="142"/>
      <c r="B346" s="142"/>
      <c r="C346" s="142"/>
      <c r="D346" s="144"/>
      <c r="E346" s="144"/>
      <c r="F346" s="143"/>
      <c r="G346" s="142"/>
      <c r="H346" s="142"/>
      <c r="I346" s="144"/>
      <c r="J346" s="144"/>
    </row>
    <row r="347" spans="1:10" x14ac:dyDescent="0.2">
      <c r="A347" s="142"/>
      <c r="B347" s="142"/>
      <c r="C347" s="142"/>
      <c r="D347" s="144"/>
      <c r="E347" s="144"/>
      <c r="F347" s="143"/>
      <c r="G347" s="142"/>
      <c r="H347" s="142"/>
      <c r="I347" s="144"/>
      <c r="J347" s="144"/>
    </row>
    <row r="348" spans="1:10" x14ac:dyDescent="0.2">
      <c r="A348" s="142"/>
      <c r="B348" s="142"/>
      <c r="C348" s="142"/>
      <c r="D348" s="144"/>
      <c r="E348" s="144"/>
      <c r="F348" s="144"/>
      <c r="G348" s="142"/>
      <c r="H348" s="142"/>
      <c r="I348" s="144"/>
      <c r="J348" s="144"/>
    </row>
    <row r="349" spans="1:10" ht="12.75" customHeight="1" x14ac:dyDescent="0.2">
      <c r="A349" s="142"/>
      <c r="B349" s="142"/>
      <c r="C349" s="142"/>
      <c r="D349" s="144"/>
      <c r="E349" s="144"/>
      <c r="F349" s="143"/>
      <c r="G349" s="142"/>
      <c r="H349" s="142"/>
      <c r="I349" s="144"/>
      <c r="J349" s="144"/>
    </row>
    <row r="350" spans="1:10" ht="12.75" customHeight="1" x14ac:dyDescent="0.2">
      <c r="A350" s="142"/>
      <c r="B350" s="142"/>
      <c r="C350" s="142"/>
      <c r="D350" s="144"/>
      <c r="E350" s="144"/>
      <c r="F350" s="143"/>
      <c r="G350" s="142"/>
      <c r="H350" s="142"/>
      <c r="I350" s="144"/>
      <c r="J350" s="144"/>
    </row>
    <row r="351" spans="1:10" x14ac:dyDescent="0.2">
      <c r="A351" s="142"/>
      <c r="B351" s="142"/>
      <c r="C351" s="142"/>
      <c r="D351" s="144"/>
      <c r="E351" s="144"/>
      <c r="F351" s="144"/>
      <c r="G351" s="142"/>
      <c r="H351" s="142"/>
      <c r="I351" s="144"/>
      <c r="J351" s="144"/>
    </row>
    <row r="352" spans="1:10" x14ac:dyDescent="0.2">
      <c r="A352" s="142"/>
      <c r="B352" s="142"/>
      <c r="C352" s="142"/>
      <c r="D352" s="144"/>
      <c r="E352" s="144"/>
      <c r="F352" s="143"/>
      <c r="G352" s="142"/>
      <c r="H352" s="142"/>
      <c r="I352" s="144"/>
      <c r="J352" s="144"/>
    </row>
    <row r="353" spans="1:10" x14ac:dyDescent="0.2">
      <c r="A353" s="142"/>
      <c r="B353" s="142"/>
      <c r="C353" s="142"/>
      <c r="D353" s="144"/>
      <c r="E353" s="144"/>
      <c r="F353" s="143"/>
      <c r="G353" s="142"/>
      <c r="H353" s="142"/>
      <c r="I353" s="144"/>
      <c r="J353" s="144"/>
    </row>
    <row r="354" spans="1:10" x14ac:dyDescent="0.2">
      <c r="A354" s="142"/>
      <c r="B354" s="142"/>
      <c r="C354" s="142"/>
      <c r="D354" s="144"/>
      <c r="E354" s="144"/>
      <c r="F354" s="144"/>
      <c r="G354" s="142"/>
      <c r="H354" s="142"/>
      <c r="I354" s="144"/>
      <c r="J354" s="144"/>
    </row>
    <row r="355" spans="1:10" x14ac:dyDescent="0.2">
      <c r="A355" s="142"/>
      <c r="B355" s="142"/>
      <c r="C355" s="142"/>
      <c r="D355" s="144"/>
      <c r="E355" s="144"/>
      <c r="F355" s="143"/>
      <c r="G355" s="142"/>
      <c r="H355" s="142"/>
      <c r="I355" s="144"/>
      <c r="J355" s="144"/>
    </row>
    <row r="356" spans="1:10" ht="12.75" customHeight="1" x14ac:dyDescent="0.2">
      <c r="A356" s="142"/>
      <c r="B356" s="142"/>
      <c r="C356" s="142"/>
      <c r="D356" s="144"/>
      <c r="E356" s="144"/>
      <c r="F356" s="143"/>
      <c r="G356" s="142"/>
      <c r="H356" s="142"/>
      <c r="I356" s="144"/>
      <c r="J356" s="144"/>
    </row>
    <row r="357" spans="1:10" ht="12.75" customHeight="1" x14ac:dyDescent="0.2">
      <c r="A357" s="142"/>
      <c r="B357" s="142"/>
      <c r="C357" s="142"/>
      <c r="D357" s="144"/>
      <c r="E357" s="144"/>
      <c r="F357" s="144"/>
      <c r="G357" s="142"/>
      <c r="H357" s="142"/>
      <c r="I357" s="144"/>
      <c r="J357" s="144"/>
    </row>
    <row r="358" spans="1:10" x14ac:dyDescent="0.2">
      <c r="A358" s="142"/>
      <c r="B358" s="142"/>
      <c r="C358" s="142"/>
      <c r="D358" s="144"/>
      <c r="E358" s="144"/>
      <c r="F358" s="143"/>
      <c r="G358" s="142"/>
      <c r="H358" s="142"/>
      <c r="I358" s="144"/>
      <c r="J358" s="144"/>
    </row>
    <row r="359" spans="1:10" x14ac:dyDescent="0.2">
      <c r="A359" s="142"/>
      <c r="B359" s="142"/>
      <c r="C359" s="142"/>
      <c r="D359" s="144"/>
      <c r="E359" s="144"/>
      <c r="F359" s="143"/>
      <c r="G359" s="142"/>
      <c r="H359" s="142"/>
      <c r="I359" s="144"/>
      <c r="J359" s="144"/>
    </row>
    <row r="360" spans="1:10" x14ac:dyDescent="0.2">
      <c r="A360" s="142"/>
      <c r="B360" s="142"/>
      <c r="C360" s="142"/>
      <c r="D360" s="144"/>
      <c r="E360" s="144"/>
      <c r="F360" s="144"/>
      <c r="G360" s="142"/>
      <c r="H360" s="142"/>
      <c r="I360" s="144"/>
      <c r="J360" s="144"/>
    </row>
    <row r="361" spans="1:10" x14ac:dyDescent="0.2">
      <c r="A361" s="142"/>
      <c r="B361" s="142"/>
      <c r="C361" s="142"/>
      <c r="D361" s="144"/>
      <c r="E361" s="144"/>
      <c r="F361" s="143"/>
      <c r="G361" s="142"/>
      <c r="H361" s="142"/>
      <c r="I361" s="144"/>
      <c r="J361" s="144"/>
    </row>
    <row r="362" spans="1:10" x14ac:dyDescent="0.2">
      <c r="A362" s="142"/>
      <c r="B362" s="142"/>
      <c r="C362" s="142"/>
      <c r="D362" s="144"/>
      <c r="E362" s="144"/>
      <c r="F362" s="143"/>
      <c r="G362" s="142"/>
      <c r="H362" s="142"/>
      <c r="I362" s="144"/>
      <c r="J362" s="144"/>
    </row>
    <row r="363" spans="1:10" ht="12.75" customHeight="1" x14ac:dyDescent="0.2">
      <c r="A363" s="142"/>
      <c r="B363" s="142"/>
      <c r="C363" s="142"/>
      <c r="D363" s="144"/>
      <c r="E363" s="144"/>
      <c r="F363" s="144"/>
      <c r="G363" s="142"/>
      <c r="H363" s="142"/>
      <c r="I363" s="144"/>
      <c r="J363" s="144"/>
    </row>
    <row r="364" spans="1:10" ht="12.75" customHeight="1" x14ac:dyDescent="0.2">
      <c r="A364" s="142"/>
      <c r="B364" s="142"/>
      <c r="C364" s="142"/>
      <c r="D364" s="144"/>
      <c r="E364" s="144"/>
      <c r="F364" s="143"/>
      <c r="G364" s="142"/>
      <c r="H364" s="142"/>
      <c r="I364" s="144"/>
      <c r="J364" s="144"/>
    </row>
    <row r="365" spans="1:10" x14ac:dyDescent="0.2">
      <c r="A365" s="142"/>
      <c r="B365" s="142"/>
      <c r="C365" s="142"/>
      <c r="D365" s="144"/>
      <c r="E365" s="144"/>
      <c r="F365" s="143"/>
      <c r="G365" s="142"/>
      <c r="H365" s="142"/>
      <c r="I365" s="144"/>
      <c r="J365" s="144"/>
    </row>
    <row r="366" spans="1:10" x14ac:dyDescent="0.2">
      <c r="A366" s="142"/>
      <c r="B366" s="142"/>
      <c r="C366" s="142"/>
      <c r="D366" s="144"/>
      <c r="E366" s="144"/>
      <c r="F366" s="144"/>
      <c r="G366" s="142"/>
      <c r="H366" s="142"/>
      <c r="I366" s="144"/>
      <c r="J366" s="144"/>
    </row>
    <row r="367" spans="1:10" x14ac:dyDescent="0.2">
      <c r="A367" s="142"/>
      <c r="B367" s="142"/>
      <c r="C367" s="142"/>
      <c r="D367" s="144"/>
      <c r="E367" s="144"/>
      <c r="F367" s="143"/>
      <c r="G367" s="142"/>
      <c r="H367" s="142"/>
      <c r="I367" s="144"/>
      <c r="J367" s="144"/>
    </row>
    <row r="368" spans="1:10" x14ac:dyDescent="0.2">
      <c r="A368" s="142"/>
      <c r="B368" s="142"/>
      <c r="C368" s="142"/>
      <c r="D368" s="144"/>
      <c r="E368" s="144"/>
      <c r="F368" s="143"/>
      <c r="G368" s="142"/>
      <c r="H368" s="142"/>
      <c r="I368" s="144"/>
      <c r="J368" s="144"/>
    </row>
    <row r="369" spans="1:10" x14ac:dyDescent="0.2">
      <c r="A369" s="142"/>
      <c r="B369" s="142"/>
      <c r="C369" s="142"/>
      <c r="D369" s="144"/>
      <c r="E369" s="144"/>
      <c r="F369" s="144"/>
      <c r="G369" s="142"/>
      <c r="H369" s="142"/>
      <c r="I369" s="144"/>
      <c r="J369" s="144"/>
    </row>
    <row r="370" spans="1:10" ht="12.75" customHeight="1" x14ac:dyDescent="0.2">
      <c r="A370" s="142"/>
      <c r="B370" s="142"/>
      <c r="C370" s="142"/>
      <c r="D370" s="144"/>
      <c r="E370" s="144"/>
      <c r="F370" s="143"/>
      <c r="G370" s="142"/>
      <c r="H370" s="142"/>
      <c r="I370" s="144"/>
      <c r="J370" s="144"/>
    </row>
    <row r="371" spans="1:10" ht="12.75" customHeight="1" x14ac:dyDescent="0.2">
      <c r="A371" s="142"/>
      <c r="B371" s="142"/>
      <c r="C371" s="142"/>
      <c r="D371" s="144"/>
      <c r="E371" s="144"/>
      <c r="F371" s="143"/>
      <c r="G371" s="142"/>
      <c r="H371" s="142"/>
      <c r="I371" s="144"/>
      <c r="J371" s="144"/>
    </row>
    <row r="372" spans="1:10" x14ac:dyDescent="0.2">
      <c r="A372" s="142"/>
      <c r="B372" s="142"/>
      <c r="C372" s="142"/>
      <c r="D372" s="144"/>
      <c r="E372" s="144"/>
      <c r="F372" s="144"/>
      <c r="G372" s="142"/>
      <c r="H372" s="142"/>
      <c r="I372" s="144"/>
      <c r="J372" s="144"/>
    </row>
    <row r="373" spans="1:10" x14ac:dyDescent="0.2">
      <c r="A373" s="142"/>
      <c r="B373" s="142"/>
      <c r="C373" s="142"/>
      <c r="D373" s="144"/>
      <c r="E373" s="144"/>
      <c r="F373" s="143"/>
      <c r="G373" s="142"/>
      <c r="H373" s="142"/>
      <c r="I373" s="144"/>
      <c r="J373" s="144"/>
    </row>
    <row r="374" spans="1:10" x14ac:dyDescent="0.2">
      <c r="A374" s="142"/>
      <c r="B374" s="142"/>
      <c r="C374" s="142"/>
      <c r="D374" s="144"/>
      <c r="E374" s="144"/>
      <c r="F374" s="143"/>
      <c r="G374" s="142"/>
      <c r="H374" s="142"/>
      <c r="I374" s="144"/>
      <c r="J374" s="144"/>
    </row>
    <row r="375" spans="1:10" x14ac:dyDescent="0.2">
      <c r="A375" s="142"/>
      <c r="B375" s="142"/>
      <c r="C375" s="142"/>
      <c r="D375" s="144"/>
      <c r="E375" s="144"/>
      <c r="F375" s="144"/>
      <c r="G375" s="142"/>
      <c r="H375" s="142"/>
      <c r="I375" s="144"/>
      <c r="J375" s="144"/>
    </row>
    <row r="376" spans="1:10" x14ac:dyDescent="0.2">
      <c r="A376" s="142"/>
      <c r="B376" s="142"/>
      <c r="C376" s="142"/>
      <c r="D376" s="144"/>
      <c r="E376" s="144"/>
      <c r="F376" s="143"/>
      <c r="G376" s="142"/>
      <c r="H376" s="142"/>
      <c r="I376" s="144"/>
      <c r="J376" s="144"/>
    </row>
    <row r="377" spans="1:10" ht="12.75" customHeight="1" x14ac:dyDescent="0.2">
      <c r="A377" s="142"/>
      <c r="B377" s="142"/>
      <c r="C377" s="142"/>
      <c r="D377" s="144"/>
      <c r="E377" s="144"/>
      <c r="F377" s="143"/>
      <c r="G377" s="142"/>
      <c r="H377" s="142"/>
      <c r="I377" s="144"/>
      <c r="J377" s="144"/>
    </row>
    <row r="378" spans="1:10" ht="12.75" customHeight="1" x14ac:dyDescent="0.2">
      <c r="A378" s="142"/>
      <c r="B378" s="142"/>
      <c r="C378" s="142"/>
      <c r="D378" s="144"/>
      <c r="E378" s="144"/>
      <c r="F378" s="144"/>
      <c r="G378" s="142"/>
      <c r="H378" s="142"/>
      <c r="I378" s="144"/>
      <c r="J378" s="144"/>
    </row>
    <row r="379" spans="1:10" x14ac:dyDescent="0.2">
      <c r="A379" s="142"/>
      <c r="B379" s="142"/>
      <c r="C379" s="142"/>
      <c r="D379" s="144"/>
      <c r="E379" s="144"/>
      <c r="F379" s="143"/>
      <c r="G379" s="142"/>
      <c r="H379" s="142"/>
      <c r="I379" s="144"/>
      <c r="J379" s="144"/>
    </row>
    <row r="380" spans="1:10" x14ac:dyDescent="0.2">
      <c r="A380" s="142"/>
      <c r="B380" s="142"/>
      <c r="C380" s="142"/>
      <c r="D380" s="144"/>
      <c r="E380" s="144"/>
      <c r="F380" s="143"/>
      <c r="G380" s="142"/>
      <c r="H380" s="142"/>
      <c r="I380" s="144"/>
      <c r="J380" s="144"/>
    </row>
    <row r="381" spans="1:10" x14ac:dyDescent="0.2">
      <c r="A381" s="142"/>
      <c r="B381" s="142"/>
      <c r="C381" s="142"/>
      <c r="D381" s="144"/>
      <c r="E381" s="144"/>
      <c r="F381" s="144"/>
      <c r="G381" s="142"/>
      <c r="H381" s="142"/>
      <c r="I381" s="144"/>
      <c r="J381" s="144"/>
    </row>
    <row r="382" spans="1:10" x14ac:dyDescent="0.2">
      <c r="A382" s="142"/>
      <c r="B382" s="142"/>
      <c r="C382" s="142"/>
      <c r="D382" s="144"/>
      <c r="E382" s="144"/>
      <c r="F382" s="143"/>
      <c r="G382" s="142"/>
      <c r="H382" s="142"/>
      <c r="I382" s="144"/>
      <c r="J382" s="144"/>
    </row>
    <row r="383" spans="1:10" x14ac:dyDescent="0.2">
      <c r="A383" s="142"/>
      <c r="B383" s="142"/>
      <c r="C383" s="142"/>
      <c r="D383" s="144"/>
      <c r="E383" s="144"/>
      <c r="F383" s="143"/>
      <c r="G383" s="142"/>
      <c r="H383" s="142"/>
      <c r="I383" s="144"/>
      <c r="J383" s="144"/>
    </row>
    <row r="384" spans="1:10" ht="12.75" customHeight="1" x14ac:dyDescent="0.2">
      <c r="A384" s="142"/>
      <c r="B384" s="142"/>
      <c r="C384" s="142"/>
      <c r="D384" s="144"/>
      <c r="E384" s="144"/>
      <c r="F384" s="144"/>
      <c r="G384" s="142"/>
      <c r="H384" s="142"/>
      <c r="I384" s="144"/>
      <c r="J384" s="144"/>
    </row>
    <row r="385" spans="1:10" ht="12.75" customHeight="1" x14ac:dyDescent="0.2">
      <c r="A385" s="142"/>
      <c r="B385" s="142"/>
      <c r="C385" s="142"/>
      <c r="D385" s="144"/>
      <c r="E385" s="144"/>
      <c r="F385" s="143"/>
      <c r="G385" s="142"/>
      <c r="H385" s="142"/>
      <c r="I385" s="144"/>
      <c r="J385" s="144"/>
    </row>
    <row r="386" spans="1:10" x14ac:dyDescent="0.2">
      <c r="A386" s="142"/>
      <c r="B386" s="142"/>
      <c r="C386" s="142"/>
      <c r="D386" s="144"/>
      <c r="E386" s="144"/>
      <c r="F386" s="143"/>
      <c r="G386" s="142"/>
      <c r="H386" s="142"/>
      <c r="I386" s="144"/>
      <c r="J386" s="144"/>
    </row>
    <row r="387" spans="1:10" x14ac:dyDescent="0.2">
      <c r="A387" s="142"/>
      <c r="B387" s="142"/>
      <c r="C387" s="142"/>
      <c r="D387" s="144"/>
      <c r="E387" s="144"/>
      <c r="F387" s="144"/>
      <c r="G387" s="142"/>
      <c r="H387" s="142"/>
      <c r="I387" s="144"/>
      <c r="J387" s="144"/>
    </row>
    <row r="388" spans="1:10" x14ac:dyDescent="0.2">
      <c r="A388" s="142"/>
      <c r="B388" s="142"/>
      <c r="C388" s="142"/>
      <c r="D388" s="144"/>
      <c r="E388" s="144"/>
      <c r="F388" s="143"/>
      <c r="G388" s="142"/>
      <c r="H388" s="142"/>
      <c r="I388" s="144"/>
      <c r="J388" s="144"/>
    </row>
    <row r="389" spans="1:10" x14ac:dyDescent="0.2">
      <c r="A389" s="142"/>
      <c r="B389" s="142"/>
      <c r="C389" s="142"/>
      <c r="D389" s="144"/>
      <c r="E389" s="144"/>
      <c r="F389" s="143"/>
      <c r="G389" s="142"/>
      <c r="H389" s="142"/>
      <c r="I389" s="144"/>
      <c r="J389" s="144"/>
    </row>
    <row r="390" spans="1:10" x14ac:dyDescent="0.2">
      <c r="A390" s="142"/>
      <c r="B390" s="142"/>
      <c r="C390" s="142"/>
      <c r="D390" s="144"/>
      <c r="E390" s="144"/>
      <c r="F390" s="144"/>
      <c r="G390" s="142"/>
      <c r="H390" s="142"/>
      <c r="I390" s="144"/>
      <c r="J390" s="144"/>
    </row>
    <row r="391" spans="1:10" ht="12.75" customHeight="1" x14ac:dyDescent="0.2">
      <c r="A391" s="142"/>
      <c r="B391" s="142"/>
      <c r="C391" s="142"/>
      <c r="D391" s="144"/>
      <c r="E391" s="144"/>
      <c r="F391" s="143"/>
      <c r="G391" s="142"/>
      <c r="H391" s="142"/>
      <c r="I391" s="144"/>
      <c r="J391" s="144"/>
    </row>
    <row r="392" spans="1:10" ht="12.75" customHeight="1" x14ac:dyDescent="0.2">
      <c r="A392" s="142"/>
      <c r="B392" s="142"/>
      <c r="C392" s="142"/>
      <c r="D392" s="144"/>
      <c r="E392" s="144"/>
      <c r="F392" s="143"/>
      <c r="G392" s="142"/>
      <c r="H392" s="142"/>
      <c r="I392" s="144"/>
      <c r="J392" s="144"/>
    </row>
    <row r="393" spans="1:10" x14ac:dyDescent="0.2">
      <c r="A393" s="142"/>
      <c r="B393" s="142"/>
      <c r="C393" s="142"/>
      <c r="D393" s="144"/>
      <c r="E393" s="144"/>
      <c r="F393" s="144"/>
      <c r="G393" s="142"/>
      <c r="H393" s="142"/>
      <c r="I393" s="144"/>
      <c r="J393" s="144"/>
    </row>
    <row r="394" spans="1:10" x14ac:dyDescent="0.2">
      <c r="A394" s="142"/>
      <c r="B394" s="142"/>
      <c r="C394" s="142"/>
      <c r="D394" s="144"/>
      <c r="E394" s="144"/>
      <c r="F394" s="143"/>
      <c r="G394" s="142"/>
      <c r="H394" s="142"/>
      <c r="I394" s="144"/>
      <c r="J394" s="144"/>
    </row>
    <row r="395" spans="1:10" x14ac:dyDescent="0.2">
      <c r="A395" s="142"/>
      <c r="B395" s="142"/>
      <c r="C395" s="142"/>
      <c r="D395" s="144"/>
      <c r="E395" s="144"/>
      <c r="F395" s="143"/>
      <c r="G395" s="142"/>
      <c r="H395" s="142"/>
      <c r="I395" s="144"/>
      <c r="J395" s="144"/>
    </row>
    <row r="396" spans="1:10" x14ac:dyDescent="0.2">
      <c r="A396" s="142"/>
      <c r="B396" s="142"/>
      <c r="C396" s="142"/>
      <c r="D396" s="144"/>
      <c r="E396" s="144"/>
      <c r="F396" s="144"/>
      <c r="G396" s="142"/>
      <c r="H396" s="142"/>
      <c r="I396" s="144"/>
      <c r="J396" s="144"/>
    </row>
    <row r="397" spans="1:10" x14ac:dyDescent="0.2">
      <c r="A397" s="142"/>
      <c r="B397" s="142"/>
      <c r="C397" s="142"/>
      <c r="D397" s="144"/>
      <c r="E397" s="144"/>
      <c r="F397" s="143"/>
      <c r="G397" s="142"/>
      <c r="H397" s="142"/>
      <c r="I397" s="144"/>
      <c r="J397" s="144"/>
    </row>
    <row r="398" spans="1:10" ht="12.75" customHeight="1" x14ac:dyDescent="0.2">
      <c r="A398" s="142"/>
      <c r="B398" s="142"/>
      <c r="C398" s="142"/>
      <c r="D398" s="144"/>
      <c r="E398" s="144"/>
      <c r="F398" s="143"/>
      <c r="G398" s="142"/>
      <c r="H398" s="142"/>
      <c r="I398" s="144"/>
      <c r="J398" s="144"/>
    </row>
    <row r="399" spans="1:10" ht="12.75" customHeight="1" x14ac:dyDescent="0.2">
      <c r="A399" s="142"/>
      <c r="B399" s="142"/>
      <c r="C399" s="142"/>
      <c r="D399" s="144"/>
      <c r="E399" s="144"/>
      <c r="F399" s="144"/>
      <c r="G399" s="142"/>
      <c r="H399" s="142"/>
      <c r="I399" s="144"/>
      <c r="J399" s="144"/>
    </row>
    <row r="400" spans="1:10" x14ac:dyDescent="0.2">
      <c r="A400" s="142"/>
      <c r="B400" s="142"/>
      <c r="C400" s="142"/>
      <c r="D400" s="144"/>
      <c r="E400" s="144"/>
      <c r="F400" s="143"/>
      <c r="G400" s="142"/>
      <c r="H400" s="142"/>
      <c r="I400" s="144"/>
      <c r="J400" s="144"/>
    </row>
    <row r="401" spans="1:10" x14ac:dyDescent="0.2">
      <c r="A401" s="142"/>
      <c r="B401" s="142"/>
      <c r="C401" s="142"/>
      <c r="D401" s="144"/>
      <c r="E401" s="144"/>
      <c r="F401" s="143"/>
      <c r="G401" s="142"/>
      <c r="H401" s="142"/>
      <c r="I401" s="144"/>
      <c r="J401" s="144"/>
    </row>
    <row r="402" spans="1:10" x14ac:dyDescent="0.2">
      <c r="A402" s="142"/>
      <c r="B402" s="142"/>
      <c r="C402" s="142"/>
      <c r="D402" s="144"/>
      <c r="E402" s="144"/>
      <c r="F402" s="144"/>
      <c r="G402" s="142"/>
      <c r="H402" s="142"/>
      <c r="I402" s="144"/>
      <c r="J402" s="144"/>
    </row>
    <row r="403" spans="1:10" x14ac:dyDescent="0.2">
      <c r="A403" s="142"/>
      <c r="B403" s="142"/>
      <c r="C403" s="142"/>
      <c r="D403" s="144"/>
      <c r="E403" s="144"/>
      <c r="F403" s="143"/>
      <c r="G403" s="142"/>
      <c r="H403" s="142"/>
      <c r="I403" s="144"/>
      <c r="J403" s="144"/>
    </row>
    <row r="404" spans="1:10" x14ac:dyDescent="0.2">
      <c r="A404" s="142"/>
      <c r="B404" s="142"/>
      <c r="C404" s="142"/>
      <c r="D404" s="144"/>
      <c r="E404" s="144"/>
      <c r="F404" s="143"/>
      <c r="G404" s="142"/>
      <c r="H404" s="142"/>
      <c r="I404" s="144"/>
      <c r="J404" s="144"/>
    </row>
    <row r="405" spans="1:10" ht="12.75" customHeight="1" x14ac:dyDescent="0.2">
      <c r="A405" s="142"/>
      <c r="B405" s="142"/>
      <c r="C405" s="142"/>
      <c r="D405" s="144"/>
      <c r="E405" s="144"/>
      <c r="F405" s="144"/>
      <c r="G405" s="142"/>
      <c r="H405" s="142"/>
      <c r="I405" s="144"/>
      <c r="J405" s="144"/>
    </row>
    <row r="406" spans="1:10" ht="12.75" customHeight="1" x14ac:dyDescent="0.2">
      <c r="A406" s="142"/>
      <c r="B406" s="142"/>
      <c r="C406" s="142"/>
      <c r="D406" s="144"/>
      <c r="E406" s="144"/>
      <c r="F406" s="143"/>
      <c r="G406" s="142"/>
      <c r="H406" s="142"/>
      <c r="I406" s="144"/>
      <c r="J406" s="144"/>
    </row>
    <row r="407" spans="1:10" x14ac:dyDescent="0.2">
      <c r="A407" s="142"/>
      <c r="B407" s="142"/>
      <c r="C407" s="142"/>
      <c r="D407" s="144"/>
      <c r="E407" s="144"/>
      <c r="F407" s="143"/>
      <c r="G407" s="142"/>
      <c r="H407" s="142"/>
      <c r="I407" s="144"/>
      <c r="J407" s="144"/>
    </row>
    <row r="408" spans="1:10" x14ac:dyDescent="0.2">
      <c r="A408" s="142"/>
      <c r="B408" s="142"/>
      <c r="C408" s="142"/>
      <c r="D408" s="144"/>
      <c r="E408" s="144"/>
      <c r="F408" s="144"/>
      <c r="G408" s="142"/>
      <c r="H408" s="142"/>
      <c r="I408" s="144"/>
      <c r="J408" s="144"/>
    </row>
    <row r="409" spans="1:10" x14ac:dyDescent="0.2">
      <c r="A409" s="142"/>
      <c r="B409" s="142"/>
      <c r="C409" s="142"/>
      <c r="D409" s="144"/>
      <c r="E409" s="144"/>
      <c r="F409" s="143"/>
      <c r="G409" s="142"/>
      <c r="H409" s="142"/>
      <c r="I409" s="144"/>
      <c r="J409" s="144"/>
    </row>
    <row r="410" spans="1:10" x14ac:dyDescent="0.2">
      <c r="A410" s="142"/>
      <c r="B410" s="142"/>
      <c r="C410" s="142"/>
      <c r="D410" s="144"/>
      <c r="E410" s="144"/>
      <c r="F410" s="143"/>
      <c r="G410" s="142"/>
      <c r="H410" s="142"/>
      <c r="I410" s="144"/>
      <c r="J410" s="144"/>
    </row>
    <row r="411" spans="1:10" x14ac:dyDescent="0.2">
      <c r="A411" s="142"/>
      <c r="B411" s="142"/>
      <c r="C411" s="142"/>
      <c r="D411" s="144"/>
      <c r="E411" s="144"/>
      <c r="F411" s="144"/>
      <c r="G411" s="142"/>
      <c r="H411" s="142"/>
      <c r="I411" s="144"/>
      <c r="J411" s="144"/>
    </row>
    <row r="412" spans="1:10" ht="12.75" customHeight="1" x14ac:dyDescent="0.2">
      <c r="A412" s="142"/>
      <c r="B412" s="142"/>
      <c r="C412" s="142"/>
      <c r="D412" s="144"/>
      <c r="E412" s="144"/>
      <c r="F412" s="143"/>
      <c r="G412" s="142"/>
      <c r="H412" s="142"/>
      <c r="I412" s="144"/>
      <c r="J412" s="144"/>
    </row>
    <row r="413" spans="1:10" ht="12.75" customHeight="1" x14ac:dyDescent="0.2">
      <c r="A413" s="142"/>
      <c r="B413" s="142"/>
      <c r="C413" s="142"/>
      <c r="D413" s="144"/>
      <c r="E413" s="144"/>
      <c r="F413" s="143"/>
      <c r="G413" s="142"/>
      <c r="H413" s="142"/>
      <c r="I413" s="144"/>
      <c r="J413" s="144"/>
    </row>
    <row r="414" spans="1:10" x14ac:dyDescent="0.2">
      <c r="A414" s="142"/>
      <c r="B414" s="142"/>
      <c r="C414" s="142"/>
      <c r="D414" s="144"/>
      <c r="E414" s="144"/>
      <c r="F414" s="144"/>
      <c r="G414" s="142"/>
      <c r="H414" s="142"/>
      <c r="I414" s="144"/>
      <c r="J414" s="144"/>
    </row>
    <row r="415" spans="1:10" x14ac:dyDescent="0.2">
      <c r="A415" s="142"/>
      <c r="B415" s="142"/>
      <c r="C415" s="142"/>
      <c r="D415" s="144"/>
      <c r="E415" s="144"/>
      <c r="F415" s="143"/>
      <c r="G415" s="142"/>
      <c r="H415" s="142"/>
      <c r="I415" s="144"/>
      <c r="J415" s="144"/>
    </row>
    <row r="416" spans="1:10" x14ac:dyDescent="0.2">
      <c r="A416" s="142"/>
      <c r="B416" s="142"/>
      <c r="C416" s="142"/>
      <c r="D416" s="144"/>
      <c r="E416" s="144"/>
      <c r="F416" s="143"/>
      <c r="G416" s="142"/>
      <c r="H416" s="142"/>
      <c r="I416" s="144"/>
      <c r="J416" s="144"/>
    </row>
    <row r="417" spans="1:10" x14ac:dyDescent="0.2">
      <c r="A417" s="142"/>
      <c r="B417" s="142"/>
      <c r="C417" s="142"/>
      <c r="D417" s="144"/>
      <c r="E417" s="144"/>
      <c r="F417" s="144"/>
      <c r="G417" s="142"/>
      <c r="H417" s="142"/>
      <c r="I417" s="144"/>
      <c r="J417" s="144"/>
    </row>
    <row r="418" spans="1:10" x14ac:dyDescent="0.2">
      <c r="A418" s="142"/>
      <c r="B418" s="142"/>
      <c r="C418" s="142"/>
      <c r="D418" s="144"/>
      <c r="E418" s="144"/>
      <c r="F418" s="143"/>
      <c r="G418" s="142"/>
      <c r="H418" s="142"/>
      <c r="I418" s="144"/>
      <c r="J418" s="144"/>
    </row>
    <row r="419" spans="1:10" ht="12.75" customHeight="1" x14ac:dyDescent="0.2">
      <c r="A419" s="142"/>
      <c r="B419" s="142"/>
      <c r="C419" s="142"/>
      <c r="D419" s="144"/>
      <c r="E419" s="144"/>
      <c r="F419" s="143"/>
      <c r="G419" s="142"/>
      <c r="H419" s="142"/>
      <c r="I419" s="144"/>
      <c r="J419" s="144"/>
    </row>
    <row r="420" spans="1:10" ht="12.75" customHeight="1" x14ac:dyDescent="0.2">
      <c r="A420" s="142"/>
      <c r="B420" s="142"/>
      <c r="C420" s="142"/>
      <c r="D420" s="144"/>
      <c r="E420" s="144"/>
      <c r="F420" s="144"/>
      <c r="G420" s="142"/>
      <c r="H420" s="142"/>
      <c r="I420" s="144"/>
      <c r="J420" s="144"/>
    </row>
    <row r="421" spans="1:10" x14ac:dyDescent="0.2">
      <c r="A421" s="142"/>
      <c r="B421" s="142"/>
      <c r="C421" s="142"/>
      <c r="D421" s="144"/>
      <c r="E421" s="144"/>
      <c r="F421" s="143"/>
      <c r="G421" s="142"/>
      <c r="H421" s="142"/>
      <c r="I421" s="144"/>
      <c r="J421" s="144"/>
    </row>
    <row r="422" spans="1:10" x14ac:dyDescent="0.2">
      <c r="A422" s="142"/>
      <c r="B422" s="142"/>
      <c r="C422" s="142"/>
      <c r="D422" s="144"/>
      <c r="E422" s="144"/>
      <c r="F422" s="143"/>
      <c r="G422" s="142"/>
      <c r="H422" s="142"/>
      <c r="I422" s="144"/>
      <c r="J422" s="144"/>
    </row>
    <row r="423" spans="1:10" x14ac:dyDescent="0.2">
      <c r="A423" s="142"/>
      <c r="B423" s="142"/>
      <c r="C423" s="142"/>
      <c r="D423" s="144"/>
      <c r="E423" s="144"/>
      <c r="F423" s="144"/>
      <c r="G423" s="142"/>
      <c r="H423" s="142"/>
      <c r="I423" s="144"/>
      <c r="J423" s="144"/>
    </row>
    <row r="424" spans="1:10" x14ac:dyDescent="0.2">
      <c r="A424" s="142"/>
      <c r="B424" s="142"/>
      <c r="C424" s="142"/>
      <c r="D424" s="144"/>
      <c r="E424" s="144"/>
      <c r="F424" s="143"/>
      <c r="G424" s="142"/>
      <c r="H424" s="142"/>
      <c r="I424" s="144"/>
      <c r="J424" s="144"/>
    </row>
    <row r="425" spans="1:10" x14ac:dyDescent="0.2">
      <c r="A425" s="142"/>
      <c r="B425" s="142"/>
      <c r="C425" s="142"/>
      <c r="D425" s="144"/>
      <c r="E425" s="144"/>
      <c r="F425" s="143"/>
      <c r="G425" s="142"/>
      <c r="H425" s="142"/>
      <c r="I425" s="144"/>
      <c r="J425" s="144"/>
    </row>
    <row r="426" spans="1:10" ht="12.75" customHeight="1" x14ac:dyDescent="0.2">
      <c r="A426" s="142"/>
      <c r="B426" s="142"/>
      <c r="C426" s="142"/>
      <c r="D426" s="144"/>
      <c r="E426" s="144"/>
      <c r="F426" s="144"/>
      <c r="G426" s="142"/>
      <c r="H426" s="142"/>
      <c r="I426" s="144"/>
      <c r="J426" s="144"/>
    </row>
    <row r="427" spans="1:10" ht="12.75" customHeight="1" x14ac:dyDescent="0.2">
      <c r="A427" s="142"/>
      <c r="B427" s="142"/>
      <c r="C427" s="142"/>
      <c r="D427" s="144"/>
      <c r="E427" s="144"/>
      <c r="F427" s="143"/>
      <c r="G427" s="142"/>
      <c r="H427" s="142"/>
      <c r="I427" s="144"/>
      <c r="J427" s="144"/>
    </row>
    <row r="428" spans="1:10" x14ac:dyDescent="0.2">
      <c r="A428" s="142"/>
      <c r="B428" s="142"/>
      <c r="C428" s="142"/>
      <c r="D428" s="144"/>
      <c r="E428" s="144"/>
      <c r="F428" s="143"/>
      <c r="G428" s="142"/>
      <c r="H428" s="142"/>
      <c r="I428" s="144"/>
      <c r="J428" s="144"/>
    </row>
    <row r="429" spans="1:10" x14ac:dyDescent="0.2">
      <c r="A429" s="142"/>
      <c r="B429" s="142"/>
      <c r="C429" s="142"/>
      <c r="D429" s="144"/>
      <c r="E429" s="144"/>
      <c r="F429" s="144"/>
      <c r="G429" s="142"/>
      <c r="H429" s="142"/>
      <c r="I429" s="144"/>
      <c r="J429" s="144"/>
    </row>
    <row r="430" spans="1:10" x14ac:dyDescent="0.2">
      <c r="A430" s="142"/>
      <c r="B430" s="142"/>
      <c r="C430" s="142"/>
      <c r="D430" s="144"/>
      <c r="E430" s="144"/>
      <c r="F430" s="143"/>
      <c r="G430" s="142"/>
      <c r="H430" s="142"/>
      <c r="I430" s="144"/>
      <c r="J430" s="144"/>
    </row>
    <row r="431" spans="1:10" x14ac:dyDescent="0.2">
      <c r="A431" s="142"/>
      <c r="B431" s="142"/>
      <c r="C431" s="142"/>
      <c r="D431" s="144"/>
      <c r="E431" s="144"/>
      <c r="F431" s="143"/>
      <c r="G431" s="142"/>
      <c r="H431" s="142"/>
      <c r="I431" s="144"/>
      <c r="J431" s="144"/>
    </row>
    <row r="432" spans="1:10" x14ac:dyDescent="0.2">
      <c r="A432" s="142"/>
      <c r="B432" s="142"/>
      <c r="C432" s="142"/>
      <c r="D432" s="144"/>
      <c r="E432" s="144"/>
      <c r="F432" s="144"/>
      <c r="G432" s="142"/>
      <c r="H432" s="142"/>
      <c r="I432" s="144"/>
      <c r="J432" s="144"/>
    </row>
    <row r="433" spans="1:10" ht="12.75" customHeight="1" x14ac:dyDescent="0.2">
      <c r="A433" s="142"/>
      <c r="B433" s="142"/>
      <c r="C433" s="142"/>
      <c r="D433" s="144"/>
      <c r="E433" s="144"/>
      <c r="F433" s="143"/>
      <c r="G433" s="142"/>
      <c r="H433" s="142"/>
      <c r="I433" s="144"/>
      <c r="J433" s="144"/>
    </row>
    <row r="434" spans="1:10" ht="12.75" customHeight="1" x14ac:dyDescent="0.2">
      <c r="A434" s="142"/>
      <c r="B434" s="142"/>
      <c r="C434" s="142"/>
      <c r="D434" s="144"/>
      <c r="E434" s="144"/>
      <c r="F434" s="143"/>
      <c r="G434" s="142"/>
      <c r="H434" s="142"/>
      <c r="I434" s="144"/>
      <c r="J434" s="144"/>
    </row>
    <row r="435" spans="1:10" x14ac:dyDescent="0.2">
      <c r="A435" s="142"/>
      <c r="B435" s="142"/>
      <c r="C435" s="142"/>
      <c r="D435" s="144"/>
      <c r="E435" s="144"/>
      <c r="F435" s="144"/>
      <c r="G435" s="142"/>
      <c r="H435" s="142"/>
      <c r="I435" s="144"/>
      <c r="J435" s="144"/>
    </row>
    <row r="436" spans="1:10" x14ac:dyDescent="0.2">
      <c r="A436" s="142"/>
      <c r="B436" s="142"/>
      <c r="C436" s="142"/>
      <c r="D436" s="144"/>
      <c r="E436" s="144"/>
      <c r="F436" s="143"/>
      <c r="G436" s="142"/>
      <c r="H436" s="142"/>
      <c r="I436" s="144"/>
      <c r="J436" s="144"/>
    </row>
    <row r="437" spans="1:10" x14ac:dyDescent="0.2">
      <c r="A437" s="142"/>
      <c r="B437" s="142"/>
      <c r="C437" s="142"/>
      <c r="D437" s="144"/>
      <c r="E437" s="144"/>
      <c r="F437" s="143"/>
      <c r="G437" s="142"/>
      <c r="H437" s="142"/>
      <c r="I437" s="144"/>
      <c r="J437" s="144"/>
    </row>
    <row r="438" spans="1:10" x14ac:dyDescent="0.2">
      <c r="A438" s="142"/>
      <c r="B438" s="142"/>
      <c r="C438" s="142"/>
      <c r="D438" s="144"/>
      <c r="E438" s="144"/>
      <c r="F438" s="144"/>
      <c r="G438" s="142"/>
      <c r="H438" s="142"/>
      <c r="I438" s="144"/>
      <c r="J438" s="144"/>
    </row>
    <row r="439" spans="1:10" x14ac:dyDescent="0.2">
      <c r="A439" s="142"/>
      <c r="B439" s="142"/>
      <c r="C439" s="142"/>
      <c r="D439" s="144"/>
      <c r="E439" s="144"/>
      <c r="F439" s="143"/>
      <c r="G439" s="142"/>
      <c r="H439" s="142"/>
      <c r="I439" s="144"/>
      <c r="J439" s="144"/>
    </row>
    <row r="440" spans="1:10" ht="12.75" customHeight="1" x14ac:dyDescent="0.2">
      <c r="A440" s="142"/>
      <c r="B440" s="142"/>
      <c r="C440" s="142"/>
      <c r="D440" s="144"/>
      <c r="E440" s="144"/>
      <c r="F440" s="143"/>
      <c r="G440" s="142"/>
      <c r="H440" s="142"/>
      <c r="I440" s="144"/>
      <c r="J440" s="144"/>
    </row>
    <row r="441" spans="1:10" ht="12.75" customHeight="1" x14ac:dyDescent="0.2">
      <c r="A441" s="142"/>
      <c r="B441" s="142"/>
      <c r="C441" s="142"/>
      <c r="D441" s="144"/>
      <c r="E441" s="144"/>
      <c r="F441" s="144"/>
      <c r="G441" s="142"/>
      <c r="H441" s="142"/>
      <c r="I441" s="144"/>
      <c r="J441" s="144"/>
    </row>
    <row r="442" spans="1:10" x14ac:dyDescent="0.2">
      <c r="A442" s="142"/>
      <c r="B442" s="142"/>
      <c r="C442" s="142"/>
      <c r="D442" s="144"/>
      <c r="E442" s="144"/>
      <c r="F442" s="143"/>
      <c r="G442" s="142"/>
      <c r="H442" s="142"/>
      <c r="I442" s="144"/>
      <c r="J442" s="144"/>
    </row>
    <row r="443" spans="1:10" x14ac:dyDescent="0.2">
      <c r="A443" s="142"/>
      <c r="B443" s="142"/>
      <c r="C443" s="142"/>
      <c r="D443" s="144"/>
      <c r="E443" s="144"/>
      <c r="F443" s="143"/>
      <c r="G443" s="142"/>
      <c r="H443" s="142"/>
      <c r="I443" s="144"/>
      <c r="J443" s="144"/>
    </row>
    <row r="444" spans="1:10" x14ac:dyDescent="0.2">
      <c r="A444" s="142"/>
      <c r="B444" s="142"/>
      <c r="C444" s="142"/>
      <c r="D444" s="144"/>
      <c r="E444" s="144"/>
      <c r="F444" s="144"/>
      <c r="G444" s="142"/>
      <c r="H444" s="142"/>
      <c r="I444" s="144"/>
      <c r="J444" s="144"/>
    </row>
    <row r="445" spans="1:10" x14ac:dyDescent="0.2">
      <c r="A445" s="142"/>
      <c r="B445" s="142"/>
      <c r="C445" s="142"/>
      <c r="D445" s="144"/>
      <c r="E445" s="144"/>
      <c r="F445" s="143"/>
      <c r="G445" s="142"/>
      <c r="H445" s="142"/>
      <c r="I445" s="144"/>
      <c r="J445" s="144"/>
    </row>
    <row r="446" spans="1:10" x14ac:dyDescent="0.2">
      <c r="A446" s="142"/>
      <c r="B446" s="142"/>
      <c r="C446" s="142"/>
      <c r="D446" s="144"/>
      <c r="E446" s="144"/>
      <c r="F446" s="143"/>
      <c r="G446" s="142"/>
      <c r="H446" s="142"/>
      <c r="I446" s="144"/>
      <c r="J446" s="144"/>
    </row>
    <row r="447" spans="1:10" ht="12.75" customHeight="1" x14ac:dyDescent="0.2">
      <c r="A447" s="142"/>
      <c r="B447" s="142"/>
      <c r="C447" s="142"/>
      <c r="D447" s="144"/>
      <c r="E447" s="144"/>
      <c r="F447" s="144"/>
      <c r="G447" s="142"/>
      <c r="H447" s="142"/>
      <c r="I447" s="144"/>
      <c r="J447" s="144"/>
    </row>
    <row r="448" spans="1:10" ht="12.75" customHeight="1" x14ac:dyDescent="0.2">
      <c r="A448" s="142"/>
      <c r="B448" s="142"/>
      <c r="C448" s="142"/>
      <c r="D448" s="144"/>
      <c r="E448" s="144"/>
      <c r="F448" s="143"/>
      <c r="G448" s="142"/>
      <c r="H448" s="142"/>
      <c r="I448" s="144"/>
      <c r="J448" s="144"/>
    </row>
    <row r="449" spans="1:10" x14ac:dyDescent="0.2">
      <c r="A449" s="142"/>
      <c r="B449" s="142"/>
      <c r="C449" s="142"/>
      <c r="D449" s="144"/>
      <c r="E449" s="144"/>
      <c r="F449" s="143"/>
      <c r="G449" s="142"/>
      <c r="H449" s="142"/>
      <c r="I449" s="144"/>
      <c r="J449" s="144"/>
    </row>
    <row r="450" spans="1:10" x14ac:dyDescent="0.2">
      <c r="A450" s="142"/>
      <c r="B450" s="142"/>
      <c r="C450" s="142"/>
      <c r="D450" s="144"/>
      <c r="E450" s="144"/>
      <c r="F450" s="144"/>
      <c r="G450" s="142"/>
      <c r="H450" s="142"/>
      <c r="I450" s="144"/>
      <c r="J450" s="144"/>
    </row>
    <row r="451" spans="1:10" x14ac:dyDescent="0.2">
      <c r="A451" s="142"/>
      <c r="B451" s="142"/>
      <c r="C451" s="142"/>
      <c r="D451" s="144"/>
      <c r="E451" s="144"/>
      <c r="F451" s="143"/>
      <c r="G451" s="142"/>
      <c r="H451" s="142"/>
      <c r="I451" s="144"/>
      <c r="J451" s="144"/>
    </row>
    <row r="452" spans="1:10" x14ac:dyDescent="0.2">
      <c r="A452" s="142"/>
      <c r="B452" s="142"/>
      <c r="C452" s="142"/>
      <c r="D452" s="144"/>
      <c r="E452" s="144"/>
      <c r="F452" s="143"/>
      <c r="G452" s="142"/>
      <c r="H452" s="142"/>
      <c r="I452" s="144"/>
      <c r="J452" s="144"/>
    </row>
    <row r="453" spans="1:10" x14ac:dyDescent="0.2">
      <c r="A453" s="142"/>
      <c r="B453" s="142"/>
      <c r="C453" s="142"/>
      <c r="D453" s="144"/>
      <c r="E453" s="144"/>
      <c r="F453" s="144"/>
      <c r="G453" s="142"/>
      <c r="H453" s="142"/>
      <c r="I453" s="144"/>
      <c r="J453" s="144"/>
    </row>
    <row r="454" spans="1:10" ht="12.75" customHeight="1" x14ac:dyDescent="0.2">
      <c r="A454" s="142"/>
      <c r="B454" s="142"/>
      <c r="C454" s="142"/>
      <c r="D454" s="144"/>
      <c r="E454" s="144"/>
      <c r="F454" s="143"/>
      <c r="G454" s="142"/>
      <c r="H454" s="142"/>
      <c r="I454" s="144"/>
      <c r="J454" s="144"/>
    </row>
    <row r="455" spans="1:10" ht="12.75" customHeight="1" x14ac:dyDescent="0.2">
      <c r="A455" s="142"/>
      <c r="B455" s="142"/>
      <c r="C455" s="142"/>
      <c r="D455" s="144"/>
      <c r="E455" s="144"/>
      <c r="F455" s="143"/>
      <c r="G455" s="142"/>
      <c r="H455" s="142"/>
      <c r="I455" s="144"/>
      <c r="J455" s="144"/>
    </row>
    <row r="456" spans="1:10" x14ac:dyDescent="0.2">
      <c r="A456" s="142"/>
      <c r="B456" s="142"/>
      <c r="C456" s="142"/>
      <c r="D456" s="144"/>
      <c r="E456" s="144"/>
      <c r="F456" s="144"/>
      <c r="G456" s="142"/>
      <c r="H456" s="142"/>
      <c r="I456" s="144"/>
      <c r="J456" s="144"/>
    </row>
    <row r="457" spans="1:10" x14ac:dyDescent="0.2">
      <c r="A457" s="142"/>
      <c r="B457" s="142"/>
      <c r="C457" s="142"/>
      <c r="D457" s="144"/>
      <c r="E457" s="144"/>
      <c r="F457" s="143"/>
      <c r="G457" s="142"/>
      <c r="H457" s="142"/>
      <c r="I457" s="144"/>
      <c r="J457" s="144"/>
    </row>
    <row r="458" spans="1:10" x14ac:dyDescent="0.2">
      <c r="A458" s="142"/>
      <c r="B458" s="142"/>
      <c r="C458" s="142"/>
      <c r="D458" s="144"/>
      <c r="E458" s="144"/>
      <c r="F458" s="143"/>
      <c r="G458" s="142"/>
      <c r="H458" s="142"/>
      <c r="I458" s="144"/>
      <c r="J458" s="144"/>
    </row>
    <row r="459" spans="1:10" x14ac:dyDescent="0.2">
      <c r="A459" s="142"/>
      <c r="B459" s="142"/>
      <c r="C459" s="142"/>
      <c r="D459" s="144"/>
      <c r="E459" s="144"/>
      <c r="F459" s="144"/>
      <c r="G459" s="142"/>
      <c r="H459" s="142"/>
      <c r="I459" s="144"/>
      <c r="J459" s="144"/>
    </row>
    <row r="460" spans="1:10" x14ac:dyDescent="0.2">
      <c r="A460" s="142"/>
      <c r="B460" s="142"/>
      <c r="C460" s="142"/>
      <c r="D460" s="144"/>
      <c r="E460" s="144"/>
      <c r="F460" s="143"/>
      <c r="G460" s="142"/>
      <c r="H460" s="142"/>
      <c r="I460" s="144"/>
      <c r="J460" s="144"/>
    </row>
    <row r="461" spans="1:10" ht="12.75" customHeight="1" x14ac:dyDescent="0.2">
      <c r="A461" s="142"/>
      <c r="B461" s="142"/>
      <c r="C461" s="142"/>
      <c r="D461" s="144"/>
      <c r="E461" s="144"/>
      <c r="F461" s="143"/>
      <c r="G461" s="142"/>
      <c r="H461" s="142"/>
      <c r="I461" s="144"/>
      <c r="J461" s="144"/>
    </row>
    <row r="462" spans="1:10" ht="12.75" customHeight="1" x14ac:dyDescent="0.2">
      <c r="A462" s="142"/>
      <c r="B462" s="142"/>
      <c r="C462" s="142"/>
      <c r="D462" s="144"/>
      <c r="E462" s="144"/>
      <c r="F462" s="144"/>
      <c r="G462" s="142"/>
      <c r="H462" s="142"/>
      <c r="I462" s="144"/>
      <c r="J462" s="144"/>
    </row>
    <row r="463" spans="1:10" x14ac:dyDescent="0.2">
      <c r="A463" s="142"/>
      <c r="B463" s="142"/>
      <c r="C463" s="142"/>
      <c r="D463" s="144"/>
      <c r="E463" s="144"/>
      <c r="F463" s="143"/>
      <c r="G463" s="142"/>
      <c r="H463" s="142"/>
      <c r="I463" s="144"/>
      <c r="J463" s="144"/>
    </row>
    <row r="464" spans="1:10" x14ac:dyDescent="0.2">
      <c r="A464" s="142"/>
      <c r="B464" s="142"/>
      <c r="C464" s="142"/>
      <c r="D464" s="144"/>
      <c r="E464" s="144"/>
      <c r="F464" s="143"/>
      <c r="G464" s="142"/>
      <c r="H464" s="142"/>
      <c r="I464" s="144"/>
      <c r="J464" s="144"/>
    </row>
    <row r="465" spans="1:10" x14ac:dyDescent="0.2">
      <c r="A465" s="142"/>
      <c r="B465" s="142"/>
      <c r="C465" s="142"/>
      <c r="D465" s="144"/>
      <c r="E465" s="144"/>
      <c r="F465" s="144"/>
      <c r="G465" s="142"/>
      <c r="H465" s="142"/>
      <c r="I465" s="144"/>
      <c r="J465" s="144"/>
    </row>
    <row r="466" spans="1:10" x14ac:dyDescent="0.2">
      <c r="A466" s="142"/>
      <c r="B466" s="142"/>
      <c r="C466" s="142"/>
      <c r="D466" s="144"/>
      <c r="E466" s="144"/>
      <c r="F466" s="143"/>
      <c r="G466" s="142"/>
      <c r="H466" s="142"/>
      <c r="I466" s="144"/>
      <c r="J466" s="144"/>
    </row>
    <row r="467" spans="1:10" x14ac:dyDescent="0.2">
      <c r="A467" s="142"/>
      <c r="B467" s="142"/>
      <c r="C467" s="142"/>
      <c r="D467" s="144"/>
      <c r="E467" s="144"/>
      <c r="F467" s="143"/>
      <c r="G467" s="142"/>
      <c r="H467" s="142"/>
      <c r="I467" s="144"/>
      <c r="J467" s="144"/>
    </row>
    <row r="468" spans="1:10" ht="12.75" customHeight="1" x14ac:dyDescent="0.2">
      <c r="A468" s="142"/>
      <c r="B468" s="142"/>
      <c r="C468" s="142"/>
      <c r="D468" s="144"/>
      <c r="E468" s="144"/>
      <c r="F468" s="144"/>
      <c r="G468" s="142"/>
      <c r="H468" s="142"/>
      <c r="I468" s="144"/>
      <c r="J468" s="144"/>
    </row>
    <row r="469" spans="1:10" ht="12.75" customHeight="1" x14ac:dyDescent="0.2">
      <c r="A469" s="142"/>
      <c r="B469" s="142"/>
      <c r="C469" s="142"/>
      <c r="D469" s="144"/>
      <c r="E469" s="144"/>
      <c r="F469" s="143"/>
      <c r="G469" s="142"/>
      <c r="H469" s="142"/>
      <c r="I469" s="144"/>
      <c r="J469" s="144"/>
    </row>
    <row r="470" spans="1:10" x14ac:dyDescent="0.2">
      <c r="A470" s="142"/>
      <c r="B470" s="142"/>
      <c r="C470" s="142"/>
      <c r="D470" s="144"/>
      <c r="E470" s="144"/>
      <c r="F470" s="143"/>
      <c r="G470" s="142"/>
      <c r="H470" s="142"/>
      <c r="I470" s="144"/>
      <c r="J470" s="144"/>
    </row>
    <row r="471" spans="1:10" x14ac:dyDescent="0.2">
      <c r="A471" s="142"/>
      <c r="B471" s="142"/>
      <c r="C471" s="142"/>
      <c r="D471" s="144"/>
      <c r="E471" s="144"/>
      <c r="F471" s="144"/>
      <c r="G471" s="142"/>
      <c r="H471" s="142"/>
      <c r="I471" s="144"/>
      <c r="J471" s="144"/>
    </row>
    <row r="472" spans="1:10" x14ac:dyDescent="0.2">
      <c r="A472" s="142"/>
      <c r="B472" s="142"/>
      <c r="C472" s="142"/>
      <c r="D472" s="144"/>
      <c r="E472" s="144"/>
      <c r="F472" s="143"/>
      <c r="G472" s="142"/>
      <c r="H472" s="142"/>
      <c r="I472" s="144"/>
      <c r="J472" s="144"/>
    </row>
    <row r="473" spans="1:10" x14ac:dyDescent="0.2">
      <c r="A473" s="142"/>
      <c r="B473" s="142"/>
      <c r="C473" s="142"/>
      <c r="D473" s="144"/>
      <c r="E473" s="144"/>
      <c r="F473" s="143"/>
      <c r="G473" s="142"/>
      <c r="H473" s="142"/>
      <c r="I473" s="144"/>
      <c r="J473" s="144"/>
    </row>
    <row r="474" spans="1:10" x14ac:dyDescent="0.2">
      <c r="A474" s="142"/>
      <c r="B474" s="142"/>
      <c r="C474" s="142"/>
      <c r="D474" s="144"/>
      <c r="E474" s="144"/>
      <c r="F474" s="144"/>
      <c r="G474" s="142"/>
      <c r="H474" s="142"/>
      <c r="I474" s="144"/>
      <c r="J474" s="144"/>
    </row>
    <row r="475" spans="1:10" ht="12.75" customHeight="1" x14ac:dyDescent="0.2">
      <c r="A475" s="142"/>
      <c r="B475" s="142"/>
      <c r="C475" s="142"/>
      <c r="D475" s="144"/>
      <c r="E475" s="144"/>
      <c r="F475" s="143"/>
      <c r="G475" s="142"/>
      <c r="H475" s="142"/>
      <c r="I475" s="144"/>
      <c r="J475" s="144"/>
    </row>
    <row r="476" spans="1:10" ht="12.75" customHeight="1" x14ac:dyDescent="0.2">
      <c r="A476" s="142"/>
      <c r="B476" s="142"/>
      <c r="C476" s="142"/>
      <c r="D476" s="144"/>
      <c r="E476" s="144"/>
      <c r="F476" s="143"/>
      <c r="G476" s="142"/>
      <c r="H476" s="142"/>
      <c r="I476" s="144"/>
      <c r="J476" s="144"/>
    </row>
    <row r="477" spans="1:10" x14ac:dyDescent="0.2">
      <c r="A477" s="142"/>
      <c r="B477" s="142"/>
      <c r="C477" s="142"/>
      <c r="D477" s="144"/>
      <c r="E477" s="144"/>
      <c r="F477" s="144"/>
      <c r="G477" s="142"/>
      <c r="H477" s="142"/>
      <c r="I477" s="144"/>
      <c r="J477" s="144"/>
    </row>
    <row r="478" spans="1:10" x14ac:dyDescent="0.2">
      <c r="A478" s="142"/>
      <c r="B478" s="142"/>
      <c r="C478" s="142"/>
      <c r="D478" s="144"/>
      <c r="E478" s="144"/>
      <c r="F478" s="143"/>
      <c r="G478" s="142"/>
      <c r="H478" s="142"/>
      <c r="I478" s="144"/>
      <c r="J478" s="144"/>
    </row>
    <row r="479" spans="1:10" x14ac:dyDescent="0.2">
      <c r="A479" s="142"/>
      <c r="B479" s="142"/>
      <c r="C479" s="142"/>
      <c r="D479" s="144"/>
      <c r="E479" s="144"/>
      <c r="F479" s="143"/>
      <c r="G479" s="142"/>
      <c r="H479" s="142"/>
      <c r="I479" s="144"/>
      <c r="J479" s="144"/>
    </row>
    <row r="480" spans="1:10" x14ac:dyDescent="0.2">
      <c r="A480" s="142"/>
      <c r="B480" s="142"/>
      <c r="C480" s="142"/>
      <c r="D480" s="144"/>
      <c r="E480" s="144"/>
      <c r="F480" s="144"/>
      <c r="G480" s="142"/>
      <c r="H480" s="142"/>
      <c r="I480" s="144"/>
      <c r="J480" s="144"/>
    </row>
    <row r="481" spans="1:10" x14ac:dyDescent="0.2">
      <c r="A481" s="142"/>
      <c r="B481" s="142"/>
      <c r="C481" s="142"/>
      <c r="D481" s="144"/>
      <c r="E481" s="144"/>
      <c r="F481" s="143"/>
      <c r="G481" s="142"/>
      <c r="H481" s="142"/>
      <c r="I481" s="144"/>
      <c r="J481" s="144"/>
    </row>
    <row r="482" spans="1:10" ht="12.75" customHeight="1" x14ac:dyDescent="0.2">
      <c r="A482" s="142"/>
      <c r="B482" s="142"/>
      <c r="C482" s="142"/>
      <c r="D482" s="144"/>
      <c r="E482" s="144"/>
      <c r="F482" s="143"/>
      <c r="G482" s="142"/>
      <c r="H482" s="142"/>
      <c r="I482" s="144"/>
      <c r="J482" s="144"/>
    </row>
    <row r="483" spans="1:10" ht="12.75" customHeight="1" x14ac:dyDescent="0.2">
      <c r="A483" s="142"/>
      <c r="B483" s="142"/>
      <c r="C483" s="142"/>
      <c r="D483" s="144"/>
      <c r="E483" s="144"/>
      <c r="F483" s="144"/>
      <c r="G483" s="142"/>
      <c r="H483" s="142"/>
      <c r="I483" s="144"/>
      <c r="J483" s="144"/>
    </row>
    <row r="484" spans="1:10" ht="12.75" customHeight="1" x14ac:dyDescent="0.2">
      <c r="A484" s="142"/>
      <c r="B484" s="142"/>
      <c r="C484" s="142"/>
      <c r="D484" s="144"/>
      <c r="E484" s="144"/>
      <c r="F484" s="143"/>
      <c r="G484" s="142"/>
      <c r="H484" s="142"/>
      <c r="I484" s="144"/>
      <c r="J484" s="144"/>
    </row>
    <row r="485" spans="1:10" x14ac:dyDescent="0.2">
      <c r="A485" s="142"/>
      <c r="B485" s="142"/>
      <c r="C485" s="142"/>
      <c r="D485" s="144"/>
      <c r="E485" s="144"/>
      <c r="F485" s="143"/>
      <c r="G485" s="142"/>
      <c r="H485" s="142"/>
      <c r="I485" s="144"/>
      <c r="J485" s="144"/>
    </row>
    <row r="486" spans="1:10" ht="12.75" customHeight="1" x14ac:dyDescent="0.2">
      <c r="A486" s="142"/>
      <c r="B486" s="142"/>
      <c r="C486" s="142"/>
      <c r="D486" s="144"/>
      <c r="E486" s="144"/>
      <c r="F486" s="144"/>
      <c r="G486" s="142"/>
      <c r="H486" s="142"/>
      <c r="I486" s="144"/>
      <c r="J486" s="144"/>
    </row>
    <row r="487" spans="1:10" x14ac:dyDescent="0.2">
      <c r="A487" s="142"/>
      <c r="B487" s="142"/>
      <c r="C487" s="142"/>
      <c r="D487" s="144"/>
      <c r="E487" s="144"/>
      <c r="F487" s="143"/>
      <c r="G487" s="142"/>
      <c r="H487" s="142"/>
      <c r="I487" s="144"/>
      <c r="J487" s="144"/>
    </row>
    <row r="488" spans="1:10" ht="12.75" customHeight="1" x14ac:dyDescent="0.2">
      <c r="A488" s="142"/>
      <c r="B488" s="142"/>
      <c r="C488" s="142"/>
      <c r="D488" s="144"/>
      <c r="E488" s="144"/>
      <c r="F488" s="143"/>
      <c r="G488" s="142"/>
      <c r="H488" s="142"/>
      <c r="I488" s="144"/>
      <c r="J488" s="144"/>
    </row>
    <row r="489" spans="1:10" x14ac:dyDescent="0.2">
      <c r="A489" s="142"/>
      <c r="B489" s="142"/>
      <c r="C489" s="142"/>
      <c r="D489" s="144"/>
      <c r="E489" s="144"/>
      <c r="F489" s="144"/>
      <c r="G489" s="142"/>
      <c r="H489" s="142"/>
      <c r="I489" s="144"/>
      <c r="J489" s="144"/>
    </row>
    <row r="490" spans="1:10" x14ac:dyDescent="0.2">
      <c r="A490" s="142"/>
      <c r="B490" s="142"/>
      <c r="C490" s="142"/>
      <c r="D490" s="144"/>
      <c r="E490" s="144"/>
      <c r="F490" s="143"/>
      <c r="G490" s="142"/>
      <c r="H490" s="142"/>
      <c r="I490" s="144"/>
      <c r="J490" s="144"/>
    </row>
    <row r="491" spans="1:10" ht="12.75" customHeight="1" x14ac:dyDescent="0.2">
      <c r="A491" s="142"/>
      <c r="B491" s="142"/>
      <c r="C491" s="142"/>
      <c r="D491" s="144"/>
      <c r="E491" s="144"/>
      <c r="F491" s="143"/>
      <c r="G491" s="142"/>
      <c r="H491" s="142"/>
      <c r="I491" s="144"/>
      <c r="J491" s="144"/>
    </row>
    <row r="492" spans="1:10" x14ac:dyDescent="0.2">
      <c r="A492" s="142"/>
      <c r="B492" s="142"/>
      <c r="C492" s="142"/>
      <c r="D492" s="144"/>
      <c r="E492" s="144"/>
      <c r="F492" s="144"/>
      <c r="G492" s="142"/>
      <c r="H492" s="142"/>
      <c r="I492" s="144"/>
      <c r="J492" s="144"/>
    </row>
    <row r="493" spans="1:10" x14ac:dyDescent="0.2">
      <c r="A493" s="142"/>
      <c r="B493" s="142"/>
      <c r="C493" s="142"/>
      <c r="D493" s="144"/>
      <c r="E493" s="144"/>
      <c r="F493" s="143"/>
      <c r="G493" s="142"/>
      <c r="H493" s="142"/>
      <c r="I493" s="144"/>
      <c r="J493" s="144"/>
    </row>
    <row r="494" spans="1:10" x14ac:dyDescent="0.2">
      <c r="A494" s="142"/>
      <c r="B494" s="142"/>
      <c r="C494" s="142"/>
      <c r="D494" s="144"/>
      <c r="E494" s="144"/>
      <c r="F494" s="143"/>
      <c r="G494" s="142"/>
      <c r="H494" s="142"/>
      <c r="I494" s="144"/>
      <c r="J494" s="144"/>
    </row>
    <row r="495" spans="1:10" x14ac:dyDescent="0.2">
      <c r="A495" s="142"/>
      <c r="B495" s="142"/>
      <c r="C495" s="142"/>
      <c r="D495" s="144"/>
      <c r="E495" s="144"/>
      <c r="F495" s="144"/>
      <c r="G495" s="142"/>
      <c r="H495" s="142"/>
      <c r="I495" s="144"/>
      <c r="J495" s="144"/>
    </row>
    <row r="496" spans="1:10" ht="12.75" customHeight="1" x14ac:dyDescent="0.2">
      <c r="A496" s="142"/>
      <c r="B496" s="142"/>
      <c r="C496" s="142"/>
      <c r="D496" s="144"/>
      <c r="E496" s="144"/>
      <c r="F496" s="143"/>
      <c r="G496" s="142"/>
      <c r="H496" s="142"/>
      <c r="I496" s="144"/>
      <c r="J496" s="144"/>
    </row>
    <row r="497" spans="1:10" ht="12.75" customHeight="1" x14ac:dyDescent="0.2">
      <c r="A497" s="142"/>
      <c r="B497" s="142"/>
      <c r="C497" s="142"/>
      <c r="D497" s="144"/>
      <c r="E497" s="144"/>
      <c r="F497" s="143"/>
      <c r="G497" s="142"/>
      <c r="H497" s="142"/>
      <c r="I497" s="144"/>
      <c r="J497" s="144"/>
    </row>
    <row r="498" spans="1:10" x14ac:dyDescent="0.2">
      <c r="A498" s="142"/>
      <c r="B498" s="142"/>
      <c r="C498" s="142"/>
      <c r="D498" s="144"/>
      <c r="E498" s="144"/>
      <c r="F498" s="144"/>
      <c r="G498" s="142"/>
      <c r="H498" s="142"/>
      <c r="I498" s="144"/>
      <c r="J498" s="144"/>
    </row>
    <row r="499" spans="1:10" x14ac:dyDescent="0.2">
      <c r="A499" s="142"/>
      <c r="B499" s="142"/>
      <c r="C499" s="142"/>
      <c r="D499" s="144"/>
      <c r="E499" s="144"/>
      <c r="F499" s="143"/>
      <c r="G499" s="142"/>
      <c r="H499" s="142"/>
      <c r="I499" s="144"/>
      <c r="J499" s="144"/>
    </row>
    <row r="500" spans="1:10" x14ac:dyDescent="0.2">
      <c r="A500" s="142"/>
      <c r="B500" s="142"/>
      <c r="C500" s="142"/>
      <c r="D500" s="144"/>
      <c r="E500" s="144"/>
      <c r="F500" s="143"/>
      <c r="G500" s="142"/>
      <c r="H500" s="142"/>
      <c r="I500" s="144"/>
      <c r="J500" s="144"/>
    </row>
    <row r="501" spans="1:10" x14ac:dyDescent="0.2">
      <c r="A501" s="142"/>
      <c r="B501" s="142"/>
      <c r="C501" s="142"/>
      <c r="D501" s="144"/>
      <c r="E501" s="144"/>
      <c r="F501" s="144"/>
      <c r="G501" s="142"/>
      <c r="H501" s="142"/>
      <c r="I501" s="144"/>
      <c r="J501" s="144"/>
    </row>
    <row r="502" spans="1:10" x14ac:dyDescent="0.2">
      <c r="A502" s="142"/>
      <c r="B502" s="142"/>
      <c r="C502" s="142"/>
      <c r="D502" s="144"/>
      <c r="E502" s="144"/>
      <c r="F502" s="143"/>
      <c r="G502" s="142"/>
      <c r="H502" s="142"/>
      <c r="I502" s="144"/>
      <c r="J502" s="144"/>
    </row>
    <row r="503" spans="1:10" x14ac:dyDescent="0.2">
      <c r="A503" s="142"/>
      <c r="B503" s="142"/>
      <c r="C503" s="142"/>
      <c r="D503" s="144"/>
      <c r="E503" s="144"/>
      <c r="F503" s="143"/>
      <c r="G503" s="142"/>
      <c r="H503" s="142"/>
      <c r="I503" s="144"/>
      <c r="J503" s="144"/>
    </row>
    <row r="504" spans="1:10" x14ac:dyDescent="0.2">
      <c r="A504" s="142"/>
      <c r="B504" s="142"/>
      <c r="C504" s="142"/>
      <c r="D504" s="144"/>
      <c r="E504" s="144"/>
      <c r="F504" s="144"/>
      <c r="G504" s="142"/>
      <c r="H504" s="142"/>
      <c r="I504" s="144"/>
      <c r="J504" s="144"/>
    </row>
    <row r="505" spans="1:10" x14ac:dyDescent="0.2">
      <c r="A505" s="142"/>
      <c r="B505" s="142"/>
      <c r="C505" s="142"/>
      <c r="D505" s="144"/>
      <c r="E505" s="144"/>
      <c r="F505" s="143"/>
      <c r="G505" s="142"/>
      <c r="H505" s="142"/>
      <c r="I505" s="144"/>
      <c r="J505" s="144"/>
    </row>
    <row r="506" spans="1:10" x14ac:dyDescent="0.2">
      <c r="A506" s="142"/>
      <c r="B506" s="142"/>
      <c r="C506" s="142"/>
      <c r="D506" s="144"/>
      <c r="E506" s="144"/>
      <c r="F506" s="143"/>
      <c r="G506" s="142"/>
      <c r="H506" s="142"/>
      <c r="I506" s="144"/>
      <c r="J506" s="144"/>
    </row>
    <row r="507" spans="1:10" x14ac:dyDescent="0.2">
      <c r="A507" s="142"/>
      <c r="B507" s="142"/>
      <c r="C507" s="142"/>
      <c r="D507" s="144"/>
      <c r="E507" s="144"/>
      <c r="F507" s="144"/>
      <c r="G507" s="142"/>
      <c r="H507" s="142"/>
      <c r="I507" s="144"/>
      <c r="J507" s="144"/>
    </row>
    <row r="508" spans="1:10" x14ac:dyDescent="0.2">
      <c r="A508" s="142"/>
      <c r="B508" s="142"/>
      <c r="C508" s="142"/>
      <c r="D508" s="144"/>
      <c r="E508" s="144"/>
      <c r="F508" s="143"/>
      <c r="G508" s="142"/>
      <c r="H508" s="142"/>
      <c r="I508" s="144"/>
      <c r="J508" s="144"/>
    </row>
    <row r="509" spans="1:10" x14ac:dyDescent="0.2">
      <c r="A509" s="142"/>
      <c r="B509" s="142"/>
      <c r="C509" s="142"/>
      <c r="D509" s="144"/>
      <c r="E509" s="144"/>
      <c r="F509" s="143"/>
      <c r="G509" s="142"/>
      <c r="H509" s="142"/>
      <c r="I509" s="144"/>
      <c r="J509" s="144"/>
    </row>
    <row r="510" spans="1:10" x14ac:dyDescent="0.2">
      <c r="A510" s="142"/>
      <c r="B510" s="142"/>
      <c r="C510" s="142"/>
      <c r="D510" s="144"/>
      <c r="E510" s="144"/>
      <c r="F510" s="144"/>
      <c r="G510" s="142"/>
      <c r="H510" s="142"/>
      <c r="I510" s="144"/>
      <c r="J510" s="144"/>
    </row>
    <row r="511" spans="1:10" x14ac:dyDescent="0.2">
      <c r="A511" s="142"/>
      <c r="B511" s="142"/>
      <c r="C511" s="142"/>
      <c r="D511" s="144"/>
      <c r="E511" s="144"/>
      <c r="F511" s="143"/>
      <c r="G511" s="142"/>
      <c r="H511" s="142"/>
      <c r="I511" s="144"/>
      <c r="J511" s="144"/>
    </row>
    <row r="512" spans="1:10" x14ac:dyDescent="0.2">
      <c r="A512" s="142"/>
      <c r="B512" s="142"/>
      <c r="C512" s="142"/>
      <c r="D512" s="144"/>
      <c r="E512" s="144"/>
      <c r="F512" s="143"/>
      <c r="G512" s="142"/>
      <c r="H512" s="142"/>
      <c r="I512" s="144"/>
      <c r="J512" s="144"/>
    </row>
    <row r="513" spans="1:10" x14ac:dyDescent="0.2">
      <c r="A513" s="142"/>
      <c r="B513" s="142"/>
      <c r="C513" s="142"/>
      <c r="D513" s="144"/>
      <c r="E513" s="144"/>
      <c r="F513" s="144"/>
      <c r="G513" s="142"/>
      <c r="H513" s="142"/>
      <c r="I513" s="144"/>
      <c r="J513" s="144"/>
    </row>
    <row r="514" spans="1:10" x14ac:dyDescent="0.2">
      <c r="A514" s="142"/>
      <c r="B514" s="142"/>
      <c r="C514" s="142"/>
      <c r="D514" s="144"/>
      <c r="E514" s="144"/>
      <c r="F514" s="143"/>
      <c r="G514" s="142"/>
      <c r="H514" s="142"/>
      <c r="I514" s="144"/>
      <c r="J514" s="144"/>
    </row>
    <row r="515" spans="1:10" x14ac:dyDescent="0.2">
      <c r="A515" s="142"/>
      <c r="B515" s="142"/>
      <c r="C515" s="142"/>
      <c r="D515" s="144"/>
      <c r="E515" s="144"/>
      <c r="F515" s="144"/>
      <c r="G515" s="142"/>
      <c r="H515" s="142"/>
      <c r="I515" s="144"/>
      <c r="J515" s="144"/>
    </row>
    <row r="516" spans="1:10" x14ac:dyDescent="0.2">
      <c r="A516" s="142"/>
      <c r="B516" s="142"/>
      <c r="C516" s="142"/>
      <c r="D516" s="144"/>
      <c r="E516" s="144"/>
      <c r="F516" s="143"/>
      <c r="G516" s="142"/>
      <c r="H516" s="142"/>
      <c r="I516" s="144"/>
      <c r="J516" s="144"/>
    </row>
    <row r="517" spans="1:10" x14ac:dyDescent="0.2">
      <c r="A517" s="142"/>
      <c r="B517" s="142"/>
      <c r="C517" s="142"/>
      <c r="D517" s="144"/>
      <c r="E517" s="144"/>
      <c r="F517" s="144"/>
      <c r="G517" s="142"/>
      <c r="H517" s="142"/>
      <c r="I517" s="144"/>
      <c r="J517" s="144"/>
    </row>
    <row r="518" spans="1:10" x14ac:dyDescent="0.2">
      <c r="A518" s="142"/>
      <c r="B518" s="142"/>
      <c r="C518" s="142"/>
      <c r="D518" s="144"/>
      <c r="E518" s="144"/>
      <c r="F518" s="143"/>
      <c r="G518" s="142"/>
      <c r="H518" s="142"/>
      <c r="I518" s="144"/>
      <c r="J518" s="144"/>
    </row>
    <row r="519" spans="1:10" x14ac:dyDescent="0.2">
      <c r="A519" s="142"/>
      <c r="B519" s="142"/>
      <c r="C519" s="142"/>
      <c r="D519" s="144"/>
      <c r="E519" s="144"/>
      <c r="F519" s="144"/>
      <c r="G519" s="142"/>
      <c r="H519" s="142"/>
      <c r="I519" s="144"/>
      <c r="J519" s="144"/>
    </row>
    <row r="520" spans="1:10" x14ac:dyDescent="0.2">
      <c r="A520" s="142"/>
      <c r="B520" s="142"/>
      <c r="C520" s="142"/>
      <c r="D520" s="144"/>
      <c r="E520" s="144"/>
      <c r="F520" s="143"/>
      <c r="G520" s="142"/>
      <c r="H520" s="142"/>
      <c r="I520" s="144"/>
      <c r="J520" s="144"/>
    </row>
    <row r="521" spans="1:10" x14ac:dyDescent="0.2">
      <c r="A521" s="142"/>
      <c r="B521" s="142"/>
      <c r="C521" s="142"/>
      <c r="D521" s="144"/>
      <c r="E521" s="144"/>
      <c r="F521" s="144"/>
      <c r="G521" s="142"/>
      <c r="H521" s="142"/>
      <c r="I521" s="144"/>
      <c r="J521" s="144"/>
    </row>
    <row r="522" spans="1:10" x14ac:dyDescent="0.2">
      <c r="A522" s="142"/>
      <c r="B522" s="142"/>
      <c r="C522" s="142"/>
      <c r="D522" s="144"/>
      <c r="E522" s="144"/>
      <c r="F522" s="143"/>
      <c r="G522" s="142"/>
      <c r="H522" s="142"/>
      <c r="I522" s="144"/>
      <c r="J522" s="144"/>
    </row>
    <row r="523" spans="1:10" x14ac:dyDescent="0.2">
      <c r="A523" s="142"/>
      <c r="B523" s="142"/>
      <c r="C523" s="142"/>
      <c r="D523" s="144"/>
      <c r="E523" s="144"/>
      <c r="F523" s="144"/>
      <c r="G523" s="142"/>
      <c r="H523" s="142"/>
      <c r="I523" s="144"/>
      <c r="J523" s="144"/>
    </row>
    <row r="524" spans="1:10" x14ac:dyDescent="0.2">
      <c r="A524" s="142"/>
      <c r="B524" s="142"/>
      <c r="C524" s="142"/>
      <c r="D524" s="144"/>
      <c r="E524" s="144"/>
      <c r="F524" s="143"/>
      <c r="G524" s="142"/>
      <c r="H524" s="142"/>
      <c r="I524" s="144"/>
      <c r="J524" s="144"/>
    </row>
    <row r="525" spans="1:10" x14ac:dyDescent="0.2">
      <c r="A525" s="142"/>
      <c r="B525" s="142"/>
      <c r="C525" s="142"/>
      <c r="D525" s="144"/>
      <c r="E525" s="144"/>
      <c r="F525" s="144"/>
      <c r="G525" s="142"/>
      <c r="H525" s="142"/>
      <c r="I525" s="144"/>
      <c r="J525" s="144"/>
    </row>
    <row r="526" spans="1:10" x14ac:dyDescent="0.2">
      <c r="A526" s="142"/>
      <c r="B526" s="142"/>
      <c r="C526" s="142"/>
      <c r="D526" s="144"/>
      <c r="E526" s="144"/>
      <c r="F526" s="143"/>
      <c r="G526" s="142"/>
      <c r="H526" s="142"/>
      <c r="I526" s="144"/>
      <c r="J526" s="144"/>
    </row>
    <row r="527" spans="1:10" x14ac:dyDescent="0.2">
      <c r="A527" s="142"/>
      <c r="B527" s="142"/>
      <c r="C527" s="142"/>
      <c r="D527" s="144"/>
      <c r="E527" s="144"/>
      <c r="F527" s="144"/>
      <c r="G527" s="142"/>
      <c r="H527" s="142"/>
      <c r="I527" s="144"/>
      <c r="J527" s="144"/>
    </row>
    <row r="528" spans="1:10" x14ac:dyDescent="0.2">
      <c r="A528" s="142"/>
      <c r="B528" s="142"/>
      <c r="C528" s="142"/>
      <c r="D528" s="144"/>
      <c r="E528" s="144"/>
      <c r="F528" s="143"/>
      <c r="G528" s="142"/>
      <c r="H528" s="142"/>
      <c r="I528" s="144"/>
      <c r="J528" s="144"/>
    </row>
    <row r="529" spans="1:10" x14ac:dyDescent="0.2">
      <c r="A529" s="142"/>
      <c r="B529" s="142"/>
      <c r="C529" s="142"/>
      <c r="D529" s="144"/>
      <c r="E529" s="144"/>
      <c r="F529" s="144"/>
      <c r="G529" s="142"/>
      <c r="H529" s="142"/>
      <c r="I529" s="144"/>
      <c r="J529" s="144"/>
    </row>
    <row r="530" spans="1:10" x14ac:dyDescent="0.2">
      <c r="A530" s="142"/>
      <c r="B530" s="142"/>
      <c r="C530" s="142"/>
      <c r="D530" s="144"/>
      <c r="E530" s="144"/>
      <c r="F530" s="143"/>
      <c r="G530" s="142"/>
      <c r="H530" s="142"/>
      <c r="I530" s="144"/>
      <c r="J530" s="144"/>
    </row>
    <row r="531" spans="1:10" x14ac:dyDescent="0.2">
      <c r="A531" s="142"/>
      <c r="B531" s="142"/>
      <c r="C531" s="142"/>
      <c r="D531" s="144"/>
      <c r="E531" s="144"/>
      <c r="F531" s="144"/>
      <c r="G531" s="142"/>
      <c r="H531" s="142"/>
      <c r="I531" s="144"/>
      <c r="J531" s="144"/>
    </row>
    <row r="532" spans="1:10" x14ac:dyDescent="0.2">
      <c r="A532" s="142"/>
      <c r="B532" s="142"/>
      <c r="C532" s="142"/>
      <c r="D532" s="144"/>
      <c r="E532" s="144"/>
      <c r="F532" s="143"/>
      <c r="G532" s="142"/>
      <c r="H532" s="142"/>
      <c r="I532" s="144"/>
      <c r="J532" s="144"/>
    </row>
    <row r="533" spans="1:10" x14ac:dyDescent="0.2">
      <c r="A533" s="142"/>
      <c r="B533" s="142"/>
      <c r="C533" s="142"/>
      <c r="D533" s="144"/>
      <c r="E533" s="144"/>
      <c r="F533" s="144"/>
      <c r="G533" s="142"/>
      <c r="H533" s="142"/>
      <c r="I533" s="144"/>
      <c r="J533" s="144"/>
    </row>
    <row r="534" spans="1:10" x14ac:dyDescent="0.2">
      <c r="A534" s="142"/>
      <c r="B534" s="142"/>
      <c r="C534" s="142"/>
      <c r="D534" s="144"/>
      <c r="E534" s="144"/>
      <c r="F534" s="143"/>
      <c r="G534" s="142"/>
      <c r="H534" s="142"/>
      <c r="I534" s="144"/>
      <c r="J534" s="144"/>
    </row>
    <row r="535" spans="1:10" x14ac:dyDescent="0.2">
      <c r="A535" s="142"/>
      <c r="B535" s="142"/>
      <c r="C535" s="142"/>
      <c r="D535" s="144"/>
      <c r="E535" s="144"/>
      <c r="F535" s="144"/>
      <c r="G535" s="142"/>
      <c r="H535" s="142"/>
      <c r="I535" s="144"/>
      <c r="J535" s="144"/>
    </row>
    <row r="536" spans="1:10" x14ac:dyDescent="0.2">
      <c r="A536" s="142"/>
      <c r="B536" s="142"/>
      <c r="C536" s="142"/>
      <c r="D536" s="144"/>
      <c r="E536" s="144"/>
      <c r="F536" s="143"/>
      <c r="G536" s="142"/>
      <c r="H536" s="142"/>
      <c r="I536" s="144"/>
      <c r="J536" s="144"/>
    </row>
    <row r="537" spans="1:10" x14ac:dyDescent="0.2">
      <c r="A537" s="142"/>
      <c r="B537" s="142"/>
      <c r="C537" s="142"/>
      <c r="D537" s="144"/>
      <c r="E537" s="144"/>
      <c r="F537" s="144"/>
      <c r="G537" s="142"/>
      <c r="H537" s="142"/>
      <c r="I537" s="144"/>
      <c r="J537" s="144"/>
    </row>
    <row r="538" spans="1:10" x14ac:dyDescent="0.2">
      <c r="A538" s="142"/>
      <c r="B538" s="142"/>
      <c r="C538" s="142"/>
      <c r="D538" s="144"/>
      <c r="E538" s="144"/>
      <c r="F538" s="143"/>
      <c r="G538" s="142"/>
      <c r="H538" s="142"/>
      <c r="I538" s="144"/>
      <c r="J538" s="144"/>
    </row>
    <row r="539" spans="1:10" x14ac:dyDescent="0.2">
      <c r="A539" s="142"/>
      <c r="B539" s="142"/>
      <c r="C539" s="142"/>
      <c r="D539" s="144"/>
      <c r="E539" s="144"/>
      <c r="F539" s="144"/>
      <c r="G539" s="142"/>
      <c r="H539" s="142"/>
      <c r="I539" s="144"/>
      <c r="J539" s="144"/>
    </row>
    <row r="540" spans="1:10" x14ac:dyDescent="0.2">
      <c r="A540" s="142"/>
      <c r="B540" s="142"/>
      <c r="C540" s="142"/>
      <c r="D540" s="144"/>
      <c r="E540" s="144"/>
      <c r="F540" s="143"/>
      <c r="G540" s="142"/>
      <c r="H540" s="142"/>
      <c r="I540" s="144"/>
      <c r="J540" s="144"/>
    </row>
    <row r="541" spans="1:10" x14ac:dyDescent="0.2">
      <c r="A541" s="142"/>
      <c r="B541" s="142"/>
      <c r="C541" s="142"/>
      <c r="D541" s="144"/>
      <c r="E541" s="144"/>
      <c r="F541" s="144"/>
      <c r="G541" s="142"/>
      <c r="H541" s="142"/>
      <c r="I541" s="144"/>
      <c r="J541" s="144"/>
    </row>
    <row r="542" spans="1:10" x14ac:dyDescent="0.2">
      <c r="A542" s="142"/>
      <c r="B542" s="142"/>
      <c r="C542" s="142"/>
      <c r="D542" s="144"/>
      <c r="E542" s="144"/>
      <c r="F542" s="143"/>
      <c r="G542" s="142"/>
      <c r="H542" s="142"/>
      <c r="I542" s="144"/>
      <c r="J542" s="144"/>
    </row>
    <row r="543" spans="1:10" ht="12.75" customHeight="1" x14ac:dyDescent="0.2">
      <c r="A543" s="142"/>
      <c r="B543" s="142"/>
      <c r="C543" s="142"/>
      <c r="D543" s="144"/>
      <c r="E543" s="144"/>
      <c r="F543" s="144"/>
      <c r="G543" s="142"/>
      <c r="H543" s="142"/>
      <c r="I543" s="144"/>
      <c r="J543" s="144"/>
    </row>
    <row r="566" spans="1:10" x14ac:dyDescent="0.2">
      <c r="A566" s="147"/>
      <c r="B566" s="147"/>
      <c r="C566" s="148"/>
      <c r="D566" s="128"/>
      <c r="E566" s="128"/>
      <c r="F566" s="149"/>
      <c r="G566" s="149"/>
      <c r="H566" s="149"/>
      <c r="I566" s="149"/>
      <c r="J566" s="149"/>
    </row>
    <row r="567" spans="1:10" x14ac:dyDescent="0.2">
      <c r="A567" s="147"/>
      <c r="B567" s="147"/>
      <c r="C567" s="148"/>
      <c r="D567" s="128"/>
      <c r="E567" s="128"/>
      <c r="F567" s="149"/>
      <c r="G567" s="149"/>
      <c r="H567" s="149"/>
      <c r="I567" s="149"/>
      <c r="J567" s="149"/>
    </row>
    <row r="568" spans="1:10" x14ac:dyDescent="0.2">
      <c r="A568" s="147"/>
      <c r="B568" s="147"/>
      <c r="C568" s="148"/>
      <c r="D568" s="128"/>
      <c r="E568" s="128"/>
      <c r="F568" s="149"/>
      <c r="G568" s="149"/>
      <c r="H568" s="149"/>
      <c r="I568" s="149"/>
      <c r="J568" s="149"/>
    </row>
    <row r="569" spans="1:10" x14ac:dyDescent="0.2">
      <c r="A569" s="147"/>
      <c r="B569" s="147"/>
      <c r="C569" s="148"/>
      <c r="D569" s="128"/>
      <c r="E569" s="128"/>
      <c r="F569" s="149"/>
      <c r="G569" s="149"/>
      <c r="H569" s="149"/>
      <c r="I569" s="149"/>
      <c r="J569" s="149"/>
    </row>
    <row r="570" spans="1:10" x14ac:dyDescent="0.2">
      <c r="A570" s="147"/>
      <c r="B570" s="147"/>
      <c r="C570" s="148"/>
      <c r="D570" s="128"/>
      <c r="E570" s="128"/>
      <c r="F570" s="149"/>
      <c r="G570" s="149"/>
      <c r="H570" s="149"/>
      <c r="I570" s="149"/>
      <c r="J570" s="149"/>
    </row>
    <row r="571" spans="1:10" x14ac:dyDescent="0.2">
      <c r="A571" s="147"/>
      <c r="B571" s="147"/>
      <c r="C571" s="148"/>
      <c r="D571" s="128"/>
      <c r="E571" s="128"/>
      <c r="F571" s="149"/>
      <c r="G571" s="149"/>
      <c r="H571" s="149"/>
      <c r="I571" s="149"/>
      <c r="J571" s="149"/>
    </row>
    <row r="572" spans="1:10" x14ac:dyDescent="0.2">
      <c r="A572" s="147"/>
      <c r="B572" s="147"/>
      <c r="C572" s="148"/>
      <c r="D572" s="128"/>
      <c r="E572" s="128"/>
      <c r="F572" s="149"/>
      <c r="G572" s="149"/>
      <c r="H572" s="149"/>
      <c r="I572" s="149"/>
      <c r="J572" s="149"/>
    </row>
    <row r="573" spans="1:10" x14ac:dyDescent="0.2">
      <c r="A573" s="147"/>
      <c r="B573" s="147"/>
      <c r="C573" s="148"/>
      <c r="D573" s="128"/>
      <c r="E573" s="128"/>
      <c r="F573" s="149"/>
      <c r="G573" s="149"/>
      <c r="H573" s="149"/>
      <c r="I573" s="149"/>
      <c r="J573" s="149"/>
    </row>
    <row r="574" spans="1:10" x14ac:dyDescent="0.2">
      <c r="A574" s="147"/>
      <c r="B574" s="147"/>
      <c r="C574" s="148"/>
      <c r="D574" s="128"/>
      <c r="E574" s="128"/>
      <c r="F574" s="149"/>
      <c r="G574" s="149"/>
      <c r="H574" s="149"/>
      <c r="I574" s="149"/>
      <c r="J574" s="149"/>
    </row>
    <row r="575" spans="1:10" x14ac:dyDescent="0.2">
      <c r="A575" s="147"/>
      <c r="B575" s="147"/>
      <c r="C575" s="148"/>
      <c r="D575" s="128"/>
      <c r="E575" s="128"/>
      <c r="F575" s="149"/>
      <c r="G575" s="149"/>
      <c r="H575" s="149"/>
      <c r="I575" s="149"/>
      <c r="J575" s="149"/>
    </row>
    <row r="576" spans="1:10" x14ac:dyDescent="0.2">
      <c r="A576" s="147"/>
      <c r="B576" s="147"/>
      <c r="C576" s="148"/>
      <c r="D576" s="128"/>
      <c r="E576" s="128"/>
      <c r="F576" s="149"/>
      <c r="G576" s="149"/>
      <c r="H576" s="149"/>
      <c r="I576" s="149"/>
      <c r="J576" s="149"/>
    </row>
    <row r="577" spans="1:10" x14ac:dyDescent="0.2">
      <c r="A577" s="148"/>
      <c r="B577" s="148"/>
      <c r="C577" s="150"/>
      <c r="D577" s="151"/>
      <c r="E577" s="151"/>
      <c r="F577" s="152"/>
      <c r="G577" s="153"/>
      <c r="H577" s="152"/>
      <c r="I577" s="152"/>
      <c r="J577" s="152"/>
    </row>
    <row r="578" spans="1:10" x14ac:dyDescent="0.2">
      <c r="A578" s="148"/>
      <c r="B578" s="148"/>
      <c r="C578" s="150"/>
      <c r="D578" s="151"/>
      <c r="E578" s="151"/>
      <c r="F578" s="152"/>
      <c r="G578" s="153"/>
      <c r="H578" s="152"/>
      <c r="I578" s="152"/>
      <c r="J578" s="152"/>
    </row>
    <row r="579" spans="1:10" x14ac:dyDescent="0.2">
      <c r="A579" s="148"/>
      <c r="B579" s="148"/>
      <c r="C579" s="150"/>
      <c r="D579" s="151"/>
      <c r="E579" s="151"/>
      <c r="F579" s="152"/>
      <c r="G579" s="153"/>
      <c r="H579" s="152"/>
      <c r="I579" s="152"/>
      <c r="J579" s="152"/>
    </row>
    <row r="580" spans="1:10" x14ac:dyDescent="0.2">
      <c r="A580" s="148"/>
      <c r="B580" s="148"/>
      <c r="C580" s="150"/>
      <c r="D580" s="151"/>
      <c r="E580" s="151"/>
      <c r="F580" s="152"/>
      <c r="G580" s="153"/>
      <c r="H580" s="152"/>
      <c r="I580" s="152"/>
      <c r="J580" s="152"/>
    </row>
    <row r="581" spans="1:10" x14ac:dyDescent="0.2">
      <c r="A581" s="148"/>
      <c r="B581" s="148"/>
      <c r="C581" s="150"/>
      <c r="D581" s="151"/>
      <c r="E581" s="151"/>
      <c r="F581" s="152"/>
      <c r="G581" s="153"/>
      <c r="H581" s="152"/>
      <c r="I581" s="152"/>
      <c r="J581" s="152"/>
    </row>
    <row r="582" spans="1:10" x14ac:dyDescent="0.2">
      <c r="A582" s="148"/>
      <c r="B582" s="148"/>
      <c r="C582" s="150"/>
      <c r="D582" s="151"/>
      <c r="E582" s="151"/>
      <c r="F582" s="152"/>
      <c r="G582" s="153"/>
      <c r="H582" s="152"/>
      <c r="I582" s="152"/>
      <c r="J582" s="152"/>
    </row>
    <row r="583" spans="1:10" x14ac:dyDescent="0.2">
      <c r="A583" s="148"/>
      <c r="B583" s="148"/>
      <c r="C583" s="150"/>
      <c r="D583" s="151"/>
      <c r="E583" s="151"/>
      <c r="F583" s="152"/>
      <c r="G583" s="153"/>
      <c r="H583" s="152"/>
      <c r="I583" s="152"/>
      <c r="J583" s="152"/>
    </row>
    <row r="584" spans="1:10" x14ac:dyDescent="0.2">
      <c r="A584" s="148"/>
      <c r="B584" s="148"/>
      <c r="C584" s="150"/>
      <c r="D584" s="151"/>
      <c r="E584" s="151"/>
      <c r="F584" s="152"/>
      <c r="G584" s="153"/>
      <c r="H584" s="152"/>
      <c r="I584" s="152"/>
      <c r="J584" s="152"/>
    </row>
    <row r="585" spans="1:10" x14ac:dyDescent="0.2">
      <c r="A585" s="148"/>
      <c r="B585" s="148"/>
      <c r="C585" s="150"/>
      <c r="D585" s="151"/>
      <c r="E585" s="151"/>
      <c r="F585" s="152"/>
      <c r="G585" s="153"/>
      <c r="H585" s="152"/>
      <c r="I585" s="152"/>
      <c r="J585" s="152"/>
    </row>
    <row r="586" spans="1:10" x14ac:dyDescent="0.2">
      <c r="A586" s="148"/>
      <c r="B586" s="148"/>
      <c r="C586" s="150"/>
      <c r="D586" s="151"/>
      <c r="E586" s="151"/>
      <c r="F586" s="152"/>
      <c r="G586" s="153"/>
      <c r="H586" s="152"/>
      <c r="I586" s="152"/>
      <c r="J586" s="152"/>
    </row>
    <row r="587" spans="1:10" x14ac:dyDescent="0.2">
      <c r="A587" s="148"/>
      <c r="B587" s="148"/>
      <c r="C587" s="150"/>
      <c r="D587" s="151"/>
      <c r="E587" s="151"/>
      <c r="F587" s="152"/>
      <c r="G587" s="153"/>
      <c r="H587" s="152"/>
      <c r="I587" s="152"/>
      <c r="J587" s="152"/>
    </row>
    <row r="588" spans="1:10" x14ac:dyDescent="0.2">
      <c r="A588" s="148"/>
      <c r="B588" s="148"/>
      <c r="C588" s="150"/>
      <c r="D588" s="151"/>
      <c r="E588" s="151"/>
      <c r="F588" s="152"/>
      <c r="G588" s="153"/>
      <c r="H588" s="152"/>
      <c r="I588" s="152"/>
      <c r="J588" s="152"/>
    </row>
    <row r="589" spans="1:10" x14ac:dyDescent="0.2">
      <c r="B589" s="154"/>
    </row>
    <row r="590" spans="1:10" x14ac:dyDescent="0.2">
      <c r="B590" s="154"/>
    </row>
    <row r="591" spans="1:10" x14ac:dyDescent="0.2">
      <c r="B591" s="154"/>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8" bestFit="1" customWidth="1"/>
    <col min="3" max="3" width="37" style="10" bestFit="1" customWidth="1"/>
    <col min="4" max="4" width="5.7109375" style="9" hidden="1" customWidth="1"/>
    <col min="5" max="5" width="29.85546875" bestFit="1" customWidth="1"/>
    <col min="6" max="6" width="26.5703125" bestFit="1" customWidth="1"/>
  </cols>
  <sheetData>
    <row r="1" spans="1:6" ht="26.25" thickBot="1" x14ac:dyDescent="0.25">
      <c r="A1" s="25" t="s">
        <v>15</v>
      </c>
      <c r="B1" s="26" t="s">
        <v>16</v>
      </c>
      <c r="C1" s="27" t="s">
        <v>17</v>
      </c>
      <c r="D1" s="28" t="s">
        <v>133</v>
      </c>
      <c r="E1" s="29" t="s">
        <v>18</v>
      </c>
      <c r="F1" s="30" t="s">
        <v>19</v>
      </c>
    </row>
    <row r="2" spans="1:6" x14ac:dyDescent="0.2">
      <c r="A2" s="121"/>
      <c r="B2" s="21"/>
      <c r="C2" s="22"/>
      <c r="D2" s="122"/>
      <c r="E2" s="23"/>
      <c r="F2" s="24"/>
    </row>
    <row r="3" spans="1:6" x14ac:dyDescent="0.2">
      <c r="A3" s="119"/>
      <c r="B3" s="6"/>
      <c r="C3" s="12"/>
      <c r="D3" s="14"/>
      <c r="E3" s="11"/>
      <c r="F3" s="15"/>
    </row>
    <row r="4" spans="1:6" x14ac:dyDescent="0.2">
      <c r="A4" s="119"/>
      <c r="B4" s="6"/>
      <c r="C4" s="12"/>
      <c r="D4" s="14"/>
      <c r="E4" s="11"/>
      <c r="F4" s="15"/>
    </row>
    <row r="5" spans="1:6" x14ac:dyDescent="0.2">
      <c r="A5" s="119"/>
      <c r="B5" s="6"/>
      <c r="C5" s="12"/>
      <c r="D5" s="14"/>
      <c r="E5" s="11"/>
      <c r="F5" s="15"/>
    </row>
    <row r="6" spans="1:6" x14ac:dyDescent="0.2">
      <c r="A6" s="119"/>
      <c r="B6" s="6"/>
      <c r="C6" s="12"/>
      <c r="D6" s="14"/>
      <c r="E6" s="11"/>
      <c r="F6" s="15"/>
    </row>
    <row r="7" spans="1:6" x14ac:dyDescent="0.2">
      <c r="A7" s="119"/>
      <c r="B7" s="6"/>
      <c r="C7" s="12"/>
      <c r="D7" s="14"/>
      <c r="E7" s="11"/>
      <c r="F7" s="15"/>
    </row>
    <row r="8" spans="1:6" x14ac:dyDescent="0.2">
      <c r="A8" s="119"/>
      <c r="B8" s="6"/>
      <c r="C8" s="12"/>
      <c r="D8" s="14"/>
      <c r="E8" s="11"/>
      <c r="F8" s="15"/>
    </row>
    <row r="9" spans="1:6" x14ac:dyDescent="0.2">
      <c r="A9" s="119"/>
      <c r="B9" s="6"/>
      <c r="C9" s="12"/>
      <c r="D9" s="14"/>
      <c r="E9" s="11"/>
      <c r="F9" s="15"/>
    </row>
    <row r="10" spans="1:6" x14ac:dyDescent="0.2">
      <c r="A10" s="119"/>
      <c r="B10" s="6"/>
      <c r="C10" s="12"/>
      <c r="D10" s="14"/>
      <c r="E10" s="11"/>
      <c r="F10" s="15"/>
    </row>
    <row r="11" spans="1:6" x14ac:dyDescent="0.2">
      <c r="A11" s="119"/>
      <c r="B11" s="6"/>
      <c r="C11" s="12"/>
      <c r="D11" s="14"/>
      <c r="E11" s="11"/>
      <c r="F11" s="15"/>
    </row>
    <row r="12" spans="1:6" x14ac:dyDescent="0.2">
      <c r="A12" s="119"/>
      <c r="B12" s="6"/>
      <c r="C12" s="12"/>
      <c r="D12" s="14"/>
      <c r="E12" s="11"/>
      <c r="F12" s="15"/>
    </row>
    <row r="13" spans="1:6" x14ac:dyDescent="0.2">
      <c r="A13" s="119"/>
      <c r="B13" s="6"/>
      <c r="C13" s="12"/>
      <c r="D13" s="14"/>
      <c r="E13" s="11"/>
      <c r="F13" s="15"/>
    </row>
    <row r="14" spans="1:6" x14ac:dyDescent="0.2">
      <c r="A14" s="119"/>
      <c r="B14" s="6"/>
      <c r="C14" s="12"/>
      <c r="D14" s="13"/>
      <c r="E14" s="11"/>
      <c r="F14" s="15"/>
    </row>
    <row r="15" spans="1:6" x14ac:dyDescent="0.2">
      <c r="A15" s="119"/>
      <c r="B15" s="6"/>
      <c r="C15" s="12"/>
      <c r="D15" s="14"/>
      <c r="E15" s="11"/>
      <c r="F15" s="15"/>
    </row>
    <row r="16" spans="1:6" x14ac:dyDescent="0.2">
      <c r="A16" s="119"/>
      <c r="B16" s="6"/>
      <c r="C16" s="12"/>
      <c r="D16" s="14"/>
      <c r="E16" s="11"/>
      <c r="F16" s="15"/>
    </row>
    <row r="17" spans="1:6" x14ac:dyDescent="0.2">
      <c r="A17" s="119"/>
      <c r="B17" s="6"/>
      <c r="C17" s="12"/>
      <c r="D17" s="14"/>
      <c r="E17" s="11"/>
      <c r="F17" s="15"/>
    </row>
    <row r="18" spans="1:6" x14ac:dyDescent="0.2">
      <c r="A18" s="119"/>
      <c r="B18" s="6"/>
      <c r="C18" s="12"/>
      <c r="D18" s="14"/>
      <c r="E18" s="11"/>
      <c r="F18" s="15"/>
    </row>
    <row r="19" spans="1:6" x14ac:dyDescent="0.2">
      <c r="A19" s="119"/>
      <c r="B19" s="6"/>
      <c r="C19" s="12"/>
      <c r="D19" s="14"/>
      <c r="E19" s="11"/>
      <c r="F19" s="15"/>
    </row>
    <row r="20" spans="1:6" x14ac:dyDescent="0.2">
      <c r="A20" s="119"/>
      <c r="B20" s="6"/>
      <c r="C20" s="12"/>
      <c r="D20" s="14"/>
      <c r="E20" s="11"/>
      <c r="F20" s="15"/>
    </row>
    <row r="21" spans="1:6" x14ac:dyDescent="0.2">
      <c r="A21" s="119"/>
      <c r="B21" s="6"/>
      <c r="C21" s="12"/>
      <c r="D21" s="14"/>
      <c r="E21" s="11"/>
      <c r="F21" s="15"/>
    </row>
    <row r="22" spans="1:6" x14ac:dyDescent="0.2">
      <c r="A22" s="119"/>
      <c r="B22" s="6"/>
      <c r="C22" s="12"/>
      <c r="D22" s="14"/>
      <c r="E22" s="11"/>
      <c r="F22" s="15"/>
    </row>
    <row r="23" spans="1:6" x14ac:dyDescent="0.2">
      <c r="A23" s="119"/>
      <c r="B23" s="6"/>
      <c r="C23" s="12"/>
      <c r="D23" s="14"/>
      <c r="E23" s="11"/>
      <c r="F23" s="15"/>
    </row>
    <row r="24" spans="1:6" x14ac:dyDescent="0.2">
      <c r="A24" s="119"/>
      <c r="B24" s="6"/>
      <c r="C24" s="12"/>
      <c r="D24" s="14"/>
      <c r="E24" s="11"/>
      <c r="F24" s="15"/>
    </row>
    <row r="25" spans="1:6" x14ac:dyDescent="0.2">
      <c r="A25" s="119"/>
      <c r="B25" s="6"/>
      <c r="C25" s="12"/>
      <c r="D25" s="14"/>
      <c r="E25" s="11"/>
      <c r="F25" s="15"/>
    </row>
    <row r="26" spans="1:6" x14ac:dyDescent="0.2">
      <c r="A26" s="119"/>
      <c r="B26" s="6"/>
      <c r="C26" s="12"/>
      <c r="D26" s="14"/>
      <c r="E26" s="11"/>
      <c r="F26" s="15"/>
    </row>
    <row r="27" spans="1:6" x14ac:dyDescent="0.2">
      <c r="A27" s="119"/>
      <c r="B27" s="6"/>
      <c r="C27" s="12"/>
      <c r="D27" s="14"/>
      <c r="E27" s="11"/>
      <c r="F27" s="15"/>
    </row>
    <row r="28" spans="1:6" x14ac:dyDescent="0.2">
      <c r="A28" s="119"/>
      <c r="B28" s="6"/>
      <c r="C28" s="12"/>
      <c r="D28" s="14"/>
      <c r="E28" s="11"/>
      <c r="F28" s="15"/>
    </row>
    <row r="29" spans="1:6" x14ac:dyDescent="0.2">
      <c r="A29" s="119"/>
      <c r="B29" s="6"/>
      <c r="C29" s="12"/>
      <c r="D29" s="14"/>
      <c r="E29" s="11"/>
      <c r="F29" s="15"/>
    </row>
    <row r="30" spans="1:6" x14ac:dyDescent="0.2">
      <c r="A30" s="119"/>
      <c r="B30" s="6"/>
      <c r="C30" s="12"/>
      <c r="D30" s="13"/>
      <c r="E30" s="11"/>
      <c r="F30" s="15"/>
    </row>
    <row r="31" spans="1:6" x14ac:dyDescent="0.2">
      <c r="A31" s="119"/>
      <c r="B31" s="6"/>
      <c r="C31" s="12"/>
      <c r="D31" s="14"/>
      <c r="E31" s="11"/>
      <c r="F31" s="15"/>
    </row>
    <row r="32" spans="1:6" x14ac:dyDescent="0.2">
      <c r="A32" s="119"/>
      <c r="B32" s="6"/>
      <c r="C32" s="12"/>
      <c r="D32" s="14"/>
      <c r="E32" s="11"/>
      <c r="F32" s="15"/>
    </row>
    <row r="33" spans="1:6" x14ac:dyDescent="0.2">
      <c r="A33" s="119"/>
      <c r="B33" s="6"/>
      <c r="C33" s="12"/>
      <c r="D33" s="14"/>
      <c r="E33" s="11"/>
      <c r="F33" s="15"/>
    </row>
    <row r="34" spans="1:6" x14ac:dyDescent="0.2">
      <c r="A34" s="119"/>
      <c r="B34" s="6"/>
      <c r="C34" s="12"/>
      <c r="D34" s="14"/>
      <c r="E34" s="11"/>
      <c r="F34" s="15"/>
    </row>
    <row r="35" spans="1:6" x14ac:dyDescent="0.2">
      <c r="A35" s="119"/>
      <c r="B35" s="6"/>
      <c r="C35" s="12"/>
      <c r="D35" s="14"/>
      <c r="E35" s="11"/>
      <c r="F35" s="15"/>
    </row>
    <row r="36" spans="1:6" x14ac:dyDescent="0.2">
      <c r="A36" s="119"/>
      <c r="B36" s="6"/>
      <c r="C36" s="12"/>
      <c r="D36" s="14"/>
      <c r="E36" s="11"/>
      <c r="F36" s="15"/>
    </row>
    <row r="37" spans="1:6" x14ac:dyDescent="0.2">
      <c r="A37" s="119"/>
      <c r="B37" s="6"/>
      <c r="C37" s="12"/>
      <c r="D37" s="14"/>
      <c r="E37" s="11"/>
      <c r="F37" s="31"/>
    </row>
    <row r="38" spans="1:6" x14ac:dyDescent="0.2">
      <c r="A38" s="119"/>
      <c r="B38" s="6"/>
      <c r="C38" s="12"/>
      <c r="D38" s="14"/>
      <c r="E38" s="11"/>
      <c r="F38" s="15"/>
    </row>
    <row r="39" spans="1:6" x14ac:dyDescent="0.2">
      <c r="A39" s="119"/>
      <c r="B39" s="6"/>
      <c r="C39" s="12"/>
      <c r="D39" s="14"/>
      <c r="E39" s="11"/>
      <c r="F39" s="15"/>
    </row>
    <row r="40" spans="1:6" x14ac:dyDescent="0.2">
      <c r="A40" s="119"/>
      <c r="B40" s="6"/>
      <c r="C40" s="12"/>
      <c r="D40" s="14"/>
      <c r="E40" s="11"/>
      <c r="F40" s="15"/>
    </row>
    <row r="41" spans="1:6" x14ac:dyDescent="0.2">
      <c r="A41" s="119"/>
      <c r="B41" s="6"/>
      <c r="C41" s="12"/>
      <c r="D41" s="14"/>
      <c r="E41" s="11"/>
      <c r="F41" s="15"/>
    </row>
    <row r="42" spans="1:6" x14ac:dyDescent="0.2">
      <c r="A42" s="119"/>
      <c r="B42" s="6"/>
      <c r="C42" s="12"/>
      <c r="D42" s="14"/>
      <c r="E42" s="11"/>
      <c r="F42" s="15"/>
    </row>
    <row r="43" spans="1:6" x14ac:dyDescent="0.2">
      <c r="A43" s="119"/>
      <c r="B43" s="6"/>
      <c r="C43" s="12"/>
      <c r="D43" s="14"/>
      <c r="E43" s="11"/>
      <c r="F43" s="15"/>
    </row>
    <row r="44" spans="1:6" x14ac:dyDescent="0.2">
      <c r="A44" s="119"/>
      <c r="B44" s="6"/>
      <c r="C44" s="12"/>
      <c r="D44" s="14"/>
      <c r="E44" s="11"/>
      <c r="F44" s="15"/>
    </row>
    <row r="45" spans="1:6" x14ac:dyDescent="0.2">
      <c r="A45" s="119"/>
      <c r="B45" s="6"/>
      <c r="C45" s="12"/>
      <c r="D45" s="14"/>
      <c r="E45" s="11"/>
      <c r="F45" s="15"/>
    </row>
    <row r="46" spans="1:6" x14ac:dyDescent="0.2">
      <c r="A46" s="119"/>
      <c r="B46" s="6"/>
      <c r="C46" s="12"/>
      <c r="D46" s="14"/>
      <c r="E46" s="11"/>
      <c r="F46" s="15"/>
    </row>
    <row r="47" spans="1:6" x14ac:dyDescent="0.2">
      <c r="A47" s="119"/>
      <c r="B47" s="6"/>
      <c r="C47" s="12"/>
      <c r="D47" s="14"/>
      <c r="E47" s="11"/>
      <c r="F47" s="15"/>
    </row>
    <row r="48" spans="1:6" x14ac:dyDescent="0.2">
      <c r="A48" s="119"/>
      <c r="B48" s="6"/>
      <c r="C48" s="12"/>
      <c r="D48" s="14"/>
      <c r="E48" s="11"/>
      <c r="F48" s="15"/>
    </row>
    <row r="49" spans="1:6" x14ac:dyDescent="0.2">
      <c r="A49" s="119"/>
      <c r="B49" s="6"/>
      <c r="C49" s="12"/>
      <c r="D49" s="14"/>
      <c r="E49" s="11"/>
      <c r="F49" s="31"/>
    </row>
    <row r="50" spans="1:6" x14ac:dyDescent="0.2">
      <c r="A50" s="119"/>
      <c r="B50" s="6"/>
      <c r="C50" s="12"/>
      <c r="D50" s="14"/>
      <c r="E50" s="11"/>
      <c r="F50" s="15"/>
    </row>
    <row r="51" spans="1:6" x14ac:dyDescent="0.2">
      <c r="A51" s="119"/>
      <c r="B51" s="6"/>
      <c r="C51" s="12"/>
      <c r="D51" s="14"/>
      <c r="E51" s="11"/>
      <c r="F51" s="15"/>
    </row>
    <row r="52" spans="1:6" x14ac:dyDescent="0.2">
      <c r="A52" s="119"/>
      <c r="B52" s="6"/>
      <c r="C52" s="12"/>
      <c r="D52" s="14"/>
      <c r="E52" s="11"/>
      <c r="F52" s="15"/>
    </row>
    <row r="53" spans="1:6" x14ac:dyDescent="0.2">
      <c r="A53" s="119"/>
      <c r="B53" s="6"/>
      <c r="C53" s="12"/>
      <c r="D53" s="14"/>
      <c r="E53" s="11"/>
      <c r="F53" s="15"/>
    </row>
    <row r="54" spans="1:6" x14ac:dyDescent="0.2">
      <c r="A54" s="119"/>
      <c r="B54" s="6"/>
      <c r="C54" s="12"/>
      <c r="D54" s="14"/>
      <c r="E54" s="11"/>
      <c r="F54" s="15"/>
    </row>
    <row r="55" spans="1:6" x14ac:dyDescent="0.2">
      <c r="A55" s="119"/>
      <c r="B55" s="6"/>
      <c r="C55" s="12"/>
      <c r="D55" s="14"/>
      <c r="E55" s="11"/>
      <c r="F55" s="15"/>
    </row>
    <row r="56" spans="1:6" x14ac:dyDescent="0.2">
      <c r="A56" s="119"/>
      <c r="B56" s="6"/>
      <c r="C56" s="12"/>
      <c r="D56" s="14"/>
      <c r="E56" s="11"/>
      <c r="F56" s="15"/>
    </row>
    <row r="57" spans="1:6" x14ac:dyDescent="0.2">
      <c r="A57" s="119"/>
      <c r="B57" s="6"/>
      <c r="C57" s="12"/>
      <c r="D57" s="14"/>
      <c r="E57" s="11"/>
      <c r="F57" s="15"/>
    </row>
    <row r="58" spans="1:6" x14ac:dyDescent="0.2">
      <c r="A58" s="119"/>
      <c r="B58" s="6"/>
      <c r="C58" s="12"/>
      <c r="D58" s="14"/>
      <c r="E58" s="11"/>
      <c r="F58" s="15"/>
    </row>
    <row r="59" spans="1:6" x14ac:dyDescent="0.2">
      <c r="A59" s="119"/>
      <c r="B59" s="6"/>
      <c r="C59" s="12"/>
      <c r="D59" s="14"/>
      <c r="E59" s="11"/>
      <c r="F59" s="15"/>
    </row>
    <row r="60" spans="1:6" x14ac:dyDescent="0.2">
      <c r="A60" s="119"/>
      <c r="B60" s="6"/>
      <c r="C60" s="12"/>
      <c r="D60" s="14"/>
      <c r="E60" s="11"/>
      <c r="F60" s="15"/>
    </row>
    <row r="61" spans="1:6" x14ac:dyDescent="0.2">
      <c r="A61" s="119"/>
      <c r="B61" s="6"/>
      <c r="C61" s="12"/>
      <c r="D61" s="14"/>
      <c r="E61" s="11"/>
      <c r="F61" s="15"/>
    </row>
    <row r="62" spans="1:6" x14ac:dyDescent="0.2">
      <c r="A62" s="119"/>
      <c r="B62" s="6"/>
      <c r="C62" s="12"/>
      <c r="D62" s="14"/>
      <c r="E62" s="11"/>
      <c r="F62" s="15"/>
    </row>
    <row r="63" spans="1:6" x14ac:dyDescent="0.2">
      <c r="A63" s="119"/>
      <c r="B63" s="6"/>
      <c r="C63" s="12"/>
      <c r="D63" s="14"/>
      <c r="E63" s="11"/>
      <c r="F63" s="15"/>
    </row>
    <row r="64" spans="1:6" x14ac:dyDescent="0.2">
      <c r="A64" s="119"/>
      <c r="B64" s="6"/>
      <c r="C64" s="12"/>
      <c r="D64" s="14"/>
      <c r="E64" s="11"/>
      <c r="F64" s="15"/>
    </row>
    <row r="65" spans="1:6" x14ac:dyDescent="0.2">
      <c r="A65" s="119"/>
      <c r="B65" s="6"/>
      <c r="C65" s="12"/>
      <c r="D65" s="14"/>
      <c r="E65" s="11"/>
      <c r="F65" s="15"/>
    </row>
    <row r="66" spans="1:6" x14ac:dyDescent="0.2">
      <c r="A66" s="119"/>
      <c r="B66" s="6"/>
      <c r="C66" s="12"/>
      <c r="D66" s="14"/>
      <c r="E66" s="11"/>
      <c r="F66" s="15"/>
    </row>
    <row r="67" spans="1:6" x14ac:dyDescent="0.2">
      <c r="A67" s="119"/>
      <c r="B67" s="6"/>
      <c r="C67" s="12"/>
      <c r="D67" s="14"/>
      <c r="E67" s="11"/>
      <c r="F67" s="15"/>
    </row>
    <row r="68" spans="1:6" x14ac:dyDescent="0.2">
      <c r="A68" s="119"/>
      <c r="B68" s="6"/>
      <c r="C68" s="12"/>
      <c r="D68" s="14"/>
      <c r="E68" s="11"/>
      <c r="F68" s="15"/>
    </row>
    <row r="69" spans="1:6" x14ac:dyDescent="0.2">
      <c r="A69" s="119"/>
      <c r="B69" s="6"/>
      <c r="C69" s="12"/>
      <c r="D69" s="14"/>
      <c r="E69" s="11"/>
      <c r="F69" s="15"/>
    </row>
    <row r="70" spans="1:6" x14ac:dyDescent="0.2">
      <c r="A70" s="119"/>
      <c r="B70" s="6"/>
      <c r="C70" s="12"/>
      <c r="D70" s="14"/>
      <c r="E70" s="11"/>
      <c r="F70" s="15"/>
    </row>
    <row r="71" spans="1:6" x14ac:dyDescent="0.2">
      <c r="A71" s="119"/>
      <c r="B71" s="6"/>
      <c r="C71" s="12"/>
      <c r="D71" s="14"/>
      <c r="E71" s="11"/>
      <c r="F71" s="15"/>
    </row>
    <row r="72" spans="1:6" x14ac:dyDescent="0.2">
      <c r="A72" s="119"/>
      <c r="B72" s="6"/>
      <c r="C72" s="12"/>
      <c r="D72" s="14"/>
      <c r="E72" s="11"/>
      <c r="F72" s="15"/>
    </row>
    <row r="73" spans="1:6" ht="13.5" thickBot="1" x14ac:dyDescent="0.25">
      <c r="A73" s="120"/>
      <c r="B73" s="16"/>
      <c r="C73" s="17"/>
      <c r="D73" s="18"/>
      <c r="E73" s="19"/>
      <c r="F73" s="20"/>
    </row>
    <row r="74" spans="1:6" x14ac:dyDescent="0.2">
      <c r="A74" s="123"/>
      <c r="B74" s="116"/>
      <c r="C74" s="117"/>
      <c r="D74" s="118"/>
      <c r="E74" s="115"/>
      <c r="F74" s="115"/>
    </row>
    <row r="75" spans="1:6" x14ac:dyDescent="0.2">
      <c r="A75" s="115"/>
      <c r="B75" s="116"/>
      <c r="C75" s="117"/>
      <c r="D75" s="118"/>
      <c r="E75" s="115"/>
      <c r="F75" s="115"/>
    </row>
    <row r="76" spans="1:6" x14ac:dyDescent="0.2">
      <c r="A76" s="115"/>
      <c r="B76" s="116"/>
      <c r="C76" s="117"/>
      <c r="D76" s="118"/>
      <c r="E76" s="115"/>
      <c r="F76" s="115"/>
    </row>
    <row r="77" spans="1:6" x14ac:dyDescent="0.2">
      <c r="A77" s="115"/>
      <c r="B77" s="116"/>
      <c r="C77" s="117"/>
      <c r="D77" s="118"/>
      <c r="E77" s="115"/>
      <c r="F77" s="115"/>
    </row>
    <row r="78" spans="1:6" x14ac:dyDescent="0.2">
      <c r="A78" s="115"/>
      <c r="B78" s="116"/>
      <c r="C78" s="117"/>
      <c r="D78" s="118"/>
      <c r="E78" s="115"/>
      <c r="F78" s="115"/>
    </row>
    <row r="79" spans="1:6" x14ac:dyDescent="0.2">
      <c r="A79" s="115"/>
      <c r="B79" s="116"/>
      <c r="C79" s="117"/>
      <c r="D79" s="118"/>
      <c r="E79" s="115"/>
      <c r="F79" s="115"/>
    </row>
    <row r="80" spans="1:6" x14ac:dyDescent="0.2">
      <c r="A80" s="115"/>
      <c r="B80" s="116"/>
      <c r="C80" s="117"/>
      <c r="D80" s="118"/>
      <c r="E80" s="115"/>
      <c r="F80" s="115"/>
    </row>
    <row r="81" spans="1:6" x14ac:dyDescent="0.2">
      <c r="A81" s="115"/>
      <c r="B81" s="116"/>
      <c r="C81" s="117"/>
      <c r="D81" s="118"/>
      <c r="E81" s="115"/>
      <c r="F81" s="115"/>
    </row>
    <row r="82" spans="1:6" x14ac:dyDescent="0.2">
      <c r="A82" s="115"/>
      <c r="B82" s="116"/>
      <c r="C82" s="117"/>
      <c r="D82" s="118"/>
      <c r="E82" s="115"/>
      <c r="F82" s="115"/>
    </row>
    <row r="83" spans="1:6" x14ac:dyDescent="0.2">
      <c r="A83" s="115"/>
      <c r="B83" s="116"/>
      <c r="C83" s="117"/>
      <c r="D83" s="118"/>
      <c r="E83" s="115"/>
      <c r="F83" s="115"/>
    </row>
    <row r="84" spans="1:6" x14ac:dyDescent="0.2">
      <c r="A84" s="115"/>
      <c r="B84" s="116"/>
      <c r="C84" s="117"/>
      <c r="D84" s="118"/>
      <c r="E84" s="115"/>
      <c r="F84" s="115"/>
    </row>
    <row r="85" spans="1:6" x14ac:dyDescent="0.2">
      <c r="A85" s="115"/>
      <c r="B85" s="116"/>
      <c r="C85" s="117"/>
      <c r="D85" s="118"/>
      <c r="E85" s="115"/>
      <c r="F85" s="115"/>
    </row>
    <row r="86" spans="1:6" x14ac:dyDescent="0.2">
      <c r="A86" s="115"/>
      <c r="B86" s="116"/>
      <c r="C86" s="117"/>
      <c r="D86" s="118"/>
      <c r="E86" s="115"/>
      <c r="F86" s="115"/>
    </row>
    <row r="87" spans="1:6" x14ac:dyDescent="0.2">
      <c r="A87" s="115"/>
      <c r="B87" s="116"/>
      <c r="C87" s="117"/>
      <c r="D87" s="118"/>
      <c r="E87" s="115"/>
      <c r="F87" s="115"/>
    </row>
    <row r="88" spans="1:6" x14ac:dyDescent="0.2">
      <c r="A88" s="115"/>
      <c r="B88" s="116"/>
      <c r="C88" s="117"/>
      <c r="D88" s="118"/>
      <c r="E88" s="115"/>
      <c r="F88" s="115"/>
    </row>
    <row r="89" spans="1:6" x14ac:dyDescent="0.2">
      <c r="A89" s="115"/>
      <c r="B89" s="116"/>
      <c r="C89" s="117"/>
      <c r="D89" s="118"/>
      <c r="E89" s="115"/>
      <c r="F89" s="115"/>
    </row>
    <row r="90" spans="1:6" x14ac:dyDescent="0.2">
      <c r="A90" s="115"/>
      <c r="B90" s="116"/>
      <c r="C90" s="117"/>
      <c r="D90" s="118"/>
      <c r="E90" s="115"/>
      <c r="F90" s="115"/>
    </row>
    <row r="91" spans="1:6" x14ac:dyDescent="0.2">
      <c r="A91" s="115"/>
      <c r="B91" s="116"/>
      <c r="C91" s="117"/>
      <c r="D91" s="118"/>
      <c r="E91" s="115"/>
      <c r="F91" s="115"/>
    </row>
    <row r="92" spans="1:6" x14ac:dyDescent="0.2">
      <c r="A92" s="115"/>
      <c r="B92" s="116"/>
      <c r="C92" s="117"/>
      <c r="D92" s="118"/>
      <c r="E92" s="115"/>
      <c r="F92" s="115"/>
    </row>
    <row r="93" spans="1:6" x14ac:dyDescent="0.2">
      <c r="A93" s="115"/>
      <c r="B93" s="116"/>
      <c r="C93" s="117"/>
      <c r="D93" s="118"/>
      <c r="E93" s="115"/>
      <c r="F93" s="115"/>
    </row>
    <row r="94" spans="1:6" x14ac:dyDescent="0.2">
      <c r="A94" s="115"/>
      <c r="B94" s="116"/>
      <c r="C94" s="117"/>
      <c r="D94" s="118"/>
      <c r="E94" s="115"/>
      <c r="F94" s="115"/>
    </row>
    <row r="95" spans="1:6" x14ac:dyDescent="0.2">
      <c r="A95" s="115"/>
      <c r="B95" s="116"/>
      <c r="C95" s="117"/>
      <c r="D95" s="118"/>
      <c r="E95" s="115"/>
      <c r="F95" s="115"/>
    </row>
    <row r="96" spans="1:6" x14ac:dyDescent="0.2">
      <c r="A96" s="115"/>
      <c r="B96" s="116"/>
      <c r="C96" s="117"/>
      <c r="D96" s="118"/>
      <c r="E96" s="115"/>
      <c r="F96" s="115"/>
    </row>
    <row r="97" spans="1:6" x14ac:dyDescent="0.2">
      <c r="A97" s="115"/>
      <c r="B97" s="116"/>
      <c r="C97" s="117"/>
      <c r="D97" s="118"/>
      <c r="E97" s="115"/>
      <c r="F97" s="115"/>
    </row>
    <row r="98" spans="1:6" x14ac:dyDescent="0.2">
      <c r="A98" s="115"/>
      <c r="B98" s="116"/>
      <c r="C98" s="117"/>
      <c r="D98" s="118"/>
      <c r="E98" s="115"/>
      <c r="F98" s="115"/>
    </row>
    <row r="99" spans="1:6" x14ac:dyDescent="0.2">
      <c r="A99" s="115"/>
      <c r="B99" s="116"/>
      <c r="C99" s="117"/>
      <c r="D99" s="118"/>
      <c r="E99" s="115"/>
      <c r="F99" s="115"/>
    </row>
    <row r="100" spans="1:6" x14ac:dyDescent="0.2">
      <c r="A100" s="115"/>
      <c r="B100" s="116"/>
      <c r="C100" s="117"/>
      <c r="D100" s="118"/>
      <c r="E100" s="115"/>
      <c r="F100" s="115"/>
    </row>
    <row r="101" spans="1:6" x14ac:dyDescent="0.2">
      <c r="A101" s="115"/>
      <c r="B101" s="116"/>
      <c r="C101" s="117"/>
      <c r="D101" s="118"/>
      <c r="E101" s="115"/>
      <c r="F101" s="115"/>
    </row>
    <row r="102" spans="1:6" x14ac:dyDescent="0.2">
      <c r="A102" s="115"/>
      <c r="B102" s="116"/>
      <c r="C102" s="117"/>
      <c r="D102" s="118"/>
      <c r="E102" s="115"/>
      <c r="F102" s="115"/>
    </row>
    <row r="103" spans="1:6" x14ac:dyDescent="0.2">
      <c r="A103" s="115"/>
      <c r="B103" s="116"/>
      <c r="C103" s="117"/>
      <c r="D103" s="118"/>
      <c r="E103" s="115"/>
      <c r="F103" s="115"/>
    </row>
    <row r="104" spans="1:6" x14ac:dyDescent="0.2">
      <c r="A104" s="115"/>
      <c r="B104" s="116"/>
      <c r="C104" s="117"/>
      <c r="D104" s="118"/>
      <c r="E104" s="115"/>
      <c r="F104" s="115"/>
    </row>
    <row r="105" spans="1:6" x14ac:dyDescent="0.2">
      <c r="A105" s="115"/>
      <c r="B105" s="116"/>
      <c r="C105" s="117"/>
      <c r="D105" s="118"/>
      <c r="E105" s="115"/>
      <c r="F105" s="115"/>
    </row>
    <row r="106" spans="1:6" x14ac:dyDescent="0.2">
      <c r="A106" s="115"/>
      <c r="B106" s="116"/>
      <c r="C106" s="117"/>
      <c r="D106" s="118"/>
      <c r="E106" s="115"/>
      <c r="F106" s="115"/>
    </row>
    <row r="107" spans="1:6" x14ac:dyDescent="0.2">
      <c r="A107" s="115"/>
      <c r="B107" s="116"/>
      <c r="C107" s="117"/>
      <c r="D107" s="118"/>
      <c r="E107" s="115"/>
      <c r="F107" s="115"/>
    </row>
    <row r="108" spans="1:6" x14ac:dyDescent="0.2">
      <c r="A108" s="115"/>
      <c r="B108" s="116"/>
      <c r="C108" s="117"/>
      <c r="D108" s="118"/>
      <c r="E108" s="115"/>
      <c r="F108" s="115"/>
    </row>
    <row r="109" spans="1:6" x14ac:dyDescent="0.2">
      <c r="A109" s="115"/>
      <c r="B109" s="116"/>
      <c r="C109" s="117"/>
      <c r="D109" s="118"/>
      <c r="E109" s="115"/>
      <c r="F109" s="115"/>
    </row>
    <row r="110" spans="1:6" x14ac:dyDescent="0.2">
      <c r="A110" s="115"/>
      <c r="B110" s="116"/>
      <c r="C110" s="117"/>
      <c r="D110" s="118"/>
      <c r="E110" s="115"/>
      <c r="F110" s="115"/>
    </row>
    <row r="111" spans="1:6" x14ac:dyDescent="0.2">
      <c r="A111" s="115"/>
      <c r="B111" s="116"/>
      <c r="C111" s="117"/>
      <c r="D111" s="118"/>
      <c r="E111" s="115"/>
      <c r="F111" s="115"/>
    </row>
    <row r="112" spans="1:6" x14ac:dyDescent="0.2">
      <c r="A112" s="115"/>
      <c r="B112" s="116"/>
      <c r="C112" s="117"/>
      <c r="D112" s="118"/>
      <c r="E112" s="115"/>
      <c r="F112" s="115"/>
    </row>
    <row r="113" spans="1:6" x14ac:dyDescent="0.2">
      <c r="A113" s="115"/>
      <c r="B113" s="116"/>
      <c r="C113" s="117"/>
      <c r="D113" s="118"/>
      <c r="E113" s="115"/>
      <c r="F113" s="115"/>
    </row>
    <row r="114" spans="1:6" x14ac:dyDescent="0.2">
      <c r="A114" s="115"/>
      <c r="B114" s="116"/>
      <c r="C114" s="117"/>
      <c r="D114" s="118"/>
      <c r="E114" s="115"/>
      <c r="F114" s="115"/>
    </row>
    <row r="115" spans="1:6" x14ac:dyDescent="0.2">
      <c r="A115" s="115"/>
      <c r="B115" s="116"/>
      <c r="C115" s="117"/>
      <c r="D115" s="118"/>
      <c r="E115" s="115"/>
      <c r="F115" s="115"/>
    </row>
    <row r="116" spans="1:6" x14ac:dyDescent="0.2">
      <c r="A116" s="115"/>
      <c r="B116" s="116"/>
      <c r="C116" s="117"/>
      <c r="D116" s="118"/>
      <c r="E116" s="115"/>
      <c r="F116" s="115"/>
    </row>
    <row r="117" spans="1:6" x14ac:dyDescent="0.2">
      <c r="A117" s="115"/>
      <c r="B117" s="116"/>
      <c r="C117" s="117"/>
      <c r="D117" s="118"/>
      <c r="E117" s="115"/>
      <c r="F117" s="115"/>
    </row>
    <row r="118" spans="1:6" x14ac:dyDescent="0.2">
      <c r="A118" s="115"/>
      <c r="B118" s="116"/>
      <c r="C118" s="117"/>
      <c r="D118" s="118"/>
      <c r="E118" s="115"/>
      <c r="F118" s="115"/>
    </row>
    <row r="119" spans="1:6" x14ac:dyDescent="0.2">
      <c r="A119" s="115"/>
      <c r="B119" s="116"/>
      <c r="C119" s="117"/>
      <c r="D119" s="118"/>
      <c r="E119" s="115"/>
      <c r="F119" s="115"/>
    </row>
    <row r="120" spans="1:6" x14ac:dyDescent="0.2">
      <c r="A120" s="115"/>
      <c r="B120" s="116"/>
      <c r="C120" s="117"/>
      <c r="D120" s="118"/>
      <c r="E120" s="115"/>
      <c r="F120" s="115"/>
    </row>
    <row r="121" spans="1:6" x14ac:dyDescent="0.2">
      <c r="A121" s="115"/>
      <c r="B121" s="116"/>
      <c r="C121" s="117"/>
      <c r="D121" s="118"/>
      <c r="E121" s="115"/>
      <c r="F121" s="115"/>
    </row>
    <row r="122" spans="1:6" x14ac:dyDescent="0.2">
      <c r="A122" s="115"/>
      <c r="B122" s="116"/>
      <c r="C122" s="117"/>
      <c r="D122" s="118"/>
      <c r="E122" s="115"/>
      <c r="F122" s="115"/>
    </row>
    <row r="123" spans="1:6" x14ac:dyDescent="0.2">
      <c r="A123" s="115"/>
      <c r="B123" s="116"/>
      <c r="C123" s="117"/>
      <c r="D123" s="118"/>
      <c r="E123" s="115"/>
      <c r="F123" s="115"/>
    </row>
    <row r="124" spans="1:6" x14ac:dyDescent="0.2">
      <c r="A124" s="115"/>
      <c r="B124" s="116"/>
      <c r="C124" s="117"/>
      <c r="D124" s="118"/>
      <c r="E124" s="115"/>
      <c r="F124" s="115"/>
    </row>
    <row r="125" spans="1:6" x14ac:dyDescent="0.2">
      <c r="A125" s="115"/>
      <c r="B125" s="116"/>
      <c r="C125" s="117"/>
      <c r="D125" s="118"/>
      <c r="E125" s="115"/>
      <c r="F125" s="115"/>
    </row>
    <row r="126" spans="1:6" x14ac:dyDescent="0.2">
      <c r="A126" s="115"/>
      <c r="B126" s="116"/>
      <c r="C126" s="117"/>
      <c r="D126" s="118"/>
      <c r="E126" s="115"/>
      <c r="F126" s="115"/>
    </row>
    <row r="127" spans="1:6" x14ac:dyDescent="0.2">
      <c r="A127" s="115"/>
      <c r="B127" s="116"/>
      <c r="C127" s="117"/>
      <c r="D127" s="118"/>
      <c r="E127" s="115"/>
      <c r="F127" s="115"/>
    </row>
    <row r="128" spans="1:6" x14ac:dyDescent="0.2">
      <c r="A128" s="115"/>
      <c r="B128" s="116"/>
      <c r="C128" s="117"/>
      <c r="D128" s="118"/>
      <c r="E128" s="115"/>
      <c r="F128" s="115"/>
    </row>
    <row r="129" spans="1:6" x14ac:dyDescent="0.2">
      <c r="A129" s="115"/>
      <c r="B129" s="116"/>
      <c r="C129" s="117"/>
      <c r="D129" s="118"/>
      <c r="E129" s="115"/>
      <c r="F129" s="115"/>
    </row>
    <row r="130" spans="1:6" x14ac:dyDescent="0.2">
      <c r="A130" s="115"/>
      <c r="B130" s="116"/>
      <c r="C130" s="117"/>
      <c r="D130" s="118"/>
      <c r="E130" s="115"/>
      <c r="F130" s="115"/>
    </row>
    <row r="131" spans="1:6" x14ac:dyDescent="0.2">
      <c r="A131" s="115"/>
      <c r="B131" s="116"/>
      <c r="C131" s="117"/>
      <c r="D131" s="118"/>
      <c r="E131" s="115"/>
      <c r="F131" s="115"/>
    </row>
    <row r="132" spans="1:6" x14ac:dyDescent="0.2">
      <c r="A132" s="115"/>
      <c r="B132" s="116"/>
      <c r="C132" s="117"/>
      <c r="D132" s="118"/>
      <c r="E132" s="115"/>
      <c r="F132" s="115"/>
    </row>
    <row r="133" spans="1:6" x14ac:dyDescent="0.2">
      <c r="A133" s="115"/>
      <c r="B133" s="116"/>
      <c r="C133" s="117"/>
      <c r="D133" s="118"/>
      <c r="E133" s="115"/>
      <c r="F133" s="115"/>
    </row>
    <row r="134" spans="1:6" x14ac:dyDescent="0.2">
      <c r="A134" s="115"/>
      <c r="B134" s="116"/>
      <c r="C134" s="117"/>
      <c r="D134" s="118"/>
      <c r="E134" s="115"/>
      <c r="F134" s="115"/>
    </row>
    <row r="135" spans="1:6" x14ac:dyDescent="0.2">
      <c r="A135" s="115"/>
      <c r="B135" s="116"/>
      <c r="C135" s="117"/>
      <c r="D135" s="118"/>
      <c r="E135" s="115"/>
      <c r="F135" s="115"/>
    </row>
    <row r="136" spans="1:6" x14ac:dyDescent="0.2">
      <c r="A136" s="115"/>
      <c r="B136" s="116"/>
      <c r="C136" s="117"/>
      <c r="D136" s="118"/>
      <c r="E136" s="115"/>
      <c r="F136" s="115"/>
    </row>
    <row r="137" spans="1:6" x14ac:dyDescent="0.2">
      <c r="A137" s="115"/>
      <c r="B137" s="116"/>
      <c r="C137" s="117"/>
      <c r="D137" s="118"/>
      <c r="E137" s="115"/>
      <c r="F137" s="115"/>
    </row>
    <row r="138" spans="1:6" x14ac:dyDescent="0.2">
      <c r="A138" s="115"/>
      <c r="B138" s="116"/>
      <c r="C138" s="117"/>
      <c r="D138" s="118"/>
      <c r="E138" s="115"/>
      <c r="F138" s="115"/>
    </row>
    <row r="139" spans="1:6" x14ac:dyDescent="0.2">
      <c r="A139" s="115"/>
      <c r="B139" s="116"/>
      <c r="C139" s="117"/>
      <c r="D139" s="118"/>
      <c r="E139" s="115"/>
      <c r="F139" s="115"/>
    </row>
    <row r="140" spans="1:6" x14ac:dyDescent="0.2">
      <c r="A140" s="115"/>
      <c r="B140" s="116"/>
      <c r="C140" s="117"/>
      <c r="D140" s="118"/>
      <c r="E140" s="115"/>
      <c r="F140" s="115"/>
    </row>
    <row r="141" spans="1:6" x14ac:dyDescent="0.2">
      <c r="A141" s="115"/>
      <c r="B141" s="116"/>
      <c r="C141" s="117"/>
      <c r="D141" s="118"/>
      <c r="E141" s="115"/>
      <c r="F141" s="115"/>
    </row>
    <row r="142" spans="1:6" x14ac:dyDescent="0.2">
      <c r="A142" s="115"/>
      <c r="B142" s="116"/>
      <c r="C142" s="117"/>
      <c r="D142" s="118"/>
      <c r="E142" s="115"/>
      <c r="F142" s="115"/>
    </row>
    <row r="143" spans="1:6" x14ac:dyDescent="0.2">
      <c r="A143" s="115"/>
      <c r="B143" s="116"/>
      <c r="C143" s="117"/>
      <c r="D143" s="118"/>
      <c r="E143" s="115"/>
      <c r="F143" s="115"/>
    </row>
    <row r="144" spans="1:6" x14ac:dyDescent="0.2">
      <c r="A144" s="115"/>
      <c r="B144" s="116"/>
      <c r="C144" s="117"/>
      <c r="D144" s="118"/>
      <c r="E144" s="115"/>
      <c r="F144" s="115"/>
    </row>
    <row r="145" spans="1:6" x14ac:dyDescent="0.2">
      <c r="A145" s="115"/>
      <c r="B145" s="116"/>
      <c r="C145" s="117"/>
      <c r="D145" s="118"/>
      <c r="E145" s="115"/>
      <c r="F145" s="115"/>
    </row>
    <row r="146" spans="1:6" x14ac:dyDescent="0.2">
      <c r="A146" s="115"/>
      <c r="B146" s="116"/>
      <c r="C146" s="117"/>
      <c r="D146" s="118"/>
      <c r="E146" s="115"/>
      <c r="F146" s="115"/>
    </row>
    <row r="147" spans="1:6" x14ac:dyDescent="0.2">
      <c r="A147" s="115"/>
      <c r="B147" s="116"/>
      <c r="C147" s="117"/>
      <c r="D147" s="118"/>
      <c r="E147" s="115"/>
      <c r="F147" s="115"/>
    </row>
    <row r="148" spans="1:6" x14ac:dyDescent="0.2">
      <c r="A148" s="115"/>
      <c r="B148" s="116"/>
      <c r="C148" s="117"/>
      <c r="D148" s="118"/>
      <c r="E148" s="115"/>
      <c r="F148" s="115"/>
    </row>
    <row r="149" spans="1:6" x14ac:dyDescent="0.2">
      <c r="A149" s="115"/>
      <c r="B149" s="116"/>
      <c r="C149" s="117"/>
      <c r="D149" s="118"/>
      <c r="E149" s="115"/>
      <c r="F149" s="115"/>
    </row>
    <row r="150" spans="1:6" x14ac:dyDescent="0.2">
      <c r="A150" s="115"/>
      <c r="B150" s="116"/>
      <c r="C150" s="117"/>
      <c r="D150" s="118"/>
      <c r="E150" s="115"/>
      <c r="F150" s="115"/>
    </row>
    <row r="151" spans="1:6" x14ac:dyDescent="0.2">
      <c r="A151" s="115"/>
      <c r="B151" s="116"/>
      <c r="C151" s="117"/>
      <c r="D151" s="118"/>
      <c r="E151" s="115"/>
      <c r="F151" s="115"/>
    </row>
    <row r="152" spans="1:6" x14ac:dyDescent="0.2">
      <c r="A152" s="115"/>
      <c r="B152" s="116"/>
      <c r="C152" s="117"/>
      <c r="D152" s="118"/>
      <c r="E152" s="115"/>
      <c r="F152" s="115"/>
    </row>
    <row r="153" spans="1:6" x14ac:dyDescent="0.2">
      <c r="A153" s="115"/>
      <c r="B153" s="116"/>
      <c r="C153" s="117"/>
      <c r="D153" s="118"/>
      <c r="E153" s="115"/>
      <c r="F153" s="115"/>
    </row>
    <row r="154" spans="1:6" x14ac:dyDescent="0.2">
      <c r="A154" s="115"/>
      <c r="B154" s="116"/>
      <c r="C154" s="117"/>
      <c r="D154" s="118"/>
      <c r="E154" s="115"/>
      <c r="F154" s="115"/>
    </row>
    <row r="155" spans="1:6" x14ac:dyDescent="0.2">
      <c r="A155" s="115"/>
      <c r="B155" s="116"/>
      <c r="C155" s="117"/>
      <c r="D155" s="118"/>
      <c r="E155" s="115"/>
      <c r="F155" s="115"/>
    </row>
    <row r="156" spans="1:6" x14ac:dyDescent="0.2">
      <c r="A156" s="115"/>
      <c r="B156" s="116"/>
      <c r="C156" s="117"/>
      <c r="D156" s="118"/>
      <c r="E156" s="115"/>
      <c r="F156" s="115"/>
    </row>
    <row r="157" spans="1:6" x14ac:dyDescent="0.2">
      <c r="A157" s="115"/>
      <c r="B157" s="116"/>
      <c r="C157" s="117"/>
      <c r="D157" s="118"/>
      <c r="E157" s="115"/>
      <c r="F157" s="115"/>
    </row>
    <row r="158" spans="1:6" x14ac:dyDescent="0.2">
      <c r="A158" s="115"/>
      <c r="B158" s="116"/>
      <c r="C158" s="117"/>
      <c r="D158" s="118"/>
      <c r="E158" s="115"/>
      <c r="F158" s="115"/>
    </row>
    <row r="159" spans="1:6" x14ac:dyDescent="0.2">
      <c r="A159" s="115"/>
      <c r="B159" s="116"/>
      <c r="C159" s="117"/>
      <c r="D159" s="118"/>
      <c r="E159" s="115"/>
      <c r="F159" s="115"/>
    </row>
    <row r="160" spans="1:6" x14ac:dyDescent="0.2">
      <c r="A160" s="115"/>
      <c r="B160" s="116"/>
      <c r="C160" s="117"/>
      <c r="D160" s="118"/>
      <c r="E160" s="115"/>
      <c r="F160" s="115"/>
    </row>
    <row r="161" spans="1:6" x14ac:dyDescent="0.2">
      <c r="A161" s="115"/>
      <c r="B161" s="116"/>
      <c r="C161" s="117"/>
      <c r="D161" s="118"/>
      <c r="E161" s="115"/>
      <c r="F161" s="115"/>
    </row>
    <row r="162" spans="1:6" x14ac:dyDescent="0.2">
      <c r="A162" s="115"/>
      <c r="B162" s="116"/>
      <c r="C162" s="117"/>
      <c r="D162" s="118"/>
      <c r="E162" s="115"/>
      <c r="F162" s="115"/>
    </row>
    <row r="163" spans="1:6" x14ac:dyDescent="0.2">
      <c r="A163" s="115"/>
      <c r="B163" s="116"/>
      <c r="C163" s="117"/>
      <c r="D163" s="118"/>
      <c r="E163" s="115"/>
      <c r="F163" s="115"/>
    </row>
    <row r="164" spans="1:6" x14ac:dyDescent="0.2">
      <c r="A164" s="115"/>
      <c r="B164" s="116"/>
      <c r="C164" s="117"/>
      <c r="D164" s="118"/>
      <c r="E164" s="115"/>
      <c r="F164" s="115"/>
    </row>
    <row r="165" spans="1:6" x14ac:dyDescent="0.2">
      <c r="A165" s="115"/>
      <c r="B165" s="116"/>
      <c r="C165" s="117"/>
      <c r="D165" s="118"/>
      <c r="E165" s="115"/>
      <c r="F165" s="115"/>
    </row>
    <row r="166" spans="1:6" x14ac:dyDescent="0.2">
      <c r="A166" s="115"/>
      <c r="B166" s="116"/>
      <c r="C166" s="117"/>
      <c r="D166" s="118"/>
      <c r="E166" s="115"/>
      <c r="F166" s="115"/>
    </row>
    <row r="167" spans="1:6" x14ac:dyDescent="0.2">
      <c r="A167" s="115"/>
      <c r="B167" s="116"/>
      <c r="C167" s="117"/>
      <c r="D167" s="118"/>
      <c r="E167" s="115"/>
      <c r="F167" s="115"/>
    </row>
    <row r="168" spans="1:6" x14ac:dyDescent="0.2">
      <c r="A168" s="115"/>
      <c r="B168" s="116"/>
      <c r="C168" s="117"/>
      <c r="D168" s="118"/>
      <c r="E168" s="115"/>
      <c r="F168" s="115"/>
    </row>
    <row r="169" spans="1:6" x14ac:dyDescent="0.2">
      <c r="A169" s="115"/>
      <c r="B169" s="116"/>
      <c r="C169" s="117"/>
      <c r="D169" s="118"/>
      <c r="E169" s="115"/>
      <c r="F169" s="115"/>
    </row>
    <row r="170" spans="1:6" x14ac:dyDescent="0.2">
      <c r="A170" s="115"/>
      <c r="B170" s="116"/>
      <c r="C170" s="117"/>
      <c r="D170" s="118"/>
      <c r="E170" s="115"/>
      <c r="F170" s="115"/>
    </row>
    <row r="171" spans="1:6" x14ac:dyDescent="0.2">
      <c r="A171" s="115"/>
      <c r="B171" s="116"/>
      <c r="C171" s="117"/>
      <c r="D171" s="118"/>
      <c r="E171" s="115"/>
      <c r="F171" s="115"/>
    </row>
    <row r="172" spans="1:6" x14ac:dyDescent="0.2">
      <c r="A172" s="115"/>
      <c r="B172" s="116"/>
      <c r="C172" s="117"/>
      <c r="D172" s="118"/>
      <c r="E172" s="115"/>
      <c r="F172" s="115"/>
    </row>
    <row r="173" spans="1:6" x14ac:dyDescent="0.2">
      <c r="A173" s="115"/>
      <c r="B173" s="116"/>
      <c r="C173" s="117"/>
      <c r="D173" s="118"/>
      <c r="E173" s="115"/>
      <c r="F173" s="115"/>
    </row>
    <row r="174" spans="1:6" x14ac:dyDescent="0.2">
      <c r="A174" s="115"/>
      <c r="B174" s="116"/>
      <c r="C174" s="117"/>
      <c r="D174" s="118"/>
      <c r="E174" s="115"/>
      <c r="F174" s="115"/>
    </row>
    <row r="175" spans="1:6" x14ac:dyDescent="0.2">
      <c r="A175" s="115"/>
      <c r="B175" s="116"/>
      <c r="C175" s="117"/>
      <c r="D175" s="118"/>
      <c r="E175" s="115"/>
      <c r="F175" s="115"/>
    </row>
    <row r="176" spans="1:6" x14ac:dyDescent="0.2">
      <c r="A176" s="115"/>
      <c r="B176" s="116"/>
      <c r="C176" s="117"/>
      <c r="D176" s="118"/>
      <c r="E176" s="115"/>
      <c r="F176" s="115"/>
    </row>
    <row r="177" spans="1:6" x14ac:dyDescent="0.2">
      <c r="A177" s="115"/>
      <c r="B177" s="116"/>
      <c r="C177" s="117"/>
      <c r="D177" s="118"/>
      <c r="E177" s="115"/>
      <c r="F177" s="115"/>
    </row>
    <row r="178" spans="1:6" x14ac:dyDescent="0.2">
      <c r="A178" s="115"/>
      <c r="B178" s="116"/>
      <c r="C178" s="117"/>
      <c r="D178" s="118"/>
      <c r="E178" s="115"/>
      <c r="F178" s="115"/>
    </row>
    <row r="179" spans="1:6" x14ac:dyDescent="0.2">
      <c r="A179" s="115"/>
      <c r="B179" s="116"/>
      <c r="C179" s="117"/>
      <c r="D179" s="118"/>
      <c r="E179" s="115"/>
      <c r="F179" s="115"/>
    </row>
    <row r="180" spans="1:6" x14ac:dyDescent="0.2">
      <c r="A180" s="115"/>
      <c r="B180" s="116"/>
      <c r="C180" s="117"/>
      <c r="D180" s="118"/>
      <c r="E180" s="115"/>
      <c r="F180" s="115"/>
    </row>
    <row r="181" spans="1:6" x14ac:dyDescent="0.2">
      <c r="A181" s="115"/>
      <c r="B181" s="116"/>
      <c r="C181" s="117"/>
      <c r="D181" s="118"/>
      <c r="E181" s="115"/>
      <c r="F181" s="115"/>
    </row>
    <row r="182" spans="1:6" x14ac:dyDescent="0.2">
      <c r="A182" s="115"/>
      <c r="B182" s="116"/>
      <c r="C182" s="117"/>
      <c r="D182" s="118"/>
      <c r="E182" s="115"/>
      <c r="F182" s="115"/>
    </row>
    <row r="183" spans="1:6" x14ac:dyDescent="0.2">
      <c r="A183" s="115"/>
      <c r="B183" s="116"/>
      <c r="C183" s="117"/>
      <c r="D183" s="118"/>
      <c r="E183" s="115"/>
      <c r="F183" s="115"/>
    </row>
    <row r="184" spans="1:6" x14ac:dyDescent="0.2">
      <c r="A184" s="115"/>
      <c r="B184" s="116"/>
      <c r="C184" s="117"/>
      <c r="D184" s="118"/>
      <c r="E184" s="115"/>
      <c r="F184" s="115"/>
    </row>
    <row r="185" spans="1:6" x14ac:dyDescent="0.2">
      <c r="A185" s="115"/>
      <c r="B185" s="116"/>
      <c r="C185" s="117"/>
      <c r="D185" s="118"/>
      <c r="E185" s="115"/>
      <c r="F185" s="115"/>
    </row>
    <row r="186" spans="1:6" x14ac:dyDescent="0.2">
      <c r="A186" s="115"/>
      <c r="B186" s="116"/>
      <c r="C186" s="117"/>
      <c r="D186" s="118"/>
      <c r="E186" s="115"/>
      <c r="F186" s="115"/>
    </row>
    <row r="187" spans="1:6" x14ac:dyDescent="0.2">
      <c r="A187" s="115"/>
      <c r="B187" s="116"/>
      <c r="C187" s="117"/>
      <c r="D187" s="118"/>
      <c r="E187" s="115"/>
      <c r="F187" s="115"/>
    </row>
    <row r="188" spans="1:6" x14ac:dyDescent="0.2">
      <c r="A188" s="115"/>
      <c r="B188" s="116"/>
      <c r="C188" s="117"/>
      <c r="D188" s="118"/>
      <c r="E188" s="115"/>
      <c r="F188" s="115"/>
    </row>
    <row r="189" spans="1:6" x14ac:dyDescent="0.2">
      <c r="A189" s="115"/>
      <c r="B189" s="116"/>
      <c r="C189" s="117"/>
      <c r="D189" s="118"/>
      <c r="E189" s="115"/>
      <c r="F189" s="115"/>
    </row>
    <row r="190" spans="1:6" x14ac:dyDescent="0.2">
      <c r="A190" s="115"/>
      <c r="B190" s="116"/>
      <c r="C190" s="117"/>
      <c r="D190" s="118"/>
      <c r="E190" s="115"/>
      <c r="F190" s="115"/>
    </row>
    <row r="191" spans="1:6" x14ac:dyDescent="0.2">
      <c r="A191" s="115"/>
      <c r="B191" s="116"/>
      <c r="C191" s="117"/>
      <c r="D191" s="118"/>
      <c r="E191" s="115"/>
      <c r="F191" s="115"/>
    </row>
    <row r="192" spans="1:6" x14ac:dyDescent="0.2">
      <c r="A192" s="115"/>
      <c r="B192" s="116"/>
      <c r="C192" s="117"/>
      <c r="D192" s="118"/>
      <c r="E192" s="115"/>
      <c r="F192" s="115"/>
    </row>
    <row r="193" spans="1:6" x14ac:dyDescent="0.2">
      <c r="A193" s="115"/>
      <c r="B193" s="116"/>
      <c r="C193" s="117"/>
      <c r="D193" s="118"/>
      <c r="E193" s="115"/>
      <c r="F193" s="115"/>
    </row>
    <row r="194" spans="1:6" x14ac:dyDescent="0.2">
      <c r="A194" s="115"/>
      <c r="B194" s="116"/>
      <c r="C194" s="117"/>
      <c r="D194" s="118"/>
      <c r="E194" s="115"/>
      <c r="F194" s="115"/>
    </row>
    <row r="195" spans="1:6" x14ac:dyDescent="0.2">
      <c r="A195" s="115"/>
      <c r="B195" s="116"/>
      <c r="C195" s="117"/>
      <c r="D195" s="118"/>
      <c r="E195" s="115"/>
      <c r="F195" s="115"/>
    </row>
    <row r="196" spans="1:6" x14ac:dyDescent="0.2">
      <c r="A196" s="115"/>
      <c r="B196" s="116"/>
      <c r="C196" s="117"/>
      <c r="D196" s="118"/>
      <c r="E196" s="115"/>
      <c r="F196" s="115"/>
    </row>
    <row r="197" spans="1:6" x14ac:dyDescent="0.2">
      <c r="A197" s="115"/>
      <c r="B197" s="116"/>
      <c r="C197" s="117"/>
      <c r="D197" s="118"/>
      <c r="E197" s="115"/>
      <c r="F197" s="115"/>
    </row>
    <row r="198" spans="1:6" x14ac:dyDescent="0.2">
      <c r="A198" s="115"/>
      <c r="B198" s="116"/>
      <c r="C198" s="117"/>
      <c r="D198" s="118"/>
      <c r="E198" s="115"/>
      <c r="F198" s="115"/>
    </row>
    <row r="199" spans="1:6" x14ac:dyDescent="0.2">
      <c r="A199" s="115"/>
      <c r="B199" s="116"/>
      <c r="C199" s="117"/>
      <c r="D199" s="118"/>
      <c r="E199" s="115"/>
      <c r="F199" s="115"/>
    </row>
    <row r="200" spans="1:6" x14ac:dyDescent="0.2">
      <c r="A200" s="115"/>
      <c r="B200" s="116"/>
      <c r="C200" s="117"/>
      <c r="D200" s="118"/>
      <c r="E200" s="115"/>
      <c r="F200" s="115"/>
    </row>
    <row r="201" spans="1:6" x14ac:dyDescent="0.2">
      <c r="A201" s="115"/>
      <c r="B201" s="116"/>
      <c r="C201" s="117"/>
      <c r="D201" s="118"/>
      <c r="E201" s="115"/>
      <c r="F201" s="115"/>
    </row>
    <row r="202" spans="1:6" x14ac:dyDescent="0.2">
      <c r="A202" s="115"/>
      <c r="B202" s="116"/>
      <c r="C202" s="117"/>
      <c r="D202" s="118"/>
      <c r="E202" s="115"/>
      <c r="F202" s="115"/>
    </row>
    <row r="203" spans="1:6" x14ac:dyDescent="0.2">
      <c r="A203" s="115"/>
      <c r="B203" s="116"/>
      <c r="C203" s="117"/>
      <c r="D203" s="118"/>
      <c r="E203" s="115"/>
      <c r="F203" s="115"/>
    </row>
    <row r="204" spans="1:6" x14ac:dyDescent="0.2">
      <c r="A204" s="115"/>
      <c r="B204" s="116"/>
      <c r="C204" s="117"/>
      <c r="D204" s="118"/>
      <c r="E204" s="115"/>
      <c r="F204" s="115"/>
    </row>
    <row r="205" spans="1:6" x14ac:dyDescent="0.2">
      <c r="A205" s="115"/>
      <c r="B205" s="116"/>
      <c r="C205" s="117"/>
      <c r="D205" s="118"/>
      <c r="E205" s="115"/>
      <c r="F205" s="115"/>
    </row>
    <row r="206" spans="1:6" x14ac:dyDescent="0.2">
      <c r="A206" s="115"/>
      <c r="B206" s="116"/>
      <c r="C206" s="117"/>
      <c r="D206" s="118"/>
      <c r="E206" s="115"/>
      <c r="F206" s="115"/>
    </row>
    <row r="207" spans="1:6" x14ac:dyDescent="0.2">
      <c r="A207" s="115"/>
      <c r="B207" s="116"/>
      <c r="C207" s="117"/>
      <c r="D207" s="118"/>
      <c r="E207" s="115"/>
      <c r="F207" s="115"/>
    </row>
    <row r="208" spans="1:6" x14ac:dyDescent="0.2">
      <c r="A208" s="115"/>
      <c r="B208" s="116"/>
      <c r="C208" s="117"/>
      <c r="D208" s="118"/>
      <c r="E208" s="115"/>
      <c r="F208" s="115"/>
    </row>
    <row r="209" spans="1:6" x14ac:dyDescent="0.2">
      <c r="A209" s="115"/>
      <c r="B209" s="116"/>
      <c r="C209" s="117"/>
      <c r="D209" s="118"/>
      <c r="E209" s="115"/>
      <c r="F209" s="115"/>
    </row>
    <row r="210" spans="1:6" x14ac:dyDescent="0.2">
      <c r="A210" s="115"/>
      <c r="B210" s="116"/>
      <c r="C210" s="117"/>
      <c r="D210" s="118"/>
      <c r="E210" s="115"/>
      <c r="F210" s="115"/>
    </row>
    <row r="211" spans="1:6" x14ac:dyDescent="0.2">
      <c r="A211" s="115"/>
      <c r="B211" s="116"/>
      <c r="C211" s="117"/>
      <c r="D211" s="118"/>
      <c r="E211" s="115"/>
      <c r="F211" s="115"/>
    </row>
    <row r="212" spans="1:6" x14ac:dyDescent="0.2">
      <c r="A212" s="115"/>
      <c r="B212" s="116"/>
      <c r="C212" s="117"/>
      <c r="D212" s="118"/>
      <c r="E212" s="115"/>
      <c r="F212" s="115"/>
    </row>
    <row r="213" spans="1:6" x14ac:dyDescent="0.2">
      <c r="A213" s="115"/>
      <c r="B213" s="116"/>
      <c r="C213" s="117"/>
      <c r="D213" s="118"/>
      <c r="E213" s="115"/>
      <c r="F213" s="115"/>
    </row>
    <row r="214" spans="1:6" x14ac:dyDescent="0.2">
      <c r="A214" s="115"/>
      <c r="B214" s="116"/>
      <c r="C214" s="117"/>
      <c r="D214" s="118"/>
      <c r="E214" s="115"/>
      <c r="F214" s="115"/>
    </row>
    <row r="215" spans="1:6" x14ac:dyDescent="0.2">
      <c r="A215" s="115"/>
      <c r="B215" s="116"/>
      <c r="C215" s="117"/>
      <c r="D215" s="118"/>
      <c r="E215" s="115"/>
      <c r="F215" s="115"/>
    </row>
    <row r="216" spans="1:6" x14ac:dyDescent="0.2">
      <c r="A216" s="115"/>
      <c r="B216" s="116"/>
      <c r="C216" s="117"/>
      <c r="D216" s="118"/>
      <c r="E216" s="115"/>
      <c r="F216" s="115"/>
    </row>
    <row r="217" spans="1:6" x14ac:dyDescent="0.2">
      <c r="A217" s="115"/>
      <c r="B217" s="116"/>
      <c r="C217" s="117"/>
      <c r="D217" s="118"/>
      <c r="E217" s="115"/>
      <c r="F217" s="115"/>
    </row>
    <row r="218" spans="1:6" x14ac:dyDescent="0.2">
      <c r="A218" s="115"/>
      <c r="B218" s="116"/>
      <c r="C218" s="117"/>
      <c r="D218" s="118"/>
      <c r="E218" s="115"/>
      <c r="F218" s="115"/>
    </row>
    <row r="219" spans="1:6" x14ac:dyDescent="0.2">
      <c r="A219" s="115"/>
      <c r="B219" s="116"/>
      <c r="C219" s="117"/>
      <c r="D219" s="118"/>
      <c r="E219" s="115"/>
      <c r="F219" s="115"/>
    </row>
    <row r="220" spans="1:6" x14ac:dyDescent="0.2">
      <c r="A220" s="115"/>
      <c r="B220" s="116"/>
      <c r="C220" s="117"/>
      <c r="D220" s="118"/>
      <c r="E220" s="115"/>
      <c r="F220" s="115"/>
    </row>
    <row r="221" spans="1:6" x14ac:dyDescent="0.2">
      <c r="A221" s="115"/>
      <c r="B221" s="116"/>
      <c r="C221" s="117"/>
      <c r="D221" s="118"/>
      <c r="E221" s="115"/>
      <c r="F221" s="115"/>
    </row>
    <row r="222" spans="1:6" x14ac:dyDescent="0.2">
      <c r="A222" s="115"/>
      <c r="B222" s="116"/>
      <c r="C222" s="117"/>
      <c r="D222" s="118"/>
      <c r="E222" s="115"/>
      <c r="F222" s="115"/>
    </row>
    <row r="223" spans="1:6" x14ac:dyDescent="0.2">
      <c r="A223" s="115"/>
      <c r="B223" s="116"/>
      <c r="C223" s="117"/>
      <c r="D223" s="118"/>
      <c r="E223" s="115"/>
      <c r="F223" s="115"/>
    </row>
    <row r="224" spans="1:6" x14ac:dyDescent="0.2">
      <c r="A224" s="115"/>
      <c r="B224" s="116"/>
      <c r="C224" s="117"/>
      <c r="D224" s="118"/>
      <c r="E224" s="115"/>
      <c r="F224" s="115"/>
    </row>
    <row r="225" spans="1:6" x14ac:dyDescent="0.2">
      <c r="A225" s="115"/>
      <c r="B225" s="116"/>
      <c r="C225" s="117"/>
      <c r="D225" s="118"/>
      <c r="E225" s="115"/>
      <c r="F225" s="115"/>
    </row>
    <row r="226" spans="1:6" x14ac:dyDescent="0.2">
      <c r="A226" s="115"/>
      <c r="B226" s="116"/>
      <c r="C226" s="117"/>
      <c r="D226" s="118"/>
      <c r="E226" s="115"/>
      <c r="F226" s="115"/>
    </row>
    <row r="227" spans="1:6" x14ac:dyDescent="0.2">
      <c r="A227" s="115"/>
      <c r="B227" s="116"/>
      <c r="C227" s="117"/>
      <c r="D227" s="118"/>
      <c r="E227" s="115"/>
      <c r="F227" s="115"/>
    </row>
    <row r="228" spans="1:6" x14ac:dyDescent="0.2">
      <c r="A228" s="115"/>
      <c r="B228" s="116"/>
      <c r="C228" s="117"/>
      <c r="D228" s="118"/>
      <c r="E228" s="115"/>
      <c r="F228" s="115"/>
    </row>
    <row r="229" spans="1:6" x14ac:dyDescent="0.2">
      <c r="A229" s="115"/>
      <c r="B229" s="116"/>
      <c r="C229" s="117"/>
      <c r="D229" s="118"/>
      <c r="E229" s="115"/>
      <c r="F229" s="115"/>
    </row>
    <row r="230" spans="1:6" x14ac:dyDescent="0.2">
      <c r="A230" s="115"/>
      <c r="B230" s="116"/>
      <c r="C230" s="117"/>
      <c r="D230" s="118"/>
      <c r="E230" s="115"/>
      <c r="F230" s="115"/>
    </row>
    <row r="231" spans="1:6" x14ac:dyDescent="0.2">
      <c r="A231" s="115"/>
      <c r="B231" s="116"/>
      <c r="C231" s="117"/>
      <c r="D231" s="118"/>
      <c r="E231" s="115"/>
      <c r="F231" s="115"/>
    </row>
    <row r="232" spans="1:6" x14ac:dyDescent="0.2">
      <c r="A232" s="115"/>
      <c r="B232" s="116"/>
      <c r="C232" s="117"/>
      <c r="D232" s="118"/>
      <c r="E232" s="115"/>
      <c r="F232" s="115"/>
    </row>
    <row r="233" spans="1:6" x14ac:dyDescent="0.2">
      <c r="A233" s="115"/>
      <c r="B233" s="116"/>
      <c r="C233" s="117"/>
      <c r="D233" s="118"/>
      <c r="E233" s="115"/>
      <c r="F233" s="115"/>
    </row>
    <row r="234" spans="1:6" x14ac:dyDescent="0.2">
      <c r="A234" s="115"/>
      <c r="B234" s="116"/>
      <c r="C234" s="117"/>
      <c r="D234" s="118"/>
      <c r="E234" s="115"/>
      <c r="F234" s="115"/>
    </row>
    <row r="235" spans="1:6" x14ac:dyDescent="0.2">
      <c r="A235" s="115"/>
      <c r="B235" s="116"/>
      <c r="C235" s="117"/>
      <c r="D235" s="118"/>
      <c r="E235" s="115"/>
      <c r="F235" s="115"/>
    </row>
    <row r="236" spans="1:6" x14ac:dyDescent="0.2">
      <c r="A236" s="115"/>
      <c r="B236" s="116"/>
      <c r="C236" s="117"/>
      <c r="D236" s="118"/>
      <c r="E236" s="115"/>
      <c r="F236" s="115"/>
    </row>
    <row r="237" spans="1:6" x14ac:dyDescent="0.2">
      <c r="A237" s="115"/>
      <c r="B237" s="116"/>
      <c r="C237" s="117"/>
      <c r="D237" s="118"/>
      <c r="E237" s="115"/>
      <c r="F237" s="115"/>
    </row>
    <row r="238" spans="1:6" x14ac:dyDescent="0.2">
      <c r="A238" s="115"/>
      <c r="B238" s="116"/>
      <c r="C238" s="117"/>
      <c r="D238" s="118"/>
      <c r="E238" s="115"/>
      <c r="F238" s="115"/>
    </row>
    <row r="239" spans="1:6" x14ac:dyDescent="0.2">
      <c r="A239" s="115"/>
      <c r="B239" s="116"/>
      <c r="C239" s="117"/>
      <c r="D239" s="118"/>
      <c r="E239" s="115"/>
      <c r="F239" s="115"/>
    </row>
    <row r="240" spans="1:6" x14ac:dyDescent="0.2">
      <c r="A240" s="115"/>
      <c r="B240" s="116"/>
      <c r="C240" s="117"/>
      <c r="D240" s="118"/>
      <c r="E240" s="115"/>
      <c r="F240" s="115"/>
    </row>
    <row r="241" spans="1:6" x14ac:dyDescent="0.2">
      <c r="A241" s="115"/>
      <c r="B241" s="116"/>
      <c r="C241" s="117"/>
      <c r="D241" s="118"/>
      <c r="E241" s="115"/>
      <c r="F241" s="115"/>
    </row>
    <row r="242" spans="1:6" x14ac:dyDescent="0.2">
      <c r="A242" s="115"/>
      <c r="B242" s="116"/>
      <c r="C242" s="117"/>
      <c r="D242" s="118"/>
      <c r="E242" s="115"/>
      <c r="F242" s="115"/>
    </row>
    <row r="243" spans="1:6" x14ac:dyDescent="0.2">
      <c r="A243" s="115"/>
      <c r="B243" s="116"/>
      <c r="C243" s="117"/>
      <c r="D243" s="118"/>
      <c r="E243" s="115"/>
      <c r="F243" s="115"/>
    </row>
    <row r="244" spans="1:6" x14ac:dyDescent="0.2">
      <c r="A244" s="115"/>
      <c r="B244" s="116"/>
      <c r="C244" s="117"/>
      <c r="D244" s="118"/>
      <c r="E244" s="115"/>
      <c r="F244" s="115"/>
    </row>
    <row r="245" spans="1:6" x14ac:dyDescent="0.2">
      <c r="A245" s="115"/>
      <c r="B245" s="116"/>
      <c r="C245" s="117"/>
      <c r="D245" s="118"/>
      <c r="E245" s="115"/>
      <c r="F245" s="115"/>
    </row>
    <row r="246" spans="1:6" x14ac:dyDescent="0.2">
      <c r="A246" s="115"/>
      <c r="B246" s="116"/>
      <c r="C246" s="117"/>
      <c r="D246" s="118"/>
      <c r="E246" s="115"/>
      <c r="F246" s="115"/>
    </row>
    <row r="247" spans="1:6" x14ac:dyDescent="0.2">
      <c r="A247" s="115"/>
      <c r="B247" s="116"/>
      <c r="C247" s="117"/>
      <c r="D247" s="118"/>
      <c r="E247" s="115"/>
      <c r="F247" s="115"/>
    </row>
    <row r="248" spans="1:6" x14ac:dyDescent="0.2">
      <c r="A248" s="115"/>
      <c r="B248" s="116"/>
      <c r="C248" s="117"/>
      <c r="D248" s="118"/>
      <c r="E248" s="115"/>
      <c r="F248" s="115"/>
    </row>
    <row r="249" spans="1:6" x14ac:dyDescent="0.2">
      <c r="A249" s="115"/>
      <c r="B249" s="116"/>
      <c r="C249" s="117"/>
      <c r="D249" s="118"/>
      <c r="E249" s="115"/>
      <c r="F249" s="115"/>
    </row>
    <row r="250" spans="1:6" x14ac:dyDescent="0.2">
      <c r="A250" s="115"/>
      <c r="B250" s="116"/>
      <c r="C250" s="117"/>
      <c r="D250" s="118"/>
      <c r="E250" s="115"/>
      <c r="F250" s="115"/>
    </row>
    <row r="251" spans="1:6" x14ac:dyDescent="0.2">
      <c r="A251" s="115"/>
      <c r="B251" s="116"/>
      <c r="C251" s="117"/>
      <c r="D251" s="118"/>
      <c r="E251" s="115"/>
      <c r="F251" s="115"/>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election activeCell="H16" sqref="H16"/>
    </sheetView>
  </sheetViews>
  <sheetFormatPr defaultColWidth="9.140625" defaultRowHeight="12.75" x14ac:dyDescent="0.2"/>
  <cols>
    <col min="1" max="1" width="2.7109375" style="99" customWidth="1"/>
    <col min="2" max="2" width="12.42578125" style="108" customWidth="1"/>
    <col min="3" max="3" width="50.7109375" style="108" customWidth="1"/>
    <col min="4" max="5" width="25.7109375" style="108" customWidth="1"/>
    <col min="6" max="6" width="0.85546875" style="99" customWidth="1"/>
    <col min="7" max="7" width="2.7109375" style="99" customWidth="1"/>
    <col min="8" max="16384" width="9.140625" style="99"/>
  </cols>
  <sheetData>
    <row r="1" spans="1:7" x14ac:dyDescent="0.2">
      <c r="A1" s="157" t="s">
        <v>155</v>
      </c>
      <c r="B1" s="92" t="s">
        <v>9</v>
      </c>
      <c r="C1" s="92"/>
      <c r="D1" s="92"/>
      <c r="E1" s="92"/>
      <c r="F1" s="91"/>
      <c r="G1" s="91"/>
    </row>
    <row r="2" spans="1:7" ht="6" customHeight="1" x14ac:dyDescent="0.2">
      <c r="A2" s="91"/>
      <c r="B2" s="92"/>
      <c r="C2" s="92"/>
      <c r="D2" s="92"/>
      <c r="E2" s="92"/>
      <c r="F2" s="91"/>
      <c r="G2" s="91"/>
    </row>
    <row r="3" spans="1:7" x14ac:dyDescent="0.2">
      <c r="A3" s="91"/>
      <c r="B3" s="92" t="s">
        <v>6</v>
      </c>
      <c r="C3" s="325" t="s">
        <v>1</v>
      </c>
      <c r="D3" s="325"/>
      <c r="E3" s="325"/>
      <c r="F3" s="91"/>
      <c r="G3" s="91"/>
    </row>
    <row r="4" spans="1:7" ht="6" customHeight="1" x14ac:dyDescent="0.2">
      <c r="A4" s="91"/>
      <c r="B4" s="92"/>
      <c r="C4" s="92"/>
      <c r="D4" s="92"/>
      <c r="E4" s="92"/>
      <c r="F4" s="91"/>
      <c r="G4" s="91"/>
    </row>
    <row r="5" spans="1:7" ht="27" customHeight="1" x14ac:dyDescent="0.2">
      <c r="A5" s="91"/>
      <c r="B5" s="92" t="s">
        <v>7</v>
      </c>
      <c r="C5" s="326" t="s">
        <v>2</v>
      </c>
      <c r="D5" s="325"/>
      <c r="E5" s="325"/>
      <c r="F5" s="91"/>
      <c r="G5" s="91"/>
    </row>
    <row r="6" spans="1:7" x14ac:dyDescent="0.2">
      <c r="A6" s="91"/>
      <c r="B6" s="92"/>
      <c r="C6" s="92"/>
      <c r="D6" s="92"/>
      <c r="E6" s="92"/>
      <c r="F6" s="91"/>
      <c r="G6" s="91"/>
    </row>
    <row r="7" spans="1:7" x14ac:dyDescent="0.2">
      <c r="A7" s="95"/>
      <c r="B7" s="96" t="s">
        <v>4</v>
      </c>
      <c r="C7" s="96"/>
      <c r="D7" s="96"/>
      <c r="E7" s="96"/>
      <c r="F7" s="95"/>
      <c r="G7" s="95"/>
    </row>
    <row r="8" spans="1:7" ht="6" customHeight="1" x14ac:dyDescent="0.2">
      <c r="A8" s="95"/>
      <c r="B8" s="96"/>
      <c r="C8" s="96"/>
      <c r="D8" s="96"/>
      <c r="E8" s="96"/>
      <c r="F8" s="95"/>
      <c r="G8" s="95"/>
    </row>
    <row r="9" spans="1:7" x14ac:dyDescent="0.2">
      <c r="A9" s="95"/>
      <c r="B9" s="96" t="s">
        <v>6</v>
      </c>
      <c r="C9" s="325" t="s">
        <v>1</v>
      </c>
      <c r="D9" s="325"/>
      <c r="E9" s="325"/>
      <c r="F9" s="95"/>
      <c r="G9" s="95"/>
    </row>
    <row r="10" spans="1:7" ht="6" customHeight="1" x14ac:dyDescent="0.2">
      <c r="A10" s="95"/>
      <c r="B10" s="96"/>
      <c r="C10" s="96"/>
      <c r="D10" s="96"/>
      <c r="E10" s="96"/>
      <c r="F10" s="95"/>
      <c r="G10" s="95"/>
    </row>
    <row r="11" spans="1:7" ht="26.25" customHeight="1" x14ac:dyDescent="0.2">
      <c r="A11" s="95"/>
      <c r="B11" s="96" t="s">
        <v>7</v>
      </c>
      <c r="C11" s="326" t="s">
        <v>2</v>
      </c>
      <c r="D11" s="325"/>
      <c r="E11" s="325"/>
      <c r="F11" s="95"/>
      <c r="G11" s="95"/>
    </row>
    <row r="12" spans="1:7" x14ac:dyDescent="0.2">
      <c r="A12" s="95"/>
      <c r="B12" s="96"/>
      <c r="C12" s="96"/>
      <c r="D12" s="96"/>
      <c r="E12" s="96"/>
      <c r="F12" s="95"/>
      <c r="G12" s="95"/>
    </row>
    <row r="13" spans="1:7" x14ac:dyDescent="0.2">
      <c r="A13" s="97"/>
      <c r="B13" s="98" t="s">
        <v>5</v>
      </c>
      <c r="C13" s="98"/>
      <c r="D13" s="98"/>
      <c r="E13" s="98"/>
      <c r="F13" s="97"/>
      <c r="G13" s="97"/>
    </row>
    <row r="14" spans="1:7" ht="6" customHeight="1" x14ac:dyDescent="0.2">
      <c r="A14" s="97"/>
      <c r="B14" s="98"/>
      <c r="C14" s="98"/>
      <c r="D14" s="98"/>
      <c r="E14" s="98"/>
      <c r="F14" s="97"/>
      <c r="G14" s="97"/>
    </row>
    <row r="15" spans="1:7" x14ac:dyDescent="0.2">
      <c r="A15" s="97"/>
      <c r="B15" s="98" t="s">
        <v>6</v>
      </c>
      <c r="C15" s="325" t="s">
        <v>132</v>
      </c>
      <c r="D15" s="325"/>
      <c r="E15" s="325"/>
      <c r="F15" s="97"/>
      <c r="G15" s="97"/>
    </row>
    <row r="16" spans="1:7" x14ac:dyDescent="0.2">
      <c r="A16" s="97"/>
      <c r="B16" s="98"/>
      <c r="C16" s="98"/>
      <c r="D16" s="98"/>
      <c r="E16" s="98"/>
      <c r="F16" s="97"/>
      <c r="G16" s="97"/>
    </row>
    <row r="17" spans="1:7" x14ac:dyDescent="0.2">
      <c r="A17" s="159"/>
      <c r="B17" s="161" t="s">
        <v>161</v>
      </c>
      <c r="C17" s="160"/>
      <c r="D17" s="160"/>
      <c r="E17" s="160"/>
      <c r="F17" s="159"/>
      <c r="G17" s="159"/>
    </row>
    <row r="18" spans="1:7" ht="6" customHeight="1" x14ac:dyDescent="0.2">
      <c r="A18" s="159"/>
      <c r="B18" s="160"/>
      <c r="C18" s="160"/>
      <c r="D18" s="160"/>
      <c r="E18" s="160"/>
      <c r="F18" s="159"/>
      <c r="G18" s="159"/>
    </row>
    <row r="19" spans="1:7" x14ac:dyDescent="0.2">
      <c r="A19" s="159"/>
      <c r="B19" s="162" t="s">
        <v>162</v>
      </c>
      <c r="C19" s="328" t="s">
        <v>163</v>
      </c>
      <c r="D19" s="329"/>
      <c r="E19" s="329"/>
      <c r="F19" s="159"/>
      <c r="G19" s="159"/>
    </row>
    <row r="20" spans="1:7" x14ac:dyDescent="0.2">
      <c r="A20" s="159"/>
      <c r="B20" s="160"/>
      <c r="C20" s="160"/>
      <c r="D20" s="160"/>
      <c r="E20" s="160"/>
      <c r="F20" s="159"/>
      <c r="G20" s="159"/>
    </row>
    <row r="21" spans="1:7" x14ac:dyDescent="0.2">
      <c r="A21" s="93"/>
      <c r="B21" s="94" t="s">
        <v>3</v>
      </c>
      <c r="C21" s="94"/>
      <c r="D21" s="94"/>
      <c r="E21" s="94"/>
      <c r="F21" s="93"/>
      <c r="G21" s="93"/>
    </row>
    <row r="22" spans="1:7" ht="6" customHeight="1" x14ac:dyDescent="0.2">
      <c r="A22" s="93"/>
      <c r="B22" s="94"/>
      <c r="C22" s="94"/>
      <c r="D22" s="94"/>
      <c r="E22" s="94"/>
      <c r="F22" s="93"/>
      <c r="G22" s="93"/>
    </row>
    <row r="23" spans="1:7" x14ac:dyDescent="0.2">
      <c r="A23" s="93"/>
      <c r="B23" s="94" t="s">
        <v>156</v>
      </c>
      <c r="C23" s="109"/>
      <c r="D23" s="94"/>
      <c r="E23" s="94"/>
      <c r="F23" s="93"/>
      <c r="G23" s="93"/>
    </row>
    <row r="24" spans="1:7" ht="6" customHeight="1" x14ac:dyDescent="0.2">
      <c r="A24" s="93"/>
      <c r="B24" s="94"/>
      <c r="C24" s="94"/>
      <c r="D24" s="94"/>
      <c r="E24" s="94"/>
      <c r="F24" s="93"/>
      <c r="G24" s="93"/>
    </row>
    <row r="25" spans="1:7" ht="6" customHeight="1" x14ac:dyDescent="0.2">
      <c r="A25" s="93"/>
      <c r="B25" s="107"/>
      <c r="C25" s="111"/>
      <c r="D25" s="111"/>
      <c r="E25" s="111"/>
      <c r="F25" s="105"/>
      <c r="G25" s="93"/>
    </row>
    <row r="26" spans="1:7" x14ac:dyDescent="0.2">
      <c r="A26" s="93"/>
      <c r="B26" s="101" t="s">
        <v>8</v>
      </c>
      <c r="C26" s="110" t="s">
        <v>82</v>
      </c>
      <c r="D26" s="158" t="s">
        <v>157</v>
      </c>
      <c r="E26" s="110"/>
      <c r="F26" s="100"/>
      <c r="G26" s="93"/>
    </row>
    <row r="27" spans="1:7" ht="6" customHeight="1" x14ac:dyDescent="0.2">
      <c r="A27" s="93"/>
      <c r="B27" s="101"/>
      <c r="C27" s="103"/>
      <c r="D27" s="103"/>
      <c r="E27" s="103"/>
      <c r="F27" s="100"/>
      <c r="G27" s="93"/>
    </row>
    <row r="28" spans="1:7" x14ac:dyDescent="0.2">
      <c r="A28" s="93"/>
      <c r="B28" s="101" t="s">
        <v>6</v>
      </c>
      <c r="C28" s="327" t="s">
        <v>158</v>
      </c>
      <c r="D28" s="327"/>
      <c r="E28" s="327"/>
      <c r="F28" s="100"/>
      <c r="G28" s="93"/>
    </row>
    <row r="29" spans="1:7" ht="6" customHeight="1" x14ac:dyDescent="0.2">
      <c r="A29" s="93"/>
      <c r="B29" s="101"/>
      <c r="C29" s="103"/>
      <c r="D29" s="103"/>
      <c r="E29" s="103"/>
      <c r="F29" s="100"/>
      <c r="G29" s="93"/>
    </row>
    <row r="30" spans="1:7" ht="27" customHeight="1" x14ac:dyDescent="0.2">
      <c r="A30" s="93"/>
      <c r="B30" s="101" t="s">
        <v>7</v>
      </c>
      <c r="C30" s="330" t="s">
        <v>159</v>
      </c>
      <c r="D30" s="327"/>
      <c r="E30" s="327"/>
      <c r="F30" s="100"/>
      <c r="G30" s="93"/>
    </row>
    <row r="31" spans="1:7" ht="6" customHeight="1" x14ac:dyDescent="0.2">
      <c r="A31" s="93"/>
      <c r="B31" s="101"/>
      <c r="C31" s="103"/>
      <c r="D31" s="103"/>
      <c r="E31" s="103"/>
      <c r="F31" s="100"/>
      <c r="G31" s="93"/>
    </row>
    <row r="32" spans="1:7" x14ac:dyDescent="0.2">
      <c r="A32" s="93"/>
      <c r="B32" s="101" t="s">
        <v>105</v>
      </c>
      <c r="C32" s="327" t="s">
        <v>160</v>
      </c>
      <c r="D32" s="327"/>
      <c r="E32" s="327"/>
      <c r="F32" s="100"/>
      <c r="G32" s="93"/>
    </row>
    <row r="33" spans="1:7" ht="6" customHeight="1" x14ac:dyDescent="0.2">
      <c r="A33" s="93"/>
      <c r="B33" s="102"/>
      <c r="C33" s="104"/>
      <c r="D33" s="104"/>
      <c r="E33" s="104"/>
      <c r="F33" s="106"/>
      <c r="G33" s="93"/>
    </row>
    <row r="34" spans="1:7" ht="6" customHeight="1" x14ac:dyDescent="0.2">
      <c r="A34" s="93"/>
      <c r="B34" s="94"/>
      <c r="C34" s="94"/>
      <c r="D34" s="94"/>
      <c r="E34" s="94"/>
      <c r="F34" s="93"/>
      <c r="G34" s="93"/>
    </row>
    <row r="35" spans="1:7" ht="6" customHeight="1" x14ac:dyDescent="0.2">
      <c r="A35" s="93"/>
      <c r="B35" s="107"/>
      <c r="C35" s="111"/>
      <c r="D35" s="111"/>
      <c r="E35" s="111"/>
      <c r="F35" s="105"/>
      <c r="G35" s="93"/>
    </row>
    <row r="36" spans="1:7" x14ac:dyDescent="0.2">
      <c r="A36" s="93"/>
      <c r="B36" s="101" t="s">
        <v>8</v>
      </c>
      <c r="C36" s="110" t="s">
        <v>81</v>
      </c>
      <c r="D36" s="158" t="s">
        <v>157</v>
      </c>
      <c r="E36" s="110"/>
      <c r="F36" s="100"/>
      <c r="G36" s="93"/>
    </row>
    <row r="37" spans="1:7" ht="6" customHeight="1" x14ac:dyDescent="0.2">
      <c r="A37" s="93"/>
      <c r="B37" s="101"/>
      <c r="C37" s="103"/>
      <c r="D37" s="103"/>
      <c r="E37" s="103"/>
      <c r="F37" s="100"/>
      <c r="G37" s="93"/>
    </row>
    <row r="38" spans="1:7" ht="80.25" customHeight="1" x14ac:dyDescent="0.2">
      <c r="A38" s="93"/>
      <c r="B38" s="101" t="s">
        <v>6</v>
      </c>
      <c r="C38" s="327" t="s">
        <v>158</v>
      </c>
      <c r="D38" s="327"/>
      <c r="E38" s="327"/>
      <c r="F38" s="100"/>
      <c r="G38" s="93"/>
    </row>
    <row r="39" spans="1:7" ht="6" customHeight="1" x14ac:dyDescent="0.2">
      <c r="A39" s="93"/>
      <c r="B39" s="101"/>
      <c r="C39" s="103"/>
      <c r="D39" s="103"/>
      <c r="E39" s="103"/>
      <c r="F39" s="100"/>
      <c r="G39" s="93"/>
    </row>
    <row r="40" spans="1:7" ht="33.75" customHeight="1" x14ac:dyDescent="0.2">
      <c r="A40" s="93"/>
      <c r="B40" s="101" t="s">
        <v>7</v>
      </c>
      <c r="C40" s="330" t="s">
        <v>159</v>
      </c>
      <c r="D40" s="327"/>
      <c r="E40" s="327"/>
      <c r="F40" s="100"/>
      <c r="G40" s="93"/>
    </row>
    <row r="41" spans="1:7" ht="6" customHeight="1" x14ac:dyDescent="0.2">
      <c r="A41" s="93"/>
      <c r="B41" s="101"/>
      <c r="C41" s="103"/>
      <c r="D41" s="103"/>
      <c r="E41" s="103"/>
      <c r="F41" s="100"/>
      <c r="G41" s="93"/>
    </row>
    <row r="42" spans="1:7" ht="81" customHeight="1" x14ac:dyDescent="0.2">
      <c r="A42" s="93"/>
      <c r="B42" s="101" t="s">
        <v>105</v>
      </c>
      <c r="C42" s="330" t="s">
        <v>106</v>
      </c>
      <c r="D42" s="327"/>
      <c r="E42" s="327"/>
      <c r="F42" s="100"/>
      <c r="G42" s="93"/>
    </row>
    <row r="43" spans="1:7" ht="6" customHeight="1" x14ac:dyDescent="0.2">
      <c r="A43" s="93"/>
      <c r="B43" s="102"/>
      <c r="C43" s="104"/>
      <c r="D43" s="104"/>
      <c r="E43" s="104"/>
      <c r="F43" s="106"/>
      <c r="G43" s="93"/>
    </row>
    <row r="44" spans="1:7" ht="6" customHeight="1" x14ac:dyDescent="0.2">
      <c r="A44" s="93"/>
      <c r="B44" s="94"/>
      <c r="C44" s="94"/>
      <c r="D44" s="94"/>
      <c r="E44" s="94"/>
      <c r="F44" s="93"/>
      <c r="G44" s="93"/>
    </row>
    <row r="45" spans="1:7" ht="6" customHeight="1" x14ac:dyDescent="0.2">
      <c r="A45" s="93"/>
      <c r="B45" s="107"/>
      <c r="C45" s="111"/>
      <c r="D45" s="111"/>
      <c r="E45" s="111"/>
      <c r="F45" s="105"/>
      <c r="G45" s="93"/>
    </row>
    <row r="46" spans="1:7" x14ac:dyDescent="0.2">
      <c r="A46" s="93"/>
      <c r="B46" s="101" t="s">
        <v>8</v>
      </c>
      <c r="C46" s="110" t="s">
        <v>0</v>
      </c>
      <c r="D46" s="158" t="s">
        <v>157</v>
      </c>
      <c r="E46" s="110"/>
      <c r="F46" s="100"/>
      <c r="G46" s="93"/>
    </row>
    <row r="47" spans="1:7" ht="6" customHeight="1" x14ac:dyDescent="0.2">
      <c r="A47" s="93"/>
      <c r="B47" s="101"/>
      <c r="C47" s="103"/>
      <c r="D47" s="103"/>
      <c r="E47" s="103"/>
      <c r="F47" s="100"/>
      <c r="G47" s="93"/>
    </row>
    <row r="48" spans="1:7" ht="80.25" customHeight="1" x14ac:dyDescent="0.2">
      <c r="A48" s="93"/>
      <c r="B48" s="101" t="s">
        <v>6</v>
      </c>
      <c r="C48" s="327" t="s">
        <v>158</v>
      </c>
      <c r="D48" s="327"/>
      <c r="E48" s="327"/>
      <c r="F48" s="100"/>
      <c r="G48" s="93"/>
    </row>
    <row r="49" spans="1:7" ht="6" customHeight="1" x14ac:dyDescent="0.2">
      <c r="A49" s="93"/>
      <c r="B49" s="101"/>
      <c r="C49" s="103"/>
      <c r="D49" s="103"/>
      <c r="E49" s="103"/>
      <c r="F49" s="100"/>
      <c r="G49" s="93"/>
    </row>
    <row r="50" spans="1:7" x14ac:dyDescent="0.2">
      <c r="A50" s="93"/>
      <c r="B50" s="101" t="s">
        <v>7</v>
      </c>
      <c r="C50" s="330" t="s">
        <v>159</v>
      </c>
      <c r="D50" s="327"/>
      <c r="E50" s="327"/>
      <c r="F50" s="100"/>
      <c r="G50" s="93"/>
    </row>
    <row r="51" spans="1:7" ht="6" customHeight="1" x14ac:dyDescent="0.2">
      <c r="A51" s="93"/>
      <c r="B51" s="101"/>
      <c r="C51" s="103"/>
      <c r="D51" s="103"/>
      <c r="E51" s="103"/>
      <c r="F51" s="100"/>
      <c r="G51" s="93"/>
    </row>
    <row r="52" spans="1:7" ht="78" customHeight="1" x14ac:dyDescent="0.2">
      <c r="A52" s="93"/>
      <c r="B52" s="101" t="s">
        <v>105</v>
      </c>
      <c r="C52" s="330" t="s">
        <v>107</v>
      </c>
      <c r="D52" s="327"/>
      <c r="E52" s="327"/>
      <c r="F52" s="100"/>
      <c r="G52" s="93"/>
    </row>
    <row r="53" spans="1:7" ht="6" customHeight="1" x14ac:dyDescent="0.2">
      <c r="A53" s="93"/>
      <c r="B53" s="102"/>
      <c r="C53" s="104"/>
      <c r="D53" s="104"/>
      <c r="E53" s="104"/>
      <c r="F53" s="106"/>
      <c r="G53" s="93"/>
    </row>
    <row r="54" spans="1:7" ht="6" customHeight="1" x14ac:dyDescent="0.2">
      <c r="A54" s="93"/>
      <c r="B54" s="94"/>
      <c r="C54" s="94"/>
      <c r="D54" s="94"/>
      <c r="E54" s="94"/>
      <c r="F54" s="93"/>
      <c r="G54" s="93"/>
    </row>
  </sheetData>
  <mergeCells count="15">
    <mergeCell ref="C28:E28"/>
    <mergeCell ref="C19:E19"/>
    <mergeCell ref="C50:E50"/>
    <mergeCell ref="C52:E52"/>
    <mergeCell ref="C30:E30"/>
    <mergeCell ref="C32:E32"/>
    <mergeCell ref="C38:E38"/>
    <mergeCell ref="C40:E40"/>
    <mergeCell ref="C42:E42"/>
    <mergeCell ref="C48:E48"/>
    <mergeCell ref="C3:E3"/>
    <mergeCell ref="C5:E5"/>
    <mergeCell ref="C9:E9"/>
    <mergeCell ref="C11:E11"/>
    <mergeCell ref="C15:E15"/>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D20" sqref="D20"/>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0" t="s">
        <v>123</v>
      </c>
      <c r="C1" s="70" t="s">
        <v>122</v>
      </c>
      <c r="D1" s="70" t="s">
        <v>124</v>
      </c>
    </row>
    <row r="2" spans="2:4" ht="15.75" x14ac:dyDescent="0.2">
      <c r="B2" s="71" t="s">
        <v>120</v>
      </c>
      <c r="C2" s="71" t="s">
        <v>125</v>
      </c>
      <c r="D2" s="72" t="s">
        <v>78</v>
      </c>
    </row>
    <row r="3" spans="2:4" ht="15.75" x14ac:dyDescent="0.2">
      <c r="B3" s="71"/>
      <c r="C3" s="71"/>
      <c r="D3" s="72"/>
    </row>
    <row r="4" spans="2:4" ht="47.25" x14ac:dyDescent="0.2">
      <c r="B4" s="71"/>
      <c r="C4" s="71" t="s">
        <v>127</v>
      </c>
      <c r="D4" s="72" t="s">
        <v>128</v>
      </c>
    </row>
    <row r="5" spans="2:4" ht="31.5" x14ac:dyDescent="0.2">
      <c r="B5" s="71"/>
      <c r="C5" s="71" t="s">
        <v>126</v>
      </c>
      <c r="D5" s="72" t="s">
        <v>121</v>
      </c>
    </row>
    <row r="6" spans="2:4" ht="31.5" x14ac:dyDescent="0.2">
      <c r="B6" s="71"/>
      <c r="C6" s="71" t="s">
        <v>129</v>
      </c>
      <c r="D6" s="72"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205"/>
  <sheetViews>
    <sheetView workbookViewId="0"/>
  </sheetViews>
  <sheetFormatPr defaultRowHeight="12.75" x14ac:dyDescent="0.2"/>
  <cols>
    <col min="1" max="1" width="51.140625" bestFit="1" customWidth="1"/>
    <col min="2" max="2" width="51.140625" customWidth="1"/>
  </cols>
  <sheetData>
    <row r="1" spans="1:1" x14ac:dyDescent="0.2">
      <c r="A1" t="s">
        <v>167</v>
      </c>
    </row>
    <row r="2" spans="1:1" x14ac:dyDescent="0.2">
      <c r="A2" t="s">
        <v>224</v>
      </c>
    </row>
    <row r="3" spans="1:1" x14ac:dyDescent="0.2">
      <c r="A3" t="s">
        <v>225</v>
      </c>
    </row>
    <row r="4" spans="1:1" x14ac:dyDescent="0.2">
      <c r="A4" t="s">
        <v>226</v>
      </c>
    </row>
    <row r="5" spans="1:1" x14ac:dyDescent="0.2">
      <c r="A5" t="s">
        <v>227</v>
      </c>
    </row>
    <row r="6" spans="1:1" x14ac:dyDescent="0.2">
      <c r="A6" t="s">
        <v>228</v>
      </c>
    </row>
    <row r="7" spans="1:1" x14ac:dyDescent="0.2">
      <c r="A7" t="s">
        <v>538</v>
      </c>
    </row>
    <row r="8" spans="1:1" x14ac:dyDescent="0.2">
      <c r="A8" t="s">
        <v>229</v>
      </c>
    </row>
    <row r="9" spans="1:1" x14ac:dyDescent="0.2">
      <c r="A9" t="s">
        <v>422</v>
      </c>
    </row>
    <row r="10" spans="1:1" x14ac:dyDescent="0.2">
      <c r="A10" t="s">
        <v>230</v>
      </c>
    </row>
    <row r="11" spans="1:1" x14ac:dyDescent="0.2">
      <c r="A11" t="s">
        <v>231</v>
      </c>
    </row>
    <row r="12" spans="1:1" x14ac:dyDescent="0.2">
      <c r="A12" t="s">
        <v>232</v>
      </c>
    </row>
    <row r="13" spans="1:1" x14ac:dyDescent="0.2">
      <c r="A13" t="s">
        <v>233</v>
      </c>
    </row>
    <row r="14" spans="1:1" x14ac:dyDescent="0.2">
      <c r="A14" t="s">
        <v>400</v>
      </c>
    </row>
    <row r="15" spans="1:1" x14ac:dyDescent="0.2">
      <c r="A15" t="s">
        <v>234</v>
      </c>
    </row>
    <row r="16" spans="1:1" x14ac:dyDescent="0.2">
      <c r="A16" t="s">
        <v>401</v>
      </c>
    </row>
    <row r="17" spans="1:1" x14ac:dyDescent="0.2">
      <c r="A17" t="s">
        <v>235</v>
      </c>
    </row>
    <row r="18" spans="1:1" x14ac:dyDescent="0.2">
      <c r="A18" t="s">
        <v>402</v>
      </c>
    </row>
    <row r="19" spans="1:1" x14ac:dyDescent="0.2">
      <c r="A19" t="s">
        <v>236</v>
      </c>
    </row>
    <row r="20" spans="1:1" x14ac:dyDescent="0.2">
      <c r="A20" t="s">
        <v>366</v>
      </c>
    </row>
    <row r="21" spans="1:1" x14ac:dyDescent="0.2">
      <c r="A21" t="s">
        <v>237</v>
      </c>
    </row>
    <row r="22" spans="1:1" x14ac:dyDescent="0.2">
      <c r="A22" t="s">
        <v>367</v>
      </c>
    </row>
    <row r="23" spans="1:1" x14ac:dyDescent="0.2">
      <c r="A23" t="s">
        <v>238</v>
      </c>
    </row>
    <row r="24" spans="1:1" x14ac:dyDescent="0.2">
      <c r="A24" t="s">
        <v>324</v>
      </c>
    </row>
    <row r="25" spans="1:1" x14ac:dyDescent="0.2">
      <c r="A25" t="s">
        <v>330</v>
      </c>
    </row>
    <row r="26" spans="1:1" x14ac:dyDescent="0.2">
      <c r="A26" t="s">
        <v>345</v>
      </c>
    </row>
    <row r="27" spans="1:1" x14ac:dyDescent="0.2">
      <c r="A27" t="s">
        <v>328</v>
      </c>
    </row>
    <row r="28" spans="1:1" x14ac:dyDescent="0.2">
      <c r="A28" t="s">
        <v>368</v>
      </c>
    </row>
    <row r="29" spans="1:1" x14ac:dyDescent="0.2">
      <c r="A29" t="s">
        <v>369</v>
      </c>
    </row>
    <row r="30" spans="1:1" x14ac:dyDescent="0.2">
      <c r="A30" t="s">
        <v>397</v>
      </c>
    </row>
    <row r="31" spans="1:1" x14ac:dyDescent="0.2">
      <c r="A31" t="s">
        <v>539</v>
      </c>
    </row>
    <row r="32" spans="1:1" x14ac:dyDescent="0.2">
      <c r="A32" t="s">
        <v>417</v>
      </c>
    </row>
    <row r="33" spans="1:1" x14ac:dyDescent="0.2">
      <c r="A33" t="s">
        <v>403</v>
      </c>
    </row>
    <row r="34" spans="1:1" x14ac:dyDescent="0.2">
      <c r="A34" t="s">
        <v>437</v>
      </c>
    </row>
    <row r="35" spans="1:1" x14ac:dyDescent="0.2">
      <c r="A35" t="s">
        <v>438</v>
      </c>
    </row>
    <row r="36" spans="1:1" x14ac:dyDescent="0.2">
      <c r="A36" t="s">
        <v>540</v>
      </c>
    </row>
    <row r="37" spans="1:1" x14ac:dyDescent="0.2">
      <c r="A37" t="s">
        <v>541</v>
      </c>
    </row>
    <row r="38" spans="1:1" x14ac:dyDescent="0.2">
      <c r="A38" t="s">
        <v>459</v>
      </c>
    </row>
    <row r="39" spans="1:1" x14ac:dyDescent="0.2">
      <c r="A39" t="s">
        <v>465</v>
      </c>
    </row>
    <row r="40" spans="1:1" x14ac:dyDescent="0.2">
      <c r="A40" t="s">
        <v>464</v>
      </c>
    </row>
    <row r="41" spans="1:1" x14ac:dyDescent="0.2">
      <c r="A41" t="s">
        <v>542</v>
      </c>
    </row>
    <row r="42" spans="1:1" x14ac:dyDescent="0.2">
      <c r="A42" t="s">
        <v>543</v>
      </c>
    </row>
    <row r="43" spans="1:1" x14ac:dyDescent="0.2">
      <c r="A43" t="s">
        <v>544</v>
      </c>
    </row>
    <row r="44" spans="1:1" x14ac:dyDescent="0.2">
      <c r="A44" t="s">
        <v>545</v>
      </c>
    </row>
    <row r="45" spans="1:1" x14ac:dyDescent="0.2">
      <c r="A45" t="s">
        <v>756</v>
      </c>
    </row>
    <row r="46" spans="1:1" x14ac:dyDescent="0.2">
      <c r="A46" t="s">
        <v>757</v>
      </c>
    </row>
    <row r="47" spans="1:1" x14ac:dyDescent="0.2">
      <c r="A47" t="s">
        <v>758</v>
      </c>
    </row>
    <row r="48" spans="1:1" x14ac:dyDescent="0.2">
      <c r="A48" t="s">
        <v>759</v>
      </c>
    </row>
    <row r="49" spans="1:1" x14ac:dyDescent="0.2">
      <c r="A49" t="s">
        <v>760</v>
      </c>
    </row>
    <row r="50" spans="1:1" x14ac:dyDescent="0.2">
      <c r="A50" t="s">
        <v>320</v>
      </c>
    </row>
    <row r="51" spans="1:1" x14ac:dyDescent="0.2">
      <c r="A51" t="s">
        <v>411</v>
      </c>
    </row>
    <row r="52" spans="1:1" x14ac:dyDescent="0.2">
      <c r="A52" t="s">
        <v>398</v>
      </c>
    </row>
    <row r="53" spans="1:1" x14ac:dyDescent="0.2">
      <c r="A53" t="s">
        <v>323</v>
      </c>
    </row>
    <row r="54" spans="1:1" x14ac:dyDescent="0.2">
      <c r="A54" t="s">
        <v>325</v>
      </c>
    </row>
    <row r="55" spans="1:1" x14ac:dyDescent="0.2">
      <c r="A55" t="s">
        <v>371</v>
      </c>
    </row>
    <row r="56" spans="1:1" x14ac:dyDescent="0.2">
      <c r="A56" t="s">
        <v>416</v>
      </c>
    </row>
    <row r="57" spans="1:1" x14ac:dyDescent="0.2">
      <c r="A57" t="s">
        <v>419</v>
      </c>
    </row>
    <row r="58" spans="1:1" x14ac:dyDescent="0.2">
      <c r="A58" t="s">
        <v>412</v>
      </c>
    </row>
    <row r="59" spans="1:1" x14ac:dyDescent="0.2">
      <c r="A59" t="s">
        <v>370</v>
      </c>
    </row>
    <row r="60" spans="1:1" x14ac:dyDescent="0.2">
      <c r="A60" t="s">
        <v>239</v>
      </c>
    </row>
    <row r="61" spans="1:1" x14ac:dyDescent="0.2">
      <c r="A61" t="s">
        <v>303</v>
      </c>
    </row>
    <row r="62" spans="1:1" x14ac:dyDescent="0.2">
      <c r="A62" t="s">
        <v>761</v>
      </c>
    </row>
    <row r="63" spans="1:1" x14ac:dyDescent="0.2">
      <c r="A63" t="s">
        <v>304</v>
      </c>
    </row>
    <row r="64" spans="1:1" x14ac:dyDescent="0.2">
      <c r="A64" t="s">
        <v>315</v>
      </c>
    </row>
    <row r="65" spans="1:1" x14ac:dyDescent="0.2">
      <c r="A65" t="s">
        <v>413</v>
      </c>
    </row>
    <row r="66" spans="1:1" x14ac:dyDescent="0.2">
      <c r="A66" t="s">
        <v>420</v>
      </c>
    </row>
    <row r="67" spans="1:1" x14ac:dyDescent="0.2">
      <c r="A67" t="s">
        <v>316</v>
      </c>
    </row>
    <row r="68" spans="1:1" x14ac:dyDescent="0.2">
      <c r="A68" t="s">
        <v>308</v>
      </c>
    </row>
    <row r="69" spans="1:1" x14ac:dyDescent="0.2">
      <c r="A69" t="s">
        <v>309</v>
      </c>
    </row>
    <row r="70" spans="1:1" x14ac:dyDescent="0.2">
      <c r="A70" t="s">
        <v>317</v>
      </c>
    </row>
    <row r="71" spans="1:1" x14ac:dyDescent="0.2">
      <c r="A71" t="s">
        <v>374</v>
      </c>
    </row>
    <row r="72" spans="1:1" x14ac:dyDescent="0.2">
      <c r="A72" t="s">
        <v>310</v>
      </c>
    </row>
    <row r="73" spans="1:1" x14ac:dyDescent="0.2">
      <c r="A73" t="s">
        <v>321</v>
      </c>
    </row>
    <row r="74" spans="1:1" x14ac:dyDescent="0.2">
      <c r="A74" t="s">
        <v>373</v>
      </c>
    </row>
    <row r="75" spans="1:1" x14ac:dyDescent="0.2">
      <c r="A75" t="s">
        <v>342</v>
      </c>
    </row>
    <row r="76" spans="1:1" x14ac:dyDescent="0.2">
      <c r="A76" t="s">
        <v>343</v>
      </c>
    </row>
    <row r="77" spans="1:1" x14ac:dyDescent="0.2">
      <c r="A77" t="s">
        <v>394</v>
      </c>
    </row>
    <row r="78" spans="1:1" x14ac:dyDescent="0.2">
      <c r="A78" t="s">
        <v>329</v>
      </c>
    </row>
    <row r="79" spans="1:1" x14ac:dyDescent="0.2">
      <c r="A79" t="s">
        <v>393</v>
      </c>
    </row>
    <row r="80" spans="1:1" x14ac:dyDescent="0.2">
      <c r="A80" t="s">
        <v>318</v>
      </c>
    </row>
    <row r="81" spans="1:1" x14ac:dyDescent="0.2">
      <c r="A81" t="s">
        <v>372</v>
      </c>
    </row>
    <row r="82" spans="1:1" x14ac:dyDescent="0.2">
      <c r="A82" t="s">
        <v>395</v>
      </c>
    </row>
    <row r="83" spans="1:1" x14ac:dyDescent="0.2">
      <c r="A83" t="s">
        <v>396</v>
      </c>
    </row>
    <row r="84" spans="1:1" x14ac:dyDescent="0.2">
      <c r="A84" t="s">
        <v>322</v>
      </c>
    </row>
    <row r="85" spans="1:1" x14ac:dyDescent="0.2">
      <c r="A85" t="s">
        <v>418</v>
      </c>
    </row>
    <row r="86" spans="1:1" x14ac:dyDescent="0.2">
      <c r="A86" t="s">
        <v>439</v>
      </c>
    </row>
    <row r="87" spans="1:1" x14ac:dyDescent="0.2">
      <c r="A87" t="s">
        <v>414</v>
      </c>
    </row>
    <row r="88" spans="1:1" x14ac:dyDescent="0.2">
      <c r="A88" t="s">
        <v>546</v>
      </c>
    </row>
    <row r="89" spans="1:1" x14ac:dyDescent="0.2">
      <c r="A89" t="s">
        <v>168</v>
      </c>
    </row>
    <row r="90" spans="1:1" x14ac:dyDescent="0.2">
      <c r="A90" t="s">
        <v>169</v>
      </c>
    </row>
    <row r="91" spans="1:1" x14ac:dyDescent="0.2">
      <c r="A91" t="s">
        <v>547</v>
      </c>
    </row>
    <row r="92" spans="1:1" x14ac:dyDescent="0.2">
      <c r="A92" t="s">
        <v>170</v>
      </c>
    </row>
    <row r="93" spans="1:1" x14ac:dyDescent="0.2">
      <c r="A93" t="s">
        <v>171</v>
      </c>
    </row>
    <row r="94" spans="1:1" x14ac:dyDescent="0.2">
      <c r="A94" t="s">
        <v>172</v>
      </c>
    </row>
    <row r="95" spans="1:1" x14ac:dyDescent="0.2">
      <c r="A95" t="s">
        <v>240</v>
      </c>
    </row>
    <row r="96" spans="1:1" x14ac:dyDescent="0.2">
      <c r="A96" t="s">
        <v>173</v>
      </c>
    </row>
    <row r="97" spans="1:1" x14ac:dyDescent="0.2">
      <c r="A97" t="s">
        <v>174</v>
      </c>
    </row>
    <row r="98" spans="1:1" x14ac:dyDescent="0.2">
      <c r="A98" t="s">
        <v>175</v>
      </c>
    </row>
    <row r="99" spans="1:1" x14ac:dyDescent="0.2">
      <c r="A99" t="s">
        <v>241</v>
      </c>
    </row>
    <row r="100" spans="1:1" x14ac:dyDescent="0.2">
      <c r="A100" t="s">
        <v>176</v>
      </c>
    </row>
    <row r="101" spans="1:1" x14ac:dyDescent="0.2">
      <c r="A101" t="s">
        <v>177</v>
      </c>
    </row>
    <row r="102" spans="1:1" x14ac:dyDescent="0.2">
      <c r="A102" t="s">
        <v>178</v>
      </c>
    </row>
    <row r="103" spans="1:1" x14ac:dyDescent="0.2">
      <c r="A103" t="s">
        <v>404</v>
      </c>
    </row>
    <row r="104" spans="1:1" x14ac:dyDescent="0.2">
      <c r="A104" t="s">
        <v>242</v>
      </c>
    </row>
    <row r="105" spans="1:1" x14ac:dyDescent="0.2">
      <c r="A105" t="s">
        <v>405</v>
      </c>
    </row>
    <row r="106" spans="1:1" x14ac:dyDescent="0.2">
      <c r="A106" t="s">
        <v>179</v>
      </c>
    </row>
    <row r="107" spans="1:1" x14ac:dyDescent="0.2">
      <c r="A107" t="s">
        <v>180</v>
      </c>
    </row>
    <row r="108" spans="1:1" x14ac:dyDescent="0.2">
      <c r="A108" t="s">
        <v>181</v>
      </c>
    </row>
    <row r="109" spans="1:1" x14ac:dyDescent="0.2">
      <c r="A109" t="s">
        <v>243</v>
      </c>
    </row>
    <row r="110" spans="1:1" x14ac:dyDescent="0.2">
      <c r="A110" t="s">
        <v>244</v>
      </c>
    </row>
    <row r="111" spans="1:1" x14ac:dyDescent="0.2">
      <c r="A111" t="s">
        <v>182</v>
      </c>
    </row>
    <row r="112" spans="1:1" x14ac:dyDescent="0.2">
      <c r="A112" t="s">
        <v>183</v>
      </c>
    </row>
    <row r="113" spans="1:1" x14ac:dyDescent="0.2">
      <c r="A113" t="s">
        <v>245</v>
      </c>
    </row>
    <row r="114" spans="1:1" x14ac:dyDescent="0.2">
      <c r="A114" t="s">
        <v>184</v>
      </c>
    </row>
    <row r="115" spans="1:1" x14ac:dyDescent="0.2">
      <c r="A115" t="s">
        <v>185</v>
      </c>
    </row>
    <row r="116" spans="1:1" x14ac:dyDescent="0.2">
      <c r="A116" t="s">
        <v>186</v>
      </c>
    </row>
    <row r="117" spans="1:1" x14ac:dyDescent="0.2">
      <c r="A117" t="s">
        <v>246</v>
      </c>
    </row>
    <row r="118" spans="1:1" x14ac:dyDescent="0.2">
      <c r="A118" t="s">
        <v>187</v>
      </c>
    </row>
    <row r="119" spans="1:1" x14ac:dyDescent="0.2">
      <c r="A119" t="s">
        <v>188</v>
      </c>
    </row>
    <row r="120" spans="1:1" x14ac:dyDescent="0.2">
      <c r="A120" t="s">
        <v>305</v>
      </c>
    </row>
    <row r="121" spans="1:1" x14ac:dyDescent="0.2">
      <c r="A121" t="s">
        <v>247</v>
      </c>
    </row>
    <row r="122" spans="1:1" x14ac:dyDescent="0.2">
      <c r="A122" t="s">
        <v>189</v>
      </c>
    </row>
    <row r="123" spans="1:1" x14ac:dyDescent="0.2">
      <c r="A123" t="s">
        <v>190</v>
      </c>
    </row>
    <row r="124" spans="1:1" x14ac:dyDescent="0.2">
      <c r="A124" t="s">
        <v>191</v>
      </c>
    </row>
    <row r="125" spans="1:1" x14ac:dyDescent="0.2">
      <c r="A125" t="s">
        <v>192</v>
      </c>
    </row>
    <row r="126" spans="1:1" x14ac:dyDescent="0.2">
      <c r="A126" t="s">
        <v>248</v>
      </c>
    </row>
    <row r="127" spans="1:1" x14ac:dyDescent="0.2">
      <c r="A127" t="s">
        <v>249</v>
      </c>
    </row>
    <row r="128" spans="1:1" x14ac:dyDescent="0.2">
      <c r="A128" t="s">
        <v>193</v>
      </c>
    </row>
    <row r="129" spans="1:1" x14ac:dyDescent="0.2">
      <c r="A129" t="s">
        <v>250</v>
      </c>
    </row>
    <row r="130" spans="1:1" x14ac:dyDescent="0.2">
      <c r="A130" t="s">
        <v>251</v>
      </c>
    </row>
    <row r="131" spans="1:1" x14ac:dyDescent="0.2">
      <c r="A131" t="s">
        <v>252</v>
      </c>
    </row>
    <row r="132" spans="1:1" x14ac:dyDescent="0.2">
      <c r="A132" t="s">
        <v>253</v>
      </c>
    </row>
    <row r="133" spans="1:1" x14ac:dyDescent="0.2">
      <c r="A133" t="s">
        <v>254</v>
      </c>
    </row>
    <row r="134" spans="1:1" x14ac:dyDescent="0.2">
      <c r="A134" t="s">
        <v>194</v>
      </c>
    </row>
    <row r="135" spans="1:1" x14ac:dyDescent="0.2">
      <c r="A135" t="s">
        <v>195</v>
      </c>
    </row>
    <row r="136" spans="1:1" x14ac:dyDescent="0.2">
      <c r="A136" t="s">
        <v>196</v>
      </c>
    </row>
    <row r="137" spans="1:1" x14ac:dyDescent="0.2">
      <c r="A137" t="s">
        <v>197</v>
      </c>
    </row>
    <row r="138" spans="1:1" x14ac:dyDescent="0.2">
      <c r="A138" t="s">
        <v>326</v>
      </c>
    </row>
    <row r="139" spans="1:1" x14ac:dyDescent="0.2">
      <c r="A139" t="s">
        <v>198</v>
      </c>
    </row>
    <row r="140" spans="1:1" x14ac:dyDescent="0.2">
      <c r="A140" t="s">
        <v>199</v>
      </c>
    </row>
    <row r="141" spans="1:1" x14ac:dyDescent="0.2">
      <c r="A141" t="s">
        <v>200</v>
      </c>
    </row>
    <row r="142" spans="1:1" x14ac:dyDescent="0.2">
      <c r="A142" t="s">
        <v>201</v>
      </c>
    </row>
    <row r="143" spans="1:1" x14ac:dyDescent="0.2">
      <c r="A143" t="s">
        <v>202</v>
      </c>
    </row>
    <row r="144" spans="1:1" x14ac:dyDescent="0.2">
      <c r="A144" t="s">
        <v>203</v>
      </c>
    </row>
    <row r="145" spans="1:1" x14ac:dyDescent="0.2">
      <c r="A145" t="s">
        <v>204</v>
      </c>
    </row>
    <row r="146" spans="1:1" x14ac:dyDescent="0.2">
      <c r="A146" t="s">
        <v>255</v>
      </c>
    </row>
    <row r="147" spans="1:1" x14ac:dyDescent="0.2">
      <c r="A147" t="s">
        <v>256</v>
      </c>
    </row>
    <row r="148" spans="1:1" x14ac:dyDescent="0.2">
      <c r="A148" t="s">
        <v>205</v>
      </c>
    </row>
    <row r="149" spans="1:1" x14ac:dyDescent="0.2">
      <c r="A149" t="s">
        <v>206</v>
      </c>
    </row>
    <row r="150" spans="1:1" x14ac:dyDescent="0.2">
      <c r="A150" t="s">
        <v>207</v>
      </c>
    </row>
    <row r="151" spans="1:1" x14ac:dyDescent="0.2">
      <c r="A151" t="s">
        <v>208</v>
      </c>
    </row>
    <row r="152" spans="1:1" x14ac:dyDescent="0.2">
      <c r="A152" t="s">
        <v>209</v>
      </c>
    </row>
    <row r="153" spans="1:1" x14ac:dyDescent="0.2">
      <c r="A153" t="s">
        <v>210</v>
      </c>
    </row>
    <row r="154" spans="1:1" x14ac:dyDescent="0.2">
      <c r="A154" t="s">
        <v>211</v>
      </c>
    </row>
    <row r="155" spans="1:1" x14ac:dyDescent="0.2">
      <c r="A155" t="s">
        <v>212</v>
      </c>
    </row>
    <row r="156" spans="1:1" x14ac:dyDescent="0.2">
      <c r="A156" t="s">
        <v>213</v>
      </c>
    </row>
    <row r="157" spans="1:1" x14ac:dyDescent="0.2">
      <c r="A157" t="s">
        <v>214</v>
      </c>
    </row>
    <row r="158" spans="1:1" x14ac:dyDescent="0.2">
      <c r="A158" t="s">
        <v>548</v>
      </c>
    </row>
    <row r="159" spans="1:1" x14ac:dyDescent="0.2">
      <c r="A159" t="s">
        <v>215</v>
      </c>
    </row>
    <row r="160" spans="1:1" x14ac:dyDescent="0.2">
      <c r="A160" t="s">
        <v>423</v>
      </c>
    </row>
    <row r="161" spans="1:1" x14ac:dyDescent="0.2">
      <c r="A161" t="s">
        <v>216</v>
      </c>
    </row>
    <row r="162" spans="1:1" x14ac:dyDescent="0.2">
      <c r="A162" t="s">
        <v>217</v>
      </c>
    </row>
    <row r="163" spans="1:1" x14ac:dyDescent="0.2">
      <c r="A163" t="s">
        <v>257</v>
      </c>
    </row>
    <row r="164" spans="1:1" x14ac:dyDescent="0.2">
      <c r="A164" t="s">
        <v>218</v>
      </c>
    </row>
    <row r="165" spans="1:1" x14ac:dyDescent="0.2">
      <c r="A165" t="s">
        <v>219</v>
      </c>
    </row>
    <row r="166" spans="1:1" x14ac:dyDescent="0.2">
      <c r="A166" t="s">
        <v>220</v>
      </c>
    </row>
    <row r="167" spans="1:1" x14ac:dyDescent="0.2">
      <c r="A167" t="s">
        <v>258</v>
      </c>
    </row>
    <row r="168" spans="1:1" x14ac:dyDescent="0.2">
      <c r="A168" t="s">
        <v>221</v>
      </c>
    </row>
    <row r="169" spans="1:1" x14ac:dyDescent="0.2">
      <c r="A169" t="s">
        <v>222</v>
      </c>
    </row>
    <row r="170" spans="1:1" x14ac:dyDescent="0.2">
      <c r="A170" t="s">
        <v>223</v>
      </c>
    </row>
    <row r="171" spans="1:1" x14ac:dyDescent="0.2">
      <c r="A171" t="s">
        <v>259</v>
      </c>
    </row>
    <row r="172" spans="1:1" x14ac:dyDescent="0.2">
      <c r="A172" t="s">
        <v>406</v>
      </c>
    </row>
    <row r="173" spans="1:1" x14ac:dyDescent="0.2">
      <c r="A173" t="s">
        <v>260</v>
      </c>
    </row>
    <row r="174" spans="1:1" x14ac:dyDescent="0.2">
      <c r="A174" t="s">
        <v>261</v>
      </c>
    </row>
    <row r="175" spans="1:1" x14ac:dyDescent="0.2">
      <c r="A175" t="s">
        <v>262</v>
      </c>
    </row>
    <row r="176" spans="1:1" x14ac:dyDescent="0.2">
      <c r="A176" t="s">
        <v>549</v>
      </c>
    </row>
    <row r="177" spans="1:1" x14ac:dyDescent="0.2">
      <c r="A177" t="s">
        <v>550</v>
      </c>
    </row>
    <row r="178" spans="1:1" x14ac:dyDescent="0.2">
      <c r="A178" t="s">
        <v>263</v>
      </c>
    </row>
    <row r="179" spans="1:1" x14ac:dyDescent="0.2">
      <c r="A179" t="s">
        <v>551</v>
      </c>
    </row>
    <row r="180" spans="1:1" x14ac:dyDescent="0.2">
      <c r="A180" t="s">
        <v>552</v>
      </c>
    </row>
    <row r="181" spans="1:1" x14ac:dyDescent="0.2">
      <c r="A181" t="s">
        <v>264</v>
      </c>
    </row>
    <row r="182" spans="1:1" x14ac:dyDescent="0.2">
      <c r="A182" t="s">
        <v>265</v>
      </c>
    </row>
    <row r="183" spans="1:1" x14ac:dyDescent="0.2">
      <c r="A183" t="s">
        <v>266</v>
      </c>
    </row>
    <row r="184" spans="1:1" x14ac:dyDescent="0.2">
      <c r="A184" t="s">
        <v>267</v>
      </c>
    </row>
    <row r="185" spans="1:1" x14ac:dyDescent="0.2">
      <c r="A185" t="s">
        <v>268</v>
      </c>
    </row>
    <row r="186" spans="1:1" x14ac:dyDescent="0.2">
      <c r="A186" t="s">
        <v>269</v>
      </c>
    </row>
    <row r="187" spans="1:1" x14ac:dyDescent="0.2">
      <c r="A187" t="s">
        <v>270</v>
      </c>
    </row>
    <row r="188" spans="1:1" x14ac:dyDescent="0.2">
      <c r="A188" t="s">
        <v>271</v>
      </c>
    </row>
    <row r="189" spans="1:1" x14ac:dyDescent="0.2">
      <c r="A189" t="s">
        <v>272</v>
      </c>
    </row>
    <row r="190" spans="1:1" x14ac:dyDescent="0.2">
      <c r="A190" t="s">
        <v>273</v>
      </c>
    </row>
    <row r="191" spans="1:1" x14ac:dyDescent="0.2">
      <c r="A191" t="s">
        <v>306</v>
      </c>
    </row>
    <row r="192" spans="1:1" x14ac:dyDescent="0.2">
      <c r="A192" t="s">
        <v>307</v>
      </c>
    </row>
    <row r="193" spans="1:1" x14ac:dyDescent="0.2">
      <c r="A193" t="s">
        <v>344</v>
      </c>
    </row>
    <row r="194" spans="1:1" x14ac:dyDescent="0.2">
      <c r="A194" t="s">
        <v>327</v>
      </c>
    </row>
    <row r="195" spans="1:1" x14ac:dyDescent="0.2">
      <c r="A195" t="s">
        <v>457</v>
      </c>
    </row>
    <row r="196" spans="1:1" x14ac:dyDescent="0.2">
      <c r="A196" t="s">
        <v>421</v>
      </c>
    </row>
    <row r="197" spans="1:1" x14ac:dyDescent="0.2">
      <c r="A197" t="s">
        <v>407</v>
      </c>
    </row>
    <row r="198" spans="1:1" x14ac:dyDescent="0.2">
      <c r="A198" t="s">
        <v>408</v>
      </c>
    </row>
    <row r="199" spans="1:1" x14ac:dyDescent="0.2">
      <c r="A199" t="s">
        <v>415</v>
      </c>
    </row>
    <row r="200" spans="1:1" x14ac:dyDescent="0.2">
      <c r="A200" t="s">
        <v>409</v>
      </c>
    </row>
    <row r="201" spans="1:1" x14ac:dyDescent="0.2">
      <c r="A201" t="s">
        <v>410</v>
      </c>
    </row>
    <row r="202" spans="1:1" x14ac:dyDescent="0.2">
      <c r="A202" t="s">
        <v>441</v>
      </c>
    </row>
    <row r="203" spans="1:1" x14ac:dyDescent="0.2">
      <c r="A203" t="s">
        <v>462</v>
      </c>
    </row>
    <row r="204" spans="1:1" x14ac:dyDescent="0.2">
      <c r="A204" t="s">
        <v>274</v>
      </c>
    </row>
    <row r="205" spans="1:1" x14ac:dyDescent="0.2">
      <c r="A205" t="s">
        <v>553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Brykczynski, Marek</cp:lastModifiedBy>
  <cp:lastPrinted>2008-07-30T16:56:41Z</cp:lastPrinted>
  <dcterms:created xsi:type="dcterms:W3CDTF">1996-10-14T23:33:28Z</dcterms:created>
  <dcterms:modified xsi:type="dcterms:W3CDTF">2018-07-16T13:49:51Z</dcterms:modified>
</cp:coreProperties>
</file>